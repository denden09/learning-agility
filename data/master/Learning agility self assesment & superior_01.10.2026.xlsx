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mapfiberstar-my.sharepoint.com/personal/enny_haryanto_fiberstar_co_id/Documents/Data Baru - Enny/Enny.Haryanto/FiberStar/Human Capital/2025/HCBP/Talent management/learning agility/"/>
    </mc:Choice>
  </mc:AlternateContent>
  <xr:revisionPtr revIDLastSave="0" documentId="8_{960D2393-997A-4C4C-AE1E-2F5EAB91C8D5}" xr6:coauthVersionLast="47" xr6:coauthVersionMax="47" xr10:uidLastSave="{00000000-0000-0000-0000-000000000000}"/>
  <bookViews>
    <workbookView xWindow="-108" yWindow="-108" windowWidth="23256" windowHeight="13896" tabRatio="882" xr2:uid="{9947303A-F977-4498-B934-6142D71C5F51}"/>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intepretasi KxLA" sheetId="36" r:id="rId9"/>
    <sheet name="sheet template" sheetId="19" r:id="rId10"/>
    <sheet name="calc" sheetId="30" state="hidden" r:id="rId11"/>
    <sheet name="aktivitas pengembangan." sheetId="27" r:id="rId12"/>
    <sheet name="Monitoring pengembangan" sheetId="31" r:id="rId13"/>
    <sheet name="list" sheetId="33" state="hidden" r:id="rId14"/>
    <sheet name="aspek" sheetId="34" state="hidden" r:id="rId15"/>
    <sheet name="deskripsi" sheetId="32" state="hidden" r:id="rId16"/>
    <sheet name="kamus perilaku" sheetId="35" state="hidden" r:id="rId17"/>
    <sheet name="Hasil Perilaku" sheetId="23" r:id="rId18"/>
    <sheet name="Form Penilaian Presentasi" sheetId="22" r:id="rId19"/>
    <sheet name="Dashboard" sheetId="37" r:id="rId20"/>
    <sheet name="panduan" sheetId="17" r:id="rId21"/>
  </sheets>
  <definedNames>
    <definedName name="_xlnm._FilterDatabase" localSheetId="12" hidden="1">'Monitoring pengembangan'!$A$14:$R$39</definedName>
    <definedName name="_xlnm._FilterDatabase" localSheetId="9" hidden="1">'sheet template'!$A$1:$N$1009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37" l="1"/>
  <c r="D45" i="37"/>
  <c r="D46" i="37"/>
  <c r="I15" i="22"/>
  <c r="I16" i="22"/>
  <c r="I17" i="22"/>
  <c r="I18" i="22"/>
  <c r="I19" i="22"/>
  <c r="I20" i="22"/>
  <c r="J15" i="22"/>
  <c r="J16" i="22"/>
  <c r="J17" i="22"/>
  <c r="J18" i="22"/>
  <c r="J19" i="22"/>
  <c r="J20" i="22"/>
  <c r="K15" i="22"/>
  <c r="K16" i="22"/>
  <c r="K17" i="22"/>
  <c r="K18" i="22"/>
  <c r="K19" i="22"/>
  <c r="K20" i="22"/>
  <c r="L15" i="22"/>
  <c r="L16" i="22"/>
  <c r="L17" i="22"/>
  <c r="L18" i="22"/>
  <c r="L19" i="22"/>
  <c r="L20" i="22"/>
  <c r="L27" i="23"/>
  <c r="K27" i="23"/>
  <c r="J27" i="23"/>
  <c r="L26" i="23"/>
  <c r="K26" i="23"/>
  <c r="J26" i="23"/>
  <c r="L25" i="23"/>
  <c r="K25" i="23"/>
  <c r="J25" i="23"/>
  <c r="L24" i="23"/>
  <c r="K24" i="23"/>
  <c r="J24" i="23"/>
  <c r="L23" i="23"/>
  <c r="K23" i="23"/>
  <c r="J23" i="23"/>
  <c r="L22" i="23"/>
  <c r="K22" i="23"/>
  <c r="J22" i="23"/>
  <c r="L21" i="23"/>
  <c r="K21" i="23"/>
  <c r="J21" i="23"/>
  <c r="L20" i="23"/>
  <c r="K20" i="23"/>
  <c r="J20" i="23"/>
  <c r="L19" i="23"/>
  <c r="K19" i="23"/>
  <c r="J19" i="23"/>
  <c r="L18" i="23"/>
  <c r="K18" i="23"/>
  <c r="J18" i="23"/>
  <c r="L17" i="23"/>
  <c r="K17" i="23"/>
  <c r="J17" i="23"/>
  <c r="L16" i="23"/>
  <c r="K16" i="23"/>
  <c r="J16" i="23"/>
  <c r="I17" i="23"/>
  <c r="I18" i="23"/>
  <c r="I19" i="23"/>
  <c r="I20" i="23"/>
  <c r="I21" i="23"/>
  <c r="I22" i="23"/>
  <c r="I23" i="23"/>
  <c r="I24" i="23"/>
  <c r="I25" i="23"/>
  <c r="I26" i="23"/>
  <c r="I27" i="23"/>
  <c r="I16" i="23"/>
  <c r="A17" i="37" a="1"/>
  <c r="A17" i="37" s="1"/>
  <c r="A44" i="37" s="1"/>
  <c r="B16" i="23" a="1"/>
  <c r="B16" i="23" s="1"/>
  <c r="A6" i="35"/>
  <c r="A3" i="35"/>
  <c r="A4" i="35"/>
  <c r="A5"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A1558" i="35"/>
  <c r="A1559" i="35"/>
  <c r="A1560" i="35"/>
  <c r="A1561" i="35"/>
  <c r="A1562" i="35"/>
  <c r="A1563" i="35"/>
  <c r="A1564" i="35"/>
  <c r="A1565" i="35"/>
  <c r="A1566" i="35"/>
  <c r="A1567" i="35"/>
  <c r="A1568" i="35"/>
  <c r="A1569" i="35"/>
  <c r="A1570" i="35"/>
  <c r="A1571" i="35"/>
  <c r="A1572" i="35"/>
  <c r="A1573" i="35"/>
  <c r="A1574" i="35"/>
  <c r="A1575" i="35"/>
  <c r="A1576" i="35"/>
  <c r="A1577" i="35"/>
  <c r="A1578" i="35"/>
  <c r="A1579" i="35"/>
  <c r="A1580" i="35"/>
  <c r="A1581" i="35"/>
  <c r="A1582" i="35"/>
  <c r="A1583" i="35"/>
  <c r="A1584" i="35"/>
  <c r="A1585" i="35"/>
  <c r="A1586" i="35"/>
  <c r="A1587" i="35"/>
  <c r="A1588" i="35"/>
  <c r="A1589" i="35"/>
  <c r="A1590" i="35"/>
  <c r="A1591" i="35"/>
  <c r="A1592" i="35"/>
  <c r="A1593" i="35"/>
  <c r="A1594" i="35"/>
  <c r="A1595" i="35"/>
  <c r="A1596" i="35"/>
  <c r="A1597" i="35"/>
  <c r="A1598" i="35"/>
  <c r="A1599" i="35"/>
  <c r="A1600" i="35"/>
  <c r="A1601" i="35"/>
  <c r="A1602" i="35"/>
  <c r="A1603" i="35"/>
  <c r="A1604" i="35"/>
  <c r="A1605" i="35"/>
  <c r="A1606" i="35"/>
  <c r="A1607" i="35"/>
  <c r="A1608" i="35"/>
  <c r="A1609" i="35"/>
  <c r="A1610" i="35"/>
  <c r="A1611" i="35"/>
  <c r="A1612" i="35"/>
  <c r="A1613" i="35"/>
  <c r="A1614" i="35"/>
  <c r="A1615" i="35"/>
  <c r="A1616" i="35"/>
  <c r="A1617" i="35"/>
  <c r="A1618" i="35"/>
  <c r="A1619" i="35"/>
  <c r="A1620" i="35"/>
  <c r="A1621" i="35"/>
  <c r="A1622" i="35"/>
  <c r="A1623" i="35"/>
  <c r="A1624" i="35"/>
  <c r="A1625" i="35"/>
  <c r="A1626" i="35"/>
  <c r="A1627" i="35"/>
  <c r="A1628" i="35"/>
  <c r="A1629" i="35"/>
  <c r="A1630" i="35"/>
  <c r="A1631" i="35"/>
  <c r="A1632" i="35"/>
  <c r="A1633" i="35"/>
  <c r="A1634" i="35"/>
  <c r="A1635" i="35"/>
  <c r="A1636" i="35"/>
  <c r="A1637" i="35"/>
  <c r="A1638" i="35"/>
  <c r="A1639" i="35"/>
  <c r="A1640" i="35"/>
  <c r="A1641" i="35"/>
  <c r="A1642" i="35"/>
  <c r="A1643" i="35"/>
  <c r="A1644" i="35"/>
  <c r="A1645" i="35"/>
  <c r="A1646" i="35"/>
  <c r="A1647" i="35"/>
  <c r="A1648" i="35"/>
  <c r="A1649" i="35"/>
  <c r="A1650" i="35"/>
  <c r="A1651" i="35"/>
  <c r="A1652" i="35"/>
  <c r="A1653" i="35"/>
  <c r="A1654" i="35"/>
  <c r="A1655" i="35"/>
  <c r="A1656" i="35"/>
  <c r="A1657" i="35"/>
  <c r="A1658" i="35"/>
  <c r="A1659" i="35"/>
  <c r="A1660" i="35"/>
  <c r="A1661" i="35"/>
  <c r="A1662" i="35"/>
  <c r="A1663" i="35"/>
  <c r="A1664" i="35"/>
  <c r="A1665" i="35"/>
  <c r="A1666" i="35"/>
  <c r="A1667" i="35"/>
  <c r="A1668" i="35"/>
  <c r="A1669" i="35"/>
  <c r="A1670" i="35"/>
  <c r="A1671" i="35"/>
  <c r="A1672" i="35"/>
  <c r="A1673" i="35"/>
  <c r="A1674" i="35"/>
  <c r="A1675" i="35"/>
  <c r="A1676" i="35"/>
  <c r="A1677" i="35"/>
  <c r="A1678" i="35"/>
  <c r="A1679" i="35"/>
  <c r="A1680" i="35"/>
  <c r="A1681" i="35"/>
  <c r="A48" i="17"/>
  <c r="A49" i="17" s="1"/>
  <c r="A50" i="17" s="1"/>
  <c r="A51" i="17" s="1"/>
  <c r="A52" i="17" s="1"/>
  <c r="A53" i="17" s="1"/>
  <c r="A54" i="17" s="1"/>
  <c r="A55" i="17" s="1"/>
  <c r="A56" i="17" s="1"/>
  <c r="A57" i="17" s="1"/>
  <c r="A58" i="17" s="1"/>
  <c r="A59" i="17" s="1"/>
  <c r="A60" i="17" s="1"/>
  <c r="A61" i="17" s="1"/>
  <c r="A62" i="17" s="1"/>
  <c r="A63" i="17" s="1"/>
  <c r="B8" i="37"/>
  <c r="A8" i="37"/>
  <c r="B7" i="37"/>
  <c r="A7" i="37"/>
  <c r="B6" i="37"/>
  <c r="A6" i="37"/>
  <c r="B5" i="37"/>
  <c r="A5" i="37"/>
  <c r="B4" i="37"/>
  <c r="A4" i="37"/>
  <c r="B3" i="37"/>
  <c r="A3" i="37"/>
  <c r="L35" i="31"/>
  <c r="L36" i="31"/>
  <c r="L37" i="31"/>
  <c r="L38" i="31"/>
  <c r="AY2" i="30" a="1"/>
  <c r="AY2" i="30" s="1"/>
  <c r="AX2" i="30" a="1"/>
  <c r="AX2" i="30" s="1"/>
  <c r="AW2" i="30" a="1"/>
  <c r="AW2" i="30" s="1"/>
  <c r="AV2" i="30" a="1"/>
  <c r="AV2" i="30" s="1"/>
  <c r="AU2" i="30" a="1"/>
  <c r="AU2" i="30" s="1"/>
  <c r="AS2" i="30"/>
  <c r="AR2" i="30"/>
  <c r="AQ2" i="30"/>
  <c r="C8" i="23"/>
  <c r="A8" i="23"/>
  <c r="C7" i="23"/>
  <c r="A7" i="23"/>
  <c r="C6" i="23"/>
  <c r="A6" i="23"/>
  <c r="C5" i="23"/>
  <c r="A5" i="23"/>
  <c r="C4" i="23"/>
  <c r="A4" i="23"/>
  <c r="C3" i="23"/>
  <c r="A3" i="23"/>
  <c r="C2" i="32" a="1"/>
  <c r="C2" i="32" s="1"/>
  <c r="B2" i="32" a="1"/>
  <c r="B2" i="32" s="1"/>
  <c r="A2" i="32" a="1"/>
  <c r="A2" i="32" s="1"/>
  <c r="F2" i="35" a="1"/>
  <c r="F2" i="35" s="1"/>
  <c r="E3" i="35" a="1"/>
  <c r="E3" i="35" s="1"/>
  <c r="E4" i="35" a="1"/>
  <c r="E4" i="35" s="1"/>
  <c r="E5" i="35" a="1"/>
  <c r="E5" i="35" s="1"/>
  <c r="E6" i="35" a="1"/>
  <c r="E6" i="35" s="1"/>
  <c r="E7" i="35" a="1"/>
  <c r="E7" i="35" s="1"/>
  <c r="E8" i="35" a="1"/>
  <c r="E8" i="35" s="1"/>
  <c r="E9" i="35" a="1"/>
  <c r="E9" i="35" s="1"/>
  <c r="E10" i="35" a="1"/>
  <c r="E10" i="35" s="1"/>
  <c r="E11" i="35" a="1"/>
  <c r="E11" i="35" s="1"/>
  <c r="E12" i="35" a="1"/>
  <c r="E12" i="35" s="1"/>
  <c r="E13" i="35" a="1"/>
  <c r="E13" i="35" s="1"/>
  <c r="E14" i="35" a="1"/>
  <c r="E14" i="35" s="1"/>
  <c r="E15" i="35" a="1"/>
  <c r="E15" i="35" s="1"/>
  <c r="E16" i="35" a="1"/>
  <c r="E16" i="35" s="1"/>
  <c r="E17" i="35" a="1"/>
  <c r="E17" i="35" s="1"/>
  <c r="E18" i="35" a="1"/>
  <c r="E18" i="35" s="1"/>
  <c r="E19" i="35" a="1"/>
  <c r="E19" i="35" s="1"/>
  <c r="E20" i="35" a="1"/>
  <c r="E20" i="35" s="1"/>
  <c r="E21" i="35" a="1"/>
  <c r="E21" i="35" s="1"/>
  <c r="E22" i="35" a="1"/>
  <c r="E22" i="35" s="1"/>
  <c r="E23" i="35" a="1"/>
  <c r="E23" i="35" s="1"/>
  <c r="E24" i="35" a="1"/>
  <c r="E24" i="35" s="1"/>
  <c r="E25" i="35" a="1"/>
  <c r="E25" i="35" s="1"/>
  <c r="E26" i="35" a="1"/>
  <c r="E26" i="35" s="1"/>
  <c r="E27" i="35" a="1"/>
  <c r="E27" i="35" s="1"/>
  <c r="E28" i="35" a="1"/>
  <c r="E28" i="35" s="1"/>
  <c r="E29" i="35" a="1"/>
  <c r="E29" i="35" s="1"/>
  <c r="E30" i="35" a="1"/>
  <c r="E30" i="35" s="1"/>
  <c r="E31" i="35" a="1"/>
  <c r="E31" i="35" s="1"/>
  <c r="E32" i="35" a="1"/>
  <c r="E32" i="35" s="1"/>
  <c r="E33" i="35" a="1"/>
  <c r="E33" i="35" s="1"/>
  <c r="E34" i="35" a="1"/>
  <c r="E34" i="35" s="1"/>
  <c r="E35" i="35" a="1"/>
  <c r="E35" i="35" s="1"/>
  <c r="E36" i="35" a="1"/>
  <c r="E36" i="35" s="1"/>
  <c r="E37" i="35" a="1"/>
  <c r="E37" i="35" s="1"/>
  <c r="E38" i="35" a="1"/>
  <c r="E38" i="35" s="1"/>
  <c r="E39" i="35" a="1"/>
  <c r="E39" i="35" s="1"/>
  <c r="E40" i="35" a="1"/>
  <c r="E40" i="35" s="1"/>
  <c r="E41" i="35" a="1"/>
  <c r="E41" i="35" s="1"/>
  <c r="E42" i="35" a="1"/>
  <c r="E42" i="35" s="1"/>
  <c r="E43" i="35" a="1"/>
  <c r="E43" i="35" s="1"/>
  <c r="E44" i="35" a="1"/>
  <c r="E44" i="35" s="1"/>
  <c r="E45" i="35" a="1"/>
  <c r="E45" i="35" s="1"/>
  <c r="E46" i="35" a="1"/>
  <c r="E46" i="35" s="1"/>
  <c r="E47" i="35" a="1"/>
  <c r="E47" i="35" s="1"/>
  <c r="E48" i="35" a="1"/>
  <c r="E48" i="35" s="1"/>
  <c r="E49" i="35" a="1"/>
  <c r="E49" i="35" s="1"/>
  <c r="E50" i="35" a="1"/>
  <c r="E50" i="35" s="1"/>
  <c r="E51" i="35" a="1"/>
  <c r="E51" i="35" s="1"/>
  <c r="E52" i="35" a="1"/>
  <c r="E52" i="35" s="1"/>
  <c r="E53" i="35" a="1"/>
  <c r="E53" i="35" s="1"/>
  <c r="E54" i="35" a="1"/>
  <c r="E54" i="35" s="1"/>
  <c r="E55" i="35" a="1"/>
  <c r="E55" i="35" s="1"/>
  <c r="E56" i="35" a="1"/>
  <c r="E56" i="35" s="1"/>
  <c r="E57" i="35" a="1"/>
  <c r="E57" i="35" s="1"/>
  <c r="E58" i="35" a="1"/>
  <c r="E58" i="35" s="1"/>
  <c r="E59" i="35" a="1"/>
  <c r="E59" i="35" s="1"/>
  <c r="E60" i="35" a="1"/>
  <c r="E60" i="35" s="1"/>
  <c r="E61" i="35" a="1"/>
  <c r="E61" i="35" s="1"/>
  <c r="E62" i="35" a="1"/>
  <c r="E62" i="35" s="1"/>
  <c r="E63" i="35" a="1"/>
  <c r="E63" i="35" s="1"/>
  <c r="E64" i="35" a="1"/>
  <c r="E64" i="35" s="1"/>
  <c r="E65" i="35" a="1"/>
  <c r="E65" i="35" s="1"/>
  <c r="E66" i="35" a="1"/>
  <c r="E66" i="35" s="1"/>
  <c r="E67" i="35" a="1"/>
  <c r="E67" i="35" s="1"/>
  <c r="E68" i="35" a="1"/>
  <c r="E68" i="35" s="1"/>
  <c r="E69" i="35" a="1"/>
  <c r="E69" i="35" s="1"/>
  <c r="E70" i="35" a="1"/>
  <c r="E70" i="35" s="1"/>
  <c r="E71" i="35" a="1"/>
  <c r="E71" i="35" s="1"/>
  <c r="E72" i="35" a="1"/>
  <c r="E72" i="35" s="1"/>
  <c r="E73" i="35" a="1"/>
  <c r="E73" i="35" s="1"/>
  <c r="E74" i="35" a="1"/>
  <c r="E74" i="35" s="1"/>
  <c r="E75" i="35" a="1"/>
  <c r="E75" i="35" s="1"/>
  <c r="E76" i="35" a="1"/>
  <c r="E76" i="35" s="1"/>
  <c r="E77" i="35" a="1"/>
  <c r="E77" i="35" s="1"/>
  <c r="E78" i="35" a="1"/>
  <c r="E78" i="35" s="1"/>
  <c r="E79" i="35" a="1"/>
  <c r="E79" i="35" s="1"/>
  <c r="E80" i="35" a="1"/>
  <c r="E80" i="35" s="1"/>
  <c r="E81" i="35" a="1"/>
  <c r="E81" i="35" s="1"/>
  <c r="E82" i="35" a="1"/>
  <c r="E82" i="35" s="1"/>
  <c r="E83" i="35" a="1"/>
  <c r="E83" i="35" s="1"/>
  <c r="E84" i="35" a="1"/>
  <c r="E84" i="35" s="1"/>
  <c r="E85" i="35" a="1"/>
  <c r="E85" i="35" s="1"/>
  <c r="E86" i="35" a="1"/>
  <c r="E86" i="35" s="1"/>
  <c r="E87" i="35" a="1"/>
  <c r="E87" i="35" s="1"/>
  <c r="E88" i="35" a="1"/>
  <c r="E88" i="35" s="1"/>
  <c r="E89" i="35" a="1"/>
  <c r="E89" i="35" s="1"/>
  <c r="E90" i="35" a="1"/>
  <c r="E90" i="35" s="1"/>
  <c r="E91" i="35" a="1"/>
  <c r="E91" i="35" s="1"/>
  <c r="E92" i="35" a="1"/>
  <c r="E92" i="35" s="1"/>
  <c r="E93" i="35" a="1"/>
  <c r="E93" i="35" s="1"/>
  <c r="E94" i="35" a="1"/>
  <c r="E94" i="35" s="1"/>
  <c r="E95" i="35" a="1"/>
  <c r="E95" i="35" s="1"/>
  <c r="E96" i="35" a="1"/>
  <c r="E96" i="35" s="1"/>
  <c r="E97" i="35" a="1"/>
  <c r="E97" i="35" s="1"/>
  <c r="E98" i="35" a="1"/>
  <c r="E98" i="35" s="1"/>
  <c r="E99" i="35" a="1"/>
  <c r="E99" i="35" s="1"/>
  <c r="E100" i="35" a="1"/>
  <c r="E100" i="35" s="1"/>
  <c r="E101" i="35" a="1"/>
  <c r="E101" i="35" s="1"/>
  <c r="E102" i="35" a="1"/>
  <c r="E102" i="35" s="1"/>
  <c r="E103" i="35" a="1"/>
  <c r="E103" i="35" s="1"/>
  <c r="E104" i="35" a="1"/>
  <c r="E104" i="35" s="1"/>
  <c r="E105" i="35" a="1"/>
  <c r="E105" i="35" s="1"/>
  <c r="E106" i="35" a="1"/>
  <c r="E106" i="35" s="1"/>
  <c r="E107" i="35" a="1"/>
  <c r="E107" i="35" s="1"/>
  <c r="E108" i="35" a="1"/>
  <c r="E108" i="35" s="1"/>
  <c r="E109" i="35" a="1"/>
  <c r="E109" i="35" s="1"/>
  <c r="E110" i="35" a="1"/>
  <c r="E110" i="35" s="1"/>
  <c r="E111" i="35" a="1"/>
  <c r="E111" i="35" s="1"/>
  <c r="E112" i="35" a="1"/>
  <c r="E112" i="35" s="1"/>
  <c r="E113" i="35" a="1"/>
  <c r="E113" i="35" s="1"/>
  <c r="E114" i="35" a="1"/>
  <c r="E114" i="35" s="1"/>
  <c r="E115" i="35" a="1"/>
  <c r="E115" i="35" s="1"/>
  <c r="E116" i="35" a="1"/>
  <c r="E116" i="35" s="1"/>
  <c r="E117" i="35" a="1"/>
  <c r="E117" i="35" s="1"/>
  <c r="E118" i="35" a="1"/>
  <c r="E118" i="35" s="1"/>
  <c r="E119" i="35" a="1"/>
  <c r="E119" i="35" s="1"/>
  <c r="E120" i="35" a="1"/>
  <c r="E120" i="35" s="1"/>
  <c r="E121" i="35" a="1"/>
  <c r="E121" i="35" s="1"/>
  <c r="E122" i="35" a="1"/>
  <c r="E122" i="35" s="1"/>
  <c r="E123" i="35" a="1"/>
  <c r="E123" i="35" s="1"/>
  <c r="E124" i="35" a="1"/>
  <c r="E124" i="35" s="1"/>
  <c r="E125" i="35" a="1"/>
  <c r="E125" i="35" s="1"/>
  <c r="E126" i="35" a="1"/>
  <c r="E126" i="35" s="1"/>
  <c r="E127" i="35" a="1"/>
  <c r="E127" i="35" s="1"/>
  <c r="E128" i="35" a="1"/>
  <c r="E128" i="35" s="1"/>
  <c r="E129" i="35" a="1"/>
  <c r="E129" i="35" s="1"/>
  <c r="E130" i="35" a="1"/>
  <c r="E130" i="35" s="1"/>
  <c r="E131" i="35" a="1"/>
  <c r="E131" i="35" s="1"/>
  <c r="E132" i="35" a="1"/>
  <c r="E132" i="35" s="1"/>
  <c r="E133" i="35" a="1"/>
  <c r="E133" i="35" s="1"/>
  <c r="E134" i="35" a="1"/>
  <c r="E134" i="35" s="1"/>
  <c r="E135" i="35" a="1"/>
  <c r="E135" i="35" s="1"/>
  <c r="E136" i="35" a="1"/>
  <c r="E136" i="35" s="1"/>
  <c r="E137" i="35" a="1"/>
  <c r="E137" i="35" s="1"/>
  <c r="E138" i="35" a="1"/>
  <c r="E138" i="35" s="1"/>
  <c r="E139" i="35" a="1"/>
  <c r="E139" i="35" s="1"/>
  <c r="E140" i="35" a="1"/>
  <c r="E140" i="35" s="1"/>
  <c r="E141" i="35" a="1"/>
  <c r="E141" i="35" s="1"/>
  <c r="E142" i="35" a="1"/>
  <c r="E142" i="35" s="1"/>
  <c r="E143" i="35" a="1"/>
  <c r="E143" i="35" s="1"/>
  <c r="E144" i="35" a="1"/>
  <c r="E144" i="35" s="1"/>
  <c r="E145" i="35" a="1"/>
  <c r="E145" i="35" s="1"/>
  <c r="E146" i="35" a="1"/>
  <c r="E146" i="35" s="1"/>
  <c r="E147" i="35" a="1"/>
  <c r="E147" i="35" s="1"/>
  <c r="E148" i="35" a="1"/>
  <c r="E148" i="35" s="1"/>
  <c r="E149" i="35" a="1"/>
  <c r="E149" i="35" s="1"/>
  <c r="E150" i="35" a="1"/>
  <c r="E150" i="35" s="1"/>
  <c r="E151" i="35" a="1"/>
  <c r="E151" i="35" s="1"/>
  <c r="E152" i="35" a="1"/>
  <c r="E152" i="35" s="1"/>
  <c r="E153" i="35" a="1"/>
  <c r="E153" i="35" s="1"/>
  <c r="E154" i="35" a="1"/>
  <c r="E154" i="35" s="1"/>
  <c r="E155" i="35" a="1"/>
  <c r="E155" i="35" s="1"/>
  <c r="E156" i="35" a="1"/>
  <c r="E156" i="35" s="1"/>
  <c r="E157" i="35" a="1"/>
  <c r="E157" i="35" s="1"/>
  <c r="E158" i="35" a="1"/>
  <c r="E158" i="35" s="1"/>
  <c r="E159" i="35" a="1"/>
  <c r="E159" i="35" s="1"/>
  <c r="E160" i="35" a="1"/>
  <c r="E160" i="35" s="1"/>
  <c r="E161" i="35" a="1"/>
  <c r="E161" i="35" s="1"/>
  <c r="E162" i="35" a="1"/>
  <c r="E162" i="35" s="1"/>
  <c r="E163" i="35" a="1"/>
  <c r="E163" i="35" s="1"/>
  <c r="E164" i="35" a="1"/>
  <c r="E164" i="35" s="1"/>
  <c r="E165" i="35" a="1"/>
  <c r="E165" i="35" s="1"/>
  <c r="E166" i="35" a="1"/>
  <c r="E166" i="35" s="1"/>
  <c r="E167" i="35" a="1"/>
  <c r="E167" i="35" s="1"/>
  <c r="E168" i="35" a="1"/>
  <c r="E168" i="35" s="1"/>
  <c r="E169" i="35" a="1"/>
  <c r="E169" i="35" s="1"/>
  <c r="E170" i="35" a="1"/>
  <c r="E170" i="35" s="1"/>
  <c r="E171" i="35" a="1"/>
  <c r="E171" i="35" s="1"/>
  <c r="E172" i="35" a="1"/>
  <c r="E172" i="35" s="1"/>
  <c r="E173" i="35" a="1"/>
  <c r="E173" i="35" s="1"/>
  <c r="E174" i="35" a="1"/>
  <c r="E174" i="35" s="1"/>
  <c r="E175" i="35" a="1"/>
  <c r="E175" i="35" s="1"/>
  <c r="E176" i="35" a="1"/>
  <c r="E176" i="35" s="1"/>
  <c r="E177" i="35" a="1"/>
  <c r="E177" i="35" s="1"/>
  <c r="E178" i="35" a="1"/>
  <c r="E178" i="35" s="1"/>
  <c r="E179" i="35" a="1"/>
  <c r="E179" i="35" s="1"/>
  <c r="E180" i="35" a="1"/>
  <c r="E180" i="35" s="1"/>
  <c r="E181" i="35" a="1"/>
  <c r="E181" i="35" s="1"/>
  <c r="E182" i="35" a="1"/>
  <c r="E182" i="35" s="1"/>
  <c r="E183" i="35" a="1"/>
  <c r="E183" i="35" s="1"/>
  <c r="E184" i="35" a="1"/>
  <c r="E184" i="35" s="1"/>
  <c r="E185" i="35" a="1"/>
  <c r="E185" i="35" s="1"/>
  <c r="E186" i="35" a="1"/>
  <c r="E186" i="35" s="1"/>
  <c r="E187" i="35" a="1"/>
  <c r="E187" i="35" s="1"/>
  <c r="E188" i="35" a="1"/>
  <c r="E188" i="35" s="1"/>
  <c r="E189" i="35" a="1"/>
  <c r="E189" i="35" s="1"/>
  <c r="E190" i="35" a="1"/>
  <c r="E190" i="35" s="1"/>
  <c r="E191" i="35" a="1"/>
  <c r="E191" i="35" s="1"/>
  <c r="E192" i="35" a="1"/>
  <c r="E192" i="35" s="1"/>
  <c r="E193" i="35" a="1"/>
  <c r="E193" i="35" s="1"/>
  <c r="E194" i="35" a="1"/>
  <c r="E194" i="35" s="1"/>
  <c r="E195" i="35" a="1"/>
  <c r="E195" i="35" s="1"/>
  <c r="E196" i="35" a="1"/>
  <c r="E196" i="35" s="1"/>
  <c r="E197" i="35" a="1"/>
  <c r="E197" i="35" s="1"/>
  <c r="E198" i="35" a="1"/>
  <c r="E198" i="35" s="1"/>
  <c r="E199" i="35" a="1"/>
  <c r="E199" i="35" s="1"/>
  <c r="E200" i="35" a="1"/>
  <c r="E200" i="35" s="1"/>
  <c r="E201" i="35" a="1"/>
  <c r="E201" i="35" s="1"/>
  <c r="E202" i="35" a="1"/>
  <c r="E202" i="35" s="1"/>
  <c r="E203" i="35" a="1"/>
  <c r="E203" i="35" s="1"/>
  <c r="E204" i="35" a="1"/>
  <c r="E204" i="35" s="1"/>
  <c r="E205" i="35" a="1"/>
  <c r="E205" i="35" s="1"/>
  <c r="E206" i="35" a="1"/>
  <c r="E206" i="35" s="1"/>
  <c r="E207" i="35" a="1"/>
  <c r="E207" i="35" s="1"/>
  <c r="E208" i="35" a="1"/>
  <c r="E208" i="35" s="1"/>
  <c r="E209" i="35" a="1"/>
  <c r="E209" i="35" s="1"/>
  <c r="E210" i="35" a="1"/>
  <c r="E210" i="35" s="1"/>
  <c r="E211" i="35" a="1"/>
  <c r="E211" i="35" s="1"/>
  <c r="E212" i="35" a="1"/>
  <c r="E212" i="35" s="1"/>
  <c r="E213" i="35" a="1"/>
  <c r="E213" i="35" s="1"/>
  <c r="E214" i="35" a="1"/>
  <c r="E214" i="35" s="1"/>
  <c r="E215" i="35" a="1"/>
  <c r="E215" i="35" s="1"/>
  <c r="E216" i="35" a="1"/>
  <c r="E216" i="35" s="1"/>
  <c r="E217" i="35" a="1"/>
  <c r="E217" i="35" s="1"/>
  <c r="E218" i="35" a="1"/>
  <c r="E218" i="35" s="1"/>
  <c r="E219" i="35" a="1"/>
  <c r="E219" i="35" s="1"/>
  <c r="E220" i="35" a="1"/>
  <c r="E220" i="35" s="1"/>
  <c r="E221" i="35" a="1"/>
  <c r="E221" i="35" s="1"/>
  <c r="E222" i="35" a="1"/>
  <c r="E222" i="35" s="1"/>
  <c r="E223" i="35" a="1"/>
  <c r="E223" i="35" s="1"/>
  <c r="E224" i="35" a="1"/>
  <c r="E224" i="35" s="1"/>
  <c r="E225" i="35" a="1"/>
  <c r="E225" i="35" s="1"/>
  <c r="E226" i="35" a="1"/>
  <c r="E226" i="35" s="1"/>
  <c r="E227" i="35" a="1"/>
  <c r="E227" i="35" s="1"/>
  <c r="E228" i="35" a="1"/>
  <c r="E228" i="35" s="1"/>
  <c r="E229" i="35" a="1"/>
  <c r="E229" i="35" s="1"/>
  <c r="E230" i="35" a="1"/>
  <c r="E230" i="35" s="1"/>
  <c r="E231" i="35" a="1"/>
  <c r="E231" i="35" s="1"/>
  <c r="E232" i="35" a="1"/>
  <c r="E232" i="35" s="1"/>
  <c r="E233" i="35" a="1"/>
  <c r="E233" i="35" s="1"/>
  <c r="E234" i="35" a="1"/>
  <c r="E234" i="35" s="1"/>
  <c r="E235" i="35" a="1"/>
  <c r="E235" i="35" s="1"/>
  <c r="E236" i="35" a="1"/>
  <c r="E236" i="35" s="1"/>
  <c r="E237" i="35" a="1"/>
  <c r="E237" i="35" s="1"/>
  <c r="E238" i="35" a="1"/>
  <c r="E238" i="35" s="1"/>
  <c r="E239" i="35" a="1"/>
  <c r="E239" i="35" s="1"/>
  <c r="E240" i="35" a="1"/>
  <c r="E240" i="35" s="1"/>
  <c r="E241" i="35" a="1"/>
  <c r="E241" i="35" s="1"/>
  <c r="E242" i="35" a="1"/>
  <c r="E242" i="35" s="1"/>
  <c r="E243" i="35" a="1"/>
  <c r="E243" i="35" s="1"/>
  <c r="E244" i="35" a="1"/>
  <c r="E244" i="35" s="1"/>
  <c r="E245" i="35" a="1"/>
  <c r="E245" i="35" s="1"/>
  <c r="E246" i="35" a="1"/>
  <c r="E246" i="35" s="1"/>
  <c r="E247" i="35" a="1"/>
  <c r="E247" i="35" s="1"/>
  <c r="E248" i="35" a="1"/>
  <c r="E248" i="35" s="1"/>
  <c r="E249" i="35" a="1"/>
  <c r="E249" i="35" s="1"/>
  <c r="E250" i="35" a="1"/>
  <c r="E250" i="35" s="1"/>
  <c r="E251" i="35" a="1"/>
  <c r="E251" i="35" s="1"/>
  <c r="E252" i="35" a="1"/>
  <c r="E252" i="35" s="1"/>
  <c r="E253" i="35" a="1"/>
  <c r="E253" i="35" s="1"/>
  <c r="E254" i="35" a="1"/>
  <c r="E254" i="35" s="1"/>
  <c r="E255" i="35" a="1"/>
  <c r="E255" i="35" s="1"/>
  <c r="E256" i="35" a="1"/>
  <c r="E256" i="35" s="1"/>
  <c r="E257" i="35" a="1"/>
  <c r="E257" i="35" s="1"/>
  <c r="E258" i="35" a="1"/>
  <c r="E258" i="35" s="1"/>
  <c r="E259" i="35" a="1"/>
  <c r="E259" i="35" s="1"/>
  <c r="E260" i="35" a="1"/>
  <c r="E260" i="35" s="1"/>
  <c r="E261" i="35" a="1"/>
  <c r="E261" i="35" s="1"/>
  <c r="E262" i="35" a="1"/>
  <c r="E262" i="35" s="1"/>
  <c r="E263" i="35" a="1"/>
  <c r="E263" i="35" s="1"/>
  <c r="E264" i="35" a="1"/>
  <c r="E264" i="35" s="1"/>
  <c r="E265" i="35" a="1"/>
  <c r="E265" i="35" s="1"/>
  <c r="E266" i="35" a="1"/>
  <c r="E266" i="35" s="1"/>
  <c r="E267" i="35" a="1"/>
  <c r="E267" i="35" s="1"/>
  <c r="E268" i="35" a="1"/>
  <c r="E268" i="35" s="1"/>
  <c r="E269" i="35" a="1"/>
  <c r="E269" i="35" s="1"/>
  <c r="E270" i="35" a="1"/>
  <c r="E270" i="35" s="1"/>
  <c r="E271" i="35" a="1"/>
  <c r="E271" i="35" s="1"/>
  <c r="E272" i="35" a="1"/>
  <c r="E272" i="35" s="1"/>
  <c r="E273" i="35" a="1"/>
  <c r="E273" i="35" s="1"/>
  <c r="E274" i="35" a="1"/>
  <c r="E274" i="35" s="1"/>
  <c r="E275" i="35" a="1"/>
  <c r="E275" i="35" s="1"/>
  <c r="E276" i="35" a="1"/>
  <c r="E276" i="35" s="1"/>
  <c r="E277" i="35" a="1"/>
  <c r="E277" i="35" s="1"/>
  <c r="E278" i="35" a="1"/>
  <c r="E278" i="35" s="1"/>
  <c r="E279" i="35" a="1"/>
  <c r="E279" i="35" s="1"/>
  <c r="E280" i="35" a="1"/>
  <c r="E280" i="35" s="1"/>
  <c r="E281" i="35" a="1"/>
  <c r="E281" i="35" s="1"/>
  <c r="E282" i="35" a="1"/>
  <c r="E282" i="35" s="1"/>
  <c r="E283" i="35" a="1"/>
  <c r="E283" i="35" s="1"/>
  <c r="E284" i="35" a="1"/>
  <c r="E284" i="35" s="1"/>
  <c r="E285" i="35" a="1"/>
  <c r="E285" i="35" s="1"/>
  <c r="E286" i="35" a="1"/>
  <c r="E286" i="35" s="1"/>
  <c r="E287" i="35" a="1"/>
  <c r="E287" i="35" s="1"/>
  <c r="E288" i="35" a="1"/>
  <c r="E288" i="35" s="1"/>
  <c r="E289" i="35" a="1"/>
  <c r="E289" i="35" s="1"/>
  <c r="E290" i="35" a="1"/>
  <c r="E290" i="35" s="1"/>
  <c r="E291" i="35" a="1"/>
  <c r="E291" i="35" s="1"/>
  <c r="E292" i="35" a="1"/>
  <c r="E292" i="35" s="1"/>
  <c r="E293" i="35" a="1"/>
  <c r="E293" i="35" s="1"/>
  <c r="E294" i="35" a="1"/>
  <c r="E294" i="35" s="1"/>
  <c r="E295" i="35" a="1"/>
  <c r="E295" i="35" s="1"/>
  <c r="E296" i="35" a="1"/>
  <c r="E296" i="35" s="1"/>
  <c r="E297" i="35" a="1"/>
  <c r="E297" i="35" s="1"/>
  <c r="E298" i="35" a="1"/>
  <c r="E298" i="35" s="1"/>
  <c r="E299" i="35" a="1"/>
  <c r="E299" i="35" s="1"/>
  <c r="E300" i="35" a="1"/>
  <c r="E300" i="35" s="1"/>
  <c r="E301" i="35" a="1"/>
  <c r="E301" i="35" s="1"/>
  <c r="E302" i="35" a="1"/>
  <c r="E302" i="35" s="1"/>
  <c r="E303" i="35" a="1"/>
  <c r="E303" i="35" s="1"/>
  <c r="E304" i="35" a="1"/>
  <c r="E304" i="35" s="1"/>
  <c r="E305" i="35" a="1"/>
  <c r="E305" i="35" s="1"/>
  <c r="E306" i="35" a="1"/>
  <c r="E306" i="35" s="1"/>
  <c r="E307" i="35" a="1"/>
  <c r="E307" i="35" s="1"/>
  <c r="E308" i="35" a="1"/>
  <c r="E308" i="35" s="1"/>
  <c r="E309" i="35" a="1"/>
  <c r="E309" i="35" s="1"/>
  <c r="E310" i="35" a="1"/>
  <c r="E310" i="35" s="1"/>
  <c r="E311" i="35" a="1"/>
  <c r="E311" i="35" s="1"/>
  <c r="E312" i="35" a="1"/>
  <c r="E312" i="35" s="1"/>
  <c r="E313" i="35" a="1"/>
  <c r="E313" i="35" s="1"/>
  <c r="E314" i="35" a="1"/>
  <c r="E314" i="35" s="1"/>
  <c r="E315" i="35" a="1"/>
  <c r="E315" i="35" s="1"/>
  <c r="E316" i="35" a="1"/>
  <c r="E316" i="35" s="1"/>
  <c r="E317" i="35" a="1"/>
  <c r="E317" i="35" s="1"/>
  <c r="E318" i="35" a="1"/>
  <c r="E318" i="35" s="1"/>
  <c r="E319" i="35" a="1"/>
  <c r="E319" i="35" s="1"/>
  <c r="E320" i="35" a="1"/>
  <c r="E320" i="35" s="1"/>
  <c r="E321" i="35" a="1"/>
  <c r="E321" i="35" s="1"/>
  <c r="E322" i="35" a="1"/>
  <c r="E322" i="35" s="1"/>
  <c r="E323" i="35" a="1"/>
  <c r="E323" i="35" s="1"/>
  <c r="E324" i="35" a="1"/>
  <c r="E324" i="35" s="1"/>
  <c r="E325" i="35" a="1"/>
  <c r="E325" i="35" s="1"/>
  <c r="E326" i="35" a="1"/>
  <c r="E326" i="35" s="1"/>
  <c r="E327" i="35" a="1"/>
  <c r="E327" i="35" s="1"/>
  <c r="E328" i="35" a="1"/>
  <c r="E328" i="35" s="1"/>
  <c r="E329" i="35" a="1"/>
  <c r="E329" i="35" s="1"/>
  <c r="E330" i="35" a="1"/>
  <c r="E330" i="35" s="1"/>
  <c r="E331" i="35" a="1"/>
  <c r="E331" i="35" s="1"/>
  <c r="E332" i="35" a="1"/>
  <c r="E332" i="35" s="1"/>
  <c r="E333" i="35" a="1"/>
  <c r="E333" i="35" s="1"/>
  <c r="E334" i="35" a="1"/>
  <c r="E334" i="35" s="1"/>
  <c r="E335" i="35" a="1"/>
  <c r="E335" i="35" s="1"/>
  <c r="E336" i="35" a="1"/>
  <c r="E336" i="35" s="1"/>
  <c r="E337" i="35" a="1"/>
  <c r="E337" i="35" s="1"/>
  <c r="E338" i="35" a="1"/>
  <c r="E338" i="35" s="1"/>
  <c r="E339" i="35" a="1"/>
  <c r="E339" i="35" s="1"/>
  <c r="E340" i="35" a="1"/>
  <c r="E340" i="35" s="1"/>
  <c r="E341" i="35" a="1"/>
  <c r="E341" i="35" s="1"/>
  <c r="E342" i="35" a="1"/>
  <c r="E342" i="35" s="1"/>
  <c r="E343" i="35" a="1"/>
  <c r="E343" i="35" s="1"/>
  <c r="E344" i="35" a="1"/>
  <c r="E344" i="35" s="1"/>
  <c r="E345" i="35" a="1"/>
  <c r="E345" i="35" s="1"/>
  <c r="E346" i="35" a="1"/>
  <c r="E346" i="35" s="1"/>
  <c r="E347" i="35" a="1"/>
  <c r="E347" i="35" s="1"/>
  <c r="E348" i="35" a="1"/>
  <c r="E348" i="35" s="1"/>
  <c r="E349" i="35" a="1"/>
  <c r="E349" i="35" s="1"/>
  <c r="E350" i="35" a="1"/>
  <c r="E350" i="35" s="1"/>
  <c r="E351" i="35" a="1"/>
  <c r="E351" i="35" s="1"/>
  <c r="E352" i="35" a="1"/>
  <c r="E352" i="35" s="1"/>
  <c r="E353" i="35" a="1"/>
  <c r="E353" i="35" s="1"/>
  <c r="E354" i="35" a="1"/>
  <c r="E354" i="35" s="1"/>
  <c r="E355" i="35" a="1"/>
  <c r="E355" i="35" s="1"/>
  <c r="E356" i="35" a="1"/>
  <c r="E356" i="35" s="1"/>
  <c r="E357" i="35" a="1"/>
  <c r="E357" i="35" s="1"/>
  <c r="E358" i="35" a="1"/>
  <c r="E358" i="35" s="1"/>
  <c r="E359" i="35" a="1"/>
  <c r="E359" i="35" s="1"/>
  <c r="E360" i="35" a="1"/>
  <c r="E360" i="35" s="1"/>
  <c r="E361" i="35" a="1"/>
  <c r="E361" i="35" s="1"/>
  <c r="E362" i="35" a="1"/>
  <c r="E362" i="35" s="1"/>
  <c r="E363" i="35" a="1"/>
  <c r="E363" i="35" s="1"/>
  <c r="E364" i="35" a="1"/>
  <c r="E364" i="35" s="1"/>
  <c r="E365" i="35" a="1"/>
  <c r="E365" i="35" s="1"/>
  <c r="E366" i="35" a="1"/>
  <c r="E366" i="35" s="1"/>
  <c r="E367" i="35" a="1"/>
  <c r="E367" i="35" s="1"/>
  <c r="E368" i="35" a="1"/>
  <c r="E368" i="35" s="1"/>
  <c r="E369" i="35" a="1"/>
  <c r="E369" i="35" s="1"/>
  <c r="E370" i="35" a="1"/>
  <c r="E370" i="35" s="1"/>
  <c r="E371" i="35" a="1"/>
  <c r="E371" i="35" s="1"/>
  <c r="E372" i="35" a="1"/>
  <c r="E372" i="35" s="1"/>
  <c r="E373" i="35" a="1"/>
  <c r="E373" i="35" s="1"/>
  <c r="E374" i="35" a="1"/>
  <c r="E374" i="35" s="1"/>
  <c r="E375" i="35" a="1"/>
  <c r="E375" i="35" s="1"/>
  <c r="E376" i="35" a="1"/>
  <c r="E376" i="35" s="1"/>
  <c r="E377" i="35" a="1"/>
  <c r="E377" i="35" s="1"/>
  <c r="E378" i="35" a="1"/>
  <c r="E378" i="35" s="1"/>
  <c r="E379" i="35" a="1"/>
  <c r="E379" i="35" s="1"/>
  <c r="E380" i="35" a="1"/>
  <c r="E380" i="35" s="1"/>
  <c r="E381" i="35" a="1"/>
  <c r="E381" i="35" s="1"/>
  <c r="E382" i="35" a="1"/>
  <c r="E382" i="35" s="1"/>
  <c r="E383" i="35" a="1"/>
  <c r="E383" i="35" s="1"/>
  <c r="E384" i="35" a="1"/>
  <c r="E384" i="35" s="1"/>
  <c r="E385" i="35" a="1"/>
  <c r="E385" i="35" s="1"/>
  <c r="E386" i="35" a="1"/>
  <c r="E386" i="35" s="1"/>
  <c r="E387" i="35" a="1"/>
  <c r="E387" i="35" s="1"/>
  <c r="E388" i="35" a="1"/>
  <c r="E388" i="35" s="1"/>
  <c r="E389" i="35" a="1"/>
  <c r="E389" i="35" s="1"/>
  <c r="E390" i="35" a="1"/>
  <c r="E390" i="35" s="1"/>
  <c r="E391" i="35" a="1"/>
  <c r="E391" i="35" s="1"/>
  <c r="E392" i="35" a="1"/>
  <c r="E392" i="35" s="1"/>
  <c r="E393" i="35" a="1"/>
  <c r="E393" i="35" s="1"/>
  <c r="E394" i="35" a="1"/>
  <c r="E394" i="35" s="1"/>
  <c r="E395" i="35" a="1"/>
  <c r="E395" i="35" s="1"/>
  <c r="E396" i="35" a="1"/>
  <c r="E396" i="35" s="1"/>
  <c r="E397" i="35" a="1"/>
  <c r="E397" i="35" s="1"/>
  <c r="E398" i="35" a="1"/>
  <c r="E398" i="35" s="1"/>
  <c r="E399" i="35" a="1"/>
  <c r="E399" i="35" s="1"/>
  <c r="E400" i="35" a="1"/>
  <c r="E400" i="35" s="1"/>
  <c r="E401" i="35" a="1"/>
  <c r="E401" i="35" s="1"/>
  <c r="E402" i="35" a="1"/>
  <c r="E402" i="35" s="1"/>
  <c r="E403" i="35" a="1"/>
  <c r="E403" i="35" s="1"/>
  <c r="E404" i="35" a="1"/>
  <c r="E404" i="35" s="1"/>
  <c r="E405" i="35" a="1"/>
  <c r="E405" i="35" s="1"/>
  <c r="E406" i="35" a="1"/>
  <c r="E406" i="35" s="1"/>
  <c r="E407" i="35" a="1"/>
  <c r="E407" i="35" s="1"/>
  <c r="E408" i="35" a="1"/>
  <c r="E408" i="35" s="1"/>
  <c r="E409" i="35" a="1"/>
  <c r="E409" i="35" s="1"/>
  <c r="E410" i="35" a="1"/>
  <c r="E410" i="35" s="1"/>
  <c r="E411" i="35" a="1"/>
  <c r="E411" i="35" s="1"/>
  <c r="E412" i="35" a="1"/>
  <c r="E412" i="35" s="1"/>
  <c r="E413" i="35" a="1"/>
  <c r="E413" i="35" s="1"/>
  <c r="E414" i="35" a="1"/>
  <c r="E414" i="35" s="1"/>
  <c r="E415" i="35" a="1"/>
  <c r="E415" i="35" s="1"/>
  <c r="E416" i="35" a="1"/>
  <c r="E416" i="35" s="1"/>
  <c r="E417" i="35" a="1"/>
  <c r="E417" i="35" s="1"/>
  <c r="E418" i="35" a="1"/>
  <c r="E418" i="35" s="1"/>
  <c r="E419" i="35" a="1"/>
  <c r="E419" i="35" s="1"/>
  <c r="E420" i="35" a="1"/>
  <c r="E420" i="35" s="1"/>
  <c r="E421" i="35" a="1"/>
  <c r="E421" i="35" s="1"/>
  <c r="E422" i="35" a="1"/>
  <c r="E422" i="35" s="1"/>
  <c r="E423" i="35" a="1"/>
  <c r="E423" i="35" s="1"/>
  <c r="E424" i="35" a="1"/>
  <c r="E424" i="35" s="1"/>
  <c r="E425" i="35" a="1"/>
  <c r="E425" i="35" s="1"/>
  <c r="E426" i="35" a="1"/>
  <c r="E426" i="35" s="1"/>
  <c r="E427" i="35" a="1"/>
  <c r="E427" i="35" s="1"/>
  <c r="E428" i="35" a="1"/>
  <c r="E428" i="35" s="1"/>
  <c r="E429" i="35" a="1"/>
  <c r="E429" i="35" s="1"/>
  <c r="E430" i="35" a="1"/>
  <c r="E430" i="35" s="1"/>
  <c r="E431" i="35" a="1"/>
  <c r="E431" i="35" s="1"/>
  <c r="E432" i="35" a="1"/>
  <c r="E432" i="35" s="1"/>
  <c r="E433" i="35" a="1"/>
  <c r="E433" i="35" s="1"/>
  <c r="E434" i="35" a="1"/>
  <c r="E434" i="35" s="1"/>
  <c r="E435" i="35" a="1"/>
  <c r="E435" i="35" s="1"/>
  <c r="E436" i="35" a="1"/>
  <c r="E436" i="35" s="1"/>
  <c r="E437" i="35" a="1"/>
  <c r="E437" i="35" s="1"/>
  <c r="E438" i="35" a="1"/>
  <c r="E438" i="35" s="1"/>
  <c r="E439" i="35" a="1"/>
  <c r="E439" i="35" s="1"/>
  <c r="E440" i="35" a="1"/>
  <c r="E440" i="35" s="1"/>
  <c r="E441" i="35" a="1"/>
  <c r="E441" i="35" s="1"/>
  <c r="E442" i="35" a="1"/>
  <c r="E442" i="35" s="1"/>
  <c r="E443" i="35" a="1"/>
  <c r="E443" i="35" s="1"/>
  <c r="E444" i="35" a="1"/>
  <c r="E444" i="35" s="1"/>
  <c r="E445" i="35" a="1"/>
  <c r="E445" i="35" s="1"/>
  <c r="E446" i="35" a="1"/>
  <c r="E446" i="35" s="1"/>
  <c r="E447" i="35" a="1"/>
  <c r="E447" i="35" s="1"/>
  <c r="E448" i="35" a="1"/>
  <c r="E448" i="35" s="1"/>
  <c r="E449" i="35" a="1"/>
  <c r="E449" i="35" s="1"/>
  <c r="E450" i="35" a="1"/>
  <c r="E450" i="35" s="1"/>
  <c r="E451" i="35" a="1"/>
  <c r="E451" i="35" s="1"/>
  <c r="E452" i="35" a="1"/>
  <c r="E452" i="35" s="1"/>
  <c r="E453" i="35" a="1"/>
  <c r="E453" i="35" s="1"/>
  <c r="E454" i="35" a="1"/>
  <c r="E454" i="35" s="1"/>
  <c r="E455" i="35" a="1"/>
  <c r="E455" i="35" s="1"/>
  <c r="E456" i="35" a="1"/>
  <c r="E456" i="35" s="1"/>
  <c r="E457" i="35" a="1"/>
  <c r="E457" i="35" s="1"/>
  <c r="E458" i="35" a="1"/>
  <c r="E458" i="35" s="1"/>
  <c r="E459" i="35" a="1"/>
  <c r="E459" i="35" s="1"/>
  <c r="E460" i="35" a="1"/>
  <c r="E460" i="35" s="1"/>
  <c r="E461" i="35" a="1"/>
  <c r="E461" i="35" s="1"/>
  <c r="E462" i="35" a="1"/>
  <c r="E462" i="35" s="1"/>
  <c r="E463" i="35" a="1"/>
  <c r="E463" i="35" s="1"/>
  <c r="E464" i="35" a="1"/>
  <c r="E464" i="35" s="1"/>
  <c r="E465" i="35" a="1"/>
  <c r="E465" i="35" s="1"/>
  <c r="E466" i="35" a="1"/>
  <c r="E466" i="35" s="1"/>
  <c r="E467" i="35" a="1"/>
  <c r="E467" i="35" s="1"/>
  <c r="E468" i="35" a="1"/>
  <c r="E468" i="35" s="1"/>
  <c r="E469" i="35" a="1"/>
  <c r="E469" i="35" s="1"/>
  <c r="E470" i="35" a="1"/>
  <c r="E470" i="35" s="1"/>
  <c r="E471" i="35" a="1"/>
  <c r="E471" i="35" s="1"/>
  <c r="E472" i="35" a="1"/>
  <c r="E472" i="35" s="1"/>
  <c r="E473" i="35" a="1"/>
  <c r="E473" i="35" s="1"/>
  <c r="E474" i="35" a="1"/>
  <c r="E474" i="35" s="1"/>
  <c r="E475" i="35" a="1"/>
  <c r="E475" i="35" s="1"/>
  <c r="E476" i="35" a="1"/>
  <c r="E476" i="35" s="1"/>
  <c r="E477" i="35" a="1"/>
  <c r="E477" i="35" s="1"/>
  <c r="E478" i="35" a="1"/>
  <c r="E478" i="35" s="1"/>
  <c r="E479" i="35" a="1"/>
  <c r="E479" i="35" s="1"/>
  <c r="E480" i="35" a="1"/>
  <c r="E480" i="35" s="1"/>
  <c r="E481" i="35" a="1"/>
  <c r="E481" i="35" s="1"/>
  <c r="E482" i="35" a="1"/>
  <c r="E482" i="35" s="1"/>
  <c r="E483" i="35" a="1"/>
  <c r="E483" i="35" s="1"/>
  <c r="E484" i="35" a="1"/>
  <c r="E484" i="35" s="1"/>
  <c r="E485" i="35" a="1"/>
  <c r="E485" i="35" s="1"/>
  <c r="E486" i="35" a="1"/>
  <c r="E486" i="35" s="1"/>
  <c r="E487" i="35" a="1"/>
  <c r="E487" i="35" s="1"/>
  <c r="E488" i="35" a="1"/>
  <c r="E488" i="35" s="1"/>
  <c r="E489" i="35" a="1"/>
  <c r="E489" i="35" s="1"/>
  <c r="E490" i="35" a="1"/>
  <c r="E490" i="35" s="1"/>
  <c r="E491" i="35" a="1"/>
  <c r="E491" i="35" s="1"/>
  <c r="E492" i="35" a="1"/>
  <c r="E492" i="35" s="1"/>
  <c r="E493" i="35" a="1"/>
  <c r="E493" i="35" s="1"/>
  <c r="E494" i="35" a="1"/>
  <c r="E494" i="35" s="1"/>
  <c r="E495" i="35" a="1"/>
  <c r="E495" i="35" s="1"/>
  <c r="E496" i="35" a="1"/>
  <c r="E496" i="35" s="1"/>
  <c r="E497" i="35" a="1"/>
  <c r="E497" i="35" s="1"/>
  <c r="E498" i="35" a="1"/>
  <c r="E498" i="35" s="1"/>
  <c r="E499" i="35" a="1"/>
  <c r="E499" i="35" s="1"/>
  <c r="E500" i="35" a="1"/>
  <c r="E500" i="35" s="1"/>
  <c r="E501" i="35" a="1"/>
  <c r="E501" i="35" s="1"/>
  <c r="E502" i="35" a="1"/>
  <c r="E502" i="35" s="1"/>
  <c r="E503" i="35" a="1"/>
  <c r="E503" i="35" s="1"/>
  <c r="E504" i="35" a="1"/>
  <c r="E504" i="35" s="1"/>
  <c r="E505" i="35" a="1"/>
  <c r="E505" i="35" s="1"/>
  <c r="E506" i="35" a="1"/>
  <c r="E506" i="35" s="1"/>
  <c r="E507" i="35" a="1"/>
  <c r="E507" i="35" s="1"/>
  <c r="E508" i="35" a="1"/>
  <c r="E508" i="35" s="1"/>
  <c r="E509" i="35" a="1"/>
  <c r="E509" i="35" s="1"/>
  <c r="E510" i="35" a="1"/>
  <c r="E510" i="35" s="1"/>
  <c r="E511" i="35" a="1"/>
  <c r="E511" i="35" s="1"/>
  <c r="E512" i="35" a="1"/>
  <c r="E512" i="35" s="1"/>
  <c r="E513" i="35" a="1"/>
  <c r="E513" i="35" s="1"/>
  <c r="E514" i="35" a="1"/>
  <c r="E514" i="35" s="1"/>
  <c r="E515" i="35" a="1"/>
  <c r="E515" i="35" s="1"/>
  <c r="E516" i="35" a="1"/>
  <c r="E516" i="35" s="1"/>
  <c r="E517" i="35" a="1"/>
  <c r="E517" i="35" s="1"/>
  <c r="E518" i="35" a="1"/>
  <c r="E518" i="35" s="1"/>
  <c r="E519" i="35" a="1"/>
  <c r="E519" i="35" s="1"/>
  <c r="E520" i="35" a="1"/>
  <c r="E520" i="35" s="1"/>
  <c r="E521" i="35" a="1"/>
  <c r="E521" i="35" s="1"/>
  <c r="E522" i="35" a="1"/>
  <c r="E522" i="35" s="1"/>
  <c r="E523" i="35" a="1"/>
  <c r="E523" i="35" s="1"/>
  <c r="E524" i="35" a="1"/>
  <c r="E524" i="35" s="1"/>
  <c r="E525" i="35" a="1"/>
  <c r="E525" i="35" s="1"/>
  <c r="E526" i="35" a="1"/>
  <c r="E526" i="35" s="1"/>
  <c r="E527" i="35" a="1"/>
  <c r="E527" i="35" s="1"/>
  <c r="E528" i="35" a="1"/>
  <c r="E528" i="35" s="1"/>
  <c r="E529" i="35" a="1"/>
  <c r="E529" i="35" s="1"/>
  <c r="E530" i="35" a="1"/>
  <c r="E530" i="35" s="1"/>
  <c r="E531" i="35" a="1"/>
  <c r="E531" i="35" s="1"/>
  <c r="E532" i="35" a="1"/>
  <c r="E532" i="35" s="1"/>
  <c r="E533" i="35" a="1"/>
  <c r="E533" i="35" s="1"/>
  <c r="E534" i="35" a="1"/>
  <c r="E534" i="35" s="1"/>
  <c r="E535" i="35" a="1"/>
  <c r="E535" i="35" s="1"/>
  <c r="E536" i="35" a="1"/>
  <c r="E536" i="35" s="1"/>
  <c r="E537" i="35" a="1"/>
  <c r="E537" i="35" s="1"/>
  <c r="E538" i="35" a="1"/>
  <c r="E538" i="35" s="1"/>
  <c r="E539" i="35" a="1"/>
  <c r="E539" i="35" s="1"/>
  <c r="E540" i="35" a="1"/>
  <c r="E540" i="35" s="1"/>
  <c r="E541" i="35" a="1"/>
  <c r="E541" i="35" s="1"/>
  <c r="E542" i="35" a="1"/>
  <c r="E542" i="35" s="1"/>
  <c r="E543" i="35" a="1"/>
  <c r="E543" i="35" s="1"/>
  <c r="E544" i="35" a="1"/>
  <c r="E544" i="35" s="1"/>
  <c r="E545" i="35" a="1"/>
  <c r="E545" i="35" s="1"/>
  <c r="E546" i="35" a="1"/>
  <c r="E546" i="35" s="1"/>
  <c r="E547" i="35" a="1"/>
  <c r="E547" i="35" s="1"/>
  <c r="E548" i="35" a="1"/>
  <c r="E548" i="35" s="1"/>
  <c r="E549" i="35" a="1"/>
  <c r="E549" i="35" s="1"/>
  <c r="E550" i="35" a="1"/>
  <c r="E550" i="35" s="1"/>
  <c r="E551" i="35" a="1"/>
  <c r="E551" i="35" s="1"/>
  <c r="E552" i="35" a="1"/>
  <c r="E552" i="35" s="1"/>
  <c r="E553" i="35" a="1"/>
  <c r="E553" i="35" s="1"/>
  <c r="E554" i="35" a="1"/>
  <c r="E554" i="35" s="1"/>
  <c r="E555" i="35" a="1"/>
  <c r="E555" i="35" s="1"/>
  <c r="E556" i="35" a="1"/>
  <c r="E556" i="35" s="1"/>
  <c r="E557" i="35" a="1"/>
  <c r="E557" i="35" s="1"/>
  <c r="E558" i="35" a="1"/>
  <c r="E558" i="35" s="1"/>
  <c r="E559" i="35" a="1"/>
  <c r="E559" i="35" s="1"/>
  <c r="E560" i="35" a="1"/>
  <c r="E560" i="35" s="1"/>
  <c r="E561" i="35" a="1"/>
  <c r="E561" i="35" s="1"/>
  <c r="E562" i="35" a="1"/>
  <c r="E562" i="35" s="1"/>
  <c r="E563" i="35" a="1"/>
  <c r="E563" i="35" s="1"/>
  <c r="E564" i="35" a="1"/>
  <c r="E564" i="35" s="1"/>
  <c r="E565" i="35" a="1"/>
  <c r="E565" i="35" s="1"/>
  <c r="E566" i="35" a="1"/>
  <c r="E566" i="35" s="1"/>
  <c r="E567" i="35" a="1"/>
  <c r="E567" i="35" s="1"/>
  <c r="E568" i="35" a="1"/>
  <c r="E568" i="35" s="1"/>
  <c r="E569" i="35" a="1"/>
  <c r="E569" i="35" s="1"/>
  <c r="E570" i="35" a="1"/>
  <c r="E570" i="35" s="1"/>
  <c r="E571" i="35" a="1"/>
  <c r="E571" i="35" s="1"/>
  <c r="E572" i="35" a="1"/>
  <c r="E572" i="35" s="1"/>
  <c r="E573" i="35" a="1"/>
  <c r="E573" i="35" s="1"/>
  <c r="E574" i="35" a="1"/>
  <c r="E574" i="35" s="1"/>
  <c r="E575" i="35" a="1"/>
  <c r="E575" i="35" s="1"/>
  <c r="E576" i="35" a="1"/>
  <c r="E576" i="35" s="1"/>
  <c r="E577" i="35" a="1"/>
  <c r="E577" i="35" s="1"/>
  <c r="E578" i="35" a="1"/>
  <c r="E578" i="35" s="1"/>
  <c r="E579" i="35" a="1"/>
  <c r="E579" i="35" s="1"/>
  <c r="E580" i="35" a="1"/>
  <c r="E580" i="35" s="1"/>
  <c r="E581" i="35" a="1"/>
  <c r="E581" i="35" s="1"/>
  <c r="E582" i="35" a="1"/>
  <c r="E582" i="35" s="1"/>
  <c r="E583" i="35" a="1"/>
  <c r="E583" i="35" s="1"/>
  <c r="E584" i="35" a="1"/>
  <c r="E584" i="35" s="1"/>
  <c r="E585" i="35" a="1"/>
  <c r="E585" i="35" s="1"/>
  <c r="E586" i="35" a="1"/>
  <c r="E586" i="35" s="1"/>
  <c r="E587" i="35" a="1"/>
  <c r="E587" i="35" s="1"/>
  <c r="E588" i="35" a="1"/>
  <c r="E588" i="35" s="1"/>
  <c r="E589" i="35" a="1"/>
  <c r="E589" i="35" s="1"/>
  <c r="E590" i="35" a="1"/>
  <c r="E590" i="35" s="1"/>
  <c r="E591" i="35" a="1"/>
  <c r="E591" i="35" s="1"/>
  <c r="E592" i="35" a="1"/>
  <c r="E592" i="35" s="1"/>
  <c r="E593" i="35" a="1"/>
  <c r="E593" i="35" s="1"/>
  <c r="E594" i="35" a="1"/>
  <c r="E594" i="35" s="1"/>
  <c r="E595" i="35" a="1"/>
  <c r="E595" i="35" s="1"/>
  <c r="E596" i="35" a="1"/>
  <c r="E596" i="35" s="1"/>
  <c r="E597" i="35" a="1"/>
  <c r="E597" i="35" s="1"/>
  <c r="E598" i="35" a="1"/>
  <c r="E598" i="35" s="1"/>
  <c r="E599" i="35" a="1"/>
  <c r="E599" i="35" s="1"/>
  <c r="E600" i="35" a="1"/>
  <c r="E600" i="35" s="1"/>
  <c r="E601" i="35" a="1"/>
  <c r="E601" i="35" s="1"/>
  <c r="E602" i="35" a="1"/>
  <c r="E602" i="35" s="1"/>
  <c r="E603" i="35" a="1"/>
  <c r="E603" i="35" s="1"/>
  <c r="E604" i="35" a="1"/>
  <c r="E604" i="35" s="1"/>
  <c r="E605" i="35" a="1"/>
  <c r="E605" i="35" s="1"/>
  <c r="E606" i="35" a="1"/>
  <c r="E606" i="35" s="1"/>
  <c r="E607" i="35" a="1"/>
  <c r="E607" i="35" s="1"/>
  <c r="E608" i="35" a="1"/>
  <c r="E608" i="35" s="1"/>
  <c r="E609" i="35" a="1"/>
  <c r="E609" i="35" s="1"/>
  <c r="E610" i="35" a="1"/>
  <c r="E610" i="35" s="1"/>
  <c r="E611" i="35" a="1"/>
  <c r="E611" i="35" s="1"/>
  <c r="E612" i="35" a="1"/>
  <c r="E612" i="35" s="1"/>
  <c r="E613" i="35" a="1"/>
  <c r="E613" i="35" s="1"/>
  <c r="E614" i="35" a="1"/>
  <c r="E614" i="35" s="1"/>
  <c r="E615" i="35" a="1"/>
  <c r="E615" i="35" s="1"/>
  <c r="E616" i="35" a="1"/>
  <c r="E616" i="35" s="1"/>
  <c r="E617" i="35" a="1"/>
  <c r="E617" i="35" s="1"/>
  <c r="E618" i="35" a="1"/>
  <c r="E618" i="35" s="1"/>
  <c r="E619" i="35" a="1"/>
  <c r="E619" i="35" s="1"/>
  <c r="E620" i="35" a="1"/>
  <c r="E620" i="35" s="1"/>
  <c r="E621" i="35" a="1"/>
  <c r="E621" i="35" s="1"/>
  <c r="E622" i="35" a="1"/>
  <c r="E622" i="35" s="1"/>
  <c r="E623" i="35" a="1"/>
  <c r="E623" i="35" s="1"/>
  <c r="E624" i="35" a="1"/>
  <c r="E624" i="35" s="1"/>
  <c r="E625" i="35" a="1"/>
  <c r="E625" i="35" s="1"/>
  <c r="E626" i="35" a="1"/>
  <c r="E626" i="35" s="1"/>
  <c r="E627" i="35" a="1"/>
  <c r="E627" i="35" s="1"/>
  <c r="E628" i="35" a="1"/>
  <c r="E628" i="35" s="1"/>
  <c r="E629" i="35" a="1"/>
  <c r="E629" i="35" s="1"/>
  <c r="E630" i="35" a="1"/>
  <c r="E630" i="35" s="1"/>
  <c r="E631" i="35" a="1"/>
  <c r="E631" i="35" s="1"/>
  <c r="E632" i="35" a="1"/>
  <c r="E632" i="35" s="1"/>
  <c r="E633" i="35" a="1"/>
  <c r="E633" i="35" s="1"/>
  <c r="E634" i="35" a="1"/>
  <c r="E634" i="35" s="1"/>
  <c r="E635" i="35" a="1"/>
  <c r="E635" i="35" s="1"/>
  <c r="E636" i="35" a="1"/>
  <c r="E636" i="35" s="1"/>
  <c r="E637" i="35" a="1"/>
  <c r="E637" i="35" s="1"/>
  <c r="E638" i="35" a="1"/>
  <c r="E638" i="35" s="1"/>
  <c r="E639" i="35" a="1"/>
  <c r="E639" i="35" s="1"/>
  <c r="E640" i="35" a="1"/>
  <c r="E640" i="35" s="1"/>
  <c r="E641" i="35" a="1"/>
  <c r="E641" i="35" s="1"/>
  <c r="E642" i="35" a="1"/>
  <c r="E642" i="35" s="1"/>
  <c r="E643" i="35" a="1"/>
  <c r="E643" i="35" s="1"/>
  <c r="E644" i="35" a="1"/>
  <c r="E644" i="35" s="1"/>
  <c r="E645" i="35" a="1"/>
  <c r="E645" i="35" s="1"/>
  <c r="E646" i="35" a="1"/>
  <c r="E646" i="35" s="1"/>
  <c r="E647" i="35" a="1"/>
  <c r="E647" i="35" s="1"/>
  <c r="E648" i="35" a="1"/>
  <c r="E648" i="35" s="1"/>
  <c r="E649" i="35" a="1"/>
  <c r="E649" i="35" s="1"/>
  <c r="E650" i="35" a="1"/>
  <c r="E650" i="35" s="1"/>
  <c r="E651" i="35" a="1"/>
  <c r="E651" i="35" s="1"/>
  <c r="E652" i="35" a="1"/>
  <c r="E652" i="35" s="1"/>
  <c r="E653" i="35" a="1"/>
  <c r="E653" i="35" s="1"/>
  <c r="E654" i="35" a="1"/>
  <c r="E654" i="35" s="1"/>
  <c r="E655" i="35" a="1"/>
  <c r="E655" i="35" s="1"/>
  <c r="E656" i="35" a="1"/>
  <c r="E656" i="35" s="1"/>
  <c r="E657" i="35" a="1"/>
  <c r="E657" i="35" s="1"/>
  <c r="E658" i="35" a="1"/>
  <c r="E658" i="35" s="1"/>
  <c r="E659" i="35" a="1"/>
  <c r="E659" i="35" s="1"/>
  <c r="E660" i="35" a="1"/>
  <c r="E660" i="35" s="1"/>
  <c r="E661" i="35" a="1"/>
  <c r="E661" i="35" s="1"/>
  <c r="E662" i="35" a="1"/>
  <c r="E662" i="35" s="1"/>
  <c r="E663" i="35" a="1"/>
  <c r="E663" i="35" s="1"/>
  <c r="E664" i="35" a="1"/>
  <c r="E664" i="35" s="1"/>
  <c r="E665" i="35" a="1"/>
  <c r="E665" i="35" s="1"/>
  <c r="E666" i="35" a="1"/>
  <c r="E666" i="35" s="1"/>
  <c r="E667" i="35" a="1"/>
  <c r="E667" i="35" s="1"/>
  <c r="E668" i="35" a="1"/>
  <c r="E668" i="35" s="1"/>
  <c r="E669" i="35" a="1"/>
  <c r="E669" i="35" s="1"/>
  <c r="E670" i="35" a="1"/>
  <c r="E670" i="35" s="1"/>
  <c r="E671" i="35" a="1"/>
  <c r="E671" i="35" s="1"/>
  <c r="E672" i="35" a="1"/>
  <c r="E672" i="35" s="1"/>
  <c r="E673" i="35" a="1"/>
  <c r="E673" i="35" s="1"/>
  <c r="E674" i="35" a="1"/>
  <c r="E674" i="35" s="1"/>
  <c r="E675" i="35" a="1"/>
  <c r="E675" i="35" s="1"/>
  <c r="E676" i="35" a="1"/>
  <c r="E676" i="35" s="1"/>
  <c r="E677" i="35" a="1"/>
  <c r="E677" i="35" s="1"/>
  <c r="E678" i="35" a="1"/>
  <c r="E678" i="35" s="1"/>
  <c r="E679" i="35" a="1"/>
  <c r="E679" i="35" s="1"/>
  <c r="E680" i="35" a="1"/>
  <c r="E680" i="35" s="1"/>
  <c r="E681" i="35" a="1"/>
  <c r="E681" i="35" s="1"/>
  <c r="E682" i="35" a="1"/>
  <c r="E682" i="35" s="1"/>
  <c r="E683" i="35" a="1"/>
  <c r="E683" i="35" s="1"/>
  <c r="E684" i="35" a="1"/>
  <c r="E684" i="35" s="1"/>
  <c r="E685" i="35" a="1"/>
  <c r="E685" i="35" s="1"/>
  <c r="E686" i="35" a="1"/>
  <c r="E686" i="35" s="1"/>
  <c r="E687" i="35" a="1"/>
  <c r="E687" i="35" s="1"/>
  <c r="E688" i="35" a="1"/>
  <c r="E688" i="35" s="1"/>
  <c r="E689" i="35" a="1"/>
  <c r="E689" i="35" s="1"/>
  <c r="E690" i="35" a="1"/>
  <c r="E690" i="35" s="1"/>
  <c r="E691" i="35" a="1"/>
  <c r="E691" i="35" s="1"/>
  <c r="E692" i="35" a="1"/>
  <c r="E692" i="35" s="1"/>
  <c r="E693" i="35" a="1"/>
  <c r="E693" i="35" s="1"/>
  <c r="E694" i="35" a="1"/>
  <c r="E694" i="35" s="1"/>
  <c r="E695" i="35" a="1"/>
  <c r="E695" i="35" s="1"/>
  <c r="E696" i="35" a="1"/>
  <c r="E696" i="35" s="1"/>
  <c r="E697" i="35" a="1"/>
  <c r="E697" i="35" s="1"/>
  <c r="E698" i="35" a="1"/>
  <c r="E698" i="35" s="1"/>
  <c r="E699" i="35" a="1"/>
  <c r="E699" i="35" s="1"/>
  <c r="E700" i="35" a="1"/>
  <c r="E700" i="35" s="1"/>
  <c r="E701" i="35" a="1"/>
  <c r="E701" i="35" s="1"/>
  <c r="E702" i="35" a="1"/>
  <c r="E702" i="35" s="1"/>
  <c r="E703" i="35" a="1"/>
  <c r="E703" i="35" s="1"/>
  <c r="E704" i="35" a="1"/>
  <c r="E704" i="35" s="1"/>
  <c r="E705" i="35" a="1"/>
  <c r="E705" i="35" s="1"/>
  <c r="E706" i="35" a="1"/>
  <c r="E706" i="35" s="1"/>
  <c r="E707" i="35" a="1"/>
  <c r="E707" i="35" s="1"/>
  <c r="E708" i="35" a="1"/>
  <c r="E708" i="35" s="1"/>
  <c r="E709" i="35" a="1"/>
  <c r="E709" i="35" s="1"/>
  <c r="E710" i="35" a="1"/>
  <c r="E710" i="35" s="1"/>
  <c r="E711" i="35" a="1"/>
  <c r="E711" i="35" s="1"/>
  <c r="E712" i="35" a="1"/>
  <c r="E712" i="35" s="1"/>
  <c r="E713" i="35" a="1"/>
  <c r="E713" i="35" s="1"/>
  <c r="E714" i="35" a="1"/>
  <c r="E714" i="35" s="1"/>
  <c r="E715" i="35" a="1"/>
  <c r="E715" i="35" s="1"/>
  <c r="E716" i="35" a="1"/>
  <c r="E716" i="35" s="1"/>
  <c r="E717" i="35" a="1"/>
  <c r="E717" i="35" s="1"/>
  <c r="E718" i="35" a="1"/>
  <c r="E718" i="35" s="1"/>
  <c r="E719" i="35" a="1"/>
  <c r="E719" i="35" s="1"/>
  <c r="E720" i="35" a="1"/>
  <c r="E720" i="35" s="1"/>
  <c r="E721" i="35" a="1"/>
  <c r="E721" i="35" s="1"/>
  <c r="E722" i="35" a="1"/>
  <c r="E722" i="35" s="1"/>
  <c r="E723" i="35" a="1"/>
  <c r="E723" i="35" s="1"/>
  <c r="E724" i="35" a="1"/>
  <c r="E724" i="35" s="1"/>
  <c r="E725" i="35" a="1"/>
  <c r="E725" i="35" s="1"/>
  <c r="E726" i="35" a="1"/>
  <c r="E726" i="35" s="1"/>
  <c r="E727" i="35" a="1"/>
  <c r="E727" i="35" s="1"/>
  <c r="E728" i="35" a="1"/>
  <c r="E728" i="35" s="1"/>
  <c r="E729" i="35" a="1"/>
  <c r="E729" i="35" s="1"/>
  <c r="E730" i="35" a="1"/>
  <c r="E730" i="35" s="1"/>
  <c r="E731" i="35" a="1"/>
  <c r="E731" i="35" s="1"/>
  <c r="E732" i="35" a="1"/>
  <c r="E732" i="35" s="1"/>
  <c r="E733" i="35" a="1"/>
  <c r="E733" i="35" s="1"/>
  <c r="E734" i="35" a="1"/>
  <c r="E734" i="35" s="1"/>
  <c r="E735" i="35" a="1"/>
  <c r="E735" i="35" s="1"/>
  <c r="E736" i="35" a="1"/>
  <c r="E736" i="35" s="1"/>
  <c r="E737" i="35" a="1"/>
  <c r="E737" i="35" s="1"/>
  <c r="E738" i="35" a="1"/>
  <c r="E738" i="35" s="1"/>
  <c r="E739" i="35" a="1"/>
  <c r="E739" i="35" s="1"/>
  <c r="E740" i="35" a="1"/>
  <c r="E740" i="35" s="1"/>
  <c r="E741" i="35" a="1"/>
  <c r="E741" i="35" s="1"/>
  <c r="E742" i="35" a="1"/>
  <c r="E742" i="35" s="1"/>
  <c r="E743" i="35" a="1"/>
  <c r="E743" i="35" s="1"/>
  <c r="E744" i="35" a="1"/>
  <c r="E744" i="35" s="1"/>
  <c r="E745" i="35" a="1"/>
  <c r="E745" i="35" s="1"/>
  <c r="E746" i="35" a="1"/>
  <c r="E746" i="35" s="1"/>
  <c r="E747" i="35" a="1"/>
  <c r="E747" i="35" s="1"/>
  <c r="E748" i="35" a="1"/>
  <c r="E748" i="35" s="1"/>
  <c r="E749" i="35" a="1"/>
  <c r="E749" i="35" s="1"/>
  <c r="E750" i="35" a="1"/>
  <c r="E750" i="35" s="1"/>
  <c r="E751" i="35" a="1"/>
  <c r="E751" i="35" s="1"/>
  <c r="E752" i="35" a="1"/>
  <c r="E752" i="35" s="1"/>
  <c r="E753" i="35" a="1"/>
  <c r="E753" i="35" s="1"/>
  <c r="E754" i="35" a="1"/>
  <c r="E754" i="35" s="1"/>
  <c r="E755" i="35" a="1"/>
  <c r="E755" i="35" s="1"/>
  <c r="E756" i="35" a="1"/>
  <c r="E756" i="35" s="1"/>
  <c r="E757" i="35" a="1"/>
  <c r="E757" i="35" s="1"/>
  <c r="E758" i="35" a="1"/>
  <c r="E758" i="35" s="1"/>
  <c r="E759" i="35" a="1"/>
  <c r="E759" i="35" s="1"/>
  <c r="E760" i="35" a="1"/>
  <c r="E760" i="35" s="1"/>
  <c r="E761" i="35" a="1"/>
  <c r="E761" i="35" s="1"/>
  <c r="E762" i="35" a="1"/>
  <c r="E762" i="35" s="1"/>
  <c r="E763" i="35" a="1"/>
  <c r="E763" i="35" s="1"/>
  <c r="E764" i="35" a="1"/>
  <c r="E764" i="35" s="1"/>
  <c r="E765" i="35" a="1"/>
  <c r="E765" i="35" s="1"/>
  <c r="E766" i="35" a="1"/>
  <c r="E766" i="35" s="1"/>
  <c r="E767" i="35" a="1"/>
  <c r="E767" i="35" s="1"/>
  <c r="E768" i="35" a="1"/>
  <c r="E768" i="35" s="1"/>
  <c r="E769" i="35" a="1"/>
  <c r="E769" i="35" s="1"/>
  <c r="E770" i="35" a="1"/>
  <c r="E770" i="35" s="1"/>
  <c r="E771" i="35" a="1"/>
  <c r="E771" i="35" s="1"/>
  <c r="E772" i="35" a="1"/>
  <c r="E772" i="35" s="1"/>
  <c r="E773" i="35" a="1"/>
  <c r="E773" i="35" s="1"/>
  <c r="E774" i="35" a="1"/>
  <c r="E774" i="35" s="1"/>
  <c r="E775" i="35" a="1"/>
  <c r="E775" i="35" s="1"/>
  <c r="E776" i="35" a="1"/>
  <c r="E776" i="35" s="1"/>
  <c r="E777" i="35" a="1"/>
  <c r="E777" i="35" s="1"/>
  <c r="E778" i="35" a="1"/>
  <c r="E778" i="35" s="1"/>
  <c r="E779" i="35" a="1"/>
  <c r="E779" i="35" s="1"/>
  <c r="E780" i="35" a="1"/>
  <c r="E780" i="35" s="1"/>
  <c r="E781" i="35" a="1"/>
  <c r="E781" i="35" s="1"/>
  <c r="E782" i="35" a="1"/>
  <c r="E782" i="35" s="1"/>
  <c r="E783" i="35" a="1"/>
  <c r="E783" i="35" s="1"/>
  <c r="E784" i="35" a="1"/>
  <c r="E784" i="35" s="1"/>
  <c r="E785" i="35" a="1"/>
  <c r="E785" i="35" s="1"/>
  <c r="E786" i="35" a="1"/>
  <c r="E786" i="35" s="1"/>
  <c r="E787" i="35" a="1"/>
  <c r="E787" i="35" s="1"/>
  <c r="E788" i="35" a="1"/>
  <c r="E788" i="35" s="1"/>
  <c r="E789" i="35" a="1"/>
  <c r="E789" i="35" s="1"/>
  <c r="E790" i="35" a="1"/>
  <c r="E790" i="35" s="1"/>
  <c r="E791" i="35" a="1"/>
  <c r="E791" i="35" s="1"/>
  <c r="E792" i="35" a="1"/>
  <c r="E792" i="35" s="1"/>
  <c r="E793" i="35" a="1"/>
  <c r="E793" i="35" s="1"/>
  <c r="E794" i="35" a="1"/>
  <c r="E794" i="35" s="1"/>
  <c r="E795" i="35" a="1"/>
  <c r="E795" i="35" s="1"/>
  <c r="E796" i="35" a="1"/>
  <c r="E796" i="35" s="1"/>
  <c r="E797" i="35" a="1"/>
  <c r="E797" i="35" s="1"/>
  <c r="E798" i="35" a="1"/>
  <c r="E798" i="35" s="1"/>
  <c r="E799" i="35" a="1"/>
  <c r="E799" i="35" s="1"/>
  <c r="E800" i="35" a="1"/>
  <c r="E800" i="35" s="1"/>
  <c r="E801" i="35" a="1"/>
  <c r="E801" i="35" s="1"/>
  <c r="E802" i="35" a="1"/>
  <c r="E802" i="35" s="1"/>
  <c r="E803" i="35" a="1"/>
  <c r="E803" i="35" s="1"/>
  <c r="E804" i="35" a="1"/>
  <c r="E804" i="35" s="1"/>
  <c r="E805" i="35" a="1"/>
  <c r="E805" i="35" s="1"/>
  <c r="E806" i="35" a="1"/>
  <c r="E806" i="35" s="1"/>
  <c r="E807" i="35" a="1"/>
  <c r="E807" i="35" s="1"/>
  <c r="E808" i="35" a="1"/>
  <c r="E808" i="35" s="1"/>
  <c r="E809" i="35" a="1"/>
  <c r="E809" i="35" s="1"/>
  <c r="E810" i="35" a="1"/>
  <c r="E810" i="35" s="1"/>
  <c r="E811" i="35" a="1"/>
  <c r="E811" i="35" s="1"/>
  <c r="E812" i="35" a="1"/>
  <c r="E812" i="35" s="1"/>
  <c r="E813" i="35" a="1"/>
  <c r="E813" i="35" s="1"/>
  <c r="E814" i="35" a="1"/>
  <c r="E814" i="35" s="1"/>
  <c r="E815" i="35" a="1"/>
  <c r="E815" i="35" s="1"/>
  <c r="E816" i="35" a="1"/>
  <c r="E816" i="35" s="1"/>
  <c r="E817" i="35" a="1"/>
  <c r="E817" i="35" s="1"/>
  <c r="E818" i="35" a="1"/>
  <c r="E818" i="35" s="1"/>
  <c r="E819" i="35" a="1"/>
  <c r="E819" i="35" s="1"/>
  <c r="E820" i="35" a="1"/>
  <c r="E820" i="35" s="1"/>
  <c r="E821" i="35" a="1"/>
  <c r="E821" i="35" s="1"/>
  <c r="E822" i="35" a="1"/>
  <c r="E822" i="35" s="1"/>
  <c r="E823" i="35" a="1"/>
  <c r="E823" i="35" s="1"/>
  <c r="E824" i="35" a="1"/>
  <c r="E824" i="35" s="1"/>
  <c r="E825" i="35" a="1"/>
  <c r="E825" i="35" s="1"/>
  <c r="E826" i="35" a="1"/>
  <c r="E826" i="35" s="1"/>
  <c r="E827" i="35" a="1"/>
  <c r="E827" i="35" s="1"/>
  <c r="E828" i="35" a="1"/>
  <c r="E828" i="35" s="1"/>
  <c r="E829" i="35" a="1"/>
  <c r="E829" i="35" s="1"/>
  <c r="E830" i="35" a="1"/>
  <c r="E830" i="35" s="1"/>
  <c r="E831" i="35" a="1"/>
  <c r="E831" i="35" s="1"/>
  <c r="E832" i="35" a="1"/>
  <c r="E832" i="35" s="1"/>
  <c r="E833" i="35" a="1"/>
  <c r="E833" i="35" s="1"/>
  <c r="E834" i="35" a="1"/>
  <c r="E834" i="35" s="1"/>
  <c r="E835" i="35" a="1"/>
  <c r="E835" i="35" s="1"/>
  <c r="E836" i="35" a="1"/>
  <c r="E836" i="35" s="1"/>
  <c r="E837" i="35" a="1"/>
  <c r="E837" i="35" s="1"/>
  <c r="E838" i="35" a="1"/>
  <c r="E838" i="35" s="1"/>
  <c r="E839" i="35" a="1"/>
  <c r="E839" i="35" s="1"/>
  <c r="E840" i="35" a="1"/>
  <c r="E840" i="35" s="1"/>
  <c r="E841" i="35" a="1"/>
  <c r="E841" i="35" s="1"/>
  <c r="E842" i="35" a="1"/>
  <c r="E842" i="35" s="1"/>
  <c r="E843" i="35" a="1"/>
  <c r="E843" i="35" s="1"/>
  <c r="E844" i="35" a="1"/>
  <c r="E844" i="35" s="1"/>
  <c r="E845" i="35" a="1"/>
  <c r="E845" i="35" s="1"/>
  <c r="E846" i="35" a="1"/>
  <c r="E846" i="35" s="1"/>
  <c r="E847" i="35" a="1"/>
  <c r="E847" i="35" s="1"/>
  <c r="E848" i="35" a="1"/>
  <c r="E848" i="35" s="1"/>
  <c r="E849" i="35" a="1"/>
  <c r="E849" i="35" s="1"/>
  <c r="E850" i="35" a="1"/>
  <c r="E850" i="35" s="1"/>
  <c r="E851" i="35" a="1"/>
  <c r="E851" i="35" s="1"/>
  <c r="E852" i="35" a="1"/>
  <c r="E852" i="35" s="1"/>
  <c r="E853" i="35" a="1"/>
  <c r="E853" i="35" s="1"/>
  <c r="E854" i="35" a="1"/>
  <c r="E854" i="35" s="1"/>
  <c r="E855" i="35" a="1"/>
  <c r="E855" i="35" s="1"/>
  <c r="E856" i="35" a="1"/>
  <c r="E856" i="35" s="1"/>
  <c r="E857" i="35" a="1"/>
  <c r="E857" i="35" s="1"/>
  <c r="E858" i="35" a="1"/>
  <c r="E858" i="35" s="1"/>
  <c r="E859" i="35" a="1"/>
  <c r="E859" i="35" s="1"/>
  <c r="E860" i="35" a="1"/>
  <c r="E860" i="35" s="1"/>
  <c r="E861" i="35" a="1"/>
  <c r="E861" i="35" s="1"/>
  <c r="E862" i="35" a="1"/>
  <c r="E862" i="35" s="1"/>
  <c r="E863" i="35" a="1"/>
  <c r="E863" i="35" s="1"/>
  <c r="E864" i="35" a="1"/>
  <c r="E864" i="35" s="1"/>
  <c r="E865" i="35" a="1"/>
  <c r="E865" i="35" s="1"/>
  <c r="E866" i="35" a="1"/>
  <c r="E866" i="35" s="1"/>
  <c r="E867" i="35" a="1"/>
  <c r="E867" i="35" s="1"/>
  <c r="E868" i="35" a="1"/>
  <c r="E868" i="35" s="1"/>
  <c r="E869" i="35" a="1"/>
  <c r="E869" i="35" s="1"/>
  <c r="E870" i="35" a="1"/>
  <c r="E870" i="35" s="1"/>
  <c r="E871" i="35" a="1"/>
  <c r="E871" i="35" s="1"/>
  <c r="E872" i="35" a="1"/>
  <c r="E872" i="35" s="1"/>
  <c r="E873" i="35" a="1"/>
  <c r="E873" i="35" s="1"/>
  <c r="E874" i="35" a="1"/>
  <c r="E874" i="35" s="1"/>
  <c r="E875" i="35" a="1"/>
  <c r="E875" i="35" s="1"/>
  <c r="E876" i="35" a="1"/>
  <c r="E876" i="35" s="1"/>
  <c r="E877" i="35" a="1"/>
  <c r="E877" i="35" s="1"/>
  <c r="E878" i="35" a="1"/>
  <c r="E878" i="35" s="1"/>
  <c r="E879" i="35" a="1"/>
  <c r="E879" i="35" s="1"/>
  <c r="E880" i="35" a="1"/>
  <c r="E880" i="35" s="1"/>
  <c r="E881" i="35" a="1"/>
  <c r="E881" i="35" s="1"/>
  <c r="E882" i="35" a="1"/>
  <c r="E882" i="35" s="1"/>
  <c r="E883" i="35" a="1"/>
  <c r="E883" i="35" s="1"/>
  <c r="E884" i="35" a="1"/>
  <c r="E884" i="35" s="1"/>
  <c r="E885" i="35" a="1"/>
  <c r="E885" i="35" s="1"/>
  <c r="E886" i="35" a="1"/>
  <c r="E886" i="35" s="1"/>
  <c r="E887" i="35" a="1"/>
  <c r="E887" i="35" s="1"/>
  <c r="E888" i="35" a="1"/>
  <c r="E888" i="35" s="1"/>
  <c r="E889" i="35" a="1"/>
  <c r="E889" i="35" s="1"/>
  <c r="E890" i="35" a="1"/>
  <c r="E890" i="35" s="1"/>
  <c r="E891" i="35" a="1"/>
  <c r="E891" i="35" s="1"/>
  <c r="E892" i="35" a="1"/>
  <c r="E892" i="35" s="1"/>
  <c r="E893" i="35" a="1"/>
  <c r="E893" i="35" s="1"/>
  <c r="E894" i="35" a="1"/>
  <c r="E894" i="35" s="1"/>
  <c r="E895" i="35" a="1"/>
  <c r="E895" i="35" s="1"/>
  <c r="E896" i="35" a="1"/>
  <c r="E896" i="35" s="1"/>
  <c r="E897" i="35" a="1"/>
  <c r="E897" i="35" s="1"/>
  <c r="E898" i="35" a="1"/>
  <c r="E898" i="35" s="1"/>
  <c r="E899" i="35" a="1"/>
  <c r="E899" i="35" s="1"/>
  <c r="E900" i="35" a="1"/>
  <c r="E900" i="35" s="1"/>
  <c r="E901" i="35" a="1"/>
  <c r="E901" i="35" s="1"/>
  <c r="E902" i="35" a="1"/>
  <c r="E902" i="35" s="1"/>
  <c r="E903" i="35" a="1"/>
  <c r="E903" i="35" s="1"/>
  <c r="E904" i="35" a="1"/>
  <c r="E904" i="35" s="1"/>
  <c r="E905" i="35" a="1"/>
  <c r="E905" i="35" s="1"/>
  <c r="E906" i="35" a="1"/>
  <c r="E906" i="35" s="1"/>
  <c r="E907" i="35" a="1"/>
  <c r="E907" i="35" s="1"/>
  <c r="E908" i="35" a="1"/>
  <c r="E908" i="35" s="1"/>
  <c r="E909" i="35" a="1"/>
  <c r="E909" i="35" s="1"/>
  <c r="E910" i="35" a="1"/>
  <c r="E910" i="35" s="1"/>
  <c r="E911" i="35" a="1"/>
  <c r="E911" i="35" s="1"/>
  <c r="E912" i="35" a="1"/>
  <c r="E912" i="35" s="1"/>
  <c r="E913" i="35" a="1"/>
  <c r="E913" i="35" s="1"/>
  <c r="E914" i="35" a="1"/>
  <c r="E914" i="35" s="1"/>
  <c r="E915" i="35" a="1"/>
  <c r="E915" i="35" s="1"/>
  <c r="E916" i="35" a="1"/>
  <c r="E916" i="35" s="1"/>
  <c r="E917" i="35" a="1"/>
  <c r="E917" i="35" s="1"/>
  <c r="E918" i="35" a="1"/>
  <c r="E918" i="35" s="1"/>
  <c r="E919" i="35" a="1"/>
  <c r="E919" i="35" s="1"/>
  <c r="E920" i="35" a="1"/>
  <c r="E920" i="35" s="1"/>
  <c r="E921" i="35" a="1"/>
  <c r="E921" i="35" s="1"/>
  <c r="E922" i="35" a="1"/>
  <c r="E922" i="35" s="1"/>
  <c r="E923" i="35" a="1"/>
  <c r="E923" i="35" s="1"/>
  <c r="E924" i="35" a="1"/>
  <c r="E924" i="35" s="1"/>
  <c r="E925" i="35" a="1"/>
  <c r="E925" i="35" s="1"/>
  <c r="E926" i="35" a="1"/>
  <c r="E926" i="35" s="1"/>
  <c r="E927" i="35" a="1"/>
  <c r="E927" i="35" s="1"/>
  <c r="E928" i="35" a="1"/>
  <c r="E928" i="35" s="1"/>
  <c r="E929" i="35" a="1"/>
  <c r="E929" i="35" s="1"/>
  <c r="E930" i="35" a="1"/>
  <c r="E930" i="35" s="1"/>
  <c r="E931" i="35" a="1"/>
  <c r="E931" i="35" s="1"/>
  <c r="E932" i="35" a="1"/>
  <c r="E932" i="35" s="1"/>
  <c r="E933" i="35" a="1"/>
  <c r="E933" i="35" s="1"/>
  <c r="E934" i="35" a="1"/>
  <c r="E934" i="35" s="1"/>
  <c r="E935" i="35" a="1"/>
  <c r="E935" i="35" s="1"/>
  <c r="E936" i="35" a="1"/>
  <c r="E936" i="35" s="1"/>
  <c r="E937" i="35" a="1"/>
  <c r="E937" i="35" s="1"/>
  <c r="E938" i="35" a="1"/>
  <c r="E938" i="35" s="1"/>
  <c r="E939" i="35" a="1"/>
  <c r="E939" i="35" s="1"/>
  <c r="E940" i="35" a="1"/>
  <c r="E940" i="35" s="1"/>
  <c r="E941" i="35" a="1"/>
  <c r="E941" i="35" s="1"/>
  <c r="E942" i="35" a="1"/>
  <c r="E942" i="35" s="1"/>
  <c r="E943" i="35" a="1"/>
  <c r="E943" i="35" s="1"/>
  <c r="E944" i="35" a="1"/>
  <c r="E944" i="35" s="1"/>
  <c r="E945" i="35" a="1"/>
  <c r="E945" i="35" s="1"/>
  <c r="E946" i="35" a="1"/>
  <c r="E946" i="35" s="1"/>
  <c r="E947" i="35" a="1"/>
  <c r="E947" i="35" s="1"/>
  <c r="E948" i="35" a="1"/>
  <c r="E948" i="35" s="1"/>
  <c r="E949" i="35" a="1"/>
  <c r="E949" i="35" s="1"/>
  <c r="E950" i="35" a="1"/>
  <c r="E950" i="35" s="1"/>
  <c r="E951" i="35" a="1"/>
  <c r="E951" i="35" s="1"/>
  <c r="E952" i="35" a="1"/>
  <c r="E952" i="35" s="1"/>
  <c r="E953" i="35" a="1"/>
  <c r="E953" i="35" s="1"/>
  <c r="E954" i="35" a="1"/>
  <c r="E954" i="35" s="1"/>
  <c r="E955" i="35" a="1"/>
  <c r="E955" i="35" s="1"/>
  <c r="E956" i="35" a="1"/>
  <c r="E956" i="35" s="1"/>
  <c r="E957" i="35" a="1"/>
  <c r="E957" i="35" s="1"/>
  <c r="E958" i="35" a="1"/>
  <c r="E958" i="35" s="1"/>
  <c r="E959" i="35" a="1"/>
  <c r="E959" i="35" s="1"/>
  <c r="E960" i="35" a="1"/>
  <c r="E960" i="35" s="1"/>
  <c r="E961" i="35" a="1"/>
  <c r="E961" i="35" s="1"/>
  <c r="E962" i="35" a="1"/>
  <c r="E962" i="35" s="1"/>
  <c r="E963" i="35" a="1"/>
  <c r="E963" i="35" s="1"/>
  <c r="E964" i="35" a="1"/>
  <c r="E964" i="35" s="1"/>
  <c r="E965" i="35" a="1"/>
  <c r="E965" i="35" s="1"/>
  <c r="E966" i="35" a="1"/>
  <c r="E966" i="35" s="1"/>
  <c r="E967" i="35" a="1"/>
  <c r="E967" i="35" s="1"/>
  <c r="E968" i="35" a="1"/>
  <c r="E968" i="35" s="1"/>
  <c r="E969" i="35" a="1"/>
  <c r="E969" i="35" s="1"/>
  <c r="E970" i="35" a="1"/>
  <c r="E970" i="35" s="1"/>
  <c r="E971" i="35" a="1"/>
  <c r="E971" i="35" s="1"/>
  <c r="E972" i="35" a="1"/>
  <c r="E972" i="35" s="1"/>
  <c r="E973" i="35" a="1"/>
  <c r="E973" i="35" s="1"/>
  <c r="E974" i="35" a="1"/>
  <c r="E974" i="35" s="1"/>
  <c r="E975" i="35" a="1"/>
  <c r="E975" i="35" s="1"/>
  <c r="E976" i="35" a="1"/>
  <c r="E976" i="35" s="1"/>
  <c r="E977" i="35" a="1"/>
  <c r="E977" i="35" s="1"/>
  <c r="E978" i="35" a="1"/>
  <c r="E978" i="35" s="1"/>
  <c r="E979" i="35" a="1"/>
  <c r="E979" i="35" s="1"/>
  <c r="E980" i="35" a="1"/>
  <c r="E980" i="35" s="1"/>
  <c r="E981" i="35" a="1"/>
  <c r="E981" i="35" s="1"/>
  <c r="E982" i="35" a="1"/>
  <c r="E982" i="35" s="1"/>
  <c r="E983" i="35" a="1"/>
  <c r="E983" i="35" s="1"/>
  <c r="E984" i="35" a="1"/>
  <c r="E984" i="35" s="1"/>
  <c r="E985" i="35" a="1"/>
  <c r="E985" i="35" s="1"/>
  <c r="E986" i="35" a="1"/>
  <c r="E986" i="35" s="1"/>
  <c r="E987" i="35" a="1"/>
  <c r="E987" i="35" s="1"/>
  <c r="E988" i="35" a="1"/>
  <c r="E988" i="35" s="1"/>
  <c r="E989" i="35" a="1"/>
  <c r="E989" i="35" s="1"/>
  <c r="E990" i="35" a="1"/>
  <c r="E990" i="35" s="1"/>
  <c r="E991" i="35" a="1"/>
  <c r="E991" i="35" s="1"/>
  <c r="E992" i="35" a="1"/>
  <c r="E992" i="35" s="1"/>
  <c r="E993" i="35" a="1"/>
  <c r="E993" i="35" s="1"/>
  <c r="E994" i="35" a="1"/>
  <c r="E994" i="35" s="1"/>
  <c r="E995" i="35" a="1"/>
  <c r="E995" i="35" s="1"/>
  <c r="E996" i="35" a="1"/>
  <c r="E996" i="35" s="1"/>
  <c r="E997" i="35" a="1"/>
  <c r="E997" i="35" s="1"/>
  <c r="E998" i="35" a="1"/>
  <c r="E998" i="35" s="1"/>
  <c r="E999" i="35" a="1"/>
  <c r="E999" i="35" s="1"/>
  <c r="E1000" i="35" a="1"/>
  <c r="E1000" i="35" s="1"/>
  <c r="E1001" i="35" a="1"/>
  <c r="E1001" i="35" s="1"/>
  <c r="E1002" i="35" a="1"/>
  <c r="E1002" i="35" s="1"/>
  <c r="E1003" i="35" a="1"/>
  <c r="E1003" i="35" s="1"/>
  <c r="E1004" i="35" a="1"/>
  <c r="E1004" i="35" s="1"/>
  <c r="E1005" i="35" a="1"/>
  <c r="E1005" i="35" s="1"/>
  <c r="E1006" i="35" a="1"/>
  <c r="E1006" i="35" s="1"/>
  <c r="E1007" i="35" a="1"/>
  <c r="E1007" i="35" s="1"/>
  <c r="E1008" i="35" a="1"/>
  <c r="E1008" i="35" s="1"/>
  <c r="E1009" i="35" a="1"/>
  <c r="E1009" i="35" s="1"/>
  <c r="E1010" i="35" a="1"/>
  <c r="E1010" i="35" s="1"/>
  <c r="E1011" i="35" a="1"/>
  <c r="E1011" i="35" s="1"/>
  <c r="E1012" i="35" a="1"/>
  <c r="E1012" i="35" s="1"/>
  <c r="E1013" i="35" a="1"/>
  <c r="E1013" i="35" s="1"/>
  <c r="E1014" i="35" a="1"/>
  <c r="E1014" i="35" s="1"/>
  <c r="E1015" i="35" a="1"/>
  <c r="E1015" i="35" s="1"/>
  <c r="E1016" i="35" a="1"/>
  <c r="E1016" i="35" s="1"/>
  <c r="E1017" i="35" a="1"/>
  <c r="E1017" i="35" s="1"/>
  <c r="E1018" i="35" a="1"/>
  <c r="E1018" i="35" s="1"/>
  <c r="E1019" i="35" a="1"/>
  <c r="E1019" i="35" s="1"/>
  <c r="E1020" i="35" a="1"/>
  <c r="E1020" i="35" s="1"/>
  <c r="E1021" i="35" a="1"/>
  <c r="E1021" i="35" s="1"/>
  <c r="E1022" i="35" a="1"/>
  <c r="E1022" i="35" s="1"/>
  <c r="E1023" i="35" a="1"/>
  <c r="E1023" i="35" s="1"/>
  <c r="E1024" i="35" a="1"/>
  <c r="E1024" i="35" s="1"/>
  <c r="E1025" i="35" a="1"/>
  <c r="E1025" i="35" s="1"/>
  <c r="E1026" i="35" a="1"/>
  <c r="E1026" i="35" s="1"/>
  <c r="E1027" i="35" a="1"/>
  <c r="E1027" i="35" s="1"/>
  <c r="E1028" i="35" a="1"/>
  <c r="E1028" i="35" s="1"/>
  <c r="E1029" i="35" a="1"/>
  <c r="E1029" i="35" s="1"/>
  <c r="E1030" i="35" a="1"/>
  <c r="E1030" i="35" s="1"/>
  <c r="E1031" i="35" a="1"/>
  <c r="E1031" i="35" s="1"/>
  <c r="E1032" i="35" a="1"/>
  <c r="E1032" i="35" s="1"/>
  <c r="E1033" i="35" a="1"/>
  <c r="E1033" i="35" s="1"/>
  <c r="E1034" i="35" a="1"/>
  <c r="E1034" i="35" s="1"/>
  <c r="E1035" i="35" a="1"/>
  <c r="E1035" i="35" s="1"/>
  <c r="E1036" i="35" a="1"/>
  <c r="E1036" i="35" s="1"/>
  <c r="E1037" i="35" a="1"/>
  <c r="E1037" i="35" s="1"/>
  <c r="E1038" i="35" a="1"/>
  <c r="E1038" i="35" s="1"/>
  <c r="E1039" i="35" a="1"/>
  <c r="E1039" i="35" s="1"/>
  <c r="E1040" i="35" a="1"/>
  <c r="E1040" i="35" s="1"/>
  <c r="E1041" i="35" a="1"/>
  <c r="E1041" i="35" s="1"/>
  <c r="E1042" i="35" a="1"/>
  <c r="E1042" i="35" s="1"/>
  <c r="E1043" i="35" a="1"/>
  <c r="E1043" i="35" s="1"/>
  <c r="E1044" i="35" a="1"/>
  <c r="E1044" i="35" s="1"/>
  <c r="E1045" i="35" a="1"/>
  <c r="E1045" i="35" s="1"/>
  <c r="E1046" i="35" a="1"/>
  <c r="E1046" i="35" s="1"/>
  <c r="E1047" i="35" a="1"/>
  <c r="E1047" i="35" s="1"/>
  <c r="E1048" i="35" a="1"/>
  <c r="E1048" i="35" s="1"/>
  <c r="E1049" i="35" a="1"/>
  <c r="E1049" i="35" s="1"/>
  <c r="E1050" i="35" a="1"/>
  <c r="E1050" i="35" s="1"/>
  <c r="E1051" i="35" a="1"/>
  <c r="E1051" i="35" s="1"/>
  <c r="E1052" i="35" a="1"/>
  <c r="E1052" i="35" s="1"/>
  <c r="E1053" i="35" a="1"/>
  <c r="E1053" i="35" s="1"/>
  <c r="E1054" i="35" a="1"/>
  <c r="E1054" i="35" s="1"/>
  <c r="E1055" i="35" a="1"/>
  <c r="E1055" i="35" s="1"/>
  <c r="E1056" i="35" a="1"/>
  <c r="E1056" i="35" s="1"/>
  <c r="E1057" i="35" a="1"/>
  <c r="E1057" i="35" s="1"/>
  <c r="E1058" i="35" a="1"/>
  <c r="E1058" i="35" s="1"/>
  <c r="E1059" i="35" a="1"/>
  <c r="E1059" i="35" s="1"/>
  <c r="E1060" i="35" a="1"/>
  <c r="E1060" i="35" s="1"/>
  <c r="E1061" i="35" a="1"/>
  <c r="E1061" i="35" s="1"/>
  <c r="E1062" i="35" a="1"/>
  <c r="E1062" i="35" s="1"/>
  <c r="E1063" i="35" a="1"/>
  <c r="E1063" i="35" s="1"/>
  <c r="E1064" i="35" a="1"/>
  <c r="E1064" i="35" s="1"/>
  <c r="E1065" i="35" a="1"/>
  <c r="E1065" i="35" s="1"/>
  <c r="E1066" i="35" a="1"/>
  <c r="E1066" i="35" s="1"/>
  <c r="E1067" i="35" a="1"/>
  <c r="E1067" i="35" s="1"/>
  <c r="E1068" i="35" a="1"/>
  <c r="E1068" i="35" s="1"/>
  <c r="E1069" i="35" a="1"/>
  <c r="E1069" i="35" s="1"/>
  <c r="E1070" i="35" a="1"/>
  <c r="E1070" i="35" s="1"/>
  <c r="E1071" i="35" a="1"/>
  <c r="E1071" i="35" s="1"/>
  <c r="E1072" i="35" a="1"/>
  <c r="E1072" i="35" s="1"/>
  <c r="E1073" i="35" a="1"/>
  <c r="E1073" i="35" s="1"/>
  <c r="E1074" i="35" a="1"/>
  <c r="E1074" i="35" s="1"/>
  <c r="E1075" i="35" a="1"/>
  <c r="E1075" i="35" s="1"/>
  <c r="E1076" i="35" a="1"/>
  <c r="E1076" i="35" s="1"/>
  <c r="E1077" i="35" a="1"/>
  <c r="E1077" i="35" s="1"/>
  <c r="E1078" i="35" a="1"/>
  <c r="E1078" i="35" s="1"/>
  <c r="E1079" i="35" a="1"/>
  <c r="E1079" i="35" s="1"/>
  <c r="E1080" i="35" a="1"/>
  <c r="E1080" i="35" s="1"/>
  <c r="E1081" i="35" a="1"/>
  <c r="E1081" i="35" s="1"/>
  <c r="E1082" i="35" a="1"/>
  <c r="E1082" i="35" s="1"/>
  <c r="E1083" i="35" a="1"/>
  <c r="E1083" i="35" s="1"/>
  <c r="E1084" i="35" a="1"/>
  <c r="E1084" i="35" s="1"/>
  <c r="E1085" i="35" a="1"/>
  <c r="E1085" i="35" s="1"/>
  <c r="E1086" i="35" a="1"/>
  <c r="E1086" i="35" s="1"/>
  <c r="E1087" i="35" a="1"/>
  <c r="E1087" i="35" s="1"/>
  <c r="E1088" i="35" a="1"/>
  <c r="E1088" i="35" s="1"/>
  <c r="E1089" i="35" a="1"/>
  <c r="E1089" i="35" s="1"/>
  <c r="E1090" i="35" a="1"/>
  <c r="E1090" i="35" s="1"/>
  <c r="E1091" i="35" a="1"/>
  <c r="E1091" i="35" s="1"/>
  <c r="E1092" i="35" a="1"/>
  <c r="E1092" i="35" s="1"/>
  <c r="E1093" i="35" a="1"/>
  <c r="E1093" i="35" s="1"/>
  <c r="E1094" i="35" a="1"/>
  <c r="E1094" i="35" s="1"/>
  <c r="E1095" i="35" a="1"/>
  <c r="E1095" i="35" s="1"/>
  <c r="E1096" i="35" a="1"/>
  <c r="E1096" i="35" s="1"/>
  <c r="E1097" i="35" a="1"/>
  <c r="E1097" i="35" s="1"/>
  <c r="E1098" i="35" a="1"/>
  <c r="E1098" i="35" s="1"/>
  <c r="E1099" i="35" a="1"/>
  <c r="E1099" i="35" s="1"/>
  <c r="E1100" i="35" a="1"/>
  <c r="E1100" i="35" s="1"/>
  <c r="E1101" i="35" a="1"/>
  <c r="E1101" i="35" s="1"/>
  <c r="E1102" i="35" a="1"/>
  <c r="E1102" i="35" s="1"/>
  <c r="E1103" i="35" a="1"/>
  <c r="E1103" i="35" s="1"/>
  <c r="E1104" i="35" a="1"/>
  <c r="E1104" i="35" s="1"/>
  <c r="E1105" i="35" a="1"/>
  <c r="E1105" i="35" s="1"/>
  <c r="E1106" i="35" a="1"/>
  <c r="E1106" i="35" s="1"/>
  <c r="E1107" i="35" a="1"/>
  <c r="E1107" i="35" s="1"/>
  <c r="E1108" i="35" a="1"/>
  <c r="E1108" i="35" s="1"/>
  <c r="E1109" i="35" a="1"/>
  <c r="E1109" i="35" s="1"/>
  <c r="E1110" i="35" a="1"/>
  <c r="E1110" i="35" s="1"/>
  <c r="E1111" i="35" a="1"/>
  <c r="E1111" i="35" s="1"/>
  <c r="E1112" i="35" a="1"/>
  <c r="E1112" i="35" s="1"/>
  <c r="E1113" i="35" a="1"/>
  <c r="E1113" i="35" s="1"/>
  <c r="E1114" i="35" a="1"/>
  <c r="E1114" i="35" s="1"/>
  <c r="E1115" i="35" a="1"/>
  <c r="E1115" i="35" s="1"/>
  <c r="E1116" i="35" a="1"/>
  <c r="E1116" i="35" s="1"/>
  <c r="E1117" i="35" a="1"/>
  <c r="E1117" i="35" s="1"/>
  <c r="E1118" i="35" a="1"/>
  <c r="E1118" i="35" s="1"/>
  <c r="E1119" i="35" a="1"/>
  <c r="E1119" i="35" s="1"/>
  <c r="E1120" i="35" a="1"/>
  <c r="E1120" i="35" s="1"/>
  <c r="E1121" i="35" a="1"/>
  <c r="E1121" i="35" s="1"/>
  <c r="E1122" i="35" a="1"/>
  <c r="E1122" i="35" s="1"/>
  <c r="E1123" i="35" a="1"/>
  <c r="E1123" i="35" s="1"/>
  <c r="E1124" i="35" a="1"/>
  <c r="E1124" i="35" s="1"/>
  <c r="E1125" i="35" a="1"/>
  <c r="E1125" i="35" s="1"/>
  <c r="E1126" i="35" a="1"/>
  <c r="E1126" i="35" s="1"/>
  <c r="E1127" i="35" a="1"/>
  <c r="E1127" i="35" s="1"/>
  <c r="E1128" i="35" a="1"/>
  <c r="E1128" i="35" s="1"/>
  <c r="E1129" i="35" a="1"/>
  <c r="E1129" i="35" s="1"/>
  <c r="E1130" i="35" a="1"/>
  <c r="E1130" i="35" s="1"/>
  <c r="E1131" i="35" a="1"/>
  <c r="E1131" i="35" s="1"/>
  <c r="E1132" i="35" a="1"/>
  <c r="E1132" i="35" s="1"/>
  <c r="E1133" i="35" a="1"/>
  <c r="E1133" i="35" s="1"/>
  <c r="E1134" i="35" a="1"/>
  <c r="E1134" i="35" s="1"/>
  <c r="E1135" i="35" a="1"/>
  <c r="E1135" i="35" s="1"/>
  <c r="E1136" i="35" a="1"/>
  <c r="E1136" i="35" s="1"/>
  <c r="E1137" i="35" a="1"/>
  <c r="E1137" i="35" s="1"/>
  <c r="E1138" i="35" a="1"/>
  <c r="E1138" i="35" s="1"/>
  <c r="E1139" i="35" a="1"/>
  <c r="E1139" i="35" s="1"/>
  <c r="E1140" i="35" a="1"/>
  <c r="E1140" i="35" s="1"/>
  <c r="E1141" i="35" a="1"/>
  <c r="E1141" i="35" s="1"/>
  <c r="E1142" i="35" a="1"/>
  <c r="E1142" i="35" s="1"/>
  <c r="E1143" i="35" a="1"/>
  <c r="E1143" i="35" s="1"/>
  <c r="E1144" i="35" a="1"/>
  <c r="E1144" i="35" s="1"/>
  <c r="E1145" i="35" a="1"/>
  <c r="E1145" i="35" s="1"/>
  <c r="E1146" i="35" a="1"/>
  <c r="E1146" i="35" s="1"/>
  <c r="E1147" i="35" a="1"/>
  <c r="E1147" i="35" s="1"/>
  <c r="E1148" i="35" a="1"/>
  <c r="E1148" i="35" s="1"/>
  <c r="E1149" i="35" a="1"/>
  <c r="E1149" i="35" s="1"/>
  <c r="E1150" i="35" a="1"/>
  <c r="E1150" i="35" s="1"/>
  <c r="E1151" i="35" a="1"/>
  <c r="E1151" i="35" s="1"/>
  <c r="E1152" i="35" a="1"/>
  <c r="E1152" i="35" s="1"/>
  <c r="E1153" i="35" a="1"/>
  <c r="E1153" i="35" s="1"/>
  <c r="E1154" i="35" a="1"/>
  <c r="E1154" i="35" s="1"/>
  <c r="E1155" i="35" a="1"/>
  <c r="E1155" i="35" s="1"/>
  <c r="E1156" i="35" a="1"/>
  <c r="E1156" i="35" s="1"/>
  <c r="E1157" i="35" a="1"/>
  <c r="E1157" i="35" s="1"/>
  <c r="E1158" i="35" a="1"/>
  <c r="E1158" i="35" s="1"/>
  <c r="E1159" i="35" a="1"/>
  <c r="E1159" i="35" s="1"/>
  <c r="E1160" i="35" a="1"/>
  <c r="E1160" i="35" s="1"/>
  <c r="E1161" i="35" a="1"/>
  <c r="E1161" i="35" s="1"/>
  <c r="E1162" i="35" a="1"/>
  <c r="E1162" i="35" s="1"/>
  <c r="E1163" i="35" a="1"/>
  <c r="E1163" i="35" s="1"/>
  <c r="E1164" i="35" a="1"/>
  <c r="E1164" i="35" s="1"/>
  <c r="E1165" i="35" a="1"/>
  <c r="E1165" i="35" s="1"/>
  <c r="E1166" i="35" a="1"/>
  <c r="E1166" i="35" s="1"/>
  <c r="E1167" i="35" a="1"/>
  <c r="E1167" i="35" s="1"/>
  <c r="E1168" i="35" a="1"/>
  <c r="E1168" i="35" s="1"/>
  <c r="E1169" i="35" a="1"/>
  <c r="E1169" i="35" s="1"/>
  <c r="E1170" i="35" a="1"/>
  <c r="E1170" i="35" s="1"/>
  <c r="E1171" i="35" a="1"/>
  <c r="E1171" i="35" s="1"/>
  <c r="E1172" i="35" a="1"/>
  <c r="E1172" i="35" s="1"/>
  <c r="E1173" i="35" a="1"/>
  <c r="E1173" i="35" s="1"/>
  <c r="E1174" i="35" a="1"/>
  <c r="E1174" i="35" s="1"/>
  <c r="E1175" i="35" a="1"/>
  <c r="E1175" i="35" s="1"/>
  <c r="E1176" i="35" a="1"/>
  <c r="E1176" i="35" s="1"/>
  <c r="E1177" i="35" a="1"/>
  <c r="E1177" i="35" s="1"/>
  <c r="E1178" i="35" a="1"/>
  <c r="E1178" i="35" s="1"/>
  <c r="E1179" i="35" a="1"/>
  <c r="E1179" i="35" s="1"/>
  <c r="E1180" i="35" a="1"/>
  <c r="E1180" i="35" s="1"/>
  <c r="E1181" i="35" a="1"/>
  <c r="E1181" i="35" s="1"/>
  <c r="E1182" i="35" a="1"/>
  <c r="E1182" i="35" s="1"/>
  <c r="E1183" i="35" a="1"/>
  <c r="E1183" i="35" s="1"/>
  <c r="E1184" i="35" a="1"/>
  <c r="E1184" i="35" s="1"/>
  <c r="E1185" i="35" a="1"/>
  <c r="E1185" i="35" s="1"/>
  <c r="E1186" i="35" a="1"/>
  <c r="E1186" i="35" s="1"/>
  <c r="E1187" i="35" a="1"/>
  <c r="E1187" i="35" s="1"/>
  <c r="E1188" i="35" a="1"/>
  <c r="E1188" i="35" s="1"/>
  <c r="E1189" i="35" a="1"/>
  <c r="E1189" i="35" s="1"/>
  <c r="E1190" i="35" a="1"/>
  <c r="E1190" i="35" s="1"/>
  <c r="E1191" i="35" a="1"/>
  <c r="E1191" i="35" s="1"/>
  <c r="E1192" i="35" a="1"/>
  <c r="E1192" i="35" s="1"/>
  <c r="E1193" i="35" a="1"/>
  <c r="E1193" i="35" s="1"/>
  <c r="E1194" i="35" a="1"/>
  <c r="E1194" i="35" s="1"/>
  <c r="E1195" i="35" a="1"/>
  <c r="E1195" i="35" s="1"/>
  <c r="E1196" i="35" a="1"/>
  <c r="E1196" i="35" s="1"/>
  <c r="E1197" i="35" a="1"/>
  <c r="E1197" i="35" s="1"/>
  <c r="E1198" i="35" a="1"/>
  <c r="E1198" i="35" s="1"/>
  <c r="E1199" i="35" a="1"/>
  <c r="E1199" i="35" s="1"/>
  <c r="E1200" i="35" a="1"/>
  <c r="E1200" i="35" s="1"/>
  <c r="E1201" i="35" a="1"/>
  <c r="E1201" i="35" s="1"/>
  <c r="E1202" i="35" a="1"/>
  <c r="E1202" i="35" s="1"/>
  <c r="E1203" i="35" a="1"/>
  <c r="E1203" i="35" s="1"/>
  <c r="E1204" i="35" a="1"/>
  <c r="E1204" i="35" s="1"/>
  <c r="E1205" i="35" a="1"/>
  <c r="E1205" i="35" s="1"/>
  <c r="E1206" i="35" a="1"/>
  <c r="E1206" i="35" s="1"/>
  <c r="E1207" i="35" a="1"/>
  <c r="E1207" i="35" s="1"/>
  <c r="E1208" i="35" a="1"/>
  <c r="E1208" i="35" s="1"/>
  <c r="E1209" i="35" a="1"/>
  <c r="E1209" i="35" s="1"/>
  <c r="E1210" i="35" a="1"/>
  <c r="E1210" i="35" s="1"/>
  <c r="E1211" i="35" a="1"/>
  <c r="E1211" i="35" s="1"/>
  <c r="E1212" i="35" a="1"/>
  <c r="E1212" i="35" s="1"/>
  <c r="E1213" i="35" a="1"/>
  <c r="E1213" i="35" s="1"/>
  <c r="E1214" i="35" a="1"/>
  <c r="E1214" i="35" s="1"/>
  <c r="E1215" i="35" a="1"/>
  <c r="E1215" i="35" s="1"/>
  <c r="E1216" i="35" a="1"/>
  <c r="E1216" i="35" s="1"/>
  <c r="E1217" i="35" a="1"/>
  <c r="E1217" i="35" s="1"/>
  <c r="E1218" i="35" a="1"/>
  <c r="E1218" i="35" s="1"/>
  <c r="E1219" i="35" a="1"/>
  <c r="E1219" i="35" s="1"/>
  <c r="E1220" i="35" a="1"/>
  <c r="E1220" i="35" s="1"/>
  <c r="E1221" i="35" a="1"/>
  <c r="E1221" i="35" s="1"/>
  <c r="E1222" i="35" a="1"/>
  <c r="E1222" i="35" s="1"/>
  <c r="E1223" i="35" a="1"/>
  <c r="E1223" i="35" s="1"/>
  <c r="E1224" i="35" a="1"/>
  <c r="E1224" i="35" s="1"/>
  <c r="E1225" i="35" a="1"/>
  <c r="E1225" i="35" s="1"/>
  <c r="E1226" i="35" a="1"/>
  <c r="E1226" i="35" s="1"/>
  <c r="E1227" i="35" a="1"/>
  <c r="E1227" i="35" s="1"/>
  <c r="E1228" i="35" a="1"/>
  <c r="E1228" i="35" s="1"/>
  <c r="E1229" i="35" a="1"/>
  <c r="E1229" i="35" s="1"/>
  <c r="E1230" i="35" a="1"/>
  <c r="E1230" i="35" s="1"/>
  <c r="E1231" i="35" a="1"/>
  <c r="E1231" i="35" s="1"/>
  <c r="E1232" i="35" a="1"/>
  <c r="E1232" i="35" s="1"/>
  <c r="E1233" i="35" a="1"/>
  <c r="E1233" i="35" s="1"/>
  <c r="E1234" i="35" a="1"/>
  <c r="E1234" i="35" s="1"/>
  <c r="E1235" i="35" a="1"/>
  <c r="E1235" i="35" s="1"/>
  <c r="E1236" i="35" a="1"/>
  <c r="E1236" i="35" s="1"/>
  <c r="E1237" i="35" a="1"/>
  <c r="E1237" i="35" s="1"/>
  <c r="E1238" i="35" a="1"/>
  <c r="E1238" i="35" s="1"/>
  <c r="E1239" i="35" a="1"/>
  <c r="E1239" i="35" s="1"/>
  <c r="E1240" i="35" a="1"/>
  <c r="E1240" i="35" s="1"/>
  <c r="E1241" i="35" a="1"/>
  <c r="E1241" i="35" s="1"/>
  <c r="E1242" i="35" a="1"/>
  <c r="E1242" i="35" s="1"/>
  <c r="E1243" i="35" a="1"/>
  <c r="E1243" i="35" s="1"/>
  <c r="E1244" i="35" a="1"/>
  <c r="E1244" i="35" s="1"/>
  <c r="E1245" i="35" a="1"/>
  <c r="E1245" i="35" s="1"/>
  <c r="E1246" i="35" a="1"/>
  <c r="E1246" i="35" s="1"/>
  <c r="E1247" i="35" a="1"/>
  <c r="E1247" i="35" s="1"/>
  <c r="E1248" i="35" a="1"/>
  <c r="E1248" i="35" s="1"/>
  <c r="E1249" i="35" a="1"/>
  <c r="E1249" i="35" s="1"/>
  <c r="E1250" i="35" a="1"/>
  <c r="E1250" i="35" s="1"/>
  <c r="E1251" i="35" a="1"/>
  <c r="E1251" i="35" s="1"/>
  <c r="E1252" i="35" a="1"/>
  <c r="E1252" i="35" s="1"/>
  <c r="E1253" i="35" a="1"/>
  <c r="E1253" i="35" s="1"/>
  <c r="E1254" i="35" a="1"/>
  <c r="E1254" i="35" s="1"/>
  <c r="E1255" i="35" a="1"/>
  <c r="E1255" i="35" s="1"/>
  <c r="E1256" i="35" a="1"/>
  <c r="E1256" i="35" s="1"/>
  <c r="E1257" i="35" a="1"/>
  <c r="E1257" i="35" s="1"/>
  <c r="E1258" i="35" a="1"/>
  <c r="E1258" i="35" s="1"/>
  <c r="E1259" i="35" a="1"/>
  <c r="E1259" i="35" s="1"/>
  <c r="E1260" i="35" a="1"/>
  <c r="E1260" i="35" s="1"/>
  <c r="E1261" i="35" a="1"/>
  <c r="E1261" i="35" s="1"/>
  <c r="E1262" i="35" a="1"/>
  <c r="E1262" i="35" s="1"/>
  <c r="E1263" i="35" a="1"/>
  <c r="E1263" i="35" s="1"/>
  <c r="E1264" i="35" a="1"/>
  <c r="E1264" i="35" s="1"/>
  <c r="E1265" i="35" a="1"/>
  <c r="E1265" i="35" s="1"/>
  <c r="E1266" i="35" a="1"/>
  <c r="E1266" i="35" s="1"/>
  <c r="E1267" i="35" a="1"/>
  <c r="E1267" i="35" s="1"/>
  <c r="E1268" i="35" a="1"/>
  <c r="E1268" i="35" s="1"/>
  <c r="E1269" i="35" a="1"/>
  <c r="E1269" i="35" s="1"/>
  <c r="E1270" i="35" a="1"/>
  <c r="E1270" i="35" s="1"/>
  <c r="E1271" i="35" a="1"/>
  <c r="E1271" i="35" s="1"/>
  <c r="E1272" i="35" a="1"/>
  <c r="E1272" i="35" s="1"/>
  <c r="E1273" i="35" a="1"/>
  <c r="E1273" i="35" s="1"/>
  <c r="E1274" i="35" a="1"/>
  <c r="E1274" i="35" s="1"/>
  <c r="E1275" i="35" a="1"/>
  <c r="E1275" i="35" s="1"/>
  <c r="E1276" i="35" a="1"/>
  <c r="E1276" i="35" s="1"/>
  <c r="E1277" i="35" a="1"/>
  <c r="E1277" i="35" s="1"/>
  <c r="E1278" i="35" a="1"/>
  <c r="E1278" i="35" s="1"/>
  <c r="E1279" i="35" a="1"/>
  <c r="E1279" i="35" s="1"/>
  <c r="E1280" i="35" a="1"/>
  <c r="E1280" i="35" s="1"/>
  <c r="E1281" i="35" a="1"/>
  <c r="E1281" i="35" s="1"/>
  <c r="E1282" i="35" a="1"/>
  <c r="E1282" i="35" s="1"/>
  <c r="E1283" i="35" a="1"/>
  <c r="E1283" i="35" s="1"/>
  <c r="E1284" i="35" a="1"/>
  <c r="E1284" i="35" s="1"/>
  <c r="E1285" i="35" a="1"/>
  <c r="E1285" i="35" s="1"/>
  <c r="E1286" i="35" a="1"/>
  <c r="E1286" i="35" s="1"/>
  <c r="E1287" i="35" a="1"/>
  <c r="E1287" i="35" s="1"/>
  <c r="E1288" i="35" a="1"/>
  <c r="E1288" i="35" s="1"/>
  <c r="E1289" i="35" a="1"/>
  <c r="E1289" i="35" s="1"/>
  <c r="E1290" i="35" a="1"/>
  <c r="E1290" i="35" s="1"/>
  <c r="E1291" i="35" a="1"/>
  <c r="E1291" i="35" s="1"/>
  <c r="E1292" i="35" a="1"/>
  <c r="E1292" i="35" s="1"/>
  <c r="E1293" i="35" a="1"/>
  <c r="E1293" i="35" s="1"/>
  <c r="E1294" i="35" a="1"/>
  <c r="E1294" i="35" s="1"/>
  <c r="E1295" i="35" a="1"/>
  <c r="E1295" i="35" s="1"/>
  <c r="E1296" i="35" a="1"/>
  <c r="E1296" i="35" s="1"/>
  <c r="E1297" i="35" a="1"/>
  <c r="E1297" i="35" s="1"/>
  <c r="E1298" i="35" a="1"/>
  <c r="E1298" i="35" s="1"/>
  <c r="E1299" i="35" a="1"/>
  <c r="E1299" i="35" s="1"/>
  <c r="E1300" i="35" a="1"/>
  <c r="E1300" i="35" s="1"/>
  <c r="E1301" i="35" a="1"/>
  <c r="E1301" i="35" s="1"/>
  <c r="E1302" i="35" a="1"/>
  <c r="E1302" i="35" s="1"/>
  <c r="E1303" i="35" a="1"/>
  <c r="E1303" i="35" s="1"/>
  <c r="E1304" i="35" a="1"/>
  <c r="E1304" i="35" s="1"/>
  <c r="E1305" i="35" a="1"/>
  <c r="E1305" i="35" s="1"/>
  <c r="E1306" i="35" a="1"/>
  <c r="E1306" i="35" s="1"/>
  <c r="E1307" i="35" a="1"/>
  <c r="E1307" i="35" s="1"/>
  <c r="E1308" i="35" a="1"/>
  <c r="E1308" i="35" s="1"/>
  <c r="E1309" i="35" a="1"/>
  <c r="E1309" i="35" s="1"/>
  <c r="E1310" i="35" a="1"/>
  <c r="E1310" i="35" s="1"/>
  <c r="E1311" i="35" a="1"/>
  <c r="E1311" i="35" s="1"/>
  <c r="E1312" i="35" a="1"/>
  <c r="E1312" i="35" s="1"/>
  <c r="E1313" i="35" a="1"/>
  <c r="E1313" i="35" s="1"/>
  <c r="E1314" i="35" a="1"/>
  <c r="E1314" i="35" s="1"/>
  <c r="E1315" i="35" a="1"/>
  <c r="E1315" i="35" s="1"/>
  <c r="E1316" i="35" a="1"/>
  <c r="E1316" i="35" s="1"/>
  <c r="E1317" i="35" a="1"/>
  <c r="E1317" i="35" s="1"/>
  <c r="E1318" i="35" a="1"/>
  <c r="E1318" i="35" s="1"/>
  <c r="E1319" i="35" a="1"/>
  <c r="E1319" i="35" s="1"/>
  <c r="E1320" i="35" a="1"/>
  <c r="E1320" i="35" s="1"/>
  <c r="E1321" i="35" a="1"/>
  <c r="E1321" i="35" s="1"/>
  <c r="E1322" i="35" a="1"/>
  <c r="E1322" i="35" s="1"/>
  <c r="E1323" i="35" a="1"/>
  <c r="E1323" i="35" s="1"/>
  <c r="E1324" i="35" a="1"/>
  <c r="E1324" i="35" s="1"/>
  <c r="E1325" i="35" a="1"/>
  <c r="E1325" i="35" s="1"/>
  <c r="E1326" i="35" a="1"/>
  <c r="E1326" i="35" s="1"/>
  <c r="E1327" i="35" a="1"/>
  <c r="E1327" i="35" s="1"/>
  <c r="E1328" i="35" a="1"/>
  <c r="E1328" i="35" s="1"/>
  <c r="E1329" i="35" a="1"/>
  <c r="E1329" i="35" s="1"/>
  <c r="E1330" i="35" a="1"/>
  <c r="E1330" i="35" s="1"/>
  <c r="E1331" i="35" a="1"/>
  <c r="E1331" i="35" s="1"/>
  <c r="E1332" i="35" a="1"/>
  <c r="E1332" i="35" s="1"/>
  <c r="E1333" i="35" a="1"/>
  <c r="E1333" i="35" s="1"/>
  <c r="E1334" i="35" a="1"/>
  <c r="E1334" i="35" s="1"/>
  <c r="E1335" i="35" a="1"/>
  <c r="E1335" i="35" s="1"/>
  <c r="E1336" i="35" a="1"/>
  <c r="E1336" i="35" s="1"/>
  <c r="E1337" i="35" a="1"/>
  <c r="E1337" i="35" s="1"/>
  <c r="E1338" i="35" a="1"/>
  <c r="E1338" i="35" s="1"/>
  <c r="E1339" i="35" a="1"/>
  <c r="E1339" i="35" s="1"/>
  <c r="E1340" i="35" a="1"/>
  <c r="E1340" i="35" s="1"/>
  <c r="E1341" i="35" a="1"/>
  <c r="E1341" i="35" s="1"/>
  <c r="E1342" i="35" a="1"/>
  <c r="E1342" i="35" s="1"/>
  <c r="E1343" i="35" a="1"/>
  <c r="E1343" i="35" s="1"/>
  <c r="E1344" i="35" a="1"/>
  <c r="E1344" i="35" s="1"/>
  <c r="E1345" i="35" a="1"/>
  <c r="E1345" i="35" s="1"/>
  <c r="E1346" i="35" a="1"/>
  <c r="E1346" i="35" s="1"/>
  <c r="E1347" i="35" a="1"/>
  <c r="E1347" i="35" s="1"/>
  <c r="E1348" i="35" a="1"/>
  <c r="E1348" i="35" s="1"/>
  <c r="E1349" i="35" a="1"/>
  <c r="E1349" i="35" s="1"/>
  <c r="E1350" i="35" a="1"/>
  <c r="E1350" i="35" s="1"/>
  <c r="E1351" i="35" a="1"/>
  <c r="E1351" i="35" s="1"/>
  <c r="E1352" i="35" a="1"/>
  <c r="E1352" i="35" s="1"/>
  <c r="E1353" i="35" a="1"/>
  <c r="E1353" i="35" s="1"/>
  <c r="E1354" i="35" a="1"/>
  <c r="E1354" i="35" s="1"/>
  <c r="E1355" i="35" a="1"/>
  <c r="E1355" i="35" s="1"/>
  <c r="E1356" i="35" a="1"/>
  <c r="E1356" i="35" s="1"/>
  <c r="E1357" i="35" a="1"/>
  <c r="E1357" i="35" s="1"/>
  <c r="E1358" i="35" a="1"/>
  <c r="E1358" i="35" s="1"/>
  <c r="E1359" i="35" a="1"/>
  <c r="E1359" i="35" s="1"/>
  <c r="E1360" i="35" a="1"/>
  <c r="E1360" i="35" s="1"/>
  <c r="E1361" i="35" a="1"/>
  <c r="E1361" i="35" s="1"/>
  <c r="E1362" i="35" a="1"/>
  <c r="E1362" i="35" s="1"/>
  <c r="E1363" i="35" a="1"/>
  <c r="E1363" i="35" s="1"/>
  <c r="E1364" i="35" a="1"/>
  <c r="E1364" i="35" s="1"/>
  <c r="E1365" i="35" a="1"/>
  <c r="E1365" i="35" s="1"/>
  <c r="E1366" i="35" a="1"/>
  <c r="E1366" i="35" s="1"/>
  <c r="E1367" i="35" a="1"/>
  <c r="E1367" i="35" s="1"/>
  <c r="E1368" i="35" a="1"/>
  <c r="E1368" i="35" s="1"/>
  <c r="E1369" i="35" a="1"/>
  <c r="E1369" i="35" s="1"/>
  <c r="E1370" i="35" a="1"/>
  <c r="E1370" i="35" s="1"/>
  <c r="E1371" i="35" a="1"/>
  <c r="E1371" i="35" s="1"/>
  <c r="E1372" i="35" a="1"/>
  <c r="E1372" i="35" s="1"/>
  <c r="E1373" i="35" a="1"/>
  <c r="E1373" i="35" s="1"/>
  <c r="E1374" i="35" a="1"/>
  <c r="E1374" i="35" s="1"/>
  <c r="E1375" i="35" a="1"/>
  <c r="E1375" i="35" s="1"/>
  <c r="E1376" i="35" a="1"/>
  <c r="E1376" i="35" s="1"/>
  <c r="E1377" i="35" a="1"/>
  <c r="E1377" i="35" s="1"/>
  <c r="E1378" i="35" a="1"/>
  <c r="E1378" i="35" s="1"/>
  <c r="E1379" i="35" a="1"/>
  <c r="E1379" i="35" s="1"/>
  <c r="E1380" i="35" a="1"/>
  <c r="E1380" i="35" s="1"/>
  <c r="E1381" i="35" a="1"/>
  <c r="E1381" i="35" s="1"/>
  <c r="E1382" i="35" a="1"/>
  <c r="E1382" i="35" s="1"/>
  <c r="E1383" i="35" a="1"/>
  <c r="E1383" i="35" s="1"/>
  <c r="E1384" i="35" a="1"/>
  <c r="E1384" i="35" s="1"/>
  <c r="E1385" i="35" a="1"/>
  <c r="E1385" i="35" s="1"/>
  <c r="E1386" i="35" a="1"/>
  <c r="E1386" i="35" s="1"/>
  <c r="E1387" i="35" a="1"/>
  <c r="E1387" i="35" s="1"/>
  <c r="E1388" i="35" a="1"/>
  <c r="E1388" i="35" s="1"/>
  <c r="E1389" i="35" a="1"/>
  <c r="E1389" i="35" s="1"/>
  <c r="E1390" i="35" a="1"/>
  <c r="E1390" i="35" s="1"/>
  <c r="E1391" i="35" a="1"/>
  <c r="E1391" i="35" s="1"/>
  <c r="E1392" i="35" a="1"/>
  <c r="E1392" i="35" s="1"/>
  <c r="E1393" i="35" a="1"/>
  <c r="E1393" i="35" s="1"/>
  <c r="E1394" i="35" a="1"/>
  <c r="E1394" i="35" s="1"/>
  <c r="E1395" i="35" a="1"/>
  <c r="E1395" i="35" s="1"/>
  <c r="E1396" i="35" a="1"/>
  <c r="E1396" i="35" s="1"/>
  <c r="E1397" i="35" a="1"/>
  <c r="E1397" i="35" s="1"/>
  <c r="E1398" i="35" a="1"/>
  <c r="E1398" i="35" s="1"/>
  <c r="E1399" i="35" a="1"/>
  <c r="E1399" i="35" s="1"/>
  <c r="E1400" i="35" a="1"/>
  <c r="E1400" i="35" s="1"/>
  <c r="E1401" i="35" a="1"/>
  <c r="E1401" i="35" s="1"/>
  <c r="E1402" i="35" a="1"/>
  <c r="E1402" i="35" s="1"/>
  <c r="E1403" i="35" a="1"/>
  <c r="E1403" i="35" s="1"/>
  <c r="E1404" i="35" a="1"/>
  <c r="E1404" i="35" s="1"/>
  <c r="E1405" i="35" a="1"/>
  <c r="E1405" i="35" s="1"/>
  <c r="E1406" i="35" a="1"/>
  <c r="E1406" i="35" s="1"/>
  <c r="E1407" i="35" a="1"/>
  <c r="E1407" i="35" s="1"/>
  <c r="E1408" i="35" a="1"/>
  <c r="E1408" i="35" s="1"/>
  <c r="E1409" i="35" a="1"/>
  <c r="E1409" i="35" s="1"/>
  <c r="E1410" i="35" a="1"/>
  <c r="E1410" i="35" s="1"/>
  <c r="E1411" i="35" a="1"/>
  <c r="E1411" i="35" s="1"/>
  <c r="E1412" i="35" a="1"/>
  <c r="E1412" i="35" s="1"/>
  <c r="E1413" i="35" a="1"/>
  <c r="E1413" i="35" s="1"/>
  <c r="E1414" i="35" a="1"/>
  <c r="E1414" i="35" s="1"/>
  <c r="E1415" i="35" a="1"/>
  <c r="E1415" i="35" s="1"/>
  <c r="E1416" i="35" a="1"/>
  <c r="E1416" i="35" s="1"/>
  <c r="E1417" i="35" a="1"/>
  <c r="E1417" i="35" s="1"/>
  <c r="E1418" i="35" a="1"/>
  <c r="E1418" i="35" s="1"/>
  <c r="E1419" i="35" a="1"/>
  <c r="E1419" i="35" s="1"/>
  <c r="E1420" i="35" a="1"/>
  <c r="E1420" i="35" s="1"/>
  <c r="E1421" i="35" a="1"/>
  <c r="E1421" i="35" s="1"/>
  <c r="E1422" i="35" a="1"/>
  <c r="E1422" i="35" s="1"/>
  <c r="E1423" i="35" a="1"/>
  <c r="E1423" i="35" s="1"/>
  <c r="E1424" i="35" a="1"/>
  <c r="E1424" i="35" s="1"/>
  <c r="E1425" i="35" a="1"/>
  <c r="E1425" i="35" s="1"/>
  <c r="E1426" i="35" a="1"/>
  <c r="E1426" i="35" s="1"/>
  <c r="E1427" i="35" a="1"/>
  <c r="E1427" i="35" s="1"/>
  <c r="E1428" i="35" a="1"/>
  <c r="E1428" i="35" s="1"/>
  <c r="E1429" i="35" a="1"/>
  <c r="E1429" i="35" s="1"/>
  <c r="E1430" i="35" a="1"/>
  <c r="E1430" i="35" s="1"/>
  <c r="E1431" i="35" a="1"/>
  <c r="E1431" i="35" s="1"/>
  <c r="E1432" i="35" a="1"/>
  <c r="E1432" i="35" s="1"/>
  <c r="E1433" i="35" a="1"/>
  <c r="E1433" i="35" s="1"/>
  <c r="E1434" i="35" a="1"/>
  <c r="E1434" i="35" s="1"/>
  <c r="E1435" i="35" a="1"/>
  <c r="E1435" i="35" s="1"/>
  <c r="E1436" i="35" a="1"/>
  <c r="E1436" i="35" s="1"/>
  <c r="E1437" i="35" a="1"/>
  <c r="E1437" i="35" s="1"/>
  <c r="E1438" i="35" a="1"/>
  <c r="E1438" i="35" s="1"/>
  <c r="E1439" i="35" a="1"/>
  <c r="E1439" i="35" s="1"/>
  <c r="E1440" i="35" a="1"/>
  <c r="E1440" i="35" s="1"/>
  <c r="E1441" i="35" a="1"/>
  <c r="E1441" i="35" s="1"/>
  <c r="E1442" i="35" a="1"/>
  <c r="E1442" i="35" s="1"/>
  <c r="E1443" i="35" a="1"/>
  <c r="E1443" i="35" s="1"/>
  <c r="E1444" i="35" a="1"/>
  <c r="E1444" i="35" s="1"/>
  <c r="E1445" i="35" a="1"/>
  <c r="E1445" i="35" s="1"/>
  <c r="E1446" i="35" a="1"/>
  <c r="E1446" i="35" s="1"/>
  <c r="E1447" i="35" a="1"/>
  <c r="E1447" i="35" s="1"/>
  <c r="E1448" i="35" a="1"/>
  <c r="E1448" i="35" s="1"/>
  <c r="E1449" i="35" a="1"/>
  <c r="E1449" i="35" s="1"/>
  <c r="E1450" i="35" a="1"/>
  <c r="E1450" i="35" s="1"/>
  <c r="E1451" i="35" a="1"/>
  <c r="E1451" i="35" s="1"/>
  <c r="E1452" i="35" a="1"/>
  <c r="E1452" i="35" s="1"/>
  <c r="E1453" i="35" a="1"/>
  <c r="E1453" i="35" s="1"/>
  <c r="E1454" i="35" a="1"/>
  <c r="E1454" i="35" s="1"/>
  <c r="E1455" i="35" a="1"/>
  <c r="E1455" i="35" s="1"/>
  <c r="E1456" i="35" a="1"/>
  <c r="E1456" i="35" s="1"/>
  <c r="E1457" i="35" a="1"/>
  <c r="E1457" i="35" s="1"/>
  <c r="E1458" i="35" a="1"/>
  <c r="E1458" i="35" s="1"/>
  <c r="E1459" i="35" a="1"/>
  <c r="E1459" i="35" s="1"/>
  <c r="E1460" i="35" a="1"/>
  <c r="E1460" i="35" s="1"/>
  <c r="E1461" i="35" a="1"/>
  <c r="E1461" i="35" s="1"/>
  <c r="E1462" i="35" a="1"/>
  <c r="E1462" i="35" s="1"/>
  <c r="E1463" i="35" a="1"/>
  <c r="E1463" i="35" s="1"/>
  <c r="E1464" i="35" a="1"/>
  <c r="E1464" i="35" s="1"/>
  <c r="E1465" i="35" a="1"/>
  <c r="E1465" i="35" s="1"/>
  <c r="E1466" i="35" a="1"/>
  <c r="E1466" i="35" s="1"/>
  <c r="E1467" i="35" a="1"/>
  <c r="E1467" i="35" s="1"/>
  <c r="E1468" i="35" a="1"/>
  <c r="E1468" i="35" s="1"/>
  <c r="E1469" i="35" a="1"/>
  <c r="E1469" i="35" s="1"/>
  <c r="E1470" i="35" a="1"/>
  <c r="E1470" i="35" s="1"/>
  <c r="E1471" i="35" a="1"/>
  <c r="E1471" i="35" s="1"/>
  <c r="E1472" i="35" a="1"/>
  <c r="E1472" i="35" s="1"/>
  <c r="E1473" i="35" a="1"/>
  <c r="E1473" i="35" s="1"/>
  <c r="E1474" i="35" a="1"/>
  <c r="E1474" i="35" s="1"/>
  <c r="E1475" i="35" a="1"/>
  <c r="E1475" i="35" s="1"/>
  <c r="E1476" i="35" a="1"/>
  <c r="E1476" i="35" s="1"/>
  <c r="E1477" i="35" a="1"/>
  <c r="E1477" i="35" s="1"/>
  <c r="E1478" i="35" a="1"/>
  <c r="E1478" i="35" s="1"/>
  <c r="E1479" i="35" a="1"/>
  <c r="E1479" i="35" s="1"/>
  <c r="E1480" i="35" a="1"/>
  <c r="E1480" i="35" s="1"/>
  <c r="E1481" i="35" a="1"/>
  <c r="E1481" i="35" s="1"/>
  <c r="E1482" i="35" a="1"/>
  <c r="E1482" i="35" s="1"/>
  <c r="E1483" i="35" a="1"/>
  <c r="E1483" i="35" s="1"/>
  <c r="E1484" i="35" a="1"/>
  <c r="E1484" i="35" s="1"/>
  <c r="E1485" i="35" a="1"/>
  <c r="E1485" i="35" s="1"/>
  <c r="E1486" i="35" a="1"/>
  <c r="E1486" i="35" s="1"/>
  <c r="E1487" i="35" a="1"/>
  <c r="E1487" i="35" s="1"/>
  <c r="E1488" i="35" a="1"/>
  <c r="E1488" i="35" s="1"/>
  <c r="E1489" i="35" a="1"/>
  <c r="E1489" i="35" s="1"/>
  <c r="E1490" i="35" a="1"/>
  <c r="E1490" i="35" s="1"/>
  <c r="E1491" i="35" a="1"/>
  <c r="E1491" i="35" s="1"/>
  <c r="E1492" i="35" a="1"/>
  <c r="E1492" i="35" s="1"/>
  <c r="E1493" i="35" a="1"/>
  <c r="E1493" i="35" s="1"/>
  <c r="E1494" i="35" a="1"/>
  <c r="E1494" i="35" s="1"/>
  <c r="E1495" i="35" a="1"/>
  <c r="E1495" i="35" s="1"/>
  <c r="E1496" i="35" a="1"/>
  <c r="E1496" i="35" s="1"/>
  <c r="E1497" i="35" a="1"/>
  <c r="E1497" i="35" s="1"/>
  <c r="E1498" i="35" a="1"/>
  <c r="E1498" i="35" s="1"/>
  <c r="E1499" i="35" a="1"/>
  <c r="E1499" i="35" s="1"/>
  <c r="E1500" i="35" a="1"/>
  <c r="E1500" i="35" s="1"/>
  <c r="E1501" i="35" a="1"/>
  <c r="E1501" i="35" s="1"/>
  <c r="E1502" i="35" a="1"/>
  <c r="E1502" i="35" s="1"/>
  <c r="E1503" i="35" a="1"/>
  <c r="E1503" i="35" s="1"/>
  <c r="E1504" i="35" a="1"/>
  <c r="E1504" i="35" s="1"/>
  <c r="E1505" i="35" a="1"/>
  <c r="E1505" i="35" s="1"/>
  <c r="E1506" i="35" a="1"/>
  <c r="E1506" i="35" s="1"/>
  <c r="E1507" i="35" a="1"/>
  <c r="E1507" i="35" s="1"/>
  <c r="E1508" i="35" a="1"/>
  <c r="E1508" i="35" s="1"/>
  <c r="E1509" i="35" a="1"/>
  <c r="E1509" i="35" s="1"/>
  <c r="E1510" i="35" a="1"/>
  <c r="E1510" i="35" s="1"/>
  <c r="E1511" i="35" a="1"/>
  <c r="E1511" i="35" s="1"/>
  <c r="E1512" i="35" a="1"/>
  <c r="E1512" i="35" s="1"/>
  <c r="E1513" i="35" a="1"/>
  <c r="E1513" i="35" s="1"/>
  <c r="E1514" i="35" a="1"/>
  <c r="E1514" i="35" s="1"/>
  <c r="E1515" i="35" a="1"/>
  <c r="E1515" i="35" s="1"/>
  <c r="E1516" i="35" a="1"/>
  <c r="E1516" i="35" s="1"/>
  <c r="E1517" i="35" a="1"/>
  <c r="E1517" i="35" s="1"/>
  <c r="E1518" i="35" a="1"/>
  <c r="E1518" i="35" s="1"/>
  <c r="E1519" i="35" a="1"/>
  <c r="E1519" i="35" s="1"/>
  <c r="E1520" i="35" a="1"/>
  <c r="E1520" i="35" s="1"/>
  <c r="E1521" i="35" a="1"/>
  <c r="E1521" i="35" s="1"/>
  <c r="E1522" i="35" a="1"/>
  <c r="E1522" i="35" s="1"/>
  <c r="E1523" i="35" a="1"/>
  <c r="E1523" i="35" s="1"/>
  <c r="E1524" i="35" a="1"/>
  <c r="E1524" i="35" s="1"/>
  <c r="E1525" i="35" a="1"/>
  <c r="E1525" i="35" s="1"/>
  <c r="E1526" i="35" a="1"/>
  <c r="E1526" i="35" s="1"/>
  <c r="E1527" i="35" a="1"/>
  <c r="E1527" i="35" s="1"/>
  <c r="E1528" i="35" a="1"/>
  <c r="E1528" i="35" s="1"/>
  <c r="E1529" i="35" a="1"/>
  <c r="E1529" i="35" s="1"/>
  <c r="E1530" i="35" a="1"/>
  <c r="E1530" i="35" s="1"/>
  <c r="E1531" i="35" a="1"/>
  <c r="E1531" i="35" s="1"/>
  <c r="E1532" i="35" a="1"/>
  <c r="E1532" i="35" s="1"/>
  <c r="E1533" i="35" a="1"/>
  <c r="E1533" i="35" s="1"/>
  <c r="E1534" i="35" a="1"/>
  <c r="E1534" i="35" s="1"/>
  <c r="E1535" i="35" a="1"/>
  <c r="E1535" i="35" s="1"/>
  <c r="E1536" i="35" a="1"/>
  <c r="E1536" i="35" s="1"/>
  <c r="E1537" i="35" a="1"/>
  <c r="E1537" i="35" s="1"/>
  <c r="E1538" i="35" a="1"/>
  <c r="E1538" i="35" s="1"/>
  <c r="E1539" i="35" a="1"/>
  <c r="E1539" i="35" s="1"/>
  <c r="E1540" i="35" a="1"/>
  <c r="E1540" i="35" s="1"/>
  <c r="E1541" i="35" a="1"/>
  <c r="E1541" i="35" s="1"/>
  <c r="E1542" i="35" a="1"/>
  <c r="E1542" i="35" s="1"/>
  <c r="E1543" i="35" a="1"/>
  <c r="E1543" i="35" s="1"/>
  <c r="E1544" i="35" a="1"/>
  <c r="E1544" i="35" s="1"/>
  <c r="E1545" i="35" a="1"/>
  <c r="E1545" i="35" s="1"/>
  <c r="E1546" i="35" a="1"/>
  <c r="E1546" i="35" s="1"/>
  <c r="E1547" i="35" a="1"/>
  <c r="E1547" i="35" s="1"/>
  <c r="E1548" i="35" a="1"/>
  <c r="E1548" i="35" s="1"/>
  <c r="E1549" i="35" a="1"/>
  <c r="E1549" i="35" s="1"/>
  <c r="E1550" i="35" a="1"/>
  <c r="E1550" i="35" s="1"/>
  <c r="E1551" i="35" a="1"/>
  <c r="E1551" i="35" s="1"/>
  <c r="E1552" i="35" a="1"/>
  <c r="E1552" i="35" s="1"/>
  <c r="E1553" i="35" a="1"/>
  <c r="E1553" i="35" s="1"/>
  <c r="E1554" i="35" a="1"/>
  <c r="E1554" i="35" s="1"/>
  <c r="E1555" i="35" a="1"/>
  <c r="E1555" i="35" s="1"/>
  <c r="E1556" i="35" a="1"/>
  <c r="E1556" i="35" s="1"/>
  <c r="E1557" i="35" a="1"/>
  <c r="E1557" i="35" s="1"/>
  <c r="E1558" i="35" a="1"/>
  <c r="E1558" i="35" s="1"/>
  <c r="E1559" i="35" a="1"/>
  <c r="E1559" i="35" s="1"/>
  <c r="E1560" i="35" a="1"/>
  <c r="E1560" i="35" s="1"/>
  <c r="E1561" i="35" a="1"/>
  <c r="E1561" i="35" s="1"/>
  <c r="E1562" i="35" a="1"/>
  <c r="E1562" i="35" s="1"/>
  <c r="E1563" i="35" a="1"/>
  <c r="E1563" i="35" s="1"/>
  <c r="E1564" i="35" a="1"/>
  <c r="E1564" i="35" s="1"/>
  <c r="E1565" i="35" a="1"/>
  <c r="E1565" i="35" s="1"/>
  <c r="E1566" i="35" a="1"/>
  <c r="E1566" i="35" s="1"/>
  <c r="E1567" i="35" a="1"/>
  <c r="E1567" i="35" s="1"/>
  <c r="E1568" i="35" a="1"/>
  <c r="E1568" i="35" s="1"/>
  <c r="E1569" i="35" a="1"/>
  <c r="E1569" i="35" s="1"/>
  <c r="E1570" i="35" a="1"/>
  <c r="E1570" i="35" s="1"/>
  <c r="E1571" i="35" a="1"/>
  <c r="E1571" i="35" s="1"/>
  <c r="E1572" i="35" a="1"/>
  <c r="E1572" i="35" s="1"/>
  <c r="E1573" i="35" a="1"/>
  <c r="E1573" i="35" s="1"/>
  <c r="E1574" i="35" a="1"/>
  <c r="E1574" i="35" s="1"/>
  <c r="E1575" i="35" a="1"/>
  <c r="E1575" i="35" s="1"/>
  <c r="E1576" i="35" a="1"/>
  <c r="E1576" i="35" s="1"/>
  <c r="E1577" i="35" a="1"/>
  <c r="E1577" i="35" s="1"/>
  <c r="E1578" i="35" a="1"/>
  <c r="E1578" i="35" s="1"/>
  <c r="E1579" i="35" a="1"/>
  <c r="E1579" i="35" s="1"/>
  <c r="E1580" i="35" a="1"/>
  <c r="E1580" i="35" s="1"/>
  <c r="E1581" i="35" a="1"/>
  <c r="E1581" i="35" s="1"/>
  <c r="E1582" i="35" a="1"/>
  <c r="E1582" i="35" s="1"/>
  <c r="E1583" i="35" a="1"/>
  <c r="E1583" i="35" s="1"/>
  <c r="E1584" i="35" a="1"/>
  <c r="E1584" i="35" s="1"/>
  <c r="E1585" i="35" a="1"/>
  <c r="E1585" i="35" s="1"/>
  <c r="E1586" i="35" a="1"/>
  <c r="E1586" i="35" s="1"/>
  <c r="E1587" i="35" a="1"/>
  <c r="E1587" i="35" s="1"/>
  <c r="E1588" i="35" a="1"/>
  <c r="E1588" i="35" s="1"/>
  <c r="E1589" i="35" a="1"/>
  <c r="E1589" i="35" s="1"/>
  <c r="E1590" i="35" a="1"/>
  <c r="E1590" i="35" s="1"/>
  <c r="E1591" i="35" a="1"/>
  <c r="E1591" i="35" s="1"/>
  <c r="E1592" i="35" a="1"/>
  <c r="E1592" i="35" s="1"/>
  <c r="E1593" i="35" a="1"/>
  <c r="E1593" i="35" s="1"/>
  <c r="E1594" i="35" a="1"/>
  <c r="E1594" i="35" s="1"/>
  <c r="E1595" i="35" a="1"/>
  <c r="E1595" i="35" s="1"/>
  <c r="E1596" i="35" a="1"/>
  <c r="E1596" i="35" s="1"/>
  <c r="E1597" i="35" a="1"/>
  <c r="E1597" i="35" s="1"/>
  <c r="E1598" i="35" a="1"/>
  <c r="E1598" i="35" s="1"/>
  <c r="E1599" i="35" a="1"/>
  <c r="E1599" i="35" s="1"/>
  <c r="E1600" i="35" a="1"/>
  <c r="E1600" i="35" s="1"/>
  <c r="E1601" i="35" a="1"/>
  <c r="E1601" i="35" s="1"/>
  <c r="E1602" i="35" a="1"/>
  <c r="E1602" i="35" s="1"/>
  <c r="E1603" i="35" a="1"/>
  <c r="E1603" i="35" s="1"/>
  <c r="E1604" i="35" a="1"/>
  <c r="E1604" i="35" s="1"/>
  <c r="E1605" i="35" a="1"/>
  <c r="E1605" i="35" s="1"/>
  <c r="E1606" i="35" a="1"/>
  <c r="E1606" i="35" s="1"/>
  <c r="E1607" i="35" a="1"/>
  <c r="E1607" i="35" s="1"/>
  <c r="E1608" i="35" a="1"/>
  <c r="E1608" i="35" s="1"/>
  <c r="E1609" i="35" a="1"/>
  <c r="E1609" i="35" s="1"/>
  <c r="E1610" i="35" a="1"/>
  <c r="E1610" i="35" s="1"/>
  <c r="E1611" i="35" a="1"/>
  <c r="E1611" i="35" s="1"/>
  <c r="E1612" i="35" a="1"/>
  <c r="E1612" i="35" s="1"/>
  <c r="E1613" i="35" a="1"/>
  <c r="E1613" i="35" s="1"/>
  <c r="E1614" i="35" a="1"/>
  <c r="E1614" i="35" s="1"/>
  <c r="E1615" i="35" a="1"/>
  <c r="E1615" i="35" s="1"/>
  <c r="E1616" i="35" a="1"/>
  <c r="E1616" i="35" s="1"/>
  <c r="E1617" i="35" a="1"/>
  <c r="E1617" i="35" s="1"/>
  <c r="E1618" i="35" a="1"/>
  <c r="E1618" i="35" s="1"/>
  <c r="E1619" i="35" a="1"/>
  <c r="E1619" i="35" s="1"/>
  <c r="E1620" i="35" a="1"/>
  <c r="E1620" i="35" s="1"/>
  <c r="E1621" i="35" a="1"/>
  <c r="E1621" i="35" s="1"/>
  <c r="E1622" i="35" a="1"/>
  <c r="E1622" i="35" s="1"/>
  <c r="E1623" i="35" a="1"/>
  <c r="E1623" i="35" s="1"/>
  <c r="E1624" i="35" a="1"/>
  <c r="E1624" i="35" s="1"/>
  <c r="E1625" i="35" a="1"/>
  <c r="E1625" i="35" s="1"/>
  <c r="E1626" i="35" a="1"/>
  <c r="E1626" i="35" s="1"/>
  <c r="E1627" i="35" a="1"/>
  <c r="E1627" i="35" s="1"/>
  <c r="E1628" i="35" a="1"/>
  <c r="E1628" i="35" s="1"/>
  <c r="E1629" i="35" a="1"/>
  <c r="E1629" i="35" s="1"/>
  <c r="E1630" i="35" a="1"/>
  <c r="E1630" i="35" s="1"/>
  <c r="E1631" i="35" a="1"/>
  <c r="E1631" i="35" s="1"/>
  <c r="E1632" i="35" a="1"/>
  <c r="E1632" i="35" s="1"/>
  <c r="E1633" i="35" a="1"/>
  <c r="E1633" i="35" s="1"/>
  <c r="E1634" i="35" a="1"/>
  <c r="E1634" i="35" s="1"/>
  <c r="E1635" i="35" a="1"/>
  <c r="E1635" i="35" s="1"/>
  <c r="E1636" i="35" a="1"/>
  <c r="E1636" i="35" s="1"/>
  <c r="E1637" i="35" a="1"/>
  <c r="E1637" i="35" s="1"/>
  <c r="E1638" i="35" a="1"/>
  <c r="E1638" i="35" s="1"/>
  <c r="E1639" i="35" a="1"/>
  <c r="E1639" i="35" s="1"/>
  <c r="E1640" i="35" a="1"/>
  <c r="E1640" i="35" s="1"/>
  <c r="E1641" i="35" a="1"/>
  <c r="E1641" i="35" s="1"/>
  <c r="E1642" i="35" a="1"/>
  <c r="E1642" i="35" s="1"/>
  <c r="E1643" i="35" a="1"/>
  <c r="E1643" i="35" s="1"/>
  <c r="E1644" i="35" a="1"/>
  <c r="E1644" i="35" s="1"/>
  <c r="E1645" i="35" a="1"/>
  <c r="E1645" i="35" s="1"/>
  <c r="E1646" i="35" a="1"/>
  <c r="E1646" i="35" s="1"/>
  <c r="E1647" i="35" a="1"/>
  <c r="E1647" i="35" s="1"/>
  <c r="E1648" i="35" a="1"/>
  <c r="E1648" i="35" s="1"/>
  <c r="E1649" i="35" a="1"/>
  <c r="E1649" i="35" s="1"/>
  <c r="E1650" i="35" a="1"/>
  <c r="E1650" i="35" s="1"/>
  <c r="E1651" i="35" a="1"/>
  <c r="E1651" i="35" s="1"/>
  <c r="E1652" i="35" a="1"/>
  <c r="E1652" i="35" s="1"/>
  <c r="E1653" i="35" a="1"/>
  <c r="E1653" i="35" s="1"/>
  <c r="E1654" i="35" a="1"/>
  <c r="E1654" i="35" s="1"/>
  <c r="E1655" i="35" a="1"/>
  <c r="E1655" i="35" s="1"/>
  <c r="E1656" i="35" a="1"/>
  <c r="E1656" i="35" s="1"/>
  <c r="E1657" i="35" a="1"/>
  <c r="E1657" i="35" s="1"/>
  <c r="E1658" i="35" a="1"/>
  <c r="E1658" i="35" s="1"/>
  <c r="E1659" i="35" a="1"/>
  <c r="E1659" i="35" s="1"/>
  <c r="E1660" i="35" a="1"/>
  <c r="E1660" i="35" s="1"/>
  <c r="E1661" i="35" a="1"/>
  <c r="E1661" i="35" s="1"/>
  <c r="E1662" i="35" a="1"/>
  <c r="E1662" i="35" s="1"/>
  <c r="E1663" i="35" a="1"/>
  <c r="E1663" i="35" s="1"/>
  <c r="E1664" i="35" a="1"/>
  <c r="E1664" i="35" s="1"/>
  <c r="E1665" i="35" a="1"/>
  <c r="E1665" i="35" s="1"/>
  <c r="E1666" i="35" a="1"/>
  <c r="E1666" i="35" s="1"/>
  <c r="E1667" i="35" a="1"/>
  <c r="E1667" i="35" s="1"/>
  <c r="E1668" i="35" a="1"/>
  <c r="E1668" i="35" s="1"/>
  <c r="E1669" i="35" a="1"/>
  <c r="E1669" i="35" s="1"/>
  <c r="E1670" i="35" a="1"/>
  <c r="E1670" i="35" s="1"/>
  <c r="E1671" i="35" a="1"/>
  <c r="E1671" i="35" s="1"/>
  <c r="E1672" i="35" a="1"/>
  <c r="E1672" i="35" s="1"/>
  <c r="E1673" i="35" a="1"/>
  <c r="E1673" i="35" s="1"/>
  <c r="E1674" i="35" a="1"/>
  <c r="E1674" i="35" s="1"/>
  <c r="E1675" i="35" a="1"/>
  <c r="E1675" i="35" s="1"/>
  <c r="E1676" i="35" a="1"/>
  <c r="E1676" i="35" s="1"/>
  <c r="E1677" i="35" a="1"/>
  <c r="E1677" i="35" s="1"/>
  <c r="E1678" i="35" a="1"/>
  <c r="E1678" i="35" s="1"/>
  <c r="E1679" i="35" a="1"/>
  <c r="E1679" i="35" s="1"/>
  <c r="E1680" i="35" a="1"/>
  <c r="E1680" i="35" s="1"/>
  <c r="E1681" i="35" a="1"/>
  <c r="E1681" i="35" s="1"/>
  <c r="E2" i="35" a="1"/>
  <c r="E2" i="35" s="1"/>
  <c r="D2" i="35" a="1"/>
  <c r="D2" i="35" s="1"/>
  <c r="C2" i="35" a="1"/>
  <c r="C2" i="35" s="1"/>
  <c r="B2" i="35" a="1"/>
  <c r="B2" i="35" s="1"/>
  <c r="C2" i="34" a="1"/>
  <c r="C2" i="34" s="1"/>
  <c r="B2" i="34" a="1"/>
  <c r="B2" i="34" s="1"/>
  <c r="A2" i="34" a="1"/>
  <c r="A2" i="34" s="1"/>
  <c r="B9" i="22"/>
  <c r="A9" i="22"/>
  <c r="B8" i="22"/>
  <c r="A8" i="22"/>
  <c r="B7" i="22"/>
  <c r="A7" i="22"/>
  <c r="B6" i="22"/>
  <c r="A6" i="22"/>
  <c r="B5" i="22"/>
  <c r="A5" i="22"/>
  <c r="B4" i="22"/>
  <c r="A4" i="22"/>
  <c r="B3" i="22"/>
  <c r="A3" i="22"/>
  <c r="B9" i="31"/>
  <c r="A9" i="31"/>
  <c r="B8" i="31"/>
  <c r="A8" i="31"/>
  <c r="B7" i="31"/>
  <c r="A7" i="31"/>
  <c r="B6" i="31"/>
  <c r="A6" i="31"/>
  <c r="B5" i="31"/>
  <c r="A5" i="31"/>
  <c r="B4" i="31"/>
  <c r="A4" i="31"/>
  <c r="B3" i="31"/>
  <c r="A3" i="31"/>
  <c r="B2" i="31"/>
  <c r="A2" i="31"/>
  <c r="AA2" i="30" a="1"/>
  <c r="AA2" i="30" s="1"/>
  <c r="M16" i="31"/>
  <c r="N16" i="31"/>
  <c r="M17" i="31"/>
  <c r="N17" i="31"/>
  <c r="M18" i="31"/>
  <c r="N18" i="31"/>
  <c r="M19" i="31"/>
  <c r="N19" i="31"/>
  <c r="M20" i="31"/>
  <c r="N20" i="31"/>
  <c r="M21" i="31"/>
  <c r="N21" i="31"/>
  <c r="M22" i="31"/>
  <c r="N22" i="31"/>
  <c r="M23" i="31"/>
  <c r="N23" i="31"/>
  <c r="M24" i="31"/>
  <c r="N24" i="31"/>
  <c r="M25" i="31"/>
  <c r="N25" i="31"/>
  <c r="M26" i="31"/>
  <c r="N26" i="31"/>
  <c r="M27" i="31"/>
  <c r="N27" i="31"/>
  <c r="M28" i="31"/>
  <c r="N28" i="31"/>
  <c r="M29" i="31"/>
  <c r="N29" i="31"/>
  <c r="M30" i="31"/>
  <c r="N30" i="31"/>
  <c r="M31" i="31"/>
  <c r="N31" i="31"/>
  <c r="M32" i="31"/>
  <c r="N32" i="31"/>
  <c r="M33" i="31"/>
  <c r="N33" i="31"/>
  <c r="M34" i="31"/>
  <c r="N34" i="31"/>
  <c r="N15" i="31"/>
  <c r="M15" i="31"/>
  <c r="B35" i="31"/>
  <c r="C35" i="31"/>
  <c r="D35" i="31"/>
  <c r="E35" i="31"/>
  <c r="F35" i="31"/>
  <c r="G35" i="31"/>
  <c r="H35" i="31"/>
  <c r="I35" i="31"/>
  <c r="J35" i="31"/>
  <c r="K35" i="31"/>
  <c r="B36" i="31"/>
  <c r="C36" i="31"/>
  <c r="D36" i="31"/>
  <c r="E36" i="31"/>
  <c r="F36" i="31"/>
  <c r="G36" i="31"/>
  <c r="H36" i="31"/>
  <c r="I36" i="31"/>
  <c r="J36" i="31"/>
  <c r="K36" i="31"/>
  <c r="B37" i="31"/>
  <c r="C37" i="31"/>
  <c r="D37" i="31"/>
  <c r="E37" i="31"/>
  <c r="F37" i="31"/>
  <c r="G37" i="31"/>
  <c r="H37" i="31"/>
  <c r="I37" i="31"/>
  <c r="J37" i="31"/>
  <c r="K37" i="31"/>
  <c r="B38" i="31"/>
  <c r="C38" i="31"/>
  <c r="D38" i="31"/>
  <c r="E38" i="31"/>
  <c r="F38" i="31"/>
  <c r="G38" i="31"/>
  <c r="H38" i="31"/>
  <c r="I38" i="31"/>
  <c r="J38" i="31"/>
  <c r="K38" i="31"/>
  <c r="A35" i="31"/>
  <c r="A36" i="31"/>
  <c r="A37" i="31"/>
  <c r="A38" i="31"/>
  <c r="B9" i="27"/>
  <c r="A9" i="27"/>
  <c r="B8" i="27"/>
  <c r="A8" i="27"/>
  <c r="B7" i="27"/>
  <c r="A7" i="27"/>
  <c r="B6" i="27"/>
  <c r="A6" i="27"/>
  <c r="B5" i="27"/>
  <c r="A5" i="27"/>
  <c r="B4" i="27"/>
  <c r="A4" i="27"/>
  <c r="B3" i="27"/>
  <c r="A3" i="27"/>
  <c r="B2" i="27"/>
  <c r="A2" i="27"/>
  <c r="F65" i="18" a="1"/>
  <c r="F65" i="18" s="1"/>
  <c r="D65" i="18"/>
  <c r="E88" i="9"/>
  <c r="D56" i="9"/>
  <c r="E41" i="9"/>
  <c r="E42" i="9"/>
  <c r="E43" i="9"/>
  <c r="E44" i="9"/>
  <c r="E45" i="9"/>
  <c r="E46" i="9"/>
  <c r="E47" i="9"/>
  <c r="E48" i="9"/>
  <c r="E49" i="9"/>
  <c r="E50" i="9"/>
  <c r="E51" i="9"/>
  <c r="E52" i="9"/>
  <c r="E53" i="9"/>
  <c r="E54" i="9"/>
  <c r="E55" i="9"/>
  <c r="E56" i="9"/>
  <c r="D41" i="9"/>
  <c r="D42" i="9"/>
  <c r="D43" i="9"/>
  <c r="D44" i="9"/>
  <c r="D45" i="9"/>
  <c r="D46" i="9"/>
  <c r="D47" i="9"/>
  <c r="D48" i="9"/>
  <c r="D49" i="9"/>
  <c r="D50" i="9"/>
  <c r="D51" i="9"/>
  <c r="D52" i="9"/>
  <c r="D53" i="9"/>
  <c r="D54" i="9"/>
  <c r="D55" i="9"/>
  <c r="B77" i="9"/>
  <c r="C77" i="9"/>
  <c r="C78" i="9"/>
  <c r="C79" i="9"/>
  <c r="B80" i="9"/>
  <c r="C80" i="9"/>
  <c r="C81" i="9"/>
  <c r="B82" i="9"/>
  <c r="C82" i="9"/>
  <c r="B83" i="9"/>
  <c r="C83" i="9"/>
  <c r="C84" i="9"/>
  <c r="C85" i="9"/>
  <c r="C86" i="9"/>
  <c r="B87" i="9"/>
  <c r="C87" i="9"/>
  <c r="M20" i="2"/>
  <c r="N20" i="2" s="1" a="1"/>
  <c r="N20" i="2" s="1"/>
  <c r="M23" i="2"/>
  <c r="N23" i="2" s="1" a="1"/>
  <c r="N23" i="2" s="1"/>
  <c r="M24" i="2"/>
  <c r="N24" i="2" s="1" a="1"/>
  <c r="N24" i="2" s="1"/>
  <c r="M28" i="2"/>
  <c r="C54" i="9"/>
  <c r="B54" i="9"/>
  <c r="C53" i="9"/>
  <c r="B53" i="9"/>
  <c r="C52" i="9"/>
  <c r="B52" i="9"/>
  <c r="B51" i="9"/>
  <c r="C50" i="9"/>
  <c r="B50" i="9"/>
  <c r="C49" i="9"/>
  <c r="B49" i="9"/>
  <c r="C48" i="9"/>
  <c r="B48" i="9"/>
  <c r="C46" i="9"/>
  <c r="M19" i="2"/>
  <c r="N19" i="2" s="1" a="1"/>
  <c r="N19" i="2" s="1"/>
  <c r="C45" i="9"/>
  <c r="B45" i="9"/>
  <c r="C44" i="9"/>
  <c r="B44" i="9"/>
  <c r="M16" i="2"/>
  <c r="N16" i="2" s="1" a="1"/>
  <c r="N16" i="2" s="1"/>
  <c r="C42" i="9"/>
  <c r="B42" i="9"/>
  <c r="C41" i="9"/>
  <c r="B41" i="9"/>
  <c r="B84" i="9"/>
  <c r="B85" i="9"/>
  <c r="A77" i="9"/>
  <c r="A78" i="9"/>
  <c r="A79" i="9"/>
  <c r="A80" i="9"/>
  <c r="A81" i="9"/>
  <c r="A82" i="9"/>
  <c r="A83" i="9"/>
  <c r="A84" i="9"/>
  <c r="A85" i="9"/>
  <c r="A86" i="9"/>
  <c r="A87" i="9"/>
  <c r="C55" i="9"/>
  <c r="C43" i="9"/>
  <c r="C47" i="9"/>
  <c r="C51" i="9"/>
  <c r="B43" i="9"/>
  <c r="B47" i="9"/>
  <c r="A41" i="9"/>
  <c r="A42" i="9"/>
  <c r="A43" i="9"/>
  <c r="A44" i="9"/>
  <c r="A45" i="9"/>
  <c r="A46" i="9"/>
  <c r="A47" i="9"/>
  <c r="A48" i="9"/>
  <c r="A49" i="9"/>
  <c r="A50" i="9"/>
  <c r="A51" i="9"/>
  <c r="A52" i="9"/>
  <c r="A53" i="9"/>
  <c r="A54" i="9"/>
  <c r="A55" i="9"/>
  <c r="A15" i="4"/>
  <c r="A16" i="4"/>
  <c r="A17" i="4"/>
  <c r="A18" i="4"/>
  <c r="A19" i="4"/>
  <c r="A20" i="4"/>
  <c r="A21" i="4"/>
  <c r="A22" i="4"/>
  <c r="A23" i="4"/>
  <c r="A24" i="4"/>
  <c r="A14" i="4"/>
  <c r="A15" i="2"/>
  <c r="A16" i="2" s="1"/>
  <c r="A17" i="2" s="1"/>
  <c r="A18" i="2" s="1"/>
  <c r="A19" i="2" s="1"/>
  <c r="A20" i="2" s="1"/>
  <c r="A21" i="2" s="1"/>
  <c r="A22" i="2" s="1"/>
  <c r="A23" i="2" s="1"/>
  <c r="A24" i="2" s="1"/>
  <c r="A25" i="2" s="1"/>
  <c r="A26" i="2" s="1"/>
  <c r="A27" i="2" s="1"/>
  <c r="A28" i="2" s="1"/>
  <c r="A14" i="2"/>
  <c r="B52" i="37" l="1"/>
  <c r="M20" i="22"/>
  <c r="M19" i="22"/>
  <c r="O19" i="22" s="1"/>
  <c r="M18" i="22"/>
  <c r="O18" i="22" s="1"/>
  <c r="M17" i="22"/>
  <c r="O17" i="22" s="1"/>
  <c r="M16" i="22"/>
  <c r="O16" i="22" s="1"/>
  <c r="M15" i="22"/>
  <c r="C44" i="37"/>
  <c r="M17" i="23"/>
  <c r="N17" i="23" s="1"/>
  <c r="M23" i="23"/>
  <c r="N23" i="23" s="1"/>
  <c r="M27" i="23"/>
  <c r="N27" i="23" s="1"/>
  <c r="M18" i="23"/>
  <c r="N18" i="23" s="1"/>
  <c r="M16" i="23"/>
  <c r="N16" i="23" s="1"/>
  <c r="M24" i="23"/>
  <c r="N24" i="23" s="1"/>
  <c r="M26" i="23"/>
  <c r="N26" i="23" s="1"/>
  <c r="M25" i="23"/>
  <c r="N25" i="23" s="1"/>
  <c r="M22" i="23"/>
  <c r="N22" i="23" s="1"/>
  <c r="M21" i="23"/>
  <c r="N21" i="23" s="1"/>
  <c r="M20" i="23"/>
  <c r="N20" i="23" s="1"/>
  <c r="M19" i="23"/>
  <c r="N19" i="23" s="1"/>
  <c r="A45" i="37"/>
  <c r="C45" i="37" s="1"/>
  <c r="A46" i="37"/>
  <c r="C46" i="37" s="1"/>
  <c r="G110" i="35" a="1"/>
  <c r="G110" i="35" s="1"/>
  <c r="G651" i="35" a="1"/>
  <c r="G651" i="35" s="1"/>
  <c r="G944" i="35" a="1"/>
  <c r="G944" i="35" s="1"/>
  <c r="G1121" i="35" a="1"/>
  <c r="G1121" i="35" s="1"/>
  <c r="G1212" i="35" a="1"/>
  <c r="G1212" i="35" s="1"/>
  <c r="G1283" i="35" a="1"/>
  <c r="G1283" i="35" s="1"/>
  <c r="G1362" i="35" a="1"/>
  <c r="G1362" i="35" s="1"/>
  <c r="G1436" i="35" a="1"/>
  <c r="G1436" i="35" s="1"/>
  <c r="G1493" i="35" a="1"/>
  <c r="G1493" i="35" s="1"/>
  <c r="G1548" i="35" a="1"/>
  <c r="G1548" i="35" s="1"/>
  <c r="G1596" i="35" a="1"/>
  <c r="G1596" i="35" s="1"/>
  <c r="G1637" i="35" a="1"/>
  <c r="G1637" i="35" s="1"/>
  <c r="G1677" i="35" a="1"/>
  <c r="G1677" i="35" s="1"/>
  <c r="G652" i="35" a="1"/>
  <c r="G652" i="35" s="1"/>
  <c r="G947" i="35" a="1"/>
  <c r="G947" i="35" s="1"/>
  <c r="G1122" i="35" a="1"/>
  <c r="G1122" i="35" s="1"/>
  <c r="G1213" i="35" a="1"/>
  <c r="G1213" i="35" s="1"/>
  <c r="G1284" i="35" a="1"/>
  <c r="G1284" i="35" s="1"/>
  <c r="G1363" i="35" a="1"/>
  <c r="G1363" i="35" s="1"/>
  <c r="G1437" i="35" a="1"/>
  <c r="G1437" i="35" s="1"/>
  <c r="G1494" i="35" a="1"/>
  <c r="G1494" i="35" s="1"/>
  <c r="G1549" i="35" a="1"/>
  <c r="G1549" i="35" s="1"/>
  <c r="G1597" i="35" a="1"/>
  <c r="G1597" i="35" s="1"/>
  <c r="G1638" i="35" a="1"/>
  <c r="G1638" i="35" s="1"/>
  <c r="G1142" i="35" a="1"/>
  <c r="G1142" i="35" s="1"/>
  <c r="G1451" i="35" a="1"/>
  <c r="G1451" i="35" s="1"/>
  <c r="G723" i="35" a="1"/>
  <c r="G723" i="35" s="1"/>
  <c r="G1507" i="35" a="1"/>
  <c r="G1507" i="35" s="1"/>
  <c r="G995" i="35" a="1"/>
  <c r="G995" i="35" s="1"/>
  <c r="G1508" i="35" a="1"/>
  <c r="G1508" i="35" s="1"/>
  <c r="G1041" i="35" a="1"/>
  <c r="G1041" i="35" s="1"/>
  <c r="G1456" i="35" a="1"/>
  <c r="G1456" i="35" s="1"/>
  <c r="G805" i="35" a="1"/>
  <c r="G805" i="35" s="1"/>
  <c r="G1469" i="35" a="1"/>
  <c r="G1469" i="35" s="1"/>
  <c r="G345" i="35" a="1"/>
  <c r="G345" i="35" s="1"/>
  <c r="G806" i="35" a="1"/>
  <c r="G806" i="35" s="1"/>
  <c r="G1043" i="35" a="1"/>
  <c r="G1043" i="35" s="1"/>
  <c r="G1170" i="35" a="1"/>
  <c r="G1170" i="35" s="1"/>
  <c r="G1251" i="35" a="1"/>
  <c r="G1251" i="35" s="1"/>
  <c r="G1324" i="35" a="1"/>
  <c r="G1324" i="35" s="1"/>
  <c r="G1399" i="35" a="1"/>
  <c r="G1399" i="35" s="1"/>
  <c r="G1473" i="35" a="1"/>
  <c r="G1473" i="35" s="1"/>
  <c r="G1528" i="35" a="1"/>
  <c r="G1528" i="35" s="1"/>
  <c r="G1623" i="35" a="1"/>
  <c r="G1623" i="35" s="1"/>
  <c r="G1663" i="35" a="1"/>
  <c r="G1663" i="35" s="1"/>
  <c r="G1227" i="35" a="1"/>
  <c r="G1227" i="35" s="1"/>
  <c r="G1380" i="35" a="1"/>
  <c r="G1380" i="35" s="1"/>
  <c r="G1649" i="35" a="1"/>
  <c r="G1649" i="35" s="1"/>
  <c r="G115" i="35" a="1"/>
  <c r="G115" i="35" s="1"/>
  <c r="G1381" i="35" a="1"/>
  <c r="G1381" i="35" s="1"/>
  <c r="G1452" i="35" a="1"/>
  <c r="G1452" i="35" s="1"/>
  <c r="G1650" i="35" a="1"/>
  <c r="G1650" i="35" s="1"/>
  <c r="G725" i="35" a="1"/>
  <c r="G725" i="35" s="1"/>
  <c r="G1305" i="35" a="1"/>
  <c r="G1305" i="35" s="1"/>
  <c r="G1453" i="35" a="1"/>
  <c r="G1453" i="35" s="1"/>
  <c r="G1610" i="35" a="1"/>
  <c r="G1610" i="35" s="1"/>
  <c r="G804" i="35" a="1"/>
  <c r="G804" i="35" s="1"/>
  <c r="G1322" i="35" a="1"/>
  <c r="G1322" i="35" s="1"/>
  <c r="G1514" i="35" a="1"/>
  <c r="G1514" i="35" s="1"/>
  <c r="G1652" i="35" a="1"/>
  <c r="G1652" i="35" s="1"/>
  <c r="G1042" i="35" a="1"/>
  <c r="G1042" i="35" s="1"/>
  <c r="G1323" i="35" a="1"/>
  <c r="G1323" i="35" s="1"/>
  <c r="G1527" i="35" a="1"/>
  <c r="G1527" i="35" s="1"/>
  <c r="G1662" i="35" a="1"/>
  <c r="G1662" i="35" s="1"/>
  <c r="G518" i="35" a="1"/>
  <c r="G518" i="35" s="1"/>
  <c r="G875" i="35" a="1"/>
  <c r="G875" i="35" s="1"/>
  <c r="G1077" i="35" a="1"/>
  <c r="G1077" i="35" s="1"/>
  <c r="G1188" i="35" a="1"/>
  <c r="G1188" i="35" s="1"/>
  <c r="G1266" i="35" a="1"/>
  <c r="G1266" i="35" s="1"/>
  <c r="G1339" i="35" a="1"/>
  <c r="G1339" i="35" s="1"/>
  <c r="G1417" i="35" a="1"/>
  <c r="G1417" i="35" s="1"/>
  <c r="G1474" i="35" a="1"/>
  <c r="G1474" i="35" s="1"/>
  <c r="G1529" i="35" a="1"/>
  <c r="G1529" i="35" s="1"/>
  <c r="G1582" i="35" a="1"/>
  <c r="G1582" i="35" s="1"/>
  <c r="G1624" i="35" a="1"/>
  <c r="G1624" i="35" s="1"/>
  <c r="G1664" i="35" a="1"/>
  <c r="G1664" i="35" s="1"/>
  <c r="G520" i="35" a="1"/>
  <c r="G520" i="35" s="1"/>
  <c r="G880" i="35" a="1"/>
  <c r="G880" i="35" s="1"/>
  <c r="G1078" i="35" a="1"/>
  <c r="G1078" i="35" s="1"/>
  <c r="G1189" i="35" a="1"/>
  <c r="G1189" i="35" s="1"/>
  <c r="G1267" i="35" a="1"/>
  <c r="G1267" i="35" s="1"/>
  <c r="G1340" i="35" a="1"/>
  <c r="G1340" i="35" s="1"/>
  <c r="G1418" i="35" a="1"/>
  <c r="G1418" i="35" s="1"/>
  <c r="G1477" i="35" a="1"/>
  <c r="G1477" i="35" s="1"/>
  <c r="G1530" i="35" a="1"/>
  <c r="G1530" i="35" s="1"/>
  <c r="G1583" i="35" a="1"/>
  <c r="G1583" i="35" s="1"/>
  <c r="G1626" i="35" a="1"/>
  <c r="G1626" i="35" s="1"/>
  <c r="G1665" i="35" a="1"/>
  <c r="G1665" i="35" s="1"/>
  <c r="G721" i="35" a="1"/>
  <c r="G721" i="35" s="1"/>
  <c r="G1563" i="35" a="1"/>
  <c r="G1563" i="35" s="1"/>
  <c r="G992" i="35" a="1"/>
  <c r="G992" i="35" s="1"/>
  <c r="G161" i="35" a="1"/>
  <c r="G161" i="35" s="1"/>
  <c r="G1382" i="35" a="1"/>
  <c r="G1382" i="35" s="1"/>
  <c r="G1651" i="35" a="1"/>
  <c r="G1651" i="35" s="1"/>
  <c r="G1249" i="35" a="1"/>
  <c r="G1249" i="35" s="1"/>
  <c r="G1611" i="35" a="1"/>
  <c r="G1611" i="35" s="1"/>
  <c r="G1250" i="35" a="1"/>
  <c r="G1250" i="35" s="1"/>
  <c r="G1622" i="35" a="1"/>
  <c r="G1622" i="35" s="1"/>
  <c r="G551" i="35" a="1"/>
  <c r="G551" i="35" s="1"/>
  <c r="G881" i="35" a="1"/>
  <c r="G881" i="35" s="1"/>
  <c r="G1091" i="35" a="1"/>
  <c r="G1091" i="35" s="1"/>
  <c r="G1193" i="35" a="1"/>
  <c r="G1193" i="35" s="1"/>
  <c r="G1268" i="35" a="1"/>
  <c r="G1268" i="35" s="1"/>
  <c r="G1341" i="35" a="1"/>
  <c r="G1341" i="35" s="1"/>
  <c r="G1419" i="35" a="1"/>
  <c r="G1419" i="35" s="1"/>
  <c r="G1491" i="35" a="1"/>
  <c r="G1491" i="35" s="1"/>
  <c r="G1546" i="35" a="1"/>
  <c r="G1546" i="35" s="1"/>
  <c r="G1594" i="35" a="1"/>
  <c r="G1594" i="35" s="1"/>
  <c r="G1634" i="35" a="1"/>
  <c r="G1634" i="35" s="1"/>
  <c r="G1675" i="35" a="1"/>
  <c r="G1675" i="35" s="1"/>
  <c r="G990" i="35" a="1"/>
  <c r="G990" i="35" s="1"/>
  <c r="G1506" i="35" a="1"/>
  <c r="G1506" i="35" s="1"/>
  <c r="G1144" i="35" a="1"/>
  <c r="G1144" i="35" s="1"/>
  <c r="G1564" i="35" a="1"/>
  <c r="G1564" i="35" s="1"/>
  <c r="G1150" i="35" a="1"/>
  <c r="G1150" i="35" s="1"/>
  <c r="G1565" i="35" a="1"/>
  <c r="G1565" i="35" s="1"/>
  <c r="G1168" i="35" a="1"/>
  <c r="G1168" i="35" s="1"/>
  <c r="G1569" i="35" a="1"/>
  <c r="G1569" i="35" s="1"/>
  <c r="G1169" i="35" a="1"/>
  <c r="G1169" i="35" s="1"/>
  <c r="G1581" i="35" a="1"/>
  <c r="G1581" i="35" s="1"/>
  <c r="G608" i="35" a="1"/>
  <c r="G608" i="35" s="1"/>
  <c r="G943" i="35" a="1"/>
  <c r="G943" i="35" s="1"/>
  <c r="G1119" i="35" a="1"/>
  <c r="G1119" i="35" s="1"/>
  <c r="G1211" i="35" a="1"/>
  <c r="G1211" i="35" s="1"/>
  <c r="G1282" i="35" a="1"/>
  <c r="G1282" i="35" s="1"/>
  <c r="G1361" i="35" a="1"/>
  <c r="G1361" i="35" s="1"/>
  <c r="G1435" i="35" a="1"/>
  <c r="G1435" i="35" s="1"/>
  <c r="G1492" i="35" a="1"/>
  <c r="G1492" i="35" s="1"/>
  <c r="G1547" i="35" a="1"/>
  <c r="G1547" i="35" s="1"/>
  <c r="G1595" i="35" a="1"/>
  <c r="G1595" i="35" s="1"/>
  <c r="G1636" i="35" a="1"/>
  <c r="G1636" i="35" s="1"/>
  <c r="G1676" i="35" a="1"/>
  <c r="G1676" i="35" s="1"/>
  <c r="G1678" i="35" a="1"/>
  <c r="G1678" i="35" s="1"/>
  <c r="G1304" i="35" a="1"/>
  <c r="G1304" i="35" s="1"/>
  <c r="G1608" i="35" a="1"/>
  <c r="G1608" i="35" s="1"/>
  <c r="G1228" i="35" a="1"/>
  <c r="G1228" i="35" s="1"/>
  <c r="G1609" i="35" a="1"/>
  <c r="G1609" i="35" s="1"/>
  <c r="G1231" i="35" a="1"/>
  <c r="G1231" i="35" s="1"/>
  <c r="G331" i="35" a="1"/>
  <c r="G331" i="35" s="1"/>
  <c r="G1397" i="35" a="1"/>
  <c r="G1397" i="35" s="1"/>
  <c r="G342" i="35" a="1"/>
  <c r="G342" i="35" s="1"/>
  <c r="G1398" i="35" a="1"/>
  <c r="G1398" i="35" s="1"/>
  <c r="G185" i="35" a="1"/>
  <c r="G185" i="35" s="1"/>
  <c r="G400" i="35" a="1"/>
  <c r="G400" i="35" s="1"/>
  <c r="G555" i="35" a="1"/>
  <c r="G555" i="35" s="1"/>
  <c r="G654" i="35" a="1"/>
  <c r="G654" i="35" s="1"/>
  <c r="G736" i="35" a="1"/>
  <c r="G736" i="35" s="1"/>
  <c r="G818" i="35" a="1"/>
  <c r="G818" i="35" s="1"/>
  <c r="G882" i="35" a="1"/>
  <c r="G882" i="35" s="1"/>
  <c r="G953" i="35" a="1"/>
  <c r="G953" i="35" s="1"/>
  <c r="G1006" i="35" a="1"/>
  <c r="G1006" i="35" s="1"/>
  <c r="G1049" i="35" a="1"/>
  <c r="G1049" i="35" s="1"/>
  <c r="G1092" i="35" a="1"/>
  <c r="G1092" i="35" s="1"/>
  <c r="G1124" i="35" a="1"/>
  <c r="G1124" i="35" s="1"/>
  <c r="G1151" i="35" a="1"/>
  <c r="G1151" i="35" s="1"/>
  <c r="G1171" i="35" a="1"/>
  <c r="G1171" i="35" s="1"/>
  <c r="G1195" i="35" a="1"/>
  <c r="G1195" i="35" s="1"/>
  <c r="G1214" i="35" a="1"/>
  <c r="G1214" i="35" s="1"/>
  <c r="G1235" i="35" a="1"/>
  <c r="G1235" i="35" s="1"/>
  <c r="G1252" i="35" a="1"/>
  <c r="G1252" i="35" s="1"/>
  <c r="G1290" i="35" a="1"/>
  <c r="G1290" i="35" s="1"/>
  <c r="G1306" i="35" a="1"/>
  <c r="G1306" i="35" s="1"/>
  <c r="G1325" i="35" a="1"/>
  <c r="G1325" i="35" s="1"/>
  <c r="G1347" i="35" a="1"/>
  <c r="G1347" i="35" s="1"/>
  <c r="G1364" i="35" a="1"/>
  <c r="G1364" i="35" s="1"/>
  <c r="G1383" i="35" a="1"/>
  <c r="G1383" i="35" s="1"/>
  <c r="G1404" i="35" a="1"/>
  <c r="G1404" i="35" s="1"/>
  <c r="G1420" i="35" a="1"/>
  <c r="G1420" i="35" s="1"/>
  <c r="G1438" i="35" a="1"/>
  <c r="G1438" i="35" s="1"/>
  <c r="G1460" i="35" a="1"/>
  <c r="G1460" i="35" s="1"/>
  <c r="G1478" i="35" a="1"/>
  <c r="G1478" i="35" s="1"/>
  <c r="G1495" i="35" a="1"/>
  <c r="G1495" i="35" s="1"/>
  <c r="G1515" i="35" a="1"/>
  <c r="G1515" i="35" s="1"/>
  <c r="G1533" i="35" a="1"/>
  <c r="G1533" i="35" s="1"/>
  <c r="G1550" i="35" a="1"/>
  <c r="G1550" i="35" s="1"/>
  <c r="G1570" i="35" a="1"/>
  <c r="G1570" i="35" s="1"/>
  <c r="G1584" i="35" a="1"/>
  <c r="G1584" i="35" s="1"/>
  <c r="G1598" i="35" a="1"/>
  <c r="G1598" i="35" s="1"/>
  <c r="G1612" i="35" a="1"/>
  <c r="G1612" i="35" s="1"/>
  <c r="G1627" i="35" a="1"/>
  <c r="G1627" i="35" s="1"/>
  <c r="G1639" i="35" a="1"/>
  <c r="G1639" i="35" s="1"/>
  <c r="G1653" i="35" a="1"/>
  <c r="G1653" i="35" s="1"/>
  <c r="G1666" i="35" a="1"/>
  <c r="G1666" i="35" s="1"/>
  <c r="G1679" i="35" a="1"/>
  <c r="G1679" i="35" s="1"/>
  <c r="G1115" i="35" a="1"/>
  <c r="G1115" i="35" s="1"/>
  <c r="G1280" i="35" a="1"/>
  <c r="G1280" i="35" s="1"/>
  <c r="G1411" i="35" a="1"/>
  <c r="G1411" i="35" s="1"/>
  <c r="G1523" i="35" a="1"/>
  <c r="G1523" i="35" s="1"/>
  <c r="G1633" i="35" a="1"/>
  <c r="G1633" i="35" s="1"/>
  <c r="G607" i="35" a="1"/>
  <c r="G607" i="35" s="1"/>
  <c r="G1076" i="35" a="1"/>
  <c r="G1076" i="35" s="1"/>
  <c r="G1245" i="35" a="1"/>
  <c r="G1245" i="35" s="1"/>
  <c r="G1357" i="35" a="1"/>
  <c r="G1357" i="35" s="1"/>
  <c r="G192" i="35" a="1"/>
  <c r="G192" i="35" s="1"/>
  <c r="G428" i="35" a="1"/>
  <c r="G428" i="35" s="1"/>
  <c r="G558" i="35" a="1"/>
  <c r="G558" i="35" s="1"/>
  <c r="G667" i="35" a="1"/>
  <c r="G667" i="35" s="1"/>
  <c r="G760" i="35" a="1"/>
  <c r="G760" i="35" s="1"/>
  <c r="G819" i="35" a="1"/>
  <c r="G819" i="35" s="1"/>
  <c r="G901" i="35" a="1"/>
  <c r="G901" i="35" s="1"/>
  <c r="G954" i="35" a="1"/>
  <c r="G954" i="35" s="1"/>
  <c r="G1014" i="35" a="1"/>
  <c r="G1014" i="35" s="1"/>
  <c r="G1051" i="35" a="1"/>
  <c r="G1051" i="35" s="1"/>
  <c r="G1093" i="35" a="1"/>
  <c r="G1093" i="35" s="1"/>
  <c r="G1125" i="35" a="1"/>
  <c r="G1125" i="35" s="1"/>
  <c r="G1152" i="35" a="1"/>
  <c r="G1152" i="35" s="1"/>
  <c r="G1172" i="35" a="1"/>
  <c r="G1172" i="35" s="1"/>
  <c r="G1196" i="35" a="1"/>
  <c r="G1196" i="35" s="1"/>
  <c r="G1236" i="35" a="1"/>
  <c r="G1236" i="35" s="1"/>
  <c r="G1255" i="35" a="1"/>
  <c r="G1255" i="35" s="1"/>
  <c r="G1269" i="35" a="1"/>
  <c r="G1269" i="35" s="1"/>
  <c r="G1291" i="35" a="1"/>
  <c r="G1291" i="35" s="1"/>
  <c r="G1307" i="35" a="1"/>
  <c r="G1307" i="35" s="1"/>
  <c r="G1326" i="35" a="1"/>
  <c r="G1326" i="35" s="1"/>
  <c r="G1348" i="35" a="1"/>
  <c r="G1348" i="35" s="1"/>
  <c r="G1365" i="35" a="1"/>
  <c r="G1365" i="35" s="1"/>
  <c r="G1384" i="35" a="1"/>
  <c r="G1384" i="35" s="1"/>
  <c r="G1405" i="35" a="1"/>
  <c r="G1405" i="35" s="1"/>
  <c r="G1421" i="35" a="1"/>
  <c r="G1421" i="35" s="1"/>
  <c r="G1439" i="35" a="1"/>
  <c r="G1439" i="35" s="1"/>
  <c r="G1461" i="35" a="1"/>
  <c r="G1461" i="35" s="1"/>
  <c r="G1479" i="35" a="1"/>
  <c r="G1479" i="35" s="1"/>
  <c r="G1496" i="35" a="1"/>
  <c r="G1496" i="35" s="1"/>
  <c r="G1516" i="35" a="1"/>
  <c r="G1516" i="35" s="1"/>
  <c r="G1534" i="35" a="1"/>
  <c r="G1534" i="35" s="1"/>
  <c r="G1551" i="35" a="1"/>
  <c r="G1551" i="35" s="1"/>
  <c r="G1571" i="35" a="1"/>
  <c r="G1571" i="35" s="1"/>
  <c r="G1585" i="35" a="1"/>
  <c r="G1585" i="35" s="1"/>
  <c r="G1599" i="35" a="1"/>
  <c r="G1599" i="35" s="1"/>
  <c r="G1615" i="35" a="1"/>
  <c r="G1615" i="35" s="1"/>
  <c r="G1640" i="35" a="1"/>
  <c r="G1640" i="35" s="1"/>
  <c r="G1654" i="35" a="1"/>
  <c r="G1654" i="35" s="1"/>
  <c r="G1667" i="35" a="1"/>
  <c r="G1667" i="35" s="1"/>
  <c r="G1680" i="35" a="1"/>
  <c r="G1680" i="35" s="1"/>
  <c r="G865" i="35" a="1"/>
  <c r="G865" i="35" s="1"/>
  <c r="G1185" i="35" a="1"/>
  <c r="G1185" i="35" s="1"/>
  <c r="G1297" i="35" a="1"/>
  <c r="G1297" i="35" s="1"/>
  <c r="G1431" i="35" a="1"/>
  <c r="G1431" i="35" s="1"/>
  <c r="G1562" i="35" a="1"/>
  <c r="G1562" i="35" s="1"/>
  <c r="G1648" i="35" a="1"/>
  <c r="G1648" i="35" s="1"/>
  <c r="G717" i="35" a="1"/>
  <c r="G717" i="35" s="1"/>
  <c r="G1116" i="35" a="1"/>
  <c r="G1116" i="35" s="1"/>
  <c r="G1265" i="35" a="1"/>
  <c r="G1265" i="35" s="1"/>
  <c r="G1413" i="35" a="1"/>
  <c r="G1413" i="35" s="1"/>
  <c r="G207" i="35" a="1"/>
  <c r="G207" i="35" s="1"/>
  <c r="G429" i="35" a="1"/>
  <c r="G429" i="35" s="1"/>
  <c r="G584" i="35" a="1"/>
  <c r="G584" i="35" s="1"/>
  <c r="G824" i="35" a="1"/>
  <c r="G824" i="35" s="1"/>
  <c r="G912" i="35" a="1"/>
  <c r="G912" i="35" s="1"/>
  <c r="G958" i="35" a="1"/>
  <c r="G958" i="35" s="1"/>
  <c r="G1015" i="35" a="1"/>
  <c r="G1015" i="35" s="1"/>
  <c r="G1052" i="35" a="1"/>
  <c r="G1052" i="35" s="1"/>
  <c r="G1100" i="35" a="1"/>
  <c r="G1100" i="35" s="1"/>
  <c r="G1126" i="35" a="1"/>
  <c r="G1126" i="35" s="1"/>
  <c r="G1153" i="35" a="1"/>
  <c r="G1153" i="35" s="1"/>
  <c r="G1173" i="35" a="1"/>
  <c r="G1173" i="35" s="1"/>
  <c r="G1199" i="35" a="1"/>
  <c r="G1199" i="35" s="1"/>
  <c r="G1215" i="35" a="1"/>
  <c r="G1215" i="35" s="1"/>
  <c r="G1237" i="35" a="1"/>
  <c r="G1237" i="35" s="1"/>
  <c r="G1256" i="35" a="1"/>
  <c r="G1256" i="35" s="1"/>
  <c r="G1270" i="35" a="1"/>
  <c r="G1270" i="35" s="1"/>
  <c r="G1292" i="35" a="1"/>
  <c r="G1292" i="35" s="1"/>
  <c r="G1308" i="35" a="1"/>
  <c r="G1308" i="35" s="1"/>
  <c r="G1327" i="35" a="1"/>
  <c r="G1327" i="35" s="1"/>
  <c r="G1349" i="35" a="1"/>
  <c r="G1349" i="35" s="1"/>
  <c r="G1368" i="35" a="1"/>
  <c r="G1368" i="35" s="1"/>
  <c r="G1385" i="35" a="1"/>
  <c r="G1385" i="35" s="1"/>
  <c r="G1406" i="35" a="1"/>
  <c r="G1406" i="35" s="1"/>
  <c r="G1422" i="35" a="1"/>
  <c r="G1422" i="35" s="1"/>
  <c r="G1440" i="35" a="1"/>
  <c r="G1440" i="35" s="1"/>
  <c r="G1462" i="35" a="1"/>
  <c r="G1462" i="35" s="1"/>
  <c r="G1480" i="35" a="1"/>
  <c r="G1480" i="35" s="1"/>
  <c r="G1500" i="35" a="1"/>
  <c r="G1500" i="35" s="1"/>
  <c r="G1517" i="35" a="1"/>
  <c r="G1517" i="35" s="1"/>
  <c r="G1535" i="35" a="1"/>
  <c r="G1535" i="35" s="1"/>
  <c r="G1557" i="35" a="1"/>
  <c r="G1557" i="35" s="1"/>
  <c r="G1572" i="35" a="1"/>
  <c r="G1572" i="35" s="1"/>
  <c r="G1586" i="35" a="1"/>
  <c r="G1586" i="35" s="1"/>
  <c r="G1600" i="35" a="1"/>
  <c r="G1600" i="35" s="1"/>
  <c r="G1616" i="35" a="1"/>
  <c r="G1616" i="35" s="1"/>
  <c r="G1628" i="35" a="1"/>
  <c r="G1628" i="35" s="1"/>
  <c r="G1641" i="35" a="1"/>
  <c r="G1641" i="35" s="1"/>
  <c r="G1655" i="35" a="1"/>
  <c r="G1655" i="35" s="1"/>
  <c r="G1668" i="35" a="1"/>
  <c r="G1668" i="35" s="1"/>
  <c r="G1681" i="35" a="1"/>
  <c r="G1681" i="35" s="1"/>
  <c r="G982" i="35" a="1"/>
  <c r="G982" i="35" s="1"/>
  <c r="G1225" i="35" a="1"/>
  <c r="G1225" i="35" s="1"/>
  <c r="G1356" i="35" a="1"/>
  <c r="G1356" i="35" s="1"/>
  <c r="G1468" i="35" a="1"/>
  <c r="G1468" i="35" s="1"/>
  <c r="G1593" i="35" a="1"/>
  <c r="G1593" i="35" s="1"/>
  <c r="G107" i="35" a="1"/>
  <c r="G107" i="35" s="1"/>
  <c r="G929" i="35" a="1"/>
  <c r="G929" i="35" s="1"/>
  <c r="G1186" i="35" a="1"/>
  <c r="G1186" i="35" s="1"/>
  <c r="G1319" i="35" a="1"/>
  <c r="G1319" i="35" s="1"/>
  <c r="G1432" i="35" a="1"/>
  <c r="G1432" i="35" s="1"/>
  <c r="G235" i="35" a="1"/>
  <c r="G235" i="35" s="1"/>
  <c r="G431" i="35" a="1"/>
  <c r="G431" i="35" s="1"/>
  <c r="G585" i="35" a="1"/>
  <c r="G585" i="35" s="1"/>
  <c r="G675" i="35" a="1"/>
  <c r="G675" i="35" s="1"/>
  <c r="G763" i="35" a="1"/>
  <c r="G763" i="35" s="1"/>
  <c r="G825" i="35" a="1"/>
  <c r="G825" i="35" s="1"/>
  <c r="G914" i="35" a="1"/>
  <c r="G914" i="35" s="1"/>
  <c r="G959" i="35" a="1"/>
  <c r="G959" i="35" s="1"/>
  <c r="G1017" i="35" a="1"/>
  <c r="G1017" i="35" s="1"/>
  <c r="G1065" i="35" a="1"/>
  <c r="G1065" i="35" s="1"/>
  <c r="G1101" i="35" a="1"/>
  <c r="G1101" i="35" s="1"/>
  <c r="G1134" i="35" a="1"/>
  <c r="G1134" i="35" s="1"/>
  <c r="G1154" i="35" a="1"/>
  <c r="G1154" i="35" s="1"/>
  <c r="G1181" i="35" a="1"/>
  <c r="G1181" i="35" s="1"/>
  <c r="G1200" i="35" a="1"/>
  <c r="G1200" i="35" s="1"/>
  <c r="G1221" i="35" a="1"/>
  <c r="G1221" i="35" s="1"/>
  <c r="G1238" i="35" a="1"/>
  <c r="G1238" i="35" s="1"/>
  <c r="G1276" i="35" a="1"/>
  <c r="G1276" i="35" s="1"/>
  <c r="G1293" i="35" a="1"/>
  <c r="G1293" i="35" s="1"/>
  <c r="G1311" i="35" a="1"/>
  <c r="G1311" i="35" s="1"/>
  <c r="G1333" i="35" a="1"/>
  <c r="G1333" i="35" s="1"/>
  <c r="G1350" i="35" a="1"/>
  <c r="G1350" i="35" s="1"/>
  <c r="G1369" i="35" a="1"/>
  <c r="G1369" i="35" s="1"/>
  <c r="G1389" i="35" a="1"/>
  <c r="G1389" i="35" s="1"/>
  <c r="G1407" i="35" a="1"/>
  <c r="G1407" i="35" s="1"/>
  <c r="G1425" i="35" a="1"/>
  <c r="G1425" i="35" s="1"/>
  <c r="G1446" i="35" a="1"/>
  <c r="G1446" i="35" s="1"/>
  <c r="G1463" i="35" a="1"/>
  <c r="G1463" i="35" s="1"/>
  <c r="G1481" i="35" a="1"/>
  <c r="G1481" i="35" s="1"/>
  <c r="G1501" i="35" a="1"/>
  <c r="G1501" i="35" s="1"/>
  <c r="G1518" i="35" a="1"/>
  <c r="G1518" i="35" s="1"/>
  <c r="G1536" i="35" a="1"/>
  <c r="G1536" i="35" s="1"/>
  <c r="G1558" i="35" a="1"/>
  <c r="G1558" i="35" s="1"/>
  <c r="G1573" i="35" a="1"/>
  <c r="G1573" i="35" s="1"/>
  <c r="G1587" i="35" a="1"/>
  <c r="G1587" i="35" s="1"/>
  <c r="G1603" i="35" a="1"/>
  <c r="G1603" i="35" s="1"/>
  <c r="G1617" i="35" a="1"/>
  <c r="G1617" i="35" s="1"/>
  <c r="G1629" i="35" a="1"/>
  <c r="G1629" i="35" s="1"/>
  <c r="G1642" i="35" a="1"/>
  <c r="G1642" i="35" s="1"/>
  <c r="G1656" i="35" a="1"/>
  <c r="G1656" i="35" s="1"/>
  <c r="G1669" i="35" a="1"/>
  <c r="G1669" i="35" s="1"/>
  <c r="G926" i="35" a="1"/>
  <c r="G926" i="35" s="1"/>
  <c r="G1209" i="35" a="1"/>
  <c r="G1209" i="35" s="1"/>
  <c r="G1318" i="35" a="1"/>
  <c r="G1318" i="35" s="1"/>
  <c r="G1450" i="35" a="1"/>
  <c r="G1450" i="35" s="1"/>
  <c r="G1577" i="35" a="1"/>
  <c r="G1577" i="35" s="1"/>
  <c r="G1661" i="35" a="1"/>
  <c r="G1661" i="35" s="1"/>
  <c r="G785" i="35" a="1"/>
  <c r="G785" i="35" s="1"/>
  <c r="G1141" i="35" a="1"/>
  <c r="G1141" i="35" s="1"/>
  <c r="G1281" i="35" a="1"/>
  <c r="G1281" i="35" s="1"/>
  <c r="G1396" i="35" a="1"/>
  <c r="G1396" i="35" s="1"/>
  <c r="G63" i="35" a="1"/>
  <c r="G63" i="35" s="1"/>
  <c r="G236" i="35" a="1"/>
  <c r="G236" i="35" s="1"/>
  <c r="G440" i="35" a="1"/>
  <c r="G440" i="35" s="1"/>
  <c r="G590" i="35" a="1"/>
  <c r="G590" i="35" s="1"/>
  <c r="G676" i="35" a="1"/>
  <c r="G676" i="35" s="1"/>
  <c r="G764" i="35" a="1"/>
  <c r="G764" i="35" s="1"/>
  <c r="G827" i="35" a="1"/>
  <c r="G827" i="35" s="1"/>
  <c r="G915" i="35" a="1"/>
  <c r="G915" i="35" s="1"/>
  <c r="G1018" i="35" a="1"/>
  <c r="G1018" i="35" s="1"/>
  <c r="G1066" i="35" a="1"/>
  <c r="G1066" i="35" s="1"/>
  <c r="G1102" i="35" a="1"/>
  <c r="G1102" i="35" s="1"/>
  <c r="G1136" i="35" a="1"/>
  <c r="G1136" i="35" s="1"/>
  <c r="G1156" i="35" a="1"/>
  <c r="G1156" i="35" s="1"/>
  <c r="G1182" i="35" a="1"/>
  <c r="G1182" i="35" s="1"/>
  <c r="G1201" i="35" a="1"/>
  <c r="G1201" i="35" s="1"/>
  <c r="G1222" i="35" a="1"/>
  <c r="G1222" i="35" s="1"/>
  <c r="G1239" i="35" a="1"/>
  <c r="G1239" i="35" s="1"/>
  <c r="G1257" i="35" a="1"/>
  <c r="G1257" i="35" s="1"/>
  <c r="G1277" i="35" a="1"/>
  <c r="G1277" i="35" s="1"/>
  <c r="G1294" i="35" a="1"/>
  <c r="G1294" i="35" s="1"/>
  <c r="G1312" i="35" a="1"/>
  <c r="G1312" i="35" s="1"/>
  <c r="G1334" i="35" a="1"/>
  <c r="G1334" i="35" s="1"/>
  <c r="G1351" i="35" a="1"/>
  <c r="G1351" i="35" s="1"/>
  <c r="G1370" i="35" a="1"/>
  <c r="G1370" i="35" s="1"/>
  <c r="G1392" i="35" a="1"/>
  <c r="G1392" i="35" s="1"/>
  <c r="G1408" i="35" a="1"/>
  <c r="G1408" i="35" s="1"/>
  <c r="G1426" i="35" a="1"/>
  <c r="G1426" i="35" s="1"/>
  <c r="G1447" i="35" a="1"/>
  <c r="G1447" i="35" s="1"/>
  <c r="G1464" i="35" a="1"/>
  <c r="G1464" i="35" s="1"/>
  <c r="G1482" i="35" a="1"/>
  <c r="G1482" i="35" s="1"/>
  <c r="G1502" i="35" a="1"/>
  <c r="G1502" i="35" s="1"/>
  <c r="G1519" i="35" a="1"/>
  <c r="G1519" i="35" s="1"/>
  <c r="G1537" i="35" a="1"/>
  <c r="G1537" i="35" s="1"/>
  <c r="G1559" i="35" a="1"/>
  <c r="G1559" i="35" s="1"/>
  <c r="G1574" i="35" a="1"/>
  <c r="G1574" i="35" s="1"/>
  <c r="G1588" i="35" a="1"/>
  <c r="G1588" i="35" s="1"/>
  <c r="G1604" i="35" a="1"/>
  <c r="G1604" i="35" s="1"/>
  <c r="G1618" i="35" a="1"/>
  <c r="G1618" i="35" s="1"/>
  <c r="G1630" i="35" a="1"/>
  <c r="G1630" i="35" s="1"/>
  <c r="G1643" i="35" a="1"/>
  <c r="G1643" i="35" s="1"/>
  <c r="G1657" i="35" a="1"/>
  <c r="G1657" i="35" s="1"/>
  <c r="G1671" i="35" a="1"/>
  <c r="G1671" i="35" s="1"/>
  <c r="G1575" i="35" a="1"/>
  <c r="G1575" i="35" s="1"/>
  <c r="G1619" i="35" a="1"/>
  <c r="G1619" i="35" s="1"/>
  <c r="G1644" i="35" a="1"/>
  <c r="G1644" i="35" s="1"/>
  <c r="G1672" i="35" a="1"/>
  <c r="G1672" i="35" s="1"/>
  <c r="G95" i="35" a="1"/>
  <c r="G95" i="35" s="1"/>
  <c r="G463" i="35" a="1"/>
  <c r="G463" i="35" s="1"/>
  <c r="G702" i="35" a="1"/>
  <c r="G702" i="35" s="1"/>
  <c r="G861" i="35" a="1"/>
  <c r="G861" i="35" s="1"/>
  <c r="G981" i="35" a="1"/>
  <c r="G981" i="35" s="1"/>
  <c r="G1025" i="35" a="1"/>
  <c r="G1025" i="35" s="1"/>
  <c r="G1104" i="35" a="1"/>
  <c r="G1104" i="35" s="1"/>
  <c r="G1158" i="35" a="1"/>
  <c r="G1158" i="35" s="1"/>
  <c r="G1203" i="35" a="1"/>
  <c r="G1203" i="35" s="1"/>
  <c r="G1243" i="35" a="1"/>
  <c r="G1243" i="35" s="1"/>
  <c r="G1279" i="35" a="1"/>
  <c r="G1279" i="35" s="1"/>
  <c r="G1317" i="35" a="1"/>
  <c r="G1317" i="35" s="1"/>
  <c r="G1353" i="35" a="1"/>
  <c r="G1353" i="35" s="1"/>
  <c r="G1394" i="35" a="1"/>
  <c r="G1394" i="35" s="1"/>
  <c r="G1430" i="35" a="1"/>
  <c r="G1430" i="35" s="1"/>
  <c r="G1467" i="35" a="1"/>
  <c r="G1467" i="35" s="1"/>
  <c r="G1504" i="35" a="1"/>
  <c r="G1504" i="35" s="1"/>
  <c r="G1544" i="35" a="1"/>
  <c r="G1544" i="35" s="1"/>
  <c r="G1576" i="35" a="1"/>
  <c r="G1576" i="35" s="1"/>
  <c r="G1606" i="35" a="1"/>
  <c r="G1606" i="35" s="1"/>
  <c r="G1632" i="35" a="1"/>
  <c r="G1632" i="35" s="1"/>
  <c r="G1660" i="35" a="1"/>
  <c r="G1660" i="35" s="1"/>
  <c r="G96" i="35" a="1"/>
  <c r="G96" i="35" s="1"/>
  <c r="G499" i="35" a="1"/>
  <c r="G499" i="35" s="1"/>
  <c r="G715" i="35" a="1"/>
  <c r="G715" i="35" s="1"/>
  <c r="G1026" i="35" a="1"/>
  <c r="G1026" i="35" s="1"/>
  <c r="G1140" i="35" a="1"/>
  <c r="G1140" i="35" s="1"/>
  <c r="G1244" i="35" a="1"/>
  <c r="G1244" i="35" s="1"/>
  <c r="G1337" i="35" a="1"/>
  <c r="G1337" i="35" s="1"/>
  <c r="G1395" i="35" a="1"/>
  <c r="G1395" i="35" s="1"/>
  <c r="G1505" i="35" a="1"/>
  <c r="G1505" i="35" s="1"/>
  <c r="G1607" i="35" a="1"/>
  <c r="G1607" i="35" s="1"/>
  <c r="G1674" i="35" a="1"/>
  <c r="G1674" i="35" s="1"/>
  <c r="G514" i="35" a="1"/>
  <c r="G514" i="35" s="1"/>
  <c r="G983" i="35" a="1"/>
  <c r="G983" i="35" s="1"/>
  <c r="G1167" i="35" a="1"/>
  <c r="G1167" i="35" s="1"/>
  <c r="G1226" i="35" a="1"/>
  <c r="G1226" i="35" s="1"/>
  <c r="G1338" i="35" a="1"/>
  <c r="G1338" i="35" s="1"/>
  <c r="G64" i="35" a="1"/>
  <c r="G64" i="35" s="1"/>
  <c r="G290" i="35" a="1"/>
  <c r="G290" i="35" s="1"/>
  <c r="G441" i="35" a="1"/>
  <c r="G441" i="35" s="1"/>
  <c r="G602" i="35" a="1"/>
  <c r="G602" i="35" s="1"/>
  <c r="G700" i="35" a="1"/>
  <c r="G700" i="35" s="1"/>
  <c r="G769" i="35" a="1"/>
  <c r="G769" i="35" s="1"/>
  <c r="G857" i="35" a="1"/>
  <c r="G857" i="35" s="1"/>
  <c r="G918" i="35" a="1"/>
  <c r="G918" i="35" s="1"/>
  <c r="G979" i="35" a="1"/>
  <c r="G979" i="35" s="1"/>
  <c r="G1019" i="35" a="1"/>
  <c r="G1019" i="35" s="1"/>
  <c r="G1068" i="35" a="1"/>
  <c r="G1068" i="35" s="1"/>
  <c r="G1103" i="35" a="1"/>
  <c r="G1103" i="35" s="1"/>
  <c r="G1138" i="35" a="1"/>
  <c r="G1138" i="35" s="1"/>
  <c r="G1157" i="35" a="1"/>
  <c r="G1157" i="35" s="1"/>
  <c r="G1183" i="35" a="1"/>
  <c r="G1183" i="35" s="1"/>
  <c r="G1202" i="35" a="1"/>
  <c r="G1202" i="35" s="1"/>
  <c r="G1223" i="35" a="1"/>
  <c r="G1223" i="35" s="1"/>
  <c r="G1240" i="35" a="1"/>
  <c r="G1240" i="35" s="1"/>
  <c r="G1258" i="35" a="1"/>
  <c r="G1258" i="35" s="1"/>
  <c r="G1278" i="35" a="1"/>
  <c r="G1278" i="35" s="1"/>
  <c r="G1295" i="35" a="1"/>
  <c r="G1295" i="35" s="1"/>
  <c r="G1313" i="35" a="1"/>
  <c r="G1313" i="35" s="1"/>
  <c r="G1335" i="35" a="1"/>
  <c r="G1335" i="35" s="1"/>
  <c r="G1352" i="35" a="1"/>
  <c r="G1352" i="35" s="1"/>
  <c r="G1371" i="35" a="1"/>
  <c r="G1371" i="35" s="1"/>
  <c r="G1393" i="35" a="1"/>
  <c r="G1393" i="35" s="1"/>
  <c r="G1409" i="35" a="1"/>
  <c r="G1409" i="35" s="1"/>
  <c r="G1427" i="35" a="1"/>
  <c r="G1427" i="35" s="1"/>
  <c r="G1448" i="35" a="1"/>
  <c r="G1448" i="35" s="1"/>
  <c r="G1466" i="35" a="1"/>
  <c r="G1466" i="35" s="1"/>
  <c r="G1486" i="35" a="1"/>
  <c r="G1486" i="35" s="1"/>
  <c r="G1503" i="35" a="1"/>
  <c r="G1503" i="35" s="1"/>
  <c r="G1520" i="35" a="1"/>
  <c r="G1520" i="35" s="1"/>
  <c r="G1541" i="35" a="1"/>
  <c r="G1541" i="35" s="1"/>
  <c r="G1560" i="35" a="1"/>
  <c r="G1560" i="35" s="1"/>
  <c r="G1589" i="35" a="1"/>
  <c r="G1589" i="35" s="1"/>
  <c r="G1605" i="35" a="1"/>
  <c r="G1605" i="35" s="1"/>
  <c r="G1631" i="35" a="1"/>
  <c r="G1631" i="35" s="1"/>
  <c r="G1659" i="35" a="1"/>
  <c r="G1659" i="35" s="1"/>
  <c r="G295" i="35" a="1"/>
  <c r="G295" i="35" s="1"/>
  <c r="G603" i="35" a="1"/>
  <c r="G603" i="35" s="1"/>
  <c r="G779" i="35" a="1"/>
  <c r="G779" i="35" s="1"/>
  <c r="G924" i="35" a="1"/>
  <c r="G924" i="35" s="1"/>
  <c r="G1069" i="35" a="1"/>
  <c r="G1069" i="35" s="1"/>
  <c r="G1139" i="35" a="1"/>
  <c r="G1139" i="35" s="1"/>
  <c r="G1184" i="35" a="1"/>
  <c r="G1184" i="35" s="1"/>
  <c r="G1224" i="35" a="1"/>
  <c r="G1224" i="35" s="1"/>
  <c r="G1262" i="35" a="1"/>
  <c r="G1262" i="35" s="1"/>
  <c r="G1296" i="35" a="1"/>
  <c r="G1296" i="35" s="1"/>
  <c r="G1336" i="35" a="1"/>
  <c r="G1336" i="35" s="1"/>
  <c r="G1375" i="35" a="1"/>
  <c r="G1375" i="35" s="1"/>
  <c r="G1410" i="35" a="1"/>
  <c r="G1410" i="35" s="1"/>
  <c r="G1449" i="35" a="1"/>
  <c r="G1449" i="35" s="1"/>
  <c r="G1489" i="35" a="1"/>
  <c r="G1489" i="35" s="1"/>
  <c r="G1522" i="35" a="1"/>
  <c r="G1522" i="35" s="1"/>
  <c r="G1561" i="35" a="1"/>
  <c r="G1561" i="35" s="1"/>
  <c r="G1592" i="35" a="1"/>
  <c r="G1592" i="35" s="1"/>
  <c r="G1620" i="35" a="1"/>
  <c r="G1620" i="35" s="1"/>
  <c r="G1645" i="35" a="1"/>
  <c r="G1645" i="35" s="1"/>
  <c r="G1673" i="35" a="1"/>
  <c r="G1673" i="35" s="1"/>
  <c r="G300" i="35" a="1"/>
  <c r="G300" i="35" s="1"/>
  <c r="G606" i="35" a="1"/>
  <c r="G606" i="35" s="1"/>
  <c r="G781" i="35" a="1"/>
  <c r="G781" i="35" s="1"/>
  <c r="G1070" i="35" a="1"/>
  <c r="G1070" i="35" s="1"/>
  <c r="G1163" i="35" a="1"/>
  <c r="G1163" i="35" s="1"/>
  <c r="G1263" i="35" a="1"/>
  <c r="G1263" i="35" s="1"/>
  <c r="G1376" i="35" a="1"/>
  <c r="G1376" i="35" s="1"/>
  <c r="G1490" i="35" a="1"/>
  <c r="G1490" i="35" s="1"/>
  <c r="G1545" i="35" a="1"/>
  <c r="G1545" i="35" s="1"/>
  <c r="G1621" i="35" a="1"/>
  <c r="G1621" i="35" s="1"/>
  <c r="G301" i="35" a="1"/>
  <c r="G301" i="35" s="1"/>
  <c r="G866" i="35" a="1"/>
  <c r="G866" i="35" s="1"/>
  <c r="G1038" i="35" a="1"/>
  <c r="G1038" i="35" s="1"/>
  <c r="G1210" i="35" a="1"/>
  <c r="G1210" i="35" s="1"/>
  <c r="G1300" i="35" a="1"/>
  <c r="G1300" i="35" s="1"/>
  <c r="G1377" i="35" a="1"/>
  <c r="G1377" i="35" s="1"/>
  <c r="G204" i="35" a="1"/>
  <c r="G204" i="35" s="1"/>
  <c r="G528" i="35" a="1"/>
  <c r="G528" i="35" s="1"/>
  <c r="G397" i="35" a="1"/>
  <c r="G397" i="35" s="1"/>
  <c r="G206" i="35" a="1"/>
  <c r="G206" i="35" s="1"/>
  <c r="G57" i="35" a="1"/>
  <c r="G57" i="35" s="1"/>
  <c r="G349" i="35" a="1"/>
  <c r="G349" i="35" s="1"/>
  <c r="G141" i="35" a="1"/>
  <c r="G141" i="35" s="1"/>
  <c r="G249" i="35" a="1"/>
  <c r="G249" i="35" s="1"/>
  <c r="G354" i="35" a="1"/>
  <c r="G354" i="35" s="1"/>
  <c r="G467" i="35" a="1"/>
  <c r="G467" i="35" s="1"/>
  <c r="G559" i="35" a="1"/>
  <c r="G559" i="35" s="1"/>
  <c r="G626" i="35" a="1"/>
  <c r="G626" i="35" s="1"/>
  <c r="G678" i="35" a="1"/>
  <c r="G678" i="35" s="1"/>
  <c r="G738" i="35" a="1"/>
  <c r="G738" i="35" s="1"/>
  <c r="G786" i="35" a="1"/>
  <c r="G786" i="35" s="1"/>
  <c r="G838" i="35" a="1"/>
  <c r="G838" i="35" s="1"/>
  <c r="G883" i="35" a="1"/>
  <c r="G883" i="35" s="1"/>
  <c r="G930" i="35" a="1"/>
  <c r="G930" i="35" s="1"/>
  <c r="G967" i="35" a="1"/>
  <c r="G967" i="35" s="1"/>
  <c r="G1001" i="35" a="1"/>
  <c r="G1001" i="35" s="1"/>
  <c r="G1028" i="35" a="1"/>
  <c r="G1028" i="35" s="1"/>
  <c r="G1054" i="35" a="1"/>
  <c r="G1054" i="35" s="1"/>
  <c r="G1082" i="35" a="1"/>
  <c r="G1082" i="35" s="1"/>
  <c r="G1110" i="35" a="1"/>
  <c r="G1110" i="35" s="1"/>
  <c r="G1127" i="35" a="1"/>
  <c r="G1127" i="35" s="1"/>
  <c r="G1145" i="35" a="1"/>
  <c r="G1145" i="35" s="1"/>
  <c r="G1159" i="35" a="1"/>
  <c r="G1159" i="35" s="1"/>
  <c r="G1174" i="35" a="1"/>
  <c r="G1174" i="35" s="1"/>
  <c r="G1204" i="35" a="1"/>
  <c r="G1204" i="35" s="1"/>
  <c r="G1216" i="35" a="1"/>
  <c r="G1216" i="35" s="1"/>
  <c r="G1232" i="35" a="1"/>
  <c r="G1232" i="35" s="1"/>
  <c r="G1246" i="35" a="1"/>
  <c r="G1246" i="35" s="1"/>
  <c r="G1259" i="35" a="1"/>
  <c r="G1259" i="35" s="1"/>
  <c r="G1271" i="35" a="1"/>
  <c r="G1271" i="35" s="1"/>
  <c r="G1285" i="35" a="1"/>
  <c r="G1285" i="35" s="1"/>
  <c r="G1301" i="35" a="1"/>
  <c r="G1301" i="35" s="1"/>
  <c r="G1314" i="35" a="1"/>
  <c r="G1314" i="35" s="1"/>
  <c r="G1328" i="35" a="1"/>
  <c r="G1328" i="35" s="1"/>
  <c r="G1342" i="35" a="1"/>
  <c r="G1342" i="35" s="1"/>
  <c r="G1358" i="35" a="1"/>
  <c r="G1358" i="35" s="1"/>
  <c r="G1372" i="35" a="1"/>
  <c r="G1372" i="35" s="1"/>
  <c r="G1386" i="35" a="1"/>
  <c r="G1386" i="35" s="1"/>
  <c r="G1400" i="35" a="1"/>
  <c r="G1400" i="35" s="1"/>
  <c r="G1414" i="35" a="1"/>
  <c r="G1414" i="35" s="1"/>
  <c r="G1428" i="35" a="1"/>
  <c r="G1428" i="35" s="1"/>
  <c r="G1441" i="35" a="1"/>
  <c r="G1441" i="35" s="1"/>
  <c r="G1457" i="35" a="1"/>
  <c r="G1457" i="35" s="1"/>
  <c r="G1470" i="35" a="1"/>
  <c r="G1470" i="35" s="1"/>
  <c r="G1483" i="35" a="1"/>
  <c r="G1483" i="35" s="1"/>
  <c r="G1511" i="35" a="1"/>
  <c r="G1511" i="35" s="1"/>
  <c r="G1524" i="35" a="1"/>
  <c r="G1524" i="35" s="1"/>
  <c r="G1538" i="35" a="1"/>
  <c r="G1538" i="35" s="1"/>
  <c r="G1554" i="35" a="1"/>
  <c r="G1554" i="35" s="1"/>
  <c r="G1566" i="35" a="1"/>
  <c r="G1566" i="35" s="1"/>
  <c r="G1578" i="35" a="1"/>
  <c r="G1578" i="35" s="1"/>
  <c r="G142" i="35" a="1"/>
  <c r="G142" i="35" s="1"/>
  <c r="G255" i="35" a="1"/>
  <c r="G255" i="35" s="1"/>
  <c r="G377" i="35" a="1"/>
  <c r="G377" i="35" s="1"/>
  <c r="G469" i="35" a="1"/>
  <c r="G469" i="35" s="1"/>
  <c r="G563" i="35" a="1"/>
  <c r="G563" i="35" s="1"/>
  <c r="G629" i="35" a="1"/>
  <c r="G629" i="35" s="1"/>
  <c r="G692" i="35" a="1"/>
  <c r="G692" i="35" s="1"/>
  <c r="G741" i="35" a="1"/>
  <c r="G741" i="35" s="1"/>
  <c r="G789" i="35" a="1"/>
  <c r="G789" i="35" s="1"/>
  <c r="G841" i="35" a="1"/>
  <c r="G841" i="35" s="1"/>
  <c r="G894" i="35" a="1"/>
  <c r="G894" i="35" s="1"/>
  <c r="G931" i="35" a="1"/>
  <c r="G931" i="35" s="1"/>
  <c r="G968" i="35" a="1"/>
  <c r="G968" i="35" s="1"/>
  <c r="G1003" i="35" a="1"/>
  <c r="G1003" i="35" s="1"/>
  <c r="G1029" i="35" a="1"/>
  <c r="G1029" i="35" s="1"/>
  <c r="G1055" i="35" a="1"/>
  <c r="G1055" i="35" s="1"/>
  <c r="G1111" i="35" a="1"/>
  <c r="G1111" i="35" s="1"/>
  <c r="G1129" i="35" a="1"/>
  <c r="G1129" i="35" s="1"/>
  <c r="G1146" i="35" a="1"/>
  <c r="G1146" i="35" s="1"/>
  <c r="G1160" i="35" a="1"/>
  <c r="G1160" i="35" s="1"/>
  <c r="G1175" i="35" a="1"/>
  <c r="G1175" i="35" s="1"/>
  <c r="G1190" i="35" a="1"/>
  <c r="G1190" i="35" s="1"/>
  <c r="G1205" i="35" a="1"/>
  <c r="G1205" i="35" s="1"/>
  <c r="G1217" i="35" a="1"/>
  <c r="G1217" i="35" s="1"/>
  <c r="G1233" i="35" a="1"/>
  <c r="G1233" i="35" s="1"/>
  <c r="G1247" i="35" a="1"/>
  <c r="G1247" i="35" s="1"/>
  <c r="G1260" i="35" a="1"/>
  <c r="G1260" i="35" s="1"/>
  <c r="G1272" i="35" a="1"/>
  <c r="G1272" i="35" s="1"/>
  <c r="G1288" i="35" a="1"/>
  <c r="G1288" i="35" s="1"/>
  <c r="G1302" i="35" a="1"/>
  <c r="G1302" i="35" s="1"/>
  <c r="G1315" i="35" a="1"/>
  <c r="G1315" i="35" s="1"/>
  <c r="G1329" i="35" a="1"/>
  <c r="G1329" i="35" s="1"/>
  <c r="G1345" i="35" a="1"/>
  <c r="G1345" i="35" s="1"/>
  <c r="G1359" i="35" a="1"/>
  <c r="G1359" i="35" s="1"/>
  <c r="G1373" i="35" a="1"/>
  <c r="G1373" i="35" s="1"/>
  <c r="G1387" i="35" a="1"/>
  <c r="G1387" i="35" s="1"/>
  <c r="G1402" i="35" a="1"/>
  <c r="G1402" i="35" s="1"/>
  <c r="G1415" i="35" a="1"/>
  <c r="G1415" i="35" s="1"/>
  <c r="G1429" i="35" a="1"/>
  <c r="G1429" i="35" s="1"/>
  <c r="G1442" i="35" a="1"/>
  <c r="G1442" i="35" s="1"/>
  <c r="G1458" i="35" a="1"/>
  <c r="G1458" i="35" s="1"/>
  <c r="G1471" i="35" a="1"/>
  <c r="G1471" i="35" s="1"/>
  <c r="G1484" i="35" a="1"/>
  <c r="G1484" i="35" s="1"/>
  <c r="G1497" i="35" a="1"/>
  <c r="G1497" i="35" s="1"/>
  <c r="G1512" i="35" a="1"/>
  <c r="G1512" i="35" s="1"/>
  <c r="G1525" i="35" a="1"/>
  <c r="G1525" i="35" s="1"/>
  <c r="G1539" i="35" a="1"/>
  <c r="G1539" i="35" s="1"/>
  <c r="G1555" i="35" a="1"/>
  <c r="G1555" i="35" s="1"/>
  <c r="G1567" i="35" a="1"/>
  <c r="G1567" i="35" s="1"/>
  <c r="G1579" i="35" a="1"/>
  <c r="G1579" i="35" s="1"/>
  <c r="G1590" i="35" a="1"/>
  <c r="G1590" i="35" s="1"/>
  <c r="G1601" i="35" a="1"/>
  <c r="G1601" i="35" s="1"/>
  <c r="G1613" i="35" a="1"/>
  <c r="G1613" i="35" s="1"/>
  <c r="G1625" i="35" a="1"/>
  <c r="G1625" i="35" s="1"/>
  <c r="G1646" i="35" a="1"/>
  <c r="G1646" i="35" s="1"/>
  <c r="G41" i="35" a="1"/>
  <c r="G41" i="35" s="1"/>
  <c r="G152" i="35" a="1"/>
  <c r="G152" i="35" s="1"/>
  <c r="G256" i="35" a="1"/>
  <c r="G256" i="35" s="1"/>
  <c r="G380" i="35" a="1"/>
  <c r="G380" i="35" s="1"/>
  <c r="G470" i="35" a="1"/>
  <c r="G470" i="35" s="1"/>
  <c r="G580" i="35" a="1"/>
  <c r="G580" i="35" s="1"/>
  <c r="G631" i="35" a="1"/>
  <c r="G631" i="35" s="1"/>
  <c r="G693" i="35" a="1"/>
  <c r="G693" i="35" s="1"/>
  <c r="G743" i="35" a="1"/>
  <c r="G743" i="35" s="1"/>
  <c r="G800" i="35" a="1"/>
  <c r="G800" i="35" s="1"/>
  <c r="G844" i="35" a="1"/>
  <c r="G844" i="35" s="1"/>
  <c r="G898" i="35" a="1"/>
  <c r="G898" i="35" s="1"/>
  <c r="G940" i="35" a="1"/>
  <c r="G940" i="35" s="1"/>
  <c r="G970" i="35" a="1"/>
  <c r="G970" i="35" s="1"/>
  <c r="G1004" i="35" a="1"/>
  <c r="G1004" i="35" s="1"/>
  <c r="G1032" i="35" a="1"/>
  <c r="G1032" i="35" s="1"/>
  <c r="G1056" i="35" a="1"/>
  <c r="G1056" i="35" s="1"/>
  <c r="G1083" i="35" a="1"/>
  <c r="G1083" i="35" s="1"/>
  <c r="G1112" i="35" a="1"/>
  <c r="G1112" i="35" s="1"/>
  <c r="G1132" i="35" a="1"/>
  <c r="G1132" i="35" s="1"/>
  <c r="G1148" i="35" a="1"/>
  <c r="G1148" i="35" s="1"/>
  <c r="G1161" i="35" a="1"/>
  <c r="G1161" i="35" s="1"/>
  <c r="G1179" i="35" a="1"/>
  <c r="G1179" i="35" s="1"/>
  <c r="G1191" i="35" a="1"/>
  <c r="G1191" i="35" s="1"/>
  <c r="G1206" i="35" a="1"/>
  <c r="G1206" i="35" s="1"/>
  <c r="G1220" i="35" a="1"/>
  <c r="G1220" i="35" s="1"/>
  <c r="G1234" i="35" a="1"/>
  <c r="G1234" i="35" s="1"/>
  <c r="G1248" i="35" a="1"/>
  <c r="G1248" i="35" s="1"/>
  <c r="G1261" i="35" a="1"/>
  <c r="G1261" i="35" s="1"/>
  <c r="G1273" i="35" a="1"/>
  <c r="G1273" i="35" s="1"/>
  <c r="G1289" i="35" a="1"/>
  <c r="G1289" i="35" s="1"/>
  <c r="G1303" i="35" a="1"/>
  <c r="G1303" i="35" s="1"/>
  <c r="G1316" i="35" a="1"/>
  <c r="G1316" i="35" s="1"/>
  <c r="G1330" i="35" a="1"/>
  <c r="G1330" i="35" s="1"/>
  <c r="G1346" i="35" a="1"/>
  <c r="G1346" i="35" s="1"/>
  <c r="G1360" i="35" a="1"/>
  <c r="G1360" i="35" s="1"/>
  <c r="G1374" i="35" a="1"/>
  <c r="G1374" i="35" s="1"/>
  <c r="G1388" i="35" a="1"/>
  <c r="G1388" i="35" s="1"/>
  <c r="G1403" i="35" a="1"/>
  <c r="G1403" i="35" s="1"/>
  <c r="G1416" i="35" a="1"/>
  <c r="G1416" i="35" s="1"/>
  <c r="G1443" i="35" a="1"/>
  <c r="G1443" i="35" s="1"/>
  <c r="G1459" i="35" a="1"/>
  <c r="G1459" i="35" s="1"/>
  <c r="G1472" i="35" a="1"/>
  <c r="G1472" i="35" s="1"/>
  <c r="G1485" i="35" a="1"/>
  <c r="G1485" i="35" s="1"/>
  <c r="G1499" i="35" a="1"/>
  <c r="G1499" i="35" s="1"/>
  <c r="G1513" i="35" a="1"/>
  <c r="G1513" i="35" s="1"/>
  <c r="G1526" i="35" a="1"/>
  <c r="G1526" i="35" s="1"/>
  <c r="G1540" i="35" a="1"/>
  <c r="G1540" i="35" s="1"/>
  <c r="G1556" i="35" a="1"/>
  <c r="G1556" i="35" s="1"/>
  <c r="G1568" i="35" a="1"/>
  <c r="G1568" i="35" s="1"/>
  <c r="G1580" i="35" a="1"/>
  <c r="G1580" i="35" s="1"/>
  <c r="G1591" i="35" a="1"/>
  <c r="G1591" i="35" s="1"/>
  <c r="G1602" i="35" a="1"/>
  <c r="G1602" i="35" s="1"/>
  <c r="G1614" i="35" a="1"/>
  <c r="G1614" i="35" s="1"/>
  <c r="G1635" i="35" a="1"/>
  <c r="G1635" i="35" s="1"/>
  <c r="G1647" i="35" a="1"/>
  <c r="G1647" i="35" s="1"/>
  <c r="G1658" i="35" a="1"/>
  <c r="G1658" i="35" s="1"/>
  <c r="G1670" i="35" a="1"/>
  <c r="G1670" i="35" s="1"/>
  <c r="G2" i="35" a="1"/>
  <c r="G2" i="35" s="1"/>
  <c r="G42" i="35" a="1"/>
  <c r="G42" i="35" s="1"/>
  <c r="G160" i="35" a="1"/>
  <c r="G160" i="35" s="1"/>
  <c r="G280" i="35" a="1"/>
  <c r="G280" i="35" s="1"/>
  <c r="G396" i="35" a="1"/>
  <c r="G396" i="35" s="1"/>
  <c r="G476" i="35" a="1"/>
  <c r="G476" i="35" s="1"/>
  <c r="G581" i="35" a="1"/>
  <c r="G581" i="35" s="1"/>
  <c r="G644" i="35" a="1"/>
  <c r="G644" i="35" s="1"/>
  <c r="G699" i="35" a="1"/>
  <c r="G699" i="35" s="1"/>
  <c r="G746" i="35" a="1"/>
  <c r="G746" i="35" s="1"/>
  <c r="G802" i="35" a="1"/>
  <c r="G802" i="35" s="1"/>
  <c r="G845" i="35" a="1"/>
  <c r="G845" i="35" s="1"/>
  <c r="G900" i="35" a="1"/>
  <c r="G900" i="35" s="1"/>
  <c r="G941" i="35" a="1"/>
  <c r="G941" i="35" s="1"/>
  <c r="G971" i="35" a="1"/>
  <c r="G971" i="35" s="1"/>
  <c r="G1005" i="35" a="1"/>
  <c r="G1005" i="35" s="1"/>
  <c r="G1037" i="35" a="1"/>
  <c r="G1037" i="35" s="1"/>
  <c r="G1064" i="35" a="1"/>
  <c r="G1064" i="35" s="1"/>
  <c r="G1089" i="35" a="1"/>
  <c r="G1089" i="35" s="1"/>
  <c r="G1114" i="35" a="1"/>
  <c r="G1114" i="35" s="1"/>
  <c r="G1133" i="35" a="1"/>
  <c r="G1133" i="35" s="1"/>
  <c r="G1149" i="35" a="1"/>
  <c r="G1149" i="35" s="1"/>
  <c r="G1162" i="35" a="1"/>
  <c r="G1162" i="35" s="1"/>
  <c r="G1180" i="35" a="1"/>
  <c r="G1180" i="35" s="1"/>
  <c r="G1192" i="35" a="1"/>
  <c r="G1192" i="35" s="1"/>
  <c r="G66" i="35" a="1"/>
  <c r="G66" i="35" s="1"/>
  <c r="G117" i="35" a="1"/>
  <c r="G117" i="35" s="1"/>
  <c r="G163" i="35" a="1"/>
  <c r="G163" i="35" s="1"/>
  <c r="G210" i="35" a="1"/>
  <c r="G210" i="35" s="1"/>
  <c r="G257" i="35" a="1"/>
  <c r="G257" i="35" s="1"/>
  <c r="G302" i="35" a="1"/>
  <c r="G302" i="35" s="1"/>
  <c r="G355" i="35" a="1"/>
  <c r="G355" i="35" s="1"/>
  <c r="G405" i="35" a="1"/>
  <c r="G405" i="35" s="1"/>
  <c r="G444" i="35" a="1"/>
  <c r="G444" i="35" s="1"/>
  <c r="G485" i="35" a="1"/>
  <c r="G485" i="35" s="1"/>
  <c r="G530" i="35" a="1"/>
  <c r="G530" i="35" s="1"/>
  <c r="G565" i="35" a="1"/>
  <c r="G565" i="35" s="1"/>
  <c r="G591" i="35" a="1"/>
  <c r="G591" i="35" s="1"/>
  <c r="G612" i="35" a="1"/>
  <c r="G612" i="35" s="1"/>
  <c r="G633" i="35" a="1"/>
  <c r="G633" i="35" s="1"/>
  <c r="G655" i="35" a="1"/>
  <c r="G655" i="35" s="1"/>
  <c r="G679" i="35" a="1"/>
  <c r="G679" i="35" s="1"/>
  <c r="G703" i="35" a="1"/>
  <c r="G703" i="35" s="1"/>
  <c r="G727" i="35" a="1"/>
  <c r="G727" i="35" s="1"/>
  <c r="G748" i="35" a="1"/>
  <c r="G748" i="35" s="1"/>
  <c r="G771" i="35" a="1"/>
  <c r="G771" i="35" s="1"/>
  <c r="G791" i="35" a="1"/>
  <c r="G791" i="35" s="1"/>
  <c r="G808" i="35" a="1"/>
  <c r="G808" i="35" s="1"/>
  <c r="G828" i="35" a="1"/>
  <c r="G828" i="35" s="1"/>
  <c r="G846" i="35" a="1"/>
  <c r="G846" i="35" s="1"/>
  <c r="G869" i="35" a="1"/>
  <c r="G869" i="35" s="1"/>
  <c r="G884" i="35" a="1"/>
  <c r="G884" i="35" s="1"/>
  <c r="G902" i="35" a="1"/>
  <c r="G902" i="35" s="1"/>
  <c r="G920" i="35" a="1"/>
  <c r="G920" i="35" s="1"/>
  <c r="G932" i="35" a="1"/>
  <c r="G932" i="35" s="1"/>
  <c r="G960" i="35" a="1"/>
  <c r="G960" i="35" s="1"/>
  <c r="G972" i="35" a="1"/>
  <c r="G972" i="35" s="1"/>
  <c r="G984" i="35" a="1"/>
  <c r="G984" i="35" s="1"/>
  <c r="G996" i="35" a="1"/>
  <c r="G996" i="35" s="1"/>
  <c r="G1007" i="35" a="1"/>
  <c r="G1007" i="35" s="1"/>
  <c r="G1044" i="35" a="1"/>
  <c r="G1044" i="35" s="1"/>
  <c r="G1057" i="35" a="1"/>
  <c r="G1057" i="35" s="1"/>
  <c r="G1072" i="35" a="1"/>
  <c r="G1072" i="35" s="1"/>
  <c r="G1084" i="35" a="1"/>
  <c r="G1084" i="35" s="1"/>
  <c r="G1094" i="35" a="1"/>
  <c r="G1094" i="35" s="1"/>
  <c r="G1105" i="35" a="1"/>
  <c r="G1105" i="35" s="1"/>
  <c r="G1117" i="35" a="1"/>
  <c r="G1117" i="35" s="1"/>
  <c r="G69" i="35" a="1"/>
  <c r="G69" i="35" s="1"/>
  <c r="G118" i="35" a="1"/>
  <c r="G118" i="35" s="1"/>
  <c r="G164" i="35" a="1"/>
  <c r="G164" i="35" s="1"/>
  <c r="G215" i="35" a="1"/>
  <c r="G215" i="35" s="1"/>
  <c r="G267" i="35" a="1"/>
  <c r="G267" i="35" s="1"/>
  <c r="G313" i="35" a="1"/>
  <c r="G313" i="35" s="1"/>
  <c r="G365" i="35" a="1"/>
  <c r="G365" i="35" s="1"/>
  <c r="G406" i="35" a="1"/>
  <c r="G406" i="35" s="1"/>
  <c r="G449" i="35" a="1"/>
  <c r="G449" i="35" s="1"/>
  <c r="G487" i="35" a="1"/>
  <c r="G487" i="35" s="1"/>
  <c r="G531" i="35" a="1"/>
  <c r="G531" i="35" s="1"/>
  <c r="G566" i="35" a="1"/>
  <c r="G566" i="35" s="1"/>
  <c r="G592" i="35" a="1"/>
  <c r="G592" i="35" s="1"/>
  <c r="G614" i="35" a="1"/>
  <c r="G614" i="35" s="1"/>
  <c r="G636" i="35" a="1"/>
  <c r="G636" i="35" s="1"/>
  <c r="G656" i="35" a="1"/>
  <c r="G656" i="35" s="1"/>
  <c r="G680" i="35" a="1"/>
  <c r="G680" i="35" s="1"/>
  <c r="G728" i="35" a="1"/>
  <c r="G728" i="35" s="1"/>
  <c r="G752" i="35" a="1"/>
  <c r="G752" i="35" s="1"/>
  <c r="G772" i="35" a="1"/>
  <c r="G772" i="35" s="1"/>
  <c r="G792" i="35" a="1"/>
  <c r="G792" i="35" s="1"/>
  <c r="G811" i="35" a="1"/>
  <c r="G811" i="35" s="1"/>
  <c r="G831" i="35" a="1"/>
  <c r="G831" i="35" s="1"/>
  <c r="G850" i="35" a="1"/>
  <c r="G850" i="35" s="1"/>
  <c r="G870" i="35" a="1"/>
  <c r="G870" i="35" s="1"/>
  <c r="G888" i="35" a="1"/>
  <c r="G888" i="35" s="1"/>
  <c r="G903" i="35" a="1"/>
  <c r="G903" i="35" s="1"/>
  <c r="G933" i="35" a="1"/>
  <c r="G933" i="35" s="1"/>
  <c r="G948" i="35" a="1"/>
  <c r="G948" i="35" s="1"/>
  <c r="G961" i="35" a="1"/>
  <c r="G961" i="35" s="1"/>
  <c r="G973" i="35" a="1"/>
  <c r="G973" i="35" s="1"/>
  <c r="G986" i="35" a="1"/>
  <c r="G986" i="35" s="1"/>
  <c r="G997" i="35" a="1"/>
  <c r="G997" i="35" s="1"/>
  <c r="G1008" i="35" a="1"/>
  <c r="G1008" i="35" s="1"/>
  <c r="G1020" i="35" a="1"/>
  <c r="G1020" i="35" s="1"/>
  <c r="G1033" i="35" a="1"/>
  <c r="G1033" i="35" s="1"/>
  <c r="G1045" i="35" a="1"/>
  <c r="G1045" i="35" s="1"/>
  <c r="G1058" i="35" a="1"/>
  <c r="G1058" i="35" s="1"/>
  <c r="G1073" i="35" a="1"/>
  <c r="G1073" i="35" s="1"/>
  <c r="G1095" i="35" a="1"/>
  <c r="G1095" i="35" s="1"/>
  <c r="G1106" i="35" a="1"/>
  <c r="G1106" i="35" s="1"/>
  <c r="G1118" i="35" a="1"/>
  <c r="G1118" i="35" s="1"/>
  <c r="G1128" i="35" a="1"/>
  <c r="G1128" i="35" s="1"/>
  <c r="G74" i="35" a="1"/>
  <c r="G74" i="35" s="1"/>
  <c r="G119" i="35" a="1"/>
  <c r="G119" i="35" s="1"/>
  <c r="G167" i="35" a="1"/>
  <c r="G167" i="35" s="1"/>
  <c r="G225" i="35" a="1"/>
  <c r="G225" i="35" s="1"/>
  <c r="G269" i="35" a="1"/>
  <c r="G269" i="35" s="1"/>
  <c r="G317" i="35" a="1"/>
  <c r="G317" i="35" s="1"/>
  <c r="G367" i="35" a="1"/>
  <c r="G367" i="35" s="1"/>
  <c r="G407" i="35" a="1"/>
  <c r="G407" i="35" s="1"/>
  <c r="G450" i="35" a="1"/>
  <c r="G450" i="35" s="1"/>
  <c r="G489" i="35" a="1"/>
  <c r="G489" i="35" s="1"/>
  <c r="G536" i="35" a="1"/>
  <c r="G536" i="35" s="1"/>
  <c r="G569" i="35" a="1"/>
  <c r="G569" i="35" s="1"/>
  <c r="G594" i="35" a="1"/>
  <c r="G594" i="35" s="1"/>
  <c r="G615" i="35" a="1"/>
  <c r="G615" i="35" s="1"/>
  <c r="G637" i="35" a="1"/>
  <c r="G637" i="35" s="1"/>
  <c r="G662" i="35" a="1"/>
  <c r="G662" i="35" s="1"/>
  <c r="G685" i="35" a="1"/>
  <c r="G685" i="35" s="1"/>
  <c r="G704" i="35" a="1"/>
  <c r="G704" i="35" s="1"/>
  <c r="G729" i="35" a="1"/>
  <c r="G729" i="35" s="1"/>
  <c r="G753" i="35" a="1"/>
  <c r="G753" i="35" s="1"/>
  <c r="G774" i="35" a="1"/>
  <c r="G774" i="35" s="1"/>
  <c r="G793" i="35" a="1"/>
  <c r="G793" i="35" s="1"/>
  <c r="G813" i="35" a="1"/>
  <c r="G813" i="35" s="1"/>
  <c r="G833" i="35" a="1"/>
  <c r="G833" i="35" s="1"/>
  <c r="G852" i="35" a="1"/>
  <c r="G852" i="35" s="1"/>
  <c r="G871" i="35" a="1"/>
  <c r="G871" i="35" s="1"/>
  <c r="G890" i="35" a="1"/>
  <c r="G890" i="35" s="1"/>
  <c r="G904" i="35" a="1"/>
  <c r="G904" i="35" s="1"/>
  <c r="G921" i="35" a="1"/>
  <c r="G921" i="35" s="1"/>
  <c r="G936" i="35" a="1"/>
  <c r="G936" i="35" s="1"/>
  <c r="G949" i="35" a="1"/>
  <c r="G949" i="35" s="1"/>
  <c r="G974" i="35" a="1"/>
  <c r="G974" i="35" s="1"/>
  <c r="G987" i="35" a="1"/>
  <c r="G987" i="35" s="1"/>
  <c r="G998" i="35" a="1"/>
  <c r="G998" i="35" s="1"/>
  <c r="G1009" i="35" a="1"/>
  <c r="G1009" i="35" s="1"/>
  <c r="G1022" i="35" a="1"/>
  <c r="G1022" i="35" s="1"/>
  <c r="G1034" i="35" a="1"/>
  <c r="G1034" i="35" s="1"/>
  <c r="G1046" i="35" a="1"/>
  <c r="G1046" i="35" s="1"/>
  <c r="G1059" i="35" a="1"/>
  <c r="G1059" i="35" s="1"/>
  <c r="G1074" i="35" a="1"/>
  <c r="G1074" i="35" s="1"/>
  <c r="G1085" i="35" a="1"/>
  <c r="G1085" i="35" s="1"/>
  <c r="G1096" i="35" a="1"/>
  <c r="G1096" i="35" s="1"/>
  <c r="G1108" i="35" a="1"/>
  <c r="G1108" i="35" s="1"/>
  <c r="G21" i="35" a="1"/>
  <c r="G21" i="35" s="1"/>
  <c r="G84" i="35" a="1"/>
  <c r="G84" i="35" s="1"/>
  <c r="G130" i="35" a="1"/>
  <c r="G130" i="35" s="1"/>
  <c r="G175" i="35" a="1"/>
  <c r="G175" i="35" s="1"/>
  <c r="G227" i="35" a="1"/>
  <c r="G227" i="35" s="1"/>
  <c r="G272" i="35" a="1"/>
  <c r="G272" i="35" s="1"/>
  <c r="G321" i="35" a="1"/>
  <c r="G321" i="35" s="1"/>
  <c r="G369" i="35" a="1"/>
  <c r="G369" i="35" s="1"/>
  <c r="G417" i="35" a="1"/>
  <c r="G417" i="35" s="1"/>
  <c r="G451" i="35" a="1"/>
  <c r="G451" i="35" s="1"/>
  <c r="G494" i="35" a="1"/>
  <c r="G494" i="35" s="1"/>
  <c r="G538" i="35" a="1"/>
  <c r="G538" i="35" s="1"/>
  <c r="G570" i="35" a="1"/>
  <c r="G570" i="35" s="1"/>
  <c r="G595" i="35" a="1"/>
  <c r="G595" i="35" s="1"/>
  <c r="G617" i="35" a="1"/>
  <c r="G617" i="35" s="1"/>
  <c r="G639" i="35" a="1"/>
  <c r="G639" i="35" s="1"/>
  <c r="G663" i="35" a="1"/>
  <c r="G663" i="35" s="1"/>
  <c r="G686" i="35" a="1"/>
  <c r="G686" i="35" s="1"/>
  <c r="G710" i="35" a="1"/>
  <c r="G710" i="35" s="1"/>
  <c r="G730" i="35" a="1"/>
  <c r="G730" i="35" s="1"/>
  <c r="G754" i="35" a="1"/>
  <c r="G754" i="35" s="1"/>
  <c r="G794" i="35" a="1"/>
  <c r="G794" i="35" s="1"/>
  <c r="G814" i="35" a="1"/>
  <c r="G814" i="35" s="1"/>
  <c r="G834" i="35" a="1"/>
  <c r="G834" i="35" s="1"/>
  <c r="G854" i="35" a="1"/>
  <c r="G854" i="35" s="1"/>
  <c r="G872" i="35" a="1"/>
  <c r="G872" i="35" s="1"/>
  <c r="G891" i="35" a="1"/>
  <c r="G891" i="35" s="1"/>
  <c r="G905" i="35" a="1"/>
  <c r="G905" i="35" s="1"/>
  <c r="G922" i="35" a="1"/>
  <c r="G922" i="35" s="1"/>
  <c r="G937" i="35" a="1"/>
  <c r="G937" i="35" s="1"/>
  <c r="G950" i="35" a="1"/>
  <c r="G950" i="35" s="1"/>
  <c r="G962" i="35" a="1"/>
  <c r="G962" i="35" s="1"/>
  <c r="G977" i="35" a="1"/>
  <c r="G977" i="35" s="1"/>
  <c r="G988" i="35" a="1"/>
  <c r="G988" i="35" s="1"/>
  <c r="G999" i="35" a="1"/>
  <c r="G999" i="35" s="1"/>
  <c r="G1010" i="35" a="1"/>
  <c r="G1010" i="35" s="1"/>
  <c r="G1023" i="35" a="1"/>
  <c r="G1023" i="35" s="1"/>
  <c r="G1035" i="35" a="1"/>
  <c r="G1035" i="35" s="1"/>
  <c r="G1047" i="35" a="1"/>
  <c r="G1047" i="35" s="1"/>
  <c r="G1062" i="35" a="1"/>
  <c r="G1062" i="35" s="1"/>
  <c r="G1086" i="35" a="1"/>
  <c r="G1086" i="35" s="1"/>
  <c r="G1097" i="35" a="1"/>
  <c r="G1097" i="35" s="1"/>
  <c r="G1130" i="35" a="1"/>
  <c r="G1130" i="35" s="1"/>
  <c r="G1143" i="35" a="1"/>
  <c r="G1143" i="35" s="1"/>
  <c r="G1164" i="35" a="1"/>
  <c r="G1164" i="35" s="1"/>
  <c r="G1176" i="35" a="1"/>
  <c r="G1176" i="35" s="1"/>
  <c r="G1197" i="35" a="1"/>
  <c r="G1197" i="35" s="1"/>
  <c r="G1207" i="35" a="1"/>
  <c r="G1207" i="35" s="1"/>
  <c r="G1218" i="35" a="1"/>
  <c r="G1218" i="35" s="1"/>
  <c r="G1229" i="35" a="1"/>
  <c r="G1229" i="35" s="1"/>
  <c r="G1241" i="35" a="1"/>
  <c r="G1241" i="35" s="1"/>
  <c r="G1253" i="35" a="1"/>
  <c r="G1253" i="35" s="1"/>
  <c r="G1274" i="35" a="1"/>
  <c r="G1274" i="35" s="1"/>
  <c r="G1286" i="35" a="1"/>
  <c r="G1286" i="35" s="1"/>
  <c r="G1298" i="35" a="1"/>
  <c r="G1298" i="35" s="1"/>
  <c r="G1309" i="35" a="1"/>
  <c r="G1309" i="35" s="1"/>
  <c r="G1320" i="35" a="1"/>
  <c r="G1320" i="35" s="1"/>
  <c r="G1331" i="35" a="1"/>
  <c r="G1331" i="35" s="1"/>
  <c r="G1343" i="35" a="1"/>
  <c r="G1343" i="35" s="1"/>
  <c r="G1354" i="35" a="1"/>
  <c r="G1354" i="35" s="1"/>
  <c r="G1366" i="35" a="1"/>
  <c r="G1366" i="35" s="1"/>
  <c r="G1378" i="35" a="1"/>
  <c r="G1378" i="35" s="1"/>
  <c r="G1390" i="35" a="1"/>
  <c r="G1390" i="35" s="1"/>
  <c r="G1401" i="35" a="1"/>
  <c r="G1401" i="35" s="1"/>
  <c r="G1412" i="35" a="1"/>
  <c r="G1412" i="35" s="1"/>
  <c r="G1423" i="35" a="1"/>
  <c r="G1423" i="35" s="1"/>
  <c r="G1433" i="35" a="1"/>
  <c r="G1433" i="35" s="1"/>
  <c r="G1444" i="35" a="1"/>
  <c r="G1444" i="35" s="1"/>
  <c r="G1454" i="35" a="1"/>
  <c r="G1454" i="35" s="1"/>
  <c r="G1465" i="35" a="1"/>
  <c r="G1465" i="35" s="1"/>
  <c r="G1475" i="35" a="1"/>
  <c r="G1475" i="35" s="1"/>
  <c r="G1487" i="35" a="1"/>
  <c r="G1487" i="35" s="1"/>
  <c r="G1509" i="35" a="1"/>
  <c r="G1509" i="35" s="1"/>
  <c r="G1521" i="35" a="1"/>
  <c r="G1521" i="35" s="1"/>
  <c r="G1531" i="35" a="1"/>
  <c r="G1531" i="35" s="1"/>
  <c r="G1542" i="35" a="1"/>
  <c r="G1542" i="35" s="1"/>
  <c r="G1552" i="35" a="1"/>
  <c r="G1552" i="35" s="1"/>
  <c r="G32" i="35" a="1"/>
  <c r="G32" i="35" s="1"/>
  <c r="G86" i="35" a="1"/>
  <c r="G86" i="35" s="1"/>
  <c r="G134" i="35" a="1"/>
  <c r="G134" i="35" s="1"/>
  <c r="G182" i="35" a="1"/>
  <c r="G182" i="35" s="1"/>
  <c r="G228" i="35" a="1"/>
  <c r="G228" i="35" s="1"/>
  <c r="G278" i="35" a="1"/>
  <c r="G278" i="35" s="1"/>
  <c r="G323" i="35" a="1"/>
  <c r="G323" i="35" s="1"/>
  <c r="G375" i="35" a="1"/>
  <c r="G375" i="35" s="1"/>
  <c r="G419" i="35" a="1"/>
  <c r="G419" i="35" s="1"/>
  <c r="G453" i="35" a="1"/>
  <c r="G453" i="35" s="1"/>
  <c r="G495" i="35" a="1"/>
  <c r="G495" i="35" s="1"/>
  <c r="G539" i="35" a="1"/>
  <c r="G539" i="35" s="1"/>
  <c r="G572" i="35" a="1"/>
  <c r="G572" i="35" s="1"/>
  <c r="G597" i="35" a="1"/>
  <c r="G597" i="35" s="1"/>
  <c r="G618" i="35" a="1"/>
  <c r="G618" i="35" s="1"/>
  <c r="G642" i="35" a="1"/>
  <c r="G642" i="35" s="1"/>
  <c r="G665" i="35" a="1"/>
  <c r="G665" i="35" s="1"/>
  <c r="G687" i="35" a="1"/>
  <c r="G687" i="35" s="1"/>
  <c r="G712" i="35" a="1"/>
  <c r="G712" i="35" s="1"/>
  <c r="G734" i="35" a="1"/>
  <c r="G734" i="35" s="1"/>
  <c r="G755" i="35" a="1"/>
  <c r="G755" i="35" s="1"/>
  <c r="G775" i="35" a="1"/>
  <c r="G775" i="35" s="1"/>
  <c r="G795" i="35" a="1"/>
  <c r="G795" i="35" s="1"/>
  <c r="G816" i="35" a="1"/>
  <c r="G816" i="35" s="1"/>
  <c r="G836" i="35" a="1"/>
  <c r="G836" i="35" s="1"/>
  <c r="G855" i="35" a="1"/>
  <c r="G855" i="35" s="1"/>
  <c r="G873" i="35" a="1"/>
  <c r="G873" i="35" s="1"/>
  <c r="G892" i="35" a="1"/>
  <c r="G892" i="35" s="1"/>
  <c r="G909" i="35" a="1"/>
  <c r="G909" i="35" s="1"/>
  <c r="G938" i="35" a="1"/>
  <c r="G938" i="35" s="1"/>
  <c r="G951" i="35" a="1"/>
  <c r="G951" i="35" s="1"/>
  <c r="G963" i="35" a="1"/>
  <c r="G963" i="35" s="1"/>
  <c r="G1000" i="35" a="1"/>
  <c r="G1000" i="35" s="1"/>
  <c r="G1024" i="35" a="1"/>
  <c r="G1024" i="35" s="1"/>
  <c r="G1036" i="35" a="1"/>
  <c r="G1036" i="35" s="1"/>
  <c r="G1048" i="35" a="1"/>
  <c r="G1048" i="35" s="1"/>
  <c r="G1063" i="35" a="1"/>
  <c r="G1063" i="35" s="1"/>
  <c r="G1075" i="35" a="1"/>
  <c r="G1075" i="35" s="1"/>
  <c r="G1087" i="35" a="1"/>
  <c r="G1087" i="35" s="1"/>
  <c r="G1099" i="35" a="1"/>
  <c r="G1099" i="35" s="1"/>
  <c r="G1109" i="35" a="1"/>
  <c r="G1109" i="35" s="1"/>
  <c r="G1120" i="35" a="1"/>
  <c r="G1120" i="35" s="1"/>
  <c r="G1131" i="35" a="1"/>
  <c r="G1131" i="35" s="1"/>
  <c r="G1155" i="35" a="1"/>
  <c r="G1155" i="35" s="1"/>
  <c r="G1165" i="35" a="1"/>
  <c r="G1165" i="35" s="1"/>
  <c r="G1178" i="35" a="1"/>
  <c r="G1178" i="35" s="1"/>
  <c r="G1187" i="35" a="1"/>
  <c r="G1187" i="35" s="1"/>
  <c r="G1198" i="35" a="1"/>
  <c r="G1198" i="35" s="1"/>
  <c r="G1208" i="35" a="1"/>
  <c r="G1208" i="35" s="1"/>
  <c r="G1219" i="35" a="1"/>
  <c r="G1219" i="35" s="1"/>
  <c r="G1230" i="35" a="1"/>
  <c r="G1230" i="35" s="1"/>
  <c r="G1242" i="35" a="1"/>
  <c r="G1242" i="35" s="1"/>
  <c r="G1254" i="35" a="1"/>
  <c r="G1254" i="35" s="1"/>
  <c r="G1264" i="35" a="1"/>
  <c r="G1264" i="35" s="1"/>
  <c r="G1275" i="35" a="1"/>
  <c r="G1275" i="35" s="1"/>
  <c r="G1287" i="35" a="1"/>
  <c r="G1287" i="35" s="1"/>
  <c r="G1299" i="35" a="1"/>
  <c r="G1299" i="35" s="1"/>
  <c r="G1310" i="35" a="1"/>
  <c r="G1310" i="35" s="1"/>
  <c r="G1321" i="35" a="1"/>
  <c r="G1321" i="35" s="1"/>
  <c r="G1332" i="35" a="1"/>
  <c r="G1332" i="35" s="1"/>
  <c r="G1344" i="35" a="1"/>
  <c r="G1344" i="35" s="1"/>
  <c r="G1355" i="35" a="1"/>
  <c r="G1355" i="35" s="1"/>
  <c r="G1367" i="35" a="1"/>
  <c r="G1367" i="35" s="1"/>
  <c r="G1379" i="35" a="1"/>
  <c r="G1379" i="35" s="1"/>
  <c r="G1391" i="35" a="1"/>
  <c r="G1391" i="35" s="1"/>
  <c r="G1424" i="35" a="1"/>
  <c r="G1424" i="35" s="1"/>
  <c r="G1434" i="35" a="1"/>
  <c r="G1434" i="35" s="1"/>
  <c r="G1445" i="35" a="1"/>
  <c r="G1445" i="35" s="1"/>
  <c r="G1455" i="35" a="1"/>
  <c r="G1455" i="35" s="1"/>
  <c r="G1476" i="35" a="1"/>
  <c r="G1476" i="35" s="1"/>
  <c r="G1488" i="35" a="1"/>
  <c r="G1488" i="35" s="1"/>
  <c r="G1498" i="35" a="1"/>
  <c r="G1498" i="35" s="1"/>
  <c r="G1510" i="35" a="1"/>
  <c r="G1510" i="35" s="1"/>
  <c r="G1532" i="35" a="1"/>
  <c r="G1532" i="35" s="1"/>
  <c r="G1543" i="35" a="1"/>
  <c r="G1543" i="35" s="1"/>
  <c r="G1553" i="35" a="1"/>
  <c r="G1553" i="35" s="1"/>
  <c r="G33" i="35" a="1"/>
  <c r="G33" i="35" s="1"/>
  <c r="G89" i="35" a="1"/>
  <c r="G89" i="35" s="1"/>
  <c r="G139" i="35" a="1"/>
  <c r="G139" i="35" s="1"/>
  <c r="G183" i="35" a="1"/>
  <c r="G183" i="35" s="1"/>
  <c r="G234" i="35" a="1"/>
  <c r="G234" i="35" s="1"/>
  <c r="G279" i="35" a="1"/>
  <c r="G279" i="35" s="1"/>
  <c r="G324" i="35" a="1"/>
  <c r="G324" i="35" s="1"/>
  <c r="G376" i="35" a="1"/>
  <c r="G376" i="35" s="1"/>
  <c r="G420" i="35" a="1"/>
  <c r="G420" i="35" s="1"/>
  <c r="G460" i="35" a="1"/>
  <c r="G460" i="35" s="1"/>
  <c r="G496" i="35" a="1"/>
  <c r="G496" i="35" s="1"/>
  <c r="G548" i="35" a="1"/>
  <c r="G548" i="35" s="1"/>
  <c r="G577" i="35" a="1"/>
  <c r="G577" i="35" s="1"/>
  <c r="G601" i="35" a="1"/>
  <c r="G601" i="35" s="1"/>
  <c r="G619" i="35" a="1"/>
  <c r="G619" i="35" s="1"/>
  <c r="G643" i="35" a="1"/>
  <c r="G643" i="35" s="1"/>
  <c r="G666" i="35" a="1"/>
  <c r="G666" i="35" s="1"/>
  <c r="G691" i="35" a="1"/>
  <c r="G691" i="35" s="1"/>
  <c r="G735" i="35" a="1"/>
  <c r="G735" i="35" s="1"/>
  <c r="G758" i="35" a="1"/>
  <c r="G758" i="35" s="1"/>
  <c r="G776" i="35" a="1"/>
  <c r="G776" i="35" s="1"/>
  <c r="G796" i="35" a="1"/>
  <c r="G796" i="35" s="1"/>
  <c r="G837" i="35" a="1"/>
  <c r="G837" i="35" s="1"/>
  <c r="G856" i="35" a="1"/>
  <c r="G856" i="35" s="1"/>
  <c r="G874" i="35" a="1"/>
  <c r="G874" i="35" s="1"/>
  <c r="G893" i="35" a="1"/>
  <c r="G893" i="35" s="1"/>
  <c r="G911" i="35" a="1"/>
  <c r="G911" i="35" s="1"/>
  <c r="G923" i="35" a="1"/>
  <c r="G923" i="35" s="1"/>
  <c r="G939" i="35" a="1"/>
  <c r="G939" i="35" s="1"/>
  <c r="G952" i="35" a="1"/>
  <c r="G952" i="35" s="1"/>
  <c r="G966" i="35" a="1"/>
  <c r="G966" i="35" s="1"/>
  <c r="G978" i="35" a="1"/>
  <c r="G978" i="35" s="1"/>
  <c r="G989" i="35" a="1"/>
  <c r="G989" i="35" s="1"/>
  <c r="G1013" i="35" a="1"/>
  <c r="G1013" i="35" s="1"/>
  <c r="G143" i="35" a="1"/>
  <c r="G143" i="35" s="1"/>
  <c r="G193" i="35" a="1"/>
  <c r="G193" i="35" s="1"/>
  <c r="G248" i="35" a="1"/>
  <c r="G248" i="35" s="1"/>
  <c r="G292" i="35" a="1"/>
  <c r="G292" i="35" s="1"/>
  <c r="G344" i="35" a="1"/>
  <c r="G344" i="35" s="1"/>
  <c r="G388" i="35" a="1"/>
  <c r="G388" i="35" s="1"/>
  <c r="G430" i="35" a="1"/>
  <c r="G430" i="35" s="1"/>
  <c r="G468" i="35" a="1"/>
  <c r="G468" i="35" s="1"/>
  <c r="G516" i="35" a="1"/>
  <c r="G516" i="35" s="1"/>
  <c r="G557" i="35" a="1"/>
  <c r="G557" i="35" s="1"/>
  <c r="G583" i="35" a="1"/>
  <c r="G583" i="35" s="1"/>
  <c r="G605" i="35" a="1"/>
  <c r="G605" i="35" s="1"/>
  <c r="G627" i="35" a="1"/>
  <c r="G627" i="35" s="1"/>
  <c r="G648" i="35" a="1"/>
  <c r="G648" i="35" s="1"/>
  <c r="G671" i="35" a="1"/>
  <c r="G671" i="35" s="1"/>
  <c r="G694" i="35" a="1"/>
  <c r="G694" i="35" s="1"/>
  <c r="G718" i="35" a="1"/>
  <c r="G718" i="35" s="1"/>
  <c r="G739" i="35" a="1"/>
  <c r="G739" i="35" s="1"/>
  <c r="G762" i="35" a="1"/>
  <c r="G762" i="35" s="1"/>
  <c r="G784" i="35" a="1"/>
  <c r="G784" i="35" s="1"/>
  <c r="G803" i="35" a="1"/>
  <c r="G803" i="35" s="1"/>
  <c r="G822" i="35" a="1"/>
  <c r="G822" i="35" s="1"/>
  <c r="G842" i="35" a="1"/>
  <c r="G842" i="35" s="1"/>
  <c r="G863" i="35" a="1"/>
  <c r="G863" i="35" s="1"/>
  <c r="G895" i="35" a="1"/>
  <c r="G895" i="35" s="1"/>
  <c r="G913" i="35" a="1"/>
  <c r="G913" i="35" s="1"/>
  <c r="G928" i="35" a="1"/>
  <c r="G928" i="35" s="1"/>
  <c r="G942" i="35" a="1"/>
  <c r="G942" i="35" s="1"/>
  <c r="G957" i="35" a="1"/>
  <c r="G957" i="35" s="1"/>
  <c r="G969" i="35" a="1"/>
  <c r="G969" i="35" s="1"/>
  <c r="G980" i="35" a="1"/>
  <c r="G980" i="35" s="1"/>
  <c r="G991" i="35" a="1"/>
  <c r="G991" i="35" s="1"/>
  <c r="G1016" i="35" a="1"/>
  <c r="G1016" i="35" s="1"/>
  <c r="G1027" i="35" a="1"/>
  <c r="G1027" i="35" s="1"/>
  <c r="G1039" i="35" a="1"/>
  <c r="G1039" i="35" s="1"/>
  <c r="G1053" i="35" a="1"/>
  <c r="G1053" i="35" s="1"/>
  <c r="G1067" i="35" a="1"/>
  <c r="G1067" i="35" s="1"/>
  <c r="G1079" i="35" a="1"/>
  <c r="G1079" i="35" s="1"/>
  <c r="G1090" i="35" a="1"/>
  <c r="G1090" i="35" s="1"/>
  <c r="G1113" i="35" a="1"/>
  <c r="G1113" i="35" s="1"/>
  <c r="G1123" i="35" a="1"/>
  <c r="G1123" i="35" s="1"/>
  <c r="G1135" i="35" a="1"/>
  <c r="G1135" i="35" s="1"/>
  <c r="G73" i="35" a="1"/>
  <c r="G73" i="35" s="1"/>
  <c r="G50" i="35" a="1"/>
  <c r="G50" i="35" s="1"/>
  <c r="G75" i="35" a="1"/>
  <c r="G75" i="35" s="1"/>
  <c r="G97" i="35" a="1"/>
  <c r="G97" i="35" s="1"/>
  <c r="G122" i="35" a="1"/>
  <c r="G122" i="35" s="1"/>
  <c r="G145" i="35" a="1"/>
  <c r="G145" i="35" s="1"/>
  <c r="G171" i="35" a="1"/>
  <c r="G171" i="35" s="1"/>
  <c r="G194" i="35" a="1"/>
  <c r="G194" i="35" s="1"/>
  <c r="G216" i="35" a="1"/>
  <c r="G216" i="35" s="1"/>
  <c r="G237" i="35" a="1"/>
  <c r="G237" i="35" s="1"/>
  <c r="G258" i="35" a="1"/>
  <c r="G258" i="35" s="1"/>
  <c r="G281" i="35" a="1"/>
  <c r="G281" i="35" s="1"/>
  <c r="G303" i="35" a="1"/>
  <c r="G303" i="35" s="1"/>
  <c r="G332" i="35" a="1"/>
  <c r="G332" i="35" s="1"/>
  <c r="G356" i="35" a="1"/>
  <c r="G356" i="35" s="1"/>
  <c r="G8" i="35" a="1"/>
  <c r="G8" i="35" s="1"/>
  <c r="G51" i="35" a="1"/>
  <c r="G51" i="35" s="1"/>
  <c r="G76" i="35" a="1"/>
  <c r="G76" i="35" s="1"/>
  <c r="G100" i="35" a="1"/>
  <c r="G100" i="35" s="1"/>
  <c r="G127" i="35" a="1"/>
  <c r="G127" i="35" s="1"/>
  <c r="G149" i="35" a="1"/>
  <c r="G149" i="35" s="1"/>
  <c r="G172" i="35" a="1"/>
  <c r="G172" i="35" s="1"/>
  <c r="G195" i="35" a="1"/>
  <c r="G195" i="35" s="1"/>
  <c r="G217" i="35" a="1"/>
  <c r="G217" i="35" s="1"/>
  <c r="G238" i="35" a="1"/>
  <c r="G238" i="35" s="1"/>
  <c r="G259" i="35" a="1"/>
  <c r="G259" i="35" s="1"/>
  <c r="G284" i="35" a="1"/>
  <c r="G284" i="35" s="1"/>
  <c r="G306" i="35" a="1"/>
  <c r="G306" i="35" s="1"/>
  <c r="G333" i="35" a="1"/>
  <c r="G333" i="35" s="1"/>
  <c r="G357" i="35" a="1"/>
  <c r="G357" i="35" s="1"/>
  <c r="G385" i="35" a="1"/>
  <c r="G385" i="35" s="1"/>
  <c r="G408" i="35" a="1"/>
  <c r="G408" i="35" s="1"/>
  <c r="G434" i="35" a="1"/>
  <c r="G434" i="35" s="1"/>
  <c r="G457" i="35" a="1"/>
  <c r="G457" i="35" s="1"/>
  <c r="G477" i="35" a="1"/>
  <c r="G477" i="35" s="1"/>
  <c r="G504" i="35" a="1"/>
  <c r="G504" i="35" s="1"/>
  <c r="G522" i="35" a="1"/>
  <c r="G522" i="35" s="1"/>
  <c r="G540" i="35" a="1"/>
  <c r="G540" i="35" s="1"/>
  <c r="G560" i="35" a="1"/>
  <c r="G560" i="35" s="1"/>
  <c r="G573" i="35" a="1"/>
  <c r="G573" i="35" s="1"/>
  <c r="G586" i="35" a="1"/>
  <c r="G586" i="35" s="1"/>
  <c r="G599" i="35" a="1"/>
  <c r="G599" i="35" s="1"/>
  <c r="G609" i="35" a="1"/>
  <c r="G609" i="35" s="1"/>
  <c r="G620" i="35" a="1"/>
  <c r="G620" i="35" s="1"/>
  <c r="G634" i="35" a="1"/>
  <c r="G634" i="35" s="1"/>
  <c r="G645" i="35" a="1"/>
  <c r="G645" i="35" s="1"/>
  <c r="G657" i="35" a="1"/>
  <c r="G657" i="35" s="1"/>
  <c r="G668" i="35" a="1"/>
  <c r="G668" i="35" s="1"/>
  <c r="G682" i="35" a="1"/>
  <c r="G682" i="35" s="1"/>
  <c r="G705" i="35" a="1"/>
  <c r="G705" i="35" s="1"/>
  <c r="G731" i="35" a="1"/>
  <c r="G731" i="35" s="1"/>
  <c r="G766" i="35" a="1"/>
  <c r="G766" i="35" s="1"/>
  <c r="G777" i="35" a="1"/>
  <c r="G777" i="35" s="1"/>
  <c r="G787" i="35" a="1"/>
  <c r="G787" i="35" s="1"/>
  <c r="G797" i="35" a="1"/>
  <c r="G797" i="35" s="1"/>
  <c r="G820" i="35" a="1"/>
  <c r="G820" i="35" s="1"/>
  <c r="G829" i="35" a="1"/>
  <c r="G829" i="35" s="1"/>
  <c r="G839" i="35" a="1"/>
  <c r="G839" i="35" s="1"/>
  <c r="G847" i="35" a="1"/>
  <c r="G847" i="35" s="1"/>
  <c r="G858" i="35" a="1"/>
  <c r="G858" i="35" s="1"/>
  <c r="G876" i="35" a="1"/>
  <c r="G876" i="35" s="1"/>
  <c r="G885" i="35" a="1"/>
  <c r="G885" i="35" s="1"/>
  <c r="G906" i="35" a="1"/>
  <c r="G906" i="35" s="1"/>
  <c r="G916" i="35" a="1"/>
  <c r="G916" i="35" s="1"/>
  <c r="G19" i="35" a="1"/>
  <c r="G19" i="35" s="1"/>
  <c r="G52" i="35" a="1"/>
  <c r="G52" i="35" s="1"/>
  <c r="G79" i="35" a="1"/>
  <c r="G79" i="35" s="1"/>
  <c r="G105" i="35" a="1"/>
  <c r="G105" i="35" s="1"/>
  <c r="G128" i="35" a="1"/>
  <c r="G128" i="35" s="1"/>
  <c r="G150" i="35" a="1"/>
  <c r="G150" i="35" s="1"/>
  <c r="G173" i="35" a="1"/>
  <c r="G173" i="35" s="1"/>
  <c r="G196" i="35" a="1"/>
  <c r="G196" i="35" s="1"/>
  <c r="G220" i="35" a="1"/>
  <c r="G220" i="35" s="1"/>
  <c r="G241" i="35" a="1"/>
  <c r="G241" i="35" s="1"/>
  <c r="G261" i="35" a="1"/>
  <c r="G261" i="35" s="1"/>
  <c r="G289" i="35" a="1"/>
  <c r="G289" i="35" s="1"/>
  <c r="G311" i="35" a="1"/>
  <c r="G311" i="35" s="1"/>
  <c r="G334" i="35" a="1"/>
  <c r="G334" i="35" s="1"/>
  <c r="G363" i="35" a="1"/>
  <c r="G363" i="35" s="1"/>
  <c r="G386" i="35" a="1"/>
  <c r="G386" i="35" s="1"/>
  <c r="G409" i="35" a="1"/>
  <c r="G409" i="35" s="1"/>
  <c r="G438" i="35" a="1"/>
  <c r="G438" i="35" s="1"/>
  <c r="G458" i="35" a="1"/>
  <c r="G458" i="35" s="1"/>
  <c r="G480" i="35" a="1"/>
  <c r="G480" i="35" s="1"/>
  <c r="G505" i="35" a="1"/>
  <c r="G505" i="35" s="1"/>
  <c r="G523" i="35" a="1"/>
  <c r="G523" i="35" s="1"/>
  <c r="G546" i="35" a="1"/>
  <c r="G546" i="35" s="1"/>
  <c r="G574" i="35" a="1"/>
  <c r="G574" i="35" s="1"/>
  <c r="G587" i="35" a="1"/>
  <c r="G587" i="35" s="1"/>
  <c r="G610" i="35" a="1"/>
  <c r="G610" i="35" s="1"/>
  <c r="G621" i="35" a="1"/>
  <c r="G621" i="35" s="1"/>
  <c r="G635" i="35" a="1"/>
  <c r="G635" i="35" s="1"/>
  <c r="G646" i="35" a="1"/>
  <c r="G646" i="35" s="1"/>
  <c r="G659" i="35" a="1"/>
  <c r="G659" i="35" s="1"/>
  <c r="G669" i="35" a="1"/>
  <c r="G669" i="35" s="1"/>
  <c r="G683" i="35" a="1"/>
  <c r="G683" i="35" s="1"/>
  <c r="G695" i="35" a="1"/>
  <c r="G695" i="35" s="1"/>
  <c r="G708" i="35" a="1"/>
  <c r="G708" i="35" s="1"/>
  <c r="G719" i="35" a="1"/>
  <c r="G719" i="35" s="1"/>
  <c r="G732" i="35" a="1"/>
  <c r="G732" i="35" s="1"/>
  <c r="G744" i="35" a="1"/>
  <c r="G744" i="35" s="1"/>
  <c r="G756" i="35" a="1"/>
  <c r="G756" i="35" s="1"/>
  <c r="G767" i="35" a="1"/>
  <c r="G767" i="35" s="1"/>
  <c r="G778" i="35" a="1"/>
  <c r="G778" i="35" s="1"/>
  <c r="G798" i="35" a="1"/>
  <c r="G798" i="35" s="1"/>
  <c r="G809" i="35" a="1"/>
  <c r="G809" i="35" s="1"/>
  <c r="G821" i="35" a="1"/>
  <c r="G821" i="35" s="1"/>
  <c r="G830" i="35" a="1"/>
  <c r="G830" i="35" s="1"/>
  <c r="G848" i="35" a="1"/>
  <c r="G848" i="35" s="1"/>
  <c r="G859" i="35" a="1"/>
  <c r="G859" i="35" s="1"/>
  <c r="G867" i="35" a="1"/>
  <c r="G867" i="35" s="1"/>
  <c r="G877" i="35" a="1"/>
  <c r="G877" i="35" s="1"/>
  <c r="G886" i="35" a="1"/>
  <c r="G886" i="35" s="1"/>
  <c r="G896" i="35" a="1"/>
  <c r="G896" i="35" s="1"/>
  <c r="G907" i="35" a="1"/>
  <c r="G907" i="35" s="1"/>
  <c r="G917" i="35" a="1"/>
  <c r="G917" i="35" s="1"/>
  <c r="G934" i="35" a="1"/>
  <c r="G934" i="35" s="1"/>
  <c r="G945" i="35" a="1"/>
  <c r="G945" i="35" s="1"/>
  <c r="G955" i="35" a="1"/>
  <c r="G955" i="35" s="1"/>
  <c r="G964" i="35" a="1"/>
  <c r="G964" i="35" s="1"/>
  <c r="G975" i="35" a="1"/>
  <c r="G975" i="35" s="1"/>
  <c r="G985" i="35" a="1"/>
  <c r="G985" i="35" s="1"/>
  <c r="G993" i="35" a="1"/>
  <c r="G993" i="35" s="1"/>
  <c r="G1002" i="35" a="1"/>
  <c r="G1002" i="35" s="1"/>
  <c r="G1011" i="35" a="1"/>
  <c r="G1011" i="35" s="1"/>
  <c r="G1030" i="35" a="1"/>
  <c r="G1030" i="35" s="1"/>
  <c r="G1050" i="35" a="1"/>
  <c r="G1050" i="35" s="1"/>
  <c r="G1060" i="35" a="1"/>
  <c r="G1060" i="35" s="1"/>
  <c r="G1080" i="35" a="1"/>
  <c r="G1080" i="35" s="1"/>
  <c r="G1088" i="35" a="1"/>
  <c r="G1088" i="35" s="1"/>
  <c r="G1098" i="35" a="1"/>
  <c r="G1098" i="35" s="1"/>
  <c r="G1107" i="35" a="1"/>
  <c r="G1107" i="35" s="1"/>
  <c r="G1137" i="35" a="1"/>
  <c r="G1137" i="35" s="1"/>
  <c r="G1147" i="35" a="1"/>
  <c r="G1147" i="35" s="1"/>
  <c r="G1166" i="35" a="1"/>
  <c r="G1166" i="35" s="1"/>
  <c r="G1177" i="35" a="1"/>
  <c r="G1177" i="35" s="1"/>
  <c r="G1194" i="35" a="1"/>
  <c r="G1194" i="35" s="1"/>
  <c r="G20" i="35" a="1"/>
  <c r="G20" i="35" s="1"/>
  <c r="G54" i="35" a="1"/>
  <c r="G54" i="35" s="1"/>
  <c r="G83" i="35" a="1"/>
  <c r="G83" i="35" s="1"/>
  <c r="G106" i="35" a="1"/>
  <c r="G106" i="35" s="1"/>
  <c r="G129" i="35" a="1"/>
  <c r="G129" i="35" s="1"/>
  <c r="G151" i="35" a="1"/>
  <c r="G151" i="35" s="1"/>
  <c r="G174" i="35" a="1"/>
  <c r="G174" i="35" s="1"/>
  <c r="G199" i="35" a="1"/>
  <c r="G199" i="35" s="1"/>
  <c r="G224" i="35" a="1"/>
  <c r="G224" i="35" s="1"/>
  <c r="G246" i="35" a="1"/>
  <c r="G246" i="35" s="1"/>
  <c r="G266" i="35" a="1"/>
  <c r="G266" i="35" s="1"/>
  <c r="G312" i="35" a="1"/>
  <c r="G312" i="35" s="1"/>
  <c r="G335" i="35" a="1"/>
  <c r="G335" i="35" s="1"/>
  <c r="G364" i="35" a="1"/>
  <c r="G364" i="35" s="1"/>
  <c r="G387" i="35" a="1"/>
  <c r="G387" i="35" s="1"/>
  <c r="G412" i="35" a="1"/>
  <c r="G412" i="35" s="1"/>
  <c r="G439" i="35" a="1"/>
  <c r="G439" i="35" s="1"/>
  <c r="G459" i="35" a="1"/>
  <c r="G459" i="35" s="1"/>
  <c r="G484" i="35" a="1"/>
  <c r="G484" i="35" s="1"/>
  <c r="G506" i="35" a="1"/>
  <c r="G506" i="35" s="1"/>
  <c r="G524" i="35" a="1"/>
  <c r="G524" i="35" s="1"/>
  <c r="G547" i="35" a="1"/>
  <c r="G547" i="35" s="1"/>
  <c r="G562" i="35" a="1"/>
  <c r="G562" i="35" s="1"/>
  <c r="G575" i="35" a="1"/>
  <c r="G575" i="35" s="1"/>
  <c r="G588" i="35" a="1"/>
  <c r="G588" i="35" s="1"/>
  <c r="G600" i="35" a="1"/>
  <c r="G600" i="35" s="1"/>
  <c r="G611" i="35" a="1"/>
  <c r="G611" i="35" s="1"/>
  <c r="G624" i="35" a="1"/>
  <c r="G624" i="35" s="1"/>
  <c r="G647" i="35" a="1"/>
  <c r="G647" i="35" s="1"/>
  <c r="G660" i="35" a="1"/>
  <c r="G660" i="35" s="1"/>
  <c r="G670" i="35" a="1"/>
  <c r="G670" i="35" s="1"/>
  <c r="G684" i="35" a="1"/>
  <c r="G684" i="35" s="1"/>
  <c r="G696" i="35" a="1"/>
  <c r="G696" i="35" s="1"/>
  <c r="G709" i="35" a="1"/>
  <c r="G709" i="35" s="1"/>
  <c r="G720" i="35" a="1"/>
  <c r="G720" i="35" s="1"/>
  <c r="G733" i="35" a="1"/>
  <c r="G733" i="35" s="1"/>
  <c r="G745" i="35" a="1"/>
  <c r="G745" i="35" s="1"/>
  <c r="G757" i="35" a="1"/>
  <c r="G757" i="35" s="1"/>
  <c r="G768" i="35" a="1"/>
  <c r="G768" i="35" s="1"/>
  <c r="G788" i="35" a="1"/>
  <c r="G788" i="35" s="1"/>
  <c r="G799" i="35" a="1"/>
  <c r="G799" i="35" s="1"/>
  <c r="G810" i="35" a="1"/>
  <c r="G810" i="35" s="1"/>
  <c r="G840" i="35" a="1"/>
  <c r="G840" i="35" s="1"/>
  <c r="G849" i="35" a="1"/>
  <c r="G849" i="35" s="1"/>
  <c r="G860" i="35" a="1"/>
  <c r="G860" i="35" s="1"/>
  <c r="G868" i="35" a="1"/>
  <c r="G868" i="35" s="1"/>
  <c r="G878" i="35" a="1"/>
  <c r="G878" i="35" s="1"/>
  <c r="G887" i="35" a="1"/>
  <c r="G887" i="35" s="1"/>
  <c r="G897" i="35" a="1"/>
  <c r="G897" i="35" s="1"/>
  <c r="G908" i="35" a="1"/>
  <c r="G908" i="35" s="1"/>
  <c r="G925" i="35" a="1"/>
  <c r="G925" i="35" s="1"/>
  <c r="G935" i="35" a="1"/>
  <c r="G935" i="35" s="1"/>
  <c r="G946" i="35" a="1"/>
  <c r="G946" i="35" s="1"/>
  <c r="G956" i="35" a="1"/>
  <c r="G956" i="35" s="1"/>
  <c r="G965" i="35" a="1"/>
  <c r="G965" i="35" s="1"/>
  <c r="G976" i="35" a="1"/>
  <c r="G976" i="35" s="1"/>
  <c r="G994" i="35" a="1"/>
  <c r="G994" i="35" s="1"/>
  <c r="G1012" i="35" a="1"/>
  <c r="G1012" i="35" s="1"/>
  <c r="G1021" i="35" a="1"/>
  <c r="G1021" i="35" s="1"/>
  <c r="G1031" i="35" a="1"/>
  <c r="G1031" i="35" s="1"/>
  <c r="G1040" i="35" a="1"/>
  <c r="G1040" i="35" s="1"/>
  <c r="G1061" i="35" a="1"/>
  <c r="G1061" i="35" s="1"/>
  <c r="G1071" i="35" a="1"/>
  <c r="G1071" i="35" s="1"/>
  <c r="G1081" i="35" a="1"/>
  <c r="G1081" i="35" s="1"/>
  <c r="G31" i="35" a="1"/>
  <c r="G31" i="35" s="1"/>
  <c r="G62" i="35" a="1"/>
  <c r="G62" i="35" s="1"/>
  <c r="G85" i="35" a="1"/>
  <c r="G85" i="35" s="1"/>
  <c r="G108" i="35" a="1"/>
  <c r="G108" i="35" s="1"/>
  <c r="G131" i="35" a="1"/>
  <c r="G131" i="35" s="1"/>
  <c r="G155" i="35" a="1"/>
  <c r="G155" i="35" s="1"/>
  <c r="G177" i="35" a="1"/>
  <c r="G177" i="35" s="1"/>
  <c r="G205" i="35" a="1"/>
  <c r="G205" i="35" s="1"/>
  <c r="G226" i="35" a="1"/>
  <c r="G226" i="35" s="1"/>
  <c r="G247" i="35" a="1"/>
  <c r="G247" i="35" s="1"/>
  <c r="G268" i="35" a="1"/>
  <c r="G268" i="35" s="1"/>
  <c r="G291" i="35" a="1"/>
  <c r="G291" i="35" s="1"/>
  <c r="G314" i="35" a="1"/>
  <c r="G314" i="35" s="1"/>
  <c r="G343" i="35" a="1"/>
  <c r="G343" i="35" s="1"/>
  <c r="G366" i="35" a="1"/>
  <c r="G366" i="35" s="1"/>
  <c r="G391" i="35" a="1"/>
  <c r="G391" i="35" s="1"/>
  <c r="G418" i="35" a="1"/>
  <c r="G418" i="35" s="1"/>
  <c r="G461" i="35" a="1"/>
  <c r="G461" i="35" s="1"/>
  <c r="G486" i="35" a="1"/>
  <c r="G486" i="35" s="1"/>
  <c r="G507" i="35" a="1"/>
  <c r="G507" i="35" s="1"/>
  <c r="G529" i="35" a="1"/>
  <c r="G529" i="35" s="1"/>
  <c r="G549" i="35" a="1"/>
  <c r="G549" i="35" s="1"/>
  <c r="G564" i="35" a="1"/>
  <c r="G564" i="35" s="1"/>
  <c r="G578" i="35" a="1"/>
  <c r="G578" i="35" s="1"/>
  <c r="G625" i="35" a="1"/>
  <c r="G625" i="35" s="1"/>
  <c r="G650" i="35" a="1"/>
  <c r="G650" i="35" s="1"/>
  <c r="G661" i="35" a="1"/>
  <c r="G661" i="35" s="1"/>
  <c r="G672" i="35" a="1"/>
  <c r="G672" i="35" s="1"/>
  <c r="G698" i="35" a="1"/>
  <c r="G698" i="35" s="1"/>
  <c r="G711" i="35" a="1"/>
  <c r="G711" i="35" s="1"/>
  <c r="G747" i="35" a="1"/>
  <c r="G747" i="35" s="1"/>
  <c r="G759" i="35" a="1"/>
  <c r="G759" i="35" s="1"/>
  <c r="G770" i="35" a="1"/>
  <c r="G770" i="35" s="1"/>
  <c r="G780" i="35" a="1"/>
  <c r="G780" i="35" s="1"/>
  <c r="G790" i="35" a="1"/>
  <c r="G790" i="35" s="1"/>
  <c r="G801" i="35" a="1"/>
  <c r="G801" i="35" s="1"/>
  <c r="G812" i="35" a="1"/>
  <c r="G812" i="35" s="1"/>
  <c r="G823" i="35" a="1"/>
  <c r="G823" i="35" s="1"/>
  <c r="G832" i="35" a="1"/>
  <c r="G832" i="35" s="1"/>
  <c r="G851" i="35" a="1"/>
  <c r="G851" i="35" s="1"/>
  <c r="G862" i="35" a="1"/>
  <c r="G862" i="35" s="1"/>
  <c r="G879" i="35" a="1"/>
  <c r="G879" i="35" s="1"/>
  <c r="G889" i="35" a="1"/>
  <c r="G889" i="35" s="1"/>
  <c r="G899" i="35" a="1"/>
  <c r="G899" i="35" s="1"/>
  <c r="G910" i="35" a="1"/>
  <c r="G910" i="35" s="1"/>
  <c r="G919" i="35" a="1"/>
  <c r="G919" i="35" s="1"/>
  <c r="G927" i="35" a="1"/>
  <c r="G927" i="35" s="1"/>
  <c r="G35" i="35" a="1"/>
  <c r="G35" i="35" s="1"/>
  <c r="G65" i="35" a="1"/>
  <c r="G65" i="35" s="1"/>
  <c r="G94" i="35" a="1"/>
  <c r="G94" i="35" s="1"/>
  <c r="G116" i="35" a="1"/>
  <c r="G116" i="35" s="1"/>
  <c r="G140" i="35" a="1"/>
  <c r="G140" i="35" s="1"/>
  <c r="G162" i="35" a="1"/>
  <c r="G162" i="35" s="1"/>
  <c r="G184" i="35" a="1"/>
  <c r="G184" i="35" s="1"/>
  <c r="G208" i="35" a="1"/>
  <c r="G208" i="35" s="1"/>
  <c r="G230" i="35" a="1"/>
  <c r="G230" i="35" s="1"/>
  <c r="G252" i="35" a="1"/>
  <c r="G252" i="35" s="1"/>
  <c r="G277" i="35" a="1"/>
  <c r="G277" i="35" s="1"/>
  <c r="G299" i="35" a="1"/>
  <c r="G299" i="35" s="1"/>
  <c r="G322" i="35" a="1"/>
  <c r="G322" i="35" s="1"/>
  <c r="G346" i="35" a="1"/>
  <c r="G346" i="35" s="1"/>
  <c r="G374" i="35" a="1"/>
  <c r="G374" i="35" s="1"/>
  <c r="G398" i="35" a="1"/>
  <c r="G398" i="35" s="1"/>
  <c r="G423" i="35" a="1"/>
  <c r="G423" i="35" s="1"/>
  <c r="G448" i="35" a="1"/>
  <c r="G448" i="35" s="1"/>
  <c r="G493" i="35" a="1"/>
  <c r="G493" i="35" s="1"/>
  <c r="G515" i="35" a="1"/>
  <c r="G515" i="35" s="1"/>
  <c r="G556" i="35" a="1"/>
  <c r="G556" i="35" s="1"/>
  <c r="G568" i="35" a="1"/>
  <c r="G568" i="35" s="1"/>
  <c r="G582" i="35" a="1"/>
  <c r="G582" i="35" s="1"/>
  <c r="G593" i="35" a="1"/>
  <c r="G593" i="35" s="1"/>
  <c r="G604" i="35" a="1"/>
  <c r="G604" i="35" s="1"/>
  <c r="G616" i="35" a="1"/>
  <c r="G616" i="35" s="1"/>
  <c r="G628" i="35" a="1"/>
  <c r="G628" i="35" s="1"/>
  <c r="G641" i="35" a="1"/>
  <c r="G641" i="35" s="1"/>
  <c r="G653" i="35" a="1"/>
  <c r="G653" i="35" s="1"/>
  <c r="G664" i="35" a="1"/>
  <c r="G664" i="35" s="1"/>
  <c r="G677" i="35" a="1"/>
  <c r="G677" i="35" s="1"/>
  <c r="G688" i="35" a="1"/>
  <c r="G688" i="35" s="1"/>
  <c r="G701" i="35" a="1"/>
  <c r="G701" i="35" s="1"/>
  <c r="G713" i="35" a="1"/>
  <c r="G713" i="35" s="1"/>
  <c r="G726" i="35" a="1"/>
  <c r="G726" i="35" s="1"/>
  <c r="G737" i="35" a="1"/>
  <c r="G737" i="35" s="1"/>
  <c r="G751" i="35" a="1"/>
  <c r="G751" i="35" s="1"/>
  <c r="G761" i="35" a="1"/>
  <c r="G761" i="35" s="1"/>
  <c r="G773" i="35" a="1"/>
  <c r="G773" i="35" s="1"/>
  <c r="G783" i="35" a="1"/>
  <c r="G783" i="35" s="1"/>
  <c r="G815" i="35" a="1"/>
  <c r="G815" i="35" s="1"/>
  <c r="G826" i="35" a="1"/>
  <c r="G826" i="35" s="1"/>
  <c r="G835" i="35" a="1"/>
  <c r="G835" i="35" s="1"/>
  <c r="G843" i="35" a="1"/>
  <c r="G843" i="35" s="1"/>
  <c r="G853" i="35" a="1"/>
  <c r="G853" i="35" s="1"/>
  <c r="G864" i="35" a="1"/>
  <c r="G864" i="35" s="1"/>
  <c r="G9" i="35" a="1"/>
  <c r="G9" i="35" s="1"/>
  <c r="G12" i="35" a="1"/>
  <c r="G12" i="35" s="1"/>
  <c r="G24" i="35" a="1"/>
  <c r="G24" i="35" s="1"/>
  <c r="G36" i="35" a="1"/>
  <c r="G36" i="35" s="1"/>
  <c r="G44" i="35" a="1"/>
  <c r="G44" i="35" s="1"/>
  <c r="G55" i="35" a="1"/>
  <c r="G55" i="35" s="1"/>
  <c r="G67" i="35" a="1"/>
  <c r="G67" i="35" s="1"/>
  <c r="G77" i="35" a="1"/>
  <c r="G77" i="35" s="1"/>
  <c r="G87" i="35" a="1"/>
  <c r="G87" i="35" s="1"/>
  <c r="G98" i="35" a="1"/>
  <c r="G98" i="35" s="1"/>
  <c r="G109" i="35" a="1"/>
  <c r="G109" i="35" s="1"/>
  <c r="G120" i="35" a="1"/>
  <c r="G120" i="35" s="1"/>
  <c r="G132" i="35" a="1"/>
  <c r="G132" i="35" s="1"/>
  <c r="G153" i="35" a="1"/>
  <c r="G153" i="35" s="1"/>
  <c r="G165" i="35" a="1"/>
  <c r="G165" i="35" s="1"/>
  <c r="G186" i="35" a="1"/>
  <c r="G186" i="35" s="1"/>
  <c r="G197" i="35" a="1"/>
  <c r="G197" i="35" s="1"/>
  <c r="G209" i="35" a="1"/>
  <c r="G209" i="35" s="1"/>
  <c r="G218" i="35" a="1"/>
  <c r="G218" i="35" s="1"/>
  <c r="G229" i="35" a="1"/>
  <c r="G229" i="35" s="1"/>
  <c r="G239" i="35" a="1"/>
  <c r="G239" i="35" s="1"/>
  <c r="G250" i="35" a="1"/>
  <c r="G250" i="35" s="1"/>
  <c r="G270" i="35" a="1"/>
  <c r="G270" i="35" s="1"/>
  <c r="G282" i="35" a="1"/>
  <c r="G282" i="35" s="1"/>
  <c r="G293" i="35" a="1"/>
  <c r="G293" i="35" s="1"/>
  <c r="G304" i="35" a="1"/>
  <c r="G304" i="35" s="1"/>
  <c r="G315" i="35" a="1"/>
  <c r="G315" i="35" s="1"/>
  <c r="G325" i="35" a="1"/>
  <c r="G325" i="35" s="1"/>
  <c r="G336" i="35" a="1"/>
  <c r="G336" i="35" s="1"/>
  <c r="G347" i="35" a="1"/>
  <c r="G347" i="35" s="1"/>
  <c r="G358" i="35" a="1"/>
  <c r="G358" i="35" s="1"/>
  <c r="G378" i="35" a="1"/>
  <c r="G378" i="35" s="1"/>
  <c r="G389" i="35" a="1"/>
  <c r="G389" i="35" s="1"/>
  <c r="G410" i="35" a="1"/>
  <c r="G410" i="35" s="1"/>
  <c r="G421" i="35" a="1"/>
  <c r="G421" i="35" s="1"/>
  <c r="G432" i="35" a="1"/>
  <c r="G432" i="35" s="1"/>
  <c r="G442" i="35" a="1"/>
  <c r="G442" i="35" s="1"/>
  <c r="G452" i="35" a="1"/>
  <c r="G452" i="35" s="1"/>
  <c r="G462" i="35" a="1"/>
  <c r="G462" i="35" s="1"/>
  <c r="G478" i="35" a="1"/>
  <c r="G478" i="35" s="1"/>
  <c r="G488" i="35" a="1"/>
  <c r="G488" i="35" s="1"/>
  <c r="G497" i="35" a="1"/>
  <c r="G497" i="35" s="1"/>
  <c r="G508" i="35" a="1"/>
  <c r="G508" i="35" s="1"/>
  <c r="G525" i="35" a="1"/>
  <c r="G525" i="35" s="1"/>
  <c r="G532" i="35" a="1"/>
  <c r="G532" i="35" s="1"/>
  <c r="G541" i="35" a="1"/>
  <c r="G541" i="35" s="1"/>
  <c r="G550" i="35" a="1"/>
  <c r="G550" i="35" s="1"/>
  <c r="G567" i="35" a="1"/>
  <c r="G567" i="35" s="1"/>
  <c r="G576" i="35" a="1"/>
  <c r="G576" i="35" s="1"/>
  <c r="G13" i="35" a="1"/>
  <c r="G13" i="35" s="1"/>
  <c r="G25" i="35" a="1"/>
  <c r="G25" i="35" s="1"/>
  <c r="G37" i="35" a="1"/>
  <c r="G37" i="35" s="1"/>
  <c r="G45" i="35" a="1"/>
  <c r="G45" i="35" s="1"/>
  <c r="G56" i="35" a="1"/>
  <c r="G56" i="35" s="1"/>
  <c r="G68" i="35" a="1"/>
  <c r="G68" i="35" s="1"/>
  <c r="G78" i="35" a="1"/>
  <c r="G78" i="35" s="1"/>
  <c r="G88" i="35" a="1"/>
  <c r="G88" i="35" s="1"/>
  <c r="G99" i="35" a="1"/>
  <c r="G99" i="35" s="1"/>
  <c r="G121" i="35" a="1"/>
  <c r="G121" i="35" s="1"/>
  <c r="G133" i="35" a="1"/>
  <c r="G133" i="35" s="1"/>
  <c r="G144" i="35" a="1"/>
  <c r="G144" i="35" s="1"/>
  <c r="G154" i="35" a="1"/>
  <c r="G154" i="35" s="1"/>
  <c r="G166" i="35" a="1"/>
  <c r="G166" i="35" s="1"/>
  <c r="G176" i="35" a="1"/>
  <c r="G176" i="35" s="1"/>
  <c r="G187" i="35" a="1"/>
  <c r="G187" i="35" s="1"/>
  <c r="G198" i="35" a="1"/>
  <c r="G198" i="35" s="1"/>
  <c r="G219" i="35" a="1"/>
  <c r="G219" i="35" s="1"/>
  <c r="G240" i="35" a="1"/>
  <c r="G240" i="35" s="1"/>
  <c r="G251" i="35" a="1"/>
  <c r="G251" i="35" s="1"/>
  <c r="G260" i="35" a="1"/>
  <c r="G260" i="35" s="1"/>
  <c r="G271" i="35" a="1"/>
  <c r="G271" i="35" s="1"/>
  <c r="G283" i="35" a="1"/>
  <c r="G283" i="35" s="1"/>
  <c r="G294" i="35" a="1"/>
  <c r="G294" i="35" s="1"/>
  <c r="G305" i="35" a="1"/>
  <c r="G305" i="35" s="1"/>
  <c r="G316" i="35" a="1"/>
  <c r="G316" i="35" s="1"/>
  <c r="G326" i="35" a="1"/>
  <c r="G326" i="35" s="1"/>
  <c r="G337" i="35" a="1"/>
  <c r="G337" i="35" s="1"/>
  <c r="G348" i="35" a="1"/>
  <c r="G348" i="35" s="1"/>
  <c r="G359" i="35" a="1"/>
  <c r="G359" i="35" s="1"/>
  <c r="G368" i="35" a="1"/>
  <c r="G368" i="35" s="1"/>
  <c r="G379" i="35" a="1"/>
  <c r="G379" i="35" s="1"/>
  <c r="G390" i="35" a="1"/>
  <c r="G390" i="35" s="1"/>
  <c r="G399" i="35" a="1"/>
  <c r="G399" i="35" s="1"/>
  <c r="G411" i="35" a="1"/>
  <c r="G411" i="35" s="1"/>
  <c r="G422" i="35" a="1"/>
  <c r="G422" i="35" s="1"/>
  <c r="G433" i="35" a="1"/>
  <c r="G433" i="35" s="1"/>
  <c r="G443" i="35" a="1"/>
  <c r="G443" i="35" s="1"/>
  <c r="G471" i="35" a="1"/>
  <c r="G471" i="35" s="1"/>
  <c r="G479" i="35" a="1"/>
  <c r="G479" i="35" s="1"/>
  <c r="G498" i="35" a="1"/>
  <c r="G498" i="35" s="1"/>
  <c r="G509" i="35" a="1"/>
  <c r="G509" i="35" s="1"/>
  <c r="G517" i="35" a="1"/>
  <c r="G517" i="35" s="1"/>
  <c r="G526" i="35" a="1"/>
  <c r="G526" i="35" s="1"/>
  <c r="G533" i="35" a="1"/>
  <c r="G533" i="35" s="1"/>
  <c r="G542" i="35" a="1"/>
  <c r="G542" i="35" s="1"/>
  <c r="G3" i="35" a="1"/>
  <c r="G3" i="35" s="1"/>
  <c r="G14" i="35" a="1"/>
  <c r="G14" i="35" s="1"/>
  <c r="G26" i="35" a="1"/>
  <c r="G26" i="35" s="1"/>
  <c r="G46" i="35" a="1"/>
  <c r="G46" i="35" s="1"/>
  <c r="G4" i="35" a="1"/>
  <c r="G4" i="35" s="1"/>
  <c r="G15" i="35" a="1"/>
  <c r="G15" i="35" s="1"/>
  <c r="G27" i="35" a="1"/>
  <c r="G27" i="35" s="1"/>
  <c r="G38" i="35" a="1"/>
  <c r="G38" i="35" s="1"/>
  <c r="G47" i="35" a="1"/>
  <c r="G47" i="35" s="1"/>
  <c r="G58" i="35" a="1"/>
  <c r="G58" i="35" s="1"/>
  <c r="G70" i="35" a="1"/>
  <c r="G70" i="35" s="1"/>
  <c r="G90" i="35" a="1"/>
  <c r="G90" i="35" s="1"/>
  <c r="G101" i="35" a="1"/>
  <c r="G101" i="35" s="1"/>
  <c r="G111" i="35" a="1"/>
  <c r="G111" i="35" s="1"/>
  <c r="G123" i="35" a="1"/>
  <c r="G123" i="35" s="1"/>
  <c r="G135" i="35" a="1"/>
  <c r="G135" i="35" s="1"/>
  <c r="G156" i="35" a="1"/>
  <c r="G156" i="35" s="1"/>
  <c r="G168" i="35" a="1"/>
  <c r="G168" i="35" s="1"/>
  <c r="G178" i="35" a="1"/>
  <c r="G178" i="35" s="1"/>
  <c r="G188" i="35" a="1"/>
  <c r="G188" i="35" s="1"/>
  <c r="G200" i="35" a="1"/>
  <c r="G200" i="35" s="1"/>
  <c r="G211" i="35" a="1"/>
  <c r="G211" i="35" s="1"/>
  <c r="G221" i="35" a="1"/>
  <c r="G221" i="35" s="1"/>
  <c r="G231" i="35" a="1"/>
  <c r="G231" i="35" s="1"/>
  <c r="G242" i="35" a="1"/>
  <c r="G242" i="35" s="1"/>
  <c r="G262" i="35" a="1"/>
  <c r="G262" i="35" s="1"/>
  <c r="G273" i="35" a="1"/>
  <c r="G273" i="35" s="1"/>
  <c r="G285" i="35" a="1"/>
  <c r="G285" i="35" s="1"/>
  <c r="G307" i="35" a="1"/>
  <c r="G307" i="35" s="1"/>
  <c r="G327" i="35" a="1"/>
  <c r="G327" i="35" s="1"/>
  <c r="G338" i="35" a="1"/>
  <c r="G338" i="35" s="1"/>
  <c r="G350" i="35" a="1"/>
  <c r="G350" i="35" s="1"/>
  <c r="G360" i="35" a="1"/>
  <c r="G360" i="35" s="1"/>
  <c r="G370" i="35" a="1"/>
  <c r="G370" i="35" s="1"/>
  <c r="G381" i="35" a="1"/>
  <c r="G381" i="35" s="1"/>
  <c r="G392" i="35" a="1"/>
  <c r="G392" i="35" s="1"/>
  <c r="G401" i="35" a="1"/>
  <c r="G401" i="35" s="1"/>
  <c r="G413" i="35" a="1"/>
  <c r="G413" i="35" s="1"/>
  <c r="G424" i="35" a="1"/>
  <c r="G424" i="35" s="1"/>
  <c r="G435" i="35" a="1"/>
  <c r="G435" i="35" s="1"/>
  <c r="G445" i="35" a="1"/>
  <c r="G445" i="35" s="1"/>
  <c r="G472" i="35" a="1"/>
  <c r="G472" i="35" s="1"/>
  <c r="G500" i="35" a="1"/>
  <c r="G500" i="35" s="1"/>
  <c r="G510" i="35" a="1"/>
  <c r="G510" i="35" s="1"/>
  <c r="G527" i="35" a="1"/>
  <c r="G527" i="35" s="1"/>
  <c r="G534" i="35" a="1"/>
  <c r="G534" i="35" s="1"/>
  <c r="G543" i="35" a="1"/>
  <c r="G543" i="35" s="1"/>
  <c r="G552" i="35" a="1"/>
  <c r="G552" i="35" s="1"/>
  <c r="G5" i="35" a="1"/>
  <c r="G5" i="35" s="1"/>
  <c r="G16" i="35" a="1"/>
  <c r="G16" i="35" s="1"/>
  <c r="G28" i="35" a="1"/>
  <c r="G28" i="35" s="1"/>
  <c r="G48" i="35" a="1"/>
  <c r="G48" i="35" s="1"/>
  <c r="G59" i="35" a="1"/>
  <c r="G59" i="35" s="1"/>
  <c r="G71" i="35" a="1"/>
  <c r="G71" i="35" s="1"/>
  <c r="G80" i="35" a="1"/>
  <c r="G80" i="35" s="1"/>
  <c r="G91" i="35" a="1"/>
  <c r="G91" i="35" s="1"/>
  <c r="G102" i="35" a="1"/>
  <c r="G102" i="35" s="1"/>
  <c r="G112" i="35" a="1"/>
  <c r="G112" i="35" s="1"/>
  <c r="G124" i="35" a="1"/>
  <c r="G124" i="35" s="1"/>
  <c r="G136" i="35" a="1"/>
  <c r="G136" i="35" s="1"/>
  <c r="G146" i="35" a="1"/>
  <c r="G146" i="35" s="1"/>
  <c r="G157" i="35" a="1"/>
  <c r="G157" i="35" s="1"/>
  <c r="G179" i="35" a="1"/>
  <c r="G179" i="35" s="1"/>
  <c r="G189" i="35" a="1"/>
  <c r="G189" i="35" s="1"/>
  <c r="G201" i="35" a="1"/>
  <c r="G201" i="35" s="1"/>
  <c r="G212" i="35" a="1"/>
  <c r="G212" i="35" s="1"/>
  <c r="G222" i="35" a="1"/>
  <c r="G222" i="35" s="1"/>
  <c r="G232" i="35" a="1"/>
  <c r="G232" i="35" s="1"/>
  <c r="G243" i="35" a="1"/>
  <c r="G243" i="35" s="1"/>
  <c r="G253" i="35" a="1"/>
  <c r="G253" i="35" s="1"/>
  <c r="G263" i="35" a="1"/>
  <c r="G263" i="35" s="1"/>
  <c r="G274" i="35" a="1"/>
  <c r="G274" i="35" s="1"/>
  <c r="G286" i="35" a="1"/>
  <c r="G286" i="35" s="1"/>
  <c r="G296" i="35" a="1"/>
  <c r="G296" i="35" s="1"/>
  <c r="G308" i="35" a="1"/>
  <c r="G308" i="35" s="1"/>
  <c r="G318" i="35" a="1"/>
  <c r="G318" i="35" s="1"/>
  <c r="G328" i="35" a="1"/>
  <c r="G328" i="35" s="1"/>
  <c r="G339" i="35" a="1"/>
  <c r="G339" i="35" s="1"/>
  <c r="G351" i="35" a="1"/>
  <c r="G351" i="35" s="1"/>
  <c r="G361" i="35" a="1"/>
  <c r="G361" i="35" s="1"/>
  <c r="G371" i="35" a="1"/>
  <c r="G371" i="35" s="1"/>
  <c r="G382" i="35" a="1"/>
  <c r="G382" i="35" s="1"/>
  <c r="G393" i="35" a="1"/>
  <c r="G393" i="35" s="1"/>
  <c r="G402" i="35" a="1"/>
  <c r="G402" i="35" s="1"/>
  <c r="G414" i="35" a="1"/>
  <c r="G414" i="35" s="1"/>
  <c r="G425" i="35" a="1"/>
  <c r="G425" i="35" s="1"/>
  <c r="G436" i="35" a="1"/>
  <c r="G436" i="35" s="1"/>
  <c r="G446" i="35" a="1"/>
  <c r="G446" i="35" s="1"/>
  <c r="G454" i="35" a="1"/>
  <c r="G454" i="35" s="1"/>
  <c r="G464" i="35" a="1"/>
  <c r="G464" i="35" s="1"/>
  <c r="G473" i="35" a="1"/>
  <c r="G473" i="35" s="1"/>
  <c r="G481" i="35" a="1"/>
  <c r="G481" i="35" s="1"/>
  <c r="G490" i="35" a="1"/>
  <c r="G490" i="35" s="1"/>
  <c r="G501" i="35" a="1"/>
  <c r="G501" i="35" s="1"/>
  <c r="G511" i="35" a="1"/>
  <c r="G511" i="35" s="1"/>
  <c r="G519" i="35" a="1"/>
  <c r="G519" i="35" s="1"/>
  <c r="G535" i="35" a="1"/>
  <c r="G535" i="35" s="1"/>
  <c r="G544" i="35" a="1"/>
  <c r="G544" i="35" s="1"/>
  <c r="G553" i="35" a="1"/>
  <c r="G553" i="35" s="1"/>
  <c r="G561" i="35" a="1"/>
  <c r="G561" i="35" s="1"/>
  <c r="G579" i="35" a="1"/>
  <c r="G579" i="35" s="1"/>
  <c r="G596" i="35" a="1"/>
  <c r="G596" i="35" s="1"/>
  <c r="G613" i="35" a="1"/>
  <c r="G613" i="35" s="1"/>
  <c r="G622" i="35" a="1"/>
  <c r="G622" i="35" s="1"/>
  <c r="G630" i="35" a="1"/>
  <c r="G630" i="35" s="1"/>
  <c r="G638" i="35" a="1"/>
  <c r="G638" i="35" s="1"/>
  <c r="G673" i="35" a="1"/>
  <c r="G673" i="35" s="1"/>
  <c r="G681" i="35" a="1"/>
  <c r="G681" i="35" s="1"/>
  <c r="G689" i="35" a="1"/>
  <c r="G689" i="35" s="1"/>
  <c r="G697" i="35" a="1"/>
  <c r="G697" i="35" s="1"/>
  <c r="G706" i="35" a="1"/>
  <c r="G706" i="35" s="1"/>
  <c r="G714" i="35" a="1"/>
  <c r="G714" i="35" s="1"/>
  <c r="G722" i="35" a="1"/>
  <c r="G722" i="35" s="1"/>
  <c r="G740" i="35" a="1"/>
  <c r="G740" i="35" s="1"/>
  <c r="G749" i="35" a="1"/>
  <c r="G749" i="35" s="1"/>
  <c r="G765" i="35" a="1"/>
  <c r="G765" i="35" s="1"/>
  <c r="G782" i="35" a="1"/>
  <c r="G782" i="35" s="1"/>
  <c r="G807" i="35" a="1"/>
  <c r="G807" i="35" s="1"/>
  <c r="G817" i="35" a="1"/>
  <c r="G817" i="35" s="1"/>
  <c r="G6" i="35" a="1"/>
  <c r="G6" i="35" s="1"/>
  <c r="G17" i="35" a="1"/>
  <c r="G17" i="35" s="1"/>
  <c r="G29" i="35" a="1"/>
  <c r="G29" i="35" s="1"/>
  <c r="G39" i="35" a="1"/>
  <c r="G39" i="35" s="1"/>
  <c r="G49" i="35" a="1"/>
  <c r="G49" i="35" s="1"/>
  <c r="G60" i="35" a="1"/>
  <c r="G60" i="35" s="1"/>
  <c r="G81" i="35" a="1"/>
  <c r="G81" i="35" s="1"/>
  <c r="G92" i="35" a="1"/>
  <c r="G92" i="35" s="1"/>
  <c r="G103" i="35" a="1"/>
  <c r="G103" i="35" s="1"/>
  <c r="G113" i="35" a="1"/>
  <c r="G113" i="35" s="1"/>
  <c r="G125" i="35" a="1"/>
  <c r="G125" i="35" s="1"/>
  <c r="G137" i="35" a="1"/>
  <c r="G137" i="35" s="1"/>
  <c r="G147" i="35" a="1"/>
  <c r="G147" i="35" s="1"/>
  <c r="G158" i="35" a="1"/>
  <c r="G158" i="35" s="1"/>
  <c r="G169" i="35" a="1"/>
  <c r="G169" i="35" s="1"/>
  <c r="G180" i="35" a="1"/>
  <c r="G180" i="35" s="1"/>
  <c r="G190" i="35" a="1"/>
  <c r="G190" i="35" s="1"/>
  <c r="G202" i="35" a="1"/>
  <c r="G202" i="35" s="1"/>
  <c r="G213" i="35" a="1"/>
  <c r="G213" i="35" s="1"/>
  <c r="G223" i="35" a="1"/>
  <c r="G223" i="35" s="1"/>
  <c r="G233" i="35" a="1"/>
  <c r="G233" i="35" s="1"/>
  <c r="G244" i="35" a="1"/>
  <c r="G244" i="35" s="1"/>
  <c r="G264" i="35" a="1"/>
  <c r="G264" i="35" s="1"/>
  <c r="G275" i="35" a="1"/>
  <c r="G275" i="35" s="1"/>
  <c r="G287" i="35" a="1"/>
  <c r="G287" i="35" s="1"/>
  <c r="G297" i="35" a="1"/>
  <c r="G297" i="35" s="1"/>
  <c r="G309" i="35" a="1"/>
  <c r="G309" i="35" s="1"/>
  <c r="G319" i="35" a="1"/>
  <c r="G319" i="35" s="1"/>
  <c r="G329" i="35" a="1"/>
  <c r="G329" i="35" s="1"/>
  <c r="G340" i="35" a="1"/>
  <c r="G340" i="35" s="1"/>
  <c r="G352" i="35" a="1"/>
  <c r="G352" i="35" s="1"/>
  <c r="G372" i="35" a="1"/>
  <c r="G372" i="35" s="1"/>
  <c r="G383" i="35" a="1"/>
  <c r="G383" i="35" s="1"/>
  <c r="G394" i="35" a="1"/>
  <c r="G394" i="35" s="1"/>
  <c r="G403" i="35" a="1"/>
  <c r="G403" i="35" s="1"/>
  <c r="G415" i="35" a="1"/>
  <c r="G415" i="35" s="1"/>
  <c r="G426" i="35" a="1"/>
  <c r="G426" i="35" s="1"/>
  <c r="G437" i="35" a="1"/>
  <c r="G437" i="35" s="1"/>
  <c r="G455" i="35" a="1"/>
  <c r="G455" i="35" s="1"/>
  <c r="G465" i="35" a="1"/>
  <c r="G465" i="35" s="1"/>
  <c r="G474" i="35" a="1"/>
  <c r="G474" i="35" s="1"/>
  <c r="G482" i="35" a="1"/>
  <c r="G482" i="35" s="1"/>
  <c r="G491" i="35" a="1"/>
  <c r="G491" i="35" s="1"/>
  <c r="G502" i="35" a="1"/>
  <c r="G502" i="35" s="1"/>
  <c r="G512" i="35" a="1"/>
  <c r="G512" i="35" s="1"/>
  <c r="G7" i="35" a="1"/>
  <c r="G7" i="35" s="1"/>
  <c r="G18" i="35" a="1"/>
  <c r="G18" i="35" s="1"/>
  <c r="G30" i="35" a="1"/>
  <c r="G30" i="35" s="1"/>
  <c r="G40" i="35" a="1"/>
  <c r="G40" i="35" s="1"/>
  <c r="G61" i="35" a="1"/>
  <c r="G61" i="35" s="1"/>
  <c r="G72" i="35" a="1"/>
  <c r="G72" i="35" s="1"/>
  <c r="G82" i="35" a="1"/>
  <c r="G82" i="35" s="1"/>
  <c r="G93" i="35" a="1"/>
  <c r="G93" i="35" s="1"/>
  <c r="G104" i="35" a="1"/>
  <c r="G104" i="35" s="1"/>
  <c r="G114" i="35" a="1"/>
  <c r="G114" i="35" s="1"/>
  <c r="G126" i="35" a="1"/>
  <c r="G126" i="35" s="1"/>
  <c r="G138" i="35" a="1"/>
  <c r="G138" i="35" s="1"/>
  <c r="G148" i="35" a="1"/>
  <c r="G148" i="35" s="1"/>
  <c r="G159" i="35" a="1"/>
  <c r="G159" i="35" s="1"/>
  <c r="G170" i="35" a="1"/>
  <c r="G170" i="35" s="1"/>
  <c r="G181" i="35" a="1"/>
  <c r="G181" i="35" s="1"/>
  <c r="G191" i="35" a="1"/>
  <c r="G191" i="35" s="1"/>
  <c r="G203" i="35" a="1"/>
  <c r="G203" i="35" s="1"/>
  <c r="G214" i="35" a="1"/>
  <c r="G214" i="35" s="1"/>
  <c r="G245" i="35" a="1"/>
  <c r="G245" i="35" s="1"/>
  <c r="G254" i="35" a="1"/>
  <c r="G254" i="35" s="1"/>
  <c r="G265" i="35" a="1"/>
  <c r="G265" i="35" s="1"/>
  <c r="G276" i="35" a="1"/>
  <c r="G276" i="35" s="1"/>
  <c r="G288" i="35" a="1"/>
  <c r="G288" i="35" s="1"/>
  <c r="G298" i="35" a="1"/>
  <c r="G298" i="35" s="1"/>
  <c r="G310" i="35" a="1"/>
  <c r="G310" i="35" s="1"/>
  <c r="G320" i="35" a="1"/>
  <c r="G320" i="35" s="1"/>
  <c r="G330" i="35" a="1"/>
  <c r="G330" i="35" s="1"/>
  <c r="G341" i="35" a="1"/>
  <c r="G341" i="35" s="1"/>
  <c r="G353" i="35" a="1"/>
  <c r="G353" i="35" s="1"/>
  <c r="G362" i="35" a="1"/>
  <c r="G362" i="35" s="1"/>
  <c r="G373" i="35" a="1"/>
  <c r="G373" i="35" s="1"/>
  <c r="G384" i="35" a="1"/>
  <c r="G384" i="35" s="1"/>
  <c r="G395" i="35" a="1"/>
  <c r="G395" i="35" s="1"/>
  <c r="G404" i="35" a="1"/>
  <c r="G404" i="35" s="1"/>
  <c r="G416" i="35" a="1"/>
  <c r="G416" i="35" s="1"/>
  <c r="G427" i="35" a="1"/>
  <c r="G427" i="35" s="1"/>
  <c r="G447" i="35" a="1"/>
  <c r="G447" i="35" s="1"/>
  <c r="G456" i="35" a="1"/>
  <c r="G456" i="35" s="1"/>
  <c r="G466" i="35" a="1"/>
  <c r="G466" i="35" s="1"/>
  <c r="G475" i="35" a="1"/>
  <c r="G475" i="35" s="1"/>
  <c r="G483" i="35" a="1"/>
  <c r="G483" i="35" s="1"/>
  <c r="G492" i="35" a="1"/>
  <c r="G492" i="35" s="1"/>
  <c r="G503" i="35" a="1"/>
  <c r="G503" i="35" s="1"/>
  <c r="G513" i="35" a="1"/>
  <c r="G513" i="35" s="1"/>
  <c r="G521" i="35" a="1"/>
  <c r="G521" i="35" s="1"/>
  <c r="G537" i="35" a="1"/>
  <c r="G537" i="35" s="1"/>
  <c r="G545" i="35" a="1"/>
  <c r="G545" i="35" s="1"/>
  <c r="G554" i="35" a="1"/>
  <c r="G554" i="35" s="1"/>
  <c r="G571" i="35" a="1"/>
  <c r="G571" i="35" s="1"/>
  <c r="G589" i="35" a="1"/>
  <c r="G589" i="35" s="1"/>
  <c r="G598" i="35" a="1"/>
  <c r="G598" i="35" s="1"/>
  <c r="G623" i="35" a="1"/>
  <c r="G623" i="35" s="1"/>
  <c r="G632" i="35" a="1"/>
  <c r="G632" i="35" s="1"/>
  <c r="G640" i="35" a="1"/>
  <c r="G640" i="35" s="1"/>
  <c r="G649" i="35" a="1"/>
  <c r="G649" i="35" s="1"/>
  <c r="G658" i="35" a="1"/>
  <c r="G658" i="35" s="1"/>
  <c r="G674" i="35" a="1"/>
  <c r="G674" i="35" s="1"/>
  <c r="G690" i="35" a="1"/>
  <c r="G690" i="35" s="1"/>
  <c r="G707" i="35" a="1"/>
  <c r="G707" i="35" s="1"/>
  <c r="G716" i="35" a="1"/>
  <c r="G716" i="35" s="1"/>
  <c r="G724" i="35" a="1"/>
  <c r="G724" i="35" s="1"/>
  <c r="G742" i="35" a="1"/>
  <c r="G742" i="35" s="1"/>
  <c r="G750" i="35" a="1"/>
  <c r="G750" i="35" s="1"/>
  <c r="G10" i="35" a="1"/>
  <c r="G10" i="35" s="1"/>
  <c r="G22" i="35" a="1"/>
  <c r="G22" i="35" s="1"/>
  <c r="G34" i="35" a="1"/>
  <c r="G34" i="35" s="1"/>
  <c r="G43" i="35" a="1"/>
  <c r="G43" i="35" s="1"/>
  <c r="G53" i="35" a="1"/>
  <c r="G53" i="35" s="1"/>
  <c r="G11" i="35" a="1"/>
  <c r="G11" i="35" s="1"/>
  <c r="G23" i="35" a="1"/>
  <c r="G23" i="35" s="1"/>
  <c r="A2" i="35"/>
  <c r="O31" i="31"/>
  <c r="P31" i="31" s="1"/>
  <c r="B19" i="37" s="1"/>
  <c r="O19" i="31"/>
  <c r="P19" i="31" s="1"/>
  <c r="O25" i="31"/>
  <c r="P25" i="31" s="1"/>
  <c r="O16" i="31"/>
  <c r="P16" i="31" s="1"/>
  <c r="O37" i="31"/>
  <c r="P37" i="31" s="1"/>
  <c r="O35" i="31"/>
  <c r="P35" i="31" s="1"/>
  <c r="O29" i="31"/>
  <c r="P29" i="31" s="1"/>
  <c r="O23" i="31"/>
  <c r="P23" i="31" s="1"/>
  <c r="O17" i="31"/>
  <c r="P17" i="31" s="1"/>
  <c r="O28" i="31"/>
  <c r="P28" i="31" s="1"/>
  <c r="O22" i="31"/>
  <c r="P22" i="31" s="1"/>
  <c r="O34" i="31"/>
  <c r="P34" i="31" s="1"/>
  <c r="E19" i="37" s="1"/>
  <c r="O36" i="31"/>
  <c r="P36" i="31" s="1"/>
  <c r="O30" i="31"/>
  <c r="P30" i="31" s="1"/>
  <c r="O24" i="31"/>
  <c r="P24" i="31" s="1"/>
  <c r="O18" i="31"/>
  <c r="P18" i="31" s="1"/>
  <c r="O33" i="31"/>
  <c r="P33" i="31" s="1"/>
  <c r="D19" i="37" s="1"/>
  <c r="O27" i="31"/>
  <c r="P27" i="31" s="1"/>
  <c r="O21" i="31"/>
  <c r="P21" i="31" s="1"/>
  <c r="O38" i="31"/>
  <c r="P38" i="31" s="1"/>
  <c r="O32" i="31"/>
  <c r="P32" i="31" s="1"/>
  <c r="C19" i="37" s="1"/>
  <c r="O26" i="31"/>
  <c r="P26" i="31" s="1"/>
  <c r="O20" i="31"/>
  <c r="P20" i="31" s="1"/>
  <c r="O15" i="31"/>
  <c r="P15" i="31" s="1"/>
  <c r="M19" i="4"/>
  <c r="N19" i="4" s="1" a="1"/>
  <c r="N19" i="4" s="1"/>
  <c r="P19" i="4" s="1" a="1"/>
  <c r="P19" i="4" s="1"/>
  <c r="M18" i="4"/>
  <c r="N18" i="4" s="1" a="1"/>
  <c r="N18" i="4" s="1"/>
  <c r="O18" i="4" s="1" a="1"/>
  <c r="O18" i="4" s="1"/>
  <c r="M23" i="4"/>
  <c r="N23" i="4" s="1" a="1"/>
  <c r="N23" i="4" s="1"/>
  <c r="B81" i="9"/>
  <c r="M22" i="4"/>
  <c r="D85" i="9" s="1"/>
  <c r="M16" i="4"/>
  <c r="N16" i="4" s="1" a="1"/>
  <c r="N16" i="4" s="1"/>
  <c r="O16" i="4" s="1" a="1"/>
  <c r="O16" i="4" s="1"/>
  <c r="M21" i="4"/>
  <c r="N21" i="4" s="1" a="1"/>
  <c r="N21" i="4" s="1"/>
  <c r="O21" i="4" s="1" a="1"/>
  <c r="O21" i="4" s="1"/>
  <c r="M15" i="4"/>
  <c r="N15" i="4" s="1" a="1"/>
  <c r="N15" i="4" s="1"/>
  <c r="P15" i="4" s="1" a="1"/>
  <c r="P15" i="4" s="1"/>
  <c r="M24" i="4"/>
  <c r="N24" i="4" s="1" a="1"/>
  <c r="N24" i="4" s="1"/>
  <c r="P24" i="4" s="1" a="1"/>
  <c r="P24" i="4" s="1"/>
  <c r="O23" i="4" a="1"/>
  <c r="O23" i="4" s="1"/>
  <c r="P23" i="4" a="1"/>
  <c r="P23" i="4" s="1"/>
  <c r="P18" i="4" a="1"/>
  <c r="P18" i="4" s="1"/>
  <c r="M17" i="4"/>
  <c r="B79" i="9"/>
  <c r="B78" i="9"/>
  <c r="B86" i="9"/>
  <c r="M20" i="4"/>
  <c r="N20" i="4" s="1" a="1"/>
  <c r="N20" i="4" s="1"/>
  <c r="M14" i="4"/>
  <c r="N14" i="4" s="1" a="1"/>
  <c r="N14" i="4" s="1"/>
  <c r="O16" i="2" a="1"/>
  <c r="O16" i="2" s="1"/>
  <c r="P16" i="2" a="1"/>
  <c r="P16" i="2" s="1"/>
  <c r="O24" i="2" a="1"/>
  <c r="O24" i="2" s="1"/>
  <c r="P24" i="2" a="1"/>
  <c r="P24" i="2" s="1"/>
  <c r="P23" i="2" a="1"/>
  <c r="P23" i="2" s="1"/>
  <c r="O23" i="2" a="1"/>
  <c r="O23" i="2" s="1"/>
  <c r="O20" i="2" a="1"/>
  <c r="O20" i="2" s="1"/>
  <c r="P20" i="2" a="1"/>
  <c r="P20" i="2" s="1"/>
  <c r="P19" i="2" a="1"/>
  <c r="P19" i="2" s="1"/>
  <c r="O19" i="2" a="1"/>
  <c r="O19" i="2" s="1"/>
  <c r="M25" i="2"/>
  <c r="N25" i="2" s="1" a="1"/>
  <c r="N25" i="2" s="1"/>
  <c r="M21" i="2"/>
  <c r="N21" i="2" s="1" a="1"/>
  <c r="N21" i="2" s="1"/>
  <c r="M17" i="2"/>
  <c r="N17" i="2" s="1" a="1"/>
  <c r="N17" i="2" s="1"/>
  <c r="B55" i="9"/>
  <c r="N28" i="2" a="1"/>
  <c r="N28" i="2" s="1"/>
  <c r="M22" i="2"/>
  <c r="N22" i="2" s="1" a="1"/>
  <c r="N22" i="2" s="1"/>
  <c r="B46" i="9"/>
  <c r="M18" i="2"/>
  <c r="N18" i="2" s="1" a="1"/>
  <c r="N18" i="2" s="1"/>
  <c r="G15" i="9" a="1"/>
  <c r="G15" i="9" s="1"/>
  <c r="L15" i="9" s="1"/>
  <c r="M27" i="2"/>
  <c r="N27" i="2" s="1" a="1"/>
  <c r="N27" i="2" s="1"/>
  <c r="M15" i="2"/>
  <c r="N15" i="2" s="1" a="1"/>
  <c r="N15" i="2" s="1"/>
  <c r="M26" i="2"/>
  <c r="N26" i="2" s="1" a="1"/>
  <c r="N26" i="2" s="1"/>
  <c r="M14" i="2"/>
  <c r="N14" i="2" s="1" a="1"/>
  <c r="N14" i="2" s="1"/>
  <c r="E15" i="9" a="1"/>
  <c r="E15" i="9" s="1"/>
  <c r="J15" i="9" s="1"/>
  <c r="H15" i="9" a="1"/>
  <c r="H15" i="9" s="1"/>
  <c r="M15" i="9" s="1"/>
  <c r="F15" i="9" a="1"/>
  <c r="F15" i="9" s="1"/>
  <c r="K15" i="9" s="1"/>
  <c r="D15" i="9" a="1"/>
  <c r="D15" i="9" s="1"/>
  <c r="I15" i="9" s="1"/>
  <c r="O15" i="22" l="1"/>
  <c r="O20" i="22" s="1"/>
  <c r="C66" i="37" s="1"/>
  <c r="D66" i="37" s="1"/>
  <c r="C18" i="37"/>
  <c r="D18" i="37"/>
  <c r="E17" i="37"/>
  <c r="D17" i="37"/>
  <c r="F19" i="37"/>
  <c r="B46" i="37" s="1"/>
  <c r="E46" i="37" s="1"/>
  <c r="E18" i="37"/>
  <c r="C17" i="37"/>
  <c r="B18" i="37"/>
  <c r="B17" i="37"/>
  <c r="P39" i="31"/>
  <c r="N22" i="4" a="1"/>
  <c r="N22" i="4" s="1"/>
  <c r="O24" i="4" a="1"/>
  <c r="O24" i="4" s="1"/>
  <c r="O19" i="4" a="1"/>
  <c r="O19" i="4" s="1"/>
  <c r="P21" i="4" a="1"/>
  <c r="P21" i="4" s="1"/>
  <c r="O15" i="4" a="1"/>
  <c r="O15" i="4" s="1"/>
  <c r="P16" i="4" a="1"/>
  <c r="P16" i="4" s="1"/>
  <c r="O14" i="4" a="1"/>
  <c r="O14" i="4" s="1"/>
  <c r="P14" i="4" a="1"/>
  <c r="P14" i="4" s="1"/>
  <c r="O20" i="4" a="1"/>
  <c r="O20" i="4" s="1"/>
  <c r="P20" i="4" a="1"/>
  <c r="P20" i="4" s="1"/>
  <c r="D80" i="9"/>
  <c r="N17" i="4" a="1"/>
  <c r="N17" i="4" s="1"/>
  <c r="O22" i="4" a="1"/>
  <c r="O22" i="4" s="1"/>
  <c r="P22" i="4" a="1"/>
  <c r="P22" i="4" s="1"/>
  <c r="E85" i="9"/>
  <c r="O21" i="2" a="1"/>
  <c r="O21" i="2" s="1"/>
  <c r="P21" i="2" a="1"/>
  <c r="P21" i="2" s="1"/>
  <c r="P25" i="2" a="1"/>
  <c r="P25" i="2" s="1"/>
  <c r="O25" i="2" a="1"/>
  <c r="O25" i="2" s="1"/>
  <c r="O26" i="2" a="1"/>
  <c r="O26" i="2" s="1"/>
  <c r="P26" i="2" a="1"/>
  <c r="P26" i="2" s="1"/>
  <c r="O15" i="2" a="1"/>
  <c r="O15" i="2" s="1"/>
  <c r="P15" i="2" a="1"/>
  <c r="P15" i="2" s="1"/>
  <c r="O27" i="2" a="1"/>
  <c r="O27" i="2" s="1"/>
  <c r="P27" i="2" a="1"/>
  <c r="P27" i="2" s="1"/>
  <c r="O18" i="2" a="1"/>
  <c r="O18" i="2" s="1"/>
  <c r="P18" i="2" a="1"/>
  <c r="P18" i="2" s="1"/>
  <c r="O22" i="2" a="1"/>
  <c r="O22" i="2" s="1"/>
  <c r="P22" i="2" a="1"/>
  <c r="P22" i="2" s="1"/>
  <c r="P28" i="2" a="1"/>
  <c r="P28" i="2" s="1"/>
  <c r="O28" i="2" a="1"/>
  <c r="O28" i="2" s="1"/>
  <c r="O17" i="2" a="1"/>
  <c r="O17" i="2" s="1"/>
  <c r="P17" i="2" a="1"/>
  <c r="P17" i="2" s="1"/>
  <c r="O14" i="2" a="1"/>
  <c r="O14" i="2" s="1"/>
  <c r="P14" i="2" a="1"/>
  <c r="P14" i="2" s="1"/>
  <c r="N15" i="9"/>
  <c r="F46" i="37" l="1" a="1"/>
  <c r="F46" i="37" s="1"/>
  <c r="A87" i="37" a="1"/>
  <c r="A87" i="37" s="1"/>
  <c r="A84" i="37" a="1"/>
  <c r="A84" i="37" s="1"/>
  <c r="F18" i="37"/>
  <c r="B45" i="37" s="1"/>
  <c r="E45" i="37" s="1"/>
  <c r="F17" i="37"/>
  <c r="B44" i="37" s="1"/>
  <c r="E44" i="37" s="1"/>
  <c r="O17" i="4" a="1"/>
  <c r="O17" i="4" s="1"/>
  <c r="P17" i="4" a="1"/>
  <c r="P17" i="4" s="1"/>
  <c r="E80" i="9"/>
  <c r="B75" i="37" l="1"/>
  <c r="B76" i="37"/>
  <c r="B74" i="37"/>
  <c r="B58" i="37" a="1"/>
  <c r="B58" i="37" s="1"/>
  <c r="B59" i="37" a="1"/>
  <c r="B59" i="37" s="1"/>
  <c r="B53" i="37"/>
  <c r="F45" i="37" a="1"/>
  <c r="F45" i="37" s="1"/>
  <c r="F44" i="37" a="1"/>
  <c r="F44" i="37" s="1"/>
  <c r="A81" i="37"/>
  <c r="E47" i="37"/>
  <c r="C65" i="37" s="1"/>
  <c r="B77" i="37" l="1" a="1"/>
  <c r="B77" i="37" s="1"/>
  <c r="B78" i="37" a="1"/>
  <c r="B78" i="37" s="1"/>
  <c r="B54" i="37"/>
  <c r="B56" i="37" s="1" a="1"/>
  <c r="B56" i="37" s="1"/>
  <c r="D65" i="37"/>
  <c r="D68" i="37" s="1"/>
  <c r="A72" i="37" s="1" a="1"/>
  <c r="A72" i="37" s="1"/>
  <c r="B69" i="18" l="1"/>
  <c r="A362" i="19"/>
  <c r="C78" i="18" l="1"/>
  <c r="E78" i="18" s="1"/>
  <c r="C111" i="18"/>
  <c r="E111" i="18" s="1"/>
  <c r="I111" i="18" s="1"/>
  <c r="C75" i="18"/>
  <c r="E75" i="18" s="1"/>
  <c r="C108" i="18"/>
  <c r="E108" i="18" s="1"/>
  <c r="I108" i="18" s="1"/>
  <c r="C72" i="18"/>
  <c r="E72" i="18" s="1"/>
  <c r="C105" i="18"/>
  <c r="E105" i="18" s="1"/>
  <c r="I105" i="18" s="1"/>
  <c r="C96" i="18"/>
  <c r="E96" i="18" s="1"/>
  <c r="C102" i="18"/>
  <c r="E102" i="18" s="1"/>
  <c r="C99" i="18"/>
  <c r="E99" i="18" s="1"/>
  <c r="C90" i="18"/>
  <c r="E90" i="18" s="1"/>
  <c r="C87" i="18"/>
  <c r="E87" i="18" s="1"/>
  <c r="C84" i="18"/>
  <c r="E84" i="18" s="1"/>
  <c r="C93" i="18"/>
  <c r="E93" i="18" s="1"/>
  <c r="C81" i="18"/>
  <c r="E81" i="18" s="1"/>
  <c r="H18" i="9" a="1"/>
  <c r="H18" i="9" s="1"/>
  <c r="M18" i="9" s="1"/>
  <c r="H17" i="9" a="1"/>
  <c r="H17" i="9" s="1"/>
  <c r="M17" i="9" s="1"/>
  <c r="H16" i="9" a="1"/>
  <c r="H16" i="9" s="1"/>
  <c r="M16" i="9" s="1"/>
  <c r="H14" i="9" a="1"/>
  <c r="H14" i="9" s="1"/>
  <c r="M14" i="9" s="1"/>
  <c r="G18" i="9" a="1"/>
  <c r="G18" i="9" s="1"/>
  <c r="L18" i="9" s="1"/>
  <c r="G17" i="9" a="1"/>
  <c r="G17" i="9" s="1"/>
  <c r="L17" i="9" s="1"/>
  <c r="G16" i="9" a="1"/>
  <c r="G16" i="9" s="1"/>
  <c r="L16" i="9" s="1"/>
  <c r="G14" i="9" a="1"/>
  <c r="G14" i="9" s="1"/>
  <c r="L14" i="9" s="1"/>
  <c r="F18" i="9" a="1"/>
  <c r="F18" i="9" s="1"/>
  <c r="K18" i="9" s="1"/>
  <c r="F17" i="9" a="1"/>
  <c r="F17" i="9" s="1"/>
  <c r="K17" i="9" s="1"/>
  <c r="F16" i="9" a="1"/>
  <c r="F16" i="9" s="1"/>
  <c r="K16" i="9" s="1"/>
  <c r="F14" i="9" a="1"/>
  <c r="F14" i="9" s="1"/>
  <c r="K14" i="9" s="1"/>
  <c r="E14" i="9" a="1"/>
  <c r="E14" i="9" s="1"/>
  <c r="J14" i="9" s="1"/>
  <c r="E18" i="9" a="1"/>
  <c r="E18" i="9" s="1"/>
  <c r="J18" i="9" s="1"/>
  <c r="E17" i="9" a="1"/>
  <c r="E17" i="9" s="1"/>
  <c r="J17" i="9" s="1"/>
  <c r="E16" i="9" a="1"/>
  <c r="E16" i="9" s="1"/>
  <c r="J16" i="9" s="1"/>
  <c r="D14" i="9" a="1"/>
  <c r="D14" i="9" s="1"/>
  <c r="I14" i="9" s="1"/>
  <c r="D18" i="9" a="1"/>
  <c r="D18" i="9" s="1"/>
  <c r="I18" i="9" s="1"/>
  <c r="D17" i="9" a="1"/>
  <c r="D17" i="9" s="1"/>
  <c r="I17" i="9" s="1"/>
  <c r="D16" i="9" a="1"/>
  <c r="D16" i="9" s="1"/>
  <c r="I16" i="9" s="1"/>
  <c r="K23" i="3"/>
  <c r="M22" i="3"/>
  <c r="N22" i="3" s="1" a="1"/>
  <c r="N22" i="3" s="1"/>
  <c r="M21" i="3"/>
  <c r="N21" i="3" s="1" a="1"/>
  <c r="N21" i="3" s="1"/>
  <c r="M20" i="3"/>
  <c r="N20" i="3" s="1" a="1"/>
  <c r="N20" i="3" s="1"/>
  <c r="M19" i="3"/>
  <c r="N19" i="3" s="1" a="1"/>
  <c r="N19" i="3" s="1"/>
  <c r="M18" i="3"/>
  <c r="N18" i="3" s="1" a="1"/>
  <c r="N18" i="3" s="1"/>
  <c r="M17" i="3"/>
  <c r="N17" i="3" s="1" a="1"/>
  <c r="N17" i="3" s="1"/>
  <c r="M16" i="3"/>
  <c r="N16" i="3" s="1" a="1"/>
  <c r="N16" i="3" s="1"/>
  <c r="M15" i="3"/>
  <c r="N15" i="3" s="1" a="1"/>
  <c r="N15" i="3" s="1"/>
  <c r="M14" i="3"/>
  <c r="N14" i="3" s="1" a="1"/>
  <c r="N14" i="3" s="1"/>
  <c r="M13" i="3"/>
  <c r="N13" i="3" s="1" a="1"/>
  <c r="N13" i="3" s="1"/>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 r="A522" i="19"/>
  <c r="A523" i="19"/>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A554" i="19"/>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A579" i="19"/>
  <c r="A580" i="19"/>
  <c r="A581" i="19"/>
  <c r="A582" i="19"/>
  <c r="A583" i="19"/>
  <c r="A584" i="19"/>
  <c r="A585" i="19"/>
  <c r="A586" i="19"/>
  <c r="A587" i="19"/>
  <c r="A588" i="19"/>
  <c r="A589" i="19"/>
  <c r="A590" i="19"/>
  <c r="A591" i="19"/>
  <c r="A592" i="19"/>
  <c r="A593" i="19"/>
  <c r="A594" i="19"/>
  <c r="A595" i="19"/>
  <c r="A596" i="19"/>
  <c r="A597" i="19"/>
  <c r="A598" i="19"/>
  <c r="A599" i="19"/>
  <c r="A600" i="19"/>
  <c r="A601" i="19"/>
  <c r="A602" i="19"/>
  <c r="A603" i="19"/>
  <c r="A604" i="19"/>
  <c r="A605" i="19"/>
  <c r="A606" i="19"/>
  <c r="A607" i="19"/>
  <c r="A608" i="19"/>
  <c r="A609" i="19"/>
  <c r="A610" i="19"/>
  <c r="A611" i="19"/>
  <c r="A612" i="19"/>
  <c r="A613" i="19"/>
  <c r="A614" i="19"/>
  <c r="A615" i="19"/>
  <c r="A616" i="19"/>
  <c r="A617" i="19"/>
  <c r="A618" i="19"/>
  <c r="A619" i="19"/>
  <c r="A620" i="19"/>
  <c r="A621" i="19"/>
  <c r="A622" i="19"/>
  <c r="A623" i="19"/>
  <c r="A624" i="19"/>
  <c r="A625" i="19"/>
  <c r="A626" i="19"/>
  <c r="A627" i="19"/>
  <c r="A628" i="19"/>
  <c r="A629" i="19"/>
  <c r="A630" i="19"/>
  <c r="A631" i="19"/>
  <c r="A632" i="19"/>
  <c r="A633" i="19"/>
  <c r="A634" i="19"/>
  <c r="A635" i="19"/>
  <c r="A636" i="19"/>
  <c r="A637" i="19"/>
  <c r="A638" i="19"/>
  <c r="A639" i="19"/>
  <c r="A640" i="19"/>
  <c r="A641" i="19"/>
  <c r="A642" i="19"/>
  <c r="A643" i="19"/>
  <c r="A644" i="19"/>
  <c r="A645" i="19"/>
  <c r="A646" i="19"/>
  <c r="A647" i="19"/>
  <c r="A648" i="19"/>
  <c r="A649" i="19"/>
  <c r="A650" i="19"/>
  <c r="A651" i="19"/>
  <c r="A652" i="19"/>
  <c r="A653" i="19"/>
  <c r="A654" i="19"/>
  <c r="A655" i="19"/>
  <c r="A656" i="19"/>
  <c r="A657" i="19"/>
  <c r="A658" i="19"/>
  <c r="A659" i="19"/>
  <c r="A660" i="19"/>
  <c r="A661" i="19"/>
  <c r="A662" i="19"/>
  <c r="A663" i="19"/>
  <c r="A664" i="19"/>
  <c r="A665" i="19"/>
  <c r="A666" i="19"/>
  <c r="A667" i="19"/>
  <c r="A668" i="19"/>
  <c r="A669" i="19"/>
  <c r="A670" i="19"/>
  <c r="A671" i="19"/>
  <c r="A672" i="19"/>
  <c r="A673" i="19"/>
  <c r="A674" i="19"/>
  <c r="A675" i="19"/>
  <c r="A676" i="19"/>
  <c r="A677" i="19"/>
  <c r="A678" i="19"/>
  <c r="A679" i="19"/>
  <c r="A680" i="19"/>
  <c r="A681" i="19"/>
  <c r="A682" i="19"/>
  <c r="A683" i="19"/>
  <c r="A684" i="19"/>
  <c r="A685" i="19"/>
  <c r="A686" i="19"/>
  <c r="A687" i="19"/>
  <c r="A688" i="19"/>
  <c r="A689" i="19"/>
  <c r="A690" i="19"/>
  <c r="A691" i="19"/>
  <c r="A692" i="19"/>
  <c r="A693" i="19"/>
  <c r="A694" i="19"/>
  <c r="A695" i="19"/>
  <c r="A696" i="19"/>
  <c r="A697" i="19"/>
  <c r="A698" i="19"/>
  <c r="A699" i="19"/>
  <c r="A700" i="19"/>
  <c r="A701" i="19"/>
  <c r="A702" i="19"/>
  <c r="A703" i="19"/>
  <c r="A704" i="19"/>
  <c r="A705" i="19"/>
  <c r="A706" i="19"/>
  <c r="A707" i="19"/>
  <c r="A708" i="19"/>
  <c r="A709" i="19"/>
  <c r="A710" i="19"/>
  <c r="A711" i="19"/>
  <c r="A712" i="19"/>
  <c r="A713" i="19"/>
  <c r="A714" i="19"/>
  <c r="A715" i="19"/>
  <c r="A716" i="19"/>
  <c r="A717" i="19"/>
  <c r="A718" i="19"/>
  <c r="A719" i="19"/>
  <c r="A720" i="19"/>
  <c r="A721" i="19"/>
  <c r="A722" i="19"/>
  <c r="A723" i="19"/>
  <c r="A724" i="19"/>
  <c r="A725" i="19"/>
  <c r="A726" i="19"/>
  <c r="A727" i="19"/>
  <c r="A728" i="19"/>
  <c r="A729" i="19"/>
  <c r="A730" i="19"/>
  <c r="A731" i="19"/>
  <c r="A732" i="19"/>
  <c r="A733" i="19"/>
  <c r="A734" i="19"/>
  <c r="A735" i="19"/>
  <c r="A736" i="19"/>
  <c r="A737" i="19"/>
  <c r="A738" i="19"/>
  <c r="A739" i="19"/>
  <c r="A740" i="19"/>
  <c r="A741" i="19"/>
  <c r="A742" i="19"/>
  <c r="A743" i="19"/>
  <c r="A744" i="19"/>
  <c r="A745" i="19"/>
  <c r="A746" i="19"/>
  <c r="A747" i="19"/>
  <c r="A748" i="19"/>
  <c r="A749" i="19"/>
  <c r="A750" i="19"/>
  <c r="A751" i="19"/>
  <c r="A752" i="19"/>
  <c r="A753" i="19"/>
  <c r="A754" i="19"/>
  <c r="A755" i="19"/>
  <c r="A756" i="19"/>
  <c r="A757" i="19"/>
  <c r="A758" i="19"/>
  <c r="A759" i="19"/>
  <c r="A760" i="19"/>
  <c r="A761" i="19"/>
  <c r="A762" i="19"/>
  <c r="A763" i="19"/>
  <c r="A764" i="19"/>
  <c r="A765" i="19"/>
  <c r="A766" i="19"/>
  <c r="A767" i="19"/>
  <c r="A768" i="19"/>
  <c r="A769" i="19"/>
  <c r="A770" i="19"/>
  <c r="A771" i="19"/>
  <c r="A772" i="19"/>
  <c r="A773" i="19"/>
  <c r="A774" i="19"/>
  <c r="A775" i="19"/>
  <c r="A776" i="19"/>
  <c r="A777" i="19"/>
  <c r="A778" i="19"/>
  <c r="A779" i="19"/>
  <c r="A780" i="19"/>
  <c r="A781" i="19"/>
  <c r="A782" i="19"/>
  <c r="A783" i="19"/>
  <c r="A784" i="19"/>
  <c r="A785" i="19"/>
  <c r="A786" i="19"/>
  <c r="A787" i="19"/>
  <c r="A788" i="19"/>
  <c r="A789" i="19"/>
  <c r="A790" i="19"/>
  <c r="A791" i="19"/>
  <c r="A792" i="19"/>
  <c r="A793" i="19"/>
  <c r="A794" i="19"/>
  <c r="A795" i="19"/>
  <c r="A796" i="19"/>
  <c r="A797" i="19"/>
  <c r="A798" i="19"/>
  <c r="A799" i="19"/>
  <c r="A800" i="19"/>
  <c r="A801" i="19"/>
  <c r="A802" i="19"/>
  <c r="A803" i="19"/>
  <c r="A804" i="19"/>
  <c r="A805" i="19"/>
  <c r="A806" i="19"/>
  <c r="A807" i="19"/>
  <c r="A808" i="19"/>
  <c r="A809" i="19"/>
  <c r="A810" i="19"/>
  <c r="A811" i="19"/>
  <c r="A812" i="19"/>
  <c r="A813" i="19"/>
  <c r="A814" i="19"/>
  <c r="A815" i="19"/>
  <c r="A816" i="19"/>
  <c r="A817" i="19"/>
  <c r="A818" i="19"/>
  <c r="A819" i="19"/>
  <c r="A820" i="19"/>
  <c r="A821" i="19"/>
  <c r="A822" i="19"/>
  <c r="A823" i="19"/>
  <c r="A824" i="19"/>
  <c r="A825" i="19"/>
  <c r="A826" i="19"/>
  <c r="A827" i="19"/>
  <c r="A828" i="19"/>
  <c r="A829" i="19"/>
  <c r="A830" i="19"/>
  <c r="A831" i="19"/>
  <c r="A832" i="19"/>
  <c r="A833" i="19"/>
  <c r="A834" i="19"/>
  <c r="A835" i="19"/>
  <c r="A836" i="19"/>
  <c r="A837" i="19"/>
  <c r="A838" i="19"/>
  <c r="A839" i="19"/>
  <c r="A840" i="19"/>
  <c r="A841" i="19"/>
  <c r="A842" i="19"/>
  <c r="A843" i="19"/>
  <c r="A844" i="19"/>
  <c r="A845" i="19"/>
  <c r="A846" i="19"/>
  <c r="A847" i="19"/>
  <c r="A848" i="19"/>
  <c r="A849" i="19"/>
  <c r="A850" i="19"/>
  <c r="A851" i="19"/>
  <c r="A852" i="19"/>
  <c r="A853" i="19"/>
  <c r="A854" i="19"/>
  <c r="A855" i="19"/>
  <c r="A856" i="19"/>
  <c r="A857" i="19"/>
  <c r="A858" i="19"/>
  <c r="A859" i="19"/>
  <c r="A860" i="19"/>
  <c r="A861" i="19"/>
  <c r="A862" i="19"/>
  <c r="A863" i="19"/>
  <c r="A864" i="19"/>
  <c r="A865" i="19"/>
  <c r="A866" i="19"/>
  <c r="A867" i="19"/>
  <c r="A868" i="19"/>
  <c r="A869" i="19"/>
  <c r="A870" i="19"/>
  <c r="A871" i="19"/>
  <c r="A872" i="19"/>
  <c r="A873" i="19"/>
  <c r="A874" i="19"/>
  <c r="A875" i="19"/>
  <c r="A876" i="19"/>
  <c r="A877" i="19"/>
  <c r="A878" i="19"/>
  <c r="A879" i="19"/>
  <c r="A880" i="19"/>
  <c r="A881" i="19"/>
  <c r="A882" i="19"/>
  <c r="A883" i="19"/>
  <c r="A884" i="19"/>
  <c r="A885" i="19"/>
  <c r="A886" i="19"/>
  <c r="A887" i="19"/>
  <c r="A888" i="19"/>
  <c r="A889" i="19"/>
  <c r="A890" i="19"/>
  <c r="A891" i="19"/>
  <c r="A892" i="19"/>
  <c r="A893" i="19"/>
  <c r="A894" i="19"/>
  <c r="A895" i="19"/>
  <c r="A896" i="19"/>
  <c r="A897" i="19"/>
  <c r="A898" i="19"/>
  <c r="A899" i="19"/>
  <c r="A900" i="19"/>
  <c r="A901" i="19"/>
  <c r="A902" i="19"/>
  <c r="A903" i="19"/>
  <c r="A904" i="19"/>
  <c r="A905" i="19"/>
  <c r="A906" i="19"/>
  <c r="A907" i="19"/>
  <c r="A908" i="19"/>
  <c r="A909" i="19"/>
  <c r="A910" i="19"/>
  <c r="A911" i="19"/>
  <c r="A912" i="19"/>
  <c r="A913" i="19"/>
  <c r="A914" i="19"/>
  <c r="A915" i="19"/>
  <c r="A916" i="19"/>
  <c r="A917" i="19"/>
  <c r="A918" i="19"/>
  <c r="A919" i="19"/>
  <c r="A920" i="19"/>
  <c r="A921" i="19"/>
  <c r="A922" i="19"/>
  <c r="A923" i="19"/>
  <c r="A924" i="19"/>
  <c r="A925" i="19"/>
  <c r="A926" i="19"/>
  <c r="A927" i="19"/>
  <c r="A928" i="19"/>
  <c r="A929" i="19"/>
  <c r="A930" i="19"/>
  <c r="A931" i="19"/>
  <c r="A932" i="19"/>
  <c r="A933" i="19"/>
  <c r="A934" i="19"/>
  <c r="A935" i="19"/>
  <c r="A936" i="19"/>
  <c r="A937" i="19"/>
  <c r="A938" i="19"/>
  <c r="A939" i="19"/>
  <c r="A940" i="19"/>
  <c r="A941" i="19"/>
  <c r="A942" i="19"/>
  <c r="A943" i="19"/>
  <c r="A944" i="19"/>
  <c r="A945" i="19"/>
  <c r="A946" i="19"/>
  <c r="A947" i="19"/>
  <c r="A948" i="19"/>
  <c r="A949" i="19"/>
  <c r="A950" i="19"/>
  <c r="A951" i="19"/>
  <c r="A952" i="19"/>
  <c r="A953" i="19"/>
  <c r="A954" i="19"/>
  <c r="A955" i="19"/>
  <c r="A956" i="19"/>
  <c r="A957" i="19"/>
  <c r="A958" i="19"/>
  <c r="A959" i="19"/>
  <c r="A960" i="19"/>
  <c r="A961" i="19"/>
  <c r="A962" i="19"/>
  <c r="A963" i="19"/>
  <c r="A964" i="19"/>
  <c r="A965" i="19"/>
  <c r="A966" i="19"/>
  <c r="A967" i="19"/>
  <c r="A968" i="19"/>
  <c r="A969" i="19"/>
  <c r="A970" i="19"/>
  <c r="A971" i="19"/>
  <c r="A972" i="19"/>
  <c r="A973" i="19"/>
  <c r="A974" i="19"/>
  <c r="A975" i="19"/>
  <c r="A976" i="19"/>
  <c r="A977" i="19"/>
  <c r="A978" i="19"/>
  <c r="A979" i="19"/>
  <c r="A980" i="19"/>
  <c r="A981" i="19"/>
  <c r="A982" i="19"/>
  <c r="A983" i="19"/>
  <c r="A984" i="19"/>
  <c r="A985" i="19"/>
  <c r="A986" i="19"/>
  <c r="A987" i="19"/>
  <c r="A988" i="19"/>
  <c r="A989" i="19"/>
  <c r="A990" i="19"/>
  <c r="A991" i="19"/>
  <c r="A992" i="19"/>
  <c r="A993" i="19"/>
  <c r="A994" i="19"/>
  <c r="A995" i="19"/>
  <c r="A996" i="19"/>
  <c r="A997" i="19"/>
  <c r="A998" i="19"/>
  <c r="A999" i="19"/>
  <c r="A1000" i="19"/>
  <c r="A1001" i="19"/>
  <c r="A1002" i="19"/>
  <c r="A1003" i="19"/>
  <c r="A1004" i="19"/>
  <c r="A1005" i="19"/>
  <c r="A1006" i="19"/>
  <c r="A1007" i="19"/>
  <c r="A1008" i="19"/>
  <c r="A1009" i="19"/>
  <c r="A2" i="19"/>
  <c r="A61" i="18"/>
  <c r="A62" i="18"/>
  <c r="A63" i="18"/>
  <c r="A64" i="18"/>
  <c r="A60" i="18"/>
  <c r="F84" i="18" l="1"/>
  <c r="G84" i="18" s="1"/>
  <c r="H84" i="18" s="1"/>
  <c r="I84" i="18"/>
  <c r="F87" i="18"/>
  <c r="G87" i="18" s="1"/>
  <c r="H87" i="18" s="1"/>
  <c r="I87" i="18"/>
  <c r="F93" i="18"/>
  <c r="G93" i="18" s="1"/>
  <c r="H93" i="18" s="1"/>
  <c r="I93" i="18"/>
  <c r="F90" i="18"/>
  <c r="G90" i="18" s="1"/>
  <c r="H90" i="18" s="1"/>
  <c r="I90" i="18"/>
  <c r="F99" i="18"/>
  <c r="G99" i="18" s="1"/>
  <c r="H99" i="18" s="1"/>
  <c r="I99" i="18"/>
  <c r="F81" i="18"/>
  <c r="G81" i="18" s="1"/>
  <c r="H81" i="18" s="1"/>
  <c r="I81" i="18"/>
  <c r="F102" i="18"/>
  <c r="G102" i="18" s="1"/>
  <c r="H102" i="18" s="1"/>
  <c r="I102" i="18"/>
  <c r="F96" i="18"/>
  <c r="G96" i="18" s="1"/>
  <c r="H96" i="18" s="1"/>
  <c r="I96" i="18"/>
  <c r="F72" i="18"/>
  <c r="G72" i="18" s="1"/>
  <c r="H72" i="18" s="1"/>
  <c r="I72" i="18"/>
  <c r="F75" i="18"/>
  <c r="G75" i="18" s="1"/>
  <c r="H75" i="18" s="1"/>
  <c r="I75" i="18"/>
  <c r="F78" i="18"/>
  <c r="G78" i="18" s="1"/>
  <c r="H78" i="18" s="1"/>
  <c r="I78" i="18"/>
  <c r="F105" i="18"/>
  <c r="G105" i="18" s="1"/>
  <c r="F108" i="18"/>
  <c r="G108" i="18" s="1"/>
  <c r="F111" i="18"/>
  <c r="G111" i="18" s="1"/>
  <c r="N16" i="9"/>
  <c r="N14" i="9"/>
  <c r="N18" i="9"/>
  <c r="N17" i="9"/>
  <c r="B3" i="18"/>
  <c r="B4" i="18"/>
  <c r="B5" i="18"/>
  <c r="B6" i="18"/>
  <c r="B7" i="18"/>
  <c r="B8" i="18"/>
  <c r="B9" i="18"/>
  <c r="B10" i="18"/>
  <c r="A3" i="18"/>
  <c r="A4" i="18"/>
  <c r="A5" i="18"/>
  <c r="A6" i="18"/>
  <c r="A7" i="18"/>
  <c r="A8" i="18"/>
  <c r="A9" i="18"/>
  <c r="A10" i="18"/>
  <c r="A2" i="18"/>
  <c r="B3" i="9"/>
  <c r="B4" i="9"/>
  <c r="B5" i="9"/>
  <c r="B6" i="9"/>
  <c r="B7" i="9"/>
  <c r="B8" i="9"/>
  <c r="B9" i="9"/>
  <c r="B10" i="9"/>
  <c r="A3" i="9"/>
  <c r="A4" i="9"/>
  <c r="A5" i="9"/>
  <c r="A6" i="9"/>
  <c r="A7" i="9"/>
  <c r="A8" i="9"/>
  <c r="A9" i="9"/>
  <c r="A10" i="9"/>
  <c r="A2" i="9"/>
  <c r="C3" i="5"/>
  <c r="C4" i="5"/>
  <c r="C5" i="5"/>
  <c r="C6" i="5"/>
  <c r="C7" i="5"/>
  <c r="C8" i="5"/>
  <c r="C9" i="5"/>
  <c r="C10" i="5"/>
  <c r="B3" i="5"/>
  <c r="B4" i="5"/>
  <c r="B5" i="5"/>
  <c r="B6" i="5"/>
  <c r="B7" i="5"/>
  <c r="B8" i="5"/>
  <c r="B9" i="5"/>
  <c r="B10" i="5"/>
  <c r="B2" i="5"/>
  <c r="C3" i="4"/>
  <c r="C4" i="4"/>
  <c r="C5" i="4"/>
  <c r="C6" i="4"/>
  <c r="C7" i="4"/>
  <c r="C8" i="4"/>
  <c r="C9" i="4"/>
  <c r="C10" i="4"/>
  <c r="B3" i="4"/>
  <c r="B4" i="4"/>
  <c r="B5" i="4"/>
  <c r="B6" i="4"/>
  <c r="B7" i="4"/>
  <c r="B8" i="4"/>
  <c r="B9" i="4"/>
  <c r="B10" i="4"/>
  <c r="B2" i="4"/>
  <c r="C3" i="3"/>
  <c r="C4" i="3"/>
  <c r="C5" i="3"/>
  <c r="C6" i="3"/>
  <c r="C7" i="3"/>
  <c r="C8" i="3"/>
  <c r="C9" i="3"/>
  <c r="C10" i="3"/>
  <c r="C3" i="2"/>
  <c r="C4" i="2"/>
  <c r="C5" i="2"/>
  <c r="C6" i="2"/>
  <c r="C7" i="2"/>
  <c r="C8" i="2"/>
  <c r="C9" i="2"/>
  <c r="C10" i="2"/>
  <c r="C4" i="1"/>
  <c r="C5" i="1"/>
  <c r="C6" i="1"/>
  <c r="C7" i="1"/>
  <c r="C8" i="1"/>
  <c r="C9" i="1"/>
  <c r="C10" i="1"/>
  <c r="B3" i="3"/>
  <c r="B4" i="3"/>
  <c r="B5" i="3"/>
  <c r="B6" i="3"/>
  <c r="B7" i="3"/>
  <c r="B8" i="3"/>
  <c r="B9" i="3"/>
  <c r="B10" i="3"/>
  <c r="B2" i="3"/>
  <c r="B3" i="2"/>
  <c r="B4" i="2"/>
  <c r="B5" i="2"/>
  <c r="B6" i="2"/>
  <c r="B7" i="2"/>
  <c r="B8" i="2"/>
  <c r="B9" i="2"/>
  <c r="B10" i="2"/>
  <c r="B2" i="2"/>
  <c r="B7" i="1"/>
  <c r="B8" i="1"/>
  <c r="B9" i="1"/>
  <c r="B10" i="1"/>
  <c r="B6" i="1"/>
  <c r="B5" i="1"/>
  <c r="B4" i="1"/>
  <c r="B3" i="1"/>
  <c r="B2" i="1"/>
  <c r="B2" i="18"/>
  <c r="A94" i="9"/>
  <c r="B94" i="9"/>
  <c r="C94" i="9"/>
  <c r="A95" i="9"/>
  <c r="B95" i="9"/>
  <c r="C95" i="9"/>
  <c r="A96" i="9"/>
  <c r="B96" i="9"/>
  <c r="C96" i="9"/>
  <c r="D96" i="9"/>
  <c r="A97" i="9"/>
  <c r="B97" i="9"/>
  <c r="C97" i="9"/>
  <c r="A98" i="9"/>
  <c r="B98" i="9"/>
  <c r="C98" i="9"/>
  <c r="A99" i="9"/>
  <c r="B99" i="9"/>
  <c r="C99" i="9"/>
  <c r="A100" i="9"/>
  <c r="B100" i="9"/>
  <c r="C100" i="9"/>
  <c r="A101" i="9"/>
  <c r="B101" i="9"/>
  <c r="C101" i="9"/>
  <c r="A102" i="9"/>
  <c r="B102" i="9"/>
  <c r="C102" i="9"/>
  <c r="C93" i="9"/>
  <c r="B93" i="9"/>
  <c r="A93" i="9"/>
  <c r="C76" i="9"/>
  <c r="B76" i="9"/>
  <c r="A76" i="9"/>
  <c r="C71" i="9"/>
  <c r="A62" i="9"/>
  <c r="B62" i="9"/>
  <c r="C62" i="9"/>
  <c r="D62" i="9"/>
  <c r="E62" i="9"/>
  <c r="A63" i="9"/>
  <c r="B63" i="9"/>
  <c r="C63" i="9"/>
  <c r="D63" i="9"/>
  <c r="E63" i="9"/>
  <c r="A64" i="9"/>
  <c r="B64" i="9"/>
  <c r="C64" i="9"/>
  <c r="D64" i="9"/>
  <c r="E64" i="9"/>
  <c r="A65" i="9"/>
  <c r="B65" i="9"/>
  <c r="C65" i="9"/>
  <c r="D65" i="9"/>
  <c r="E65" i="9"/>
  <c r="A66" i="9"/>
  <c r="B66" i="9"/>
  <c r="C66" i="9"/>
  <c r="D66" i="9"/>
  <c r="E66" i="9"/>
  <c r="A67" i="9"/>
  <c r="B67" i="9"/>
  <c r="C67" i="9"/>
  <c r="D67" i="9"/>
  <c r="E67" i="9"/>
  <c r="A68" i="9"/>
  <c r="B68" i="9"/>
  <c r="C68" i="9"/>
  <c r="D68" i="9"/>
  <c r="E68" i="9"/>
  <c r="A69" i="9"/>
  <c r="B69" i="9"/>
  <c r="C69" i="9"/>
  <c r="D69" i="9"/>
  <c r="E69" i="9"/>
  <c r="A70" i="9"/>
  <c r="B70" i="9"/>
  <c r="C70" i="9"/>
  <c r="D70" i="9"/>
  <c r="E70" i="9"/>
  <c r="E61" i="9"/>
  <c r="D61" i="9"/>
  <c r="C61" i="9"/>
  <c r="B61" i="9"/>
  <c r="A61" i="9"/>
  <c r="J23" i="3"/>
  <c r="I23" i="3"/>
  <c r="B71" i="9" s="1"/>
  <c r="K29" i="2"/>
  <c r="I29" i="2"/>
  <c r="M18" i="5"/>
  <c r="N18" i="5" s="1" a="1"/>
  <c r="N18" i="5" s="1"/>
  <c r="E98" i="9" s="1"/>
  <c r="J23" i="5"/>
  <c r="M17" i="5"/>
  <c r="N17" i="5" s="1" a="1"/>
  <c r="N17" i="5" s="1"/>
  <c r="E97" i="9" s="1"/>
  <c r="M13" i="5"/>
  <c r="C40" i="9"/>
  <c r="M13" i="2"/>
  <c r="N13" i="2" s="1" a="1"/>
  <c r="N13" i="2" s="1"/>
  <c r="E40" i="9" s="1"/>
  <c r="C28" i="9"/>
  <c r="B29" i="9"/>
  <c r="C29" i="9"/>
  <c r="C30" i="9"/>
  <c r="M19" i="1"/>
  <c r="N19" i="1" s="1" a="1"/>
  <c r="N19" i="1" s="1"/>
  <c r="C31" i="9"/>
  <c r="M20" i="1"/>
  <c r="N20" i="1" s="1" a="1"/>
  <c r="N20" i="1" s="1"/>
  <c r="B34" i="9"/>
  <c r="C34" i="9"/>
  <c r="M13" i="1"/>
  <c r="N13" i="1" s="1" a="1"/>
  <c r="N13" i="1" s="1"/>
  <c r="A40" i="9"/>
  <c r="M22" i="5"/>
  <c r="N22" i="5" s="1" a="1"/>
  <c r="N22" i="5" s="1"/>
  <c r="E102" i="9" s="1"/>
  <c r="M21" i="5"/>
  <c r="N21" i="5" s="1" a="1"/>
  <c r="N21" i="5" s="1"/>
  <c r="E101" i="9" s="1"/>
  <c r="M20" i="5"/>
  <c r="N20" i="5" s="1" a="1"/>
  <c r="N20" i="5" s="1"/>
  <c r="E100" i="9" s="1"/>
  <c r="M19" i="5"/>
  <c r="N19" i="5" s="1" a="1"/>
  <c r="N19" i="5" s="1"/>
  <c r="E99" i="9" s="1"/>
  <c r="M16" i="5"/>
  <c r="N16" i="5" s="1" a="1"/>
  <c r="N16" i="5" s="1"/>
  <c r="E96" i="9" s="1"/>
  <c r="M15" i="5"/>
  <c r="N15" i="5" s="1" a="1"/>
  <c r="N15" i="5" s="1"/>
  <c r="E95" i="9" s="1"/>
  <c r="M14" i="5"/>
  <c r="N14" i="5" s="1" a="1"/>
  <c r="N14" i="5" s="1"/>
  <c r="E94" i="9" s="1"/>
  <c r="J29" i="2"/>
  <c r="B26" i="9"/>
  <c r="C26" i="9"/>
  <c r="B27" i="9"/>
  <c r="C27" i="9"/>
  <c r="B28" i="9"/>
  <c r="B30" i="9"/>
  <c r="B32" i="9"/>
  <c r="C32" i="9"/>
  <c r="B33" i="9"/>
  <c r="C33" i="9"/>
  <c r="A26" i="9"/>
  <c r="A27" i="9"/>
  <c r="A28" i="9"/>
  <c r="A29" i="9"/>
  <c r="A30" i="9"/>
  <c r="A31" i="9"/>
  <c r="A32" i="9"/>
  <c r="A33" i="9"/>
  <c r="A34" i="9"/>
  <c r="A25" i="9"/>
  <c r="A14" i="1"/>
  <c r="A15" i="1" s="1"/>
  <c r="A16" i="1" s="1"/>
  <c r="A17" i="1" s="1"/>
  <c r="A18" i="1" s="1"/>
  <c r="A19" i="1" s="1"/>
  <c r="A20" i="1" s="1"/>
  <c r="A21" i="1" s="1"/>
  <c r="A22" i="1" s="1"/>
  <c r="B2" i="9"/>
  <c r="C2" i="5"/>
  <c r="C2" i="4"/>
  <c r="C2" i="3"/>
  <c r="C2" i="2"/>
  <c r="C3" i="1"/>
  <c r="C2" i="1"/>
  <c r="M18" i="1"/>
  <c r="N18" i="1" s="1" a="1"/>
  <c r="N18" i="1" s="1"/>
  <c r="O18" i="1" s="1" a="1"/>
  <c r="O18" i="1" s="1"/>
  <c r="M21" i="1"/>
  <c r="N21" i="1" s="1" a="1"/>
  <c r="N21" i="1" s="1"/>
  <c r="O21" i="1" s="1" a="1"/>
  <c r="O21" i="1" s="1"/>
  <c r="M14" i="1"/>
  <c r="N14" i="1" s="1" a="1"/>
  <c r="N14" i="1" s="1"/>
  <c r="O14" i="1" s="1" a="1"/>
  <c r="O14" i="1" s="1"/>
  <c r="M16" i="1"/>
  <c r="N16" i="1" s="1" a="1"/>
  <c r="N16" i="1" s="1"/>
  <c r="O16" i="1" s="1" a="1"/>
  <c r="O16" i="1" s="1"/>
  <c r="H111" i="18" l="1"/>
  <c r="M111" i="18"/>
  <c r="AL113" i="18" s="1" a="1"/>
  <c r="AL113" i="18" s="1"/>
  <c r="K111" i="18"/>
  <c r="J111" i="18"/>
  <c r="L111" i="18"/>
  <c r="J108" i="18"/>
  <c r="N108" i="18" s="1" a="1"/>
  <c r="N108" i="18" s="1"/>
  <c r="L108" i="18"/>
  <c r="M108" i="18"/>
  <c r="H108" i="18"/>
  <c r="K108" i="18"/>
  <c r="V108" i="18" s="1" a="1"/>
  <c r="V108" i="18" s="1"/>
  <c r="K105" i="18"/>
  <c r="V105" i="18" s="1" a="1"/>
  <c r="V105" i="18" s="1"/>
  <c r="M105" i="18"/>
  <c r="J105" i="18"/>
  <c r="N105" i="18" s="1" a="1"/>
  <c r="N105" i="18" s="1"/>
  <c r="L105" i="18"/>
  <c r="H105" i="18"/>
  <c r="J84" i="18"/>
  <c r="N84" i="18" s="1" a="1"/>
  <c r="N84" i="18" s="1"/>
  <c r="M84" i="18"/>
  <c r="L84" i="18"/>
  <c r="K84" i="18"/>
  <c r="V84" i="18" s="1" a="1"/>
  <c r="V84" i="18" s="1"/>
  <c r="J90" i="18"/>
  <c r="N90" i="18" s="1" a="1"/>
  <c r="N90" i="18" s="1"/>
  <c r="L81" i="18"/>
  <c r="M93" i="18"/>
  <c r="J99" i="18"/>
  <c r="N99" i="18" s="1" a="1"/>
  <c r="N99" i="18" s="1"/>
  <c r="L102" i="18"/>
  <c r="J93" i="18"/>
  <c r="N93" i="18" s="1" a="1"/>
  <c r="N93" i="18" s="1"/>
  <c r="J102" i="18"/>
  <c r="N102" i="18" s="1" a="1"/>
  <c r="N102" i="18" s="1"/>
  <c r="M81" i="18"/>
  <c r="M96" i="18"/>
  <c r="L93" i="18"/>
  <c r="M90" i="18"/>
  <c r="L96" i="18"/>
  <c r="L87" i="18"/>
  <c r="K96" i="18"/>
  <c r="V96" i="18" s="1" a="1"/>
  <c r="V96" i="18" s="1"/>
  <c r="K87" i="18"/>
  <c r="V87" i="18" s="1" a="1"/>
  <c r="V87" i="18" s="1"/>
  <c r="J96" i="18"/>
  <c r="N96" i="18" s="1" a="1"/>
  <c r="N96" i="18" s="1"/>
  <c r="L78" i="18"/>
  <c r="K72" i="18"/>
  <c r="V72" i="18" s="1" a="1"/>
  <c r="V72" i="18" s="1"/>
  <c r="M99" i="18"/>
  <c r="K78" i="18"/>
  <c r="V78" i="18" s="1" a="1"/>
  <c r="V78" i="18" s="1"/>
  <c r="K75" i="18"/>
  <c r="V75" i="18" s="1" a="1"/>
  <c r="V75" i="18" s="1"/>
  <c r="L99" i="18"/>
  <c r="K90" i="18"/>
  <c r="V90" i="18" s="1" a="1"/>
  <c r="V90" i="18" s="1"/>
  <c r="K81" i="18"/>
  <c r="V81" i="18" s="1" a="1"/>
  <c r="V81" i="18" s="1"/>
  <c r="J78" i="18"/>
  <c r="N78" i="18" s="1" a="1"/>
  <c r="N78" i="18" s="1"/>
  <c r="M87" i="18"/>
  <c r="J75" i="18"/>
  <c r="N75" i="18" s="1" a="1"/>
  <c r="N75" i="18" s="1"/>
  <c r="J81" i="18"/>
  <c r="N81" i="18" s="1" a="1"/>
  <c r="N81" i="18" s="1"/>
  <c r="L90" i="18"/>
  <c r="M78" i="18"/>
  <c r="M75" i="18"/>
  <c r="K99" i="18"/>
  <c r="V99" i="18" s="1" a="1"/>
  <c r="V99" i="18" s="1"/>
  <c r="J87" i="18"/>
  <c r="N87" i="18" s="1" a="1"/>
  <c r="N87" i="18" s="1"/>
  <c r="L75" i="18"/>
  <c r="J72" i="18"/>
  <c r="N72" i="18" s="1" a="1"/>
  <c r="N72" i="18" s="1"/>
  <c r="L72" i="18"/>
  <c r="M102" i="18"/>
  <c r="M72" i="18"/>
  <c r="K102" i="18"/>
  <c r="V102" i="18" s="1" a="1"/>
  <c r="V102" i="18" s="1"/>
  <c r="K93" i="18"/>
  <c r="V93" i="18" s="1" a="1"/>
  <c r="V93" i="18" s="1"/>
  <c r="B102" i="18"/>
  <c r="B84" i="18"/>
  <c r="B72" i="18"/>
  <c r="B99" i="18"/>
  <c r="B105" i="18"/>
  <c r="B96" i="18"/>
  <c r="B108" i="18"/>
  <c r="B93" i="18"/>
  <c r="B75" i="18"/>
  <c r="B90" i="18"/>
  <c r="B78" i="18"/>
  <c r="B87" i="18"/>
  <c r="B81" i="18"/>
  <c r="B111" i="18"/>
  <c r="E77" i="9"/>
  <c r="D77" i="9"/>
  <c r="E81" i="9"/>
  <c r="D81" i="9"/>
  <c r="E82" i="9"/>
  <c r="D82" i="9"/>
  <c r="E83" i="9"/>
  <c r="D83" i="9"/>
  <c r="E78" i="9"/>
  <c r="D78" i="9"/>
  <c r="E84" i="9"/>
  <c r="D84" i="9"/>
  <c r="E87" i="9"/>
  <c r="D87" i="9"/>
  <c r="E79" i="9"/>
  <c r="D79" i="9"/>
  <c r="E86" i="9"/>
  <c r="D86" i="9"/>
  <c r="D101" i="9"/>
  <c r="D94" i="9"/>
  <c r="M23" i="3"/>
  <c r="N23" i="3" s="1" a="1"/>
  <c r="N23" i="3" s="1"/>
  <c r="O23" i="3" s="1" a="1"/>
  <c r="O23" i="3" s="1"/>
  <c r="D30" i="9"/>
  <c r="B15" i="9"/>
  <c r="C15" i="9" s="1"/>
  <c r="M29" i="2"/>
  <c r="C16" i="18"/>
  <c r="E16" i="18" s="1"/>
  <c r="I16" i="18" s="1"/>
  <c r="B49" i="18"/>
  <c r="B43" i="18"/>
  <c r="B34" i="18"/>
  <c r="B31" i="18"/>
  <c r="B40" i="18"/>
  <c r="B46" i="18"/>
  <c r="B37" i="18"/>
  <c r="B28" i="18"/>
  <c r="C49" i="18"/>
  <c r="E49" i="18" s="1"/>
  <c r="I49" i="18" s="1"/>
  <c r="B25" i="18"/>
  <c r="C31" i="18"/>
  <c r="E31" i="18" s="1"/>
  <c r="B22" i="18"/>
  <c r="B13" i="18"/>
  <c r="B19" i="18"/>
  <c r="B52" i="18"/>
  <c r="B16" i="18"/>
  <c r="C46" i="18"/>
  <c r="E46" i="18" s="1"/>
  <c r="I46" i="18" s="1"/>
  <c r="C40" i="18"/>
  <c r="E40" i="18" s="1"/>
  <c r="C37" i="18"/>
  <c r="E37" i="18" s="1"/>
  <c r="I37" i="18" s="1"/>
  <c r="C34" i="18"/>
  <c r="E34" i="18" s="1"/>
  <c r="C28" i="18"/>
  <c r="E28" i="18" s="1"/>
  <c r="C43" i="18"/>
  <c r="E43" i="18" s="1"/>
  <c r="I43" i="18" s="1"/>
  <c r="C25" i="18"/>
  <c r="E25" i="18" s="1"/>
  <c r="I25" i="18" s="1"/>
  <c r="C22" i="18"/>
  <c r="E22" i="18" s="1"/>
  <c r="I22" i="18" s="1"/>
  <c r="C19" i="18"/>
  <c r="E19" i="18" s="1"/>
  <c r="I19" i="18" s="1"/>
  <c r="C13" i="18"/>
  <c r="E13" i="18" s="1"/>
  <c r="C52" i="18"/>
  <c r="E52" i="18" s="1"/>
  <c r="I52" i="18" s="1"/>
  <c r="D100" i="9"/>
  <c r="D95" i="9"/>
  <c r="D102" i="9"/>
  <c r="D97" i="9"/>
  <c r="D98" i="9"/>
  <c r="D93" i="9"/>
  <c r="D99" i="9"/>
  <c r="B16" i="9"/>
  <c r="C16" i="9" s="1"/>
  <c r="K23" i="5"/>
  <c r="I23" i="5"/>
  <c r="K25" i="4"/>
  <c r="J25" i="4"/>
  <c r="M13" i="4"/>
  <c r="N13" i="4" s="1" a="1"/>
  <c r="N13" i="4" s="1"/>
  <c r="E76" i="9" s="1"/>
  <c r="I25" i="4"/>
  <c r="B88" i="9" s="1"/>
  <c r="B111" i="9" s="1"/>
  <c r="B63" i="18" s="1"/>
  <c r="C56" i="9"/>
  <c r="C109" i="9" s="1"/>
  <c r="B56" i="9"/>
  <c r="B109" i="9" s="1"/>
  <c r="B61" i="18" s="1"/>
  <c r="O19" i="1" a="1"/>
  <c r="O19" i="1" s="1"/>
  <c r="P19" i="1" a="1"/>
  <c r="P19" i="1" s="1"/>
  <c r="O20" i="1" a="1"/>
  <c r="O20" i="1" s="1"/>
  <c r="P20" i="1" a="1"/>
  <c r="P20" i="1" s="1"/>
  <c r="B31" i="9"/>
  <c r="P18" i="1" a="1"/>
  <c r="P18" i="1" s="1"/>
  <c r="K23" i="1"/>
  <c r="P16" i="1" a="1"/>
  <c r="P16" i="1" s="1"/>
  <c r="P21" i="1" a="1"/>
  <c r="P21" i="1" s="1"/>
  <c r="P14" i="1" a="1"/>
  <c r="P14" i="1" s="1"/>
  <c r="C25" i="9"/>
  <c r="J23" i="1"/>
  <c r="I23" i="1"/>
  <c r="B35" i="9" s="1"/>
  <c r="B108" i="9" s="1"/>
  <c r="B25" i="9"/>
  <c r="D40" i="9"/>
  <c r="B40" i="9"/>
  <c r="O15" i="5" a="1"/>
  <c r="O15" i="5" s="1"/>
  <c r="P15" i="5" a="1"/>
  <c r="P15" i="5" s="1"/>
  <c r="O17" i="5" a="1"/>
  <c r="O17" i="5" s="1"/>
  <c r="P17" i="5" a="1"/>
  <c r="P17" i="5" s="1"/>
  <c r="P14" i="5" a="1"/>
  <c r="P14" i="5" s="1"/>
  <c r="O14" i="5" a="1"/>
  <c r="O14" i="5" s="1"/>
  <c r="O16" i="5" a="1"/>
  <c r="O16" i="5" s="1"/>
  <c r="P16" i="5" a="1"/>
  <c r="P16" i="5" s="1"/>
  <c r="P18" i="5" a="1"/>
  <c r="P18" i="5" s="1"/>
  <c r="O18" i="5" a="1"/>
  <c r="O18" i="5" s="1"/>
  <c r="O19" i="5" a="1"/>
  <c r="O19" i="5" s="1"/>
  <c r="P19" i="5" a="1"/>
  <c r="P19" i="5" s="1"/>
  <c r="P20" i="5" a="1"/>
  <c r="P20" i="5" s="1"/>
  <c r="O20" i="5" a="1"/>
  <c r="O20" i="5" s="1"/>
  <c r="P21" i="5" a="1"/>
  <c r="P21" i="5" s="1"/>
  <c r="O21" i="5" a="1"/>
  <c r="O21" i="5" s="1"/>
  <c r="P22" i="5" a="1"/>
  <c r="P22" i="5" s="1"/>
  <c r="O22" i="5" a="1"/>
  <c r="O22" i="5" s="1"/>
  <c r="N13" i="5" a="1"/>
  <c r="N13" i="5" s="1"/>
  <c r="E93" i="9" s="1"/>
  <c r="P13" i="2" a="1"/>
  <c r="P13" i="2" s="1"/>
  <c r="O13" i="2" a="1"/>
  <c r="O13" i="2" s="1"/>
  <c r="D25" i="9"/>
  <c r="E31" i="9"/>
  <c r="E28" i="9"/>
  <c r="E33" i="9"/>
  <c r="E30" i="9"/>
  <c r="D31" i="9"/>
  <c r="D28" i="9"/>
  <c r="D33" i="9"/>
  <c r="E32" i="9"/>
  <c r="E26" i="9"/>
  <c r="D32" i="9"/>
  <c r="D26" i="9"/>
  <c r="P13" i="1" a="1"/>
  <c r="P13" i="1" s="1"/>
  <c r="M22" i="1"/>
  <c r="M15" i="1"/>
  <c r="M17" i="1"/>
  <c r="C110" i="9"/>
  <c r="B110" i="9"/>
  <c r="B62" i="18" s="1"/>
  <c r="I28" i="18" l="1"/>
  <c r="I34" i="18"/>
  <c r="I40" i="18"/>
  <c r="I13" i="18"/>
  <c r="I31" i="18"/>
  <c r="AL108" i="18" a="1"/>
  <c r="AL108" i="18" s="1"/>
  <c r="AD108" i="18" a="1"/>
  <c r="AD108" i="18" s="1"/>
  <c r="AD113" i="18" a="1"/>
  <c r="AD113" i="18" s="1"/>
  <c r="AL111" i="18" a="1"/>
  <c r="AL111" i="18" s="1"/>
  <c r="AD111" i="18" a="1"/>
  <c r="AD111" i="18" s="1"/>
  <c r="N111" i="18" a="1"/>
  <c r="N111" i="18" s="1"/>
  <c r="N113" i="18" a="1"/>
  <c r="N113" i="18" s="1"/>
  <c r="V113" i="18" a="1"/>
  <c r="V113" i="18" s="1"/>
  <c r="V111" i="18" a="1"/>
  <c r="V111" i="18" s="1"/>
  <c r="AD105" i="18" a="1"/>
  <c r="AD105" i="18" s="1"/>
  <c r="AL105" i="18" a="1"/>
  <c r="AL105" i="18" s="1"/>
  <c r="AL90" i="18" a="1"/>
  <c r="AL90" i="18" s="1"/>
  <c r="AD90" i="18" a="1"/>
  <c r="AD90" i="18" s="1"/>
  <c r="AL78" i="18" a="1"/>
  <c r="AL78" i="18" s="1"/>
  <c r="AD78" i="18" a="1"/>
  <c r="AD78" i="18" s="1"/>
  <c r="AD102" i="18" a="1"/>
  <c r="AD102" i="18" s="1"/>
  <c r="AL102" i="18" a="1"/>
  <c r="AL102" i="18" s="1"/>
  <c r="AL81" i="18" a="1"/>
  <c r="AL81" i="18" s="1"/>
  <c r="AD81" i="18" a="1"/>
  <c r="AD81" i="18" s="1"/>
  <c r="AD87" i="18" a="1"/>
  <c r="AD87" i="18" s="1"/>
  <c r="AL87" i="18" a="1"/>
  <c r="AL87" i="18" s="1"/>
  <c r="AL72" i="18" a="1"/>
  <c r="AL72" i="18" s="1"/>
  <c r="AD72" i="18" a="1"/>
  <c r="AD72" i="18" s="1"/>
  <c r="AL84" i="18" a="1"/>
  <c r="AL84" i="18" s="1"/>
  <c r="AD84" i="18" a="1"/>
  <c r="AD84" i="18" s="1"/>
  <c r="AD96" i="18" a="1"/>
  <c r="AD96" i="18" s="1"/>
  <c r="AL96" i="18" a="1"/>
  <c r="AL96" i="18" s="1"/>
  <c r="AL75" i="18" a="1"/>
  <c r="AL75" i="18" s="1"/>
  <c r="AD75" i="18" a="1"/>
  <c r="AD75" i="18" s="1"/>
  <c r="AL99" i="18" a="1"/>
  <c r="AL99" i="18" s="1"/>
  <c r="AD99" i="18" a="1"/>
  <c r="AD99" i="18" s="1"/>
  <c r="AL93" i="18" a="1"/>
  <c r="AL93" i="18" s="1"/>
  <c r="AD93" i="18" a="1"/>
  <c r="AD93" i="18" s="1"/>
  <c r="N29" i="2" a="1"/>
  <c r="N29" i="2" s="1"/>
  <c r="M23" i="5"/>
  <c r="M25" i="4"/>
  <c r="B60" i="18"/>
  <c r="C35" i="9"/>
  <c r="C108" i="9" s="1"/>
  <c r="C60" i="18" s="1"/>
  <c r="M23" i="1"/>
  <c r="F22" i="18"/>
  <c r="F19" i="18"/>
  <c r="F34" i="18"/>
  <c r="F46" i="18"/>
  <c r="F43" i="18"/>
  <c r="F52" i="18"/>
  <c r="F49" i="18"/>
  <c r="F25" i="18"/>
  <c r="F28" i="18"/>
  <c r="F37" i="18"/>
  <c r="F40" i="18"/>
  <c r="F31" i="18"/>
  <c r="F13" i="18"/>
  <c r="F16" i="18"/>
  <c r="B120" i="9"/>
  <c r="C61" i="18"/>
  <c r="B121" i="9"/>
  <c r="C62" i="18"/>
  <c r="B103" i="9"/>
  <c r="B112" i="9" s="1"/>
  <c r="B64" i="18" s="1"/>
  <c r="C103" i="9"/>
  <c r="C112" i="9" s="1"/>
  <c r="B18" i="9"/>
  <c r="C18" i="9" s="1"/>
  <c r="D76" i="9"/>
  <c r="B17" i="9"/>
  <c r="C17" i="9" s="1"/>
  <c r="C88" i="9"/>
  <c r="C111" i="9" s="1"/>
  <c r="E71" i="9"/>
  <c r="E110" i="9" s="1"/>
  <c r="E62" i="18" s="1"/>
  <c r="D71" i="9"/>
  <c r="D110" i="9" s="1"/>
  <c r="D62" i="18" s="1"/>
  <c r="D109" i="9"/>
  <c r="D61" i="18" s="1"/>
  <c r="P13" i="5" a="1"/>
  <c r="P13" i="5" s="1"/>
  <c r="O13" i="5" a="1"/>
  <c r="O13" i="5" s="1"/>
  <c r="P13" i="4" a="1"/>
  <c r="P13" i="4" s="1"/>
  <c r="O13" i="4" a="1"/>
  <c r="O13" i="4" s="1"/>
  <c r="O13" i="1" a="1"/>
  <c r="O13" i="1" s="1"/>
  <c r="E25" i="9"/>
  <c r="N17" i="1" a="1"/>
  <c r="N17" i="1" s="1"/>
  <c r="P17" i="1" s="1" a="1"/>
  <c r="P17" i="1" s="1"/>
  <c r="D29" i="9"/>
  <c r="N15" i="1" a="1"/>
  <c r="N15" i="1" s="1"/>
  <c r="P15" i="1" s="1" a="1"/>
  <c r="P15" i="1" s="1"/>
  <c r="D27" i="9"/>
  <c r="N22" i="1" a="1"/>
  <c r="N22" i="1" s="1"/>
  <c r="P22" i="1" s="1" a="1"/>
  <c r="P22" i="1" s="1"/>
  <c r="D34" i="9"/>
  <c r="AP2" i="30" l="1" a="1"/>
  <c r="AC2" i="30" a="1"/>
  <c r="AB2" i="30" a="1"/>
  <c r="AB2" i="30" s="1"/>
  <c r="E109" i="9"/>
  <c r="E61" i="18" s="1"/>
  <c r="O29" i="2" a="1"/>
  <c r="O29" i="2" s="1"/>
  <c r="B113" i="9"/>
  <c r="B65" i="18" s="1"/>
  <c r="C113" i="9"/>
  <c r="B119" i="9"/>
  <c r="B123" i="9"/>
  <c r="C64" i="18"/>
  <c r="B122" i="9"/>
  <c r="C63" i="18"/>
  <c r="N23" i="5" a="1"/>
  <c r="N23" i="5" s="1"/>
  <c r="D103" i="9"/>
  <c r="D112" i="9" s="1"/>
  <c r="D64" i="18" s="1"/>
  <c r="N25" i="4" a="1"/>
  <c r="N25" i="4" s="1"/>
  <c r="D88" i="9"/>
  <c r="D111" i="9" s="1"/>
  <c r="D63" i="18" s="1"/>
  <c r="O17" i="1" a="1"/>
  <c r="O17" i="1" s="1"/>
  <c r="E27" i="9"/>
  <c r="E34" i="9"/>
  <c r="O22" i="1" a="1"/>
  <c r="O22" i="1" s="1"/>
  <c r="E29" i="9"/>
  <c r="O15" i="1" a="1"/>
  <c r="O15" i="1" s="1"/>
  <c r="AP2" i="30" l="1"/>
  <c r="AT2" i="30" a="1"/>
  <c r="AC2" i="30"/>
  <c r="AD2" i="30" a="1"/>
  <c r="AD2" i="30" s="1"/>
  <c r="D113" i="9"/>
  <c r="E113" i="9" s="1" a="1"/>
  <c r="E113" i="9" s="1"/>
  <c r="E65" i="18" s="1"/>
  <c r="C65" i="18"/>
  <c r="E103" i="9"/>
  <c r="E112" i="9" s="1"/>
  <c r="E64" i="18" s="1"/>
  <c r="O23" i="5" a="1"/>
  <c r="O23" i="5" s="1"/>
  <c r="E111" i="9"/>
  <c r="E63" i="18" s="1"/>
  <c r="O25" i="4" a="1"/>
  <c r="O25" i="4" s="1"/>
  <c r="C122" i="9"/>
  <c r="C121" i="9"/>
  <c r="C120" i="9"/>
  <c r="B14" i="9"/>
  <c r="C123" i="9"/>
  <c r="AT2" i="30" l="1"/>
  <c r="AZ2" i="30" a="1"/>
  <c r="AZ2" i="30" s="1"/>
  <c r="AF2" i="30" a="1"/>
  <c r="AH2" i="30" a="1"/>
  <c r="AH2" i="30" s="1"/>
  <c r="AG2" i="30" a="1"/>
  <c r="AG2" i="30" s="1"/>
  <c r="C14" i="9"/>
  <c r="C119" i="9" s="1"/>
  <c r="D35" i="9"/>
  <c r="D108" i="9" s="1"/>
  <c r="D60" i="18" s="1"/>
  <c r="N23" i="1" a="1"/>
  <c r="N23" i="1" s="1"/>
  <c r="B19" i="9"/>
  <c r="C19" i="9" s="1"/>
  <c r="AF2" i="30" l="1"/>
  <c r="D15" i="27" s="1" a="1"/>
  <c r="C15" i="27" a="1"/>
  <c r="B15" i="27" a="1"/>
  <c r="G31" i="18"/>
  <c r="J31" i="18" s="1"/>
  <c r="N31" i="18" s="1" a="1"/>
  <c r="N31" i="18" s="1"/>
  <c r="G28" i="18"/>
  <c r="H28" i="18" s="1"/>
  <c r="G37" i="18"/>
  <c r="J37" i="18" s="1"/>
  <c r="N37" i="18" s="1" a="1"/>
  <c r="N37" i="18" s="1"/>
  <c r="G13" i="18"/>
  <c r="J13" i="18" s="1"/>
  <c r="G16" i="18"/>
  <c r="L16" i="18" s="1"/>
  <c r="G49" i="18"/>
  <c r="L49" i="18" s="1"/>
  <c r="G40" i="18"/>
  <c r="H40" i="18" s="1"/>
  <c r="G52" i="18"/>
  <c r="H52" i="18" s="1"/>
  <c r="G34" i="18"/>
  <c r="J34" i="18" s="1"/>
  <c r="N34" i="18" s="1" a="1"/>
  <c r="N34" i="18" s="1"/>
  <c r="G19" i="18"/>
  <c r="H19" i="18" s="1"/>
  <c r="G25" i="18"/>
  <c r="H25" i="18" s="1"/>
  <c r="G43" i="18"/>
  <c r="G22" i="18"/>
  <c r="L22" i="18" s="1"/>
  <c r="G46" i="18"/>
  <c r="J46" i="18" s="1"/>
  <c r="N46" i="18" s="1" a="1"/>
  <c r="N46" i="18" s="1"/>
  <c r="O23" i="1" a="1"/>
  <c r="O23" i="1" s="1"/>
  <c r="E35" i="9"/>
  <c r="E108" i="9" s="1"/>
  <c r="E60" i="18" s="1"/>
  <c r="B15" i="27" l="1"/>
  <c r="B15" i="31" s="1"/>
  <c r="B17" i="31"/>
  <c r="B21" i="31"/>
  <c r="B25" i="31"/>
  <c r="B29" i="31"/>
  <c r="B33" i="31"/>
  <c r="B16" i="31"/>
  <c r="B20" i="31"/>
  <c r="B24" i="31"/>
  <c r="B28" i="31"/>
  <c r="B32" i="31"/>
  <c r="B19" i="31"/>
  <c r="B23" i="31"/>
  <c r="B27" i="31"/>
  <c r="B31" i="31"/>
  <c r="B18" i="31"/>
  <c r="B34" i="31"/>
  <c r="B22" i="31"/>
  <c r="B26" i="31"/>
  <c r="B30" i="31"/>
  <c r="D15" i="27"/>
  <c r="D15" i="31" s="1"/>
  <c r="D17" i="31"/>
  <c r="D21" i="31"/>
  <c r="D25" i="31"/>
  <c r="D29" i="31"/>
  <c r="D33" i="31"/>
  <c r="D16" i="31"/>
  <c r="D20" i="31"/>
  <c r="D24" i="31"/>
  <c r="D28" i="31"/>
  <c r="D32" i="31"/>
  <c r="D18" i="31"/>
  <c r="D26" i="31"/>
  <c r="D34" i="31"/>
  <c r="D19" i="31"/>
  <c r="D23" i="31"/>
  <c r="D27" i="31"/>
  <c r="D31" i="31"/>
  <c r="D22" i="31"/>
  <c r="D30" i="31"/>
  <c r="C15" i="27"/>
  <c r="C15" i="31" s="1"/>
  <c r="C20" i="31"/>
  <c r="C26" i="31"/>
  <c r="C32" i="31"/>
  <c r="C19" i="31"/>
  <c r="C25" i="31"/>
  <c r="C31" i="31"/>
  <c r="C18" i="31"/>
  <c r="C24" i="31"/>
  <c r="C30" i="31"/>
  <c r="C17" i="31"/>
  <c r="C23" i="31"/>
  <c r="C29" i="31"/>
  <c r="C16" i="31"/>
  <c r="C22" i="31"/>
  <c r="C28" i="31"/>
  <c r="C34" i="31"/>
  <c r="C21" i="31"/>
  <c r="C27" i="31"/>
  <c r="C33" i="31"/>
  <c r="N13" i="18" a="1"/>
  <c r="N13" i="18" s="1"/>
  <c r="AL49" i="18" a="1"/>
  <c r="AL49" i="18" s="1"/>
  <c r="AD49" i="18" a="1"/>
  <c r="AD49" i="18" s="1"/>
  <c r="AL22" i="18" a="1"/>
  <c r="AL22" i="18" s="1"/>
  <c r="AD22" i="18" a="1"/>
  <c r="AD22" i="18" s="1"/>
  <c r="AL16" i="18" a="1"/>
  <c r="AL16" i="18" s="1"/>
  <c r="AD16" i="18" a="1"/>
  <c r="AD16" i="18" s="1"/>
  <c r="L37" i="18"/>
  <c r="M37" i="18"/>
  <c r="K31" i="18"/>
  <c r="V31" i="18" s="1" a="1"/>
  <c r="V31" i="18" s="1"/>
  <c r="M31" i="18"/>
  <c r="M28" i="18"/>
  <c r="H31" i="18"/>
  <c r="L31" i="18"/>
  <c r="K28" i="18"/>
  <c r="V28" i="18" s="1" a="1"/>
  <c r="V28" i="18" s="1"/>
  <c r="L19" i="18"/>
  <c r="M49" i="18"/>
  <c r="H49" i="18"/>
  <c r="L13" i="18"/>
  <c r="K37" i="18"/>
  <c r="V37" i="18" s="1" a="1"/>
  <c r="V37" i="18" s="1"/>
  <c r="J28" i="18"/>
  <c r="N28" i="18" s="1" a="1"/>
  <c r="N28" i="18" s="1"/>
  <c r="H16" i="18"/>
  <c r="H37" i="18"/>
  <c r="H13" i="18"/>
  <c r="M52" i="18"/>
  <c r="AL54" i="18" s="1" a="1"/>
  <c r="AL54" i="18" s="1"/>
  <c r="L28" i="18"/>
  <c r="M13" i="18"/>
  <c r="J52" i="18"/>
  <c r="K13" i="18"/>
  <c r="V13" i="18" s="1" a="1"/>
  <c r="V13" i="18" s="1"/>
  <c r="K16" i="18"/>
  <c r="V16" i="18" s="1" a="1"/>
  <c r="V16" i="18" s="1"/>
  <c r="M19" i="18"/>
  <c r="J16" i="18"/>
  <c r="N16" i="18" s="1" a="1"/>
  <c r="N16" i="18" s="1"/>
  <c r="J40" i="18"/>
  <c r="N40" i="18" s="1" a="1"/>
  <c r="N40" i="18" s="1"/>
  <c r="M16" i="18"/>
  <c r="J19" i="18"/>
  <c r="N19" i="18" s="1" a="1"/>
  <c r="N19" i="18" s="1"/>
  <c r="K34" i="18"/>
  <c r="V34" i="18" s="1" a="1"/>
  <c r="V34" i="18" s="1"/>
  <c r="J49" i="18"/>
  <c r="N49" i="18" s="1" a="1"/>
  <c r="N49" i="18" s="1"/>
  <c r="K49" i="18"/>
  <c r="V49" i="18" s="1" a="1"/>
  <c r="V49" i="18" s="1"/>
  <c r="K19" i="18"/>
  <c r="V19" i="18" s="1" a="1"/>
  <c r="V19" i="18" s="1"/>
  <c r="H34" i="18"/>
  <c r="L34" i="18"/>
  <c r="M34" i="18"/>
  <c r="K40" i="18"/>
  <c r="V40" i="18" s="1" a="1"/>
  <c r="V40" i="18" s="1"/>
  <c r="M40" i="18"/>
  <c r="L40" i="18"/>
  <c r="K22" i="18"/>
  <c r="V22" i="18" s="1" a="1"/>
  <c r="V22" i="18" s="1"/>
  <c r="L52" i="18"/>
  <c r="K52" i="18"/>
  <c r="K43" i="18"/>
  <c r="V43" i="18" s="1" a="1"/>
  <c r="V43" i="18" s="1"/>
  <c r="M43" i="18"/>
  <c r="J43" i="18"/>
  <c r="N43" i="18" s="1" a="1"/>
  <c r="N43" i="18" s="1"/>
  <c r="H43" i="18"/>
  <c r="L43" i="18"/>
  <c r="M46" i="18"/>
  <c r="L46" i="18"/>
  <c r="M25" i="18"/>
  <c r="L25" i="18"/>
  <c r="J22" i="18"/>
  <c r="N22" i="18" s="1" a="1"/>
  <c r="N22" i="18" s="1"/>
  <c r="J25" i="18"/>
  <c r="N25" i="18" s="1" a="1"/>
  <c r="N25" i="18" s="1"/>
  <c r="M22" i="18"/>
  <c r="H46" i="18"/>
  <c r="H22" i="18"/>
  <c r="K25" i="18"/>
  <c r="V25" i="18" s="1" a="1"/>
  <c r="V25" i="18" s="1"/>
  <c r="K46" i="18"/>
  <c r="V46" i="18" s="1" a="1"/>
  <c r="V46" i="18" s="1"/>
  <c r="Z2" i="30" l="1" a="1"/>
  <c r="Z2" i="30" s="1"/>
  <c r="AE2" i="30" s="1" a="1"/>
  <c r="AL25" i="18" a="1"/>
  <c r="AL25" i="18" s="1"/>
  <c r="AD25" i="18" a="1"/>
  <c r="AD25" i="18" s="1"/>
  <c r="AD37" i="18" a="1"/>
  <c r="AD37" i="18" s="1"/>
  <c r="AL37" i="18" a="1"/>
  <c r="AL37" i="18" s="1"/>
  <c r="AL46" i="18" a="1"/>
  <c r="AL46" i="18" s="1"/>
  <c r="AD46" i="18" a="1"/>
  <c r="AD46" i="18" s="1"/>
  <c r="AL40" i="18" a="1"/>
  <c r="AL40" i="18" s="1"/>
  <c r="AD40" i="18" a="1"/>
  <c r="AD40" i="18" s="1"/>
  <c r="AL31" i="18" a="1"/>
  <c r="AL31" i="18" s="1"/>
  <c r="AD31" i="18" a="1"/>
  <c r="AD31" i="18" s="1"/>
  <c r="AL34" i="18" a="1"/>
  <c r="AL34" i="18" s="1"/>
  <c r="AD34" i="18" a="1"/>
  <c r="AD34" i="18" s="1"/>
  <c r="AL13" i="18" a="1"/>
  <c r="AL13" i="18" s="1"/>
  <c r="AD13" i="18" a="1"/>
  <c r="AD13" i="18" s="1"/>
  <c r="AL43" i="18" a="1"/>
  <c r="AL43" i="18" s="1"/>
  <c r="AD43" i="18" a="1"/>
  <c r="AD43" i="18" s="1"/>
  <c r="AD19" i="18" a="1"/>
  <c r="AD19" i="18" s="1"/>
  <c r="AL19" i="18" a="1"/>
  <c r="AL19" i="18" s="1"/>
  <c r="AL28" i="18" a="1"/>
  <c r="AL28" i="18" s="1"/>
  <c r="AD28" i="18" a="1"/>
  <c r="AD28" i="18" s="1"/>
  <c r="AD54" i="18" a="1"/>
  <c r="AD54" i="18" s="1"/>
  <c r="AL52" i="18" a="1"/>
  <c r="AL52" i="18" s="1"/>
  <c r="AD52" i="18" a="1"/>
  <c r="AD52" i="18" s="1"/>
  <c r="N54" i="18" a="1"/>
  <c r="N54" i="18" s="1"/>
  <c r="N52" i="18" a="1"/>
  <c r="N52" i="18" s="1"/>
  <c r="V54" i="18" a="1"/>
  <c r="V54" i="18" s="1"/>
  <c r="V52" i="18" a="1"/>
  <c r="V52" i="18" s="1"/>
  <c r="AE2" i="30" l="1"/>
  <c r="L15" i="27" s="1" a="1"/>
  <c r="A15" i="27" a="1"/>
  <c r="G15" i="27" l="1" a="1"/>
  <c r="G33" i="31" s="1"/>
  <c r="F15" i="27" a="1"/>
  <c r="F22" i="31" s="1"/>
  <c r="I15" i="27" a="1"/>
  <c r="I22" i="31" s="1"/>
  <c r="K15" i="27" a="1"/>
  <c r="K23" i="31" s="1"/>
  <c r="J15" i="27" a="1"/>
  <c r="J20" i="31" s="1"/>
  <c r="L15" i="27"/>
  <c r="L15" i="31" s="1"/>
  <c r="L18" i="31"/>
  <c r="L30" i="31"/>
  <c r="L19" i="31"/>
  <c r="L31" i="31"/>
  <c r="L20" i="31"/>
  <c r="L32" i="31"/>
  <c r="L24" i="31"/>
  <c r="L28" i="31"/>
  <c r="L21" i="31"/>
  <c r="L33" i="31"/>
  <c r="L22" i="31"/>
  <c r="L34" i="31"/>
  <c r="L23" i="31"/>
  <c r="L25" i="31"/>
  <c r="L27" i="31"/>
  <c r="L16" i="31"/>
  <c r="L17" i="31"/>
  <c r="L29" i="31"/>
  <c r="L26" i="31"/>
  <c r="E15" i="27" a="1"/>
  <c r="E21" i="31" s="1"/>
  <c r="H15" i="27" a="1"/>
  <c r="H28" i="31" s="1"/>
  <c r="A15" i="27"/>
  <c r="A15" i="31" s="1"/>
  <c r="A21" i="31"/>
  <c r="A33" i="31"/>
  <c r="A22" i="31"/>
  <c r="A34" i="31"/>
  <c r="A23" i="31"/>
  <c r="A24" i="31"/>
  <c r="A25" i="31"/>
  <c r="A26" i="31"/>
  <c r="A27" i="31"/>
  <c r="A17" i="31"/>
  <c r="A30" i="31"/>
  <c r="A32" i="31"/>
  <c r="A16" i="31"/>
  <c r="A28" i="31"/>
  <c r="A29" i="31"/>
  <c r="A18" i="31"/>
  <c r="A19" i="31"/>
  <c r="A31" i="31"/>
  <c r="A20" i="31"/>
  <c r="J34" i="31" l="1"/>
  <c r="I28" i="31"/>
  <c r="I18" i="31"/>
  <c r="K24" i="31"/>
  <c r="K19" i="31"/>
  <c r="G29" i="31"/>
  <c r="F24" i="31"/>
  <c r="F18" i="31"/>
  <c r="J30" i="31"/>
  <c r="I24" i="31"/>
  <c r="I31" i="31"/>
  <c r="K16" i="31"/>
  <c r="K15" i="27"/>
  <c r="K15" i="31" s="1"/>
  <c r="G25" i="31"/>
  <c r="F20" i="31"/>
  <c r="F15" i="27"/>
  <c r="F15" i="31" s="1"/>
  <c r="J24" i="31"/>
  <c r="J22" i="31"/>
  <c r="I33" i="31"/>
  <c r="I23" i="31"/>
  <c r="K25" i="31"/>
  <c r="G19" i="31"/>
  <c r="G17" i="31"/>
  <c r="F33" i="31"/>
  <c r="J16" i="31"/>
  <c r="I29" i="31"/>
  <c r="K34" i="31"/>
  <c r="G34" i="31"/>
  <c r="G30" i="31"/>
  <c r="J18" i="31"/>
  <c r="I19" i="31"/>
  <c r="G32" i="31"/>
  <c r="F29" i="31"/>
  <c r="J33" i="31"/>
  <c r="J31" i="31"/>
  <c r="I25" i="31"/>
  <c r="I15" i="27"/>
  <c r="I15" i="31" s="1"/>
  <c r="K30" i="31"/>
  <c r="G28" i="31"/>
  <c r="F25" i="31"/>
  <c r="J29" i="31"/>
  <c r="J27" i="31"/>
  <c r="I21" i="31"/>
  <c r="K32" i="31"/>
  <c r="K26" i="31"/>
  <c r="G24" i="31"/>
  <c r="G26" i="31"/>
  <c r="F31" i="31"/>
  <c r="F21" i="31"/>
  <c r="J25" i="31"/>
  <c r="J23" i="31"/>
  <c r="I17" i="31"/>
  <c r="K28" i="31"/>
  <c r="K22" i="31"/>
  <c r="G20" i="31"/>
  <c r="G22" i="31"/>
  <c r="F27" i="31"/>
  <c r="F17" i="31"/>
  <c r="J21" i="31"/>
  <c r="J19" i="31"/>
  <c r="I34" i="31"/>
  <c r="K20" i="31"/>
  <c r="K18" i="31"/>
  <c r="G16" i="31"/>
  <c r="G18" i="31"/>
  <c r="F23" i="31"/>
  <c r="F34" i="31"/>
  <c r="J32" i="31"/>
  <c r="J26" i="31"/>
  <c r="I20" i="31"/>
  <c r="I27" i="31"/>
  <c r="K33" i="31"/>
  <c r="G27" i="31"/>
  <c r="G21" i="31"/>
  <c r="F16" i="31"/>
  <c r="J17" i="31"/>
  <c r="J15" i="27"/>
  <c r="J15" i="31" s="1"/>
  <c r="I30" i="31"/>
  <c r="K29" i="31"/>
  <c r="K31" i="31"/>
  <c r="G31" i="31"/>
  <c r="G15" i="27"/>
  <c r="G15" i="31" s="1"/>
  <c r="F19" i="31"/>
  <c r="F30" i="31"/>
  <c r="J28" i="31"/>
  <c r="I32" i="31"/>
  <c r="I26" i="31"/>
  <c r="K21" i="31"/>
  <c r="K27" i="31"/>
  <c r="G23" i="31"/>
  <c r="F32" i="31"/>
  <c r="F26" i="31"/>
  <c r="I16" i="31"/>
  <c r="K17" i="31"/>
  <c r="F28" i="31"/>
  <c r="E32" i="31"/>
  <c r="H32" i="31"/>
  <c r="H34" i="31"/>
  <c r="E24" i="31"/>
  <c r="H24" i="31"/>
  <c r="H30" i="31"/>
  <c r="E30" i="31"/>
  <c r="E20" i="31"/>
  <c r="H33" i="31"/>
  <c r="H26" i="31"/>
  <c r="E28" i="31"/>
  <c r="E16" i="31"/>
  <c r="H25" i="31"/>
  <c r="H22" i="31"/>
  <c r="E22" i="31"/>
  <c r="E17" i="31"/>
  <c r="H20" i="31"/>
  <c r="E31" i="31"/>
  <c r="E15" i="27"/>
  <c r="E15" i="31" s="1"/>
  <c r="H29" i="31"/>
  <c r="E23" i="31"/>
  <c r="H16" i="31"/>
  <c r="H21" i="31"/>
  <c r="E19" i="31"/>
  <c r="H23" i="31"/>
  <c r="H17" i="31"/>
  <c r="E34" i="31"/>
  <c r="E33" i="31"/>
  <c r="H31" i="31"/>
  <c r="H18" i="31"/>
  <c r="E26" i="31"/>
  <c r="E29" i="31"/>
  <c r="H27" i="31"/>
  <c r="H15" i="27"/>
  <c r="H15" i="31" s="1"/>
  <c r="E18" i="31"/>
  <c r="E25" i="31"/>
  <c r="H19" i="31"/>
  <c r="E27" i="3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<sst xmlns="http://schemas.openxmlformats.org/spreadsheetml/2006/main" count="14633" uniqueCount="7604">
  <si>
    <t xml:space="preserve">Nama </t>
  </si>
  <si>
    <t>:</t>
  </si>
  <si>
    <t>Nama Atasan yang menilai</t>
  </si>
  <si>
    <t>Level Saat Ini</t>
  </si>
  <si>
    <t>Officer</t>
  </si>
  <si>
    <t>Level Tujuan</t>
  </si>
  <si>
    <t>Analyst</t>
  </si>
  <si>
    <t>Tanggal Assesment</t>
  </si>
  <si>
    <t>Unit</t>
  </si>
  <si>
    <t>Departemen</t>
  </si>
  <si>
    <t>Divisi</t>
  </si>
  <si>
    <t>Direktorat</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</si>
  <si>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</si>
  <si>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</si>
  <si>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</si>
  <si>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</si>
  <si>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</si>
  <si>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</si>
  <si>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</si>
  <si>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</si>
  <si>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</si>
  <si>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</si>
  <si>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</si>
  <si>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</si>
  <si>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</si>
  <si>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</si>
  <si>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</si>
  <si>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</si>
  <si>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</si>
  <si>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</si>
  <si>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yang belum pernah saya tangani sebelumnya, perilaku yang paling sering saya tunjukkan adalah…</t>
  </si>
  <si>
    <t>Membutuhkan penjelasan rinci sebelum dapat memahami informasi tersebut.</t>
  </si>
  <si>
    <t>Memahami informasi dasarnya, namun masih memerlukan bantuan untuk menarik kesimpulan.</t>
  </si>
  <si>
    <t>Memahami data dan fakta utamanya serta menarik kesimpulan yang relevan secara mandiri.</t>
  </si>
  <si>
    <t>Memahami informasi kompleks dengan cepat dan menghubungkannya dengan konteks pekerjaan.</t>
  </si>
  <si>
    <t>Menangkap pola di balik informasi dan mengubahnya menjadi insight atau rekomendasi baru.</t>
  </si>
  <si>
    <t>Root Cause Analysis
(mencari penyebab masalah)</t>
  </si>
  <si>
    <t>Ketika menghadapi masalah dalam pekerjaan, perilaku yang paling sering saya tunjukkan adalah…</t>
  </si>
  <si>
    <t>Berfokus pada gejala yang terlihat di permukaan.</t>
  </si>
  <si>
    <t>Menemukan penyebab masalah sederhana ketika mendapat arahan.</t>
  </si>
  <si>
    <t>Menganalisis informasi yang ada dan menemukan akar masalah utamanya secara mandiri.</t>
  </si>
  <si>
    <t>Mengurai masalah kompleks dengan membedakan gejala, penyebab, dan dampaknya.</t>
  </si>
  <si>
    <t>Menemukan akar masalah secara cepat dan akurat pada situasi kompleks, ambigu, atau lintas fungsi.</t>
  </si>
  <si>
    <t>Critical Thinking &amp; Inquisitiveness
(mempertanyakan &amp; mengevaluasi)</t>
  </si>
  <si>
    <t>Ketika menerima informasi, arahan, data, atau usulan, perilaku yang paling sering saya tunjukkan adalah…</t>
  </si>
  <si>
    <t>Menerima informasi tersebut apa adanya.</t>
  </si>
  <si>
    <t>Mengajukan pertanyaan dasar untuk memastikan pemahaman atas faktanya.</t>
  </si>
  <si>
    <t>Menanyakan "mengapa" dan "bagaimana" untuk memahami alasan di baliknya.</t>
  </si>
  <si>
    <t>Menguji asumsi yang mendasarinya serta mencari data atau perspektif pembanding.</t>
  </si>
  <si>
    <t>Menyusun kerangka berpikir yang menghubungkan informasi kompleks, kontradiktif, atau belum lengkap.</t>
  </si>
  <si>
    <t>Explaining Complexity
(menjelaskan hal kompleks secara sederhana)</t>
  </si>
  <si>
    <t>Ketika menjelaskan ide, data, atau masalah kompleks kepada orang lain, perilaku yang paling sering saya tunjukkan adalah…</t>
  </si>
  <si>
    <t>Menyampaikan sesuai urutan yang saya pahami, sehingga inti pesan belum selalu tertangkap.</t>
  </si>
  <si>
    <t>Menjelaskan dengan bantuan contoh, meski penjelasannya masih panjang dan kurang fokus.</t>
  </si>
  <si>
    <t>Menjelaskan isu kompleks secara runtut dan mudah diikuti.</t>
  </si>
  <si>
    <t>Menyederhanakan konsep kompleks sesuai kebutuhan audiens yang berbeda-beda.</t>
  </si>
  <si>
    <t>Mengemas kompleksitas menjadi narasi yang sederhana, meyakinkan, dan mendorong tindakan.</t>
  </si>
  <si>
    <t>Intellectual Synthesis
(menghubungkan berbagai informasi)</t>
  </si>
  <si>
    <t>Ketika menghadapi beragam data, konsep, atau temuan dari sumber berbeda yang tampak terpisah-pisah, perilaku yang paling sering saya tunjukkan adalah…
(Fokus indikator: data, konsep, dan informasi (bukan pendapat orang))</t>
  </si>
  <si>
    <t>Menggunakan pengetahuan yang sudah di kenal dan memilih pendekatan konvensional.</t>
  </si>
  <si>
    <t>Melihat kemiripan antar informasi, namun belum menghubungkannya menjadi satu kesimpulan.</t>
  </si>
  <si>
    <t>Menemukan keterkaitan antar informasi, data, atau konsep dari sumber yang berbeda.</t>
  </si>
  <si>
    <t>Menyintesis berbagai informasi menjadi satu pendekatan, rekomendasi, atau solusi baru.</t>
  </si>
  <si>
    <t>Membangun kerangka kerja baru dari informasi kompleks yang sebelumnya tampak tidak berkaitan.</t>
  </si>
  <si>
    <t>Integrating Diverse Perspective
(keputusan dari berbagai sudut pandang)</t>
  </si>
  <si>
    <t>Ketika mengambil keputusan yang melibatkan beragam perspektif dari para pemangku kepentingan, perilaku yang paling sering saya tunjukkan adalah…
(Fokus indikator: sudut pandang, kepentingan, dan opini orang (bukan data))</t>
  </si>
  <si>
    <t>Mencari informasi yang mendukung pendapat awal saya.</t>
  </si>
  <si>
    <t>Mempertimbangkan perspektif lain, meski sudut pandang saya sendiri masih dominan.</t>
  </si>
  <si>
    <t>Mempertimbangkan berbagai faktor dan sudut pandang sebelum memutuskan.</t>
  </si>
  <si>
    <t>Memadukan masukan berbagai pihak untuk memperkaya analisis dan menurunkan risiko keputusan.</t>
  </si>
  <si>
    <t>Menghubungkan perspektif yang berbeda atau bertentangan menjadi solusi inovatif yang dapat diterima.</t>
  </si>
  <si>
    <t>Creative Exploration
(mencari pendekatan baru)</t>
  </si>
  <si>
    <t>Ketika menghadapi ide baru atau pendekatan yang belum terbukti, perilaku yang paling sering saya tunjukkan adalah…</t>
  </si>
  <si>
    <t>Menggunakan metode yang sudah familiar bagi saya.</t>
  </si>
  <si>
    <t>Mendengarkan ide baru, namun tetap memilih cara yang sudah terbukti.</t>
  </si>
  <si>
    <t>Mencoba ide baru ketika situasi, waktu, dan sumber daya memungkinkan.</t>
  </si>
  <si>
    <t>Mencari ide baru secara aktif sebagai peluang perbaikan atau inovasi.</t>
  </si>
  <si>
    <t>Mengeksplorasi dan menguji pendekatan baru secara terencana serta menarik pembelajaran dari hasil ujinya.</t>
  </si>
  <si>
    <t>Breaking Patterned thinking
(menciptakan solusi baru)</t>
  </si>
  <si>
    <t>Ketika menghadapi masalah lama yang membutuhkan cara baru, perilaku yang paling sering saya tunjukkan adalah…</t>
  </si>
  <si>
    <t>Menerapkan kembali solusi yang biasa digunakan sebelumnya.</t>
  </si>
  <si>
    <t>Menyesuaikan solusi lama dengan kerangka berpikir yang sama.</t>
  </si>
  <si>
    <t>Mengevaluasi efektivitas solusi lama dan mulai mencari alternatif pendekatan.</t>
  </si>
  <si>
    <t>Membandingkan beberapa alternatif solusi dan memilih pendekatan yang paling relevan.</t>
  </si>
  <si>
    <t>Menciptakan solusi baru untuk masalah berulang yang tidak terselesaikan dengan cara lama.</t>
  </si>
  <si>
    <t>Comfort with Ambiguity
(tetap efektif di situasi tidak jelas)</t>
  </si>
  <si>
    <t>Ketika menghadapi situasi kerja yang belum jelas arah, data, prioritas, atau keputusannya, perilaku yang paling sering saya tunjukkan adalah…</t>
  </si>
  <si>
    <t>Menunggu arahan yang jelas sebelum menentukan langkah.</t>
  </si>
  <si>
    <t>Mulai bekerja dalam ketidakjelasan, namun sering memerlukan arahan tambahan.</t>
  </si>
  <si>
    <t>Tetap menjalankan pekerjaan dalam situasi ambigu dengan beberapa panduan.</t>
  </si>
  <si>
    <t>Tetap produktif dan mampu mengambil keputusan meski informasinya terbatas.</t>
  </si>
  <si>
    <t>Memanfaatkan situasi yang belum jelas untuk menemukan peluang, pola baru, atau alternatif strategi.</t>
  </si>
  <si>
    <t>Tolerance for Ambiguity 
(memimpin dalam uncertainty tinggi)</t>
  </si>
  <si>
    <t>Ketika menghadapi atau memimpin situasi dengan ketidakpastian tinggi dan berdampak luas, perilaku yang paling sering saya tunjukkan adalah…</t>
  </si>
  <si>
    <t xml:space="preserve">	Menunda keputusan sampai arahnya menjadi lebih jelas.</t>
  </si>
  <si>
    <t>Menyesuaikan langkah setelah memperoleh arahan atau keputusan dari pihak lain.</t>
  </si>
  <si>
    <t>Menjaga produktivitas diri dan tim dalam ketidakpastian dengan dukungan tertentu.</t>
  </si>
  <si>
    <t>Memberi arah, menjaga ketenangan, dan mengambil keputusan di tengah ketidakpastian tinggi.</t>
  </si>
  <si>
    <t>Menetapkan arah strategis dan menciptakan peluang baru bagi pihak yang menjadi tanggung jawab saya/bawahan saya.</t>
  </si>
  <si>
    <t>AVERAGE SCORE</t>
  </si>
  <si>
    <t xml:space="preserve"> Listening for understanding
(mendengarkan &amp; memahami)</t>
  </si>
  <si>
    <t>Ketika mendengarkan penjelasan, keluhan, masukan, atau ide dari orang lain, perilaku yang paling sering saya tunjukkan adalah…</t>
  </si>
  <si>
    <t>Fokus saya mudah teralihkan saat orang lain berbicara.</t>
  </si>
  <si>
    <t>Menyimak bagian yang saya anggap relevan dengan tugas saya.</t>
  </si>
  <si>
    <t>Memberi perhatian penuh, mengajukan klarifikasi, dan merangkum poin utamanya.</t>
  </si>
  <si>
    <t>Menangkap makna, emosi, dan nada di balik apa yang disampaikan.</t>
  </si>
  <si>
    <t>Menghubungkan isu, kebutuhan, dan emosi pihak lain untuk mendorong kesepakatan atau tindak lanjut.</t>
  </si>
  <si>
    <t>Openness to Feedback
(menerima &amp; menindaklajuti masukan)</t>
  </si>
  <si>
    <t>Ketika menerima masukan atau umpan balik dari orang lain, perilaku yang paling sering saya tunjukkan adalah…</t>
  </si>
  <si>
    <t>Menjelaskan alasan atau pembenaran atas apa yang telah saya lakukan.</t>
  </si>
  <si>
    <t>Menerima masukan yang bersifat ringan atau positif</t>
  </si>
  <si>
    <t>Meminta klarifikasi atau contoh agar dapat memahami masukan dengan tepat.</t>
  </si>
  <si>
    <t>Menindaklanjuti masukan melalui perubahan perilaku atau peningkatan keterampilan.</t>
  </si>
  <si>
    <t>Meminta masukan yang spesifik dan menantang dari berbagai pihak secara rutin.</t>
  </si>
  <si>
    <t>Genuine Curiosity about Others
(rasa ingin tahu tulus pada orang lain)</t>
  </si>
  <si>
    <t>Ketika berinteraksi dengan rekan kerja, anggota tim, atau stakeholder, perilaku yang paling sering saya tunjukkan adalah…</t>
  </si>
  <si>
    <t>Menyimpulkan orang lain berdasarkan kesan awal.</t>
  </si>
  <si>
    <t>Bertanya seperlunya untuk memenuhi kebutuhan tugas.</t>
  </si>
  <si>
    <t>Menunjukkan ketertarikan pada kebutuhan, alasan, dan konteks orang lain.</t>
  </si>
  <si>
    <t>Menggali motivasi, kekhawatiran, dan harapan orang lain secara aktif.</t>
  </si>
  <si>
    <t>Membangun pemahaman mendalam sehingga tercipta kepercayaan dan kolaborasi yang lebih kuat.</t>
  </si>
  <si>
    <t>Collaboration with Diversity
(Bekerja efektif dalam keberagaman)</t>
  </si>
  <si>
    <t>Dalam kolaborasi dengan pihak yang memiliki latar belakang, fungsi, gaya kerja, atau pandangan berbeda, perilaku yang paling sering saya tunjukkan adalah…</t>
  </si>
  <si>
    <t>Bekerja dengan pihak yang memiliki gaya dan latar belakang serupa dengan saya.</t>
  </si>
  <si>
    <t>Bekerja dalam tim yang beragam ketika diarahkan.</t>
  </si>
  <si>
    <t>Menyesuaikan gaya komunikasi agar dapat bekerja efektif dengan pihak yang berbeda.</t>
  </si>
  <si>
    <t>Memanfaatkan keberagaman perspektif untuk menghasilkan ide atau solusi yang lebih baik.</t>
  </si>
  <si>
    <t>Membangun kolaborasi lintas perbedaan yang menghasilkan output unggul dan suasana kerja inklusif.</t>
  </si>
  <si>
    <t>Valuing Diverse Opinions
(Menghargai opini berbeda)</t>
  </si>
  <si>
    <t>Ketika dihadapkan pada beragam pendapat dalam diskusi atau pengambilan keputusan, perilaku yang paling sering saya tunjukkan adalah…
(Fokus indikator: respek dan ruang yang diberikan kepada pemilik pendapat)</t>
  </si>
  <si>
    <t>Berfokus pada pendapat yang sejalan dengan pandangan saya.</t>
  </si>
  <si>
    <t>Mendengarkan pendapat berbeda, meski belum memandangnya sebagai masukan bernilai.</t>
  </si>
  <si>
    <t>Menghargai perbedaan pendapat dan memberi ruang bagi orang lain untuk menyampaikannya.</t>
  </si>
  <si>
    <t>Mempertimbangkan pendapat yang berbeda secara serius sebelum keputusan ditetapkan.</t>
  </si>
  <si>
    <t>Mengintegrasikan berbagai pendapat menjadi solusi yang seimbang dan dapat diterima bersama.</t>
  </si>
  <si>
    <t>Understanding Different Perspectives
(Analisis multi-sudut pandang)</t>
  </si>
  <si>
    <t>Ketika muncul perbedaan sudut pandang atau kepentingan dalam melihat suatu masalah, perilaku yang paling sering saya tunjukkan adalah…
(Fokus indikator: kedalaman pemetaan kepentingan dan batasan pihak lain, terlepas dari keputusan akhir)</t>
  </si>
  <si>
    <t>Bertahan pada sudut pandang saya sendiri.</t>
  </si>
  <si>
    <t>Mencoba memahami sudut pandang lain, namun kembali pada perspektif awal.</t>
  </si>
  <si>
    <t>Menerima perspektif berbeda ketika dijelaskan secara logis dan relevan.</t>
  </si>
  <si>
    <t>Menganalisis kebutuhan, kepentingan, dan batasan yang mendasari sudut pandang berbagai pihak.</t>
  </si>
  <si>
    <t>Memetakan perspektif yang berbeda atau bertentangan untuk membangun pemahaman yang lebih utuh.</t>
  </si>
  <si>
    <t>Recognizing Others' Potential
(mengenali potensi orang lain)</t>
  </si>
  <si>
    <t>Ketika bekerja bersama rekan atau anggota tim yang memiliki tingkat kemampuan berbeda-beda, perilaku yang paling sering saya tunjukkan adalah…</t>
  </si>
  <si>
    <t>Berfokus pada penyelesaian tugas saya sendiri.</t>
  </si>
  <si>
    <t>Mengetahui siapa yang kuat dan siapa yang lemah, namun belum menelusuri penyebabnya.</t>
  </si>
  <si>
    <t>Mengenali kekuatan dan area pengembangan orang lain berdasarkan hasil kerjanya.</t>
  </si>
  <si>
    <t>Menelusuri penyebab kesenjangan kemampuan dan menyesuaikan cara bekerja dengan orang tersebut.</t>
  </si>
  <si>
    <t>Memetakan potensi orang lain secara akurat dan mengarahkannya pada peran atau tugas yang tepat.</t>
  </si>
  <si>
    <t>Setting Direction &amp; Expectations
(menetapkan arah &amp; ekspektasi)</t>
  </si>
  <si>
    <t>Ketika dipercaya memimpin sebuah tugas, kegiatan, atau kelompok kerja, perilaku yang paling sering saya tunjukkan adalah…</t>
  </si>
  <si>
    <t>Menjalankan bagian saya dan berharap orang lain memahami perannya masing-masing.</t>
  </si>
  <si>
    <t>Menyampaikan apa yang harus dikerjakan tanpa menjelaskan hasil yang diharapkan.</t>
  </si>
  <si>
    <t>Menjelaskan tujuan, pembagian peran, dan hasil yang diharapkan kepada semua pihak.</t>
  </si>
  <si>
    <t>Menyepakati ukuran keberhasilan bersama dan memastikan setiap orang memahami tanggung jawabnya.</t>
  </si>
  <si>
    <t>Menetapkan arah yang cukup jelas sehingga orang lain dapat memutuskan sendiri tanpa menunggu saya.</t>
  </si>
  <si>
    <t>Empathy
(Merasakan &amp; memahami emosi orang lain)</t>
  </si>
  <si>
    <t>Ketika menghadapi situasi yang melibatkan emosi, tekanan, atau perasaan orang lain, perilaku yang paling sering saya tunjukkan adalah…</t>
  </si>
  <si>
    <t>Belum menyadari emosi orang lain, sehingga respons saya kurang sesuai.</t>
  </si>
  <si>
    <t>Menyadari emosi yang terlihat jelas, namun belum memahami penyebabnya.</t>
  </si>
  <si>
    <t>Mengamati ekspresi, nada bicara, dan situasi orang lain serta menunjukkan perhatian.</t>
  </si>
  <si>
    <t>Menggali penyebab perasaan orang lain dan memberi respons atau dukungan yang tepat.</t>
  </si>
  <si>
    <t>Membaca dinamika emosi individu maupun kelompok dan meresponsnya sambil menjaga hubungan kerja tetap produktif.</t>
  </si>
  <si>
    <t>Conflict Navigation
(menghadapi konflik secara konstruktif)</t>
  </si>
  <si>
    <t>Ketika menghadapi konflik kerja atau perbedaan kepentingan, perilaku yang paling sering saya tunjukkan adalah…
(Fokus indikator: konflik yang melibatkan diri saya sendiri sebagai salah satu pihak)</t>
  </si>
  <si>
    <t>Menunda atau menghindari pembicaraan mengenai konflik tersebut.</t>
  </si>
  <si>
    <t>Menghadapi konflik, namun mundur ketika situasinya meningkat.</t>
  </si>
  <si>
    <t>Menangani konflik sederhana melalui komunikasi yang terbuka.</t>
  </si>
  <si>
    <t>Mengelola konflik secara konstruktif dengan fokus pada isu utama dan solusi yang adil.</t>
  </si>
  <si>
    <t>Menjadikan konflik sebagai kesempatan memperjelas ekspektasi dan memperkuat kepercayaan.</t>
  </si>
  <si>
    <t>Giving Developmental Feedback
(memberi umpan balik yang mengembangkan)</t>
  </si>
  <si>
    <t>Ketika melihat kekurangan atau hal yang perlu ditingkatkan pada cara kerja orang lain, perilaku yang paling sering saya tunjukkan adalah…</t>
  </si>
  <si>
    <t>Membiarkannya, atau menyelesaikan sendiri pekerjaan yang kurang tepat tersebut.</t>
  </si>
  <si>
    <t>Menyampaikan ketika situasi sudah mendesak atau ketika kesalahannya berulang.</t>
  </si>
  <si>
    <t>Menyampaikan secara langsung disertai contoh yang jelas.</t>
  </si>
  <si>
    <t>Menyampaikan dengan cara yang menjaga harga diri orang tersebut dan disertai saran perbaikan.</t>
  </si>
  <si>
    <t>Menyampaikan secara teratur sehingga umpan balik menjadi hal yang biasa, bukan sesuatu yang ditakuti.</t>
  </si>
  <si>
    <t>Managing Challenging  Stakeholder
(relasi berkelanjutan dengan pihak sulit)</t>
  </si>
  <si>
    <t>Ketika harus menjaga hubungan profesional dengan individu atau stakeholder yang sulit, berpengaruh, atau memiliki kepentingan berbeda, perilaku yang paling sering saya tunjukkan adalah…</t>
  </si>
  <si>
    <t>Membatasi interaksi dengan pihak tersebut seminimal mungkin.</t>
  </si>
  <si>
    <t>Berinteraksi seperlunya dan memerlukan bantuan pihak ketiga ketika terjadi gesekan.</t>
  </si>
  <si>
    <t>Menjaga profesionalisme dan mulai memahami kepentingan pihak kunci.</t>
  </si>
  <si>
    <t>Menyesuaikan gaya komunikasi dan mencari titik temu untuk membangun hubungan kerja yang produktif.</t>
  </si>
  <si>
    <t>Menjadi penghubung yang dipercaya di antara kepentingan berbeda dan menjaga kerja sama berkelanjutan.</t>
  </si>
  <si>
    <t>Delegating for Growth (mendelegasikan sebagai sarana pengembangan)</t>
  </si>
  <si>
    <t>Ketika ada tugas yang dapat saya kerjakan sendiri atau diserahkan kepada orang lain, perilaku yang paling sering saya tunjukkan adalah…</t>
  </si>
  <si>
    <t>Mengerjakan sendiri karena lebih cepat dan hasilnya lebih terjamin.</t>
  </si>
  <si>
    <t>Menyerahkan tugas rutin saja, sementara tugas penting tetap saya tangani.</t>
  </si>
  <si>
    <t>Menyerahkan tugas disertai penjelasan dan arahan yang memadai.</t>
  </si>
  <si>
    <t>Memilih tugas yang sekaligus menjadi kesempatan belajar bagi orang tersebut.</t>
  </si>
  <si>
    <t>Memberikan tugas yang meregangkan kemampuan orang lain, disertai pendampingan dan ruang untuk keliru.</t>
  </si>
  <si>
    <t>Adapting Leadership Style
(menyesuaikan gaya kepemimpinan)</t>
  </si>
  <si>
    <t>Ketika memimpin orang dengan tingkat kemampuan, pengalaman, dan kesiapan yang berbeda-beda, perilaku yang paling sering saya tunjukkan adalah…</t>
  </si>
  <si>
    <t>Menggunakan cara memimpin yang sama untuk semua orang dan semua situasi.</t>
  </si>
  <si>
    <t>Menyesuaikan cara memimpin setelah muncul masalah atau keluhan.</t>
  </si>
  <si>
    <t>Membedakan pendekatan antara orang yang sudah berpengalaman dan yang masih baru.</t>
  </si>
  <si>
    <t>Menyesuaikan tingkat arahan dan dukungan sesuai kesiapan tiap orang pada tugas tertentu.</t>
  </si>
  <si>
    <t>Membaca kesiapan orang secara akurat dan mengubah pendekatan bahkan dalam satu percakapan.</t>
  </si>
  <si>
    <t>Conflict Mediation
(menjadi penengah pihak berbeda)</t>
  </si>
  <si>
    <t>Ketika menghadapi konflik antarindividu, antartim, atau antarkepentingan yang membutuhkan penengah, perilaku yang paling sering saya tunjukkan adalah…
(Fokus indikator: peran sebagai penengah konflik orang lain.)</t>
  </si>
  <si>
    <t>Menyerahkan penyelesaian konflik tersebut kepada pihak lain.</t>
  </si>
  <si>
    <t>Membantu menyelesaikan konflik pada situasi yang sederhana.</t>
  </si>
  <si>
    <t>Berperan sebagai penengah dan memastikan setiap pihak didengar.</t>
  </si>
  <si>
    <t>Memfasilitasi dialog dan kesepakatan pada konflik yang kompleks.</t>
  </si>
  <si>
    <t>Menjadi penengah tepercaya dalam konflik lintas kelompok dan membangun komitmen jangka panjang.</t>
  </si>
  <si>
    <t>Coaching &amp; Building Capability
(membangun kemampuan orang lain)</t>
  </si>
  <si>
    <t>Dalam memastikan kesiapan kemampuan orang lain untuk tuntutan jangka panjang, perilaku yang paling sering saya tunjukkan adalah…</t>
  </si>
  <si>
    <t>Memandang pengembangan kemampuan sebagai tanggung jawab fungsi SDM.</t>
  </si>
  <si>
    <t>Mendukung pengembangan orang lain ketika diminta atau ketika programnya sudah tersedia.</t>
  </si>
  <si>
    <t>Mengarahkan orang lain pada kesempatan belajar yang relevan dengan kebutuhannya.</t>
  </si>
  <si>
    <t>Mendampingi perkembangan orang lain melalui percakapan pengembangan yang teratur.</t>
  </si>
  <si>
    <t>Membangun kebiasaan saling mengembangkan sehingga pembelajaran berjalan tanpa bergantung pada saya.</t>
  </si>
  <si>
    <t>Adapting to New Systems
(mengikuti perubahan sistem &amp; prosedur)</t>
  </si>
  <si>
    <t>Ketika diterapkan sistem, prosedur, tools, atau mekanisme kerja baru, perilaku yang paling sering saya tunjukkan adalah…</t>
  </si>
  <si>
    <t>Memerlukan waktu lama untuk menggunakannya dan cenderung bertahan pada sistem lama.</t>
  </si>
  <si>
    <t>Mencoba menggunakan sistem baru dengan arahan yang cukup intensif.</t>
  </si>
  <si>
    <t>Menggunakan sistem baru secara mandiri ketika tersedia panduan yang jelas.</t>
  </si>
  <si>
    <t>Menguasai sistem baru dengan cepat dan membantu orang lain memahaminya.</t>
  </si>
  <si>
    <t>Mengoptimalkan sistem baru untuk meningkatkan efektivitas, efisiensi, atau kualitas kerja.</t>
  </si>
  <si>
    <t>persepsi diri Selaras dengan penilaian Atasan</t>
  </si>
  <si>
    <t>persepsi diri Selaras dengan perilaku yang ditunjukan</t>
  </si>
  <si>
    <t>Comfort with New Ways of Working
(nyaman dengan cara kerja baru)</t>
  </si>
  <si>
    <t>Ketika diterapkan cara kerja, metode, atau pendekatan baru, perilaku yang paling sering saya tunjukkan adalah…</t>
  </si>
  <si>
    <t>Merasa tidak nyaman dan tetap menggunakan cara kerja lama.</t>
  </si>
  <si>
    <t>Mencoba cara kerja baru, namun sering kembali pada kebiasaan lama.</t>
  </si>
  <si>
    <t>Menyesuaikan diri setelah memahami alasan dan manfaat perubahan tersebut.</t>
  </si>
  <si>
    <t>Bekerja dengan nyaman menggunakan pendekatan baru dan cepat menyesuaikan kebiasaan kerja.</t>
  </si>
  <si>
    <t>Mencoba cara kerja baru dengan antusias dan mendorong perbaikan proses di sekitar saya.</t>
  </si>
  <si>
    <t>Comfort with Sudden Change
(tetap bekerja saat perubahan mendadak)</t>
  </si>
  <si>
    <t>Ketika menghadapi perubahan mendadak dalam prioritas, arahan, target, atau situasi kerja, perilaku yang paling sering saya tunjukkan adalah…</t>
  </si>
  <si>
    <t>Memerlukan waktu untuk dapat melanjutkan pekerjaan setelah perubahan terjadi.</t>
  </si>
  <si>
    <t>Menyesuaikan diri, namun membutuhkan waktu cukup lama untuk kembali produktif.</t>
  </si>
  <si>
    <t>Menyesuaikan diri dengan baik ketika perubahan dijelaskan secara jelas.</t>
  </si>
  <si>
    <t>Menyesuaikan prioritas dengan cepat dan tetap produktif.</t>
  </si>
  <si>
    <t>Memanfaatkan perubahan mendadak sebagai kesempatan memperbaiki cara kerja atau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</si>
  <si>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</si>
  <si>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</si>
  <si>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</si>
  <si>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atau ketidaknyamanan, perilaku yang paling sering saya tunjukkan adalah…</t>
  </si>
  <si>
    <t>Bertahan pada cara kerja dan arah yang lama.</t>
  </si>
  <si>
    <t>Menerima perubahan, namun kembali ke cara lama saat menghadapi kesulitan.</t>
  </si>
  <si>
    <t>Menerima perubahan dengan bantuan penjelasan atau dukungan tambahan.</t>
  </si>
  <si>
    <t>Mengenali keberatan dalam diri saya sendiri dan mengelolanya secara konstruktif.</t>
  </si>
  <si>
    <t>Mendukung perubahan secara aktif dan membantu orang lain mengurangi keberatannya.</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</si>
  <si>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</si>
  <si>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</si>
  <si>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</si>
  <si>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saya tunjukkan adalah…</t>
  </si>
  <si>
    <t>Mengandalkan pengetahuan dan keterampilan yang sudah saya miliki.</t>
  </si>
  <si>
    <t>Tertarik pada hal baru, namun belum konsisten mempelajarinya.</t>
  </si>
  <si>
    <t>Mempelajari pengetahuan atau keterampilan baru yang relevan ketika dibutuhkan..</t>
  </si>
  <si>
    <t>Belajar lintas bidang dan mencoba menerapkannya dalam pekerjaan.</t>
  </si>
  <si>
    <t>Mencari, menguji, dan menerapkan pembelajaran baru secara konsisten untuk menghasilkan solusi yang lebih baik.</t>
  </si>
  <si>
    <t>Viewing Change as Opportunity
(melihat perubahan sebagai peluang)</t>
  </si>
  <si>
    <t>Ketika menilai perubahan yang terjadi di lingkungan kerja, perilaku yang paling sering saya tunjukkan adalah…</t>
  </si>
  <si>
    <t>Memandang perubahan sebagai gangguan terhadap rutinitas kerja.</t>
  </si>
  <si>
    <t>Menerima perubahan dengan sangat berhati-hati.</t>
  </si>
  <si>
    <t>Memandang perubahan sebagai sesuatu yang perlu diikuti dan disesuaikan.</t>
  </si>
  <si>
    <t>Memandang perubahan sebagai kesempatan belajar dan memperbaiki proses kerja.</t>
  </si>
  <si>
    <t>Mencari peluang di dalam perubahan untuk menciptakan nilai atau cara kerja baru.</t>
  </si>
  <si>
    <t>Self-assessment jauh lebih tinggi dari perilaku yang tampak menurut atasan</t>
  </si>
  <si>
    <t>Ada potensi blind spot; perilaku belum terlihat sekuat persepsi diri</t>
  </si>
  <si>
    <t>Proposing New Ideas
(menginisiasi perubahan)</t>
  </si>
  <si>
    <t>Ketika melihat peluang perbaikan atau kebutuhan perubahan, perilaku yang paling sering saya tunjukkan adalah…</t>
  </si>
  <si>
    <t>Mengikuti arahan yang sudah ditetapkan.</t>
  </si>
  <si>
    <t>Menyampaikan ide sederhana ketika diminta atau ketika masalahnya sudah terlihat jelas.</t>
  </si>
  <si>
    <t>Memberikan saran yang relevan untuk perbaikan proses atau penyelesaian masalah.</t>
  </si>
  <si>
    <t>Mengusulkan ide baru yang relevan dan realistis secara konsisten.</t>
  </si>
  <si>
    <t>Menciptakan ide inovatif dan mendorong implementasinya hingga memberi dampak nyata.</t>
  </si>
  <si>
    <t>Risk-Taking for Innovation
(berani mencoba pendekatan baru)</t>
  </si>
  <si>
    <t>Ketika perlu mencoba cara, pendekatan, atau solusi baru yang belum sepenuhnya terbukti, perilaku yang paling sering saya tunjukkan adalah…</t>
  </si>
  <si>
    <t>Memilih metode yang aman dan biasa digunakan.</t>
  </si>
  <si>
    <t>Mencoba metode baru, namun kembali ke cara lama ketika hasilnya belum terlihat.</t>
  </si>
  <si>
    <t>Mengambil risiko terukur setelah mempertimbangkan dampaknya.</t>
  </si>
  <si>
    <t>Mencoba pendekatan baru meski hasilnya belum pasti, dengan tetap mengelola risikonya.</t>
  </si>
  <si>
    <t>Mendorong eksperimen dalam tim dan menarik pembelajaran atau inovasi dari hasilnya.</t>
  </si>
  <si>
    <t>Calmness in Uncertainty
(tetap tenang di kondisi tidak pasti)</t>
  </si>
  <si>
    <t>Ketika menghadapi situasi kerja yang tidak pasti, berubah cepat, atau belum memiliki arah yang jelas, perilaku yang paling sering saya tunjukkan adalah…</t>
  </si>
  <si>
    <t>Merasa tidak nyaman dan sulit berpikir jernih ketika arah belum jelas.</t>
  </si>
  <si>
    <t>Berusaha tenang, namun fokus saya mudah terganggu.</t>
  </si>
  <si>
    <t>Mengelola diri dan tetap menjalankan pekerjaan dalam ketidakpastian.</t>
  </si>
  <si>
    <t>Tetap tenang, menjaga fokus, dan mengambil keputusan yang tepat.</t>
  </si>
  <si>
    <t>Menjaga ketenangan diri dan orang lain, membaca peluang, serta menentukan langkah strategis.</t>
  </si>
  <si>
    <t>Proactive in Anticipating Change
(mengantisipasi perubahan)</t>
  </si>
  <si>
    <t>Ketika menghadapi kemungkinan perubahan di masa depan, perilaku yang paling sering saya tunjukkan adalah…</t>
  </si>
  <si>
    <t>Menyesuaikan diri setelah perubahan benar-benar terjadi.</t>
  </si>
  <si>
    <t>Bergerak ketika tanda perubahan mulai terlihat, dengan persiapan seadanya.</t>
  </si>
  <si>
    <t>Memperhatikan tanda-tanda perubahan dan melakukan persiapan terbatas.</t>
  </si>
  <si>
    <t>Memindai lingkungan, membaca tren, dan menyiapkan rencana menghadapi perubahan.</t>
  </si>
  <si>
    <t>Memperkirakan arah perubahan, menyiapkan skenario, dan menggerakkan pihak terkait sebelum perubahan terjadi.</t>
  </si>
  <si>
    <t>Task Completion Quality 
(menyelesaikan tugas dengan baik)</t>
  </si>
  <si>
    <t>Ketika menyelesaikan tugas dan tanggung jawab kerja, termasuk tugas yang belum pernah saya kerjakan sebelumnya, perilaku yang paling sering saya tunjukkan adalah…</t>
  </si>
  <si>
    <t>Hasil kerja saya belum selalu memenuhi standar atau tenggat waktu.</t>
  </si>
  <si>
    <t>Menyelesaikan tugas dengan kualitas dan ketepatan waktu yang belum konsisten.</t>
  </si>
  <si>
    <t>Menyelesaikan tugas dengan kualitas yang stabil dan sesuai standar.</t>
  </si>
  <si>
    <t>Menghasilkan pekerjaan berkualitas tinggi dan tepat waktu secara konsisten.</t>
  </si>
  <si>
    <t>Menghasilkan output yang melampaui ekspektasi dan menjadi rujukan standar kualitas bagi orang lain.</t>
  </si>
  <si>
    <t>Action-Oriented &amp; Takes Initiative 
(proaktif bertindak)</t>
  </si>
  <si>
    <t>Ketika melihat peluang perbaikan, masalah, atau kebutuhan tindakan dalam pekerjaan, perilaku yang paling sering saya tunjukkan adalah…</t>
  </si>
  <si>
    <t>Menunggu instruksi yang jelas sebelum bertindak.</t>
  </si>
  <si>
    <t>Mengidentifikasi peluang atau masalah, lalu menunggu persetujuan sebelum bertindak.</t>
  </si>
  <si>
    <t>Mengambil inisiatif menangani masalah dalam area tanggung jawab saya.</t>
  </si>
  <si>
    <t>Menciptakan peluang perbaikan dan mengantisipasi masalah sebelum berdampak.</t>
  </si>
  <si>
    <t>Mengambil inisiatif yang menghasilkan perubahan positif dan menggerakkan orang lain untuk terlibat.</t>
  </si>
  <si>
    <t>Driving for impact
(fokus pada hasil kerja)</t>
  </si>
  <si>
    <t>Ketika menilai keberhasilan pekerjaan saya, perilaku yang paling sering saya tunjukkan adalah…</t>
  </si>
  <si>
    <t>Menilai keberhasilan dari aktivitas yang telah saya kerjakan.</t>
  </si>
  <si>
    <t>Menyelesaikan pekerjaan sesuai prosedur tanpa memastikan efektivitas hasilnya.</t>
  </si>
  <si>
    <t>Memahami tujuan akhir pekerjaan dan bertanggung jawab atas pencapaiannya.</t>
  </si>
  <si>
    <t>Mengenali hambatan, menyesuaikan proses, dan menggunakan metrik untuk memastikan hasil tercapai.</t>
  </si>
  <si>
    <t>Memastikan hasil kerja memberi nilai nyata bagi tim, pelanggan, fungsi, atau organisasi.</t>
  </si>
  <si>
    <t>Tenacity &amp; Strategic Persistence
(menjaga komitmen di tengah tantangan)</t>
  </si>
  <si>
    <t>Ketika menghadapi tantangan berat, hambatan, atau kegagalan dalam mencapai target, perilaku yang paling sering saya tunjukkan adalah…</t>
  </si>
  <si>
    <t>Komitmen saya menurun ketika tantangannya berat.</t>
  </si>
  <si>
    <t>Tetap berupaya, namun memerlukan dorongan dari luar ketika upaya awal gagal.</t>
  </si>
  <si>
    <t>Berusaha menyelesaikan tugas dan meminta bantuan ketika menghadapi hambatan sulit.</t>
  </si>
  <si>
    <t>Menjaga energi dan komitmen dalam jangka panjang tanpa mudah frustrasi.</t>
  </si>
  <si>
    <t>Bertahan menghadapi tantangan berat dengan terus mencari solusi baru tanpa kehilangan arah hasil.</t>
  </si>
  <si>
    <t>Prioritizing &amp; Sequencing Work
(menyusun prioritas &amp; urutan kerja)</t>
  </si>
  <si>
    <t>Ketika menghadapi beberapa tugas dengan tenggat waktu dan tingkat kepentingan yang berbeda, perilaku yang paling sering saya tunjukkan adalah…</t>
  </si>
  <si>
    <t>Mengerjakan sesuai urutan tugas yang datang atau yang paling mudah diselesaikan.</t>
  </si>
  <si>
    <t>Mendahulukan tugas yang paling mendesak atau yang paling sering ditanyakan.</t>
  </si>
  <si>
    <t>Menyusun urutan kerja berdasarkan tenggat waktu dan tingkat kepentingannya.</t>
  </si>
  <si>
    <t>Menyusun urutan dengan mempertimbangkan keterkaitan antar tugas dan ketergantungan pada pihak lain.</t>
  </si>
  <si>
    <t>Menyusun prioritas berdasarkan dampaknya terhadap tujuan yang lebih besar, dan meninjaunya ketika situasi berubah.</t>
  </si>
  <si>
    <t>Learning from Outcomes
(belajar dari hasil &amp; kesalahan)</t>
  </si>
  <si>
    <t>Setelah mengalami keberhasilan, kegagalan, atau hasil kerja yang belum sesuai harapan, perilaku yang paling sering saya tunjukkan adalah…</t>
  </si>
  <si>
    <t>Melanjutkan pekerjaan berikutnya tanpa mengevaluasi hasil sebelumnya.</t>
  </si>
  <si>
    <t>Mengambil pelajaran sesekali, namun belum konsisten menggunakannya untuk perbaikan.</t>
  </si>
  <si>
    <t>Mengevaluasi hasil kerja dan mengambil pelajaran darinya.</t>
  </si>
  <si>
    <t>Mengubah pelajaran dari hasil kerja menjadi tindakan perbaikan yang nyata.</t>
  </si>
  <si>
    <t>Mengubah pembelajaran menjadi peningkatan kinerja yang terukur bagi diri, tim, atau proses kerja.</t>
  </si>
  <si>
    <t>Deciding with Incomplete Data
(mengambil keputusan dengan data/informasi terbatas)</t>
  </si>
  <si>
    <t>Ketika harus mengambil keputusan dalam situasi baru, tidak pasti, atau dengan informasi yang belum lengkap, perilaku yang paling sering saya tunjukkan adalah…</t>
  </si>
  <si>
    <t>Menunda keputusan sampai informasinya lengkap..</t>
  </si>
  <si>
    <t>Mengumpulkan informasi tambahan terlebih dahulu sebelum memutuskan.</t>
  </si>
  <si>
    <t>Mengambil keputusan dengan memilih opsi paling logis dari informasi yang tersedia.</t>
  </si>
  <si>
    <t>Mengambil keputusan setelah menganalisis opsi, skenario, risiko, dan konsekuensinya.</t>
  </si>
  <si>
    <t>Mengambil keputusan dengan mempertimbangkan pembelajaran sebelumnya dan dampak jangka panjangnya.</t>
  </si>
  <si>
    <t>Focus Under Pressure
(tetap fokus dalam tekanan)</t>
  </si>
  <si>
    <t>Ketika menghadapi tekanan, hambatan, tenggat waktu ketat, atau tuntutan kerja tinggi, perilaku yang paling sering saya tunjukkan adalah…</t>
  </si>
  <si>
    <t>Fokus saya menurun ketika tekanan atau hambatan muncul.</t>
  </si>
  <si>
    <t>Berusaha tetap fokus, namun mudah terganggu saat tekanan meningkat.</t>
  </si>
  <si>
    <t>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</si>
  <si>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</si>
  <si>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</si>
  <si>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</si>
  <si>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saya tunjukkan adalah…</t>
  </si>
  <si>
    <t>Bertahan pada cara lama meskipun hasilnya tidak signifikan atau tidak relevan.</t>
  </si>
  <si>
    <t>Mencoba strategi baru dengan ragu dan mudah kembali ke cara lama.</t>
  </si>
  <si>
    <t>Menyesuaikan strategi ketika ada arahan, data, atau saran dari pihak lain.</t>
  </si>
  <si>
    <t>Menyesuaikan strategi, prioritas, atau pendekatan secara mandiri demi hasil yang lebih baik.</t>
  </si>
  <si>
    <t>Merancang strategi baru yang meningkatkan hasil dan memperbaiki proses secara lebih luas.</t>
  </si>
  <si>
    <t>Resource Planning &amp; Contingency
(merencanakan sumber daya &amp; rencana cadangan)</t>
  </si>
  <si>
    <t>Ketika menyusun rencana kerja yang membutuhkan orang, waktu, biaya, atau peralatan, perilaku yang paling sering saya tunjukkan adalah…</t>
  </si>
  <si>
    <t>Menyusun rencana berdasarkan target, dan menangani kebutuhan sumber daya saat pelaksanaan berjalan.</t>
  </si>
  <si>
    <t>Memperkirakan kebutuhan sumber daya secara garis besar.</t>
  </si>
  <si>
    <t>Menghitung kebutuhan orang, waktu, dan biaya secara rinci sebelum pelaksanaan dimulai.</t>
  </si>
  <si>
    <t>Mengalokasikan sumber daya sesuai prioritas dan mengantisipasi kendala yang mungkin muncul.</t>
  </si>
  <si>
    <t>Menyiapkan rencana cadangan untuk kendala yang paling mungkin terjadi, sehingga pekerjaan tetap berjalan.</t>
  </si>
  <si>
    <t>Agile Problem-Solving Under Pressure
(memecahkan masalah di bawah tekanan)</t>
  </si>
  <si>
    <t>Ketika menghadapi rintangan, krisis, atau masalah mendesak di bawah tekanan, perilaku yang paling sering saya tunjukkan adalah…</t>
  </si>
  <si>
    <t>Memerlukan waktu untuk menentukan langkah dan menunggu arahan sebelum bertindak.</t>
  </si>
  <si>
    <t>Menerapkan solusi sederhana yang sudah saya ketahui.</t>
  </si>
  <si>
    <t>Menyusun satu hingga dua alternatif solusi dan mencoba menerapkannya.</t>
  </si>
  <si>
    <t>Mengeksplorasi beberapa solusi dan cepat mengubah arah ketika kondisi berubah.</t>
  </si>
  <si>
    <t>Mengubah situasi krisis menjadi peluang perbaikan atau inovasi.</t>
  </si>
  <si>
    <t>Drive for High Performance
(dorongan berkinerja tinggi)</t>
  </si>
  <si>
    <t>Ketika menetapkan standar kinerja dan mendorong pencapaian hasil terbaik, perilaku yang paling sering saya tunjukkan adalah…</t>
  </si>
  <si>
    <t>Bekerja sesuai ekspektasi minimum yang ditetapkan.</t>
  </si>
  <si>
    <t>Termotivasi mencapai hasil baik dengan adanya dorongan atau pengawasan.</t>
  </si>
  <si>
    <t>Memiliki motivasi yang stabil untuk mencapai hasil sesuai target.</t>
  </si>
  <si>
    <t>Mendorong diri dan tim mencapai hasil optimal dan standar tinggi secara konsisten.</t>
  </si>
  <si>
    <t>Membangun standar, sistem, dan kebiasaan kerja berkinerja tinggi yang bertahan dalam jangka panjang.</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</si>
  <si>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</si>
  <si>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</si>
  <si>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</si>
  <si>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</si>
  <si>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</si>
  <si>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</si>
  <si>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</si>
  <si>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</si>
  <si>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</si>
  <si>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</si>
  <si>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</si>
  <si>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</si>
  <si>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</si>
  <si>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</si>
  <si>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</si>
  <si>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</si>
  <si>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</si>
  <si>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</si>
  <si>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</si>
  <si>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</si>
  <si>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</si>
  <si>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</si>
  <si>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</si>
  <si>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</si>
  <si>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</si>
  <si>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</si>
  <si>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</si>
  <si>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</si>
  <si>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</si>
  <si>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</si>
  <si>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</si>
  <si>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</si>
  <si>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</si>
  <si>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</si>
  <si>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</si>
  <si>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</si>
  <si>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</si>
  <si>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</si>
  <si>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</si>
  <si>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</si>
  <si>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</si>
  <si>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Ketika strategi, rencana, atau cara kerja tidak lagi efektif, perilaku yang paling sering ditunjukkan adalah…</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</si>
  <si>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</si>
  <si>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</si>
  <si>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</si>
  <si>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</si>
  <si>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</si>
  <si>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</si>
  <si>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</si>
  <si>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</si>
  <si>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</si>
  <si>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</si>
  <si>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</si>
  <si>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</si>
  <si>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</si>
  <si>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</si>
  <si>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</si>
  <si>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</si>
  <si>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</si>
  <si>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</si>
  <si>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t>
  </si>
  <si>
    <t>Ketika menerima kritik, masukan korektif, atau pandangan yang kurang menyenangkan, perilaku yang paling sering ditunjukkan adalah…
(Fokus indikator: reaksi emosional awal saat menerima kritik.)</t>
  </si>
  <si>
    <t>Menjelaskan alasan mengapa kritik tersebut kurang tepat.</t>
  </si>
  <si>
    <t>Menerima kritik meski merasa tidak nyaman, dan belum menindaklanjutinya.</t>
  </si>
  <si>
    <t>Menerima kritik dengan terbuka dan memahami pesan utamanya.</t>
  </si>
  <si>
    <t>Meminta klarifikasi atas kritik yang diterima dan menggunakannya untuk memperbaiki diri.</t>
  </si>
  <si>
    <t>Mencari kritik secara aktif dan menjadikannya bahan pembelajaran berkelanjutan.</t>
  </si>
  <si>
    <t>Admitting Mistakes
(mengakui kesalahan)</t>
  </si>
  <si>
    <t>Ketika melakukan kesalahan atau hasil kerja tidak sesuai harapan, perilaku yang paling sering saya tunjukkan adalah…</t>
  </si>
  <si>
    <t>Menjelaskan faktor situasi atau pihak lain yang memengaruhi hasil tersebut.</t>
  </si>
  <si>
    <t>Mengakui kesalahan yang berdampak kecil.</t>
  </si>
  <si>
    <t>Mengakui kesalahan dan menerima konsekuensinya pada sebagian besar situasi.</t>
  </si>
  <si>
    <t>Mengakui kesalahan, mengambil tanggung jawab, dan menunjukkan perbaikan.</t>
  </si>
  <si>
    <t>Membicarakan kesalahan secara terbuka sebagai pembelajaran bagi diri sendiri dan orang lain.</t>
  </si>
  <si>
    <t>Seeking Feedback on Performance
(mencari feedback)</t>
  </si>
  <si>
    <t>Ketika ingin memahami kualitas kinerja atau perilaku kerja saya, perilaku yang paling sering saya tunjukkan adalah…
(Fokus indikator: inisiatif meminta, bukan cara menerima)</t>
  </si>
  <si>
    <t>Menilai kinerja saya berdasarkan penilaian saya sendiri.</t>
  </si>
  <si>
    <t>Meminta pendapat orang lain pada situasi tertentu atau ketika diminta.</t>
  </si>
  <si>
    <t>Meminta masukan cukup sering untuk meningkatkan kinerja.</t>
  </si>
  <si>
    <t>Meminta feedback secara rutin dan spesifik dari atasan, rekan kerja, maupun pihak terkait.</t>
  </si>
  <si>
    <t>Mencari feedback dari berbagai sumber secara proaktif untuk mempercepat perkembangan diri.</t>
  </si>
  <si>
    <t>Understanding Strengths &amp; Weaknesses
(memahami kekuatan &amp; kelemahan)</t>
  </si>
  <si>
    <t>Dalam memahami kekuatan dan area pengembangan diri, perilaku yang paling sering saya tunjukkan adalah…</t>
  </si>
  <si>
    <t>Belum melakukan evaluasi terhadap kekuatan dan kelemahan diri.</t>
  </si>
  <si>
    <t>Memikirkan kemampuan diri ketika diminta dalam konteks formal.</t>
  </si>
  <si>
    <t>Merefleksikan kekuatan dan kelemahan setelah pengalaman penting.</t>
  </si>
  <si>
    <t>Mengevaluasi perkembangan kemampuan diri secara rutin dan menyesuaikan tindakan.</t>
  </si>
  <si>
    <t>Menjadikan pemahaman atas kekuatan dan kelemahan sebagai dasar keputusan, pemilihan peran, dan pengembangan diri.</t>
  </si>
  <si>
    <t>Reflective Practices
(melakukan refleksi diri)</t>
  </si>
  <si>
    <t>Setelah mengalami pengalaman kerja, keberhasilan, kegagalan, atau situasi penting, perilaku yang paling sering saya tunjukkan adalah…</t>
  </si>
  <si>
    <t>Melanjutkan aktivitas berikutnya tanpa meninjau pengalaman sebelumnya.</t>
  </si>
  <si>
    <t>Melakukan evaluasi diri sesekali tanpa tindak lanjut tertentu.</t>
  </si>
  <si>
    <t>Melakukan refleksi setelah pengalaman penting dan mengambil pelajaran darinya.</t>
  </si>
  <si>
    <t>Mengevaluasi pengalaman secara konsisten dan menggunakannya untuk meningkatkan kinerja.</t>
  </si>
  <si>
    <t>Mengubah pengalaman menjadi pembelajaran yang mempercepat perkembangan diri secara nyata.</t>
  </si>
  <si>
    <t>Proactive Self-Development for Adaptation
(aktif mengembangkan diri)</t>
  </si>
  <si>
    <t>Ketika menghadapi tuntutan baru, perubahan peran, atau kebutuhan kompetensi baru, perilaku yang paling sering saya tunjukkan adalah…</t>
  </si>
  <si>
    <t>Memandang pengembangan diri sebagai tanggung jawab perusahaan atau atasan.</t>
  </si>
  <si>
    <t>Menyusun rencana pengembangan diri ketika diminta.</t>
  </si>
  <si>
    <t>Mencari sendiri pengetahuan yang relevan dengan pekerjaan.</t>
  </si>
  <si>
    <t>Menyusun rencana pengembangan, mencari keterampilan baru, dan menerapkannya dalam pekerjaan.</t>
  </si>
  <si>
    <t>Mengembangkan pengetahuan, keterampilan, dan kematangan pribadi secara konsisten untuk tuntutan yang lebih kompleks.</t>
  </si>
  <si>
    <t>Objective Self-Assessment
(menilai diri secara objektif)</t>
  </si>
  <si>
    <t>Ketika menilai kemampuan, kinerja, atau kesiapan diri, perilaku yang paling sering saya tunjukkan adalah…</t>
  </si>
  <si>
    <t>Menilai diri berdasarkan persepsi pribadi saya.</t>
  </si>
  <si>
    <t>Berusaha menilai secara objektif, meski masih dipengaruhi asumsi pribadi.</t>
  </si>
  <si>
    <t>Menilai diri dengan mempertimbangkan beberapa fakta atau masukan</t>
  </si>
  <si>
    <t>Menilai diri secara realistis berdasarkan bukti hasil kerja dan feedback.</t>
  </si>
  <si>
    <t>Mengevaluasi kemampuan diri berdasarkan data, feedback, dan standar peran yang lebih tinggi.</t>
  </si>
  <si>
    <t>Awareness of Impact on Others
(memahami dampak perilaku)</t>
  </si>
  <si>
    <t>Ketika perilaku, keputusan, atau cara komunikasi saya memengaruhi orang lain, perilaku yang paling sering saya tunjukkan adalah…</t>
  </si>
  <si>
    <t>Berfokus pada penyelesaian tugas tanpa memperhatikan dampaknya terhadap orang lain.</t>
  </si>
  <si>
    <t>Menyadari dampak perilaku saya, namun belum konsisten menyesuaikannya.</t>
  </si>
  <si>
    <t>Menyadari bahwa perilaku dan cara komunikasi saya memengaruhi orang lain.</t>
  </si>
  <si>
    <t>Memahami dampak perilaku saya dan menyesuaikan cara bertindak atau berkomunikasi.</t>
  </si>
  <si>
    <t>Mengelola dampak diri secara peka sehingga tercipta lingkungan kerja yang lebih sehat.</t>
  </si>
  <si>
    <t>Managing Emotions Effectively
(mengelola emosi)</t>
  </si>
  <si>
    <t>Ketika berada dalam situasi yang memicu emosi, tekanan, konflik, atau ketidaknyamanan, perilaku yang paling sering saya tunjukkan adalah…</t>
  </si>
  <si>
    <t>Merespons secara spontan mengikuti emosi yang muncul.</t>
  </si>
  <si>
    <t>Menyadari emosi saya setelah reaksi tersebut terjadi.</t>
  </si>
  <si>
    <t>Mengenali emosi yang muncul dan mulai memilih respons yang konstruktif.</t>
  </si>
  <si>
    <t>Mengelola emosi dengan baik dan menjaga respons tetap profesional.</t>
  </si>
  <si>
    <t>Menjaga kendali emosi, menenangkan diri dan orang lain, serta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</si>
  <si>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</si>
  <si>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</si>
  <si>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Memandang refleksi mendalam atas pola diri sebagai hal yang tidak diperlukan.</t>
  </si>
  <si>
    <t>Melakukan refleksi terbatas dengan fokus pada faktor di luar diri saya.</t>
  </si>
  <si>
    <t>Merefleksikan faktor eksternal, internal, dan respons emosional pada situasi tertentu.</t>
  </si>
  <si>
    <t>Menganalisis pola berulang dalam tindakan, keputusan, dan respons diri saya.</t>
  </si>
  <si>
    <t>Mengenali pola dan bias diri secara mendalam, memperkirakan reaksi pribadi, serta mengelolanya secara matang.</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</si>
  <si>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</si>
  <si>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</si>
  <si>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</si>
  <si>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</si>
  <si>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</si>
  <si>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</si>
  <si>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</si>
  <si>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</si>
  <si>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</si>
  <si>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</si>
  <si>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</si>
  <si>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</si>
  <si>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</si>
  <si>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</si>
  <si>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</si>
  <si>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</si>
  <si>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</si>
  <si>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</si>
  <si>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</si>
  <si>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</si>
  <si>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</si>
  <si>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</si>
  <si>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</si>
  <si>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</si>
  <si>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</si>
  <si>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</si>
  <si>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</si>
  <si>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</si>
  <si>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</si>
  <si>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</si>
  <si>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</si>
  <si>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</si>
  <si>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</si>
  <si>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</si>
  <si>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</si>
  <si>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</si>
  <si>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</si>
  <si>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</si>
  <si>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</si>
  <si>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</si>
  <si>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</si>
  <si>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</si>
  <si>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</si>
  <si>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</si>
  <si>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</si>
  <si>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</si>
  <si>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</si>
  <si>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</si>
  <si>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</si>
  <si>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</si>
  <si>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</si>
  <si>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</si>
  <si>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</si>
  <si>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</si>
  <si>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</si>
  <si>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</si>
  <si>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</si>
  <si>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</si>
  <si>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</si>
  <si>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</si>
  <si>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</si>
  <si>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</si>
  <si>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</si>
  <si>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</si>
  <si>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</si>
  <si>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</si>
  <si>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</si>
  <si>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</si>
  <si>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=IF(E13&lt;0,RANK.EQ(E13,$E$13:$E$54,1)+COUNTIF($E$13:E13,E13)-1,"")</t>
  </si>
  <si>
    <t>A (Key Unik)</t>
  </si>
  <si>
    <t>Level tujuan</t>
  </si>
  <si>
    <t>Kode Metode</t>
  </si>
  <si>
    <t>Metode Text</t>
  </si>
  <si>
    <t>Jenis Aktivitas</t>
  </si>
  <si>
    <t>Tugas</t>
  </si>
  <si>
    <t>Tujuan</t>
  </si>
  <si>
    <t>Instruksi</t>
  </si>
  <si>
    <t>Output</t>
  </si>
  <si>
    <t>Waktu</t>
  </si>
  <si>
    <t>Monitoring</t>
  </si>
  <si>
    <t>Standar kelulusan</t>
  </si>
  <si>
    <t>Evaluator</t>
  </si>
  <si>
    <t>Personal Development</t>
  </si>
  <si>
    <t>Log "Saya Lihat, Saya Tunggu, Saya Bertindak"</t>
  </si>
  <si>
    <t>Mengukur jarak waktu antara menyadari sesuatu perlu dilakukan dan benar-benar melakukannya.</t>
  </si>
  <si>
    <t>Setiap kali peserta melihat sesuatu yang perlu diperbaiki, dikerjakan, atau ditindaklanjuti tanpa diperintah, catat: apa yang dilihat, kapan melihat, dan kapan mulai bertindak. Bila menunggu, catat apa yang ditunggu dan mengapa.</t>
  </si>
  <si>
    <t>Log minimal 15 kesempatan; rekap bulanan rata-rata jarak waktu antara melihat dan bertindak.</t>
  </si>
  <si>
    <t>Bulan 1–12</t>
  </si>
  <si>
    <t>Bulanan</t>
  </si>
  <si>
    <t>Minimal 15 kesempatan tercatat. Rata-rata jarak waktu antara melihat dan bertindak turun ≥20% dari Bulan 1 ke Bulan 12.</t>
  </si>
  <si>
    <t>Mentor</t>
  </si>
  <si>
    <t>Latihan "Satu Tindakan Tanpa Diminta Setiap Hari"</t>
  </si>
  <si>
    <t>Membiasakan bertindak atas inisiatif sendiri setiap hari.</t>
  </si>
  <si>
    <t>Setiap hari kerja, lakukan minimal 1 tindakan kecil yang tidak diminta siapa pun — merapikan proses kecil, memperbaiki kesalahan yang terlihat, menyelesaikan sesuatu sebelum ditanya. Catat apa yang dilakukan.</t>
  </si>
  <si>
    <t>Log minimal 100 hari kerja sepanjang program; termasuk review mingguan oleh mentor.</t>
  </si>
  <si>
    <t>Minimal 90% hari kerja terisi dengan minimal 1 tindakan mandiri yang tercatat. Milestone Bulan 6: minimal 85% hari kerja pada periode itu terisi.</t>
  </si>
  <si>
    <t>Refleksi "Mengapa Saya Menunggu"</t>
  </si>
  <si>
    <t>Menemukan pola yang membuat peserta menunggu instruksi padahal sudah melihat kebutuhan tindakan.</t>
  </si>
  <si>
    <t>Setiap bulan, pilih 1 kesempatan menunggu yang peserta alami sendiri. Telusuri: apa yang membuat menunggu — takut salah, tidak yakin berwenang, atau kebiasaan menunggu perintah.</t>
  </si>
  <si>
    <t>12 refleksi bulanan; daftar pola menunggu yang berulang.</t>
  </si>
  <si>
    <t>Minimal 10 dari 12 refleksi selesai. Minimal 2 pola menunggu berulang teridentifikasi. Frekuensi pola tersebut turun ≥50% pada triwulan berikutnya berdasarkan catatan refleksi.</t>
  </si>
  <si>
    <t>Education-Based Development</t>
  </si>
  <si>
    <t>Workshop "Dari Melihat ke Bertindak"</t>
  </si>
  <si>
    <t>Menguasai cara mengenali kewenangan bertindak dan mengambilnya tanpa menunggu.</t>
  </si>
  <si>
    <t>Ikuti workshop yang membahas: membedakan tindakan yang butuh persetujuan dari yang tidak; mengukur risiko bertindak sendiri pada skala kecil; mengatasi rasa takut salah yang membuat seseorang menunggu.</t>
  </si>
  <si>
    <t>Sertifikat; daftar 5 jenis tindakan di pekerjaan sendiri yang sebenarnya tidak butuh persetujuan.</t>
  </si>
  <si>
    <t>Daftar disetujui atasan sebagai benar tidak butuh persetujuan. Minimal 3 dari 5 jenis tindakan mulai dilakukan tanpa menunggu; peserta melampirkan bukti 3 tindakan tersebut dalam aktivitas ini.</t>
  </si>
  <si>
    <t>Fasilitator dan Atasan</t>
  </si>
  <si>
    <t>E-Learning "Goal Setting" dan Kaitannya dengan Tindakan</t>
  </si>
  <si>
    <t>Memahami target kerja sebagai dasar mengenali kapan harus bertindak.</t>
  </si>
  <si>
    <t>Baca modul digital dan kerjakan kuis. Untuk setiap target yang dipelajari, tuliskan tindakan apa yang dapat langsung dimulai tanpa menunggu arahan lebih lanjut.</t>
  </si>
  <si>
    <t>Sertifikat kuis; daftar tindakan yang dapat dimulai langsung dari 5 target kerja.</t>
  </si>
  <si>
    <t>Skor kuis minimal 70%. Minimal 3 dari 5 tindakan yang diidentifikasi benar-benar dimulai tanpa menunggu; peserta melampirkan bukti pelaksanaan 3 tindakan tersebut.</t>
  </si>
  <si>
    <t>Workshop "Menyusun Rencana Kerja sebagai Acuan, Bukan Formalitas"</t>
  </si>
  <si>
    <t>Menjadikan rencana kerja benar-benar dipakai, bukan sekadar disusun; memenuhi indikator kamus Level 1: rencana kerja menjadi acuan utama.</t>
  </si>
  <si>
    <t>Ikuti workshop menyusun template rencana kerja. Setelah itu, gunakan rencana itu sebagai acuan utama selama 4 minggu dan catat setiap kali rencana benar-benar diikuti versus diabaikan.</t>
  </si>
  <si>
    <t>1 template rencana kerja; log 4 minggu pemakaian.</t>
  </si>
  <si>
    <t>Rencana dipakai sebagai acuan pada minimal 75% hari kerja selama 4 minggu, dikonfirmasi atasan. Indikator kamus Level 1 terpenuhi.</t>
  </si>
  <si>
    <t>Atasan</t>
  </si>
  <si>
    <t xml:space="preserve">Relation-Based Development </t>
  </si>
  <si>
    <t>Observasi Rekan atau Leader yang Cepat Bertindak</t>
  </si>
  <si>
    <t>Mempelajari bagaimana orang lain memperkecil jarak antara melihat dan bertindak.</t>
  </si>
  <si>
    <t>Amati 1 rekan atau leader yang dikenal cepat bertindak. Catat: bagaimana mereka memutuskan sesuatu bisa langsung dikerjakan tanpa menunggu izin, dan seberapa cepat jarak antara melihat dan bertindak mereka.</t>
  </si>
  <si>
    <t>Lembar observasi dengan minimal 3 contoh nyata.</t>
  </si>
  <si>
    <t>Minimal 3 contoh teridentifikasi. Peserta melampirkan 2 contoh penerapan pola pada pekerjaan sendiri dalam aktivitas ini.</t>
  </si>
  <si>
    <t>Rekan yang diobservasi</t>
  </si>
  <si>
    <t>Coffee Chat dengan Atasan tentang Batas Kewenangan Bertindak</t>
  </si>
  <si>
    <t>Memperjelas area kerja mana yang boleh dijalankan sendiri tanpa menunggu.</t>
  </si>
  <si>
    <t>Ngobrol santai dengan atasan. Tanyakan: hal-hal apa di pekerjaan peserta yang boleh langsung dikerjakan tanpa menunggu persetujuan, dan yang mana yang tetap butuh persetujuan.</t>
  </si>
  <si>
    <t>Catatan hasil diskusi; daftar area yang boleh diinisiasi sendiri.</t>
  </si>
  <si>
    <t>Daftar area yang boleh diinisiasi sendiri disepakati, minimal 3 area. Peserta melampirkan 1 contoh tindakan per area sebagai bukti penerapan.</t>
  </si>
  <si>
    <t>Umpan Balik 360° "Kecepatan Bertindak"</t>
  </si>
  <si>
    <t>Mengukur persepsi rekan atas kecenderungan bertindak tanpa diminta.</t>
  </si>
  <si>
    <t>Kuesioner pre (Bulan 1) dan post (Bulan 11) kepada minimal 5 responden. Butir RA2: "Ia bertindak ketika melihat sesuatu perlu dikerjakan, tanpa menunggu diminta"; "Ia tidak menunggu terlalu lama sebelum memulai"; "Ia mengambil inisiatif dalam area kerjanya sendiri". Gunakan skala 1–5.</t>
  </si>
  <si>
    <t>2 laporan (pre dan post).</t>
  </si>
  <si>
    <t>Kenaikan rata-rata ≥1 poin. Butir "bertindak tanpa menunggu diminta" wajib naik ≥1 poin.</t>
  </si>
  <si>
    <t>HC</t>
  </si>
  <si>
    <t>Experience-Based Development</t>
  </si>
  <si>
    <t>Menjalankan 12 Tindakan Inisiatif Tanpa Diminta pada Pekerjaan Nyata</t>
  </si>
  <si>
    <t>Membuktikan pola bertindak lebih dulu secara konsisten sepanjang program.</t>
  </si>
  <si>
    <t>Sepanjang program, identifikasi dan jalankan 12 tindakan nyata yang lahir dari inisiatif sendiri — bukan dari penugasan — pada pekerjaan sehari-hari. Untuk masing-masing, catat apa yang mendorong peserta bertindak dan hasilnya.</t>
  </si>
  <si>
    <t>12 dokumentasi tindakan inisiatif beserta hasilnya; termasuk review bulan ke-6 oleh atasan.</t>
  </si>
  <si>
    <t>12 tindakan dijalankan, seluruhnya atas inisiatif sendiri. Minimal 9 dikonfirmasi atasan sebagai benar-benar tidak diminta. Milestone Bulan 6: 6 tindakan.</t>
  </si>
  <si>
    <t>Mengantisipasi 3 Masalah Sebelum Berdampak</t>
  </si>
  <si>
    <t>Menguji kemampuan bertindak sebelum masalah benar-benar terjadi.</t>
  </si>
  <si>
    <t>Identifikasi 3 potensi masalah di pekerjaan peserta yang belum terjadi tetapi berpotensi terjadi. Ambil tindakan pencegahan sebelum masalah itu berdampak, dan catat apa yang terjadi bila peserta tidak bertindak.</t>
  </si>
  <si>
    <t>3 dokumentasi antisipasi masalah beserta tindakan pencegahan dan hasilnya.</t>
  </si>
  <si>
    <t>3 masalah diantisipasi. Minimal 2 dikonfirmasi atasan bahwa tindakan pencegahan itu memang mencegah dampak yang lebih besar.</t>
  </si>
  <si>
    <t>Mengajak 1 Rekan Ikut Bertindak Tanpa Menunggu Instruksi</t>
  </si>
  <si>
    <t>Menguji apakah kebiasaan bertindak cepat menular kepada orang lain.</t>
  </si>
  <si>
    <t>Pilih 1 rekan yang cenderung menunggu instruksi. Ajak dan dampingi ia mengambil 1 tindakan inisiatif tanpa menunggu perintah. Catat prosesnya dan hasilnya.</t>
  </si>
  <si>
    <t>1 catatan pendampingan; hasil tindakan rekan; refleksi rekan tentang pengalaman itu.</t>
  </si>
  <si>
    <t>Rekan menjalankan tindakan inisiatif dan mengonfirmasi merasa lebih berani bertindak setelah didampingi, dengan skor ≥4 (skala 1–5).</t>
  </si>
  <si>
    <t>Rekan yang didampingi</t>
  </si>
  <si>
    <t>Log "Target yang Menghadapi Hambatan Berulang"</t>
  </si>
  <si>
    <t>Mengukur ketekunan pada target yang sulit dan berlangsung lama.</t>
  </si>
  <si>
    <t>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t>
  </si>
  <si>
    <t>Log minimal 15 hambatan pada target yang sama; rentang waktu minimal 3 bulan.</t>
  </si>
  <si>
    <t>Minimal 15 hambatan tercatat pada target yang SAMA, berlangsung minimal 3 bulan. Target tersebut tetap dikejar sampai akhir periode logging, tidak ditinggalkan di tengah jalan. Milestone Bulan 6: 8 hambatan tercatat, target masih dikejar.</t>
  </si>
  <si>
    <t>Jurnal Energi Mingguan pada Target yang Sulit</t>
  </si>
  <si>
    <t>Memantau naik-turunnya energi dan komitmen selama mengejar target sulit.</t>
  </si>
  <si>
    <t>Pilih 1 target sulit yang sedang dikejar. Setiap minggu, catat tingkat energi dan komitmen pada skala 1–5, beserta apa yang membuatnya naik atau turun.</t>
  </si>
  <si>
    <t>Jurnal mingguan minimal 20 minggu.</t>
  </si>
  <si>
    <t>Minimal 20 entri mingguan. Meski energi tercatat turun pada sebagian minggu, target tetap dikejar tanpa terputus lebih dari 2 minggu berturut-turut.</t>
  </si>
  <si>
    <t>Refleksi "Target yang Pernah Saya Tinggalkan"</t>
  </si>
  <si>
    <t>Menemukan pola yang membuat peserta berhenti mengejar target sebelum tuntas.</t>
  </si>
  <si>
    <t>Setiap 3 bulan, ambil 1 target masa lalu yang ditinggalkan sebelum tercapai. Telusuri: pada titik mana berhenti, apa yang membuat berhenti, dan apakah hambatan itu sebenarnya dapat dilewati.</t>
  </si>
  <si>
    <t>4 laporan refleksi.</t>
  </si>
  <si>
    <t>4 laporan selesai. Minimal 2 pola yang membuat peserta menyerah teridentifikasi dan tidak berulang pada target yang sedang dikejar dalam aktivitas ini.</t>
  </si>
  <si>
    <t>Workshop "Bertahan Melewati Hambatan Berulang"</t>
  </si>
  <si>
    <t>Menguasai teknik menjaga komitmen ketika hambatan datang berulang kali.</t>
  </si>
  <si>
    <t>Ikuti workshop tentang: mengenali tanda mulai kehilangan arah, memisahkan kegagalan taktik dari kegagalan tujuan, dan menjaga energi tanpa dukungan eksternal terus-menerus.</t>
  </si>
  <si>
    <t>Sertifikat; 1 rencana bertahan untuk target yang sedang menghadapi hambatan berulang.</t>
  </si>
  <si>
    <t>Rencana disetujui atasan dan dipakai pada target yang dipilih peserta dalam aktivitas ini minimal 2 bulan.</t>
  </si>
  <si>
    <t>Studi Kasus Orang yang Bertahan Melewati Kegagalan Berulang</t>
  </si>
  <si>
    <t>Belajar dari pola nyata orang yang tidak menyerah pada hambatan berulang.</t>
  </si>
  <si>
    <t>Pilih 1 tokoh (internal atau publik) yang dikenal bertahan melewati kegagalan berulang mencapai targetnya. Pelajari: berapa lama ia bertahan, apa yang membuatnya tidak menyerah, dan kapan ia mengubah taktik tanpa mengubah tujuan.</t>
  </si>
  <si>
    <t>Catatan 3 pola ketekunan yang dipelajari.</t>
  </si>
  <si>
    <t>Minimal 3 pola ketekunan diidentifikasi dan minimal 1 diterapkan pada target sendiri.</t>
  </si>
  <si>
    <t>Micro-learning "Membedakan Ketekunan dari Keras Kepala"</t>
  </si>
  <si>
    <t>Mengenali kapan bertahan adalah ketekunan dan kapan menjadi keras kepala yang merugikan.</t>
  </si>
  <si>
    <t>Selesaikan modul yang membahas: tanda ketekunan yang sehat (mengubah taktik, tetap terbuka pada masukan) versus keras kepala (menolak bukti, mengabaikan biaya yang terus bertambah).</t>
  </si>
  <si>
    <t>Sertifikat; analisis diri: apakah pola bertahan pada target yang dipilih peserta dalam aktivitas ini lebih dekat ketekunan atau keras kepala.</t>
  </si>
  <si>
    <t>Analisis diri dinilai mentor sebagai jujur dan berdasar bukti dari log sendiri, bukan pembenaran diri.</t>
  </si>
  <si>
    <t>Diskusi dengan Rekan yang Dikenal Tidak Mudah Menyerah</t>
  </si>
  <si>
    <t>Mempelajari cara rekan menjaga komitmen di tengah hambatan berulang.</t>
  </si>
  <si>
    <t>Diskusi dengan 1 rekan yang dikenal tidak mudah menyerah pada target sulit. Tanyakan: bagaimana ia menjaga energinya, apa yang ia lakukan saat hambatan datang berulang, dan kapan ia tahu harus mengubah cara tanpa mengubah tujuan.</t>
  </si>
  <si>
    <t>Catatan diskusi; minimal 3 praktik yang akan diadopsi.</t>
  </si>
  <si>
    <t>Minimal 3 praktik diidentifikasi dan minimal 2 diterapkan pada target yang dipilih peserta dalam aktivitas ini.</t>
  </si>
  <si>
    <t>Rekan kerja</t>
  </si>
  <si>
    <t>Coaching Berkala dengan Atasan saat Menghadapi Hambatan Berulang</t>
  </si>
  <si>
    <t>Mendapatkan dukungan yang menjaga komitmen tanpa menggantikan kemandirian.</t>
  </si>
  <si>
    <t>Lakukan sesi coaching dengan atasan setiap kali menghadapi hambatan pada target sulit yang dipilih peserta, minimal 4 kali sepanjang program. Diskusikan apakah akan melanjutkan, mengubah taktik, atau butuh dukungan tambahan.</t>
  </si>
  <si>
    <t>4 catatan coaching.</t>
  </si>
  <si>
    <t>4 sesi terlaksana. Target tetap dikejar setelah setiap sesi, dan pada sesi-sesi terakhir peserta menunjukkan lebih sedikit kebutuhan didorong dibanding sesi awal.</t>
  </si>
  <si>
    <t>Umpan Balik 360° "Daya Tahan Menghadapi Hambatan"</t>
  </si>
  <si>
    <t>Mengukur persepsi rekan atas ketekunan peserta.</t>
  </si>
  <si>
    <t>Kuesioner pre (Bulan 1) dan post (Bulan 11) kepada minimal 6 responden. Butir RA4 (skala 1–5): "Ia tidak mudah menyerah ketika menghadapi hambatan berulang"; "Energinya tetap terjaga meski targetnya sulit dalam waktu lama"; "Ia mempertahankan usaha tanpa harus terus didorong".</t>
  </si>
  <si>
    <t>Kenaikan rata-rata ≥1 poin. Butir "mempertahankan usaha tanpa harus terus didorong" wajib naik ≥1 poin — pembeda kemandirian.</t>
  </si>
  <si>
    <t>Menuntaskan 1 Target Sulit yang Menghadapi Minimal 5 Hambatan Berulang</t>
  </si>
  <si>
    <t>Membuktikan ketekunan sampai target tercapai, meski hambatan datang berulang.</t>
  </si>
  <si>
    <t>Ambil 1 target kerja yang secara realistis akan menghadapi hambatan berulang. Kejar sampai tercapai, melewati minimal 5 hambatan berulang, dengan rentang waktu minimal 4 bulan.</t>
  </si>
  <si>
    <t>1 dokumentasi lengkap: target, 5+ hambatan yang dilewati, cara mengatasi masing-masing, dan hasil akhir. Termasuk review Bulan ke-6 dan ke-12 oleh atasan.</t>
  </si>
  <si>
    <t>Target tercapai setelah melewati minimal 5 hambatan berulang dalam rentang minimal 4 bulan. Atasan mengonfirmasi peserta tidak berhenti di tengah jalan. Milestone Bulan 6: minimal 3 hambatan dilewati, target masih dikejar.</t>
  </si>
  <si>
    <t>Melanjutkan 1 Target Setelah Mengalami Kegagalan yang Signifikan</t>
  </si>
  <si>
    <t>Menguji ketekunan setelah kegagalan yang cukup besar untuk membuat orang lain berhenti.</t>
  </si>
  <si>
    <t>Pilih 1 target yang mengalami kegagalan cukup signifikan — bukan hambatan kecil. Putuskan untuk melanjutkan (bukan mengganti target), susun cara baru, dan jalankan sampai selesai.</t>
  </si>
  <si>
    <t>1 dokumentasi: kegagalan yang terjadi, keputusan melanjutkan beserta alasannya, cara baru, hasil akhir.</t>
  </si>
  <si>
    <t>Target dilanjutkan setelah kegagalan signifikan dan akhirnya tercapai atau mendekati tercapai. Atasan menilai ≥4 pada kemandirian keputusan untuk melanjutkan (skala 1–5).</t>
  </si>
  <si>
    <t>Menularkan Ketekunan kepada 1 Rekan yang Hampir Menyerah</t>
  </si>
  <si>
    <t>Menguji apakah ketekunan peserta dapat menular kepada orang lain.</t>
  </si>
  <si>
    <t>Identifikasi 1 rekan yang hampir menyerah pada target sulitnya. Dampingi ia melanjutkan — bukan mengerjakan untuknya — dan catat prosesnya.</t>
  </si>
  <si>
    <t>1 catatan pendampingan; hasil target rekan; refleksi rekan.</t>
  </si>
  <si>
    <t>Rekan melanjutkan targetnya dan mengonfirmasi pendampingan itu membantu ia tidak menyerah, dengan skor ≥4 (skala 1–5).</t>
  </si>
  <si>
    <t>Log "Hasil Target → Pelajaran → Tindakan → Bukti"</t>
  </si>
  <si>
    <t>Menstrukturkan refleksi atas pencapaian target agar tidak berhenti sebagai kesadaran.</t>
  </si>
  <si>
    <t>Setiap kali target tercapai, meleset, atau gagal, catat empat baris: HASIL apa adanya terhadap target, PELAJARAN yang ditarik, TINDAKAN perbaikan yang akan dijalankan pada target berikutnya, dan BUKTI tindakan itu benar-benar dijalankan.</t>
  </si>
  <si>
    <t>Log minimal 24 siklus; rekap triwulanan proporsi siklus yang baris keempatnya terisi. Termasuk rekap triwulanan.</t>
  </si>
  <si>
    <t>Minimal 24 siklus dimulai. Proporsi yang baris keempatnya terisi naik menjadi ≥70% pada triwulan 4. Milestone Bulan 6: 12 siklus dimulai.</t>
  </si>
  <si>
    <t>Jurnal Perubahan Cara Kerja untuk Mencapai Target</t>
  </si>
  <si>
    <t>Melatih mengubah cara kerja berdasarkan pelajaran dari target yang belum tercapai.</t>
  </si>
  <si>
    <t>Setiap minggu, tulis 1 perubahan cara kerja yang peserta lakukan agar lebih efektif mencapai target, berdasarkan pelajaran dari minggu sebelumnya.</t>
  </si>
  <si>
    <t>Minimal 20 minggu terisi dengan perubahan nyata, bukan pengulangan cara yang sama.</t>
  </si>
  <si>
    <t>Refleksi "Pola Target yang Berulang Gagal"</t>
  </si>
  <si>
    <t>Menemukan penyebab yang berulang di balik target yang berkali-kali tidak tercapai.</t>
  </si>
  <si>
    <t>Setiap 3 bulan, tinjau target yang meleset pada periode itu. Kelompokkan berdasarkan penyebabnya. Bila ada penyebab berulang, tetapkan 1 perubahan cara kerja untuk menanganinya.</t>
  </si>
  <si>
    <t>4 laporan pola triwulanan; 4 perubahan cara kerja.</t>
  </si>
  <si>
    <t>4 laporan selesai. Minimal 3 perubahan diterapkan, dan penyebab yang ditangani terbukti menurun ≥50% pada triwulan berikutnya.</t>
  </si>
  <si>
    <t>Workshop "Perbaikan Proses Kerja untuk Mencapai Target"</t>
  </si>
  <si>
    <t>Menguasai teknik menemukan penyebab sebenarnya dari target yang tidak tercapai.</t>
  </si>
  <si>
    <t>Ikuti workshop tentang identifikasi bottleneck dalam pencapaian target dan penyusunan perbaikan yang spesifik.</t>
  </si>
  <si>
    <t>1 usulan perbaikan spesifik untuk pekerjaan sendiri.</t>
  </si>
  <si>
    <t>Usulan dinilai spesifik dan aplikatif oleh fasilitator, dan diterapkan pada target berikutnya.</t>
  </si>
  <si>
    <t>Fasilitator</t>
  </si>
  <si>
    <t>Kursus Online "Memimpin Refleksi Kolektif Tanpa Mencari Kambing Hitam"</t>
  </si>
  <si>
    <t>Menguasai cara memimpin pembahasan target tim yang tidak tercapai secara terbuka.</t>
  </si>
  <si>
    <t>Selesaikan kursus tentang memisahkan pembahasan target yang meleset dari penghakiman pribadi, membuka ruang bagi anggota tim mengakui kegagalan tanpa takut disalahkan.</t>
  </si>
  <si>
    <t>1 rancangan sesi refleksi tim.</t>
  </si>
  <si>
    <t>Rancangan dijalankan pada minimal 1 sesi nyata, dan tim menilai suasananya tidak menghakimi, skor ≥4 (skala 1–5).</t>
  </si>
  <si>
    <t>E-Learning "Belajar dari Kegagalan Mencapai Target"</t>
  </si>
  <si>
    <t>Mengenali tanda refleksi yang tidak akan berujung tindakan.</t>
  </si>
  <si>
    <t>Baca modul dan kerjakan kuis tentang after action review, dengan fokus pada target yang tidak tercapai.</t>
  </si>
  <si>
    <t>Sertifikat kuis.</t>
  </si>
  <si>
    <t>Skor kuis minimal 75%.</t>
  </si>
  <si>
    <t>Sesi After Action Review Bersama Atasan tentang Target yang Tidak Tercapai</t>
  </si>
  <si>
    <t>Mendapatkan pandangan luar atas pelajaran dari target yang meleset.</t>
  </si>
  <si>
    <t>Bawa 1 target yang tidak tercapai. Diskusikan dengan atasan: apa penyebabnya, apa pelajarannya, dan susun tindakan perbaikan.</t>
  </si>
  <si>
    <t>4 catatan diskusi sepanjang program; action plan yang disetujui.</t>
  </si>
  <si>
    <t>4 sesi terlaksana, masing-masing menghasilkan minimal 2 tindakan yang disetujui dan dijalankan.</t>
  </si>
  <si>
    <t>Sharing Session dengan Rekan Setingkat tentang Perubahan Cara Kerja yang Berhasil</t>
  </si>
  <si>
    <t>Belajar dari perubahan cara kerja yang berhasil dilakukan rekan lain.</t>
  </si>
  <si>
    <t>Ajak diskusi dengan rekan yang sudah di posisi target. Tanyakan: perubahan cara kerja apa yang paling berdampak pada pencapaian target mereka.</t>
  </si>
  <si>
    <t>Catatan 3 perubahan cara kerja yang berhasil.</t>
  </si>
  <si>
    <t>Minimal 3 perubahan diidentifikasi dan minimal 1 diterapkan pada target sendiri.</t>
  </si>
  <si>
    <t>Rekan setingkat</t>
  </si>
  <si>
    <t>Umpan Balik 360° "Budaya Belajar dari Target yang Meleset"</t>
  </si>
  <si>
    <t>Mengukur apakah tim merasakan pembelajaran kolektif yang terbuka atas target yang tidak tercapai.</t>
  </si>
  <si>
    <t>Kuesioner pre (Bulan 1) dan post (Bulan 11) kepada minimal 6 responden, WAJIB mencakup anggota tim. Butir RA6 (skala 1–5): "Ketika target tim tidak tercapai, kami membahasnya terbuka tanpa mencari siapa yang salah"; "Pelajaran dari target yang meleset diubah menjadi cara kerja baru".</t>
  </si>
  <si>
    <t>Kenaikan rata-rata ≥1 poin. Butir "membahas terbuka tanpa mencari siapa yang salah" wajib naik ≥1 poin.</t>
  </si>
  <si>
    <t>Memimpin 6 Siklus Refleksi Kolektif Tim atas Pencapaian Target</t>
  </si>
  <si>
    <t>Membuktikan refleksi tim atas target benar-benar berujung pada perubahan tindakan.</t>
  </si>
  <si>
    <t>Pimpin 6 sesi refleksi tim setelah periode pencapaian target selesai — baik tercapai maupun tidak. Setiap sesi wajib menghasilkan minimal 1 tindakan yang disepakati dan dijalankan.</t>
  </si>
  <si>
    <t>6 notulen sesi; 6 tindakan beserta bukti pelaksanaannya. Termasuk review Bulan ke-6 oleh atasan.</t>
  </si>
  <si>
    <t>6 sesi terlaksana. Minimal 5 tindakan dijalankan dan menghasilkan perbaikan pada pencapaian target berikutnya. Milestone Bulan 6: 3 sesi.</t>
  </si>
  <si>
    <t>Mengubah 1 Target yang Berulang Kali Gagal Menjadi Tercapai</t>
  </si>
  <si>
    <t>Membuktikan pelajaran diubah menjadi perbaikan nyata pada pencapaian target.</t>
  </si>
  <si>
    <t>Identifikasi 1 target yang berulang kali gagal tercapai di unit peserta. Bahas terbuka dalam sesi refleksi tim, temukan penyebab sebenarnya, ubah cara kerja, dan capai target itu.</t>
  </si>
  <si>
    <t>Dokumentasi target yang berulang gagal; perubahan cara kerja; bukti target tercapai.</t>
  </si>
  <si>
    <t>Target tercapai setelah perubahan cara kerja diterapkan, dan tetap tercapai pada minimal 2 periode berikutnya.</t>
  </si>
  <si>
    <t>Atasan dan tim</t>
  </si>
  <si>
    <t>Memimpin Review atas Kegagalan Signifikan Mencapai Target Unit</t>
  </si>
  <si>
    <t>Menguji kepemimpinan pembelajaran pada kegagalan target yang paling sulit dibahas terbuka.</t>
  </si>
  <si>
    <t>Pilih 1 periode di mana target unit gagal signifikan. Pimpin sesi review bersama tim: bahas apa yang terjadi, mengapa, dan apa yang harus berubah — tanpa menyalahkan individu tertentu.</t>
  </si>
  <si>
    <t>Notulen review; daftar tindak lanjut; bukti pelaksanaan.</t>
  </si>
  <si>
    <t>Review terlaksana dan tim mengonfirmasi suasananya tidak menghakimi, skor ≥4 (skala 1–5). Minimal 80% tindak lanjut dijalankan dalam 60 hari.</t>
  </si>
  <si>
    <t>Department Head</t>
  </si>
  <si>
    <t>Log "Beban Tinggi dan Kualitas Output Saya"</t>
  </si>
  <si>
    <t>Mengukur apakah kualitas kerja tetap terjaga saat beban meningkat.</t>
  </si>
  <si>
    <t>Setiap kali menghadapi periode bertekanan tinggi — tenggat mepet, beban kerja menumpuk, atau tuntutan mendesak — catat: apa pemicu tekanannya, berapa lama berlangsung, dan nilai kualitas output peserta pada periode itu dibanding periode normal.</t>
  </si>
  <si>
    <t>Log minimal 24 periode bertekanan; rekap triwulanan perbandingan kualitas output. Termasuk rekap triwulanan.</t>
  </si>
  <si>
    <t>Minimal 24 periode tercatat. Selisih kualitas output antara periode bertekanan dan periode normal turun ≥50% dari baseline triwulan 1 ke triwulan 4. Milestone Bulan 6: 12 periode.</t>
  </si>
  <si>
    <t>Latihan "Satu Fokus dalam 90 Menit"</t>
  </si>
  <si>
    <t>Melatih menjaga atensi pada satu tugas penting meski gangguan datang.</t>
  </si>
  <si>
    <t>Setiap kali menghadapi tenggat ketat, blokir 90 menit tanpa gangguan untuk 1 tugas paling kritis. Catat berapa kali tergoda beralih dan bagaimana peserta kembali fokus.</t>
  </si>
  <si>
    <t>20 sesi blok fokus; catatan gangguan dan cara mengatasinya.</t>
  </si>
  <si>
    <t>Minimal 16 dari 20 sesi terlaksana penuh 90 menit. Jumlah gangguan yang berhasil diatasi tanpa menghentikan sesi naik ≥30% dari baseline.</t>
  </si>
  <si>
    <t>Refleksi "Momen Saya Kehilangan Fokus"</t>
  </si>
  <si>
    <t>Menemukan pola yang membuat fokus hilang saat tekanan tinggi.</t>
  </si>
  <si>
    <t>Setiap 3 bulan, ambil 1 momen saat tekanan tinggi di mana peserta kehilangan fokus dan kualitas kerja menurun. Telusuri: apa pemicunya, dan apa yang akan dilakukan berbeda.</t>
  </si>
  <si>
    <t>4 laporan selesai. Minimal 2 pola kehilangan fokus teridentifikasi dan frekuensinya turun ≥50% pada triwulan berikutnya.</t>
  </si>
  <si>
    <t>Workshop "Mempertahankan Fokus dan Kualitas di Bawah Tekanan"</t>
  </si>
  <si>
    <t>Menguasai teknik menjaga atensi dan kualitas kerja saat beban tinggi.</t>
  </si>
  <si>
    <t>Ikuti workshop tentang: mengenali tanda mulai kehilangan fokus, teknik menata ulang perhatian cepat, menjaga standar kualitas meski terburu-buru, dan memisahkan yang urgent dari yang penting saat tertekan.</t>
  </si>
  <si>
    <t>Sertifikat; 1 daftar teknik pribadi untuk menjaga fokus saat tertekan.</t>
  </si>
  <si>
    <t>Daftar teknik diterapkan pada minimal 8 periode bertekanan yang dipilih peserta dalam aktivitas ini, dengan kualitas yang terjaga.</t>
  </si>
  <si>
    <t>Pelatihan Strategic Performance Management sebagai Beban Uji Fokus</t>
  </si>
  <si>
    <t>Memakai proyek perbaikan sistem sebagai arena menguji fokus di bawah tenggat.</t>
  </si>
  <si>
    <t>Ikuti pelatihan tentang continuous improvement, dengan syarat: susun proposal implementasi dalam tenggat ketat yang ditetapkan atasan, dan catat kualitas proposal dibanding proyek sejenis yang tenggatnya longgar.</t>
  </si>
  <si>
    <t>1 proposal dengan tenggat ketat; perbandingan kualitas.</t>
  </si>
  <si>
    <t>Proposal diselesaikan dalam tenggat ketat dengan kualitas yang dinilai atasan setara atau lebih baik dari proyek bertenggat longgar.</t>
  </si>
  <si>
    <t>Workshop Data-Driven Decision Making sebagai Beban Uji Fokus</t>
  </si>
  <si>
    <t>Memakai analisis data sebagai arena menguji fokus di bawah beban tinggi.</t>
  </si>
  <si>
    <t>Ikuti workshop analisis data operasional, dengan syarat: kerjakan analisis nyata sambil menghadapi beban kerja rutin yang tetap berjalan, tanpa mengurangi kualitas keduanya.</t>
  </si>
  <si>
    <t>1 laporan analisis; catatan beban kerja rutin yang tetap terjaga selama pengerjaan.</t>
  </si>
  <si>
    <t>Laporan analisis dan pekerjaan rutin keduanya dinilai atasan tidak menurun kualitasnya selama periode pengerjaan.</t>
  </si>
  <si>
    <t>"Pressure Clinic" — Peer Unit Head + Mentor Department Head</t>
  </si>
  <si>
    <t>Menguji apakah kualitas kerja benar-benar terjaga atau hanya terlihat baik dari luar.</t>
  </si>
  <si>
    <t>Bentuk forum 3–4 peer setingkat ditambah 1 mentor berjenjang Department Head. Setiap bulan, satu peserta membawa 1 periode bertekanan tinggi yang baru dilewati. Peserta lain menantang: apakah kualitas benar-benar terjaga, atau tampak baik tetapi sebenarnya menurun.</t>
  </si>
  <si>
    <t>8 sesi (minimal 2 sebagai pembawa kasus).</t>
  </si>
  <si>
    <t>Minimal 6 dari 8 sesi terlaksana. Milestone Bulan 6: 4 sesi.</t>
  </si>
  <si>
    <t>Shadowing Atasan saat Menghadapi Tenggat Sangat Ketat</t>
  </si>
  <si>
    <t>Mempelajari cara senior menjaga fokus dan kualitas saat tenggat sangat ketat.</t>
  </si>
  <si>
    <t>Minta izin mengamati 3 kesempatan di mana atasan menghadapi tenggat sangat ketat. Catat: bagaimana ia menata ulang prioritas, apa yang ia lepas sementara, dan bagaimana ia menjaga kualitas hasil.</t>
  </si>
  <si>
    <t>3 laporan observasi; daftar 4 pola yang akan diadopsi.</t>
  </si>
  <si>
    <t>Minimal 3 pola diterapkan dan tercatat dalam aktivitas ini. Divalidasi atasan ≥4 (skala 1–5).</t>
  </si>
  <si>
    <t>Umpan Balik 360° "Fokus dan Kualitas di Bawah Tekanan"</t>
  </si>
  <si>
    <t>Mengukur persepsi rekan atas stabilitas kerja peserta saat tertekan.</t>
  </si>
  <si>
    <t>Kuesioner pre (Bulan 1) dan post (Bulan 11) kepada minimal 8 responden. Butir RA8 (skala 1–5): "Kualitas kerjanya tidak menurun meski sedang tertekan"; "Ia tetap fokus meski banyak gangguan"; "Ia menenangkan situasi, bukan menambah kepanikan, saat tenggat mendesak".</t>
  </si>
  <si>
    <t>Kenaikan rata-rata ≥1 poin. Butir "kualitas kerjanya tidak menurun meski sedang tertekan" wajib naik ≥1 poin.</t>
  </si>
  <si>
    <t>Menjaga Kualitas pada 6 Periode Bertekanan Tinggi</t>
  </si>
  <si>
    <t>Membuktikan stabilitas kualitas dan produktivitas pada tekanan nyata yang berulang.</t>
  </si>
  <si>
    <t>Pada 6 periode nyata bertekanan tinggi sepanjang program — tenggat ketat, beban menumpuk, tuntutan mendesak — jaga kualitas dan produktivitas kerja. Bandingkan hasilnya dengan periode normal.</t>
  </si>
  <si>
    <t>6 dokumentasi periode dengan data kualitas dan produktivitas dibanding periode normal. Termasuk review Bulan ke-6 oleh atasan.</t>
  </si>
  <si>
    <t>Pada minimal 5 dari 6 periode, kualitas output tidak menurun dibanding periode normal, dibuktikan dengan data. Milestone Bulan 6: 3 periode.</t>
  </si>
  <si>
    <t>Memodifikasi 1 Sistem Kerja dalam Tenggat yang Sangat Ketat</t>
  </si>
  <si>
    <t>Menguji fokus dan kualitas pada tugas perbaikan sistem yang bertenggat ketat.</t>
  </si>
  <si>
    <t>Identifikasi kekurangan 1 sistem atau metode kerja yang ada, dan modifikasi dalam tenggat yang sangat ketat yang ditetapkan atasan. Jaga kualitas modifikasi meski waktunya terbatas.</t>
  </si>
  <si>
    <t>1 laporan modifikasi sistem beserta tenggat dan hasilnya.</t>
  </si>
  <si>
    <t>Modifikasi selesai dalam tenggat yang ditetapkan, dengan kualitas yang dinilai atasan ≥4 (skala 1–5) — tidak menurun karena dikerjakan cepat.</t>
  </si>
  <si>
    <t>Mengubah 1 Situasi Bertekanan Menjadi Momentum bagi Tim</t>
  </si>
  <si>
    <t>Menguji kemampuan menenangkan situasi dan mengubah hambatan menjadi momentum.</t>
  </si>
  <si>
    <t>Pada 1 situasi bertekanan tinggi yang melibatkan tim, tenangkan situasi dan ubah hambatan itu menjadi momentum — bukan sekadar bertahan, tetapi memanfaatkan tekanan untuk mendorong hasil lebih baik.</t>
  </si>
  <si>
    <t>1 dokumentasi situasi; cara menenangkan tim; hasil yang lebih baik dari hambatan itu.</t>
  </si>
  <si>
    <t>Tim mengonfirmasi situasi tertangani dengan tenang, dan hasil akhir lebih baik dari yang diperkirakan sebelum tekanan muncul, dengan skor ≥4 (skala 1–5).</t>
  </si>
  <si>
    <t>Division Head</t>
  </si>
  <si>
    <t>Log "Perhitungan Sebelum vs Saat Berjalan"</t>
  </si>
  <si>
    <t>Mengukur seberapa sering kebutuhan sumber daya dihitung sebelum pekerjaan dimulai.</t>
  </si>
  <si>
    <t>Untuk setiap pekerjaan atau target baru — terutama target yang peserta tetapkan di atas target organisasi — catat: apakah kebutuhan orang, waktu, biaya, dan peralatan dihitung SEBELUM dimulai atau ditangani SAMBIL BERJALAN.</t>
  </si>
  <si>
    <t>Log minimal 20 pekerjaan; rekap triwulanan proporsi yang dihitung sebelum dimulai. Termasuk rekap triwulanan.</t>
  </si>
  <si>
    <t>Minimal 20 pekerjaan tercatat. Proporsi yang dihitung sebelum dimulai naik menjadi ≥70% pada triwulan 4. Milestone Bulan 6: 10 pekerjaan.</t>
  </si>
  <si>
    <t>Latihan "Empat Kategori Sebelum Menetapkan Target Lebih Tinggi"</t>
  </si>
  <si>
    <t>Memastikan target yang lebih tinggi didukung perhitungan sumber daya yang lengkap.</t>
  </si>
  <si>
    <t>Setiap kali menetapkan target pribadi di atas target manajemen, hitung secara tertulis keempat kategori sumber daya yang dibutuhkan untuk mencapainya SEBELUM tindakan dimulai.</t>
  </si>
  <si>
    <t>Minimal 4 target dengan perhitungan empat kategori.</t>
  </si>
  <si>
    <t>Minimal 4 target lebih tinggi ditetapkan, seluruhnya dengan perhitungan lengkap keempat kategori sebelum tindakan dimulai.</t>
  </si>
  <si>
    <t>Refleksi "Kendala yang Sebenarnya Bisa Diprediksi"</t>
  </si>
  <si>
    <t>Menemukan kendala yang berulang pada jenis pekerjaan tertentu.</t>
  </si>
  <si>
    <t>Setiap 3 bulan, ambil 1 pekerjaan yang mengalami kendala sumber daya. Telusuri apakah kendala itu sudah pernah terjadi sebelumnya pada pekerjaan sejenis.</t>
  </si>
  <si>
    <t>4 laporan; daftar kendala berulang.</t>
  </si>
  <si>
    <t>4 laporan selesai. Minimal 3 kendala berulang dimasukkan ke rencana cadangan pekerjaan sejenis berikutnya.</t>
  </si>
  <si>
    <t>Workshop "Resource Planning untuk Target di Atas Standar"</t>
  </si>
  <si>
    <t>Menghitung kebutuhan sumber daya untuk mencapai target yang lebih tinggi dari standar organisasi.</t>
  </si>
  <si>
    <t>Ikuti workshop 2 hari: menghitung kebutuhan orang, waktu, biaya, dan peralatan secara rinci untuk target yang menantang, menyesuaikan alokasi dengan prioritas, dan menyusun rencana cadangan.</t>
  </si>
  <si>
    <t>Sertifikat; 1 rencana sumber daya untuk 1 target di atas standar yang belum dimulai.</t>
  </si>
  <si>
    <t>Rencana disetujui atasan SEBELUM target dimulai.</t>
  </si>
  <si>
    <t>Kursus Online "Menyusun Rencana Cadangan Berbasis Data Riwayat"</t>
  </si>
  <si>
    <t>Menyusun rencana cadangan untuk kendala yang benar-benar paling mungkin.</t>
  </si>
  <si>
    <t>Selesaikan kursus tentang mengumpulkan data riwayat kendala pada jenis pekerjaan yang sama dan menyusun langkah cadangan spesifik.</t>
  </si>
  <si>
    <t>1 daftar kendala paling mungkin berdasarkan riwayat beserta rencana cadangan.</t>
  </si>
  <si>
    <t>Daftar disusun dari data riwayat, dinilai atasan ≥4 (skala 1–5).</t>
  </si>
  <si>
    <t>Micro-learning "Mengalokasikan Sumber Daya Sesuai Prioritas"</t>
  </si>
  <si>
    <t>Membagi sumber daya terbatas berdasarkan prioritas.</t>
  </si>
  <si>
    <t>Selesaikan modul tentang menyusun kriteria prioritas alokasi sumber daya dan mengkomunikasikan keputusan kepada pihak yang tidak menerima porsi penuh.</t>
  </si>
  <si>
    <t>1 kriteria prioritas alokasi.</t>
  </si>
  <si>
    <t>Kriteria disetujui atasan dan dipakai pada minimal 2 keputusan alokasi nyata.</t>
  </si>
  <si>
    <t>Resource Review Clinic — Peer Department Head + Mentor Division Head</t>
  </si>
  <si>
    <t>Menemukan kategori sumber daya atau kendala yang terlewat sebelum pekerjaan dimulai.</t>
  </si>
  <si>
    <t>Bentuk forum 3–4 peer setingkat ditambah 1 mentor berjenjang Division Head. Setiap 2 bulan, satu peserta membawa 1 rencana sumber daya untuk target yang belum dimulai. Peserta lain menantang kategori dan kendala yang terlewat.</t>
  </si>
  <si>
    <t>6 sesi (minimal 2 sebagai pembawa rencana).</t>
  </si>
  <si>
    <t>Minimal 5 dari 6 sesi terlaksana. Milestone Bulan 6: 3 sesi.</t>
  </si>
  <si>
    <t>Shadowing Atasan saat Menghitung Sumber Daya untuk Target Ambisius</t>
  </si>
  <si>
    <t>Mempelajari cara senior menghitung kebutuhan sumber daya untuk target di atas standar.</t>
  </si>
  <si>
    <t>Minta izin mengamati 3 kesempatan di mana atasan menetapkan target ambisius dan menghitung sumber dayanya. Catat cara menghitung dan menetapkan rencana cadangan.</t>
  </si>
  <si>
    <t>3 laporan observasi.</t>
  </si>
  <si>
    <t>Minimal 3 teknik diterapkan dan tercatat dalam aktivitas ini. Divalidasi atasan ≥4 (skala 1–5).</t>
  </si>
  <si>
    <t>Umpan Balik 360° "Perencanaan Sumber Daya untuk Target Menantang"</t>
  </si>
  <si>
    <t>Mengukur persepsi tim dan atasan atas kelengkapan perencanaan sumber daya peserta.</t>
  </si>
  <si>
    <t>Kuesioner pre (Bulan 1) dan post (Bulan 11) kepada minimal 8 responden. Butir RA11 (skala 1–5): "Ia menghitung kebutuhan sumber daya sebelum menetapkan target yang menantang"; "Ketika kendala muncul, ia sudah punya rencana cadangan".</t>
  </si>
  <si>
    <t>Kenaikan rata-rata ≥1 poin.</t>
  </si>
  <si>
    <t>Menetapkan dan Mencapai 3 Target di Atas Standar dengan Sumber Daya Terhitung</t>
  </si>
  <si>
    <t>Membuktikan target yang lebih tinggi dicapai melalui perhitungan sumber daya yang cermat.</t>
  </si>
  <si>
    <t>Tetapkan 3 target pribadi di atas target yang ditetapkan manajemen. Untuk masing-masing, hitung kebutuhan sumber daya SEBELUM dimulai, alokasikan sesuai prioritas, siapkan rencana cadangan, dan capai target itu.</t>
  </si>
  <si>
    <t>3 dokumentasi target lebih tinggi dengan rencana sumber daya dan hasil pencapaian. Termasuk review Bulan ke-6 oleh atasan.</t>
  </si>
  <si>
    <t>3 target ditetapkan di atas standar manajemen dan tercapai. Ketiganya memiliki rencana sumber daya yang disetujui SEBELUM dimulai. Milestone Bulan 6: 2 target.</t>
  </si>
  <si>
    <t>Menyiapkan dan Menguji Rencana Cadangan pada 1 Target Berisiko Tinggi</t>
  </si>
  <si>
    <t>Membuktikan rencana cadangan benar-benar dipakai ketika kendala terjadi.</t>
  </si>
  <si>
    <t>Pilih 1 target dengan risiko kendala sumber daya tinggi. Susun rencana cadangan berbasis riwayat. Jalankan, dan bila kendala terjadi, jalankan rencana cadangannya.</t>
  </si>
  <si>
    <t>Dokumentasi rencana cadangan; catatan kendala dan pemakaiannya; hasil akhir.</t>
  </si>
  <si>
    <t>Rencana cadangan disiapkan sebelum target dimulai. Bila kendala terjadi, rencana cadangan dijalankan dan target tetap tercapai. Atasan menilai ≥4 (skala 1–5).</t>
  </si>
  <si>
    <t>Mengalokasikan Sumber Daya Terbatas untuk Mencapai 2 Target yang Bersaing</t>
  </si>
  <si>
    <t>Menguji kemampuan membagi sumber daya terbatas antara target-target yang menantang.</t>
  </si>
  <si>
    <t>Pada 2 target menantang yang bersaing memperebutkan sumber daya yang sama, tetapkan kriteria prioritas, alokasikan sumber daya, dan capai kedua target sejauh mungkin sesuai alokasi itu.</t>
  </si>
  <si>
    <t>Dokumen kriteria prioritas; keputusan alokasi; hasil pencapaian kedua target.</t>
  </si>
  <si>
    <t>Kriteria prioritas ditetapkan sebelum alokasi diputuskan. Kedua target tercapai sesuai porsi alokasi yang disepakati, dengan hasil yang dapat dijelaskan berdasarkan kriteria itu.</t>
  </si>
  <si>
    <t>Director</t>
  </si>
  <si>
    <t>Log "Standar Kinerja yang Saya Naikkan"</t>
  </si>
  <si>
    <t>Memisahkan standar yang benar-benar dinaikkan dari yang sekadar diteruskan.</t>
  </si>
  <si>
    <t>Setiap kali peserta menetapkan atau meninjau ulang standar kinerja bagi tim atau fungsi, catat: standar lama, standar baru, selisihnya, dasar penetapannya, dan siapa yang menolak beserta alasannya.</t>
  </si>
  <si>
    <t>Log minimal 20 standar; rekap triwulanan. Termasuk rekap triwulanan.</t>
  </si>
  <si>
    <t>Minimal 20 standar tercatat. Minimal 10 adalah standar yang DINAIKKAN dengan selisih terukur. Milestone Bulan 6: 10 standar, minimal 5 dinaikkan.</t>
  </si>
  <si>
    <t>Mentor atau Direksi</t>
  </si>
  <si>
    <t>Latihan "Standar Kinerja bagi Diri Sendiri"</t>
  </si>
  <si>
    <t>Memastikan disiplin yang dituntut dari organisasi juga berlaku bagi peserta sendiri.</t>
  </si>
  <si>
    <t>Setiap triwulan, tetapkan 1 standar kinerja pribadi yang lebih tinggi daripada yang dituntut jabatan peserta. Umumkan kepada tim senior dan laporkan hasilnya apa adanya.</t>
  </si>
  <si>
    <t>4 standar pribadi; 4 laporan pencapaian.</t>
  </si>
  <si>
    <t>4 standar ditetapkan dan diumumkan. Minimal 3 tercapai, dan laporan yang tidak tercapai tetap dibagikan tanpa dihaluskan.</t>
  </si>
  <si>
    <t>Tim senior dan Mentor</t>
  </si>
  <si>
    <t>Analisis "Standar yang Turun Diam-diam"</t>
  </si>
  <si>
    <t>Menemukan standar kinerja yang secara resmi berlaku tetapi tidak lagi dijalankan.</t>
  </si>
  <si>
    <t>Setiap 3 bulan, cari 1 standar kinerja yang secara resmi masih berlaku tetapi praktiknya sudah ditinggalkan. Telusuri sebab dan tegakkan kembali.</t>
  </si>
  <si>
    <t>4 analisis; 4 tindakan penegakan kembali.</t>
  </si>
  <si>
    <t>4 analisis selesai. Minimal 3 standar kembali dijalankan dan bertahan minimal 3 bulan.</t>
  </si>
  <si>
    <t>Direksi</t>
  </si>
  <si>
    <t>Pelatihan Organizational Culture &amp; High Performance System Design</t>
  </si>
  <si>
    <t>Menguasai perancangan sistem yang menjaga standar tanpa kehadiran pemimpinnya.</t>
  </si>
  <si>
    <t>Ikuti pelatihan tentang high-performance organization. Rancang 1 inisiatif perubahan sistem perencanaan kinerja, dengan syarat rancangan wajib memuat pemilik sistem selain peserta.</t>
  </si>
  <si>
    <t>1 proposal inisiatif perubahan sistem.</t>
  </si>
  <si>
    <t>Proposal disetujui manajemen dan memuat mekanisme yang berjalan TANPA peserta — pemilik selain peserta, irama peninjauan, konsekuensi — dinilai direksi ≥4 (skala 1–5).</t>
  </si>
  <si>
    <t>Fasilitator dan Direksi</t>
  </si>
  <si>
    <t>Benchmarking Sistem KPI Industri sebagai Dasar Menaikkan Standar</t>
  </si>
  <si>
    <t>Menetapkan standar berdasarkan pembanding eksternal, bukan kinerja sendiri sebelumnya.</t>
  </si>
  <si>
    <t>Lakukan benchmarking terhadap sistem KPI di 2–3 perusahaan lain di industri sejenis. Fokus pada bagaimana target ditetapkan dan dikaskadekan.</t>
  </si>
  <si>
    <t>1 laporan benchmarking; rekomendasi adaptasi.</t>
  </si>
  <si>
    <t>Laporan bersifat komparatif dan analitis. Minimal 2 standar dinaikkan berdasarkan hasil benchmarking, dengan selisih yang terukur dan disetujui manajemen.</t>
  </si>
  <si>
    <t>Pelatihan Performance Management System Design</t>
  </si>
  <si>
    <t>Merancang sistem manajemen kinerja yang menyeluruh.</t>
  </si>
  <si>
    <t>Ikuti pelatihan perancangan sistem manajemen kinerja. Buat blueprint yang mencakup seluruh siklus: perencanaan, eksekusi, monitoring, evaluasi, perbaikan.</t>
  </si>
  <si>
    <t>1 blueprint sistem manajemen kinerja.</t>
  </si>
  <si>
    <t>Blueprint mencakup seluruh siklus dan dinilai direksi layak dilanjutkan ke tahap implementasi.</t>
  </si>
  <si>
    <t>Standard Review Clinic — Peer Division Head + Mentor Director</t>
  </si>
  <si>
    <t>Menguji apakah kenaikan standar kinerja nyata atau hanya perubahan cara mengukur.</t>
  </si>
  <si>
    <t>Bentuk forum 3–4 peer setingkat ditambah 1 mentor berjenjang Director. Setiap 2 bulan, satu peserta memaparkan 1 standar kinerja yang ia naikkan. Peserta lain menantang keabsahan kenaikannya.</t>
  </si>
  <si>
    <t>6 sesi (minimal 2 sebagai pemapar).</t>
  </si>
  <si>
    <t>Reverse Mentoring dengan High Performer Level Bawah</t>
  </si>
  <si>
    <t>Mendapatkan perspektif langsung tentang elemen sistem yang mendukung atau menghambat kinerja tinggi.</t>
  </si>
  <si>
    <t>Lakukan sesi reverse mentoring dengan 2–3 high performer dari level Officer atau Analyst setiap 2 bulan. Diskusikan elemen sistem apa yang membantu atau menghambat mereka mencapai kinerja terbaik.</t>
  </si>
  <si>
    <t>Catatan insight per sesi; perubahan sistem yang diinisiasi berdasarkan insight itu.</t>
  </si>
  <si>
    <t>Sesi terlaksana dan minimal 1 perubahan nyata pada sistem perencanaan kinerja diinisiasi berdasarkan insight yang diperoleh.</t>
  </si>
  <si>
    <t>High Performer Level Bawah</t>
  </si>
  <si>
    <t>Umpan Balik 360° "Standar Kinerja dan Keberlanjutannya"</t>
  </si>
  <si>
    <t>Mengukur apakah standar kinerja terasa lebih tinggi dan tetap berjalan tanpa pengawasan.</t>
  </si>
  <si>
    <t>Kuesioner pre (Bulan 1) dan post (Bulan 11) kepada minimal 10 responden. Butir RA12 (skala 1–5): "Standar kinerja yang ia tetapkan lebih tinggi daripada yang biasa berlaku"; "Sistem itu tetap berjalan meski ia tidak mengawasi"; "Ia menerapkan standar yang sama pada dirinya sendiri".</t>
  </si>
  <si>
    <t>Kenaikan rata-rata ≥1 poin. Butir "tetap berjalan meski tidak diawasi" dan "menerapkan standar yang sama pada dirinya sendiri" wajib mencapai ≥4 (skala 1–5).</t>
  </si>
  <si>
    <t>Membangun Sistem Penghargaan yang Melembagakan Target di Atas Standar</t>
  </si>
  <si>
    <t>Membuktikan mekanisme penghargaan yang mendorong seluruh tim melampaui target secara kolektif.</t>
  </si>
  <si>
    <t>Pimpin perancangan ulang sistem penghargaan organisasi bersama direksi dan HC. Pastikan sistem baru secara eksplisit menghargai pencapaian di atas target manajemen di semua level, dengan pemilik sistem selain peserta.</t>
  </si>
  <si>
    <t>Dokumen desain sistem penghargaan; bukti uji coba minimal 6 bulan; hasil survei penerimaan. Termasuk review Bulan ke-6 oleh direksi.</t>
  </si>
  <si>
    <t>Sistem diuji coba minimal 6 bulan dan menunjukkan penerimaan positif minimal 75% responden. Sistem tetap berjalan pada minimal 1 siklus TANPA keterlibatan peserta. Milestone Bulan 6: sistem dirancang dan uji coba dimulai.</t>
  </si>
  <si>
    <t>Direksi dan HC</t>
  </si>
  <si>
    <t>Menginisiasi Perubahan Sistem agar Tim Melampaui Target Secara Kolektif</t>
  </si>
  <si>
    <t>Menciptakan mekanisme struktural yang membuat pencapaian di atas target menjadi kebiasaan kolektif, bukan pencapaian individu yang terisolasi.</t>
  </si>
  <si>
    <t>Inisiasi 1 perubahan sistem kerja lintas fungsi yang secara struktural memungkinkan seluruh tim merencanakan dan mencapai target di atas standar manajemen secara kolektif.</t>
  </si>
  <si>
    <t>Laporan transformasi: diagnosis, solusi, implementasi, dampak terukur.</t>
  </si>
  <si>
    <t>Minimal 2 perubahan struktural terimplementasi. Data menunjukkan peningkatan nyata — minimal 20% dibanding baseline — dalam kemampuan tim mencapai target secara kolektif, bukan hanya pencapaian individu tertentu.</t>
  </si>
  <si>
    <t>Memastikan Sistem Kinerja Berlandaskan Integritas Meski di Bawah Tekanan Target</t>
  </si>
  <si>
    <t>Menguji apakah standar tinggi tetap dijaga tanpa mengorbankan integritas.</t>
  </si>
  <si>
    <t>Pimpin integrasi aspek nilai dan integritas ke dalam setiap elemen sistem kinerja — penetapan target, eksekusi, monitoring, pelaporan. Pantau minimal 6 bulan apakah tekanan mencapai target memicu pelanggaran nilai.</t>
  </si>
  <si>
    <t>Dokumen sistem kinerja berbasis integritas; panduan implementasi; catatan pemantauan 6 bulan.</t>
  </si>
  <si>
    <t>Sistem dijalankan minimal 6 bulan tanpa insiden pelanggaran nilai yang terkait tekanan pencapaian target, dikonfirmasi direksi.</t>
  </si>
  <si>
    <t>Log "Kesimpulan Saya vs Kesimpulan Atasan"</t>
  </si>
  <si>
    <t>Mengukur ketepatan kesimpulan sendiri sebelum mendapat arahan.</t>
  </si>
  <si>
    <t>Setiap kali menerima laporan, data, atau informasi kerja yang baru, tuliskan kesimpulan peserta SEBELUM bertanya kepada siapa pun. Setelah itu bandingkan dengan kesimpulan atasan atau rekan senior. Catat: mana yang sama, mana yang meleset, dan poin penting apa yang terlewat.</t>
  </si>
  <si>
    <t>Log minimal 40 entri; rekap triwulanan persentase kesimpulan yang tepat tanpa arahan. Termasuk rekap triwulanan.</t>
  </si>
  <si>
    <t>Minimal 40 entri. Persentase kesimpulan yang tepat tanpa arahan naik dari baseline triwulan 1 menjadi ≥70% pada triwulan 4. Milestone Bulan 6: 20 entri dan baseline terbentuk.</t>
  </si>
  <si>
    <t>Latihan "Tiga Poin Utama dalam 10 Menit"</t>
  </si>
  <si>
    <t>Melatih menangkap inti sebuah dokumen kerja dengan cepat dan tepat.</t>
  </si>
  <si>
    <t>Dari setiap dokumen kerja baru yang peserta terima — laporan, SOP, data, notulen — dalam 10 menit tuliskan 3 poin utamanya dan 1 kesimpulan. Lalu verifikasi kepada pemilik dokumen: apakah ketiga poin itu memang yang terpenting menurut dia.</t>
  </si>
  <si>
    <t>24 catatan latihan beserta hasil verifikasi pemilik dokumen.</t>
  </si>
  <si>
    <t>Minimal 20 dari 24 latihan dilakukan. Pada minimal 18, pemilik dokumen membenarkan ketiga poin utama yang ditangkap peserta. Milestone Bulan 6: 10 latihan, minimal 7 dibenarkan.</t>
  </si>
  <si>
    <t>Pemilik Dokumen dan Mentor</t>
  </si>
  <si>
    <t>Jurnal "Fakta, Asumsi, atau Opini"</t>
  </si>
  <si>
    <t>Memisahkan apa yang benar-benar ada di data dari apa yang ditambahkan sendiri.</t>
  </si>
  <si>
    <t>Untuk setiap kesimpulan yang peserta buat, tandai setiap pernyataan di dalamnya: berdasar FAKTA yang tertulis di dokumen, ASUMSI peserta sendiri, atau OPINI. Minta mentor memeriksa penandaan itu secara berkala.</t>
  </si>
  <si>
    <t>Log minimal 30 kesimpulan yang sudah ditandai; rekap proporsi pernyataan berbasis fakta per triwulan.</t>
  </si>
  <si>
    <t>Minimal 30 kesimpulan ditandai. Proporsi pernyataan yang keliru ditandai (asumsi disebut fakta) turun menjadi ≤15% pada triwulan 4, diperiksa mentor. Milestone Bulan 6: 15 kesimpulan dan baseline terbentuk.</t>
  </si>
  <si>
    <t xml:space="preserve">Pelatihan "Membaca Data Operasional &amp; Menarik Kesimpulan" </t>
  </si>
  <si>
    <t>Menguasai cara membaca data kerja rutin dan menyimpulkannya dengan benar.</t>
  </si>
  <si>
    <t>Pelatihan 1 hari (8 jam): membaca indikator kerja dan laporan operasional, membedakan variasi normal dari sinyal yang berarti, memilah informasi penting dari pelengkap, dan menyusun kesimpulan yang sesuai konteks tugas. Peserta membawa 3 dokumen kerja nyata sebagai bahan latihan.</t>
  </si>
  <si>
    <t>Sertifikat; 3 interpretasi data kerja nyata beserta hasil verifikasi pemilik data.</t>
  </si>
  <si>
    <t>Lulus studi kasus dengan skor ≥80. Ketiga interpretasi data nyata dibenarkan oleh pemilik datanya masing-masing.</t>
  </si>
  <si>
    <t>Fasilitator dan Pemilik Data</t>
  </si>
  <si>
    <t xml:space="preserve">Kursus Online "Gap Analysis &amp; Perbandingan Standar" </t>
  </si>
  <si>
    <t>Membandingkan kondisi aktual dengan standar secara benar.</t>
  </si>
  <si>
    <t>Selesaikan kursus online 4 jam: menemukan standar yang berlaku, membaca kondisi aktual dari data, menghitung selisihnya, dan membedakan gap yang nyata dari gap yang muncul karena salah membaca standar.</t>
  </si>
  <si>
    <t>Sertifikat; 3 analisis gap pada pekerjaan sendiri.</t>
  </si>
  <si>
    <t>Ketiga analisis gap dikonfirmasi atasan sebagai gap yang NYATA — bukan akibat salah membaca standar atau salah membandingkan periode.</t>
  </si>
  <si>
    <t>Micro-learning "Membedakan Fakta, Asumsi, dan Opini"</t>
  </si>
  <si>
    <t>Mengenali kapan sebuah pernyataan sebenarnya belum didukung data.</t>
  </si>
  <si>
    <t>Selesaikan modul online 2 jam tentang pembedaan fakta, asumsi, inferensi, dan opini; serta cara menyatakan tingkat keyakinan atas sebuah kesimpulan.</t>
  </si>
  <si>
    <t>Sertifikat; 10 contoh pernyataan dari pekerjaan sendiri yang sudah diklasifikasikan.</t>
  </si>
  <si>
    <t>Minimal 8 dari 10 klasifikasi dinilai tepat oleh mentor.</t>
  </si>
  <si>
    <t>Coaching Atasan atas 4 Kesimpulan yang Dibuat Sendiri</t>
  </si>
  <si>
    <t>Mendapatkan koreksi langsung atas cara menarik kesimpulan, bukan atas cara mengenali masalah.</t>
  </si>
  <si>
    <t>Setiap triwulan, bawa 1 kesimpulan yang peserta buat sendiri kepada atasan. Yang didiskusikan bukan masalahnya, melainkan PENALARANNYA: data apa yang peserta pakai, mengapa peserta menyimpulkan demikian, dan apa yang terlewat.</t>
  </si>
  <si>
    <t>4 catatan coaching berisi koreksi penalaran dan perbaikannya.</t>
  </si>
  <si>
    <t>4 sesi terlaksana. Jenis kesalahan penalaran yang sama tidak berulang pada sesi berikutnya, dinilai atasan ≥4 (skala 1–5).</t>
  </si>
  <si>
    <t>"Reading Buddy" — Membandingkan Kesimpulan dengan Rekan</t>
  </si>
  <si>
    <t>Menemukan perbedaan cara membaca informasi yang sama.</t>
  </si>
  <si>
    <t>Berpasangan dengan 1 rekan setingkat. Setiap 2 minggu, keduanya membaca dokumen kerja YANG SAMA secara terpisah, lalu membandingkan poin utama dan kesimpulan masing-masing. Catat di mana keduanya berbeda dan mengapa.</t>
  </si>
  <si>
    <t>20 sesi; catatan perbedaan pembacaan beserta penyebabnya. Termasuk review catatan pada Bulan ke-6 dan ke-12 oleh mentor.</t>
  </si>
  <si>
    <t>Minimal 16 dari 20 sesi terlaksana. Jumlah perbedaan pembacaan yang disebabkan kelalaian (bukan sudut pandang) turun ≥50% dari 5 sesi pertama ke 5 sesi terakhir.</t>
  </si>
  <si>
    <t>Umpan Balik 360° "Ketepatan Memahami"</t>
  </si>
  <si>
    <t>Mengukur persepsi rekan kerja atas ketepatan pemahaman peserta.</t>
  </si>
  <si>
    <t>Kuesioner pre (Bulan 1) dan post (Bulan 11) kepada minimal 5 responden yang rutin mengirimkan informasi atau laporan kepada peserta. Butir MA1 (skala 1–5): "Kesimpulannya atas data yang saya kirim biasanya tepat"; "Ia menangkap poin utama tanpa perlu dijelaskan berulang"; "Ia tidak mencampur fakta dengan dugaannya sendiri"; "Saya jarang perlu mengoreksi pemahamannya".</t>
  </si>
  <si>
    <t>2 laporan (pre dan post); analisis kenaikan per butir.</t>
  </si>
  <si>
    <t>Kenaikan rata-rata ≥1 poin. Butir "saya jarang perlu mengoreksi pemahamannya" wajib naik ≥1 poin.</t>
  </si>
  <si>
    <t>Menarik Kesimpulan Mandiri atas 24 Laporan atau Data Kerja</t>
  </si>
  <si>
    <t>Membuktikan kemandirian dan ketepatan menyimpulkan pada pekerjaan nyata.</t>
  </si>
  <si>
    <t>Sejak Bulan ke-3, untuk setiap laporan atau kumpulan data kerja yang peserta tangani, susun kesimpulan sendiri dan sampaikan kepada pemilik data atau atasan SEBELUM meminta penjelasan. Catat ketepatannya dalam log yang dipilih peserta dalam aktivitas ini.</t>
  </si>
  <si>
    <t>24 kesimpulan mandiri terdokumentasi; grafik ketepatan per bulan. Termasuk review Bulan ke-6 dan ke-12 oleh atasan.</t>
  </si>
  <si>
    <t>24 kesimpulan disampaikan lebih dulu tanpa meminta arahan. Pada triwulan terakhir, ≥75% dinilai tepat oleh pemilik data. Milestone Bulan 6: 10 kesimpulan dan tren naik ≥20% dari baseline.</t>
  </si>
  <si>
    <t>Mengidentifikasi 5 Gap Nyata di Area Kerja</t>
  </si>
  <si>
    <t>Menerapkan pembacaan data untuk menemukan ketidaksesuaian yang benar-benar ada.</t>
  </si>
  <si>
    <t>Pilih 5 ketidaksesuaian antara kondisi aktual dan standar di area kerja peserta. Untuk masing-masing, tunjukkan: standar yang berlaku dan sumbernya, kondisi aktual dan datanya, besar selisihnya, serta kesimpulan peserta tentang apa artinya bagi pekerjaan.</t>
  </si>
  <si>
    <t>5 laporan identifikasi gap; konfirmasi atasan atas keabsahan masing-masing.</t>
  </si>
  <si>
    <t>5 gap teridentifikasi dan seluruhnya didukung data. Minimal 4 dikonfirmasi atasan sebagai gap nyata — bukan akibat salah membaca standar. Milestone Bulan 6: 2 gap selesai dan dikonfirmasi.</t>
  </si>
  <si>
    <t>Menjadi Perangkum Data untuk 1 Forum Rutin Unit</t>
  </si>
  <si>
    <t>Menguji apakah kesimpulan peserta cukup tepat untuk dipakai orang lain tanpa dikoreksi.</t>
  </si>
  <si>
    <t>Dengan penugasan atasan, jadilah orang yang merangkum data operasional untuk 1 forum rutin unit selama minimal 6 bulan. Setiap kali: pilih data yang relevan, rangkum poin utamanya, dan nyatakan kesimpulan yang berkaitan dengan keputusan yang akan diambil forum.</t>
  </si>
  <si>
    <t>Rangkuman untuk minimal 12 forum; catatan koreksi yang diterima; umpan balik peserta forum. Termasuk review Bulan ke-6 oleh atasan.</t>
  </si>
  <si>
    <t>Rangkuman dipakai tanpa perlu dikoreksi pada ≥80% forum. Peserta forum menilai ketepatan poin utama ≥4 (skala 1–5). Milestone Bulan 6: forum pertama berjalan dan pola koreksi tercatat.</t>
  </si>
  <si>
    <t>Atasan dan Peserta Forum</t>
  </si>
  <si>
    <t>Log "Yang Saya Terima Begitu Saja"</t>
  </si>
  <si>
    <t>Menyadari seberapa sering informasi dan arahan diterima tanpa diperiksa.</t>
  </si>
  <si>
    <t>Setiap arahan, laporan, atau usulan yang peserta terima, catat: apa premis atau klaim di dalamnya, apakah peserta mempertanyakannya, dan bila tidak — mengapa. Beri tanda khusus pada yang tidak dipertanyakan karena sungkan atau karena yang menyampaikan lebih senior.</t>
  </si>
  <si>
    <t>Log minimal 40 entri; rekap triwulanan proporsi yang dipertanyakan, dan proporsi yang tidak dipertanyakan karena sungkan. Termasuk rekap triwulanan.</t>
  </si>
  <si>
    <t>Minimal 40 entri. Proporsi yang dipertanyakan naik dari baseline triwulan 1 menjadi ≥60% pada triwulan 4, DAN proporsi yang tidak dipertanyakan karena sungkan turun menjadi ≤15%. Milestone Bulan 6: 20 entri dan baseline terbentuk.</t>
  </si>
  <si>
    <t>Latihan "Tiga Mengapa dan Satu Pembanding"</t>
  </si>
  <si>
    <t>Menguji kesimpulan sendiri sebelum disampaikan kepada orang lain.</t>
  </si>
  <si>
    <t>Untuk setiap kesimpulan yang akan peserta sampaikan, ajukan 3 pertanyaan "mengapa" kepada diri sendiri, lalu cari 1 sumber pembanding yang BERPOTENSI MEMBANTAH kesimpulan itu — bukan yang menguatkannya. Catat apa yang berubah setelah pembanding itu diperiksa.</t>
  </si>
  <si>
    <t>24 catatan latihan; daftar kesimpulan yang berubah atau dipertajam karena pembanding.</t>
  </si>
  <si>
    <t>Minimal 20 dari 24 latihan dilakukan. Pada minimal 15, pembanding yang dicari mengubah atau mempertajam kesimpulan. Milestone Bulan 6: 10 latihan, minimal 6 mengubah kesimpulan.</t>
  </si>
  <si>
    <t>Jurnal "Asumsi yang Ternyata Keliru"</t>
  </si>
  <si>
    <t>Mengenali jenis asumsi yang paling sering luput diperiksa.</t>
  </si>
  <si>
    <t>Catat setiap asumsi kerja yang ternyata keliru: apa asumsinya, kapan ketahuan salah, apa akibatnya, dan pertanyaan apa yang seharusnya diajukan lebih awal. Kelompokkan menjadi pola pada akhir tiap triwulan.</t>
  </si>
  <si>
    <t>Log minimal 15 asumsi keliru; 4 rekap pola triwulanan.</t>
  </si>
  <si>
    <t>Minimal 15 entri dan 4 rekap pola. Peserta mampu menyebutkan minimal 3 jenis asumsi yang berulang luput diperiksa, dan jenis itu turun ≥50% pada triwulan berikutnya.</t>
  </si>
  <si>
    <t>Workshop "Critical Thinking: Menguji Klaim dan Bukti"</t>
  </si>
  <si>
    <t>Menguasai cara memeriksa apakah sebuah klaim benar-benar didukung buktinya.</t>
  </si>
  <si>
    <t>Pelatihan 2 hari: struktur argumen, membedakan klaim dari bukti, mengenali korelasi yang disalahartikan sebagai sebab, bias konfirmasi, ukuran sampel dan keterwakilan, serta cara menantang sebuah klaim tanpa menyerang orangnya. Peserta membawa 3 klaim kerja nyata sebagai bahan.</t>
  </si>
  <si>
    <t>Sertifikat; 3 klaim kerja nyata yang diuji beserta hasilnya.</t>
  </si>
  <si>
    <t>Lulus studi kasus dengan skor ≥80. Ketiga klaim kerja nyata diuji dan hasilnya dilaporkan kepada pihak yang menyampaikan klaim tersebut.</t>
  </si>
  <si>
    <t>Kursus Online "Mencari Pembanding &amp; Menilai Sumber"</t>
  </si>
  <si>
    <t>Memilih sumber yang berpotensi membantah, bukan yang mengukuhkan.</t>
  </si>
  <si>
    <t>Selesaikan kursus online 6 jam: memetakan sumber informasi yang tersedia, menilai keandalan dan kepentingan di balik sebuah sumber, memilih pembanding yang berpotensi memberi jawaban berbeda, dan menangani informasi yang saling bertentangan.</t>
  </si>
  <si>
    <t>Sertifikat; 3 perbandingan sumber pada masalah kerja nyata, masing-masing memuat minimal 1 sumber yang berpotensi membantah.</t>
  </si>
  <si>
    <t>Ketiga perbandingan memuat sumber yang berpotensi membantah, dan peserta mampu menjelaskan mengapa sumber itu dipilih. Dinilai atasan ≥4 (skala 1–5).</t>
  </si>
  <si>
    <t xml:space="preserve">Micro-learning "Bertanya kepada Atasan Tanpa Terkesan Menantang" </t>
  </si>
  <si>
    <t>Menurunkan hambatan mempertanyakan arahan dari pihak yang lebih senior.</t>
  </si>
  <si>
    <t>Selesaikan modul online 2 jam: merumuskan pertanyaan penguji yang tidak terdengar menyalahkan, memilih waktu dan forum yang tepat, membedakan mempertanyakan dari menolak, dan menutup percakapan tanpa meninggalkan kesan melawan.</t>
  </si>
  <si>
    <t>Sertifikat; 8 rumusan pertanyaan penguji untuk 8 situasi yang sering muncul.</t>
  </si>
  <si>
    <t>Minimal 5 rumusan dipakai pada situasi nyata dengan pihak yang lebih senior. Pihak yang ditanya menilai pertanyaannya wajar dan tidak terkesan melawan, dengan skor ≥4 (skala 1–5).</t>
  </si>
  <si>
    <t>"Challenge Circle" — Peer Officer + Mentor Analyst</t>
  </si>
  <si>
    <t>Menemukan cacat penalaran sebelum kesimpulan dipakai.</t>
  </si>
  <si>
    <t>Bentuk forum 3–4 peer setingkat ditambah 1 mentor berjenjang Analyst. Setiap bulan, satu peserta membawa 1 kesimpulan kerja yang ia buat. Peserta lain BERTUGAS mencari cacat dalam penalarannya: bukti yang kurang, asumsi yang belum diuji, atau sumber yang terlalu sepihak.</t>
  </si>
  <si>
    <t>10 sesi (minimal 3 sebagai pemapar); catatan cacat penalaran yang ditemukan. Termasuk review catatan pada Bulan ke-6 dan ke-12 oleh mentor.</t>
  </si>
  <si>
    <t>Minimal 8 dari 10 sesi terlaksana. Pada 3 pemaparan sendiri, jumlah cacat penalaran yang ditemukan rekan turun ≥50% dari pemaparan pertama ke ketiga. Milestone Bulan 6: 4 sesi, minimal 1 sebagai pemapar.</t>
  </si>
  <si>
    <t>Shadowing Atasan saat Mempertanyakan Usulan</t>
  </si>
  <si>
    <t>Mempelajari pertanyaan apa yang diajukan senior sebelum menerima sesuatu.</t>
  </si>
  <si>
    <t>Minta izin mengamati 3 forum di mana atasan menerima usulan, laporan, atau permintaan. Catat: pertanyaan apa yang ia ajukan sebelum menerimanya, bagian mana dari usulan yang ia periksa lebih dulu, apa yang membuatnya meminta bukti tambahan, dan bagaimana ia menyampaikannya.</t>
  </si>
  <si>
    <t>3 laporan observasi; daftar 6 pertanyaan penguji yang akan diadopsi.</t>
  </si>
  <si>
    <t>Minimal 4 pertanyaan penguji hasil observasi dipakai pada situasi nyata dan tercatat dalam log yang dipilih peserta dalam aktivitas ini. Divalidasi atasan ≥4 (skala 1–5).</t>
  </si>
  <si>
    <t>Umpan Balik 360° "Keberanian dan Ketajaman Bertanya"</t>
  </si>
  <si>
    <t>Mengukur apakah kebiasaan mempertanyakan terlihat oleh orang lain.</t>
  </si>
  <si>
    <t>Kuesioner pre (Bulan 1) dan post (Bulan 11) kepada minimal 6 responden termasuk atasan langsung. Butir MA3 (skala 1–5): "Ia bertanya ketika ada yang tidak masuk akal, bukan diam saja"; "Pertanyaannya membuat saya berpikir ulang"; "Ia mencari pembanding sebelum menyimpulkan"; "Ia berani mempertanyakan arahan saya dengan cara yang pantas"; "Ia tidak menerima angka atau laporan begitu saja".</t>
  </si>
  <si>
    <t>Kenaikan rata-rata ≥1 poin. Butir "berani mempertanyakan arahan saya dengan cara yang pantas" wajib naik ≥1 poin dari responden atasan — butir ini mengukur komponen keberanian yang menjadi ciri khas MA3.</t>
  </si>
  <si>
    <t>Menguji 8 Klaim atau Asumsi yang Berlaku di Unit</t>
  </si>
  <si>
    <t>Memeriksa hal-hal yang selama ini diterima tanpa diperiksa.</t>
  </si>
  <si>
    <t>Pilih 8 hal yang di unit peserta sudah dianggap benar — angka baku, alasan sebuah proses dijalankan begitu, atau keyakinan tentang penyebab suatu masalah. Uji masing-masing dengan data atau sumber pembanding. Laporkan hasilnya, termasuk ketika yang diuji ternyata memang benar.</t>
  </si>
  <si>
    <t>8 laporan pengujian; daftar klaim yang terbukti keliru beserta koreksinya. Termasuk review Bulan ke-6 dan ke-12 oleh atasan.</t>
  </si>
  <si>
    <t>8 klaim diuji dan dilaporkan. Minimal 3 terbukti keliru atau perlu dikoreksi, DAN koreksinya diterima atasan. Milestone Bulan 6: 4 klaim diuji.</t>
  </si>
  <si>
    <t>Mendalami 3 Masalah dengan Sumber yang Berpotensi Membantah</t>
  </si>
  <si>
    <t>Memperdalam pemahaman masalah dengan sumber yang tidak sekadar menguatkan.</t>
  </si>
  <si>
    <t>Pilih 3 masalah kerja. Untuk masing-masing kumpulkan minimal 3 sumber informasi — data historis, pemangku kepentingan, laporan, atau pengamatan lapangan — dengan syarat WAJIB: minimal 1 sumber dipilih karena berpotensi memberi jawaban yang berbeda dari dugaan awal peserta.</t>
  </si>
  <si>
    <t>3 laporan pendalaman; catatan sumber pembanding dan apa yang berubah karenanya.</t>
  </si>
  <si>
    <t>3 pendalaman selesai, masing-masing memuat sumber pembanding yang dipilih secara sengaja. Pada minimal 2, dugaan awal peserta berubah atau dipertajam karena sumber pembanding itu. Milestone Bulan 6: 1 pendalaman selesai.</t>
  </si>
  <si>
    <t>Mempertanyakan 2 Usulan atau Arahan Sebelum Dijalankan</t>
  </si>
  <si>
    <t>Menguji apakah peserta bersuara sebelum keputusan berjalan, bukan setelahnya.</t>
  </si>
  <si>
    <t>Pada 2 kesempatan nyata, sampaikan pertanyaan penguji atas usulan rekan atau arahan atasan SEBELUM hal itu dijalankan — bukan sesudahnya, dan bukan kepada orang lain. Sampaikan apa yang belum jelas, bukti apa yang peserta rasa kurang, dan apa yang menurut peserta perlu diperiksa lebih dulu. Setelah keputusan final diambil, jalankan sepenuhnya.</t>
  </si>
  <si>
    <t>2 dokumentasi memuat pertanyaan yang disampaikan, tanggapan yang diterima, keputusan akhir, dan tindak lanjutnya.</t>
  </si>
  <si>
    <t>2 pertanyaan disampaikan sebelum keputusan berjalan. Atasan menilai ≥4 (skala 1–5) pada kepantasan dan ketajaman. Minimal 1 mengubah atau mempertajam keputusan. Keputusan final tetap dijalankan sepenuhnya oleh peserta.</t>
  </si>
  <si>
    <t>Log "Keputusan dan Sudut Pandang yang Masuk"</t>
  </si>
  <si>
    <t>Mengukur seberapa sering keputusan benar-benar memadukan, bukan sekadar memilih satu pihak.</t>
  </si>
  <si>
    <t>Untuk setiap keputusan kerja yang peserta ambil, catat: sudut pandang siapa saja yang masuk, mana yang saling bertentangan, dan BAGAIMANA masing-masing terwadahi dalam keputusan akhir. Beri tanda pada keputusan yang pada akhirnya sekadar memilih salah satu pihak, dan pada keputusan yang memadukan keduanya.</t>
  </si>
  <si>
    <t>Log minimal 30 keputusan; rekap triwulanan proporsi keputusan yang memadukan dibanding yang memilih. Termasuk rekap triwulanan.</t>
  </si>
  <si>
    <t>Minimal 30 keputusan tercatat. Proporsi keputusan yang memadukan naik dari baseline triwulan 1 menjadi ≥50% pada triwulan 4. Milestone Bulan 6: 15 keputusan dan baseline terbentuk.</t>
  </si>
  <si>
    <t>Latihan "Opsi Ketiga"</t>
  </si>
  <si>
    <t>Melatih menyusun pilihan yang memenuhi kepentingan pokok kedua pihak.</t>
  </si>
  <si>
    <t>Setiap kali dua pihak berbeda pendapat, jangan langsung memilih salah satunya. Telusuri kepentingan pokok di balik masing-masing posisi, lalu susun OPSI KETIGA yang memenuhi keduanya. Sampaikan opsi itu kepada kedua pihak dan catat tanggapannya.</t>
  </si>
  <si>
    <t>20 catatan latihan; daftar opsi ketiga yang diterima kedua pihak. Termasuk verifikasi ke kedua pihak oleh mentor.</t>
  </si>
  <si>
    <t>Minimal 16 dari 20 latihan dilakukan. Pada minimal 12, opsi ketiga diterima KEDUA pihak. Opsi yang hanya diterima satu pihak tidak dihitung. Milestone Bulan 6: 8 latihan, minimal 5 diterima kedua pihak.</t>
  </si>
  <si>
    <t>Refleksi "Dominasi Pandangan Saya Sendiri"</t>
  </si>
  <si>
    <t>Memeriksa apakah masukan orang lain benar-benar mengubah keputusan peserta.</t>
  </si>
  <si>
    <t>Setiap 3 bulan, tinjau seluruh keputusan peserta pada periode itu dari log. Hitung: berapa yang hasil akhirnya SAMA dengan pendapat awal peserta sebelum mendengar siapa pun. Bila hampir seluruhnya sama, berarti masukan yang masuk tidak mengubah apa pun. Tulis mengapa, dan apa yang akan peserta ubah.</t>
  </si>
  <si>
    <t>4 laporan refleksi; grafik proporsi keputusan yang berubah dari pendapat awal.</t>
  </si>
  <si>
    <t>4 laporan selesai. Proporsi keputusan yang berubah dari pendapat awal peserta naik menjadi ≥30% pada triwulan 4 — bukti bahwa masukan benar-benar diperhitungkan. Milestone Bulan 6: 2 laporan.</t>
  </si>
  <si>
    <t>Workshop "Problem Structuring &amp; Integrative Decision"</t>
  </si>
  <si>
    <t>Memecah masalah agar kepentingan yang berbeda dapat dipadukan per bagian.</t>
  </si>
  <si>
    <t>Pelatihan 2 hari: memecah masalah menjadi bagian yang saling lepas (mutually exclusive), memetakan kepentingan pokok pemangku pada tiap bagian, membedakan posisi dari kepentingan, serta teknik menyusun opsi integratif yang menambah nilai bagi lebih dari satu pihak. Peserta membawa 1 keputusan nyata yang kepentingannya bertentangan.</t>
  </si>
  <si>
    <t>Sertifikat; 1 keputusan nyata yang disusun ulang dengan pendekatan integratif.</t>
  </si>
  <si>
    <t>Lulus studi kasus dengan skor ≥80. Keputusan nyata yang disusun ulang dinilai atasan ≥4 (skala 1–5) pada terwadahinya kepentingan lebih dari satu pihak.</t>
  </si>
  <si>
    <t>Kursus Online "Multi-Criteria Decision Making"</t>
  </si>
  <si>
    <t>Mengambil keputusan ketika kriteria yang dipakai saling bertabrakan.</t>
  </si>
  <si>
    <t>Selesaikan kursus online 6 jam: menyusun kriteria keputusan dari kepentingan pemangku yang berbeda, memberi bobot secara transparan, membandingkan opsi lintas kriteria, dan menjelaskan dasar keputusan kepada pihak yang kriterianya tidak menang.</t>
  </si>
  <si>
    <t>Sertifikat; 1 matriks keputusan untuk perkara kerja nyata beserta penjelasannya kepada pihak terkait.</t>
  </si>
  <si>
    <t>Matriks dipakai pada perkara nyata. Pihak yang kriterianya tidak menang mengonfirmasi memahami dasar keputusan dan menilai prosesnya adil, dengan skor ≥4 (skala 1–5).</t>
  </si>
  <si>
    <t>Atasan dan Pihak Terkait</t>
  </si>
  <si>
    <t>Micro-learning "Kompromi versus Integrasi"</t>
  </si>
  <si>
    <t>Membedakan membagi selisih dari menambah nilai bagi kedua pihak.</t>
  </si>
  <si>
    <t>Selesaikan modul online 2 jam: membedakan kompromi (kedua pihak sama-sama mengalah) dari integrasi (kepentingan pokok keduanya terpenuhi), mengenali kapan sebuah perbedaan sebenarnya tidak perlu dipertukarkan, dan teknik memperbesar ruang pilihan sebelum memutuskan.</t>
  </si>
  <si>
    <t>Sertifikat; 6 contoh perkara kerja yang diklasifikasikan sebagai kompromi atau integrasi beserta alasannya.</t>
  </si>
  <si>
    <t>Minimal 5 dari 6 klasifikasi dinilai tepat oleh mentor, dan peserta mampu menunjukkan bagaimana perkara yang tergolong kompromi seharusnya dapat diintegrasikan.</t>
  </si>
  <si>
    <t>"Integration Clinic" — Peer Analyst + Mentor Unit Head</t>
  </si>
  <si>
    <t>Menemukan pilihan yang memadukan, yang tidak terpikir oleh peserta sendiri.</t>
  </si>
  <si>
    <t>Bentuk forum 3–4 peer setingkat ditambah 1 mentor berjenjang Unit Head. Setiap 2 bulan, satu peserta membawa 1 keputusan yang kepentingan di dalamnya bertentangan. Peserta lain BERTUGAS mencari opsi integratif yang terlewat — bukan menilai pilihan mana yang lebih baik.</t>
  </si>
  <si>
    <t>6 sesi (minimal 2 sebagai pemapar); catatan opsi integratif yang terlewat.</t>
  </si>
  <si>
    <t>Minimal 5 dari 6 sesi terlaksana. Pada 2 pemaparan sendiri, jumlah opsi integratif yang terlewat turun ≥50% dari pemaparan pertama ke kedua. Minimal 2 keputusan nyata direvisi setelah sesi. Milestone Bulan 6: 3 sesi.</t>
  </si>
  <si>
    <t>Shadowing Atasan saat Memutuskan Perkara dengan Kepentingan Bertentangan</t>
  </si>
  <si>
    <t>Mempelajari cara senior memadukan kepentingan yang bertabrakan menjadi satu keputusan.</t>
  </si>
  <si>
    <t>Minta izin mengamati 3 forum di mana atasan memutuskan perkara yang kepentingan pihaknya bertentangan. Catat: kepentingan pokok apa yang ia identifikasi di balik tiap posisi, bagian mana dari masing-masing usulan yang ia pertahankan, bagaimana ia menyusun opsi yang tidak ada di antara usulan awal, dan bagaimana ia menjelaskannya kepada pihak yang usulannya tidak dipakai.</t>
  </si>
  <si>
    <t>3 laporan observasi; daftar 4 teknik pemaduan yang akan diadopsi.</t>
  </si>
  <si>
    <t>Minimal 3 teknik diterapkan pada keputusan sendiri dan tercatat dalam log yang dipilih peserta dalam aktivitas ini. Divalidasi atasan ≥4 (skala 1–5).</t>
  </si>
  <si>
    <t>Umpan Balik 360° "Keputusan yang Mewadahi"</t>
  </si>
  <si>
    <t>Mengukur apakah pihak yang usulannya tidak dipakai tetap merasa terwadahi.</t>
  </si>
  <si>
    <t>Kuesioner pre (Bulan 1) dan post (Bulan 11) kepada minimal 6 responden, WAJIB mencakup pihak yang pendapatnya pernah TIDAK dipakai dalam keputusan peserta. Butir MA6 (skala 1–5): "Kepentingan saya tetap terwadahi dalam keputusannya, meski bukan pilihan saya"; "Ia tidak sekadar memilih pihak yang paling berpengaruh"; "Keputusannya lebih baik daripada usulan awal siapa pun, termasuk usulannya sendiri"; "Pendapat saya mengubah sesuatu dalam keputusannya".</t>
  </si>
  <si>
    <t>Kenaikan rata-rata ≥1 poin. Butir "kepentingan saya tetap terwadahi meski bukan pilihan saya" wajib mencapai ≥4 dari responden yang pendapatnya pernah tidak dipakai. Penilaian yang tidak menyertakan mereka tidak sah.</t>
  </si>
  <si>
    <t>Memutuskan 6 Perkara yang Kepentingannya Bertentangan</t>
  </si>
  <si>
    <t>Menghasilkan keputusan yang memadukan kepentingan pihak yang berseberangan.</t>
  </si>
  <si>
    <t>Pada 6 perkara kerja nyata yang kepentingan pihaknya bertentangan, jalankan urutan: telusuri kepentingan pokok di balik tiap posisi, susun minimal 1 opsi yang tidak ada di antara usulan awal, putuskan, lalu jelaskan kepada setiap pihak bagaimana kepentingannya terwadahi. Perkara yang hanya melibatkan satu sudut pandang tidak dihitung.</t>
  </si>
  <si>
    <t>6 dokumentasi keputusan (kepentingan pokok tiap pihak, opsi yang disusun, keputusan, penjelasan ke tiap pihak); konfirmasi dari pihak yang usulannya tidak dipakai. Termasuk review Bulan ke-6 dan ke-12 oleh atasan.</t>
  </si>
  <si>
    <t>6 keputusan diambil. Pada minimal 4, pihak yang pendapat awalnya TIDAK dipakai tetap mengonfirmasi kepentingan pokoknya terwadahi, dengan skor ≥4 (skala 1–5). Milestone Bulan 6: 3 keputusan selesai dan dikonfirmasi.</t>
  </si>
  <si>
    <t>Memecah 1 Masalah Besar Unit dan Memutuskan Urutan Penanganannya</t>
  </si>
  <si>
    <t>Menggunakan pemecahan masalah sebagai dasar keputusan yang disepakati banyak pihak.</t>
  </si>
  <si>
    <t>Pilih 1 masalah besar yang berulang di unit. Pecah menjadi sub-masalah yang saling lepas, lalu untuk setiap sub-masalah petakan pihak mana yang berkepentingan dan apa kepentingannya. Susun urutan penanganan dan putuskan — bukan hanya memetakan. Sampaikan kepada seluruh pihak yang terlibat.</t>
  </si>
  <si>
    <t>1 peta pemecahan masalah; 1 keputusan urutan penanganan yang disepakati; catatan kepentingan tiap pihak per sub-masalah.</t>
  </si>
  <si>
    <t>Pemecahan masalah menghasilkan minimal 5 sub-masalah yang saling lepas. Urutan penanganan diputuskan dan dijalankan. Seluruh pihak yang terlibat mengonfirmasi memahami mengapa urutannya demikian, dengan skor ≥4 (skala 1–5).</t>
  </si>
  <si>
    <t>Memimpin 1 Keputusan Lintas Fungsi</t>
  </si>
  <si>
    <t>Menghasilkan keputusan yang dijalankan semua fungsi tanpa perlu dieskalasikan.</t>
  </si>
  <si>
    <t>Dengan penugasan atasan, pimpin 1 keputusan yang melibatkan minimal 3 fungsi dengan kepentingan berbeda. Peserta bukan atasan mereka, sehingga keputusan hanya akan berjalan bila kepentingan pokok masing-masing terwadahi. Dokumentasikan proses dan hasilnya.</t>
  </si>
  <si>
    <t>Dokumentasi proses keputusan; kesepakatan tertulis; bukti pelaksanaan oleh seluruh fungsi selama minimal 3 bulan.</t>
  </si>
  <si>
    <t>Keputusan dijalankan oleh SELURUH fungsi yang terlibat tanpa eskalasi ulang atas isu yang sama selama minimal 3 bulan. Seluruh fungsi menilai ≥4 (skala 1–5) pada terwadahinya kepentingan mereka.</t>
  </si>
  <si>
    <t>Atasan dan Seluruh Fungsi Terkait</t>
  </si>
  <si>
    <t>Log "Solusi yang Kita Ulang Terus"</t>
  </si>
  <si>
    <t>Memetakan masalah yang berulang beserta solusi yang selalu dipakai untuknya.</t>
  </si>
  <si>
    <t>Daftar masalah yang berulang di unit peserta. Untuk masing-masing catat: solusi apa yang selalu dipakai, sudah berapa kali diulang, berapa lama masalahnya hilang setiap kali, dan asumsi apa yang membuat solusi itu terus dipilih. Perbarui setiap bulan.</t>
  </si>
  <si>
    <t>Log minimal 20 pasangan masalah–solusi berulang; peringkat berdasarkan frekuensi pengulangan dan biayanya. Termasuk review Bulan ke-6 dan ke-12 oleh mentor.</t>
  </si>
  <si>
    <t>Minimal 20 pasangan tercatat dan diperingkat. Minimal 5 di antaranya teridentifikasi sebagai masalah yang sudah berulang lebih dari 1 tahun. Milestone Bulan 6: 12 pasangan tercatat.</t>
  </si>
  <si>
    <t>Latihan "Kalau Cara Ini Dilarang"</t>
  </si>
  <si>
    <t>Memaksa diri keluar dari solusi yang paling dulu terpikir.</t>
  </si>
  <si>
    <t>Untuk setiap masalah yang peserta tangani, susun 1 solusi dengan satu syarat: cara yang BIASA DIPAKAI untuk masalah itu tidak boleh digunakan sama sekali. Tuliskan cara biasanya, mengapa cara itu selama ini dipilih, dan apa alternatif yang muncul ketika ia dilarang.</t>
  </si>
  <si>
    <t>24 catatan latihan; daftar pendekatan alternatif yang muncul.</t>
  </si>
  <si>
    <t>Minimal 20 dari 24 latihan dilakukan. Pada minimal 12, mentor menilai alternatif yang dihasilkan benar-benar berbeda secara pendekatan — bukan variasi dari cara yang sama. Milestone Bulan 6: 10 latihan, minimal 5 dinilai benar-benar berbeda.</t>
  </si>
  <si>
    <t>Refleksi "Asumsi di Balik Cara Lama"</t>
  </si>
  <si>
    <t>Memeriksa apakah alasan sebuah praktik baku masih berlaku.</t>
  </si>
  <si>
    <t>Setiap 3 bulan, ambil 1 praktik baku di unit peserta yang tidak pernah dipertanyakan. Telusuri: asumsi apa yang mendasarinya saat praktik itu dibuat, siapa yang membuatnya dan dalam keadaan seperti apa, serta apakah asumsi itu masih berlaku hari ini. Sampaikan temuan kepada atasan.</t>
  </si>
  <si>
    <t>4 laporan penelusuran; daftar asumsi yang terbukti sudah tidak berlaku.</t>
  </si>
  <si>
    <t>4 laporan selesai. Minimal 2 asumsi terbukti sudah tidak berlaku, dan temuannya diterima atasan sebagai dasar peninjauan praktik. Milestone Bulan 6: 2 laporan.</t>
  </si>
  <si>
    <t>Workshop "Breaking Patterns &amp; Redesigning Solutions"</t>
  </si>
  <si>
    <t>Menguasai teknik membongkar pendekatan yang sudah mengeras.</t>
  </si>
  <si>
    <t>Pelatihan 2 hari: mengenali solusi yang sudah kedaluwarsa, teknik membalik asumsi, analogi lintas industri dan lintas fungsi, memisahkan tujuan dari cara mencapainya, serta menangani hambatan yang membuat cara lama bertahan. Peserta membawa 1 masalah berulang dari log sebagai bahan.</t>
  </si>
  <si>
    <t>Sertifikat; 1 rancangan pendekatan baru untuk masalah berulang yang dibawa.</t>
  </si>
  <si>
    <t>Lulus studi kasus dengan skor ≥80. Rancangan pendekatan baru dinilai atasan ≥4 (skala 1–5) pada aspek perbedaannya dari cara lama — bukan pada kerapiannya.</t>
  </si>
  <si>
    <t>Kursus Online "Prioritisasi Berbasis Dampak"</t>
  </si>
  <si>
    <t>Menentukan masalah mana yang paling mahal bila dibiarkan berulang.</t>
  </si>
  <si>
    <t>Selesaikan kursus online 6 jam: mengelompokkan informasi masalah menurut keterkaitannya, menilai dampak bisnis dan biaya pengulangan, membedakan yang mendesak dari yang penting, serta menetapkan urutan penanganan yang dapat dijelaskan.</t>
  </si>
  <si>
    <t>Sertifikat; 1 peringkat dampak atas 6 masalah berulang.</t>
  </si>
  <si>
    <t>Peringkat disusun untuk 6 masalah dengan dasar dampak dan biaya pengulangan yang terukur. Dinilai atasan ≥4 (skala 1–5) pada ketepatan logika prioritasnya.</t>
  </si>
  <si>
    <t>Micro-learning "Mengapa Solusi Lama Bertahan"</t>
  </si>
  <si>
    <t>Memahami sebab sebuah cara terus dipakai meski terbukti tidak menyelesaikan.</t>
  </si>
  <si>
    <t>Selesaikan modul online 2 jam: biaya tenggelam, kebiasaan organisasi, kepentingan yang terikat pada cara lama, dan rasa aman dari hal yang sudah dikenal. Terapkan pada 3 praktik di unit sendiri.</t>
  </si>
  <si>
    <t>Sertifikat; 3 analisis singkat mengapa praktik tertentu masih bertahan di unit.</t>
  </si>
  <si>
    <t>Ketiga analisis menyebutkan penahan yang spesifik dan dapat diperiksa — bukan alasan umum seperti "resistensi terhadap perubahan". Dinilai mentor ≥4 (skala 1–5).</t>
  </si>
  <si>
    <t>"Pattern Break Clinic" — Peer Unit Head + Mentor Department Head</t>
  </si>
  <si>
    <t>Memaksa munculnya pendekatan yang belum pernah dicoba.</t>
  </si>
  <si>
    <t>Bentuk forum 3–4 peer setingkat ditambah 1 mentor berjenjang Department Head. Setiap 2 bulan, satu peserta membawa 1 masalah berulang beserta solusi yang selama ini dipakai. Peserta lain BERTUGAS mengusulkan pendekatan yang belum pernah dicoba — usulan yang merupakan variasi dari cara lama tidak dihitung.</t>
  </si>
  <si>
    <t>6 sesi (minimal 2 sebagai pemapar); catatan pendekatan baru yang diusulkan dan yang akhirnya dicoba.</t>
  </si>
  <si>
    <t>Minimal 5 dari 6 sesi terlaksana. Dari sesi-sesi tersebut, minimal 3 pendekatan baru benar-benar dicoba pada pekerjaan nyata. Milestone Bulan 6: 3 sesi, minimal 1 pendekatan baru dicoba.</t>
  </si>
  <si>
    <t>Shadowing Atasan saat Menghentikan Cara Kerja Lama</t>
  </si>
  <si>
    <t>Mempelajari bagaimana seorang senior menghentikan praktik yang sudah mengakar.</t>
  </si>
  <si>
    <t>Minta izin mengamati 3 kesempatan di mana atasan menghentikan atau mengganti sebuah cara kerja yang sudah lama dipakai. Catat: apa yang membuatnya memutuskan cara itu harus berhenti, bukti apa yang ia pakai, siapa yang menahan dan bagaimana ia menanganinya, serta bagaimana ia memastikan cara lama tidak kembali.</t>
  </si>
  <si>
    <t>Minimal 3 pola diterapkan ketika peserta menghentikan praktik lama di unitnya sendiri. Divalidasi atasan ≥4 (skala 1–5).</t>
  </si>
  <si>
    <t>Umpan Balik 360° "Keluar dari Cara Lama"</t>
  </si>
  <si>
    <t>Mengukur apakah perubahan pendekatan terasa nyata bagi yang menjalankannya.</t>
  </si>
  <si>
    <t>Kuesioner pre (Bulan 1) dan post (Bulan 11) kepada minimal 8 responden, termasuk tim langsung dan fungsi yang terdampak. Butir MA8 (skala 1–5): "Ia bersedia membatalkan caranya sendiri ketika terbukti tidak efektif"; "Pendekatan yang ia pakai berbeda dari yang biasa dipakai di sini"; "Masalah yang dulu berulang kini tidak muncul lagi"; "Ia mempertanyakan cara kerja yang sudah lama dianggap benar".</t>
  </si>
  <si>
    <t>Kenaikan rata-rata ≥1 poin. Butir "masalah yang dulu berulang kini tidak muncul lagi" wajib naik ≥1 poin dari responden tim langsung — butir ini satu-satunya yang mengukur hasil, bukan niat.</t>
  </si>
  <si>
    <t>Menghentikan 3 Praktik Lama yang Sudah Tidak Efektif</t>
  </si>
  <si>
    <t>Membuktikan kesediaan membongkar cara yang selama ini dipakai, termasuk cara sendiri.</t>
  </si>
  <si>
    <t>Pilih 3 praktik atau solusi lama yang terbukti tidak menyelesaikan masalahnya. Hentikan atau ganti masing-masing dengan pendekatan yang berbeda. Untuk setiap penggantian, dokumentasikan: bukti bahwa cara lama tidak bekerja, pendekatan pengganti, siapa yang menahan dan bagaimana ditangani, serta hasil setelah 3 bulan.</t>
  </si>
  <si>
    <t>3 dokumentasi penggantian praktik; data masalah sebelum dan sesudah selama minimal 3 bulan. Termasuk review Bulan ke-6 dan ke-12 oleh atasan.</t>
  </si>
  <si>
    <t>3 praktik dihentikan atau diganti. Minimal 2 penggantinya masih berjalan setelah 3 bulan DAN masalah yang dituju terbukti menurun dari datanya. Penggantian yang kembali ke cara lama dalam 3 bulan tidak dihitung. Milestone Bulan 6: 1 praktik diganti dan berjalan.</t>
  </si>
  <si>
    <t>Menyelesaikan 1 Masalah yang Sudah Berulang Minimal Dua Tahun</t>
  </si>
  <si>
    <t>Menuntaskan persoalan yang sudah berkali-kali diperbaiki tetapi selalu kembali.</t>
  </si>
  <si>
    <t>Pilih 1 masalah yang sudah berulang minimal dua tahun dan sudah pernah "diperbaiki" lebih dari sekali. Telusuri mengapa perbaikan sebelumnya tidak bertahan, lalu rancang pendekatan yang berbeda secara mendasar — bukan versi yang lebih rapi dari cara sebelumnya. Jalankan dan pantau.</t>
  </si>
  <si>
    <t>1 laporan lengkap: riwayat pengulangan, sebab perbaikan sebelumnya gagal, pendekatan baru, dan data pemantauan.</t>
  </si>
  <si>
    <t>Masalah tidak muncul kembali selama minimal 4 bulan setelah pendekatan baru dijalankan. Atasan menilai ≥4 (skala 1–5) bahwa pendekatan yang dipakai berbeda secara mendasar dari perbaikan-perbaikan sebelumnya.</t>
  </si>
  <si>
    <t>Menyusun Prioritas Penanganan 6 Masalah Unit Berbasis Dampak</t>
  </si>
  <si>
    <t>Menentukan masalah mana yang paling mahal bila dibiarkan berulang, lalu menanganinya sesuai urutan itu.</t>
  </si>
  <si>
    <t>Dari log, ambil 6 masalah berulang. Kelompokkan menurut keterkaitannya, nilai dampak bisnis dan biaya pengulangannya, lalu susun urutan penanganan. Sampaikan urutan itu kepada atasan beserta dasarnya, dan tangani sesuai urutan yang disepakati.</t>
  </si>
  <si>
    <t>1 dokumen prioritisasi dengan dasar dampak yang terukur; bukti penanganan sesuai urutan.</t>
  </si>
  <si>
    <t>Urutan prioritas divalidasi atasan ≥4 (skala 1–5) pada ketepatan logikanya. Minimal 4 dari 6 masalah ditangani sesuai urutan yang disepakati dalam periode program. Milestone Bulan 6: dokumen selesai dan 2 masalah tertangani.</t>
  </si>
  <si>
    <t>Log "Arah yang Saya Berikan Saat Arah Belum Ada"</t>
  </si>
  <si>
    <t>Mengukur seberapa sering peserta memberi arah sebelum kejelasan datang.</t>
  </si>
  <si>
    <t>Setiap kali organisasi atau unit menghadapi periode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</si>
  <si>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rekap triwulanan.</t>
  </si>
  <si>
    <t>Minimal 24 kesempatan tercatat. Proporsi yang diberi arah naik dari baseline triwulan 1 menjadi ≥70% pada triwulan 4. Milestone Bulan 6: 12 kesempatan dan baseline terbentuk.</t>
  </si>
  <si>
    <t>Latihan "Pesan Saat Belum Ada Jawaban"</t>
  </si>
  <si>
    <t>Menyampaikan ketidakpastian secara jujur sambil tetap memberi pekerjaan yang jelas.</t>
  </si>
  <si>
    <t>Susun dan sampaikan pesan kepada tim atau fungsi lain yang memuat tiga hal sekaligus: apa yang memang belum pasti,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</si>
  <si>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pesan oleh mentor.</t>
  </si>
  <si>
    <t>Minimal 14 dari 16 pesan disampaikan. Pada minimal 12, penerima mengonfirmasi mereka tahu apa yang harus dikerjakan setelah mendengarnya. Milestone Bulan 6: 7 pesan, minimal 5 terkonfirmasi.</t>
  </si>
  <si>
    <t>Refleksi "Peluang dari Ketidakpastian"</t>
  </si>
  <si>
    <t>Membiasakan membaca gangguan sebagai kemungkinan, bukan hanya sebagai risiko.</t>
  </si>
  <si>
    <t>Setiap 3 bulan, tinjau ketidakpastian besar yang muncul pada periode itu — perubahan pasar, regulasi, teknologi, atau kondisi internal. Untuk masing-masing tuliskan: peluang strategis apa yang lahir darinya bagi organisasi, apa yang perlu disiapkan sekarang, dan pihak mana yang perlu digerakkan.</t>
  </si>
  <si>
    <t>4 laporan refleksi; daftar peluang strategis beserta usulan langkahnya.</t>
  </si>
  <si>
    <t>4 laporan selesai. Minimal 3 peluang diajukan kepada direksi, dan minimal 1 diterima direksi untuk ditindaklanjuti. Milestone Bulan 6: 2 laporan, minimal 1 peluang diajukan.</t>
  </si>
  <si>
    <t xml:space="preserve">Program "Leading Through Uncertainty" </t>
  </si>
  <si>
    <t>Menguasai cara menggerakkan orang lain ketika arah belum ada.</t>
  </si>
  <si>
    <t>Program eksekutif 3–5 hari: memberi arah tanpa kepastian, berkomunikasi pada masa tidak jelas tanpa kehilangan kepercayaan, menjaga tim tetap bergerak ketika keputusan tertunda, mengenali tanda organisasi mulai membeku, serta mengubah gangguan menjadi peluang strategis.</t>
  </si>
  <si>
    <t>Sertifikat; 1 rencana menggerakkan unit atau fungsi pada situasi nyata yang saat ini belum jelas.</t>
  </si>
  <si>
    <t>Lulus studi kasus dengan skor ≥85. Rencana dijalankan pada situasi nyata dalam 30 hari setelah program, dan penerimanya mengonfirmasi mereka tahu apa yang harus dikerjakan.</t>
  </si>
  <si>
    <t>Kursus "Scenario Planning &amp; Strategic Foresight"</t>
  </si>
  <si>
    <t>Menyusun skenario yang dipakai unit lain untuk bergerak, bukan yang berhenti sebagai dokumen.</t>
  </si>
  <si>
    <t>Selesaikan kursus 10 jam: membaca tren yang belum terlihat langsung, menyusun skenario alternatif, menetapkan sinyal pemantau untuk tiap skenario, dan menurunkan skenario menjadi langkah yang dapat dijalankan unit masing-masing.</t>
  </si>
  <si>
    <t>Sertifikat; 1 set skenario strategis lengkap dengan sinyal pemantau dan langkah turunan per unit.</t>
  </si>
  <si>
    <t>Skenario disusun DAN langkah turunannya dijalankan oleh minimal 2 unit. Pengguna mengonfirmasi skenario itu membantu mereka menentukan tindakan, dengan skor ≥4 (skala 1–5). Skenario yang hanya dipresentasikan tidak dihitung.</t>
  </si>
  <si>
    <t>Direksi dan Unit Pengguna</t>
  </si>
  <si>
    <t>Micro-learning "Membangun Model Analisa Sendiri"</t>
  </si>
  <si>
    <t>Menyusun kerangka analisa sendiri untuk persoalan yang belum ada modelnya.</t>
  </si>
  <si>
    <t>Selesaikan modul online 3 jam: menyusun kerangka analisa dari nol ketika model yang ada tidak memadai, memilih variabel yang benar-benar menentukan, menguji model dengan kasus yang sudah terjadi, dan membuat model cukup sederhana untuk dipakai orang lain.</t>
  </si>
  <si>
    <t>Sertifikat; 1 rancangan model analisa untuk persoalan organisasi yang belum ada kerangkanya.</t>
  </si>
  <si>
    <t>Model diuji pada minimal 2 kasus yang sudah terjadi dan hasilnya sesuai. Dinilai direksi ≥4 (skala 1–5) pada kesederhanaan dan kemudahan dipakai orang lain.</t>
  </si>
  <si>
    <t>"Leading Ambiguity Clinic" — Peer Division Head + Mentor Director</t>
  </si>
  <si>
    <t>Menguji apakah orang yang dipimpin peserta benar-benar bergerak atau hanya menunggu dengan tenang.</t>
  </si>
  <si>
    <t>Bentuk forum 3–4 peer setingkat ditambah 1 mentor berjenjang Director. Setiap 2 bulan, satu peserta memaparkan bagaimana ia menjaga unit atau fungsi tetap bergerak pada periode yang belum jelas. Peserta lain BERTUGAS menantang satu hal: apakah orang-orangnya benar-benar bergerak, atau hanya tidak mengeluh. Pemapar wajib membawa bukti dari pihak yang dipimpinnya.</t>
  </si>
  <si>
    <t>6 sesi (minimal 2 sebagai pemapar); catatan tantangan dan bukti yang dibawa kembali.</t>
  </si>
  <si>
    <t>Minimal 5 dari 6 sesi terlaksana. Pada 2 pemaparan sendiri, peserta menyajikan bukti dari pihak yang dipimpin — bukan penilaian dirinya sendiri. Milestone Bulan 6: 3 sesi, minimal 1 sebagai pemapar.</t>
  </si>
  <si>
    <t>Mentoring dengan Director: Memberi Arah Tanpa Tahu Jawabannya</t>
  </si>
  <si>
    <t>Mempelajari bagaimana pemimpin puncak mengarahkan ketika ia sendiri belum tahu jawabannya.</t>
  </si>
  <si>
    <t>Lakukan minimal 4 sesi mentoring dengan seorang Director atau anggota direksi. Fokus percakapan bukan pada strategi perusahaan, melainkan pada satu hal: bagaimana ia memberi arah kepada orang lain pada saat ia sendiri belum tahu jawabannya, apa yang ia sampaikan dan apa yang ia tahan, serta bagaimana ia menjaga orang tetap bekerja.</t>
  </si>
  <si>
    <t>4 catatan mentoring; daftar 5 pola yang akan diadopsi.</t>
  </si>
  <si>
    <t>4 sesi terlaksana. Minimal 4 pola diterapkan pada situasi nyata dan tercatat dalam log yang dipilih peserta dalam aktivitas ini. Divalidasi mentor ≥4 (skala 1–5).</t>
  </si>
  <si>
    <t>Mentor Director</t>
  </si>
  <si>
    <t>Umpan Balik 360° "Arah di Tengah Ketidakjelasan"</t>
  </si>
  <si>
    <t>Mengukur apakah orang lain tetap efektif karena peserta.</t>
  </si>
  <si>
    <t>Kuesioner pre (Bulan 1) dan post (Bulan 11) kepada minimal 12 responden, WAJIB mencakup minimal 6 orang dari unit DI LUAR unit peserta sendiri. Butir MA10 (skala 1–5): "Ketika keadaan tidak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</si>
  <si>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t>
  </si>
  <si>
    <t>Kenaikan rata-rata ≥1 poin. Butir "saya tahu apa yang harus saya kerjakan karena dia" wajib mencapai ≥4 (skala 1–5), termasuk dari responden di luar unit peserta. Penilaian yang hanya bersumber dari unit sendiri tidak sah.</t>
  </si>
  <si>
    <t>Memimpin 1 Unit atau Fungsi Melewati Periode Ketidakpastian Tinggi</t>
  </si>
  <si>
    <t>Membuktikan orang lain tetap bekerja produktif selama periode yang tidak jelas.</t>
  </si>
  <si>
    <t>Pada 1 periode nyata berdurasi minimal 6 bulan di mana arah organisasi belum jelas dan dampaknya luas, pimpin 1 unit atau fungsi agar tetap bergerak. Tetapkan pekerjaan yang tetap benar apa pun arahnya, sampaikan ketidakpastian secara jujur pada irama yang tetap, dan tinjau ulang setiap kali ada kabar baru.</t>
  </si>
  <si>
    <t>Dokumentasi periode: apa yang belum jelas, arah yang diberikan, irama komunikasi, keluaran unit per bulan, dan penyesuaian setiap ada kejelasan baru. Termasuk review Bulan ke-6 oleh direksi.</t>
  </si>
  <si>
    <t>Selama periode itu keluaran unit tidak menurun dibanding periode normal. Minimal 80% anggota menyatakan tahu apa yang dikerjakan. Tidak ada pekerjaan yang tertahan lebih dari 2 minggu karena menunggu kejelasan. Milestone Bulan 6: periode berjalan dan keluaran 3 bulan pertama tercatat.</t>
  </si>
  <si>
    <t>Direksi dan Anggota Unit</t>
  </si>
  <si>
    <t>Mengembangkan 1 Model Analisa yang Dipakai Unit Lain</t>
  </si>
  <si>
    <t>Menghasilkan kerangka berpikir yang membuat unit lain mampu memutuskan sendiri.</t>
  </si>
  <si>
    <t>Kembangkan 1 model atau kerangka analisa untuk persoalan organisasi yang kompleks dan belum ada pendekatannya. Uji pada kasus yang sudah terjadi, sederhanakan sampai dapat dipakai tanpa kehadiran peserta, lalu serahkan kepada minimal 2 unit lain untuk dipakai. Dampingi pada pemakaian pertama, lalu tarik diri.</t>
  </si>
  <si>
    <t>Dokumen model; hasil pengujian pada kasus lampau; bukti pemakaian oleh minimal 2 unit lain tanpa kehadiran peserta; umpan balik pengguna.</t>
  </si>
  <si>
    <t>Model dipakai minimal 2 unit lain TANPA kehadiran peserta, dan menghasilkan keputusan di unit tersebut. Pengguna menilai ≥4 (skala 1–5) pada kemudahan pemakaian dan kegunaannya. Model yang hanya dipresentasikan atau dipakai peserta sendiri tidak dihitung.</t>
  </si>
  <si>
    <t>Mengubah 1 Ketidakpastian Besar Menjadi Peluang Strategis</t>
  </si>
  <si>
    <t>Menjadikan situasi yang belum jelas sebagai dasar langkah strategis organisasi.</t>
  </si>
  <si>
    <t>Pilih 1 ketidakpastian besar yang sedang dihadapi organisasi — perubahan pasar, regulasi, teknologi, atau struktur. Rumuskan peluang strategis yang lahir darinya, ajukan kepada direksi, dan pimpin minimal 1 langkah nyata dalam periode program. Dokumentasikan bagaimana pihak lain digerakkan untuk menjalankannya.</t>
  </si>
  <si>
    <t>Dokumen usulan peluang; risalah persetujuan direksi; bukti pelaksanaan langkah pertama; catatan pihak yang digerakkan.</t>
  </si>
  <si>
    <t>Peluang diajukan dan disetujui direksi. Minimal 1 langkah nyata dijalankan dalam periode program, dengan pelaksana di luar peserta sendiri. Direksi menilai ≥4 (skala 1–5) pada ketajaman pembacaan peluang dan pada kemampuan menggerakkan pihak lain menjalankannya.</t>
  </si>
  <si>
    <t>Program "Leading Through Uncertainty" (3–5 hari)</t>
  </si>
  <si>
    <t>Kursus "Scenario Planning &amp; Strategic Foresight" (10 jam)</t>
  </si>
  <si>
    <t>Micro-learning "Membangun Model Analisa Sendiri" (3 jam)</t>
  </si>
  <si>
    <t>Jurnal "Reaksi Pertama terhadap Masukan"</t>
  </si>
  <si>
    <t>Mengenali dan memperpendek reaksi defensif pada saat masukan baru diterima.</t>
  </si>
  <si>
    <t>Setiap kali menerima masukan, catat dalam 3 kolom: (1) masukan apa dan dari siapa; (2) reaksi pertama peserta pada 10 detik pertama — membela diri / menjelaskan / diam / bertanya; (3) apa yang akhirnya peserta lakukan. Beri tanda pada entri yang reaksinya defensif.</t>
  </si>
  <si>
    <t>Log minimal 24 entri; rekap proporsi reaksi defensif per triwulan.</t>
  </si>
  <si>
    <t>Proporsi reaksi defensif turun dari baseline triwulan 1 menjadi ≤25% pada triwulan 4. Milestone Bulan 6: minimal 12 entri terisi dan baseline sudah terbentuk.</t>
  </si>
  <si>
    <t>Latihan "Jeda &amp; Tiga Pertanyaan Klarifikasi"</t>
  </si>
  <si>
    <t>Mengganti respons membela diri dengan respons memahami.</t>
  </si>
  <si>
    <t>Saat menerima masukan, tahan penjelasan dan pembelaan. Ajukan lebih dulu 3 pertanyaan klarifikasi: "Bagian mana yang paling perlu saya perbaiki?", "Bisa beri contoh situasinya?", "Kalau Anda di posisi saya, apa yang Anda lakukan berbeda?" Baru setelah itu sampaikan tanggapan.</t>
  </si>
  <si>
    <t>15 catatan penerapan; ringkasan pertanyaan klarifikasi yang paling efektif.</t>
  </si>
  <si>
    <t>Pada minimal 12 dari 15 kejadian, klarifikasi dilakukan sebelum pembelaan, dikonfirmasi oleh pemberi masukan atau mentor.</t>
  </si>
  <si>
    <t>Catatan "Gagasan yang Saya Sampaikan"</t>
  </si>
  <si>
    <t>Melatih keberanian menyampaikan gagasan secara terbuka di forum kerja.</t>
  </si>
  <si>
    <t>Setiap rapat atau forum kerja, catat apakah peserta menyampaikan minimal 1 gagasan atau pertanyaan. Bila tidak, tulis apa yang menahan peserta. Fokus penilaian pada keberanian bersuara, bukan pada kualitas teknik penyampaiannya.</t>
  </si>
  <si>
    <t>Log 30 forum; daftar hambatan pribadi beserta cara mengatasinya.</t>
  </si>
  <si>
    <t>Tingkat partisipasi naik dari baseline triwulan 1 menjadi ≥70% forum pada triwulan 4.</t>
  </si>
  <si>
    <t>Workshop "Menerima Masukan Tanpa Defensif"</t>
  </si>
  <si>
    <t>Memahami mekanisme reaksi defensif dan menguasai teknik meresponsnya.</t>
  </si>
  <si>
    <t>Pelatihan 1 hari: mengapa reaksi defensif muncul, teknik jeda (pause–clarify–thank), membedakan masukan tentang perilaku dan tentang pribadi, serta mengubah masukan menjadi rencana tindakan. Termasuk role-play menerima masukan yang disampaikan secara keras.</t>
  </si>
  <si>
    <t>Sertifikat; 1 rencana aksi menindaklanjuti 2 masukan yang pernah diterima sebelumnya.</t>
  </si>
  <si>
    <t>Lulus role-play "menerima masukan sulit" dengan skor ≥80 dari fasilitator; rencana aksi disetujui atasan dengan skor kelayakan ≥4 (skala 1–5).</t>
  </si>
  <si>
    <t>Kursus Online "Receiving Feedback &amp; Acting on It"</t>
  </si>
  <si>
    <t>Mempelajari cara menyimak dan menindaklanjuti masukan dari sisi penerima.</t>
  </si>
  <si>
    <t>Selesaikan kursus online tentang: menyimak masukan dengan kerangka SBI dari sisi penerima, mengenali tiga pemicu penolakan masukan (kebenaran, relasi, identitas), dan menyusun tindak lanjut yang dapat diverifikasi. Materi 'memberi umpan balik' tidak dipakai pada jenjang ini.</t>
  </si>
  <si>
    <t>Sertifikat; 3 catatan penerapan pada percakapan kerja nyata.</t>
  </si>
  <si>
    <t>3 penerapan terdokumentasi; minimal 2 di antaranya dikonfirmasi pemberi masukan bahwa respons peserta terbuka dan tidak defensif.</t>
  </si>
  <si>
    <t>Micro-learning "Menyampaikan Gagasan Secara Terbuka"</t>
  </si>
  <si>
    <t>Menurunkan hambatan untuk bersuara di forum kerja dan tetap tenang saat gagasan ditanggapi.</t>
  </si>
  <si>
    <t>Selesaikan modul online tentang mengelola rasa segan bersuara, menyampaikan gagasan singkat di forum, dan merespons tanggapan yang tidak setuju. Langsung diuji pada 1 rapat kerja dalam 2 minggu setelah modul selesai.</t>
  </si>
  <si>
    <t>Sertifikat; 1 gagasan disampaikan di rapat beserta catatan tanggapan yang diterima dan respons peserta.</t>
  </si>
  <si>
    <t>1 gagasan disampaikan di forum kerja; peserta mampu menjelaskan bagaimana ia merespons tanggapan yang tidak setuju, dinilai atasan ≥4 (skala 1–5).</t>
  </si>
  <si>
    <t>"Feedback Partner" — Meminta Masukan Rutin dari 3 Rekan</t>
  </si>
  <si>
    <t>Membiasakan menerima masukan dan membuat pemberi masukan merasa masukannya berguna.</t>
  </si>
  <si>
    <t>Pilih 3 rekan kerja yang paling sering berinteraksi dengan peserta. Setiap 2 minggu, minta 1 masukan spesifik dari salah satunya: "apa 1 hal yang sebaiknya saya ubah dari cara saya bekerja dengan Anda?" Dengarkan tanpa membela diri dan ucapkan terima kasih. Dua minggu berikutnya, laporkan balik kepada rekan tersebut apa yang sudah peserta ubah (menutup putaran). Peserta tidak memberi umpan balik kepada rekan — perannya murni sebagai penerima.</t>
  </si>
  <si>
    <t>24 sesi; catatan masukan dan tindak lanjut; konfirmasi putaran tertutup dari rekan. Termasuk verifikasi ke ketiga rekan oleh mentor.</t>
  </si>
  <si>
    <t>Minimal 20 dari 24 sesi terlaksana; minimal 15 masukan mendapat laporan balik dan dikonfirmasi oleh rekan pemberi masukan. Milestone Bulan 6: minimal 10 sesi dan 6 laporan balik.</t>
  </si>
  <si>
    <t>Shadowing Atasan/Senior saat Menerima Kritik atau Pertanyaan Sulit</t>
  </si>
  <si>
    <t>Belajar dari teladan langsung bagaimana orang yang lebih senior merespons kritik dan keberatan.</t>
  </si>
  <si>
    <t>Minta izin mengamati 3 forum di mana atasan atau senior menerima kritik, keberatan, atau pertanyaan sulit. Catat empat hal: reaksi pertamanya, cara ia mengklarifikasi, cara ia memperlakukan pemberi masukan, dan tindak lanjut yang ia lakukan sesudahnya.</t>
  </si>
  <si>
    <t>3 laporan observasi; daftar 3 respons yang akan ditiru.</t>
  </si>
  <si>
    <t>Minimal 2 respons hasil observasi diterapkan pada situasi nyata dan dinilai atasan ≥4 (skala 1–5).</t>
  </si>
  <si>
    <t>Umpan Balik 360° "Keterbukaan Menerima Masukan"</t>
  </si>
  <si>
    <t>Mengukur perubahan persepsi orang lain atas keterbukaan peserta menerima masukan.</t>
  </si>
  <si>
    <t>Kuesioner pre (Bulan 1) dan post (Bulan 11) kepada minimal 5 responden — atasan, rekan sekerja, dan pihak yang dilayani. Butir PA2 (skala 1–5): "Dia mendengarkan masukan saya tanpa membela diri"; "Dia menanyakan maksud saya sebelum menanggapi"; "Saya melihat perubahan nyata setelah memberi masukan kepadanya"; "Saya merasa nyaman memberi masukan kepadanya".</t>
  </si>
  <si>
    <t>Kenaikan rata-rata ≥1 poin; butir "saya merasa nyaman memberi masukan kepadanya" tidak turun. Pengukuran pre wajib selesai sebelum aktivitas lain dimulai.</t>
  </si>
  <si>
    <t>Menindaklanjuti 6 Masukan Menjadi Perubahan Nyata</t>
  </si>
  <si>
    <t>Membuktikan bahwa masukan yang diterima berubah menjadi tindakan, bukan berhenti sebagai catatan.</t>
  </si>
  <si>
    <t>Pilih 6 masukan yang peserta terima sepanjang program. Untuk masing-masing: susun 1 perubahan konkret pada cara kerja, terapkan minimal 4 minggu, lalu minta pemberi masukan menilai apakah perubahan itu benar-benar terlihat olehnya.</t>
  </si>
  <si>
    <t>6 catatan tindak lanjut dengan alur: masukan → perubahan → bukti penerapan → konfirmasi pemberi masukan.</t>
  </si>
  <si>
    <t>Minimal 5 dari 6 perubahan dikonfirmasi terlihat oleh pemberi masukan dengan skor ≥4 (skala 1–5). Milestone Bulan 6: minimal 3 perubahan selesai diterapkan dan dikonfirmasi.</t>
  </si>
  <si>
    <t>Mengajukan 2 Gagasan Perbaikan dan Merevisinya Berdasarkan Keberatan</t>
  </si>
  <si>
    <t>Melatih keterbukaan menyampaikan gagasan sekaligus menerima keberatan atas gagasan sendiri.</t>
  </si>
  <si>
    <t>Identifikasi 2 peluang perbaikan di unit kerja. Ajukan masing-masing kepada atasan dan rekan, lalu minta mereka menyampaikan keberatan dan kelemahannya. Revisi gagasan berdasarkan keberatan itu. Dokumentasikan tiga hal per gagasan: versi awal, daftar keberatan yang diterima, dan versi revisi. Yang dinilai adalah sikap saat menerima keberatan, bukan kualitas presentasinya.</t>
  </si>
  <si>
    <t>2 gagasan, masing-masing dengan 3 dokumen (versi awal, daftar keberatan, versi revisi).</t>
  </si>
  <si>
    <t>Kedua gagasan direvisi secara substantif berdasarkan keberatan — bukan perubahan kosmetik — dan dinilai atasan ≥4 (skala 1–5) pada aspek keterbukaan menerima keberatan. Minimal 1 gagasan disetujui untuk diuji coba.</t>
  </si>
  <si>
    <t>Mengerjakan 1 Penugasan dengan Minimal 3 Putaran Revisi</t>
  </si>
  <si>
    <t>Menguji apakah keterbukaan bertahan ketika koreksi datang berkali-kali atas pekerjaan yang sama.</t>
  </si>
  <si>
    <t>Minta 1 penugasan nyata (laporan, analisis, atau usulan perbaikan proses) yang akan direview atasan minimal 3 putaran. Untuk setiap putaran, catat: koreksi yang diberikan, reaksi peserta saat menerimanya, dan perubahan yang peserta lakukan. Koreksi yang sama tidak boleh berulang di putaran berikutnya.</t>
  </si>
  <si>
    <t>1 dokumen final; 3 catatan putaran revisi; penilaian atasan atas sikap peserta saat direview.</t>
  </si>
  <si>
    <t>Penugasan selesai; koreksi yang sama tidak berulang lebih dari 1 kali; atasan menilai ≥4 (skala 1–5) pada aspek "menerima koreksi tanpa membela diri" dan "menindaklanjuti dengan perubahan nyata".</t>
  </si>
  <si>
    <t>Latihan "Satu Pesan, Tiga Audiens"</t>
  </si>
  <si>
    <t>Melatih penyesuaian bentuk penjelasan untuk audiens berbeda tanpa mengubah inti pesannya.</t>
  </si>
  <si>
    <t>Setiap 2 minggu, pilih 1 materi kerja yang kompleks (data, temuan, usulan). Tulis 3 versi: (1) untuk atasan — keputusan apa yang peserta minta; (2) untuk rekan pelaksana — apa yang harus dikerjakan; (3) untuk pihak di luar unit yang tidak menguasai istilahnya. Catat apa yang dibuang, apa yang wajib dipertahankan, dan istilah teknis apa yang harus diterjemahkan.</t>
  </si>
  <si>
    <t>24 set latihan (72 versi); daftar istilah teknis beserta padanan awamnya.</t>
  </si>
  <si>
    <t>Minimal 20 dari 24 set lengkap. Mentor menilai ≥4 (skala 1–5) pada aspek "inti pesan tetap sama di ketiga versi" — versi yang lebih sederhana tidak boleh mengubah kesimpulannya. Milestone Bulan 6: 10 set.</t>
  </si>
  <si>
    <t>Jurnal "Pertanyaan yang Muncul Setelah Saya Menjelaskan"</t>
  </si>
  <si>
    <t>Mengukur apakah penjelasan benar-benar dipahami sesuai maksud aslinya, bukan sekadar terdengar jelas.</t>
  </si>
  <si>
    <t>Setiap kali menjelaskan sesuatu yang kompleks, catat pertanyaan balik yang muncul dan kelompokkan: (1) pertanyaan pendalaman — tanda penjelasan berhasil; (2) pertanyaan pengulangan atau salah tangkap — tanda penjelasan gagal. Tulis bagian mana dari penjelasan peserta yang menyebabkannya.</t>
  </si>
  <si>
    <t>Log minimal 30 kejadian; rekap proporsi pertanyaan salah-tangkap per triwulan.</t>
  </si>
  <si>
    <t>Proporsi pertanyaan salah-tangkap turun dari baseline triwulan 1 menjadi ≤20% pada triwulan 4. Milestone Bulan 6: baseline terbentuk dan minimal 15 kejadian tercatat.</t>
  </si>
  <si>
    <t>Latihan "Ringkas Satu Halaman"</t>
  </si>
  <si>
    <t>Melatih menyederhanakan dokumen kompleks tanpa menghilangkan hal yang penting.</t>
  </si>
  <si>
    <t>Setiap bulan, ambil 1 dokumen kompleks (laporan, regulasi, notulen panjang, spesifikasi teknis). Ringkas menjadi 1 halaman dengan urutan: kesimpulan di depan, 3 alasan pendukung, 1 tindakan yang diminta. Lalu minta 1 orang yang belum membaca dokumen aslinya menjelaskan ulang isinya hanya dari ringkasan peserta.</t>
  </si>
  <si>
    <t>12 ringkasan satu halaman; catatan hasil uji "jelaskan ulang" untuk setiap ringkasan.</t>
  </si>
  <si>
    <t>Minimal 9 dari 12 ringkasan lolos uji — pembaca mampu menyebutkan kesimpulan dan tindakan yang diminta dengan benar tanpa membaca dokumen asli. Milestone Bulan 6: 5 ringkasan, minimal 3 lolos.</t>
  </si>
  <si>
    <t>Workshop "Structured Communication: Pyramid Principle &amp; SCQA" (2 hari)</t>
  </si>
  <si>
    <t>Menguasai kerangka baku untuk menyusun penjelasan yang runtut dan berkesimpulan di depan.</t>
  </si>
  <si>
    <t>Pelatihan 2 hari: Pyramid Principle (kesimpulan di depan, pengelompokan alasan secara MECE), kerangka SCQA untuk membingkai masalah, teknik menurunkan tingkat abstraksi, dan penyesuaian kedalaman penjelasan per audiens. Peserta wajib membawa 1 materi kerja nyata sebagai bahan latihan.</t>
  </si>
  <si>
    <t>Sertifikat; 1 materi kerja nyata yang disusun ulang dengan kerangka piramida — disertai versi sebelum dan sesudah.</t>
  </si>
  <si>
    <t>Lulus studi kasus dengan skor ≥80 dari fasilitator. Atasan menilai versi sesudah ≥4 (skala 1–5) pada kejelasan struktur dibandingkan versi sebelum.</t>
  </si>
  <si>
    <t>Kursus Online "Data Storytelling untuk Audiens Non-Teknis"</t>
  </si>
  <si>
    <t>Menerjemahkan data dan temuan kompleks menjadi penjelasan yang dipahami audiens non-teknis.</t>
  </si>
  <si>
    <t>Selesaikan kursus tentang: memilih satu pesan utama dari sekumpulan data, memilih bentuk visual yang tepat, menghindari grafik yang menyesatkan, dan menyusun alur dari temuan menuju tindakan.</t>
  </si>
  <si>
    <t>Sertifikat; 1 materi data kerja yang diubah menjadi penjelasan 5 menit untuk audiens non-teknis.</t>
  </si>
  <si>
    <t>Diuji ke minimal 3 pendengar non-teknis: seluruhnya mampu menyebutkan pesan utama dengan benar setelah satu kali mendengar. Atasan menilai ≥4 (skala 1–5).</t>
  </si>
  <si>
    <t>Micro-learning "Menyederhanakan Istilah Teknis"</t>
  </si>
  <si>
    <t>Menguasai teknik analogi dan contoh konkret untuk menjelaskan hal rumit secara akurat.</t>
  </si>
  <si>
    <t>Selesaikan modul online tentang analogi, contoh konkret, dan penurunan tingkat abstraksi. Terapkan langsung dengan menyusun glosarium 15 istilah teknis unit peserta beserta padanan yang dapat dipahami pihak di luar unit.</t>
  </si>
  <si>
    <t>Sertifikat; glosarium 15 istilah teknis beserta padanannya.</t>
  </si>
  <si>
    <t>Glosarium diuji ke 3 orang dari luar unit: minimal 12 dari 15 padanan dinilai tepat dan tidak mengubah arti aslinya, diverifikasi oleh atasan sebagai pemilik istilah.</t>
  </si>
  <si>
    <t>Atasan dan 3 Penguji dari Luar Unit</t>
  </si>
  <si>
    <t>"Clarity Circle" — Uji Penjelasan ke Rekan Lintas Fungsi</t>
  </si>
  <si>
    <t>Menguji apakah penjelasan dipahami sesuai maksud aslinya oleh orang yang tidak menguasai konteksnya.</t>
  </si>
  <si>
    <t>Bentuk forum 4 orang dari fungsi berbeda. Setiap bulan, satu peserta menjelaskan 1 materi kerja kompleks selama 5 menit. Pendengar wajib menjelaskan ulang isinya dengan bahasa sendiri; pemapar mencatat bagian mana yang maknanya bergeser, lalu memperbaiki penjelasannya. Perbedaan fungsi di sini dipakai sebagai variasi audiens, bukan sebagai latihan kolaborasi.</t>
  </si>
  <si>
    <t>12 sesi (minimal 3 sesi sebagai pemapar); catatan pergeseran makna beserta perbaikannya.</t>
  </si>
  <si>
    <t>Minimal 10 dari 12 sesi terlaksana. Pada 3 pemaparan sendiri, ketepatan penjelasan-ulang pendengar naik ≥20% dari pemaparan pertama ke ketiga. Milestone Bulan 6: 5 sesi, minimal 1 sebagai pemapar.</t>
  </si>
  <si>
    <t>Shadowing Atasan/Senior saat Menjelaskan Hal Kompleks</t>
  </si>
  <si>
    <t>Belajar dari teladan langsung bagaimana senior menyusun dan menyesuaikan penjelasan yang rumit.</t>
  </si>
  <si>
    <t>Minta izin mengamati 3 forum di mana atasan atau senior harus menjelaskan hal kompleks kepada audiens yang berbeda tingkat pemahamannya. Catat empat hal: urutan penyampaiannya, apa yang sengaja dibuang, analogi yang dipakai, dan bagaimana ia mengubah kedalaman penjelasan ketika audiens terlihat bingung.</t>
  </si>
  <si>
    <t>3 laporan observasi; daftar 3 teknik yang akan diadopsi.</t>
  </si>
  <si>
    <t>Minimal 2 teknik hasil observasi diterapkan pada penjelasan sendiri dan dinilai atasan ≥4 (skala 1–5).</t>
  </si>
  <si>
    <t>Umpan Balik 360° "Kejelasan Penjelasan"</t>
  </si>
  <si>
    <t>Mengukur perubahan persepsi audiens atas kejelasan dan ketepatan penjelasan peserta.</t>
  </si>
  <si>
    <t>Kuesioner pre (Bulan 1) dan post (Bulan 11) kepada minimal 5 responden, termasuk minimal 2 orang dari luar unit. Butir MA4 (skala 1–5): "Saya memahami penjelasannya sesuai yang ia maksudkan"; "Ia menyusun penjelasan dengan runtut dan kesimpulannya jelas"; "Ia menyesuaikan kedalaman penjelasan dengan tingkat pemahaman saya"; "Ia menyederhanakan hal rumit tanpa menghilangkan hal yang penting".</t>
  </si>
  <si>
    <t>Kenaikan rata-rata ≥1 poin. Butir "menyesuaikan kedalaman penjelasan" wajib naik ≥1 poin — butir ini adalah penanda tahap keempat progresi MA4. Pengukuran pre wajib selesai sebelum aktivitas lain dimulai.</t>
  </si>
  <si>
    <t>Memimpin Proyek Kecil dengan Tim Lintas Fungsi</t>
  </si>
  <si>
    <t>Mempraktikkan penyusunan dan penyesuaian penjelasan secara berulang pada materi kerja nyata.</t>
  </si>
  <si>
    <t>Minta penugasan dari atasan untuk menjadi pihak yang menjelaskan 4 topik kompleks unit — misalnya proses baru, hasil analisis, perubahan ketentuan, atau spesifikasi teknis. Setiap topik disampaikan kepada audiens yang berbeda: tim sendiri, unit lain, atasan, dan pelanggan internal atau eksternal. Untuk tiap topik, siapkan struktur penjelasan dan sesuaikan kedalamannya per audiens.</t>
  </si>
  <si>
    <t>4 materi penjelasan; 4 catatan penyesuaian per audiens; umpan balik dari audiens.</t>
  </si>
  <si>
    <t>Minimal 3 dari 4 topik mendapat skor ≥4 (skala 1–5) dari audiens pada butir "saya memahami sesuai yang dimaksudkan". Milestone Bulan 6: 2 topik selesai disampaikan dan dinilai.</t>
  </si>
  <si>
    <t>Melakukan "Communication Audit" untuk Proses Tim</t>
  </si>
  <si>
    <t>Membuktikan penjelasan cukup terstruktur untuk dipakai orang lain tanpa bantuan penjelasan lisan.</t>
  </si>
  <si>
    <t>Identifikasi 1 hal kompleks yang berulang kali harus dijelaskan di unit — alur proses, cara membaca laporan, atau ketentuan yang sering disalahpahami. Susun 1 dokumen penjelas berupa satu halaman, infografik, atau panduan singkat. Uji ke 3 orang yang belum pernah menerima penjelasan lisan tentang hal itu, lalu revisi berdasarkan bagian yang mereka salah pahami. Lakukan minimal 2 putaran uji.</t>
  </si>
  <si>
    <t>Dokumen final; catatan 2 putaran uji dan revisi; bukti pemakaian oleh orang lain.</t>
  </si>
  <si>
    <t>Dokumen disetujui atasan dan terbukti dipakai minimal 3 kali oleh orang lain tanpa perlu penjelasan lisan tambahan, dengan skor manfaat ≥4 (skala 1–5).</t>
  </si>
  <si>
    <t>Menjadi "Buddy" untuk Karyawan Baru dari Latar Belakang Berbeda</t>
  </si>
  <si>
    <t>Menjelaskan perbandingan yang kompleks sehingga pihak lain dapat mengambil keputusan atas dasar yang benar.</t>
  </si>
  <si>
    <t>Pada 2 kesempatan nyata — misalnya pemilihan vendor, pilihan metode kerja, atau penawaran kepada pelanggan internal maupun eksternal — susun dan sampaikan penjelasan perbandingan: opsi yang tersedia, kelebihan dan kekurangan masing-masing, serta rekomendasi beserta alasannya. Sampaikan langsung kepada pihak yang berwenang memutuskan. Sesuai tingkat kesulitan yang dituntut pada jenjang Analyst.</t>
  </si>
  <si>
    <t>2 materi perbandingan; catatan pertanyaan yang muncul; keputusan yang akhirnya diambil.</t>
  </si>
  <si>
    <t>Pada kedua kesempatan, pihak pemutus mampu menyebutkan ulang trade-off utama dengan benar. Atasan menilai ≥4 (skala 1–5) pada aspek struktur penyajian dan kenetralan — kekurangan opsi yang direkomendasikan tetap disampaikan.</t>
  </si>
  <si>
    <t>Jurnal "Di Balik Ketidaksetujuan"</t>
  </si>
  <si>
    <t>Membiasakan menelusuri kepentingan dan batasan di balik posisi yang dinyatakan, bukan berhenti pada posisinya.</t>
  </si>
  <si>
    <t>Setiap kali menghadapi ketidaksetujuan dalam pekerjaan, catat lima kolom: (1) posisi yang dinyatakan pihak lain; (2) kepentingan apa yang sedang ia jaga; (3) batasan apa yang mengikatnya — target, sumber daya, aturan, atau tuntutan atasannya; (4) asumsi apa yang ia pakai tentang situasi; (5) informasi apa yang akan membuat posisinya berubah. Jangan menuliskan apakah peserta setuju atau tidak.</t>
  </si>
  <si>
    <t>Log minimal 30 entri; daftar kepentingan dan batasan yang berulang pada tiap unit atau pihak.</t>
  </si>
  <si>
    <t>Minimal 30 entri terisi. Mentor menilai ≥4 (skala 1–5) pada kedalaman: kolom kepentingan dan asumsi berisi hal yang TIDAK dinyatakan langsung oleh pihak tersebut, bukan pengulangan posisinya. Milestone Bulan 6: 15 entri.</t>
  </si>
  <si>
    <t>Latihan "Steelman" — Menyampaikan Ulang Argumen Pihak yang Berbeda</t>
  </si>
  <si>
    <t>Menguji kedalaman pemetaan melalui pengakuan langsung dari pihak yang bersangkutan.</t>
  </si>
  <si>
    <t>Setiap 2 minggu, pilih 1 pihak yang berbeda pendapat dengan peserta. Susun argumennya dalam versi TERKUAT — bukan versi yang mudah dibantah — lalu sampaikan rumusan itu kepada orang tersebut dan tanyakan: "apakah ini sudah persis maksud Anda, atau ada yang kurang?" Catat koreksinya. Latihan ini tidak menuntut peserta menyetujui posisinya.</t>
  </si>
  <si>
    <t>24 catatan steelman beserta koreksi dari pihak yang bersangkutan. Termasuk verifikasi silang ke pihak yang dirumuskan.</t>
  </si>
  <si>
    <t>Minimal 20 dari 24 latihan dilakukan. Pada minimal 15 di antaranya, pihak yang bersangkutan mengonfirmasi rumusan sudah tepat tanpa koreksi berarti. Milestone Bulan 6: 10 latihan, minimal 6 terkonfirmasi.</t>
  </si>
  <si>
    <t>Refleksi "Asumsi Saya Sendiri"</t>
  </si>
  <si>
    <t>Mengenali sudut pandang sendiri sebagai satu perspektif di antara yang lain, bukan sebagai kenyataan.</t>
  </si>
  <si>
    <t>Setiap 3 bulan, ambil 3 perselisihan kerja yang peserta alami. Untuk tiap kasus, tuliskan dengan format yang PERSIS SAMA seperti yang peserta pakai untuk memetakan pihak lain: kepentingan apa yang sedang peserta jaga, batasan apa yang mengikat peserta, dan asumsi apa yang peserta pakai tentang situasi tersebut.</t>
  </si>
  <si>
    <t>4 laporan refleksi (12 kasus); daftar asumsi pribadi yang berulang.</t>
  </si>
  <si>
    <t>4 laporan selesai. Mentor menilai ≥4 (skala 1–5) bahwa peserta mampu menyebutkan minimal 2 asumsi pribadinya yang sebelumnya tidak ia sadari. Milestone Bulan 6: 2 laporan.</t>
  </si>
  <si>
    <t>Workshop "Interest-Based Negotiation &amp; Stakeholder Mapping" (2 hari)</t>
  </si>
  <si>
    <t>Menguasai kerangka baku untuk memetakan kepentingan dan batasan pihak lain.</t>
  </si>
  <si>
    <t>Pelatihan 2 hari: membedakan posisi dan kepentingan (interest-based negotiation), pemetaan pemangku kepentingan berdasarkan kepentingan dan batasan, teknik pertanyaan penggali, serta mengenali asumsi tersembunyi di balik keberatan. Peserta wajib membawa 1 perselisihan kerja nyata sebagai bahan latihan.</t>
  </si>
  <si>
    <t>Sertifikat; 1 peta perspektif atas perselisihan kerja nyata.</t>
  </si>
  <si>
    <t>Lulus simulasi dengan skor ≥80. Peta perspektif dinilai atasan ≥4 (skala 1–5), DAN pihak yang dipetakan mengonfirmasi minimal 2 dari 3 kepentingan yang diidentifikasi peserta memang benar.</t>
  </si>
  <si>
    <t>Kursus Online "Perspective Taking &amp; Cognitive Empathy"</t>
  </si>
  <si>
    <t>Mempelajari dasar memahami kerangka pikir orang lain tanpa mencampurnya dengan persetujuan.</t>
  </si>
  <si>
    <t>Selesaikan kursus online tentang perspective taking pada tataran kognitif, pembedaan antara memahami dan menyetujui, bias fundamental attribution error, serta teknik menggali asumsi. Materi pembacaan emosi tidak dipakai pada jenjang ini.</t>
  </si>
  <si>
    <t>Sertifikat; 3 catatan penerapan pada percakapan kerja nyata. Termasuk konfirmasi ke lawan bicara.</t>
  </si>
  <si>
    <t>3 penerapan terdokumentasi; minimal 2 di antaranya dikonfirmasi lawan bicara bahwa peserta memahami maksudnya dengan tepat.</t>
  </si>
  <si>
    <t>Micro-learning "Membaca Ketidaksetujuan yang Tidak Terucap"</t>
  </si>
  <si>
    <t>Mengenali ketidaksetujuan yang tidak dinyatakan terbuka agar perspektifnya dapat digali.</t>
  </si>
  <si>
    <t>Selesaikan modul online tentang tanda ketidaksetujuan yang tidak diucapkan — diam berkepanjangan, persetujuan cepat tanpa satu pun pertanyaan, penundaan komitmen, menyetujui di rapat tetapi tidak menjalankan — dan cara membukanya dengan pertanyaan, bukan konfrontasi.</t>
  </si>
  <si>
    <t>Sertifikat; daftar 5 tanda ketidaksetujuan tidak terucap yang teramati di lingkungan kerja peserta, beserta cara membukanya.</t>
  </si>
  <si>
    <t>Minimal 3 dari 5 tanda berhasil dibuka menjadi percakapan terbuka, dan pihak bersangkutan mengonfirmasi memang ada keberatan yang sebelumnya tidak ia sampaikan.</t>
  </si>
  <si>
    <t>"Perspective Clinic" — Forum Peer Analyst + Mentor Unit Head</t>
  </si>
  <si>
    <t>Menguji kedalaman pemetaan perspektif melalui tantangan rekan setingkat dan mentor yang lebih senior.</t>
  </si>
  <si>
    <t>Bentuk forum berisi 3–4 peer setingkat ditambah 1 mentor berjenjang Unit Head. Setiap bulan, satu peserta membawa 1 perselisihan kerja nyata dan memaparkan peta perspektif pihak lawannya. Peserta lain bertugas menemukan kepentingan atau batasan yang terlewat. Yang dinilai kelengkapan peta, bukan siapa yang benar.</t>
  </si>
  <si>
    <t>10 sesi (minimal 3 sesi sebagai pemapar); catatan kepentingan dan batasan yang terlewat.</t>
  </si>
  <si>
    <t>Minimal 8 dari 10 sesi terlaksana. Pada 3 pemaparan sendiri, jumlah kepentingan atau batasan yang terlewat turun ≥50% dari pemaparan pertama ke ketiga. Milestone Bulan 6: 4 sesi, minimal 1 sebagai pemapar.</t>
  </si>
  <si>
    <t>Shadowing Atasan saat Menghadapi Pihak yang Berbeda Pendapat</t>
  </si>
  <si>
    <t>Mempelajari bagaimana senior memetakan kepentingan lawan bicara sebelum merespons.</t>
  </si>
  <si>
    <t>Minta izin mengamati 3 forum di mana atasan berhadapan dengan pihak yang berbeda pendapat — negosiasi antar unit, pembahasan target, atau keberatan pelanggan internal. Catat empat hal: pertanyaan apa yang ia ajukan untuk menggali, kepentingan apa yang ia identifikasi di balik posisi lawan, batasan apa yang ia hormati, dan pada titik mana ia berhenti menggali.</t>
  </si>
  <si>
    <t>3 laporan observasi; daftar 4 pertanyaan penggali yang akan diadopsi.</t>
  </si>
  <si>
    <t>Minimal 3 pertanyaan penggali hasil observasi diterapkan pada perselisihan peserta dan dinilai atasan ≥4 (skala 1–5).</t>
  </si>
  <si>
    <t>Umpan Balik 360° "Memahami Sudut Pandang Saya"</t>
  </si>
  <si>
    <t>Mengukur perubahan persepsi pihak lain atas ketepatan peserta memahami sudut pandang mereka.</t>
  </si>
  <si>
    <t>Kuesioner pre (Bulan 1) dan post (Bulan 11) kepada minimal 6 responden: atasan, rekan sekerja, dan minimal 3 orang dari unit lain yang pernah berbeda pendapat dengan peserta. Butir khusus PA6 (skala 1–5): "Ia memahami kepentingan saya, bukan hanya posisi saya"; "Ia menanyakan batasan yang saya hadapi sebelum menuntut"; "Ia mampu menyampaikan ulang pandangan saya dengan tepat meski ia tidak setuju"; "Ia tetap menggali meski sudah tahu keputusannya akan berbeda".</t>
  </si>
  <si>
    <t>Kenaikan rata-rata ≥1 poin. Butir "mampu menyampaikan ulang pandangan saya dengan tepat meski tidak setuju" wajib naik ≥1 poin — butir ini adalah pembeda PA6. Pengukuran pre wajib selesai sebelum aktivitas lain dimulai.</t>
  </si>
  <si>
    <t>Menyusun Peta Perspektif untuk 4 Persoalan Lintas Unit</t>
  </si>
  <si>
    <t>Mempraktikkan pemetaan pada persoalan nyata yang melibatkan pihak dengan kepentingan berbeda.</t>
  </si>
  <si>
    <t>Pilih 4 persoalan lintas unit yang sedang berjalan — misalnya penetapan tenggat, perebutan sumber daya, perbedaan standar mutu, atau perubahan prosedur. Untuk masing-masing, susun peta perspektif seluruh pihak yang terlibat: posisi, kepentingan, batasan, asumsi, dan titik temu yang mungkin. Validasikan peta itu langsung kepada pihak yang dipetakan dan catat koreksinya.</t>
  </si>
  <si>
    <t>4 peta perspektif yang sudah divalidasi; catatan koreksi dari tiap pihak.</t>
  </si>
  <si>
    <t>Minimal 3 dari 4 peta dikonfirmasi oleh pihak yang dipetakan bahwa kepentingan dan batasannya tergambar dengan benar, dengan skor ≥4 (skala 1–5). Milestone Bulan 6: 2 peta selesai dan tervalidasi.</t>
  </si>
  <si>
    <t>Menegosiasikan 3 Kesepakatan Lintas Unit Berbasis Kepentingan</t>
  </si>
  <si>
    <t>Menjadikan pemetaan perspektif sebagai dasar mencapai kesepakatan, tanpa mengorbankan kepentingan sendiri.</t>
  </si>
  <si>
    <t>Pada 3 kesempatan nyata — negosiasi tenggat, pembagian sumber daya, atau penyelesaian perbedaan standar — jalankan urutan berikut: petakan kepentingan dan batasan pihak lawan lebih dulu; sampaikan ulang pemahaman peserta kepadanya dan minta koreksi; baru ajukan usulan. Dokumentasikan ketiga tahap itu, bukan hanya hasil akhirnya.</t>
  </si>
  <si>
    <t>3 dokumen negosiasi dengan alur: peta → konfirmasi pihak lawan → usulan → hasil.</t>
  </si>
  <si>
    <t>Pada ketiga kesempatan, pihak lawan mengonfirmasi peserta memahami kepentingannya SEBELUM mengajukan usulan. Minimal 2 mencapai kesepakatan yang dijalankan kedua pihak. Atasan menilai ≥4 (skala 1–5). Milestone Bulan 6: 1 negosiasi selesai.</t>
  </si>
  <si>
    <t>Memetakan 1 Perselisihan yang Belum Terselesaikan</t>
  </si>
  <si>
    <t>Menguji kemampuan memetakan perspektif yang benar-benar berbenturan secara adil.</t>
  </si>
  <si>
    <t>Dengan persetujuan atasan, pilih 1 perselisihan kerja yang berlarut di unit atau antar unit dan belum terselesaikan. Wawancarai seluruh pihak yang terlibat secara terpisah. Susun 1 dokumen yang memaparkan perspektif tiap pihak secara adil — sampai setiap pihak yang membacanya merasa posisinya digambarkan dengan benar. Dokumen ini TIDAK perlu memuat rekomendasi keputusan; tugasnya memetakan, bukan memutuskan.</t>
  </si>
  <si>
    <t>1 dokumen pemetaan perselisihan; konfirmasi tertulis dari seluruh pihak; catatan proses wawancara.</t>
  </si>
  <si>
    <t>Seluruh pihak yang dipetakan (minimal 3 pihak) mengonfirmasi posisinya digambarkan dengan adil. Atasan menilai ≥4 (skala 1–5) pada kenetralan dan kelengkapan pemetaan. Dokumen yang memuat rekomendasi keputusan tidak menggugurkan penilaian, tetapi bagian rekomendasi itu tidak ikut dinilai.</t>
  </si>
  <si>
    <t>Jurnal "Konflik yang Saya Alami Sendiri"</t>
  </si>
  <si>
    <t>Mengenali pola reaksi pribadi ketika berada di dalam perbedaan kepentingan.</t>
  </si>
  <si>
    <t>Setiap kali peserta menjadi PIHAK dalam konflik kerja, catat enam hal: isu yang sebenarnya dipersengketakan, kepentingan peserta, kepentingan pihak lawan, reaksi pertama peserta (menghindar / reaktif / menghadapi), jeda yang peserta ambil sebelum merespons, dan hasil akhirnya. Konflik yang peserta saksikan tetapi tidak melibatkan peserta TIDAK dicatat di jurnal ini.</t>
  </si>
  <si>
    <t>Log minimal 24 entri; rekap proporsi reaksi menghindar dan reaktif per triwulan.</t>
  </si>
  <si>
    <t>Minimal 24 entri terisi. Proporsi reaksi "menghindar" ditambah "reaktif" turun dari baseline triwulan 1 menjadi ≤25% pada triwulan 4. Milestone Bulan 6: 12 entri dan baseline sudah terbentuk.</t>
  </si>
  <si>
    <t>Latihan "Jeda Sebelum Merespons"</t>
  </si>
  <si>
    <t>Mengganti reaksi spontan dengan respons yang dipilih secara sadar.</t>
  </si>
  <si>
    <t>Ketika peserta merasa terpancing dalam perbedaan pendapat kerja, tunda respons — minimal satu tarikan napas penuh untuk percakapan langsung, minimal 30 menit sebelum mengirim untuk komunikasi tertulis. Sebelum merespons, tuliskan dua kalimat: "isu yang sebenarnya adalah ___" dan "yang saya inginkan dari percakapan ini adalah ___". Baru sampaikan respons peserta.</t>
  </si>
  <si>
    <t>20 catatan penerapan berisi kedua kalimat tersebut beserta respons yang akhirnya disampaikan.</t>
  </si>
  <si>
    <t>20 catatan terkumpul. Pada minimal 15 di antaranya, peserta dapat menunjukkan bahwa respons yang disampaikan berbeda dari reaksi pertamanya. Mentor menilai ≥4 (skala 1–5) pada ketepatan perumusan isu. Milestone Bulan 6: 10 catatan.</t>
  </si>
  <si>
    <t>Refleksi "Konflik yang Saya Hindari"</t>
  </si>
  <si>
    <t>Mengenali pola penghindaran dan mengubahnya menjadi tindakan menghadapi.</t>
  </si>
  <si>
    <t>Setiap 3 bulan, daftar perbedaan pendapat atau persoalan yang peserta biarkan berlarut, tidak peserta sampaikan kepada pihak yang bersangkutan, atau peserta serahkan kepada orang lain. Untuk tiap kasus tuliskan: apa yang peserta khawatirkan, apa dampak dari menundanya, dan apa yang akan peserta sampaikan bila menghadapinya sekarang. Pilih minimal 1 kasus per triwulan untuk benar-benar dihadapi.</t>
  </si>
  <si>
    <t>4 laporan refleksi; 4 konflik yang semula dihindari lalu dihadapi langsung. Termasuk validasi atasan bahwa konflik benar-benar dihadapi.</t>
  </si>
  <si>
    <t>4 laporan selesai. Minimal 3 dari 4 konflik yang semula dihindari benar-benar dihadapi sampai tuntas, dinilai atasan ≥4 (skala 1–5). Milestone Bulan 6: 2 laporan, minimal 1 konflik dihadapi.</t>
  </si>
  <si>
    <t>Workshop "Difficult Conversations &amp; Integrative Negotiation" (2 hari)</t>
  </si>
  <si>
    <t>Menguasai teknik menghadapi percakapan sulit ketika kepentingan sendiri yang dipertaruhkan.</t>
  </si>
  <si>
    <t>Pelatihan 2 hari: membedakan isu, emosi, dan identitas dalam percakapan sulit; membuka percakapan tanpa menuduh; memisahkan orang dari masalah; serta negosiasi integratif untuk mencari solusi yang adil bagi kedua pihak. Materi mediasi pihak ketiga TIDAK dipakai pada jenjang ini. Peserta wajib membawa 1 percakapan sulit nyata yang selama ini ditunda.</t>
  </si>
  <si>
    <t>Sertifikat; 1 percakapan sulit nyata yang dijalankan dalam 30 hari setelah workshop beserta catatan hasilnya.</t>
  </si>
  <si>
    <t>Lulus role-play dengan skor ≥80, dengan peran sebagai PIHAK dalam konflik — bukan sebagai penengah. Percakapan sulit nyata terlaksana dalam 30 hari dan dinilai atasan ≥4 (skala 1–5).</t>
  </si>
  <si>
    <t>Kursus Online "Self-Regulation Under Pressure"</t>
  </si>
  <si>
    <t>Menguasai pengelolaan diri ketika percakapan konflik memanas.</t>
  </si>
  <si>
    <t>Selesaikan kursus online: mengenali pemicu pribadi, membaca tanda fisiologis saat terpancing, teknik regulasi diri ketika percakapan sedang berlangsung, dan cara memulihkan percakapan yang terlanjur memanas.</t>
  </si>
  <si>
    <t>Sertifikat; daftar 5 pemicu pribadi beserta rencana respons untuk masing-masing. Termasuk konfirmasi ke lawan bicara.</t>
  </si>
  <si>
    <t>5 pemicu pribadi teridentifikasi. Minimal 3 rencana respons terbukti dipakai pada konflik nyata dan dikonfirmasi lawan bicara bahwa peserta tetap terkendali sepanjang percakapan.</t>
  </si>
  <si>
    <t>Micro-learning "Menyampaikan Keberatan Tanpa Menyerang"</t>
  </si>
  <si>
    <t>Menyampaikan keberatan secara langsung dengan tetap menjaga fokus pada isu.</t>
  </si>
  <si>
    <t>Selesaikan modul online: menyusun kalimat pembuka keberatan yang fokus pada isu, membedakan pernyataan pengamatan dari penilaian atas orang, dan menutup percakapan dengan usulan langkah — bukan dengan kemenangan argumen.</t>
  </si>
  <si>
    <t>Sertifikat; 10 rumusan kalimat pembuka untuk 10 situasi keberatan yang sering muncul di unit peserta.</t>
  </si>
  <si>
    <t>Minimal 6 dari 10 rumusan dipakai pada situasi nyata. Lawan bicara mengonfirmasi keberatan tersampaikan dengan jelas tanpa membuatnya merasa diserang, dengan skor ≥4 (skala 1–5).</t>
  </si>
  <si>
    <t>"Hard Conversation Clinic" — Peer Unit Head + Mentor Department Head</t>
  </si>
  <si>
    <t>Menyiapkan dan mengevaluasi percakapan sulit sendiri bersama rekan setingkat dan mentor yang lebih senior.</t>
  </si>
  <si>
    <t>Bentuk forum berisi 3–4 peer setingkat (Unit Head) ditambah 1 mentor berjenjang Department Head. Setiap 2 bulan, satu peserta membawa 1 konflik yang sedang ia hadapi sendiri. Sesi dibagi dua bagian: latihan percakapan — peserta lain memerankan pihak lawan dengan versi terkerasnya — dan evaluasi setelah percakapan nyata benar-benar dilakukan.</t>
  </si>
  <si>
    <t>6 sesi (minimal 2 sesi sebagai pembawa kasus); catatan latihan dan hasil percakapan nyata.</t>
  </si>
  <si>
    <t>Minimal 5 dari 6 sesi terlaksana. Pada 2 kasus sendiri, percakapan nyata benar-benar dilakukan dalam 30 hari setelah sesi latihan — bukan berhenti sebagai rencana. Milestone Bulan 6: 3 sesi, minimal 1 kasus sendiri sudah dijalankan.</t>
  </si>
  <si>
    <t>Shadowing Atasan saat Ia Menjadi Pihak dalam Perbedaan Kepentingan</t>
  </si>
  <si>
    <t>Mempelajari bagaimana senior menghadapi perbedaan kepentingan yang menyangkut dirinya sendiri.</t>
  </si>
  <si>
    <t>Minta izin mengamati 3 forum di mana atasan SENDIRI berada dalam perbedaan kepentingan — bukan sedang menengahi konflik orang lain. Misalnya menolak permintaan unit lain, mempertahankan anggaran, atau berbeda pendapat dengan atasannya sendiri. Catat: bagaimana ia membuka, bagaimana ia menjaga fokus ketika dipancing, apa yang ia pertahankan dan apa yang ia lepaskan, serta bagaimana ia menutup.</t>
  </si>
  <si>
    <t>3 laporan observasi; daftar 4 teknik yang akan diadopsi.</t>
  </si>
  <si>
    <t>Minimal 3 teknik hasil observasi diterapkan pada konflik sendiri dan dinilai atasan ≥4 (skala 1–5).</t>
  </si>
  <si>
    <t>Umpan Balik 360° "Menghadapi Perbedaan Kepentingan"</t>
  </si>
  <si>
    <t>Mengukur perubahan persepsi pihak-pihak yang pernah berselisih dengan peserta.</t>
  </si>
  <si>
    <t>Kuesioner pre (Bulan 1) dan post (Bulan 11) kepada minimal 8 responden: anggota tim, rekan setingkat, atasan, dan minimal 2 pihak lintas unit yang pernah berselisih dengan peserta. Butir khusus PA10 (skala 1–5): "Ia menyampaikan keberatannya langsung kepada saya, bukan kepada orang lain"; "Ia tetap tenang ketika percakapan memanas"; "Ia tetap fokus pada persoalannya, bukan pada orangnya"; "Solusi yang ia usulkan adil bagi kedua pihak"; "Setelah kami berselisih, hubungan kerja tetap berjalan baik".</t>
  </si>
  <si>
    <t>Kenaikan rata-rata ≥1 poin. Butir "menyampaikan keberatan langsung kepada saya" dan "tetap tenang ketika percakapan memanas" wajib naik ≥1 poin. Responden lintas unit wajib disertakan — penilaian yang hanya bersumber dari anggota tim sendiri tidak sah.</t>
  </si>
  <si>
    <t>Menghadapi 4 Perbedaan Kepentingan Lintas Unit sebagai Pihak</t>
  </si>
  <si>
    <t>Mempraktikkan penanganan konflik langsung ketika kepentingan unit sendiri yang dipertaruhkan.</t>
  </si>
  <si>
    <t>Pada 4 kesempatan nyata di mana kepentingan unit peserta berbenturan dengan pihak lain — penolakan permintaan yang tidak wajar, perebutan sumber daya, perbedaan standar mutu, atau tenggat yang tidak realistis — hadapi langsung pihak tersebut. Jangan menyerahkannya kepada atasan sebagai langkah pertama dan jangan membiarkannya berlarut. Dokumentasikan: isu, posisi kedua pihak, jalannya percakapan, dan kesepakatan yang dicapai.</t>
  </si>
  <si>
    <t>4 dokumentasi penanganan; umpan balik dari pihak lawan pada setiap kasus.</t>
  </si>
  <si>
    <t>4 kasus dihadapi langsung tanpa dieskalasikan ke atasan sebagai jalan pertama. Minimal 3 mencapai kesepakatan yang dijalankan kedua pihak. Pihak lawan menilai ≥4 (skala 1–5) pada butir "tetap fokus pada isu" dan "solusinya adil bagi kedua pihak". Milestone Bulan 6: 2 kasus selesai.</t>
  </si>
  <si>
    <t>Menegakkan 1 Standar atau Aturan yang Sedang Ditolak Pihak Lain</t>
  </si>
  <si>
    <t>Menghadapi konflik yang timbul dari posisi sendiri sebagai pemegang standar, tanpa menjadi reaktif.</t>
  </si>
  <si>
    <t>Pilih 1 standar, aturan, atau keputusan yang menjadi tanggung jawab peserta dan sedang ditolak atau tidak dijalankan — baik oleh anggota tim maupun unit lain. Hadapi pihak yang menolak secara langsung: sampaikan dasar aturannya, dengarkan keberatannya sampai tuntas, pisahkan bagian yang dapat disesuaikan dari yang tidak dapat, dan pastikan aturan tetap berjalan. Dokumentasikan seluruh percakapan.</t>
  </si>
  <si>
    <t>Dokumentasi percakapan; catatan penyesuaian yang diberikan dan yang ditolak beserta alasannya; bukti aturan dijalankan.</t>
  </si>
  <si>
    <t>Aturan dijalankan setelah percakapan. Pihak yang semula menolak mengonfirmasi ia memahami dasar aturannya dan merasa keberatannya benar-benar didengar, MESKI keputusannya tidak berubah, dengan skor ≥4 (skala 1–5). Atasan menilai ≥4 (skala 1–5) pada ketegasan dan ketenangan penyampaian.</t>
  </si>
  <si>
    <t>Menyampaikan 2 Ketidaksetujuan kepada Atasan atau Pihak yang Lebih Senior</t>
  </si>
  <si>
    <t>Menguji keberanian menghadapi ketika perbedaan pendapat membawa risiko bagi diri sendiri.</t>
  </si>
  <si>
    <t>Pada 2 kesempatan nyata di mana peserta tidak sependapat dengan keputusan atasan atau pihak yang lebih senior, sampaikan ketidaksetujuan itu langsung kepadanya SEBELUM keputusan dijalankan — bukan sesudahnya, dan bukan kepada orang lain. Sampaikan dasar keberatan, risiko yang peserta lihat, dan usulan alternatif. Setelah keputusan final diambil, jalankan keputusan itu sepenuhnya apa pun hasilnya, dan catat bagaimana peserta menyampaikannya kepada tim. Sepakati dahulu aktivitas ini dengan atasan pada awal program.</t>
  </si>
  <si>
    <t>2 dokumentasi memuat keberatan yang disampaikan, tanggapan yang diterima, keputusan akhir, dan cara peserta menjalankannya bersama tim.</t>
  </si>
  <si>
    <t>2 ketidaksetujuan disampaikan langsung sebelum keputusan dijalankan. Atasan menilai ≥4 (skala 1–5) pada keberanian dan kenetralan penyampaian. Pada kedua kasus, keputusan final tetap dijalankan sepenuhnya oleh peserta dan timnya — keberanian berbeda pendapat tidak berubah menjadi resistensi pelaksanaan.</t>
  </si>
  <si>
    <t>"Peta Stakeholder Sulit" — Portofolio 5 Pihak Kunci</t>
  </si>
  <si>
    <t>Menetapkan objek pengembangan yang konkret dan dapat dilacak sepanjang 12 bulan.</t>
  </si>
  <si>
    <t>Pada Bulan ke-1, daftarkan 5 stakeholder yang hubungan kerjanya SECARA STRUKTURAL sulit — kepentingannya berbeda dari unit peserta, pengaruhnya besar, atau riwayat kerja samanya bermasalah. Untuk masing-masing catat: sumber kesulitannya (kepentingan berbeda / gaya / riwayat / struktur), apa yang ia butuhkan dari peserta, apa yang peserta butuhkan darinya, dan kondisi hubungan saat ini pada skala 1–5. Perbarui setiap bulan. Minimal 2 dari 5 berasal dari luar divisi peserta atau luar organisasi.</t>
  </si>
  <si>
    <t>Peta stakeholder; 12 pembaruan bulanan; grafik tren kondisi hubungan per stakeholder.</t>
  </si>
  <si>
    <t>5 stakeholder ditetapkan pada Bulan ke-1 dan TIDAK diganti sepanjang program, kecuali yang bersangkutan pindah atau keluar dengan persetujuan mentor. 12 pembaruan terisi. Milestone Bulan 6: peta lengkap dan 6 pembaruan terisi.</t>
  </si>
  <si>
    <t>Jurnal "Deposit dan Penarikan" per Stakeholder</t>
  </si>
  <si>
    <t>Menyadari bahwa modal hubungan dibentuk oleh interaksi kecil yang berulang.</t>
  </si>
  <si>
    <t>Setiap interaksi dengan 5 stakeholder portofolio, catat apakah interaksi itu MENAMBAH atau MENGURANGI modal hubungan, dan mengapa. Contoh deposit: menepati janji kecil, memberi informasi lebih awal, mengakui kepentingannya di forum. Contoh penarikan: menagih di depan umum, membatalkan sepihak, mengabaikan permintaan tanpa kabar.</t>
  </si>
  <si>
    <t>Log minimal 60 interaksi; rekap rasio deposit terhadap penarikan per stakeholder per triwulan.</t>
  </si>
  <si>
    <t>Minimal 60 entri. Rasio deposit terhadap penarikan naik pada minimal 4 dari 5 stakeholder dari triwulan 1 ke triwulan 4. Milestone Bulan 6: 30 entri dan baseline rasio sudah terbentuk.</t>
  </si>
  <si>
    <t>Refleksi "Pendekatan yang Berbeda per Stakeholder"</t>
  </si>
  <si>
    <t>Memastikan pendekatan benar-benar dibedakan berdasarkan sumber kesulitan masing-masing pihak.</t>
  </si>
  <si>
    <t>Setiap 3 bulan, untuk tiap stakeholder portofolio tuliskan: pendekatan apa yang terbukti berhasil, apa yang justru memperburuk, dan apa yang akan peserta ubah pada triwulan berikutnya. Bandingkan kelima pendekatan berdampingan — bila kelimanya sama, berarti peserta belum menyesuaikan.</t>
  </si>
  <si>
    <t>4 laporan triwulanan (5 stakeholder × 4 triwulan = 20 catatan penyesuaian).</t>
  </si>
  <si>
    <t>4 laporan selesai. Mentor menilai ≥4 (skala 1–5) bahwa pendekatan antar stakeholder benar-benar berbeda DAN perbedaannya berdasar pada sumber kesulitan masing-masing, bukan pada preferensi pribadi peserta. Milestone Bulan 6: 2 laporan.</t>
  </si>
  <si>
    <t>Workshop "Stakeholder Management &amp; Coalition Building" (2 hari)</t>
  </si>
  <si>
    <t>Menguasai kerangka pengelolaan relasi yang berumur panjang, bukan penanganan peristiwa.</t>
  </si>
  <si>
    <t>Pelatihan 2 hari: pemetaan pengaruh dan kepentingan, membangun koalisi dan dukungan sebelum keputusan diambil, mengelola pihak yang kepentingannya berbeda secara struktural, dan menjaga relasi melintasi siklus proyek. Materi percakapan sulit satu peristiwa tidak dipakai pada jenjang ini. Peserta wajib membawa peta stakeholder dari portofolio aktivitas ini.</t>
  </si>
  <si>
    <t>Sertifikat; 1 rencana relasi 12 bulan untuk masing-masing dari 5 stakeholder portofolio.</t>
  </si>
  <si>
    <t>Lulus studi kasus dengan skor ≥80. Rencana relasi dinilai atasan ≥4 (skala 1–5) pada kelayakan DAN pada perbedaan pendekatan antar kelima stakeholder.</t>
  </si>
  <si>
    <t>Kursus Online "Negotiating Long-Term Agreements &amp; Win-Win Analysis"</t>
  </si>
  <si>
    <t>Menyusun kesepakatan yang menguntungkan kedua pihak dan bertahan setelah disepakati.</t>
  </si>
  <si>
    <t>Selesaikan kursus: analisis win-win berbasis kepentingan, BATNA dan ZOPA, merancang kesepakatan yang tetap berlaku ketika keadaan berubah, serta menjaga kesepakatan agar benar-benar dijalankan setelah disetujui. Fokus pada kesepakatan berulang dengan pihak yang sama, bukan transaksi sekali jalan.</t>
  </si>
  <si>
    <t>Sertifikat; 1 analisis win-win untuk 1 stakeholder portofolio, memuat kepentingan kedua pihak dan usulan kesepakatan.</t>
  </si>
  <si>
    <t>Analisis dinilai atasan ≥4 (skala 1–5). Stakeholder yang dianalisis mengonfirmasi kepentingan dan batasannya tergambar dengan benar.</t>
  </si>
  <si>
    <t>Atasan dan Stakeholder yang Dianalisis</t>
  </si>
  <si>
    <t>Micro-learning "Memulihkan Hubungan Kerja yang Rusak"</t>
  </si>
  <si>
    <t>Mengembalikan kerja sama setelah hubungan sempat memburuk — inti dari keberlanjutan relasi.</t>
  </si>
  <si>
    <t>Selesaikan modul: mengenali tanda hubungan kerja mulai memburuk, membuka kembali percakapan setelah perselisihan, memperbaiki relasi tanpa mengorbankan posisi, dan membangun ulang kepercayaan melalui komitmen kecil yang ditepati.</t>
  </si>
  <si>
    <t>Sertifikat; 1 rencana pemulihan untuk stakeholder dengan skor hubungan TERENDAH pada peta portofolio.</t>
  </si>
  <si>
    <t>Rencana pemulihan dijalankan. Skor kondisi hubungan stakeholder tersebut naik minimal 1 poin DAN bertahan minimal 3 bulan berturut-turut.</t>
  </si>
  <si>
    <t>"Stakeholder Review" — Peer Department Head + Mentor Division Head</t>
  </si>
  <si>
    <t>Menguji apakah perbaikan relasi bertahan atau hanya akibat satu peristiwa baik.</t>
  </si>
  <si>
    <t>Bentuk forum berisi 3–4 peer setingkat (Department Head) ditambah 1 mentor berjenjang Division Head. Setiap 2 bulan, satu peserta memaparkan perkembangan 1 stakeholder dari portofolionya SEJAK SESI TERAKHIR: apa yang dicoba, apa hasilnya, dan ke mana arah hubungannya. Peserta lain bertugas menantang — apakah perbaikannya bertahan, atau hanya efek satu pertemuan yang kebetulan berjalan baik.</t>
  </si>
  <si>
    <t>6 sesi (minimal 2 sesi sebagai pemapar); catatan tantangan dan penyesuaian strategi relasi.</t>
  </si>
  <si>
    <t>Minimal 5 dari 6 sesi terlaksana. Pada 2 pemaparan sendiri, peserta mampu menunjukkan TREN hubungan lintas beberapa bulan — bukan sekadar menceritakan satu peristiwa. Milestone Bulan 6: 3 sesi, minimal 1 pemaparan sendiri.</t>
  </si>
  <si>
    <t>Shadowing Atasan dalam Satu Relasi Sulit yang Sama Sepanjang Beberapa Bulan</t>
  </si>
  <si>
    <t>Mempelajari bagaimana senior memelihara satu relasi sulit dari waktu ke waktu.</t>
  </si>
  <si>
    <t>Minta izin mengamati 3 rangkaian interaksi antara atasan dengan SATU stakeholder sulit YANG SAMA, tersebar sepanjang beberapa bulan — bukan 3 peristiwa terpisah dengan 3 pihak berbeda. Catat: bagaimana ia menjaga kontak di luar masa krisis, apa yang ia berikan tanpa diminta, bagaimana ia menagih tanpa merusak hubungan, dan bagaimana ia menutup perbedaan tanpa menuntut kemenangan.</t>
  </si>
  <si>
    <t>3 laporan observasi atas 1 relasi yang sama; daftar 4 pola yang akan diadopsi.</t>
  </si>
  <si>
    <t>Minimal 3 pola hasil observasi diterapkan pada stakeholder portofolio sendiri dan dinilai atasan ≥4 (skala 1–5).</t>
  </si>
  <si>
    <t>Umpan Balik 360° "Hubungan Kerja Jangka Panjang"</t>
  </si>
  <si>
    <t>Mengukur perubahan kualitas relasi dari pihak yang hubungannya memang sulit.</t>
  </si>
  <si>
    <t>Kuesioner pre (Bulan 1) dan post (Bulan 11). Responden WAJIB mencakup kelima stakeholder portofolio, ditambah atasan dan 2 rekan setingkat. Butir PA12 (skala 1–5): "Saya bersedia bekerja sama lagi dengannya pada urusan berikutnya"; "Ia tetap menjaga komunikasi meski sedang tidak ada kepentingan dengan saya"; "Ia memahami batasan dan tekanan yang saya hadapi"; "Kesepakatan dengannya dijalankan, bukan hanya disetujui"; "Perbedaan kepentingan di antara kami tidak merusak kerja sama".</t>
  </si>
  <si>
    <t>2 laporan (pre dan post); analisis kenaikan per butir dan per stakeholder.</t>
  </si>
  <si>
    <t>Kenaikan rata-rata ≥1 poin. Butir "bersedia bekerja sama lagi pada urusan berikutnya" wajib naik pada minimal 4 dari 5 stakeholder portofolio — inilah penanda keberlanjutan relasi. Pengukuran yang tidak menyertakan kelima stakeholder portofolio tidak sah.</t>
  </si>
  <si>
    <t>Memperbaiki Hubungan Kerja dengan 3 Stakeholder Sulit Sepanjang 9 Bulan</t>
  </si>
  <si>
    <t>Membuktikan perbaikan relasi yang bertahan, bukan perbaikan sesaat.</t>
  </si>
  <si>
    <t>Dari 5 stakeholder portofolio, pilih 3 dengan kondisi hubungan terendah. Untuk masing-masing, jalankan rencana relasi sepanjang minimal 9 bulan yang memuat empat hal: kontak terjadwal di luar masa krisis;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</si>
  <si>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t>
  </si>
  <si>
    <t>Pada minimal 2 dari 3 stakeholder, skor kondisi hubungan naik minimal 1 poin DAN bertahan minimal 3 bulan berturut-turut. Stakeholder yang bersangkutan mengonfirmasi perbaikan itu dengan skor ≥4 (skala 1–5). Kenaikan yang tidak bertahan 3 bulan tidak dihitung. Milestone Bulan 6: 3 rencana berjalan dan tren awal terlihat.</t>
  </si>
  <si>
    <t>Mencapai 2 Kesepakatan Win-Win dengan Pihak Berkepentingan Berbeda</t>
  </si>
  <si>
    <t>Menyusun kesepakatan yang menguntungkan kedua pihak dan terbukti dijalankan.</t>
  </si>
  <si>
    <t>Pada 2 kesempatan nyata dengan pihak yang kepentingannya berbeda secara struktural — unit lain yang bersaing memperebutkan sumber daya, mitra, vendor, atau pihak eksternal — capai kesepakatan yang menguntungkan kedua pihak. Urutannya: petakan kepentingan dan batasan kedua belah pihak, susun opsi yang menambah nilai bagi keduanya, sepakati, lalu PANTAU pelaksanaannya minimal 3 bulan. Yang dinilai bukan tercapainya kesepakatan, melainkan apakah kesepakatan itu benar-benar dijalankan.</t>
  </si>
  <si>
    <t>2 dokumen kesepakatan; catatan pemantauan pelaksanaan selama 3 bulan; konfirmasi kedua pihak.</t>
  </si>
  <si>
    <t>Kedua kesepakatan dijalankan oleh kedua belah pihak selama minimal 3 bulan tanpa perlu dinegosiasikan ulang. Pihak lawan mengonfirmasi kesepakatan itu menguntungkan pihaknya juga, dengan skor ≥4 (skala 1–5). Milestone Bulan 6: 1 kesepakatan tercapai dan mulai dipantau.</t>
  </si>
  <si>
    <t>Memelihara 1 Relasi Sulit Tanpa Kepentingan Langsung</t>
  </si>
  <si>
    <t>Menguji apakah peserta memelihara relasi sebagai investasi jangka panjang atau hanya saat membutuhkan.</t>
  </si>
  <si>
    <t>Pilih 1 stakeholder berpengaruh yang hubungan kerjanya sulit tetapi saat ini peserta TIDAK memiliki kepentingan langsung dengannya. Jaga relasi secara terjadwal sepanjang minimal 6 bulan: berbagi informasi yang berguna baginya, mengundangnya pada forum yang relevan, menanyakan tantangan yang ia hadapi. Catat setiap kontak. Jangan meminta apa pun darinya selama 6 bulan pertama.</t>
  </si>
  <si>
    <t>Catatan kontak selama minimal 6 bulan; refleksi perubahan kualitas relasi; umpan balik dari stakeholder.</t>
  </si>
  <si>
    <t>Kontak terjadwal berjalan minimal 6 bulan tanpa jeda lebih dari 6 minggu. Stakeholder mengonfirmasi relasi terasa tulus dan bukan transaksional, dengan skor ≥4 (skala 1–5). Atasan menilai ≥4 (skala 1–5). Permintaan bantuan yang diajukan sebelum bulan keenam menggugurkan aktivitas ini.</t>
  </si>
  <si>
    <t>Atasan dan Mentor</t>
  </si>
  <si>
    <t>Jurnal "Keberpihakan yang Saya Rasakan"</t>
  </si>
  <si>
    <t>Mengenali kecenderungan berpihak yang muncul sebelum peserta bertindak sebagai penengah.</t>
  </si>
  <si>
    <t>Setiap kali peserta menyaksikan atau diminta menengahi perbedaan antar pihak, catat SEBELUM bertindak: pihak mana yang secara naluriah lebih peserta percayai, apa dasarnya (kedekatan, riwayat kerja, kesamaan cara berpikir, kepentingan organisasi), dan apa yang akan terlihat berbeda bila kecenderungan itu dihapus. Catat juga bila ada pihak yang sempat menyinggung bahwa peserta berat sebelah.</t>
  </si>
  <si>
    <t>Log minimal 24 entri; daftar pola keberpihakan pribadi yang berulang.</t>
  </si>
  <si>
    <t>Minimal 24 entri terisi. Mentor menilai ≥4 (skala 1–5) bahwa peserta mampu menyebutkan minimal 3 pola keberpihakan dirinya yang berulang. Milestone Bulan 6: 12 entri dan pola awal teridentifikasi.</t>
  </si>
  <si>
    <t>Latihan "Merumuskan Ulang Dua Posisi Sekaligus"</t>
  </si>
  <si>
    <t>Melatih kemampuan menggambarkan dua posisi yang berlawanan secara adil bagi keduanya.</t>
  </si>
  <si>
    <t>Setiap 2 minggu, ambil 1 perbedaan yang sedang berlangsung antara dua pihak di organisasi. Tulis posisi dan kepentingan KEDUA pihak dalam versi terkuat masing-masing. Sampaikan rumusan itu kepada keduanya SECARA TERPISAH dan tanyakan: "apakah ini sudah adil menggambarkan posisi Anda?" Catat koreksinya.</t>
  </si>
  <si>
    <t>20 catatan rumusan; koreksi dari kedua pihak pada setiap kasus.</t>
  </si>
  <si>
    <t>Minimal 16 dari 20 latihan dilakukan. Pada minimal 12 kasus, KEDUA pihak mengonfirmasi rumusan sudah adil tanpa koreksi berarti. Kasus di mana hanya satu pihak mengonfirmasi TIDAK dihitung. Milestone Bulan 6: 8 latihan, minimal 5 terkonfirmasi kedua pihak.</t>
  </si>
  <si>
    <t>Refleksi "Konflik yang Saya Ikut Berkepentingan"</t>
  </si>
  <si>
    <t>Menjaga disiplin batas peran antara penengah dan pihak yang berkepentingan.</t>
  </si>
  <si>
    <t>Setiap 3 bulan, daftar perbedaan antar pihak yang sempat peserta tengahi atau diminta tengahi. Untuk masing-masing tentukan: apakah peserta benar-benar tidak berkepentingan atas hasilnya. Bila ada kepentingan — anggaran divisi peserta, posisi orang peserta, atau reputasi keputusan lama peserta — catat, lalu tentukan apakah peserta menyatakannya terbuka di muka atau mengalihkan peran itu kepada pihak lain.</t>
  </si>
  <si>
    <t>4 laporan refleksi; daftar kasus yang dialihkan atau dideklarasikan beserta alasannya.</t>
  </si>
  <si>
    <t>4 laporan selesai. Minimal 2 kasus di mana peserta mengenali dirinya berkepentingan lalu mengalihkan peran atau menyatakan kepentingannya di muka kepada kedua pihak, dinilai atasan ≥4 (skala 1–5). Milestone Bulan 6: 2 laporan.</t>
  </si>
  <si>
    <t>Workshop "Mediation &amp; Facilitated Dialogue for Executives" (3 hari)</t>
  </si>
  <si>
    <t>Menguasai tahapan dan disiplin mediasi dari posisi penengah.</t>
  </si>
  <si>
    <t>Pelatihan 3 hari: tahapan mediasi (menyepakati peran, kaukus terpisah, sesi bersama, penyusunan kesepakatan), menjaga netralitas yang terasa bagi kedua pihak, teknik memastikan semua pihak didengar, menangani ketimpangan kekuasaan antar pihak, dan merancang kesepakatan yang mengikat. Seluruh role-play menempatkan peserta sebagai PENENGAH, bukan sebagai pihak.</t>
  </si>
  <si>
    <t>Sertifikat; 1 rancangan proses mediasi untuk 1 konflik nyata di organisasi.</t>
  </si>
  <si>
    <t>Lulus role-play sebagai penengah dengan skor ≥85. Pada role-play, KEDUA pemeran pihak menilai peserta netral dengan skor ≥4 (skala 1–5) — penilaian netral dari satu pemeran saja tidak memenuhi standar.</t>
  </si>
  <si>
    <t>Fasilitator dan Pemeran Pihak dalam Role-Play</t>
  </si>
  <si>
    <t>Kursus Online "Power, Neutrality &amp; Process Design in Multiparty Conflict"</t>
  </si>
  <si>
    <t>Merancang proses dialog yang tetap adil ketika kekuatan para pihak tidak seimbang.</t>
  </si>
  <si>
    <t>Selesaikan kursus: merancang proses (siapa hadir, urutan bicara, aturan main, transparansi informasi), menjaga keadilan proses ketika salah satu pihak jauh lebih berkuasa, mengelola perwakilan dan mandat yang dibawanya, serta membedakan kesepakatan yang dipaksakan dari yang benar-benar disepakati.</t>
  </si>
  <si>
    <t>Sertifikat; 1 rancangan aturan main untuk forum multi-pihak di organisasi.</t>
  </si>
  <si>
    <t>Rancangan disetujui atasan atau direksi dengan skor ≥4 (skala 1–5), dan diuji pada minimal 1 forum nyata. Seluruh pihak yang hadir menilai prosesnya adil dengan skor ≥4 (skala 1–5).</t>
  </si>
  <si>
    <t>Atasan/Direksi dan Peserta Forum</t>
  </si>
  <si>
    <t>Micro-learning "Menyusun Kesepakatan yang Bertahan"</t>
  </si>
  <si>
    <t>Menyusun kesepakatan yang benar-benar dijalankan setelah para pihak kembali ke unitnya.</t>
  </si>
  <si>
    <t>Selesaikan modul: unsur kesepakatan yang dapat dijalankan (siapa melakukan apa, kapan, bagaimana diperiksa, apa yang terjadi bila tidak dijalankan), mekanisme peninjauan berkala, dan cara menutup mediasi sehingga kesepakatan dimiliki kedua pihak — bukan dimiliki penengahnya.</t>
  </si>
  <si>
    <t>Sertifikat; 1 format kesepakatan mediasi yang dipakai di organisasi.</t>
  </si>
  <si>
    <t>Format dipakai pada minimal 2 kesepakatan nyata, dan kedua kesepakatan masih dijalankan 3 bulan setelah ditandatangani.</t>
  </si>
  <si>
    <t>"Mediation Review" — Peer Division Head + Mentor Director</t>
  </si>
  <si>
    <t>Menemukan titik di mana netralitas peserta mungkin tergelincir tanpa ia sadari.</t>
  </si>
  <si>
    <t>Bentuk forum berisi 3–4 peer setingkat (Division Head) ditambah 1 mentor berjenjang Director. Setiap 2 bulan, satu peserta memaparkan 1 mediasi yang ia jalankan: bagaimana ia menjaga netralitas, bagaimana prosesnya disusun, dan apakah kesepakatannya bertahan. Peserta lain bertugas khusus mencari di titik mana netralitasnya mungkin tergelincir.</t>
  </si>
  <si>
    <t>6 sesi (minimal 2 sesi sebagai pemapar); catatan titik rawan netralitas dan perbaikannya.</t>
  </si>
  <si>
    <t>Minimal 5 dari 6 sesi terlaksana. Pada 2 pemaparan sendiri, peserta menyajikan bukti netralitas dari KEDUA pihak — bukan penilaian dirinya sendiri atas dirinya. Milestone Bulan 6: 3 sesi, minimal 1 pemaparan sendiri.</t>
  </si>
  <si>
    <t>Shadowing Penengah Berpengalaman dalam 2 Mediasi Penuh</t>
  </si>
  <si>
    <t>Mempelajari jalannya mediasi secara utuh, bukan potongan pertemuan.</t>
  </si>
  <si>
    <t>Amati 2 mediasi dari pembukaan hingga tercapainya kesepakatan — utuh, bukan sebagian. Penengahnya dapat berasal dari dalam organisasi (Direktur, Komisaris, atau pejabat SDM senior) maupun dari luar (mediator profesional, arbiter, atau fasilitator hubungan industrial). Catat: cara ia membuka dan menyepakati perannya, cara ia menyeimbangkan waktu bicara, apa yang ia lakukan ketika satu pihak merasa diabaikan, dan cara ia menutup menjadi komitmen.</t>
  </si>
  <si>
    <t>2 laporan observasi atas mediasi penuh; daftar 5 teknik yang akan diadopsi.</t>
  </si>
  <si>
    <t>Minimal 4 teknik hasil observasi diterapkan pada mediasi yang peserta jalankan sendiri dan dinilai mentor ≥4 (skala 1–5).</t>
  </si>
  <si>
    <t>Umpan Balik 360° "Netralitas dan Kepercayaan sebagai Penengah"</t>
  </si>
  <si>
    <t>Mengukur apakah netralitas peserta benar-benar dirasakan oleh pihak yang dirugikan hasilnya.</t>
  </si>
  <si>
    <t>Kuesioner pre (Bulan 1) dan post (Bulan 11), minimal 10 responden. Responden WAJIB mencakup KEDUA belah pihak dari setiap mediasi yang dijalankan, ditambah atasan dan 2 rekan setingkat. Butir PA15 (skala 1–5): "Saya percaya ia tidak memihak pihak lain"; "Saya merasa benar-benar didengar dalam proses itu"; "Prosesnya adil, meski hasilnya tidak seluruhnya sesuai keinginan saya"; "Kesepakatan yang dihasilkan dijalankan kedua pihak"; "Saya akan meminta ia menengahi lagi bila muncul persoalan serupa".</t>
  </si>
  <si>
    <t>2 laporan (pre dan post); analisis kenaikan per butir dan per pasangan pihak.</t>
  </si>
  <si>
    <t>Kenaikan rata-rata ≥1 poin. Butir "saya percaya ia tidak memihak pihak lain" wajib mencapai ≥4 (skala 1–5) dari KEDUA pihak pada minimal 3 mediasi — netralitas yang hanya diakui satu pihak bukan netralitas.</t>
  </si>
  <si>
    <t>Menengahi 3 Konflik Antar Unit di Mana Peserta Tidak Berkepentingan</t>
  </si>
  <si>
    <t>Menjalankan proses mediasi penuh sebagai pihak ketiga yang tidak berkepentingan.</t>
  </si>
  <si>
    <t>Tengahi 3 konflik nyata antara dua unit, fungsi, atau kelompok kepentingan — dengan syarat peserta TIDAK memiliki kepentingan atas hasilnya. Jalankan proses penuh: sepakati peran peserta dengan kedua pihak di muka, lakukan kaukus terpisah, susun sesi bersama, dan tutup dengan kesepakatan tertulis. Dokumentasikan setiap tahap.</t>
  </si>
  <si>
    <t>3 berkas mediasi (kesepakatan peran, catatan kaukus, notulen sesi bersama, kesepakatan tertulis); penilaian netralitas dari kedua pihak pada tiap kasus.</t>
  </si>
  <si>
    <t>3 mediasi selesai dengan kesepakatan tertulis. Pada minimal 2 dari 3, KEDUA pihak menilai ≥4 (skala 1–5) pada netralitas dan keadilan proses. Mediasi atas konflik yang hasilnya menyangkut kepentingan peserta TIDAK dihitung. Milestone Bulan 6: 1 mediasi selesai.</t>
  </si>
  <si>
    <t>Mentor dan Atasan</t>
  </si>
  <si>
    <t>Menengahi 1 Perbedaan Kepentingan Strategis Lintas Fungsi</t>
  </si>
  <si>
    <t>Memfasilitasi para pihak mencapai kesepakatan sendiri, tanpa penengah memasok jawabannya.</t>
  </si>
  <si>
    <t>Pilih 1 perbedaan kepentingan strategis yang selama ini menghambat organisasi — misalnya pertumbuhan versus profitabilitas, kecepatan versus kepatuhan, atau sentralisasi versus otonomi unit. Rancang dan pimpin proses dialog bagi pihak-pihak yang berkepentingan. Peserta TIDAK mengusulkan jawaban; tugas peserta merancang proses agar para pihak sampai pada kesepakatan mereka sendiri.</t>
  </si>
  <si>
    <t>Rancangan proses; dokumentasi jalannya dialog; kesepakatan atau kerangka keputusan yang disepakati; umpan balik dari seluruh pihak.</t>
  </si>
  <si>
    <t>Seluruh pihak yang terlibat (minimal 3) menilai ≥4 (skala 1–5) pada keadilan proses dan pada butir "saya merasa didengar". Direksi menilai ≥4 (skala 1–5) bahwa peserta tidak menyisipkan pandangannya sendiri sebagai kesimpulan para pihak.</t>
  </si>
  <si>
    <t>Memastikan 2 Kesepakatan Hasil Mediasi Bertahan 6 Bulan</t>
  </si>
  <si>
    <t>Membuktikan kesepakatan hasil mediasi benar-benar dijalankan dalam jangka panjang.</t>
  </si>
  <si>
    <t>Dari mediasi yang peserta jalankan, pilih 2 kesepakatan. Pasang mekanisme peninjauan berkala yang sudah disepakati kedua pihak sejak awal, pantau pelaksanaannya minimal 6 bulan, dan tangani penyimpangan pertama sebelum berkembang menjadi konflik baru. Catat setiap peninjauan beserta hasilnya.</t>
  </si>
  <si>
    <t>2 catatan pemantauan 6 bulan; berita acara setiap peninjauan; konfirmasi dari kedua pihak.</t>
  </si>
  <si>
    <t>Kedua kesepakatan masih dijalankan oleh kedua pihak setelah 6 bulan, tanpa mediasi ulang atas isu yang sama. Kedua pihak mengonfirmasi dengan skor ≥4 (skala 1–5). Kesepakatan yang tercapai tetapi tidak dipantau TIDAK dihitung. Milestone Bulan 6: 2 mekanisme peninjauan berjalan.</t>
  </si>
  <si>
    <t>Mentor dan Kedua Pihak</t>
  </si>
  <si>
    <t>Log "Fakta yang Dapat Diverifikasi vs Opini Saya"</t>
  </si>
  <si>
    <t>Melatih memisahkan apa yang benar-benar terjadi dari penilaian pribadi.</t>
  </si>
  <si>
    <t>Setiap minggu, catat minimal 3 situasi kerja. Untuk masing-masing, tuliskan pernyataan yang FAKTA (dapat diverifikasi ke sumbernya) dan pernyataan yang OPINI (penilaian atau perkiraan peserta). Minta 1 rekan memeriksa apakah pemisahan itu tepat.</t>
  </si>
  <si>
    <t>Log minimal 36 situasi; rekap triwulanan persentase yang diverifikasi tepat oleh rekan.</t>
  </si>
  <si>
    <t>Minimal 36 situasi tercatat. Persentase pemisahan yang dibenarkan rekan naik dari baseline triwulan 1 menjadi ≥80% pada triwulan 4. Milestone Bulan 6: 18 situasi.</t>
  </si>
  <si>
    <t>Rekan Pemeriksa dan Mentor</t>
  </si>
  <si>
    <t>Jurnal Refleksi Pengambilan Keputusan</t>
  </si>
  <si>
    <t>Menyadari sejauh mana opini pribadi mempengaruhi kesimpulan sehari-hari.</t>
  </si>
  <si>
    <t>Setiap bulan, tuliskan 1 keputusan yang peserta ambil dan alasan yang dipakai. Tandai bagian alasan mana yang berbasis fakta dan mana yang berbasis opini, lalu evaluasi apakah kesimpulan akan berubah bila opini itu dihilangkan.</t>
  </si>
  <si>
    <t>12 refleksi bulanan.</t>
  </si>
  <si>
    <t>Minimal 10 dari 12 refleksi selesai. Pada minimal 5, peserta mampu menunjukkan kesimpulan yang tetap valid meski opini dihilangkan — tanda kesimpulan itu berbasis fakta, bukan sekadar opini yang dibungkus data.</t>
  </si>
  <si>
    <t>Mengamati Pola Sederhana dari Aktivitas Kerja</t>
  </si>
  <si>
    <t>Melatih menarik kesimpulan sendiri dari pengamatan berulang.</t>
  </si>
  <si>
    <t>Identifikasi minimal 4 pola yang muncul dari pekerjaan rutin sepanjang program. Untuk masing-masing, jelaskan kemungkinan penyebabnya berdasarkan data yang dapat diverifikasi, bukan tebakan.</t>
  </si>
  <si>
    <t>4 laporan pola beserta penyebab yang berdasar data.</t>
  </si>
  <si>
    <t>4 pola diidentifikasi. Minimal 3 penyebab yang diajukan dikonfirmasi mentor sebagai berdasar data, bukan spekulasi.</t>
  </si>
  <si>
    <t>Pelatihan Identifikasi Masalah Berbasis Fakta</t>
  </si>
  <si>
    <t>Menguasai cara mengenali masalah dari data, bukan dari kesan pribadi.</t>
  </si>
  <si>
    <t>Mengikuti pelatihan dan menyelesaikan studi kasus sederhana yang menuntut pemisahan fakta dari opini sebelum menyimpulkan masalah.</t>
  </si>
  <si>
    <t>Sertifikat; hasil studi kasus.</t>
  </si>
  <si>
    <t>Nilai assessment minimal 80. Studi kasus menunjukkan kesimpulan berbasis fakta yang diverifikasi, dinilai atasan ≥4 (skala 1–5).</t>
  </si>
  <si>
    <t>Workshop Membedakan Data dan Asumsi</t>
  </si>
  <si>
    <t>Melatih klasifikasi informasi secara sistematis.</t>
  </si>
  <si>
    <t>Menganalisis beberapa kasus dan mengelompokkan informasi berdasarkan fakta dan asumsi, dengan penekanan pada kasus yang batasnya tidak jelas.</t>
  </si>
  <si>
    <t>Hasil klasifikasi workshop.</t>
  </si>
  <si>
    <t>Minimal 80% klasifikasi informasi benar, termasuk pada kasus batas yang ambigu.</t>
  </si>
  <si>
    <t>Program Dasar Analytical Thinking</t>
  </si>
  <si>
    <t>Memperkuat dasar memahami data dan menyimpulkan.</t>
  </si>
  <si>
    <t>Mengikuti pelatihan dan menyelesaikan tugas analisa data dasar.</t>
  </si>
  <si>
    <t>Hasil assessment.</t>
  </si>
  <si>
    <t>Nilai assessment minimal 80.</t>
  </si>
  <si>
    <t>Diskusi dengan Rekan Senior mengenai Cara Memahami Masalah</t>
  </si>
  <si>
    <t>Membandingkan cara memahami masalah dengan orang yang lebih berpengalaman.</t>
  </si>
  <si>
    <t>Melakukan minimal 3 sesi diskusi dengan rekan senior mengenai cara mereka memisahkan fakta dari opini ketika memahami sebuah masalah kerja.</t>
  </si>
  <si>
    <t>3 catatan diskusi; insight utama.</t>
  </si>
  <si>
    <t>3 sesi terlaksana. Minimal 2 teknik pemisahan fakta-opini dari rekan senior diterapkan dan tercatat dalam log yang dipilih peserta dalam aktivitas ini.</t>
  </si>
  <si>
    <t>Rekan Senior</t>
  </si>
  <si>
    <t>Meminta Umpan Balik terkait Cara Memahami Masalah</t>
  </si>
  <si>
    <t>Mengetahui area yang perlu diperbaiki dalam memahami informasi.</t>
  </si>
  <si>
    <t>Meminta umpan balik dari atasan mengenai cara peserta mengidentifikasi dan menjelaskan masalah — apakah berbasis fakta atau masih tercampur opini.</t>
  </si>
  <si>
    <t>Feedback summary; minimal 3 area pengembangan.</t>
  </si>
  <si>
    <t>Minimal 3 area pengembangan diidentifikasi dan minimal 2 ditindaklanjuti dengan bukti perbaikan.</t>
  </si>
  <si>
    <t>Umpan Balik 360° "Ketepatan Memahami Informasi"</t>
  </si>
  <si>
    <t>Mengukur persepsi rekan atas ketepatan pemahaman peserta.</t>
  </si>
  <si>
    <t>Kuesioner pre (Bulan 1) dan post (Bulan 11) kepada minimal 5 responden. Butir MA1 (skala 1–5): "Kesimpulannya tepat dan berbasis fakta, bukan opini"; "Ia memisahkan apa yang ia ketahui dari apa yang ia duga".</t>
  </si>
  <si>
    <t>Menjelaskan 6 Masalah Kerja Berbasis Fakta yang Terverifikasi</t>
  </si>
  <si>
    <t>Membuktikan kemandirian dan akurasi dalam menjelaskan masalah nyata.</t>
  </si>
  <si>
    <t>Pilih 6 masalah operasional sepanjang program. Untuk masing-masing, kumpulkan informasi yang relevan dan jelaskan masalah itu semata berdasarkan fakta yang dapat diverifikasi.</t>
  </si>
  <si>
    <t>6 laporan identifikasi masalah berbasis fakta. Termasuk review Bulan ke-6 oleh atasan.</t>
  </si>
  <si>
    <t>6 masalah dijelaskan. Minimal 5 dikonfirmasi atasan sebagai berbasis fakta yang relevan, tanpa opini yang tidak berdasar. Milestone Bulan 6: 3 masalah.</t>
  </si>
  <si>
    <t>Memetakan Hubungan Antar Aktivitas pada 1 Proses Kerja</t>
  </si>
  <si>
    <t>Mengenali hubungan sederhana antar aktivitas berdasarkan pengamatan langsung.</t>
  </si>
  <si>
    <t>Amati 1 proses kerja secara langsung. Petakan hubungan antar aktivitas utama berdasarkan pengamatan, bukan asumsi tentang bagaimana proses itu "seharusnya" berjalan.</t>
  </si>
  <si>
    <t>1 pemetaan hubungan aktivitas dengan minimal 3 hubungan logis.</t>
  </si>
  <si>
    <t>Minimal 3 hubungan antar aktivitas dipetakan secara logis dan dikonfirmasi sesuai pengamatan nyata, bukan asumsi.</t>
  </si>
  <si>
    <t>Menyampaikan Analisis Masalah yang Diverifikasi kepada Atasan</t>
  </si>
  <si>
    <t>Menguji apakah analisis peserta cukup akurat untuk dipakai langsung tanpa dikoreksi.</t>
  </si>
  <si>
    <t>Sampaikan hasil analisis dari 2 masalah yang dikembangkan pada aktivitas identifikasi masalah berbasis fakta yang dijalankan peserta, lengkap dengan fakta pendukung dan pola hubungan yang ditemukan, kepada atasan.</t>
  </si>
  <si>
    <t>2 presentasi/laporan singkat; catatan koreksi yang diterima.</t>
  </si>
  <si>
    <t>Minimal 1 dari 2 analisis diterima tanpa koreksi substansial atas fakta yang dipakai, dinilai atasan ≥4 (skala 1–5).</t>
  </si>
  <si>
    <t>Log "Informasi Ambigu yang Saya Perjelas"</t>
  </si>
  <si>
    <t>Melatih mengenali dan memperjelas informasi yang berpotensi disalahpahami.</t>
  </si>
  <si>
    <t>Setiap kali menerima atau menyampaikan informasi yang ambigu — dapat ditafsirkan lebih dari satu cara — catat: apa ambiguitasnya, bagaimana peserta memperjelasnya, dan kepada siapa. Verifikasi apakah penjelasan itu dipahami sesuai maksud.</t>
  </si>
  <si>
    <t>Log minimal 30 kasus; rekap triwulanan persentase yang dipahami sesuai maksud saat diverifikasi.</t>
  </si>
  <si>
    <t>Minimal 30 kasus tercatat. Persentase yang dipahami sesuai maksud naik dari baseline triwulan 1 menjadi ≥75% pada triwulan 4. Milestone Bulan 6: 15 kasus.</t>
  </si>
  <si>
    <t>Refleksi Hubungan Sebab-Akibat dari Permasalahan Kerja</t>
  </si>
  <si>
    <t>Menyusun penjelasan yang runtut dari sebab ke akibat.</t>
  </si>
  <si>
    <t>Pilih minimal 5 permasalahan yang pernah terjadi. Identifikasi penyebab dan dampaknya, lalu susun penjelasan singkat yang runtut — sebab, dampak, kesimpulan.</t>
  </si>
  <si>
    <t>5 dokumentasi hubungan sebab-akibat beserta penjelasan runtut.</t>
  </si>
  <si>
    <t>5 hubungan terdokumentasi. Minimal 4 dinilai mentor runtut dan jelas tanpa perlu diperbaiki strukturnya.</t>
  </si>
  <si>
    <t>Pemetaan Sederhana terhadap Masalah Kerja</t>
  </si>
  <si>
    <t>Melatih menyederhanakan masalah kompleks menjadi satu halaman yang tetap akurat.</t>
  </si>
  <si>
    <t>Pilih 1 masalah operasional. Petakan fakta, penyebab, dampak, dan alternatif solusi dalam SATU HALAMAN. Uji ke 1 rekan yang belum tahu masalah itu.</t>
  </si>
  <si>
    <t>1 pemetaan satu halaman; hasil uji pemahaman rekan.</t>
  </si>
  <si>
    <t>Pemetaan lolos uji — rekan mampu menjelaskan ulang masalah, penyebab, dan alternatif solusi hanya dari pemetaan itu.</t>
  </si>
  <si>
    <t>Rekan Pemeriksa</t>
  </si>
  <si>
    <t>Pelatihan Dasar Analytical Thinking</t>
  </si>
  <si>
    <t>Memperkuat kemampuan analisis sebagai bahan yang akan dijelaskan.</t>
  </si>
  <si>
    <t>Mengikuti pelatihan dan menyelesaikan studi kasus sederhana sebagai bahan latihan menjelaskan.</t>
  </si>
  <si>
    <t>Hasil studi kasus.</t>
  </si>
  <si>
    <t>Studi kasus selesai dan menjadi bahan latihan penjelasan dalam aktivitas ini.</t>
  </si>
  <si>
    <t>Workshop Root Cause Analysis (5 Why / Fishbone)</t>
  </si>
  <si>
    <t>Menghasilkan analisis yang cukup mendalam untuk dijelaskan secara sederhana.</t>
  </si>
  <si>
    <t>Menggunakan metode 5 Why atau Fishbone untuk menganalisis 1 kasus, sebagai bahan untuk dijelaskan pada aktivitas berikutnya.</t>
  </si>
  <si>
    <t>1 analisis RCA.</t>
  </si>
  <si>
    <t>Analisis menunjukkan akar masalah yang tepat, dan digunakan sebagai bahan latihan penjelasan yang dijalankan peserta.</t>
  </si>
  <si>
    <t>Menyusun Presentasi Sederhana dari Studi Kasus yang Kompleks</t>
  </si>
  <si>
    <t>Menerjemahkan hasil analisis menjadi penjelasan sederhana.</t>
  </si>
  <si>
    <t>Susun presentasi sederhana dari studi kasus kompleks yang sudah dianalisis peserta. Uji kepada audiens yang tidak terlibat dalam analisis aslinya.</t>
  </si>
  <si>
    <t>1 presentasi; hasil uji pemahaman audiens.</t>
  </si>
  <si>
    <t>Nilai assessment minimal 80. Audiens mampu menjelaskan ulang inti studi kasus setelah mendengar presentasi.</t>
  </si>
  <si>
    <t>Audiens Uji</t>
  </si>
  <si>
    <t>Diskusi dengan Rekan Senior mengenai Cara Memperjelas Masalah</t>
  </si>
  <si>
    <t>Mempelajari cara senior memperjelas informasi yang ambigu.</t>
  </si>
  <si>
    <t>Melakukan minimal 3 sesi diskusi dengan rekan senior mengenai cara mereka memperjelas informasi yang berpotensi disalahpahami dalam pekerjaan.</t>
  </si>
  <si>
    <t>3 sesi terlaksana. Minimal 5 insight didokumentasikan dan minimal 2 teknik diterapkan serta tercatat dalam log yang dipilih peserta dalam aktivitas ini.</t>
  </si>
  <si>
    <t>Meminta Feedback atas Hasil Analisa Masalah</t>
  </si>
  <si>
    <t>Menguji apakah penjelasan yang disusun cukup jelas bagi orang lain.</t>
  </si>
  <si>
    <t>Presentasikan hasil analisa sederhana kepada atasan atau mentor dan kumpulkan masukan atas kejelasan strukturnya.</t>
  </si>
  <si>
    <t>Minimal 3 area pengembangan diidentifikasi dan minimal 2 diperbaiki pada penjelasan berikutnya.</t>
  </si>
  <si>
    <t>Atasan atau Mentor</t>
  </si>
  <si>
    <t>Menjelaskan Masalah Kerja kepada Rekan Tim</t>
  </si>
  <si>
    <t>Menyesuaikan penjelasan untuk audiens yang tidak menganalisis masalah itu sendiri.</t>
  </si>
  <si>
    <t>Sampaikan hasil analisa masalah kepada rekan tim menggunakan bahasa yang mudah dipahami, disesuaikan dengan latar belakang mereka.</t>
  </si>
  <si>
    <t>1 sesi sharing; umpan balik peserta.</t>
  </si>
  <si>
    <t>Mendapat umpan balik positif dari peserta sharing, dan minimal 3 peserta mampu menjelaskan ulang inti masalah setelah sesi.</t>
  </si>
  <si>
    <t>Peserta Sharing</t>
  </si>
  <si>
    <t>Menjelaskan 6 Analisis Masalah Operasional kepada Audiens Berbeda</t>
  </si>
  <si>
    <t>Membuktikan penyesuaian penjelasan pada analisis nyata.</t>
  </si>
  <si>
    <t>Untuk 6 masalah operasional yang dianalisis sepanjang program, jelaskan masing-masing kepada audiens berbeda — tim sendiri, atasan, unit lain — dengan penyesuaian bahasa dan kedalaman.</t>
  </si>
  <si>
    <t>6 materi penjelasan; catatan penyesuaian per audiens; umpan balik audiens. Termasuk review Bulan ke-6 oleh atasan.</t>
  </si>
  <si>
    <t>Minimal 5 dari 6 mendapat skor ≥4 (skala 1–5) dari audiens pada butir "saya memahami sesuai yang dimaksudkan". Milestone Bulan 6: 3 penjelasan.</t>
  </si>
  <si>
    <t>Mengidentifikasi 1 Peluang Perbaikan dari Proses Kerja dan Menjelaskannya</t>
  </si>
  <si>
    <t>Menjelaskan peluang perbaikan sehingga dapat diterima dan ditindaklanjuti.</t>
  </si>
  <si>
    <t>Lakukan observasi proses kerja, identifikasi minimal 1 area yang dapat diperbaiki, dan jelaskan usulan itu secara sederhana kepada unit kerja yang berwenang.</t>
  </si>
  <si>
    <t>1 laporan; catatan penerimaan usulan.</t>
  </si>
  <si>
    <t>Usulan diterima unit kerja, dan pihak yang menerima mengonfirmasi memahami alasannya tanpa perlu penjelasan tambahan berulang.</t>
  </si>
  <si>
    <t>Unit Kerja Terkait</t>
  </si>
  <si>
    <t>Menyusun Ringkasan Satu Halaman untuk 2 Analisis Kompleks</t>
  </si>
  <si>
    <t>Menguji kemampuan menyederhanakan tanpa kehilangan makna pada skala lebih besar.</t>
  </si>
  <si>
    <t>Ambil 2 analisis masalah yang paling kompleks sepanjang program. Ringkas masing-masing menjadi satu halaman dan uji ke pembaca yang belum tahu analisis aslinya.</t>
  </si>
  <si>
    <t>2 ringkasan satu halaman; hasil uji pemahaman.</t>
  </si>
  <si>
    <t>Kedua ringkasan lolos uji — pembaca mampu menyebutkan kesimpulan dan dasar analisis dengan benar hanya dari ringkasan.</t>
  </si>
  <si>
    <t>Pembaca Uji</t>
  </si>
  <si>
    <t>Log "Sumber Terpisah → Kerangka Baru"</t>
  </si>
  <si>
    <t>Melatih menemukan pola pada sumber yang awalnya tidak terlihat berkaitan.</t>
  </si>
  <si>
    <t>Setiap bulan, pilih minimal 2 isu kerja. Kumpulkan minimal 3 sumber informasi yang PADA AWALNYA TAMPAK TIDAK BERKAITAN (misalnya data operasional, umpan balik pelanggan, dan tren industri). Susun 1 pemahaman atau kerangka baru dari ketiganya.</t>
  </si>
  <si>
    <t>Log minimal 20 kerangka; rekap triwulanan proporsi yang dinilai benar-benar baru oleh atasan. Termasuk verifikasi kebaruan oleh atasan.</t>
  </si>
  <si>
    <t>Minimal 20 kerangka disusun. Proporsi yang dikonfirmasi atasan sebagai BARU (bukan menata ulang yang sudah ada) naik menjadi ≥60% pada triwulan 4. Milestone Bulan 6: 10 kerangka.</t>
  </si>
  <si>
    <t>Peta Konsep dari Isu Pekerjaan</t>
  </si>
  <si>
    <t>Melatih memvisualisasikan hubungan antar faktor yang tersebar.</t>
  </si>
  <si>
    <t>Pilih 1 isu pekerjaan setiap 2 bulan. Petakan hubungan antar faktor yang mempengaruhinya, dengan sumber faktor yang berasal dari domain berbeda (teknis, manusia, proses, pasar).</t>
  </si>
  <si>
    <t>6 peta konsep sepanjang program.</t>
  </si>
  <si>
    <t>6 peta konsep selesai. Minimal 4 memuat faktor dari minimal 3 domain berbeda, dinilai mentor sebagai hubungan yang logis dan bukan sekadar daftar.</t>
  </si>
  <si>
    <t>Refleksi Perubahan Cara Kerja yang Meningkatkan Efektivitas</t>
  </si>
  <si>
    <t>Menguji apakah kerangka baru yang disusun benar-benar dipakai dan berdampak.</t>
  </si>
  <si>
    <t>Dokumentasikan minimal 5 perubahan cara kerja yang lahir dari kerangka baru yang disusun peserta, beserta dampaknya terhadap hasil kerja.</t>
  </si>
  <si>
    <t>5 dokumentasi perubahan cara kerja beserta dampaknya.</t>
  </si>
  <si>
    <t>Minimal 3 dari 5 perubahan menunjukkan peningkatan efektivitas yang terukur, dikonfirmasi atasan.</t>
  </si>
  <si>
    <t>Pelatihan Dasar Systems Thinking</t>
  </si>
  <si>
    <t>Menguasai cara melihat keterkaitan antar faktor lintas domain.</t>
  </si>
  <si>
    <t>Mengikuti pelatihan dan menyelesaikan studi kasus integrasi informasi dari berbagai sumber yang tampak tidak berkaitan.</t>
  </si>
  <si>
    <t>Nilai assessment minimal 80. Studi kasus menunjukkan sintesis dari minimal 3 sumber berbeda.</t>
  </si>
  <si>
    <t>Workshop Pemetaan dan Strukturisasi Masalah</t>
  </si>
  <si>
    <t>Melatih menyusun kerangka dari isu yang tersebar.</t>
  </si>
  <si>
    <t>Menganalisis studi kasus dan membuat pemetaan hubungan antar isu yang pada awalnya tidak terlihat berkaitan.</t>
  </si>
  <si>
    <t>1 pemetaan hubungan.</t>
  </si>
  <si>
    <t>Pemetaan menunjukkan hubungan logis antar variabel dari sumber yang berbeda.</t>
  </si>
  <si>
    <t>Program Analisa Terintegrasi</t>
  </si>
  <si>
    <t>Mengolah data dari berbagai sumber menjadi rekomendasi yang utuh.</t>
  </si>
  <si>
    <t>Mengolah data dan informasi dari berbagai sumber untuk menghasilkan 1 rekomendasi yang mengintegrasikan seluruhnya.</t>
  </si>
  <si>
    <t>1 laporan analisa terintegrasi.</t>
  </si>
  <si>
    <t>Nilai hasil analisa minimal 80. Rekomendasi disetujui atasan sebagai benar-benar mengintegrasikan seluruh sumber, bukan memilih salah satu.</t>
  </si>
  <si>
    <t>Diskusi dengan Fungsi Lain terkait Suatu Permasalahan</t>
  </si>
  <si>
    <t>Mengumpulkan sumber informasi dari domain yang berbeda untuk disintesis.</t>
  </si>
  <si>
    <t>Mengikuti minimal 3 diskusi lintas fungsi. Kumpulkan informasi dari masing-masing sebagai bahan sintesis pada log yang dipilih peserta dalam aktivitas ini.</t>
  </si>
  <si>
    <t>3 catatan diskusi; insight yang dipakai dalam kerangka.</t>
  </si>
  <si>
    <t>3 diskusi terlaksana. Minimal 5 insight lintas fungsi diidentifikasi dan minimal 2 dipakai dalam kerangka baru yang disusun peserta.</t>
  </si>
  <si>
    <t>Fungsi Lain</t>
  </si>
  <si>
    <t>Mereview Hasil Analisa Masalah Bersama Mentor</t>
  </si>
  <si>
    <t>Menguji apakah kerangka yang disusun benar-benar baru atau hanya menata ulang yang lama.</t>
  </si>
  <si>
    <t>Presentasikan hasil analisa dan diskusikan dengan mentor: apakah hubungan antar faktor yang ditemukan sudah pernah ada, atau memang kerangka baru.</t>
  </si>
  <si>
    <t>Mentor feedback report.</t>
  </si>
  <si>
    <t>Minimal 3 rekomendasi pengembangan diperoleh, dan mentor mengonfirmasi minimal 1 kerangka benar-benar baru.</t>
  </si>
  <si>
    <t>Menyampaikan Hasil Analisa kepada Tim</t>
  </si>
  <si>
    <t>Menguji apakah kerangka yang disusun dapat dipahami dan dipakai orang lain.</t>
  </si>
  <si>
    <t>Jelaskan hasil pemetaan masalah dan rekomendasi perbaikan kepada tim, dengan tujuan agar mereka dapat memakai kerangka itu sendiri.</t>
  </si>
  <si>
    <t>1 sesi sharing; umpan balik tim.</t>
  </si>
  <si>
    <t>Mendapat umpan balik positif. Minimal 2 anggota tim mengonfirmasi dapat memakai kerangka itu sendiri pada situasi serupa.</t>
  </si>
  <si>
    <t>Tim</t>
  </si>
  <si>
    <t>Menyusun 4 Kerangka Baru dari Sumber yang Terfragmentasi</t>
  </si>
  <si>
    <t>Membuktikan kemampuan mensintesis sumber yang tampak tidak berkaitan menjadi kerangka baru.</t>
  </si>
  <si>
    <t>Untuk 4 isu kerja nyata, kumpulkan sumber informasi yang pada awalnya tampak tidak berkaitan, susun kerangka baru, dan uji kebaruannya kepada atasan.</t>
  </si>
  <si>
    <t>4 kerangka dengan dokumentasi sumber; verifikasi kebaruan dari atasan. Termasuk review Bulan ke-6 oleh atasan.</t>
  </si>
  <si>
    <t>4 kerangka disusun. Minimal 3 dikonfirmasi atasan sebagai benar-benar baru — bukan menata ulang dokumen yang sudah ada. Milestone Bulan 6: 2 kerangka.</t>
  </si>
  <si>
    <t>Melaksanakan 1 Proyek Perbaikan Proses Berbasis Kerangka Baru</t>
  </si>
  <si>
    <t>Menguji apakah kerangka baru yang disusun benar-benar menghasilkan perbaikan nyata.</t>
  </si>
  <si>
    <t>Ambil 1 kerangka baru yang disusun peserta dalam aktivitas ini. Implementasikan sebagai proyek perbaikan proses kerja, dan ukur dampaknya.</t>
  </si>
  <si>
    <t>1 laporan proyek perbaikan dengan dampak terukur.</t>
  </si>
  <si>
    <t>Perbaikan menghasilkan peningkatan efektivitas yang terukur, dan atasan mengonfirmasi kerangka yang dipakai memang baru bagi unit.</t>
  </si>
  <si>
    <t>Menganalisis Dampak 1 Keputusan Operasional terhadap Minimal 3 Area</t>
  </si>
  <si>
    <t>Membuktikan kemampuan melihat keterkaitan lintas fungsi dari sebuah keputusan.</t>
  </si>
  <si>
    <t>Pilih 1 keputusan operasional. Petakan dampaknya terhadap proses, stakeholder, dan hasil kerja — minimal 3 area yang berbeda domain.</t>
  </si>
  <si>
    <t>1 analisis dampak lintas area.</t>
  </si>
  <si>
    <t>Analisis menunjukkan keterkaitan minimal 3 area yang terdampak, dengan hubungan yang logis dan sebelumnya tidak terlihat jelas.</t>
  </si>
  <si>
    <t>Log "Ide yang Saya Cari Sendiri"</t>
  </si>
  <si>
    <t>Memisahkan ide yang dicari atas dorongan sendiri dari yang ditugaskan.</t>
  </si>
  <si>
    <t>Setiap bulan, catat minimal 2 ide atau pendekatan baru yang peserta cari — bukan yang ditugaskan atasan. Tuliskan dari mana ide itu berasal, mengapa peserta mencarinya, dan apakah peserta mencobanya.</t>
  </si>
  <si>
    <t>Log minimal 24 ide; rekap triwulanan proporsi yang dicoba, bukan hanya dicatat. Termasuk rekap triwulanan.</t>
  </si>
  <si>
    <t>Minimal 24 ide tercatat, seluruhnya atas inisiatif sendiri. Proporsi yang dicoba naik dari baseline triwulan 1 menjadi ≥60% pada triwulan 4. Milestone Bulan 6: 12 ide.</t>
  </si>
  <si>
    <t>Refleksi Cara Pandang Baru terhadap Permasalahan</t>
  </si>
  <si>
    <t>Melatih mencoba pendekatan berbeda dari yang biasa dipakai.</t>
  </si>
  <si>
    <t>Dokumentasikan minimal 5 situasi kerja yang diselesaikan menggunakan pendekatan berbeda dari yang biasa peserta pakai, meski belum terbukti akan berhasil.</t>
  </si>
  <si>
    <t>5 dokumentasi pendekatan alternatif beserta hasilnya.</t>
  </si>
  <si>
    <t>Minimal 5 alternatif pendekatan diidentifikasi dan dicoba. Minimal 2 berbeda secara mendasar dari cara yang biasa dipakai, bukan sekadar variasi kecil.</t>
  </si>
  <si>
    <t>Mendokumentasikan Pola Hubungan dari Berbagai Isu Pekerjaan</t>
  </si>
  <si>
    <t>Menggunakan pola yang ditemukan sebagai pemicu pencarian ide baru.</t>
  </si>
  <si>
    <t>Setiap bulan, pilih 1 masalah kerja, identifikasi faktor yang mempengaruhinya, dan dari pola itu cari MINIMAL 1 ide baru yang belum pernah dicoba di unit.</t>
  </si>
  <si>
    <t>12 pola hubungan; 12 ide baru yang terpicu dari pola itu.</t>
  </si>
  <si>
    <t>Minimal 10 pola diidentifikasi dan menghasilkan ide baru. Minimal 6 ide belum pernah dicoba di unit sebelumnya.</t>
  </si>
  <si>
    <t>Pelatihan Creative Problem Solving</t>
  </si>
  <si>
    <t>Menguasai teknik menghasilkan alternatif solusi yang belum terbukti.</t>
  </si>
  <si>
    <t>Menganalisis studi kasus dan menghasilkan beberapa opsi penyelesaian yang berbeda, termasuk yang belum pernah dicoba.</t>
  </si>
  <si>
    <t>Minimal 3 alternatif solusi.</t>
  </si>
  <si>
    <t>Minimal 3 alternatif solusi yang layak dihasilkan, dengan minimal 1 pendekatan yang belum terbukti sepenuhnya.</t>
  </si>
  <si>
    <t>Program Design Thinking</t>
  </si>
  <si>
    <t>Menguasai pendekatan eksplorasi dan uji coba ide.</t>
  </si>
  <si>
    <t>Menyusun solusi berdasarkan pendekatan empati, eksplorasi, dan prototyping pada 1 kasus nyata.</t>
  </si>
  <si>
    <t>1 proyek design thinking.</t>
  </si>
  <si>
    <t>Proyek mendapat penilaian minimal 80, dengan bukti minimal 1 ide diuji secara nyata (prototipe atau uji kecil), bukan berhenti di konsep.</t>
  </si>
  <si>
    <t>Pelatihan Systems Thinking sebagai Sumber Ide Lintas Domain</t>
  </si>
  <si>
    <t>Mencari ide dari keterkaitan antar sistem yang berbeda.</t>
  </si>
  <si>
    <t>Mengikuti workshop dan menyelesaikan studi kasus terkait pemetaan hubungan antar faktor bisnis, sebagai sumber ide baru.</t>
  </si>
  <si>
    <t>1 hasil studi kasus; minimal 2 ide yang terpicu darinya.</t>
  </si>
  <si>
    <t>Nilai assessment minimal 80. Minimal 2 ide baru terpicu dari studi kasus, tercatat dalam log yang dipilih peserta dalam aktivitas ini.</t>
  </si>
  <si>
    <t>Forum Inovasi dan Improvement</t>
  </si>
  <si>
    <t>Mendapatkan ide dari eksplorasi orang lain.</t>
  </si>
  <si>
    <t>Berpartisipasi aktif dalam forum inovasi. Berikan minimal 2 ide pengembangan yang relevan, dan catat ide dari peserta lain yang ingin peserta coba.</t>
  </si>
  <si>
    <t>Catatan forum; minimal 2 ide sendiri dan minimal 2 ide orang lain yang dicoba.</t>
  </si>
  <si>
    <t>Minimal 2 ide sendiri disampaikan. Minimal 2 ide dari peserta lain dicoba dan tercatat dalam log yang dipilih peserta dalam aktivitas ini.</t>
  </si>
  <si>
    <t>Peserta Forum</t>
  </si>
  <si>
    <t>Mendiskusikan Permasalahan Kompleks dengan Mentor Senior</t>
  </si>
  <si>
    <t>Mempelajari bagaimana senior tetap terbuka pada pendekatan yang belum terbukti.</t>
  </si>
  <si>
    <t>Membahas minimal 2 isu strategis dengan mentor senior. Tanyakan secara khusus: pendekatan apa yang belum terbukti tetapi pernah ia coba, dan apa hasilnya.</t>
  </si>
  <si>
    <t>2 catatan mentoring; daftar pendekatan yang akan diadopsi.</t>
  </si>
  <si>
    <t>Minimal 2 pendekatan yang dipelajari dari mentor diterapkan pada pekerjaan sendiri dan tercatat dalam log yang dipilih peserta dalam aktivitas ini.</t>
  </si>
  <si>
    <t>Mentor Senior</t>
  </si>
  <si>
    <t>Berdiskusi dengan Fungsi Lain tentang Tantangan Bisnis Berbeda</t>
  </si>
  <si>
    <t>Mencari ide dari domain yang berbeda dari milik sendiri.</t>
  </si>
  <si>
    <t>Mengikuti minimal 3 sesi diskusi lintas fungsi. Identifikasi minimal 1 ide dari setiap sesi yang dapat diadaptasi ke unit peserta.</t>
  </si>
  <si>
    <t>3 catatan diskusi; minimal 3 ide teradaptasi.</t>
  </si>
  <si>
    <t>3 sesi terlaksana. Minimal 2 ide yang diadaptasi dicoba pada pekerjaan nyata.</t>
  </si>
  <si>
    <t>Mencoba 8 Pendekatan Baru yang Belum Terbukti di Unit</t>
  </si>
  <si>
    <t>Membuktikan keterbukaan dan inisiatif mencoba pendekatan baru.</t>
  </si>
  <si>
    <t>Sepanjang program, cari dan coba 8 pendekatan baru yang belum terbukti di unit peserta — metode kerja, alat, cara pendekatan pelanggan internal, atau format kerja. Catat hasil masing-masing, termasuk yang tidak berhasil.</t>
  </si>
  <si>
    <t>8 dokumentasi pendekatan baru beserta hasilnya. Termasuk review Bulan ke-6 oleh atasan.</t>
  </si>
  <si>
    <t>8 pendekatan dicoba, seluruhnya atas inisiatif sendiri (bukan ditugaskan). Minimal 3 diadopsi karena terbukti lebih baik. Milestone Bulan 6: 4 pendekatan.</t>
  </si>
  <si>
    <t>Mengeksplorasi 1 Area Bisnis yang Belum Dikuasai</t>
  </si>
  <si>
    <t>Mempelajari area baru untuk mengantisipasi perubahan yang mungkin terjadi.</t>
  </si>
  <si>
    <t>Pelajari 1 area bisnis yang belum dikuasai unit peserta. Susun rekomendasi peluang pengembangan berdasarkan eksplorasi itu.</t>
  </si>
  <si>
    <t>1 laporan eksplorasi bisnis baru; minimal 3 peluang pengembangan.</t>
  </si>
  <si>
    <t>Minimal 3 peluang pengembangan berhasil diidentifikasi dari area yang benar-benar baru bagi peserta, bukan area yang sudah dikenal.</t>
  </si>
  <si>
    <t>Mendorong Pembelajaran dari Eksperimen di Tim</t>
  </si>
  <si>
    <t>Menguji apakah keterbukaan mencoba menular kepada tim.</t>
  </si>
  <si>
    <t>Dorong minimal 2 anggota tim untuk mencoba pendekatan baru pada pekerjaan mereka. Fasilitasi mereka berbagi pembelajaran dari eksperimen itu, termasuk yang gagal.</t>
  </si>
  <si>
    <t>2 catatan pendampingan; hasil eksperimen anggota tim; sesi berbagi pembelajaran.</t>
  </si>
  <si>
    <t>Kedua anggota tim mencoba pendekatan baru. Minimal 1 sesi berbagi pembelajaran terlaksana, termasuk pembahasan eksperimen yang gagal tanpa dihakimi.</t>
  </si>
  <si>
    <t>Anggota Tim</t>
  </si>
  <si>
    <t>Log "Bergerak Sebelum Model Selesai"</t>
  </si>
  <si>
    <t>Mengukur berapa lama peserta menunggu model konseptual selesai sebelum bergerak.</t>
  </si>
  <si>
    <t>Setiap kali menyusun model konseptual untuk isu yang belum jelas, catat: kapan model mulai disusun, kapan peserta mulai BERGERAK berdasarkan model yang belum sempurna, dan apa yang tetap dikerjakan selama model masih disempurnakan.</t>
  </si>
  <si>
    <t>Log minimal 24 situasi; rekap triwulanan rata-rata waktu tunggu sebelum bergerak. Termasuk rekap triwulanan.</t>
  </si>
  <si>
    <t>Minimal 24 situasi tercatat. Rata-rata waktu tunggu turun ≥50% dari baseline pada triwulan 4. Milestone Bulan 6: 12 situasi.</t>
  </si>
  <si>
    <t>Latihan "Langkah yang Tetap Benar"</t>
  </si>
  <si>
    <t>Menemukan tindakan yang tetap bermanfaat apa pun kesimpulan model akhirnya.</t>
  </si>
  <si>
    <t>Pada setiap isu belum jelas, identifikasi minimal 2 tindakan yang tetap bermanfaat apa pun bentuk akhir model konseptualnya, dan jalankan tanpa menunggu model selesai.</t>
  </si>
  <si>
    <t>20 catatan latihan.</t>
  </si>
  <si>
    <t>Minimal 16 dari 20 latihan dilakukan. Pada minimal 12, tindakan terbukti tetap bermanfaat setelah model selesai. Milestone Bulan 6: 8 latihan.</t>
  </si>
  <si>
    <t>Refleksi Asumsi-Asumsi dalam Pengambilan Keputusan</t>
  </si>
  <si>
    <t>Menguji keputusan yang diambil meski asumsinya belum terbukti.</t>
  </si>
  <si>
    <t>Identifikasi asumsi utama dari keputusan yang peserta ambil ketika informasi belum lengkap. Evaluasi dampaknya terhadap hasil, dan catat apakah peserta menunggu asumsi terbukti dulu atau bergerak lebih dulu.</t>
  </si>
  <si>
    <t>Minimal 5 asumsi strategis terdokumentasi dan dievaluasi.</t>
  </si>
  <si>
    <t>Minimal 5 asumsi terdokumentasi. Minimal 3 menunjukkan peserta bergerak SEBELUM asumsi terbukti, dengan hasil yang dievaluasi jujur.</t>
  </si>
  <si>
    <t>Pelatihan Strategic Foresight</t>
  </si>
  <si>
    <t>Memakai foresight untuk menentukan langkah sekarang, bukan menunda sampai jelas.</t>
  </si>
  <si>
    <t>Mengikuti workshop dan menyusun future scenario analysis, dengan syarat setiap skenario disertai langkah yang dijalankan SEKARANG, bukan menunggu skenario mana yang terjadi.</t>
  </si>
  <si>
    <t>1 scenario analysis dengan langkah turunan yang dijalankan.</t>
  </si>
  <si>
    <t>Nilai assessment minimal 80. Minimal 2 langkah turunan benar-benar dijalankan dalam 60 hari, bukan menunggu kejelasan.</t>
  </si>
  <si>
    <t>Pelatihan Scenario Planning yang Diuji dengan Tindakan</t>
  </si>
  <si>
    <t>Menyusun skenario yang menuntut keputusan, bukan hanya deskripsi kemungkinan.</t>
  </si>
  <si>
    <t>Menyusun beberapa alternatif skenario bisnis dan implikasinya, dengan syarat menentukan 1 keputusan yang tetap diambil terlepas dari skenario mana yang terjadi.</t>
  </si>
  <si>
    <t>3 skenario bisnis; 1 keputusan yang tetap diambil pada seluruh skenario.</t>
  </si>
  <si>
    <t>Minimal 3 skenario dikembangkan. 1 keputusan yang berlaku di seluruh skenario diidentifikasi dan dijalankan.</t>
  </si>
  <si>
    <t>Pelatihan Systems and Complexity Thinking</t>
  </si>
  <si>
    <t>Memahami keterkaitan banyak variabel tanpa menunggu semuanya jelas.</t>
  </si>
  <si>
    <t>Menganalisis studi kasus organisasi yang melibatkan banyak variabel dan ketidakpastian, dengan fokus pada keputusan yang tetap dapat diambil di tengah kompleksitas itu.</t>
  </si>
  <si>
    <t>1 analisis kompleksitas.</t>
  </si>
  <si>
    <t>"Ambiguity Clinic" — Peer Department Head + Mentor Division Head</t>
  </si>
  <si>
    <t>Menemukan apakah peserta menunggu lebih lama dari yang diperlukan.</t>
  </si>
  <si>
    <t>Bentuk forum 3–4 peer setingkat ditambah 1 mentor berjenjang Division Head. Setiap 2 bulan, satu peserta membawa 1 isu yang model konseptualnya belum selesai. Peserta lain menantang: langkah apa yang sudah dapat dijalankan sekarang.</t>
  </si>
  <si>
    <t>Diskusi Strategis dengan Division Head atau Director</t>
  </si>
  <si>
    <t>Mempelajari bagaimana senior bergerak sebelum model selesai.</t>
  </si>
  <si>
    <t>Melakukan minimal 3 sesi diskusi. Tanyakan secara khusus: keputusan apa yang mereka ambil sebelum gambaran lengkapnya jelas.</t>
  </si>
  <si>
    <t>3 catatan diskusi; insight strategis.</t>
  </si>
  <si>
    <t>Minimal 5 insight strategis diperoleh. Minimal 2 pola bergerak-sebelum-jelas diterapkan pada situasi sendiri dan dinilai atasan ≥4 (skala 1–5).</t>
  </si>
  <si>
    <t>Division Head atau Director</t>
  </si>
  <si>
    <t>Umpan Balik 360° "Bergerak Tanpa Kepastian"</t>
  </si>
  <si>
    <t>Mengukur apakah unit tetap berjalan pada periode belum jelas.</t>
  </si>
  <si>
    <t>Kuesioner pre (Bulan 1) dan post (Bulan 11) kepada minimal 8 responden, termasuk tim langsung. Butir MA9 (skala 1–5): "Ia tetap memberi saya pekerjaan yang jelas meski arah dari atas belum turun"; "Unit kami tetap produktif pada periode yang tidak jelas".</t>
  </si>
  <si>
    <t>Kenaikan rata-rata ≥1 poin. Butir "unit kami tetap produktif" wajib naik ≥1 poin.</t>
  </si>
  <si>
    <t>Menjaga Unit Tetap Produktif pada 2 Periode Model Belum Selesai</t>
  </si>
  <si>
    <t>Membuktikan unit tetap menghasilkan selama model konseptual belum lengkap.</t>
  </si>
  <si>
    <t>Pada 2 periode nyata di mana model konseptual untuk sebuah keputusan besar belum selesai, jaga unit tetap menghasilkan. Tetapkan pekerjaan yang tetap benar apa pun bentuk akhir model itu.</t>
  </si>
  <si>
    <t>2 dokumentasi periode; keluaran unit; penyesuaian setelah model selesai. Termasuk review Bulan ke-6 oleh atasan.</t>
  </si>
  <si>
    <t>Keluaran unit tidak menurun dibanding periode normal. Tim mengonfirmasi tahu apa yang dikerjakan. Milestone Bulan 6: 1 periode.</t>
  </si>
  <si>
    <t>Atasan dan Tim</t>
  </si>
  <si>
    <t>Menetapkan Target Unit di Atas Target Organisasi Meski Informasi Belum Lengkap</t>
  </si>
  <si>
    <t>Bergerak menetapkan target lebih tinggi tanpa menunggu seluruh data pendukung lengkap.</t>
  </si>
  <si>
    <t>Susun target peningkatan kinerja unit yang lebih tinggi dari target organisasi, berdasarkan informasi yang tersedia meski belum lengkap. Jalankan strategi pencapaiannya.</t>
  </si>
  <si>
    <t>1 target unit dengan roadmap; realisasi berkala.</t>
  </si>
  <si>
    <t>Target ditetapkan dan disetujui meski sebagian data pendukung belum lengkap saat ditetapkan. Roadmap dijalankan dan dipantau berkala.</t>
  </si>
  <si>
    <t>Mengambil 4 Keputusan Strategis pada Model yang Belum Sepenuhnya Tervalidasi</t>
  </si>
  <si>
    <t>Memutuskan berdasarkan model yang belum tervalidasi penuh.</t>
  </si>
  <si>
    <t>Pada 4 keputusan strategis nyata, gunakan model konseptual yang peserta susun meski belum sepenuhnya tervalidasi. Tetapkan batas waktu keputusan sendiri di muka.</t>
  </si>
  <si>
    <t>4 dokumentasi keputusan.</t>
  </si>
  <si>
    <t>4 keputusan diambil dalam batas waktu sendiri. Minimal 3 dinilai atasan tepat berdasarkan informasi yang tersedia saat itu. Milestone Bulan 6: 2 keputusan.</t>
  </si>
  <si>
    <t>Log "Janji, SOP, dan Penyerahan"</t>
  </si>
  <si>
    <t>Mengukur keandalan dengan angka, memakai SOP sebagai standar acuan.</t>
  </si>
  <si>
    <t>Catat SETIAP penyerahan hasil kerja, diisi saat menyerahkan: apa yang dijanjikan, SOP atau standar mana yang berlaku, tanggal yang dijanjikan, tanggal penyerahan sebenarnya, diterima tanpa revisi atau tidak, dan jumlah revisi bila ada.</t>
  </si>
  <si>
    <t>Log minimal 80 penyerahan; rekap bulanan 3 angka — % tepat waktu, % diterima tanpa revisi, rata-rata revisi. Termasuk review rekap bulanan oleh Mentor.</t>
  </si>
  <si>
    <t>Log terisi minimal 80 penyerahan dan ketiga angka terhitung setiap bulan. Baseline diambil dari bulan 1–3. Milestone bulan ke-6: 40 penyerahan dan baseline terbentuk.</t>
  </si>
  <si>
    <t>Checklist Pemeriksaan Mandiri Sebelum Menyerahkan</t>
  </si>
  <si>
    <t>Membiasakan memeriksa hasil kerja sendiri terhadap standar sebelum diserahkan.</t>
  </si>
  <si>
    <t>Susun checklist berdasarkan SOP untuk 3 jenis pekerjaan rutin peserta. Sebelum setiap penyerahan, periksa hasil kerja terhadap checklist itu. Catat berapa kali checklist menemukan kesalahan sebelum diserahkan.</t>
  </si>
  <si>
    <t>3 checklist; log pemakaian pada minimal 30 penyerahan; catatan kesalahan yang tertangkap sebelum diserahkan.</t>
  </si>
  <si>
    <t>Checklist dipakai pada minimal 30 penyerahan. Persentase diterima tanpa revisi pada penyerahan ber-checklist naik ≥20% dari baseline, dibuktikan dari log yang dipilih peserta dalam aktivitas ini.</t>
  </si>
  <si>
    <t>Kesepakatan Standar dan Tenggat Sebelum Mengerjakan</t>
  </si>
  <si>
    <t>Memastikan ada standar yang jelas sebelum pekerjaan dimulai.</t>
  </si>
  <si>
    <t>Sebelum mengerjakan permintaan, konfirmasikan kepada peminta: hasil seperti apa yang dianggap selesai, SOP mana yang berlaku, dan tenggatnya. Tuliskan sebelum mulai mengerjakan.</t>
  </si>
  <si>
    <t>40 catatan kesepakatan awal; daftar permintaan yang semula tidak jelas beserta cara memperjelasnya.</t>
  </si>
  <si>
    <t>Minimal 40 catatan. Pada minimal 30 catatan, tidak terjadi perbedaan tafsir saat penyerahan, dikonfirmasi peminta. Milestone bulan ke-6: 20 catatan.</t>
  </si>
  <si>
    <t>Workshop "Quality Standards &amp; Right-First-Time" (1 hari)</t>
  </si>
  <si>
    <t>Menguasai cara memastikan hasil kerja memenuhi standar sebelum diserahkan.</t>
  </si>
  <si>
    <t>Pelatihan 1 hari: menerjemahkan SOP menjadi kriteria hasil terukur, menyusun checklist pemeriksaan mandiri, membedakan kesalahan sistemik dari sesaat, dan prinsip right-first-time.</t>
  </si>
  <si>
    <t>Sertifikat; checklist pemeriksaan mandiri untuk 3 tugas rutin.</t>
  </si>
  <si>
    <t>Lulus studi kasus dengan skor ≥80 (skala 0–100). Checklist disetujui atasan dan dipakai pada minimal 15 penyerahan di log.</t>
  </si>
  <si>
    <t>Kursus Online "Mengelola Komitmen &amp; Tenggat Waktu"</t>
  </si>
  <si>
    <t>Memperkirakan waktu pengerjaan secara realistis dan mengenali keterlambatan sejak dini.</t>
  </si>
  <si>
    <t>Selesaikan kursus: memperkirakan waktu pengerjaan, menyisipkan cadangan waktu, mengenali tanda akan terlambat, memberi kabar lebih dini, dan kapan menegosiasikan tenggat yang tidak realistis.</t>
  </si>
  <si>
    <t>Sertifikat; 1 metode estimasi waktu pribadi yang tercatat di log.</t>
  </si>
  <si>
    <t>Pada 10 penyerahan terakhir, selisih waktu perkiraan dan sebenarnya tidak lebih dari 20%.</t>
  </si>
  <si>
    <t>Micro-learning "SOP sebagai Standar, Bukan Formalitas"</t>
  </si>
  <si>
    <t>Memahami mengapa SOP dipatuhi mempengaruhi kualitas dan bukan sekadar syarat administratif.</t>
  </si>
  <si>
    <t>Selesaikan modul: kaitan SOP dengan mutu dan keandalan, akibat penyimpangan SOP terhadap SLA, dan cara membaca SOP yang tidak jelas.</t>
  </si>
  <si>
    <t>Sertifikat; daftar 3 SOP yang paling sering menyebabkan revisi bila tidak diikuti.</t>
  </si>
  <si>
    <t>Ketiga SOP diverifikasi atasan sebagai sumber revisi yang benar, berdasarkan data log.</t>
  </si>
  <si>
    <t>Menyepakati Kriteria Penerimaan dengan 3 Penerima Output Tetap</t>
  </si>
  <si>
    <t>Menyusun kriteria tertulis kapan hasil kerja dianggap selesai.</t>
  </si>
  <si>
    <t>Identifikasi 3 rekan yang paling sering menerima hasil kerja peserta. Wawancarai masing-masing: apa yang membuat hasil kerja dianggap selesai, hal apa yang paling sering membuatnya dikembalikan, dan SOP mana yang berlaku.</t>
  </si>
  <si>
    <t>3 laporan wawancara; 3 kriteria penerimaan tertulis yang disetujui masing-masing penerima.</t>
  </si>
  <si>
    <t>3 kriteria disetujui dan dipakai sebagai acuan kolom "standar" pada log sejak bulan ke-4.</t>
  </si>
  <si>
    <t>Atasan dan Penerima Output</t>
  </si>
  <si>
    <t>Shadowing Rekan yang Paling Dapat Diandalkan</t>
  </si>
  <si>
    <t>Mempelajari kebiasaan kerja yang membuat hasil kerja seseorang jarang dikembalikan.</t>
  </si>
  <si>
    <t>Pilih 1 rekan senior yang hasil kerjanya paling jarang dikembalikan. Amati 3 kali cara ia bekerja dari menerima permintaan hingga menyerahkan.</t>
  </si>
  <si>
    <t>3 laporan observasi; daftar 4 kebiasaan yang akan ditiru.</t>
  </si>
  <si>
    <t>Minimal 3 kebiasaan diterapkan dan terlihat pengaruhnya pada log: persentase tepat waktu atau tanpa revisi naik ≥20% dari baseline. Divalidasi atasan ≥4 (skala 1–5).</t>
  </si>
  <si>
    <t>Umpan Balik 360° "Keandalan Hasil Kerja"</t>
  </si>
  <si>
    <t>Mengukur perubahan persepsi penerima output atas keandalan peserta.</t>
  </si>
  <si>
    <t>Kuesioner pre (bulan 1) dan post (bulan 11) kepada minimal 5 penerima output tetap. Butir RA1: "Hasilnya sesuai yang disepakati"; "Ia menyerahkan tepat waktu"; "Saya jarang harus mengembalikan hasil kerjanya"; "Bila akan terlambat, ia memberi kabar lebih awal"; "Saya dapat mengandalkannya tanpa perlu mengingatkan".</t>
  </si>
  <si>
    <t>Kenaikan rata-rata ≥1 poin (skala 1–5). Butir "dapat diandalkan tanpa perlu diingatkan" wajib naik ≥1 poin (skala 1–5).</t>
  </si>
  <si>
    <t>Menjaga Keandalan pada 60 Penyerahan Berturut-turut</t>
  </si>
  <si>
    <t>Membuktikan keandalan sebagai angka yang bertahan.</t>
  </si>
  <si>
    <t>Sejak bulan ke-4, jalankan 60 penyerahan dengan disiplin penuh: sepakati standar dan tenggat di muka, periksa dengan checklist, serahkan tepat waktu, beri kabar dini bila tenggat terancam.</t>
  </si>
  <si>
    <t>60 penyerahan tercatat; grafik bulanan persentase tepat waktu dan tanpa revisi. Termasuk review Bulan ke-6 dan ke-12 oleh Atasan.</t>
  </si>
  <si>
    <t>Pada triwulan terakhir (minimal 15 penyerahan): tepat waktu ≥95%, dan persentase tanpa revisi naik minimal 15 poin dari baseline. Tidak boleh ada dua bulan berturut-turut di bawah 85% tepat waktu. Milestone bulan ke-6: 20 penyerahan dan tren naik ≥20% dari baseline.</t>
  </si>
  <si>
    <t>Memperbaiki 1 Tugas Rutin yang Paling Sering Dikembalikan</t>
  </si>
  <si>
    <t>Menurunkan tingkat revisi pada jenis pekerjaan yang paling bermasalah.</t>
  </si>
  <si>
    <t>Dari log, pilih 1 jenis tugas dengan tingkat revisi tertinggi. Telusuri penyebabnya, ubah cara mengerjakannya — checklist, format baku, atau konfirmasi awal. Jalankan minimal 15 penyerahan dengan cara baru.</t>
  </si>
  <si>
    <t>Dokumentasi sebelum-sesudah; data tingkat revisi dan ketepatan waktu pada minimal 15 penyerahan.</t>
  </si>
  <si>
    <t>Tingkat revisi turun minimal 50% dari baseline, diukur dari minimal 15 penyerahan sesudah perbaikan.</t>
  </si>
  <si>
    <t>Menangani 1 Permintaan Mendesak Tanpa Mengorbankan Penyerahan Lain</t>
  </si>
  <si>
    <t>Menguji apakah keandalan bertahan ketika muncul pekerjaan di luar rencana.</t>
  </si>
  <si>
    <t>Ambil tanggung jawab 1 permintaan mendesak yang bertabrakan dengan pekerjaan berjalan. Penuhi permintaan itu DAN pastikan tidak ada penyerahan lain yang terlambat tanpa negosiasi ulang di muka.</t>
  </si>
  <si>
    <t>Dokumentasi kasus; bukti seluruh penyerahan pada periode itu dari log; konfirmasi penerima yang tenggatnya dinegosiasikan ulang.</t>
  </si>
  <si>
    <t>Permintaan mendesak terpenuhi. Tidak ada penyerahan lain yang terlambat tanpa negosiasi ulang di muka. Atasan dan penerima menilai ≥4 (skala 1–5).</t>
  </si>
  <si>
    <t>Log "Aktivitas, Hasil, dan Dampak"</t>
  </si>
  <si>
    <t>Memisahkan tiga lapis yang sering dicampur dalam laporan kerja.</t>
  </si>
  <si>
    <t>Untuk setiap tugas yang peserta selesaikan, catat tiga baris terpisah: AKTIVITAS yang dikerjakan, HASIL yang dihasilkan (angka atau keadaan yang berubah), dan DAMPAK yang dirasakan penerima manfaat (tim, pelanggan, fungsi lain). Beri tanda bila salah satu baris tidak dapat diisi.</t>
  </si>
  <si>
    <t>Log minimal 30 tugas; rekap triwulanan proporsi tugas yang ketiga barisnya lengkap. Termasuk review rekap triwulanan oleh Mentor.</t>
  </si>
  <si>
    <t>Minimal 30 tugas tercatat. Proporsi yang ketiga barisnya lengkap naik dari baseline triwulan 1 menjadi ≥70% pada triwulan 4. Milestone bulan ke-6: 15 tugas.</t>
  </si>
  <si>
    <t>Menetapkan Metrik Keberhasilan Sebelum Mengerjakan</t>
  </si>
  <si>
    <t>Menetapkan ukuran dampak di muka, bukan menyimpulkannya setelah selesai.</t>
  </si>
  <si>
    <t>Sebelum mengerjakan tugas yang berdampak pada pihak lain, tetapkan metrik keberhasilannya: angka atau kondisi apa yang menunjukkan tugas ini benar-benar memberi nilai. Tuliskan sebelum mulai, ukur setelah selesai.</t>
  </si>
  <si>
    <t>24 catatan metrik yang ditetapkan di muka beserta hasil pengukurannya.</t>
  </si>
  <si>
    <t>Minimal 20 dari 24 metrik ditetapkan SEBELUM mengerjakan. Pada minimal 15, metrik itu benar-benar diukur setelah selesai dan hasilnya dilaporkan apa adanya.</t>
  </si>
  <si>
    <t>Refleksi Bulanan "Aktivitas yang Tidak Berdampak"</t>
  </si>
  <si>
    <t>Menemukan pekerjaan yang selesai tetapi tidak mengubah apa pun.</t>
  </si>
  <si>
    <t>Setiap bulan, tinjau log dan cari 1 tugas yang selesai dengan baik tetapi TIDAK memberi dampak yang jelas bagi siapa pun. Telusuri mengapa tugas itu dikerjakan, dan apa yang seharusnya dilakukan berbeda.</t>
  </si>
  <si>
    <t>12 laporan refleksi bulanan; daftar pola pekerjaan yang cenderung tidak berdampak.</t>
  </si>
  <si>
    <t>Minimal 10 dari 12 laporan selesai. Peserta menyebutkan minimal 2 pola pekerjaan yang cenderung tidak berdampak, dan pola itu terbukti turun ≥50% pada log triwulan berikutnya.</t>
  </si>
  <si>
    <t>Workshop "Dari Aktivitas ke Dampak: Menetapkan Tujuan Akhir" (1–2 hari)</t>
  </si>
  <si>
    <t>Menguasai cara menetapkan tujuan akhir dan metrik dampak sebelum bekerja.</t>
  </si>
  <si>
    <t>Pelatihan: membedakan aktivitas dari hasil dan dampak, menyusun metrik keberhasilan yang relevan bagi penerima manfaat, dan mengenali kapan sebuah pekerjaan sudah berhasil menurut prosedur tetapi belum berdampak.</t>
  </si>
  <si>
    <t>Sertifikat; 2 tugas kerja nyata yang disusun ulang dengan metrik dampak, bukan metrik aktivitas.</t>
  </si>
  <si>
    <t>Lulus studi kasus skor ≥80 (skala 0–100). Kedua tugas yang disusun ulang disetujui atasan sebagai metrik yang benar-benar mengukur dampak, bukan penyelesaian aktivitas.</t>
  </si>
  <si>
    <t>Kursus Online "Memonitor Hasil terhadap Target secara Berkala"</t>
  </si>
  <si>
    <t>Menguasai cara memantau hasil dibanding target, bukan sekadar aktivitas terhadap rencana.</t>
  </si>
  <si>
    <t>Selesaikan kursus: menyusun laporan harian dan bulanan berbasis HASIL, menganalisis penyebab hasil yang tidak sesuai target, dan membedakan penyimpangan proses dari penyimpangan hasil.</t>
  </si>
  <si>
    <t>Sertifikat; 1 laporan pemantauan hasil terhadap target untuk pekerjaan nyata, minimal 2 bulan.</t>
  </si>
  <si>
    <t>Laporan menunjukkan hasil dibanding target, bukan aktivitas dibanding rencana. Dinilai atasan ≥4 (skala 1–5).</t>
  </si>
  <si>
    <t>Micro-learning "Mengelola Hambatan Tanpa Mengorbankan Tujuan Akhir"</t>
  </si>
  <si>
    <t>Menyesuaikan cara kerja ketika hambatan muncul, tanpa melupakan tujuan akhir.</t>
  </si>
  <si>
    <t>Selesaikan modul: mengenali kapan mengikuti prosedur seperti biasa tidak lagi membawa ke hasil yang diinginkan, dan cara menyesuaikan proses tanpa melanggar batas yang penting.</t>
  </si>
  <si>
    <t>Sertifikat; 3 contoh hambatan nyata dan penyesuaian yang dilakukan tanpa mengorbankan tujuan akhir.</t>
  </si>
  <si>
    <t>Ketiga contoh menunjukkan tujuan akhir tetap tercapai meski prosesnya disesuaikan. Dinilai mentor ≥4 (skala 1–5).</t>
  </si>
  <si>
    <t>Meminta Umpan Balik Dampak dari 2 Penerima Manfaat</t>
  </si>
  <si>
    <t>Mengukur dampak dari sisi yang merasakannya, bukan dari sisi pengerja.</t>
  </si>
  <si>
    <t>Identifikasi 2 pihak yang menerima manfaat dari pekerjaan peserta — tim, fungsi lain, atau pelanggan internal. Minta mereka menilai: apakah hasil kerja peserta benar-benar berguna bagi mereka, bukan sekadar selesai tepat waktu.</t>
  </si>
  <si>
    <t>2 laporan umpan balik dampak; rencana tindak lanjut atas area yang perlu ditingkatkan.</t>
  </si>
  <si>
    <t>Minimal 6 sesi umpan balik terlaksana sepanjang program. Minimal 4 tindak lanjut dijalankan dan dikonfirmasi pihak penerima.</t>
  </si>
  <si>
    <t>Coaching Atasan atas Metrik Dampak yang Ditetapkan Sendiri</t>
  </si>
  <si>
    <t>Mendapatkan koreksi atas metrik yang ditetapkan, bukan atas hasil akhirnya.</t>
  </si>
  <si>
    <t>Setiap 2 bulan, bawa 1 metrik keberhasilan yang peserta tetapkan sendiri kepada atasan. Diskusikan apakah metrik itu benar-benar mengukur dampak atau hanya mengukur aktivitas yang mudah dihitung.</t>
  </si>
  <si>
    <t>5 catatan coaching berisi koreksi metrik dan perbaikannya.</t>
  </si>
  <si>
    <t>5 sesi terlaksana. 0 pengulangan kesalahan yang sama dalam menyusun metrik pada sesi berikutnya.</t>
  </si>
  <si>
    <t>Umpan Balik 360° "Fokus pada Hasil dan Dampak"</t>
  </si>
  <si>
    <t>Mengukur persepsi rekan atas orientasi hasil peserta.</t>
  </si>
  <si>
    <t>Kuesioner pre (bulan 1) dan post (bulan 11) kepada minimal 6 responden. Butir RA3: "Ia fokus pada hasil, bukan sekadar menyelesaikan tugas"; "Ia tahu untuk apa pekerjaannya dilakukan"; "Ia menyesuaikan cara kerjanya ketika cara biasa tidak membawa hasil"; "Pekerjaannya terasa memberi nilai bagi saya atau tim saya".</t>
  </si>
  <si>
    <t>Kenaikan rata-rata ≥1 poin (skala 1–5). Butir "pekerjaannya terasa memberi nilai" wajib naik ≥1 poin (skala 1–5) — dinilai dari responden yang menjadi penerima manfaat, bukan sesama pengerja.</t>
  </si>
  <si>
    <t>Mencapai Dampak Terukur pada 6 Tugas Berbeda</t>
  </si>
  <si>
    <t>Membuktikan hasil kerja memberi nilai yang dapat diukur, bukan sekadar selesai.</t>
  </si>
  <si>
    <t>Pada 6 tugas kerja nyata, tetapkan metrik dampak di muka, kerjakan, dan ukur hasilnya terhadap metrik itu. Sesuaikan proses bila muncul hambatan agar tujuan akhir tetap tercapai.</t>
  </si>
  <si>
    <t>6 dokumentasi dengan metrik di muka, hasil pengukuran, dan penyesuaian yang dilakukan bila ada hambatan. Termasuk review Bulan ke-6 dan ke-12 oleh Atasan.</t>
  </si>
  <si>
    <t>6 tugas selesai dengan metrik dampak yang ditetapkan di muka. Minimal 5 mencapai ≥80% target metrik. Minimal 2 melibatkan penyesuaian proses karena hambatan. Milestone bulan ke-6: 3 tugas.</t>
  </si>
  <si>
    <t>Memperbaiki 1 Proses yang Selesai Tepat Waktu Tetapi Berdampak Rendah</t>
  </si>
  <si>
    <t>Menaikkan dampak sebuah proses yang secara prosedural sudah benar tetapi hasilnya lemah.</t>
  </si>
  <si>
    <t>Pilih 1 proses kerja rutin yang selalu selesai sesuai SOP dan tenggat, tetapi dampaknya bagi penerima manfaat dinilai rendah. Ukur dampak sebelum perbaikan, ubah caranya, dan ukur lagi sesudahnya.</t>
  </si>
  <si>
    <t>Dokumentasi sebelum-sesudah; data dampak yang terukur; konfirmasi penerima manfaat.</t>
  </si>
  <si>
    <t>Dampak terukur naik ≥20% dari baseline, dikonfirmasi penerima manfaat dengan skor ≥4 (skala 1–5). Kepatuhan SOP tetap ≥ baseline sebagai akibat perbaikan ini.</t>
  </si>
  <si>
    <t>Atasan dan Penerima Manfaat</t>
  </si>
  <si>
    <t>Mengambil Tanggung Jawab Penuh atas 1 Hasil yang Sempat Meleset dari Target</t>
  </si>
  <si>
    <t>Menguji kesediaan bertanggung jawab atas hasil, bukan hanya atas aktivitas yang dikerjakan.</t>
  </si>
  <si>
    <t>Pilih 1 pekerjaan yang hasilnya sempat meleset dari target meski aktivitasnya sudah dijalankan sesuai prosedur. Ambil tanggung jawab penuh — bukan menyalahkan prosedur atau pihak lain — telusuri sebabnya, dan perbaiki sampai target tercapai.</t>
  </si>
  <si>
    <t>Dokumentasi: target awal, hasil yang meleset, analisis tanggung jawab pribadi, tindakan perbaikan, hasil akhir.</t>
  </si>
  <si>
    <t>Target akhirnya tercapai. Atasan menilai ≥4 (skala 1–5) bahwa peserta mengambil tanggung jawab atas hasil, bukan menjelaskan bahwa prosedurnya sudah diikuti dengan benar.</t>
  </si>
  <si>
    <t>Log "Hasil → Pelajaran → Tindakan → Bukti"</t>
  </si>
  <si>
    <t>Menstrukturkan refleksi agar tidak berhenti sebagai kesadaran.</t>
  </si>
  <si>
    <t>Setiap hasil kerja — berhasil, gagal, atau meleset — catat empat baris: HASIL apa adanya, PELAJARAN yang ditarik, TINDAKAN perbaikan yang akan dijalankan, dan BUKTI bahwa tindakan itu benar-benar dijalankan pada kesempatan berikutnya. Baris keempat diisi belakangan, setelah kesempatan itu datang.</t>
  </si>
  <si>
    <t>Log minimal 24 siklus lengkap; rekap triwulanan proporsi siklus yang baris keempatnya terisi. Termasuk review rekap triwulanan oleh Mentor.</t>
  </si>
  <si>
    <t>Minimal 24 siklus dimulai. Proporsi yang baris keempatnya (bukti tindakan dijalankan) terisi naik menjadi ≥70% pada triwulan 4. Siklus yang berhenti di baris kedua (pelajaran) tanpa baris ketiga dan keempat tidak dihitung penuh. Milestone bulan ke-6: 12 siklus dimulai.</t>
  </si>
  <si>
    <t>After Action Review (AAR) Pribadi dengan Uji Tindak Lanjut</t>
  </si>
  <si>
    <t>Memastikan AAR pribadi menghasilkan perubahan yang teruji, bukan sekadar catatan.</t>
  </si>
  <si>
    <t>Setiap bulan, pilih 1 tugas selesai. Susun AAR: apa yang berjalan baik, apa yang tidak, penyebabnya, dan minimal 2 tindakan perbaikan. Terapkan tindakan itu pada tugas SEJENIS berikutnya, dan catat hasilnya.</t>
  </si>
  <si>
    <t>12 AAR; catatan penerapan tindakan pada tugas berikutnya beserta hasilnya.</t>
  </si>
  <si>
    <t>Minimal 10 AAR selesai dengan tindakan yang diterapkan dan hasilnya dicatat. Tindakan yang tidak pernah diterapkan pada tugas berikutnya tidak dihitung.</t>
  </si>
  <si>
    <t>Refleksi "Pola Kegagalan yang Berulang"</t>
  </si>
  <si>
    <t>Menemukan penyebab yang berulang di balik kegagalan yang tampak berbeda-beda.</t>
  </si>
  <si>
    <t>Setiap 3 bulan, tinjau seluruh hasil kerja yang meleset pada periode itu. Kelompokkan berdasarkan penyebabnya. Bila ada penyebab yang berulang, tetapkan 1 perubahan cara kerja untuk menanganinya.</t>
  </si>
  <si>
    <t>4 laporan pola triwulanan; 4 perubahan cara kerja beserta buktinya.</t>
  </si>
  <si>
    <t>4 laporan selesai. Minimal 3 perubahan cara kerja diterapkan, dan penyebab yang ditangani terbukti turun ≥50% pada log triwulan berikutnya. Milestone bulan ke-6: 2 laporan.</t>
  </si>
  <si>
    <t>Workshop "Root Cause Analysis dan Action Improvement" (2 hari)</t>
  </si>
  <si>
    <t>Menguasai teknik menemukan penyebab sebenarnya, bukan penyebab yang paling mudah disebut.</t>
  </si>
  <si>
    <t>Pelatihan 2 hari: metode 5 Why dan Fishbone Diagram, membedakan penyebab permukaan dari penyebab mendasar, dan menyusun tindakan perbaikan yang menyasar penyebab mendasar itu.</t>
  </si>
  <si>
    <t>Sertifikat; 1 action plan untuk 1 kasus nyata memuat akar masalah, solusi, PIC, dan target implementasi. Termasuk hasil dilaporkan pada bulan ke-6.</t>
  </si>
  <si>
    <t>Lulus studi kasus skor ≥80 (skala 0–100). Action plan disetujui atasan dan dijalankan.</t>
  </si>
  <si>
    <t>Menguasai cara memimpin pembahasan kegagalan tim secara terbuka dan konstruktif.</t>
  </si>
  <si>
    <t>Selesaikan kursus: memisahkan pembahasan kesalahan dari penghakiman pribadi, membuka ruang bagi anggota tim mengakui kesalahan tanpa takut disalahkan, dan mengarahkan diskusi ke tindakan perbaikan bersama.</t>
  </si>
  <si>
    <t>Sertifikat; 1 rancangan sesi refleksi tim yang siap dijalankan.</t>
  </si>
  <si>
    <t>Rancangan dijalankan pada minimal 1 sesi nyata dalam 60 hari, dan anggota tim menilai suasananya tidak menghakiman, dengan skor ≥4 (skala 1–5).</t>
  </si>
  <si>
    <t>Micro-learning "Kapan Refleksi Berhenti sebagai Kesadaran"</t>
  </si>
  <si>
    <t>Selesaikan modul: tanda refleksi yang berhenti di "saya sadar bahwa...", perbedaan antara menyesal dan memperbaiki, dan cara memaksa diri menuliskan tindakan konkret setiap kali merefleksikan sesuatu.</t>
  </si>
  <si>
    <t>Sertifikat; daftar 5 refleksi masa lalu peserta yang ternyata berhenti sebagai kesadaran, beserta tindakan yang seharusnya diambil.</t>
  </si>
  <si>
    <t>Kelima refleksi disertai tindakan konkret yang belum pernah dijalankan, dan minimal 3 di antaranya benar-benar dijalankan setelah modul ini.</t>
  </si>
  <si>
    <t>Sesi After Action Review Bersama Atasan atau Mentor</t>
  </si>
  <si>
    <t>Mendapatkan pandangan luar atas pelajaran yang ditarik, agar tidak sekadar pembenaran diri.</t>
  </si>
  <si>
    <t>Pilih 1 pekerjaan atau proyek selesai. Jadwalkan diskusi dengan atasan: bahas target, hasil aktual, faktor pendukung, hambatan, dan area perbaikan. Catat minimal 3 pembelajaran dan susun tindakan perbaikan.</t>
  </si>
  <si>
    <t>4 dokumen AAR bersama atasan; action plan yang disetujui.</t>
  </si>
  <si>
    <t>4 sesi terlaksana. Setiap sesi menghasilkan minimal 3 pembelajaran dan minimal 2 tindakan yang disetujui dan dijalankan atasan.</t>
  </si>
  <si>
    <t>Peer Learning Session Lintas Unit tentang Kegagalan</t>
  </si>
  <si>
    <t>Belajar dari kegagalan orang lain untuk mencegah kesalahan yang sama.</t>
  </si>
  <si>
    <t>Bentuk sesi berbagi dengan rekan dari unit lain. Bahas kegagalan atau hasil yang meleset yang pernah dialami masing-masing, tanpa menghakimi. Catat praktik yang perlu dihindari dan yang perlu ditiru.</t>
  </si>
  <si>
    <t>6 sesi peer learning; daftar pembelajaran dan praktik yang diadopsi.</t>
  </si>
  <si>
    <t>Minimal 5 dari 6 sesi terlaksana. Minimal 3 pembelajaran diterapkan pada pekerjaan peserta sendiri dan tidak ada pengulangan kesalahan yang sama pada 3 bulan berikutnya.</t>
  </si>
  <si>
    <t>Umpan Balik 360° "Budaya Belajar dari Hasil"</t>
  </si>
  <si>
    <t>Mengukur apakah tim merasakan pembelajaran kolektif yang terbuka.</t>
  </si>
  <si>
    <t>Kuesioner pre (bulan 1) dan post (bulan 11) kepada minimal 6 responden, WAJIB mencakup anggota tim langsung. Butir RA6: "Ketika kami gagal, kami membahasnya terbuka tanpa mencari siapa yang salah"; "Pelajaran dari kegagalan benar-benar diubah menjadi tindakan baru"; "Ia mengakui kesalahannya sendiri di depan tim"; "Kesalahan yang sama jarang terulang di unit kami".</t>
  </si>
  <si>
    <t>Kenaikan rata-rata ≥1 poin (skala 1–5). Butir "membahas terbuka tanpa mencari siapa yang salah" wajib naik ≥1 poin (skala 1–5) — penanda konteks level RA6 yang paling khas.</t>
  </si>
  <si>
    <t>Memimpin 6 Siklus Refleksi Kolektif Tim yang Berujung Tindakan</t>
  </si>
  <si>
    <t>Membuktikan refleksi tim benar-benar berujung pada perubahan tindakan.</t>
  </si>
  <si>
    <t>Pimpin 6 sesi refleksi tim setelah tugas, proyek, atau periode kerja selesai — baik yang berhasil maupun gagal. Setiap sesi wajib menghasilkan minimal 1 tindakan perbaikan yang disepakati dan dijalankan, tanpa mencari kambing hitam.</t>
  </si>
  <si>
    <t>6 notulen sesi refleksi; 6 tindakan perbaikan yang disepakati beserta bukti pelaksanaannya. Termasuk review Bulan ke-6 dan ke-12 oleh Atasan.</t>
  </si>
  <si>
    <t>6 sesi terlaksana dengan tindakan yang disepakati. Minimal 5 tindakan benar-benar dijalankan dan menghasilkan perbaikan yang terukur (dibuktikan dengan data sebelum-sesudah). Milestone bulan ke-6: 3 sesi, minimal 2 tindakan dijalankan.</t>
  </si>
  <si>
    <t>Menghentikan 1 Kesalahan yang Berulang di Tim Melalui Perubahan Sistem</t>
  </si>
  <si>
    <t>Membuktikan pelajaran kolektif diubah menjadi perbaikan yang melembaga, bukan sekadar diingat.</t>
  </si>
  <si>
    <t>Identifikasi 1 kesalahan yang berulang kali terjadi di tim peserta. Bahas secara terbuka dalam sesi refleksi tim, temukan penyebab sebenarnya, dan ubah SISTEM atau cara kerja — bukan hanya mengingatkan orangnya — agar kesalahan itu tidak berulang.</t>
  </si>
  <si>
    <t>Dokumentasi kesalahan berulang; notulen pembahasan terbuka; perubahan sistem yang diterapkan; data sebelum dan sesudah.</t>
  </si>
  <si>
    <t>Kesalahan itu tidak muncul kembali selama minimal 3 bulan setelah perubahan sistem diterapkan, dibuktikan dengan data.</t>
  </si>
  <si>
    <t>Memimpin Review Pasca Proyek dengan Kegagalan yang Signifikan</t>
  </si>
  <si>
    <t>Menguji kepemimpinan pembelajaran pada situasi yang paling sulit dibahas terbuka.</t>
  </si>
  <si>
    <t>Pilih 1 proyek atau inisiatif yang hasilnya jelas gagal atau jauh dari target. Pimpin sesi review bersama tim yang terlibat: bahas apa yang terjadi, mengapa, dan apa yang harus berubah — tanpa menyalahkan individu tertentu. Pastikan tindak lanjut dijalankan.</t>
  </si>
  <si>
    <t>Notulen review; daftar tindak lanjut yang disepakati; bukti pelaksanaan; umpan balik tim atas suasana diskusi.</t>
  </si>
  <si>
    <t>Review terlaksana dan tim mengonfirmasi suasananya tidak menghakimi individu, dengan skor ≥4 (skala 1–5). Minimal 80% tindak lanjut yang disepakati dijalankan dalam 60 hari.</t>
  </si>
  <si>
    <t>Log "Alternatif yang Dihasilkan Peserta Saat Tertekan"</t>
  </si>
  <si>
    <t>Mengukur berapa cepat dan berapa banyak alternatif yang dihasilkan saat masalah mendesak.</t>
  </si>
  <si>
    <t>Setiap kali menghadapi masalah mendesak atau krisis kecil, catat: apa masalahnya, berapa lama sampai peserta menghasilkan alternatif SOLUSI KEDUA (bukan hanya solusi pertama), berapa total alternatif yang terpikir dalam 1 jam pertama, dan solusi mana yang akhirnya dipakai.</t>
  </si>
  <si>
    <t>Log minimal 24 situasi mendesak; rekap triwulanan rata-rata waktu menghasilkan alternatif kedua dan jumlah alternatif dalam 1 jam pertama. Termasuk review rekap triwulanan oleh Mentor.</t>
  </si>
  <si>
    <t>Minimal 24 situasi tercatat. Rata-rata waktu menghasilkan alternatif kedua turun ≥50% dari baseline triwulan 1 pada triwulan 4, DAN rata-rata jumlah alternatif dalam 1 jam naik ≥20% dari baseline menjadi ≥3. Milestone bulan ke-6: 12 situasi dan baseline terbentuk.</t>
  </si>
  <si>
    <t>Latihan "Ganti Arah dalam 15 Menit"</t>
  </si>
  <si>
    <t>Melatih pergantian solusi cepat ketika solusi pertama terbukti tidak bekerja.</t>
  </si>
  <si>
    <t>Setiap kali solusi yang sedang dijalankan terbukti tidak bekerja saat sedang mendesak, beri diri peserta batas waktu 15 menit untuk menghasilkan dan memilih solusi pengganti — bukan menunggu sampai yakin sepenuhnya. Catat solusi lama, mengapa gagal, solusi baru, dan apakah 15 menit terlampaui.</t>
  </si>
  <si>
    <t>20 catatan pergantian solusi; rekap ketepatan waktu 15 menit.</t>
  </si>
  <si>
    <t>Minimal 16 dari 20 pergantian dilakukan dalam batas 15 menit. Pada minimal 12, solusi pengganti terbukti berhasil menangani situasi. Milestone bulan ke-6: 8 catatan.</t>
  </si>
  <si>
    <t>Refleksi "Situasi yang Peserta Bertahan Terlalu Lama"</t>
  </si>
  <si>
    <t>Menemukan pola yang membuat peserta bertahan pada solusi yang sudah terbukti gagal.</t>
  </si>
  <si>
    <t>Setiap 3 bulan, ambil 1 situasi mendesak di mana peserta bertahan pada solusi pertama lebih lama daripada seharusnya. Telusuri: apa yang membuat peserta tidak segera beralih, dan berapa biaya dari keterlambatan itu.</t>
  </si>
  <si>
    <t>4 laporan penelusuran; daftar pola penahan yang berulang.</t>
  </si>
  <si>
    <t>4 laporan selesai. Peserta menyebutkan minimal 2 pola penahan yang berulang, dan pola itu terbukti turun ≥50% pada log triwulan berikutnya. Milestone bulan ke-6: 2 laporan.</t>
  </si>
  <si>
    <t>Workshop "Rapid Alternative Generation Under Pressure" (2 hari)</t>
  </si>
  <si>
    <t>Menguasai teknik menghasilkan banyak alternatif dengan cepat saat tertekan.</t>
  </si>
  <si>
    <t>Pelatihan 2 hari: teknik menghasilkan alternatif secara cepat (brainstorming terstruktur dalam waktu singkat, analogi cepat dari kasus lain), menetapkan batas waktu keputusan di muka, mengenali tanda solusi yang sedang berjalan mulai gagal, dan berpindah tanpa kehilangan momentum tim.</t>
  </si>
  <si>
    <t>Sertifikat; simulasi krisis dengan minimal 3 alternatif dihasilkan dalam waktu terbatas.</t>
  </si>
  <si>
    <t>Lulus simulasi dengan skor ≥80 (skala 0–100), menghasilkan minimal 3 alternatif dalam waktu yang ditentukan fasilitator.</t>
  </si>
  <si>
    <t>Kursus Online "Mengenali Solusi yang Mulai Gagal Lebih Awal"</t>
  </si>
  <si>
    <t>Mendeteksi tanda solusi tidak bekerja sebelum kerugian membesar.</t>
  </si>
  <si>
    <t>Selesaikan kursus: tanda-tanda dini sebuah solusi tidak bekerja, membedakan kegagalan sementara dari kegagalan yang berarti, dan menetapkan ambang "berhenti dan ganti" sebelum krisis dimulai.</t>
  </si>
  <si>
    <t>Sertifikat; 5 ambang "berhenti dan ganti" untuk 5 jenis masalah mendesak yang sering dihadapi unit.</t>
  </si>
  <si>
    <t>5 ambang ditetapkan dan disetujui atasan. Minimal 3 terbukti dipakai dan tercatat pada log alternatif solusi yang dipilih peserta dalam aktivitas ini.</t>
  </si>
  <si>
    <t>Micro-learning "Totalitas Memanfaatkan Sumber Daya yang Ada"</t>
  </si>
  <si>
    <t>Menghasilkan alternatif dengan memanfaatkan sumber daya yang sudah tersedia, bukan menunggu sumber daya baru.</t>
  </si>
  <si>
    <t>Selesaikan modul: mengenali sumber daya yang belum dimanfaatkan penuh, menyusun solusi dari kombinasi sumber daya yang ada, dan menghindari kebiasaan menunggu sumber daya tambahan sebelum bertindak.</t>
  </si>
  <si>
    <t>Sertifikat; 3 contoh solusi yang memanfaatkan sumber daya yang sudah ada tanpa menunggu tambahan.</t>
  </si>
  <si>
    <t>Ketiga contoh diverifikasi mentor sebagai solusi yang benar-benar memakai sumber daya yang sudah tersedia.</t>
  </si>
  <si>
    <t>"Rapid Fire Clinic" — Forum Peer Setingkat dan Mentor Senior</t>
  </si>
  <si>
    <t>Memaksa munculnya lebih banyak alternatif dalam waktu terbatas.</t>
  </si>
  <si>
    <t>Bentuk forum 3–4 peer setingkat ditambah 1 mentor senior. Setiap bulan, satu peserta membawa 1 masalah mendesak nyata. Forum diberi waktu 10 menit untuk bersama-sama menghasilkan alternatif sebanyak mungkin, sebelum membahas mana yang terbaik.</t>
  </si>
  <si>
    <t>10 sesi (minimal 3 sebagai pembawa kasus); catatan jumlah alternatif yang dihasilkan per sesi.</t>
  </si>
  <si>
    <t>Minimal 8 dari 10 sesi terlaksana. Rata-rata jumlah alternatif yang dihasilkan forum dalam 10 menit naik ≥20% dari 3 sesi pertama ke 3 sesi terakhir. Milestone bulan ke-6: 4 sesi.</t>
  </si>
  <si>
    <t>Shadowing Atasan saat Mengganti Solusi di Tengah Krisis</t>
  </si>
  <si>
    <t>Mempelajari bagaimana senior memutuskan mengganti arah saat solusi pertama gagal.</t>
  </si>
  <si>
    <t>Minta izin mengamati 3 kesempatan di mana atasan mengganti solusi di tengah situasi mendesak. Catat: tanda apa yang membuatnya menyadari solusi pertama tidak bekerja, berapa lama sampai ia memutuskan berganti, alternatif apa yang ia pilih, dan bagaimana ia menyampaikan pergantian itu kepada tim tanpa membuat mereka kehilangan arah.</t>
  </si>
  <si>
    <t>Minimal 3 pola diterapkan pada situasi peserta sendiri dan tercatat pada log. Divalidasi atasan ≥4 (skala 1–5).</t>
  </si>
  <si>
    <t>Umpan Balik 360° "Kecepatan dan Kelenturan Memecahkan Masalah"</t>
  </si>
  <si>
    <t>Mengukur persepsi tim dan atasan atas kecepatan dan fleksibilitas peserta.</t>
  </si>
  <si>
    <t>Kuesioner pre (bulan 1) dan post (bulan 11) kepada minimal 8 responden, termasuk tim langsung. Butir RA10: "Ia cepat menemukan cara lain ketika cara pertama tidak berhasil"; "Ia tidak bertahan pada solusi yang sudah jelas gagal"; "Saat mendesak, ia menghasilkan lebih dari satu pilihan"; "Ia tetap tenang ketika harus berganti arah tiba-tiba".</t>
  </si>
  <si>
    <t>Kenaikan rata-rata ≥1 poin (skala 1–5). Butir "tidak bertahan pada solusi yang sudah jelas gagal" wajib naik ≥1 poin (skala 1–5) — butir ini membedakan RA10 dari RA7.</t>
  </si>
  <si>
    <t>Menangani 6 Masalah Mendesak dengan Minimal 3 Alternatif per Kasus</t>
  </si>
  <si>
    <t>Membuktikan kecepatan dan jumlah alternatif pada masalah nyata yang mendesak.</t>
  </si>
  <si>
    <t>Pada 6 masalah mendesak nyata — kegagalan proses, keluhan kritis, kendala operasional tiba-tiba — hasilkan minimal 3 alternatif solusi untuk masing-masing dalam waktu yang wajar mengingat mendesaknya situasi. Catat alternatif yang dipertimbangkan, yang dipilih, dan hasilnya.</t>
  </si>
  <si>
    <t>6 dokumentasi kasus dengan minimal 3 alternatif tercatat per kasus; waktu yang dibutuhkan untuk masing-masing. Termasuk review Bulan ke-6 dan ke-12 oleh Atasan.</t>
  </si>
  <si>
    <t>6 kasus ditangani, seluruhnya dengan minimal 3 alternatif tercatat. Waktu menghasilkan alternatif kedua pada 3 kasus terakhir turun ≥20% dibanding 3 kasus pertama. Milestone bulan ke-6: 3 kasus.</t>
  </si>
  <si>
    <t>Mengganti Arah Solusi pada 3 Kasus yang Solusi Pertamanya Gagal</t>
  </si>
  <si>
    <t>Membuktikan kesediaan dan kecepatan berganti arah ketika solusi pertama tidak bekerja.</t>
  </si>
  <si>
    <t>Pada 3 kasus nyata di mana solusi pertama yang peserta jalankan terbukti tidak bekerja, ganti arah dengan cepat. Dokumentasikan: solusi pertama, tanda kegagalannya, waktu sampai beralih, solusi pengganti, dan hasil akhirnya.</t>
  </si>
  <si>
    <t>3 dokumentasi pergantian solusi lengkap dengan linimasa waktu.</t>
  </si>
  <si>
    <t>Pada ketiga kasus, pergantian dilakukan dalam waktu yang dinilai atasan sebagai cepat mengingat situasinya. Minimal 2 solusi pengganti berhasil menangani masalah. Atasan menilai ≥4 (skala 1–5) pada kecepatan dan ketepatan pergantian.</t>
  </si>
  <si>
    <t>Memimpin Tim Menghasilkan Alternatif Cepat pada 1 Krisis Operasional</t>
  </si>
  <si>
    <t>Menguji apakah kecepatan menghasilkan alternatif menular kepada tim yang dipimpin.</t>
  </si>
  <si>
    <t>Pada 1 krisis atau masalah mendesak yang melibatkan tim, pimpin sesi cepat menghasilkan alternatif bersama tim — bukan menyelesaikannya sendirian. Tetapkan batas waktu, dorong tim menyumbang alternatif, dan pilih solusi bersama.</t>
  </si>
  <si>
    <t>Dokumentasi krisis; catatan sesi penghasilan alternatif bersama tim; alternatif yang disumbangkan tim; solusi yang dipilih dan hasilnya.</t>
  </si>
  <si>
    <t>Sesi terlaksana dengan minimal 2 alternatif berasal dari anggota tim, bukan hanya dari peserta. Krisis tertangani dalam batas waktu yang wajar. Tim menilai ≥4 (skala 1–5) pada kejelasan arahan saat harus bergerak cepat.</t>
  </si>
  <si>
    <t>Untuk setiap pekerjaan atau inisiatif baru, catat: apakah kebutuhan orang, waktu, biaya, dan peralatan dihitung SEBELUM dimulai atau ditangani SAMBIL BERJALAN. Bila sebelum, catat rinciannya; bila sambil berjalan, catat apa yang menyebabkan kekurangan sumber daya baru terlihat setelah pekerjaan berjalan.</t>
  </si>
  <si>
    <t>Log minimal 20 pekerjaan; rekap triwulanan proporsi yang dihitung sebelum dimulai. Termasuk review rekap triwulanan oleh Mentor.</t>
  </si>
  <si>
    <t>Minimal 20 pekerjaan tercatat. Proporsi yang dihitung sebelum dimulai naik dari baseline triwulan 1 menjadi ≥70% pada triwulan 4. Milestone bulan ke-6: 10 pekerjaan dan baseline terbentuk.</t>
  </si>
  <si>
    <t>Latihan "Empat Kategori Sebelum Mulai"</t>
  </si>
  <si>
    <t>Memastikan keempat kategori sumber daya dihitung, bukan hanya yang paling mudah.</t>
  </si>
  <si>
    <t>Sebelum memulai setiap inisiatif, hitung secara tertulis keempat kategori: berapa orang dan keahlian apa yang dibutuhkan, berapa waktu, berapa biaya, dan peralatan apa. Tandai kategori mana yang paling sering terlewat.</t>
  </si>
  <si>
    <t>20 catatan perhitungan empat kategori; rekap kategori yang paling sering terlewat.</t>
  </si>
  <si>
    <t>Minimal 16 dari 20 catatan lengkap keempat kategori. Kategori yang paling sering terlewat pada triwulan 1 turun ≥50% pada triwulan 4.</t>
  </si>
  <si>
    <t>Menemukan kendala yang berulang pada jenis pekerjaan tertentu, agar dapat diantisipasi.</t>
  </si>
  <si>
    <t>Setiap 3 bulan, ambil 1 pekerjaan yang mengalami kendala sumber daya. Telusuri: apakah kendala itu sebenarnya sudah pernah terjadi pada pekerjaan sejenis sebelumnya, dan mengapa tidak diantisipasi kali ini.</t>
  </si>
  <si>
    <t>4 laporan penelusuran; daftar kendala berulang per jenis pekerjaan.</t>
  </si>
  <si>
    <t>4 laporan selesai. Minimal 3 kendala berulang teridentifikasi dan dimasukkan ke rencana cadangan pekerjaan sejenis berikutnya. Milestone bulan ke-6: 2 laporan.</t>
  </si>
  <si>
    <t>Workshop "Resource Planning Sebelum Eksekusi" (2 hari)</t>
  </si>
  <si>
    <t>Menguasai cara menghitung kebutuhan sumber daya secara rinci sebelum pekerjaan dimulai.</t>
  </si>
  <si>
    <t>Pelatihan 2 hari: menghitung kebutuhan orang, waktu, biaya, dan peralatan secara rinci, menyesuaikan alokasi dengan prioritas ketika sumber daya terbatas, dan menyusun rencana cadangan berbasis riwayat kendala.</t>
  </si>
  <si>
    <t>Sertifikat; 1 rencana sumber daya rinci untuk 1 inisiatif nyata yang belum dimulai, memuat keempat kategori dan rencana cadangan.</t>
  </si>
  <si>
    <t>Lulus studi kasus skor ≥80 (skala 0–100). Rencana disetujui atasan SEBELUM inisiatif dimulai, dan rencana cadangannya berdasarkan kendala yang pernah terjadi pada pekerjaan sejenis.</t>
  </si>
  <si>
    <t>Menyusun rencana cadangan untuk kendala yang benar-benar paling mungkin, bukan daftar generik.</t>
  </si>
  <si>
    <t>Selesaikan kursus: mengumpulkan data riwayat kendala pada jenis pekerjaan yang sama, memilah kendala yang paling sering terjadi, dan menyusun langkah cadangan spesifik untuk masing-masing.</t>
  </si>
  <si>
    <t>Sertifikat; 1 daftar kendala paling mungkin berdasarkan riwayat, beserta rencana cadangan untuk masing-masing.</t>
  </si>
  <si>
    <t>Daftar kendala disusun dari data riwayat, bukan asumsi. Dinilai atasan ≥4 (skala 1–5) pada relevansi dan kelengkapan rencana cadangan.</t>
  </si>
  <si>
    <t>Membagi sumber daya yang terbatas berdasarkan prioritas, bukan permintaan yang lebih dulu datang.</t>
  </si>
  <si>
    <t>Selesaikan modul: menyusun kriteria prioritas untuk alokasi sumber daya, menangani permintaan yang bersaing atas sumber daya yang sama, dan mengkomunikasikan keputusan alokasi kepada pihak yang tidak menerima porsi penuh.</t>
  </si>
  <si>
    <t>Sertifikat; 1 kriteria prioritas alokasi sumber daya untuk unit sendiri.</t>
  </si>
  <si>
    <t>"Resource Review Clinic" — Forum Peer Setingkat dan Mentor Senior</t>
  </si>
  <si>
    <t>Bentuk forum 3–4 peer setingkat ditambah 1 mentor senior. Setiap 2 bulan, satu peserta membawa 1 rencana sumber daya untuk inisiatif yang BELUM dimulai. Peserta lain BERTUGAS menantang: kategori apa yang mungkin terlewat, dan kendala apa yang belum punya rencana cadangan.</t>
  </si>
  <si>
    <t>6 sesi (minimal 2 sebagai pembawa rencana); catatan kategori dan kendala yang terlewat.</t>
  </si>
  <si>
    <t>Minimal 5 dari 6 sesi terlaksana. Pada 2 rencana sendiri, jumlah yang terlewat turun ≥20% dari sesi pertama ke kedua. Milestone bulan ke-6: 3 sesi.</t>
  </si>
  <si>
    <t>Shadowing Atasan saat Menghitung Sumber Daya Sebelum Inisiatif Besar</t>
  </si>
  <si>
    <t>Mempelajari cara senior menghitung kebutuhan sumber daya secara rinci sebelum memulai.</t>
  </si>
  <si>
    <t>Minta izin mengamati 3 kesempatan di mana atasan menghitung kebutuhan sumber daya sebelum sebuah inisiatif besar dimulai. Catat: bagaimana ia menghitung keempat kategori, bagaimana ia menyesuaikan alokasi ketika sumber daya terbatas, dan bagaimana ia menetapkan rencana cadangan.</t>
  </si>
  <si>
    <t>Minimal 3 teknik diterapkan pada perencanaan peserta sendiri dan tercatat di log. Divalidasi atasan ≥4 (skala 1–5).</t>
  </si>
  <si>
    <t>Umpan Balik 360° "Perencanaan Sumber Daya dan Kesiapan Menghadapi Kendala"</t>
  </si>
  <si>
    <t>Kuesioner pre (bulan 1) dan post (bulan 11) kepada minimal 8 responden, termasuk tim langsung. Butir RA11: "Ia menghitung kebutuhan sumber daya sebelum memulai, bukan sambil berjalan"; "Alokasi sumber daya yang ia tetapkan sesuai prioritas yang jelas"; "Ketika kendala muncul, ia sudah punya rencana cadangan"; "Kami jarang kekurangan sumber daya di tengah pekerjaan karena perencanaannya".</t>
  </si>
  <si>
    <t>Kenaikan rata-rata ≥1 poin (skala 1–5). Butir "jarang kekurangan sumber daya di tengah pekerjaan" wajib naik ≥1 poin (skala 1–5).</t>
  </si>
  <si>
    <t>Menyusun dan Menjalankan Rencana Sumber Daya Rinci untuk 4 Inisiatif</t>
  </si>
  <si>
    <t>Membuktikan kebutuhan sumber daya dihitung rinci sebelum dimulai, pada pekerjaan nyata.</t>
  </si>
  <si>
    <t>Untuk 4 inisiatif nyata, hitung kebutuhan orang, waktu, biaya, dan peralatan SEBELUM dimulai, alokasikan sesuai prioritas, dan siapkan rencana cadangan untuk kendala yang paling mungkin berdasarkan riwayat. Jalankan dan bandingkan perhitungan dengan kenyataan.</t>
  </si>
  <si>
    <t>4 dokumentasi rencana sumber daya rinci; perbandingan perhitungan dengan realisasi; catatan pemakaian rencana cadangan bila kendala terjadi. Termasuk review Bulan ke-6 dan ke-12 oleh Atasan.</t>
  </si>
  <si>
    <t>4 inisiatif memiliki rencana sumber daya yang disetujui SEBELUM dimulai. Minimal 3 realisasinya mendekati perhitungan (selisih ≤15%). Milestone bulan ke-6: 2 inisiatif.</t>
  </si>
  <si>
    <t>Menyiapkan dan Menguji Rencana Cadangan pada 1 Inisiatif Berisiko Tinggi</t>
  </si>
  <si>
    <t>Membuktikan rencana cadangan benar-benar dipakai dan berhasil ketika kendala terjadi.</t>
  </si>
  <si>
    <t>Pilih 1 inisiatif dengan risiko kendala sumber daya tinggi. Susun rencana cadangan untuk kendala yang paling mungkin berdasarkan riwayat. Jalankan inisiatif itu, dan bila kendala benar-benar terjadi, jalankan rencana cadangannya.</t>
  </si>
  <si>
    <t>Dokumentasi rencana cadangan beserta dasar riwayatnya; catatan kendala yang terjadi dan pemakaian rencana cadangan; hasil akhir.</t>
  </si>
  <si>
    <t>Rencana cadangan disiapkan sebelum inisiatif dimulai. Bila kendala terjadi, rencana cadangan dijalankan dan pekerjaan tetap berjalan dengan keterlambatan ≤1 hari kerja. Atasan menilai ≥4 (skala 1–5).</t>
  </si>
  <si>
    <t>Mengalokasikan Sumber Daya Terbatas di Antara 3 Inisiatif yang Bersaing</t>
  </si>
  <si>
    <t>Menguji kemampuan membagi sumber daya terbatas berdasarkan prioritas yang jelas.</t>
  </si>
  <si>
    <t>Pada 3 inisiatif yang bersaing memperebutkan sumber daya yang sama dan terbatas, tetapkan kriteria prioritas, alokasikan sumber daya sesuai kriteria itu, dan sampaikan keputusan kepada pihak yang tidak menerima porsi penuh beserta alasannya.</t>
  </si>
  <si>
    <t>Dokumen kriteria prioritas; keputusan alokasi untuk ketiga inisiatif; catatan penyampaian kepada pihak yang menerima porsi lebih kecil.</t>
  </si>
  <si>
    <t>Kriteria prioritas ditetapkan sebelum alokasi diputuskan. Ketiga pihak memahami dasar keputusan alokasi, meski tidak seluruhnya setuju, dengan skor ≥4 (skala 1–5) pada kejelasan alasan. Atasan menilai ≥4 (skala 1–5).</t>
  </si>
  <si>
    <t>Log "Standar Pengendalian yang Peserta Naikkan"</t>
  </si>
  <si>
    <t>Memisahkan standar pengendalian yang benar-benar dinaikkan dari yang sekadar diteruskan.</t>
  </si>
  <si>
    <t>Setiap kali peserta menetapkan atau meninjau ulang standar pengendalian — ambang toleransi, frekuensi audit, kriteria eskalasi — catat: standar lama, standar baru, selisihnya, dasar penetapannya (pembanding organisasi sendiri atau pembanding eksternal), dan siapa yang menolak beserta alasannya.</t>
  </si>
  <si>
    <t>Log minimal 20 standar; rekap triwulanan proporsi yang dinaikkan dan sebaran dasar pembandingnya. Termasuk review rekap triwulanan oleh Mentor dan Direksi.</t>
  </si>
  <si>
    <t>Minimal 20 standar tercatat. Minimal 10 adalah standar yang DINAIKKAN dengan selisih terukur. Minimal 6 berdasar pembanding DI LUAR organisasi. Milestone bulan ke-6: 10 standar, minimal 5 dinaikkan.</t>
  </si>
  <si>
    <t>Mentor dan Direksi</t>
  </si>
  <si>
    <t>Latihan "Standar Pengendalian bagi Peserta"</t>
  </si>
  <si>
    <t>Memastikan disiplin pengendalian yang dituntut dari organisasi juga berlaku bagi peserta sendiri.</t>
  </si>
  <si>
    <t>Setiap triwulan, tetapkan 1 standar pengendalian pribadi yang lebih tinggi daripada yang dituntut jabatan peserta — misalnya kecepatan menindaklanjuti temuan, kelengkapan dokumentasi keputusan koreksi, atau ketepatan waktu meninjau laporan risiko. Umumkan kepada tim dan laporkan hasilnya apa adanya.</t>
  </si>
  <si>
    <t>4 standar pribadi yang diumumkan; 4 laporan pencapaian triwulanan yang dibagikan kepada tim.</t>
  </si>
  <si>
    <t>4 standar ditetapkan dan diumumkan. Minimal 3 tercapai. Laporan untuk yang tidak tercapai tetap dibagikan tanpa dihaluskan. Milestone bulan ke-6: 2 standar.</t>
  </si>
  <si>
    <t>Tim Langsung dan Mentor</t>
  </si>
  <si>
    <t>Analisis "Mekanisme Pengendalian yang Turun Diam-diam"</t>
  </si>
  <si>
    <t>Menemukan mekanisme pengendalian yang secara resmi berlaku tetapi tidak lagi dijalankan.</t>
  </si>
  <si>
    <t>Setiap 3 bulan, cari 1 mekanisme pengendalian atau corrective action yang secara resmi masih berlaku tetapi dalam praktiknya sudah tidak dijalankan. Telusuri sebab dan siapa yang pertama melonggarkan, lalu tegakkan kembali.</t>
  </si>
  <si>
    <t>4 analisis peluruhan mekanisme; 4 tindakan penegakan kembali beserta bukti pelaksanaannya.</t>
  </si>
  <si>
    <t>4 analisis selesai. Minimal 3 mekanisme kembali dijalankan DAN bertahan minimal 3 bulan setelah ditegakkan. Milestone bulan ke-6: 2 analisis, 1 mekanisme tegak kembali.</t>
  </si>
  <si>
    <t>Program "Enterprise Control Systems &amp; Performance Standards" (3–5 hari)</t>
  </si>
  <si>
    <t>Menguasai perancangan sistem pengendalian yang menjaga standar tanpa kehadiran pemimpinnya.</t>
  </si>
  <si>
    <t>Program eksekutif 3–5 hari: menetapkan standar pengendalian berbasis pembanding eksternal, merancang sistem pemantauan berbasis data yang tidak mudah dimanipulasi, membangun mekanisme corrective action lintas fungsi yang berjalan tanpa kehadiran pemimpinnya, dan menetapkan konsekuensi yang dapat dijalankan.</t>
  </si>
  <si>
    <t>Sertifikat; 1 rancangan sistem pengendalian lintas fungsi untuk satu area bisnis.</t>
  </si>
  <si>
    <t>Lulus studi kasus skor ≥85 (skala 0–100). Rancangan wajib memuat mekanisme yang berjalan TANPA peserta — pemilik sistem selain peserta, irama peninjauan, dan konsekuensi — dinilai direksi ≥4 (skala 1–5).</t>
  </si>
  <si>
    <t>Kursus Online "Benchmarking Standar Pengendalian Industri"</t>
  </si>
  <si>
    <t>Menetapkan standar pengendalian berdasarkan pembanding yang tepat, bukan kinerja sendiri sebelumnya.</t>
  </si>
  <si>
    <t>Selesaikan kursus: memilih pembanding yang tepat untuk standar pengendalian, membaca praktik pengendalian risiko di industri sejenis, dan menetapkan target yang menantang tetapi tidak merusak.</t>
  </si>
  <si>
    <t>Sertifikat; 1 studi pembanding untuk 3 standar pengendalian utama organisasi.</t>
  </si>
  <si>
    <t>Ketiga standar dibandingkan dengan pembanding DI LUAR organisasi. Minimal 2 dinaikkan berdasarkan hasil pembandingan, dengan selisih yang terukur dan disetujui direksi.</t>
  </si>
  <si>
    <t>Micro-learning "Data dan Indikator Risiko sebagai Dasar Pemantauan"</t>
  </si>
  <si>
    <t>Menyusun mekanisme pemantauan berbasis data, bukan kepatuhan formal.</t>
  </si>
  <si>
    <t>Selesaikan modul: memilih indikator risiko yang benar-benar meramalkan penyimpangan, membedakan data yang menunjukkan masalah nyata dari data yang hanya menunjukkan kepatuhan administratif, dan menetapkan ambang yang memicu tindakan.</t>
  </si>
  <si>
    <t>Sertifikat; 3 indikator risiko baru untuk sistem pengendalian yang menjadi tanggung jawab peserta.</t>
  </si>
  <si>
    <t>Ketiga indikator dipakai minimal 3 bulan dan terbukti mendeteksi minimal 1 penyimpangan sebelum berdampak besar.</t>
  </si>
  <si>
    <t>"Standard Review Clinic" — Forum Peer Setingkat dan Mentor Senior</t>
  </si>
  <si>
    <t>Menguji apakah kenaikan standar pengendalian nyata atau hanya perubahan cara mengukur.</t>
  </si>
  <si>
    <t>Bentuk forum 3–4 peer setingkat ditambah 1 mentor senior. Setiap 2 bulan, satu peserta memaparkan 1 standar pengendalian yang ia naikkan: seberapa tinggi, atas dasar pembanding apa, dan apakah masih berjalan sampai hari pemaparan. Peserta lain menantang: apakah kenaikannya nyata, atau hanya akibat definisi yang diubah.</t>
  </si>
  <si>
    <t>6 sesi (minimal 2 sebagai pemapar); catatan tantangan atas keabsahan kenaikan standar.</t>
  </si>
  <si>
    <t>Minimal 5 dari 6 sesi terlaksana. Pada 2 pemaparan sendiri, peserta menyajikan bukti standar masih berjalan pada bulan-bulan SETELAH ditetapkan. Milestone bulan ke-6: 3 sesi.</t>
  </si>
  <si>
    <t>Shadowing Direksi saat Menolak Sistem Pengendalian yang "Sudah Cukup Baik"</t>
  </si>
  <si>
    <t>Mempelajari dasar yang dipakai pemimpin puncak untuk menuntut standar pengendalian lebih tinggi.</t>
  </si>
  <si>
    <t>Minta izin mengamati 3 forum di mana direksi menolak sistem pengendalian yang sebenarnya sudah memenuhi standar berlaku. Catat: atas dasar apa ia menolak, standar apa yang ia pakai sebagai pembanding, dan apa yang terjadi pada sistem itu sesudahnya.</t>
  </si>
  <si>
    <t>Minimal 3 pola diterapkan pada sistem pengendalian yang peserta rancang sendiri, dan divalidasi direksi ≥4 (skala 1–5).</t>
  </si>
  <si>
    <t>Umpan Balik 360° "Standar Pengendalian dan Keberlanjutannya"</t>
  </si>
  <si>
    <t>Mengukur apakah standar pengendalian terasa lebih tinggi dan tetap berjalan tanpa pengawasan.</t>
  </si>
  <si>
    <t>Kuesioner pre (bulan 1) dan post (bulan 11) kepada minimal 10 responden, termasuk tim langsung, rekan setingkat, dan direksi. Butir RA12: "Standar pengendalian yang ia tetapkan lebih tinggi daripada yang biasa berlaku di sini"; "Sistem itu tetap berjalan meskipun ia tidak mengawasi"; "Ia menerapkan standar yang sama pada dirinya sendiri"; "Standar tidak diturunkan ketika sedang terdesak waktu atau biaya".</t>
  </si>
  <si>
    <t>Kenaikan rata-rata ≥1 poin (skala 1–5). Butir "tetap berjalan meskipun tidak diawasi" dan "menerapkan standar yang sama pada dirinya sendiri" WAJIB mencapai ≥4 (skala 1–5).</t>
  </si>
  <si>
    <t>Menaikkan 3 Standar Pengendalian dan Menjaganya 6 Bulan</t>
  </si>
  <si>
    <t>Membuktikan standar pengendalian yang lebih tinggi benar-benar ditetapkan dan bertahan.</t>
  </si>
  <si>
    <t>Pilih 3 standar pengendalian yang berlaku di area peserta. Naikkan masing-masing berdasarkan pembanding di luar organisasi. Pasang mekanisme penjagaan: siapa memeriksa, seberapa sering, apa konsekuensinya. Jalankan minimal 6 bulan.</t>
  </si>
  <si>
    <t>3 standar baru dengan selisih kenaikan terukur; mekanisme penjagaan untuk masing-masing; grafik pencapaian bulanan minimal 6 bulan. Termasuk review Bulan ke-6, ke-9, dan ke-12 oleh Direksi.</t>
  </si>
  <si>
    <t>Ketiga standar naik dengan selisih terukur. Minimal 2 tetap terpenuhi 6 bulan berturut-turut. Penjagaan berjalan tanpa peserta harus mengingatkan. Milestone bulan ke-6: 3 standar ditetapkan dan 3 bulan pertama tercatat.</t>
  </si>
  <si>
    <t>Melembagakan 1 Sistem Corrective Action Lintas Fungsi</t>
  </si>
  <si>
    <t>Memastikan satu sistem pengendalian berjalan sebagai bagian tata kelola, bukan karena dorongan peserta.</t>
  </si>
  <si>
    <t>Bangun 1 sistem corrective action yang melibatkan minimal 3 fungsi. Tetapkan pemilik sistem selain peserta, irama peninjauan, indikator risiko berbasis data, dan konsekuensi. Uji dengan memastikan sistem itu tetap berjalan pada satu periode peninjauan penuh di mana peserta TIDAK terlibat.</t>
  </si>
  <si>
    <t>Dokumen sistem corrective action lintas fungsi; bukti masuknya ke tata kelola resmi; berita acara satu siklus peninjauan yang berjalan tanpa peserta.</t>
  </si>
  <si>
    <t>Sistem berjalan minimal 1 siklus peninjauan penuh TANPA keterlibatan peserta, dikonfirmasi direksi dan pemilik sistem. Sistem yang hanya berjalan ketika peserta hadir tidak memenuhi.</t>
  </si>
  <si>
    <t>Direksi dan Pemilik Sistem</t>
  </si>
  <si>
    <t>Mempertahankan Standar Pengendalian pada 1 Situasi yang Menuntut Kompromi</t>
  </si>
  <si>
    <t>Menguji apakah standar pengendalian bertahan ketika memenuhinya menjadi mahal atau tidak nyaman.</t>
  </si>
  <si>
    <t>Pilih 1 situasi nyata di mana memenuhi standar pengendalian menjadi mahal atau tidak nyaman — tenggat mepet, biaya membengkak, atau tekanan bisnis mendesak. Pertahankan standarnya, atau bila harus diturunkan, putuskan secara terbuka bersama direksi dengan rencana pemulihan.</t>
  </si>
  <si>
    <t>Dokumentasi situasi; catatan pilihan yang tersedia dan yang diambil; bukti standar terpenuhi atau keputusan penurunan yang terbuka; umpan balik direksi.</t>
  </si>
  <si>
    <t>Standar dipertahankan. ATAU, bila diturunkan, diputuskan secara TERBUKA bersama direksi dengan jangka waktu dan rencana pemulihan — bukan dilonggarkan diam-diam. Direksi menilai ≥4 (skala 1–5). Standar yang turun tanpa keputusan terbuka menggugurkan aktivitas ini.</t>
  </si>
  <si>
    <t>Log "Janji &amp; Penyerahan"</t>
  </si>
  <si>
    <t>Mengukur keandalan diri sendiri dengan angka, bukan dengan perasaan.</t>
  </si>
  <si>
    <t>Catat SETIAP penyerahan hasil kerja, diisi saat menyerahkan — bukan diingat-ingat di akhir bulan. Tujuh kolom: apa yang dijanjikan; kepada siapa; standar mutu yang disepakati; tanggal yang dijanjikan; tanggal penyerahan sebenarnya; diterima tanpa revisi atau tidak; jumlah revisi bila ada.</t>
  </si>
  <si>
    <t>Log minimal 100 penyerahan; rekap 3 angka setiap bulan — % tepat waktu, % diterima tanpa revisi, rata-rata jumlah revisi. Termasuk review rekap bulanan oleh Mentor.</t>
  </si>
  <si>
    <t>Log terisi minimal 100 penyerahan dan ketiga angka terhitung setiap bulan. Baseline diambil dari bulan 1–3. Milestone bulan ke-6: 50 penyerahan tercatat dan baseline sudah terbentuk.</t>
  </si>
  <si>
    <t>"Kesepakatan di Muka" — Menyepakati Standar dan Tenggat Sebelum Mengerjakan</t>
  </si>
  <si>
    <t>Memastikan ada standar yang jelas untuk dipenuhi, sebelum pekerjaan dimulai.</t>
  </si>
  <si>
    <t>Sebelum mulai mengerjakan sebuah permintaan, konfirmasikan tiga hal kepada peminta dan tuliskan: hasil seperti apa yang dianggap selesai dan siap dipakai; kapan tenggatnya; dan apa yang harus dilakukan bila muncul kendala. Bila permintaan datang tanpa kejelasan, tanyakan. Jangan mulai mengerjakan sebelum ketiganya jelas.</t>
  </si>
  <si>
    <t>40 catatan kesepakatan awal; daftar permintaan yang semula tidak jelas beserta cara memperjelasnya. Termasuk verifikasi silang ke peminta oleh Mentor.</t>
  </si>
  <si>
    <t>Minimal 40 catatan. Pada minimal 30 di antaranya tidak terjadi perbedaan tafsir saat penyerahan — dikonfirmasi oleh peminta. Milestone bulan ke-6: 20 catatan.</t>
  </si>
  <si>
    <t>"Analisis Revisi" — Menelusuri Penyebab Hasil Kerja Dikembalikan</t>
  </si>
  <si>
    <t>Menurunkan tingkat revisi dengan menangani penyebabnya, bukan sekadar mengerjakan ulang.</t>
  </si>
  <si>
    <t>Setiap 2 bulan, ambil seluruh penyerahan yang direvisi dari log. Kelompokkan penyebabnya ke dalam empat kategori: salah memahami permintaan, kurang teliti, standar tidak jelas sejak awal, atau keterbatasan waktu. Tetapkan 1 perbaikan cara kerja untuk kategori dengan jumlah terbanyak.</t>
  </si>
  <si>
    <t>6 analisis dua bulanan; 6 perbaikan cara kerja beserta bukti penerapannya.</t>
  </si>
  <si>
    <t>6 analisis selesai. Minimal 4 perbaikan diterapkan, DAN kategori penyebab yang ditangani terbukti turun ≥50% jumlahnya pada log periode berikutnya. Milestone bulan ke-6: 3 analisis, 2 perbaikan diterapkan.</t>
  </si>
  <si>
    <t>Pelatihan 1 hari: menerjemahkan permintaan menjadi kriteria hasil yang terukur, menyusun checklist pemeriksaan mandiri sebelum menyerahkan, membedakan kesalahan sistemik dari kesalahan sesaat, dan prinsip right-first-time.</t>
  </si>
  <si>
    <t>Lulus studi kasus dengan skor ≥80 (skala 0–100). Ketiga checklist disetujui atasan dan terbukti dipakai pada minimal 15 penyerahan yang tercatat di log.</t>
  </si>
  <si>
    <t>Selesaikan kursus online: memperkirakan waktu pengerjaan secara realistis, menyisipkan cadangan waktu, mengenali tanda akan terlambat sejak awal, memberi kabar lebih dini ketika tenggat terancam, serta kapan harus menegosiasikan tenggat yang tidak realistis.</t>
  </si>
  <si>
    <t>Sertifikat; 1 metode estimasi waktu pribadi yang dipakai rutin dan tercatat di log.</t>
  </si>
  <si>
    <t>Pada 10 penyerahan terakhir, selisih antara waktu yang diperkirakan dan waktu pengerjaan sebenarnya tidak lebih dari 20%.</t>
  </si>
  <si>
    <t>Micro-learning "Quality at Work: Checklist &amp; Continuous Improvement"</t>
  </si>
  <si>
    <t>Menjadikan pemeriksaan mandiri sebagai kebiasaan tetap sebelum menyerahkan hasil kerja.</t>
  </si>
  <si>
    <t>Selesaikan modul online tentang standar mutu, penggunaan checklist, dan perbaikan berkelanjutan. Terapkan pada tugas rutin, dan catat di log mana penyerahan yang memakai checklist dan mana yang tidak.</t>
  </si>
  <si>
    <t>Sertifikat; checklist yang dipakai rutin; perbandingan hasil antara penyerahan ber-checklist dan tanpa checklist.</t>
  </si>
  <si>
    <t>Checklist dipakai pada minimal 20 penyerahan. Persentase diterima tanpa revisi pada penyerahan ber-checklist naik ≥20% dari baseline dibandingkan yang tanpa checklist, dibuktikan dari log.</t>
  </si>
  <si>
    <t>Menyusun kriteria tertulis tentang kapan hasil kerja dianggap selesai dan dapat langsung dipakai.</t>
  </si>
  <si>
    <t>Identifikasi 3 rekan atau unit yang paling sering menerima hasil kerja peserta. Wawancarai masing-masing 20 menit dengan tiga pertanyaan: apa yang membuat hasil kerja peserta dianggap SELESAI dan dapat langsung dipakai; hal apa yang paling sering membuat penerima harus mengembalikannya; dan bila ketepatan waktu dan kelengkapan tidak dapat dipenuhi sekaligus, mana yang didahulukan. Terjemahkan jawabannya menjadi kriteria penerimaan tertulis.</t>
  </si>
  <si>
    <t>3 kriteria penerimaan disetujui oleh penerimanya masing-masing, dan dipakai sebagai acuan standar mutu oleh peserta sejak bulan ke-4.</t>
  </si>
  <si>
    <t>Shadowing Rekan Senior yang Paling Dapat Diandalkan</t>
  </si>
  <si>
    <t>Pilih 1 rekan senior yang hasil kerjanya dikenal paling jarang dikembalikan. Amati 3 kali cara ia bekerja dari menerima permintaan hingga menyerahkan. Catat empat hal: bagaimana ia mengonfirmasi permintaan di awal, apa yang ia periksa sebelum menyerahkan, bagaimana ia mengelola beberapa tenggat bersamaan, dan apa yang ia lakukan ketika tahu akan terlambat.</t>
  </si>
  <si>
    <t>Minimal 3 kebiasaan diterapkan, dan pengaruhnya terlihat pada log — persentase tepat waktu atau persentase tanpa revisi naik ≥20% dari baseline setelah kebiasaan itu diterapkan. Divalidasi atasan ≥4 (skala 1–5).</t>
  </si>
  <si>
    <t>Kuesioner pre (bulan 1) dan post (bulan 11) kepada minimal 5 penerima output tetap. Butir khusus RA1: "Hasil kerjanya sesuai dengan yang disepakati di awal"; "Ia menyerahkan tepat waktu"; "Saya jarang harus mengembalikan hasil kerjanya untuk diperbaiki"; "Bila akan terlambat, ia memberi kabar lebih awal"; "Saya dapat mengandalkannya tanpa perlu mengingatkan".</t>
  </si>
  <si>
    <t>Kenaikan rata-rata ≥1 poin (skala 1–5). Butir "saya dapat mengandalkannya tanpa perlu mengingatkan" WAJIB naik ≥1 poin (skala 1–5) — butir ini adalah penanda keandalan, fokus perilaku ketiga RA1.</t>
  </si>
  <si>
    <t>Membuktikan keandalan sebagai angka yang bertahan, bukan sebagai satu kasus yang berhasil.</t>
  </si>
  <si>
    <t>Sejak bulan ke-4, jalankan 60 penyerahan hasil kerja dengan disiplin penuh: sepakati standar dan tenggat di muka, periksa dengan checklist sebelum menyerahkan, serahkan tepat waktu, dan beri kabar lebih dini bila tenggat terancam. Seluruhnya tercatat di log.</t>
  </si>
  <si>
    <t>60 penyerahan tercatat; grafik bulanan persentase tepat waktu dan persentase diterima tanpa revisi. Termasuk review grafik pada bulan ke-6, ke-9, dan ke-12 oleh Atasan.</t>
  </si>
  <si>
    <t>Pada triwulan terakhir (minimal 15 penyerahan): persentase tepat waktu ≥95%, DAN persentase diterima tanpa revisi naik minimal 15 poin dari baseline bulan 1–3. Tidak boleh ada dua bulan berturut-turut dengan ketepatan waktu di bawah 85%. Milestone bulan ke-6: 20 penyerahan dan tren naik terlihat.</t>
  </si>
  <si>
    <t>Dari log, pilih 1 jenis tugas rutin dengan tingkat revisi tertinggi. Telusuri penyebabnya, lalu ubah cara mengerjakannya — checklist, format baku, konfirmasi awal, atau urutan kerja yang berbeda. Jalankan minimal 15 penyerahan dengan cara baru, lalu bandingkan angkanya sebelum dan sesudah.</t>
  </si>
  <si>
    <t>Dokumentasi sebelum dan sesudah; data tingkat revisi serta ketepatan waktu pada minimal 15 penyerahan; laporan perbaikan.</t>
  </si>
  <si>
    <t>Tingkat revisi pada tugas tersebut turun minimal 50% dari baseline, diukur dari minimal 15 penyerahan sesudah perbaikan. Penerima output mengonfirmasi perbaikan itu terasa, dengan skor ≥4 (skala 1–5).</t>
  </si>
  <si>
    <t>Ambil tanggung jawab penuh atas 1 permintaan mendesak atau di luar rencana yang bertabrakan dengan pekerjaan yang sedang berjalan. Kelola sehingga permintaan mendesak itu terpenuhi DAN tidak ada penyerahan lain pada periode yang sama yang terlambat. Bila ada yang harus digeser, negosiasikan ulang tenggatnya dengan penerima SEBELUM tenggat lewat — bukan sesudahnya.</t>
  </si>
  <si>
    <t>Dokumentasi kasus; bukti seluruh penyerahan pada periode tersebut diambil dari log; konfirmasi dari penerima yang tenggatnya dinegosiasikan ulang.</t>
  </si>
  <si>
    <t>Permintaan mendesak terpenuhi sesuai standar. Tidak ada penyerahan lain pada periode yang sama yang terlambat tanpa negosiasi ulang di muka. Atasan dan penerima output menilai ≥4 (skala 1–5).</t>
  </si>
  <si>
    <t>Jurnal "Yang Tidak Ada di Permintaan"</t>
  </si>
  <si>
    <t>Menguji apa yang benar-benar diketahui tentang pelanggan di luar isi permintaannya.</t>
  </si>
  <si>
    <t>Setiap kali menyelesaikan sebuah permintaan, tuliskan tiga hal yang peserta ketahui tentang pelanggan itu yang TIDAK tercantum dalam permintaannya: mengapa ia membutuhkannya, apa yang sedang ia hadapi, dan apa yang ia khawatirkan. Beri tanda mana yang peserta ketahui karena BERTANYA dan mana yang peserta DUGA sendiri. Keduanya dicatat — yang dinilai adalah pergeseran proporsinya.</t>
  </si>
  <si>
    <t>Log minimal 40 entri; rekap proporsi "tahu karena bertanya" terhadap "menduga sendiri" per triwulan. Termasuk review rekap triwulanan oleh Mentor.</t>
  </si>
  <si>
    <t>Minimal 40 entri terisi. Proporsi "tahu karena bertanya" naik dari baseline triwulan 1 menjadi ≥70% pada triwulan 4. Milestone bulan ke-6: 20 entri dan baseline sudah terbentuk.</t>
  </si>
  <si>
    <t>Latihan "Tiga Pertanyaan Lanjutan"</t>
  </si>
  <si>
    <t>Mengubah kebiasaan berhenti bertanya begitu permintaannya sudah cukup jelas untuk dikerjakan.</t>
  </si>
  <si>
    <t>Setiap kali pelanggan menyampaikan permintaan atau keluhan, jangan berhenti pada jawaban pertama. Ajukan tiga pertanyaan lanjutan berurutan: "apa yang membuat ini penting bagi Anda sekarang?"; "apa yang terjadi bila ini tidak selesai tepat waktu?"; "adakah hal lain yang terkait yang belum sempat Anda sampaikan?" Catat jawabannya, terutama hal yang tidak akan peserta ketahui bila tidak bertanya.</t>
  </si>
  <si>
    <t>24 catatan; daftar hal penting yang terungkap semata-mata karena bertanya lanjutan.</t>
  </si>
  <si>
    <t>Minimal 20 dari 24 latihan dilakukan. Pada minimal 15 catatan, terungkap informasi yang tidak ada dalam permintaan awal, divalidasi mentor. Milestone bulan ke-6: 10 latihan, minimal 7 menghasilkan informasi baru.</t>
  </si>
  <si>
    <t>Catatan "Perhatian yang Merata"</t>
  </si>
  <si>
    <t>Menguji apakah penggalian dilakukan untuk semua pelanggan atau hanya yang dianggap penting.</t>
  </si>
  <si>
    <t>Setiap bulan, daftar seluruh pelanggan yang peserta layani. Tandai mana yang peserta gali konteksnya dan mana yang hanya peserta penuhi permintaannya. Bandingkan dengan besar-kecilnya order atau tingkat kepentingan pelanggan itu. Bila penggalian ternyata hanya terjadi pada yang besar, tetapkan 2 pelanggan kecil untuk digali pada bulan berikutnya.</t>
  </si>
  <si>
    <t>12 catatan bulanan; grafik cakupan penggalian terhadap besar-kecilnya pelanggan.</t>
  </si>
  <si>
    <t>Pada triwulan 4, proporsi pelanggan yang digali konteksnya tidak berbeda lebih dari 20 poin antara kelompok pelanggan besar dan kelompok pelanggan kecil. Milestone bulan ke-6: pola awal teridentifikasi dan 4 pelanggan kecil sudah digali.</t>
  </si>
  <si>
    <t>Workshop "Teknik Wawancara &amp; Mendengarkan Aktif" (2 hari)</t>
  </si>
  <si>
    <t>Menguasai teknik menggali kebutuhan sampai ke lapisan alasan dan kekhawatiran.</t>
  </si>
  <si>
    <t>Pelatihan 2 hari: pertanyaan terbuka dan tertutup, teknik menggali berlapis, mendengarkan sampai selesai tanpa menyiapkan jawaban, merangkum ulang untuk konfirmasi, dan mengenali tanda lawan bicara menahan sesuatu. Termasuk praktik wawancara dengan pelanggan nyata, bukan hanya simulasi.</t>
  </si>
  <si>
    <t>Sertifikat; 3 transkrip wawancara pelanggan nyata beserta evaluasi fasilitator.</t>
  </si>
  <si>
    <t>Lulus praktik wawancara dengan skor ≥80 (skala 0–100). Pada ketiga wawancara nyata, pelanggan mengonfirmasi peserta memahami alasan dan konteksnya dengan tepat, dengan skor ≥4 (skala 1–5) dari ketiganya.</t>
  </si>
  <si>
    <t>Fasilitator dan Pelanggan yang Diwawancarai</t>
  </si>
  <si>
    <t>Kursus Online "Voice of Customer: Mendengar Sebelum Menyimpulkan"</t>
  </si>
  <si>
    <t>Membedakan apa yang diminta pelanggan dari apa yang sebenarnya dibutuhkannya, tanpa menebak.</t>
  </si>
  <si>
    <t>Selesaikan kursus online: membedakan permintaan dari kebutuhan, bahaya menyimpulkan lebih cepat daripada bukti, cara mengumpulkan suara pelanggan secara langsung, dan membedakan keluhan dari kebutuhan yang belum terlayani.</t>
  </si>
  <si>
    <t>Sertifikat; 1 laporan berisi 5 kebutuhan pelanggan yang diperoleh LANGSUNG dari pelanggan, bukan dari data.</t>
  </si>
  <si>
    <t>Kelima kebutuhan dikonfirmasi benar oleh pelanggan yang bersangkutan. Atasan menilai ≥4 (skala 1–5) pada kejelasan pemisahan antara yang disampaikan pelanggan dan yang disimpulkan peserta.</t>
  </si>
  <si>
    <t>Atasan dan Pelanggan Terkait</t>
  </si>
  <si>
    <t>Micro-learning "Bertanya Tanpa Terdengar Menginterogasi"</t>
  </si>
  <si>
    <t>Membuat penggalian terasa sebagai percakapan wajar, bukan sebagai daftar pertanyaan.</t>
  </si>
  <si>
    <t>Selesaikan modul online: membangun rasa aman sebelum menanyakan hal yang lebih dalam, mengurutkan pertanyaan dari ringan ke berat, membaca tanda lawan bicara mulai tidak nyaman, dan menutup percakapan sehingga orang bersedia bercerita lagi di lain waktu.</t>
  </si>
  <si>
    <t>Sertifikat; daftar 10 pembuka percakapan untuk 10 situasi pelanggan yang berbeda.</t>
  </si>
  <si>
    <t>Minimal 6 dari 10 pembuka dipakai pada situasi nyata. Pelanggan menilai percakapannya terasa wajar dan bukan formalitas, dengan skor ≥4 (skala 1–5).</t>
  </si>
  <si>
    <t>"Customer Listening Circle" — Menguji Mana yang Ditanyakan, Mana yang Diasumsikan</t>
  </si>
  <si>
    <t>Menemukan berapa banyak pemahaman peserta tentang pelanggan yang sebenarnya hanya asumsi.</t>
  </si>
  <si>
    <t>Bentuk forum 4 orang dari fungsi berbeda. Setiap bulan, satu peserta membawa 1 pelanggan yang ia gali dan memaparkan apa yang ia ketahui tentang kebutuhan, alasan, dan kekhawatiran pelanggan itu. Peserta lain bertugas menanyakan "dari mana Anda tahu itu?" pada SETIAP pernyataan — memisahkan yang benar-benar ditanyakan dari yang diasumsikan.</t>
  </si>
  <si>
    <t>10 sesi (minimal 3 sesi sebagai pemapar); catatan pernyataan yang ternyata asumsi. Termasuk review catatan pada bulan ke-6 dan ke-12 oleh Mentor.</t>
  </si>
  <si>
    <t>Minimal 8 dari 10 sesi terlaksana. Pada 3 pemaparan sendiri, proporsi pernyataan yang ternyata asumsi turun ≥20% dari pemaparan pertama ke ketiga. Milestone bulan ke-6: 4 sesi, minimal 1 sebagai pemapar.</t>
  </si>
  <si>
    <t>Shadowing Rekan yang Pelanggannya Paling Terbuka Bercerita</t>
  </si>
  <si>
    <t>Mempelajari apa yang membuat pelanggan bersedia bercerita lebih dari yang ditanyakan.</t>
  </si>
  <si>
    <t>Pilih 1 rekan atau senior yang pelanggannya paling terbuka bercerita kepadanya. Amati 3 percakapan dengan pelanggan. Catat empat hal: pertanyaan apa yang ia ajukan, bagaimana ia membuat pelanggan mau bercerita, kapan ia diam dan menunggu, dan hal apa yang terungkap tanpa ditanyakan langsung.</t>
  </si>
  <si>
    <t>3 laporan observasi; daftar 4 teknik yang akan ditiru.</t>
  </si>
  <si>
    <t>Minimal 3 teknik diterapkan, dan pengaruhnya terlihat pada peningkatan proporsi "tahu karena bertanya" yang dicatat peserta setelah teknik itu diterapkan. Divalidasi atasan dengan skor ≥4 (skala 1–5).</t>
  </si>
  <si>
    <t>Umpan Balik 360° "Ketulusan Memahami"</t>
  </si>
  <si>
    <t>Mengukur apakah ketertarikan peserta terasa tulus bagi pelanggan yang dilayaninya.</t>
  </si>
  <si>
    <t>Kuesioner pre (bulan 1) dan post (bulan 11) kepada minimal 6 responden, WAJIB mencakup pelanggan besar maupun pelanggan kecil. Butir khusus PA3: "Ia benar-benar ingin tahu apa yang saya butuhkan, bukan sekadar menyelesaikan tugas"; "Ia bertanya sampai paham alasan di balik permintaan saya"; "Ia menanyakan hasilnya setelah pekerjaan selesai"; "Saya merasa nyaman menceritakan kendala saya kepadanya"; "Ia memberi perhatian yang sama besar walaupun permintaan saya kecil".</t>
  </si>
  <si>
    <t>2 laporan (pre dan post); analisis kenaikan per butir dan per kelompok pelanggan. Termasuk pengumpulan dan pengolahan data oleh HC.</t>
  </si>
  <si>
    <t>Kenaikan rata-rata ≥1 poin (skala 1–5). Butir "perhatian yang sama besar walaupun permintaan saya kecil" WAJIB mencapai ≥4 (skala 1–5) dari responden kelompok pelanggan kecil — butir ini menguji ketulusan peserta terhadap pelanggan kecil.</t>
  </si>
  <si>
    <t>Menggali Konteks 12 Pelanggan Secara Mendalam</t>
  </si>
  <si>
    <t>Mempraktikkan penggalian mendalam pada jumlah pelanggan yang cukup beragam.</t>
  </si>
  <si>
    <t>Pilih 12 pelanggan internal maupun eksternal yang beragam ukurannya — minimal 6 di antaranya dari pelanggan kecil atau yang jarang dilayani. Untuk masing-masing, lakukan percakapan penggalian minimal 20 menit DI LUAR urusan permintaan yang sedang berjalan. Tuliskan: kebutuhan yang mereka sampaikan, alasan di baliknya, kendala yang mereka hadapi, dan apa yang mereka harapkan berbeda. Konfirmasikan rangkuman itu kembali kepada mereka.</t>
  </si>
  <si>
    <t>12 catatan penggalian yang sudah divalidasi pelanggan; rekap tema yang berulang. Termasuk review pada bulan ke-6 dan ke-12 oleh Atasan.</t>
  </si>
  <si>
    <t>12 penggalian selesai, minimal 6 dari pelanggan kecil. Minimal 10 dari 12 pelanggan mengonfirmasi rangkuman peserta menggambarkan kebutuhan dan alasannya dengan tepat, dengan skor ≥4 (skala 1–5). Milestone bulan ke-6: 5 penggalian selesai dan tervalidasi.</t>
  </si>
  <si>
    <t>Menindaklanjuti 20 Penyerahan dengan Percakapan Setelah Selesai</t>
  </si>
  <si>
    <t>Melanjutkan komunikasi setelah pekerjaan selesai — titik di mana konteks pelanggan paling banyak terungkap.</t>
  </si>
  <si>
    <t>Pada 20 penyerahan hasil kerja, jangan berhenti setelah diserahkan. Dalam 3–7 hari sesudahnya, hubungi penerimanya dan tanyakan: apakah hasilnya terpakai sebagaimana dimaksud, apa yang berubah setelahnya, dan adakah yang perlu disesuaikan. Catat jawabannya beserta tindakan yang peserta ambil.</t>
  </si>
  <si>
    <t>20 catatan tindak lanjut; daftar penyesuaian yang dilakukan berdasarkan jawaban pelanggan.</t>
  </si>
  <si>
    <t>20 tindak lanjut dilakukan dalam tenggat 3–7 hari setelah penyerahan. Minimal 12 menghasilkan informasi baru tentang kebutuhan pelanggan yang sebelumnya tidak diketahui, dan minimal 8 berbuah penyesuaian nyata pada cara kerja atau hasil kerja berikutnya. Milestone bulan ke-6: 8 tindak lanjut.</t>
  </si>
  <si>
    <t>Mendekati 1 Pelanggan yang Paling Tertutup Selama 6 Bulan</t>
  </si>
  <si>
    <t>Menguji apakah ketertarikan peserta cukup tulus untuk membuat orang yang tertutup bersedia bercerita.</t>
  </si>
  <si>
    <t>Pilih 1 pelanggan yang paling tertutup, paling transaksional, atau yang selama ini hanya berhubungan seperlunya dengan unit peserta. Selama minimal 6 bulan, bangun percakapan berkala di luar urusan permintaan. Jangan menawarkan apa pun dan jangan meminta apa pun. Catat setiap kontak dan apa yang baru peserta ketahui tentang mereka pada setiap kontak.</t>
  </si>
  <si>
    <t>Catatan kontak selama minimal 6 bulan; daftar hal yang baru diketahui; umpan balik dari pelanggan tersebut.</t>
  </si>
  <si>
    <t>Kontak berkala berjalan minimal 6 bulan tanpa jeda lebih dari 6 minggu. Pada akhir periode, pelanggan menyampaikan minimal 1 kebutuhan, kendala, atau kekhawatiran yang tidak pernah ia sampaikan sebelumnya kepada unit peserta. Pelanggan menilai ≥4 (skala 1–5) pada butir "saya merasa ia benar-benar ingin memahami, bukan sekadar mencari pekerjaan".</t>
  </si>
  <si>
    <t>Log Keputusan Pelanggan dengan Data Terbatas</t>
  </si>
  <si>
    <t>Menstrukturkan dan mengukur cara peserta memutuskan ketika informasi belum lengkap.</t>
  </si>
  <si>
    <t>Untuk setiap keputusan pelanggan yang harus diambil tanpa informasi lengkap, catat SEBELUM memutuskan: informasi yang tersedia, informasi yang tidak tersedia, opsi yang dipertimbangkan, risiko terburuk tiap opsi, asumsi yang dipakai, dan pemicu untuk merevisi. Setelah hasilnya diketahui, isi kolom terakhir — apakah keputusan itu tepat berdasarkan informasi yang tersedia SAAT ITU, bukan berdasarkan apa yang baru diketahui belakangan.</t>
  </si>
  <si>
    <t>Log minimal 30 keputusan; rekap triwulanan: berapa yang ditunda menunggu data, berapa yang memuat minimal 2 opsi beserta risikonya, berapa yang terbukti tepat. Termasuk review rekap triwulanan oleh Mentor.</t>
  </si>
  <si>
    <t>Minimal 30 keputusan tercatat. Proporsi keputusan yang ditunda menunggu data lengkap turun ≥20% dari baseline triwulan 1, dan proporsi yang memuat minimal 2 opsi beserta risikonya naik menjadi ≥80% pada triwulan 4. Milestone bulan ke-6: 15 keputusan dan baseline sudah terbentuk.</t>
  </si>
  <si>
    <t>Latihan "Batas Informasi Minimum"</t>
  </si>
  <si>
    <t>Melawan kebiasaan menunggu data lengkap dengan menetapkan batas di muka.</t>
  </si>
  <si>
    <t>Untuk setiap jenis keputusan pelanggan yang berulang, tetapkan lebih dulu dua hal: informasi apa yang MINIMAL harus ada agar boleh memutuskan, dan berapa lama maksimal boleh menunggu tambahan informasi. Setelah batas itu tercapai, putuskan. Catat berapa kali peserta memutuskan tepat di batas dan berapa kali melewatinya beserta alasannya.</t>
  </si>
  <si>
    <t>Daftar batas informasi minimum untuk 6 jenis keputusan berulang; 24 catatan penerapan. Termasuk persetujuan keenam batas oleh Atasan dan pemeriksaan penerapan oleh Mentor.</t>
  </si>
  <si>
    <t>6 batas informasi minimum ditetapkan dan disetujui atasan. Pada minimal 18 dari 24 penerapan, keputusan diambil dalam batas waktu yang peserta tetapkan sendiri. Milestone bulan ke-6: 6 batas selesai dan 10 penerapan tercatat.</t>
  </si>
  <si>
    <t>Review Ketepatan Keputusan 90 Hari</t>
  </si>
  <si>
    <t>Menutup siklus belajar dengan menguji apakah keputusan yang diambil terbukti tepat.</t>
  </si>
  <si>
    <t>Setiap 3 bulan, ambil dari log 3 keputusan yang diambil 90 hari sebelumnya. Nilai: apakah hasilnya sesuai perkiraan, asumsi mana yang meleset, risiko mana yang ternyata tidak terjadi, dan risiko mana yang muncul tanpa diduga. Tulis 1 pelajaran yang akan dipakai pada keputusan sejenis berikutnya.</t>
  </si>
  <si>
    <t>4 laporan review (12 keputusan ditinjau); daftar pelajaran beserta bukti penerapannya.</t>
  </si>
  <si>
    <t>4 laporan selesai. Minimal 6 pelajaran terbukti diterapkan pada keputusan berikutnya, terlihat dari log. Milestone bulan ke-6: 2 laporan.</t>
  </si>
  <si>
    <t>Workshop "Decision Making Under Uncertainty" (2 hari)</t>
  </si>
  <si>
    <t>Menguasai kerangka baku untuk memutuskan ketika informasi belum lengkap.</t>
  </si>
  <si>
    <t>Pelatihan 2 hari: membingkai keputusan, menyusun dan membandingkan opsi, analisis skenario dan risiko, membedakan keputusan yang dapat dikoreksi dari yang tidak, mengenali bias dalam ketidakpastian, dan menentukan informasi minimum yang sudah cukup.</t>
  </si>
  <si>
    <t>Sertifikat; 1 kerangka keputusan pelanggan yang dipakai sebagai format pada log.</t>
  </si>
  <si>
    <t>Lulus simulasi studi kasus dengan skor ≥80 (skala 0–100). Kerangka disetujui atasan dan terbukti dipakai pada minimal 10 keputusan yang tercatat di log.</t>
  </si>
  <si>
    <t>Kursus Online "Menyampaikan Keputusan dan Jaminan kepada Pelanggan"</t>
  </si>
  <si>
    <t>Menjelaskan dasar keputusan kepada pelanggan ketika informasinya memang belum lengkap.</t>
  </si>
  <si>
    <t>Selesaikan kursus online: menjelaskan dasar keputusan secara logis ketika data belum lengkap, menyampaikan jaminan yang realistis dan dapat ditepati, memberi kabar lebih awal ketika muncul masalah, serta mengakui keterbatasan tanpa kehilangan kepercayaan pelanggan.</t>
  </si>
  <si>
    <t>Sertifikat; 5 rumusan penjelasan untuk 5 situasi keputusan yang sering muncul di unit peserta.</t>
  </si>
  <si>
    <t>Minimal 4 rumusan dipakai pada situasi nyata. Pelanggan menilai penjelasannya logis dan mudah diterima dengan skor ≥4 (skala 1–5), dan tidak ada pelanggan yang merasa informasinya disembunyikan.</t>
  </si>
  <si>
    <t>Micro-learning "Heuristics, Satisficing &amp; Incremental Decision"</t>
  </si>
  <si>
    <t>Membekali teknik praktis memutuskan tepat waktu tanpa menunggu kepastian.</t>
  </si>
  <si>
    <t>Selesaikan modul online tentang heuristik, satisficing, keputusan bertahap dan reversible, serta kriteria kapan sebuah keputusan memang layak ditunda.</t>
  </si>
  <si>
    <t>Sertifikat; panduan ringkas 1–2 halaman pengambilan keputusan pelanggan dengan data terbatas.</t>
  </si>
  <si>
    <t>Panduan dinilai atasan ≥4 (skala 1–5) dan terbukti dipakai pada minimal 3 keputusan pelanggan nyata, baik oleh peserta sendiri maupun oleh rekan.</t>
  </si>
  <si>
    <t>Decision Clinic — Forum Peer Setingkat dan Mentor Senior</t>
  </si>
  <si>
    <t>Menemukan opsi dan risiko yang terlewat sebelum keputusan diambil atau dijalankan.</t>
  </si>
  <si>
    <t>Bentuk forum berisi 3–4 peer setingkat ditambah 1 mentor senior. Setiap 2 bulan, satu peserta memaparkan 1 keputusan pelanggan yang sedang atau baru ia ambil dengan data terbatas. Peserta lain bertugas menantang tiga hal: opsi apa yang belum dipertimbangkan, risiko apa yang terlewat, dan asumsi mana yang paling rapuh.</t>
  </si>
  <si>
    <t>6 sesi (minimal 2 sesi sebagai pemapar); catatan opsi dan risiko yang terlewat.</t>
  </si>
  <si>
    <t>Minimal 5 dari 6 sesi terlaksana. Pada 2 pemaparan sendiri, jumlah opsi atau risiko yang terlewat turun ≥20% dari pemaparan pertama ke kedua. Minimal 3 keputusan nyata direvisi atau dipertajam setelah sesi. Milestone bulan ke-6: 3 sesi, minimal 1 sebagai pemapar.</t>
  </si>
  <si>
    <t>Shadowing Atasan saat Memutuskan Perkara Pelanggan Tanpa Data Lengkap</t>
  </si>
  <si>
    <t>Mempelajari batas informasi dan batas risiko yang dipakai senior sebelum memutuskan.</t>
  </si>
  <si>
    <t>Minta izin mengamati 3 forum di mana atasan mengambil keputusan pelanggan padahal informasinya belum lengkap. Catat empat hal: informasi apa yang ia anggap sudah cukup, pertanyaan kunci yang ia ajukan sebelum memutuskan, batas risiko yang ia bersedia terima, dan bagaimana ia menyampaikan keputusan itu kepada pelanggan.</t>
  </si>
  <si>
    <t>3 laporan observasi; daftar 5 pertanyaan kunci yang akan diadopsi.</t>
  </si>
  <si>
    <t>Minimal 3 pertanyaan kunci dipakai pada keputusan peserta sendiri dan terlihat tercatat di log. Divalidasi atasan dengan skor ≥4 (skala 1–5).</t>
  </si>
  <si>
    <t>Umpan Balik 360° "Keputusan Pelanggan dalam Ketidakpastian"</t>
  </si>
  <si>
    <t>Mengukur perubahan persepsi atasan, rekan, dan pelanggan atas kualitas keputusan peserta.</t>
  </si>
  <si>
    <t>Kuesioner pre (bulan 1) dan post (bulan 11) kepada minimal 6 responden: atasan, rekan sekerja, dan minimal 2 pelanggan yang pernah terdampak keputusan peserta. Butir khusus RA7: "Ia mengambil keputusan tepat waktu meski informasinya belum lengkap"; "Ia menjelaskan dasar keputusannya secara logis dan mudah saya terima"; "Ia memberi tahu saya lebih awal ketika ada masalah, bukan setelah terlambat"; "Ia tidak mengelak ketika keputusannya ternyata kurang tepat"; "Keputusannya terbukti tepat berdasarkan informasi yang tersedia saat itu".</t>
  </si>
  <si>
    <t>2 laporan (pre dan post); analisis kenaikan per butir. Termasuk pengumpulan dan pengolahan data oleh HC.</t>
  </si>
  <si>
    <t>Kenaikan rata-rata ≥1 poin (skala 1–5). Butir "memberi tahu lebih awal ketika ada masalah" dan "tidak mengelak ketika keputusannya kurang tepat" WAJIB naik ≥1 poin (skala 1–5) — keduanya mengukur perilaku kunci keputusan pelanggan dalam ketidakpastian.</t>
  </si>
  <si>
    <t>Mengambil dan Mempertanggungjawabkan 8 Keputusan Pelanggan dengan Data Terbatas</t>
  </si>
  <si>
    <t>Mempraktikkan pengambilan keputusan pelanggan dengan data terbatas secara langsung dengan akuntabilitas penuh atas hasilnya.</t>
  </si>
  <si>
    <t>Minta pendelegasian resmi dari atasan atas 8 keputusan pelanggan nyata yang harus diambil tanpa informasi lengkap. Untuk masing-masing: nyatakan opsi dan risikonya di muka, putuskan dalam batas waktu yang disepakati, sampaikan dasar keputusan kepada pelanggan, lalu pertanggungjawabkan hasilnya. Jangan mengeskalasikan kepada atasan sebagai langkah pertama.</t>
  </si>
  <si>
    <t>8 dokumen keputusan; catatan hasil dan tindak lanjutnya; umpan balik dari atasan dan pelanggan. Termasuk review pada bulan ke-6 dan ke-12 oleh Atasan.</t>
  </si>
  <si>
    <t>8 keputusan diambil dalam batas waktu yang disepakati, tanpa dieskalasikan sebagai jalan pertama. Minimal 6 dinilai atasan tepat berdasarkan informasi yang tersedia SAAT keputusan diambil, dengan skor ≥4 (skala 1–5). Milestone bulan ke-6: 4 keputusan selesai dan dinilai.</t>
  </si>
  <si>
    <t>Memberikan Jaminan Pribadi atas 2 Komitmen Pelanggan yang Belum Pasti</t>
  </si>
  <si>
    <t>Menguji kesediaan menanggung konsekuensi dari keputusan yang diambil tanpa kepastian penuh.</t>
  </si>
  <si>
    <t>Pada 2 kesempatan nyata, berikan jaminan pribadi kepada pelanggan atas suatu hasil atau tenggat yang belum sepenuhnya pasti — dengan sepengetahuan atasan. Sebelum menjamin, tuliskan tiga hal: dasar keyakinan peserta, risiko terburuknya, dan apa yang akan peserta lakukan bila jaminan itu tidak terpenuhi. Setelah itu kelola sampai tuntas.</t>
  </si>
  <si>
    <t>2 dokumentasi memuat dasar jaminan, risiko, tindakan yang diambil, dan hasilnya; konfirmasi dari pelanggan.</t>
  </si>
  <si>
    <t>Kedua jaminan terpenuhi. ATAU, bila ada yang tidak terpenuhi, peserta memberi tahu pelanggan SEBELUM tenggat lewat dan menjalankan rencana cadangan yang sudah disiapkan sejak awal. Pelanggan menilai ≥4 (skala 1–5) pada kepercayaan; atasan menilai ≥4 (skala 1–5) pada kelayakan risiko yang diambil. Jaminan yang gagal dan disembunyikan menggugurkan aktivitas ini.</t>
  </si>
  <si>
    <t>Menangani 1 Perkara Pelanggan yang Informasinya Terus Berubah</t>
  </si>
  <si>
    <t>Menguji kemampuan memutuskan berulang kali dalam satu perkara yang informasinya bergerak.</t>
  </si>
  <si>
    <t>Dengan penugasan resmi atasan, tangani 1 perkara pelanggan yang informasinya belum lengkap dan terus berubah — misalnya keterlambatan pengiriman yang penyebabnya belum jelas, keluhan dengan data yang bertentangan, atau permintaan non-standar yang persyaratannya belum pasti. Kelola dari keputusan awal, revisi ketika informasi baru muncul, hingga penutupan. Hubungi pelanggan sejak masalah diketahui — jangan menunggu sampai penyebabnya jelas.</t>
  </si>
  <si>
    <t>1 laporan perkara dengan linimasa keputusan dan titik revisi; bukti kapan pelanggan pertama kali diberi tahu; umpan balik pelanggan.</t>
  </si>
  <si>
    <t>Perkara tuntas. Laporan memuat minimal 3 titik keputusan dan minimal 1 revisi karena informasi baru. Pelanggan diberi tahu dalam 24 jam sejak masalah diketahui, bukan setelah tenggat lewat. Atasan menilai ≥4 (skala 1–5) pada ketepatan, kecepatan, dan kesediaan merevisi keputusan.</t>
  </si>
  <si>
    <t>Jurnal "Yang Tidak Dikatakan"</t>
  </si>
  <si>
    <t>Melatih menangkap sinyal di luar kata-kata, lalu menguji ketepatan bacaannya.</t>
  </si>
  <si>
    <t>Setiap kali berinteraksi dengan pelanggan, catat empat hal: sinyal apa yang peserta tangkap di luar kata-katanya (nada, jeda, pilihan kata, hal yang dihindari, bahasa tubuh); apa yang peserta baca dari sinyal itu; apakah peserta MEMERIKSA bacaan itu kepadanya; dan apa jawabannya. Bacaan yang tidak diperiksa tetap dicatat, tetapi ditandai belum tervalidasi.</t>
  </si>
  <si>
    <t>Log minimal 40 entri; rekap triwulanan: persentase bacaan yang diperiksa, dan persentase bacaan yang ternyata tepat. Termasuk review rekap triwulanan oleh Mentor.</t>
  </si>
  <si>
    <t>Minimal 40 entri. DUA angka harus naik: persentase bacaan yang diperiksa mencapai ≥70% pada triwulan 4, dan akurasi bacaan yang diperiksa naik ≥20% dari baseline triwulan 1 dan mencapai ≥70%. Milestone bulan ke-6: 20 entri dan baseline akurasi sudah terbentuk.</t>
  </si>
  <si>
    <t>Latihan "Memeriksa Bacaan Emosi"</t>
  </si>
  <si>
    <t>Mengganti kebiasaan langsung merespons dugaan dengan memeriksa lebih dulu.</t>
  </si>
  <si>
    <t>Ketika peserta menangkap pelanggan tampak kecewa, ragu, atau menahan sesuatu, jangan langsung merespons berdasarkan dugaan. Periksa lebih dulu dengan kalimat yang tidak menuduh — misalnya "saya menangkap ada yang mengganjal soal ini, benar begitu?" Catat: bacaan peserta, cara peserta memeriksanya, jawaban pelanggan, dan respons yang akhirnya peserta berikan.</t>
  </si>
  <si>
    <t>24 catatan; daftar kalimat pemeriksa yang paling berhasil membuat pelanggan membuka.</t>
  </si>
  <si>
    <t>Minimal 20 dari 24 latihan dilakukan. Pada minimal 14 di antaranya, pelanggan membenarkan ada sesuatu yang belum ia sampaikan dan menjelaskannya. Milestone bulan ke-6: 10 latihan, minimal 6 membuka.</t>
  </si>
  <si>
    <t>Analisis "Dinamika Emosi Kelompok Pelanggan"</t>
  </si>
  <si>
    <t>Membaca kelompok pelanggan sebagai beberapa kepentingan dan perasaan, bukan sebagai satu suara.</t>
  </si>
  <si>
    <t>Setiap 2 bulan, ambil 1 pertemuan yang dihadiri lebih dari satu orang dari pihak pelanggan. Petakan empat hal: siapa yang paling resah dan mengapa, siapa yang sebenarnya menentukan, siapa yang diam tetapi tidak setuju, dan bagaimana suasana kelompok berubah sepanjang pertemuan. Periksa pemetaan itu kepada minimal 1 orang dari kelompok tersebut.</t>
  </si>
  <si>
    <t>6 pemetaan dinamika kelompok; konfirmasi dari peserta pertemuan.</t>
  </si>
  <si>
    <t>6 pemetaan selesai. Minimal 4 dikonfirmasi tepat oleh orang dari kelompok itu sendiri. Milestone bulan ke-6: 2 pemetaan, minimal 1 terkonfirmasi.</t>
  </si>
  <si>
    <t>Workshop "Membaca Emosi &amp; Merespons dengan Tepat" (2 hari)</t>
  </si>
  <si>
    <t>Menguasai pembacaan sinyal emosi dan pemilihan respons yang sesuai penyebabnya.</t>
  </si>
  <si>
    <t>Pelatihan 2 hari: mengenali tanda emosi pada nada, jeda, pilihan kata, dan bahasa tubuh; membedakan emosi yang ditampilkan dari yang dirasakan; menelusuri penyebab di balik perasaan; memilih respons yang sesuai — kapan cukup mengakui, kapan menunggu, kapan bertindak; serta membaca dinamika emosi dalam kelompok. Termasuk praktik menganalisis rekaman interaksi pelanggan nyata.</t>
  </si>
  <si>
    <t>Sertifikat; analisis 3 rekaman atau transkrip interaksi pelanggan nyata beserta evaluasi fasilitator.</t>
  </si>
  <si>
    <t>Lulus praktik dengan skor ≥80 (skala 0–100). Pada ketiga analisis, akurasi bacaan peserta dibandingkan konfirmasi pihak yang direkam mencapai ≥70%.</t>
  </si>
  <si>
    <t>Fasilitator dan Pihak yang Direkam</t>
  </si>
  <si>
    <t>Kursus Online "Kebutuhan yang Tidak Terucapkan"</t>
  </si>
  <si>
    <t>Mengenali kebutuhan pokok pelanggan yang tidak pernah mereka sampaikan.</t>
  </si>
  <si>
    <t>Selesaikan kursus online: mengapa pelanggan tidak menyampaikan sebagian kebutuhannya (sungkan, tidak menyadarinya, tidak punya bahasanya, atau menganggap tidak mungkin dipenuhi); membedakan permintaan dari kebutuhan pokok; mengenali sinyal kebutuhan yang belum terlayani; dan merumuskan nilai lebih yang benar-benar berarti bagi pelanggan, bukan yang paling mudah diberikan.</t>
  </si>
  <si>
    <t>Sertifikat; 5 kebutuhan tidak terucapkan yang teridentifikasi dari pelanggan nyata beserta hasil konfirmasinya.</t>
  </si>
  <si>
    <t>Minimal 4 dari 5 dikonfirmasi pelanggan memang merupakan kebutuhan mereka yang selama ini tidak disampaikan kepada unit peserta.</t>
  </si>
  <si>
    <t>Micro-learning "Merespons Emosi Tanpa Menjanjikan Berlebihan"</t>
  </si>
  <si>
    <t>Merespons perasaan pelanggan tanpa berakhir pada janji yang tidak dapat ditepati.</t>
  </si>
  <si>
    <t>Selesaikan modul online: membedakan mengakui perasaan dari menyetujui tuntutan; merespons kekecewaan tanpa menjanjikan hal yang belum pasti; memilih antara meminta maaf, menjelaskan, atau memperbaiki; dan menutup percakapan emosional sehingga pelanggan merasa didengar meski jawabannya tidak seperti yang ia harapkan.</t>
  </si>
  <si>
    <t>Sertifikat; 8 rumusan respons untuk 8 situasi emosi pelanggan yang sering muncul di unit peserta.</t>
  </si>
  <si>
    <t>Minimal 5 rumusan dipakai pada situasi nyata. Pelanggan menilai merasa didengar dengan skor ≥4 (skala 1–5) pada seluruhnya — TERMASUK pada situasi yang permintaannya tidak dapat dipenuhi.</t>
  </si>
  <si>
    <t>"Reading Clinic" — Forum Peer Setingkat dan Mentor Senior</t>
  </si>
  <si>
    <t>Menemukan bahwa satu sinyal dapat dijelaskan oleh beberapa emosi yang berbeda.</t>
  </si>
  <si>
    <t>Bentuk forum berisi 3–4 peer setingkat ditambah 1 mentor senior. Setiap 2 bulan, satu peserta memaparkan 1 interaksi pelanggan: apa yang ia baca dari pelanggan itu dan atas dasar sinyal apa. Peserta lain bertugas menawarkan BACAAN ALTERNATIF — emosi lain yang dapat menjelaskan sinyal yang sama. Pemapar lalu memeriksa bacaan mana yang benar kepada pelanggannya, dan membawa hasilnya kembali ke forum.</t>
  </si>
  <si>
    <t>6 sesi (minimal 2 sesi sebagai pemapar); catatan bacaan alternatif beserta hasil pemeriksaannya.</t>
  </si>
  <si>
    <t>Minimal 5 dari 6 sesi terlaksana. Pada 2 pemaparan sendiri, peserta membawa kembali hasil pemeriksaan ke forum — termasuk ketika bacaan alternatif dari rekan ternyata yang benar. Milestone bulan ke-6: 3 sesi, minimal 1 sebagai pemapar.</t>
  </si>
  <si>
    <t>Shadowing Atasan dalam Percakapan Pelanggan yang Bermuatan Emosi</t>
  </si>
  <si>
    <t>Membandingkan bacaan sendiri dengan bacaan orang yang lebih berpengalaman atas situasi yang sama.</t>
  </si>
  <si>
    <t>Minta izin mengamati 3 percakapan di mana atasan menghadapi pelanggan yang kecewa, ragu, atau menahan sesuatu. Catat: sinyal apa yang ia tangkap dan pada momen apa, bagaimana ia memeriksanya, respons apa yang ia pilih dan mengapa bukan yang lain, serta bagaimana suasana berubah setelahnya. SETELAH pertemuan, tanyakan kepada atasan apa yang ia baca — lalu bandingkan dengan bacaan peserta sendiri yang sudah ditulis lebih dulu.</t>
  </si>
  <si>
    <t>3 laporan observasi; tabel perbandingan bacaan peserta dengan bacaan atasan.</t>
  </si>
  <si>
    <t>3 observasi selesai dengan perbandingan bacaan. Kesenjangan antara bacaan peserta dan bacaan atasan turun ≥20% dari observasi pertama ke observasi ketiga, dinilai atasan.</t>
  </si>
  <si>
    <t>Umpan Balik 360° "Merasa Dipahami"</t>
  </si>
  <si>
    <t>Mengukur apakah pelanggan merasa dipahami, termasuk ketika permintaannya tidak dipenuhi.</t>
  </si>
  <si>
    <t>Kuesioner pre (bulan 1) dan post (bulan 11) kepada minimal 8 responden, WAJIB mencakup pelanggan yang permintaannya pernah ditolak atau tidak dapat dipenuhi. Butir khusus: "Ia menangkap ketika ada yang mengganjal bagi saya, meski saya belum mengatakannya"; "Ia memahami MENGAPA saya merasa demikian, bukan hanya bahwa saya merasa demikian"; "Responsnya terasa pas — tidak berlebihan dan tidak meremehkan"; "Saya merasa didengar meskipun permintaan saya tidak dapat dipenuhi"; "Ia menawarkan hal yang berguna sebelum saya memintanya".</t>
  </si>
  <si>
    <t>Kenaikan rata-rata ≥1 poin (skala 1–5). Butir "saya merasa didengar meskipun permintaan saya tidak dapat dipenuhi" WAJIB mencapai ≥4 (skala 1–5) dari responden yang permintaannya pernah ditolak — butir ini memisahkan empati dari sekadar mengabulkan.</t>
  </si>
  <si>
    <t>Menemukan dan Memenuhi 6 Kebutuhan yang Tidak Disampaikan Pelanggan</t>
  </si>
  <si>
    <t>Membuktikan kemampuan membaca kebutuhan yang tidak diucapkan dan meresponsnya dengan tepat.</t>
  </si>
  <si>
    <t>Pada 6 kesempatan, temukan kebutuhan pelanggan yang TIDAK mereka sampaikan — dari sinyal, keraguan, keluhan kecil yang berulang, atau hal yang mereka hindari bicarakan. Untuk masing-masing: catat sinyal yang peserta tangkap, periksa bacaan peserta kepada pelanggan, lalu berikan respons atau perbaikan yang menjawabnya. Kebutuhan yang disampaikan pelanggan secara langsung TIDAK dihitung.</t>
  </si>
  <si>
    <t>6 dokumentasi dengan alur sinyal → bacaan → konfirmasi → respons → hasil; umpan balik pelanggan. Termasuk review pada bulan ke-6 dan ke-12 oleh Atasan.</t>
  </si>
  <si>
    <t>Minimal 5 dari 6 dikonfirmasi pelanggan sebagai kebutuhan nyata yang memang tidak pernah mereka sampaikan. Minimal 4 responsnya dinilai pelanggan tepat sasaran dengan skor ≥4 (skala 1–5). Milestone bulan ke-6: 3 kebutuhan ditemukan dan dikonfirmasi.</t>
  </si>
  <si>
    <t>Menangani 3 Pelanggan yang Kecewa sampai Kepercayaannya Pulih</t>
  </si>
  <si>
    <t>Menguji apakah peserta menemukan penyebab kekecewaan yang sebenarnya, bukan yang pertama disebutkan.</t>
  </si>
  <si>
    <t>Tangani langsung 3 pelanggan yang sedang kecewa atau kehilangan kepercayaan. Untuk masing-masing: baca lebih dulu apa yang SEBENARNYA membuat mereka kecewa — sering bukan hal yang mereka sebutkan pertama kali — periksa bacaan itu kepada mereka, lalu susun respons. Jangan menjanjikan hal yang belum pasti demi meredakan suasana. Pantau sampai kerja sama berjalan normal kembali.</t>
  </si>
  <si>
    <t>3 dokumentasi kasus; catatan penyebab kekecewaan sebenarnya dibandingkan yang pertama disebutkan; bukti hubungan kerja pulih.</t>
  </si>
  <si>
    <t>Pada minimal 2 dari 3 kasus, penyebab kekecewaan yang sebenarnya berbeda dari yang pertama disebutkan pelanggan, dan pelanggan membenarkan bacaan peserta. Ketiga pelanggan kembali bekerja sama secara normal dalam 3 bulan. Pelanggan menilai ≥4 (skala 1–5) pada ketepatan respons.</t>
  </si>
  <si>
    <t>Menggerakkan Tim Membaca dan Menindaklanjuti Sinyal Pelanggan</t>
  </si>
  <si>
    <t>Menularkan kebiasaan membaca sinyal pelanggan sehingga tidak berhenti pada diri peserta.</t>
  </si>
  <si>
    <t>Kumpulkan sinyal yang peserta dan tim tangkap dari pelanggan sepanjang program — hal yang tidak diucapkan tetapi berulang muncul. Pilih 1 pola yang paling sering, sampaikan kepada tim beserta buktinya, lalu pimpin perbaikan cara kerja yang menjawabnya. Yang dinilai bukan programnya, melainkan apakah tim ikut membaca sinyal pelanggan sesudahnya.</t>
  </si>
  <si>
    <t>Dokumentasi pola beserta buktinya; perbaikan cara kerja yang dijalankan; catatan sinyal yang dilaporkan sendiri oleh anggota tim sesudahnya.</t>
  </si>
  <si>
    <t>1 perbaikan cara kerja dijalankan tim dan dikonfirmasi pelanggan memang terasa. Setelah perbaikan, minimal 3 anggota tim melaporkan SENDIRI sinyal pelanggan yang tidak terucapkan — bukti bahwa kebiasaan membaca itu menular, bukan berhenti pada peserta.</t>
  </si>
  <si>
    <t>Atasan, Tim, dan Pelanggan Terkait</t>
  </si>
  <si>
    <t>"Peta Pelanggan Sulit &amp; Berpengaruh" — Portofolio 5 Pelanggan</t>
  </si>
  <si>
    <t>Pada bulan ke-1, daftarkan 5 pelanggan yang hubungan kerjanya SECARA STRUKTURAL sulit — kepentingannya berbeda dari perusahaan, pengaruhnya besar, atau riwayat kerja samanya bermasalah. Minimal 2 dari luar organisasi. Untuk masing-masing catat: sumber kesulitannya, apa yang mereka butuhkan dari peserta, apa yang peserta butuhkan dari mereka, kondisi hubungan pada skala 1–5, dan KEDUDUKAN peserta bagi mereka (pemasok / mitra / penasehat). Perbarui setiap bulan.</t>
  </si>
  <si>
    <t>Peta portofolio; 12 pembaruan bulanan; grafik tren kondisi hubungan dan kedudukan per pelanggan. Termasuk review pada bulan ke-6 dan ke-12 oleh Mentor.</t>
  </si>
  <si>
    <t>5 pelanggan ditetapkan pada bulan ke-1 dan TIDAK diganti sepanjang program, kecuali kerja samanya berakhir di luar kendali peserta, dengan persetujuan mentor. 12 pembaruan terisi. Milestone bulan ke-6: peta lengkap dan 6 pembaruan.</t>
  </si>
  <si>
    <t>Jurnal "Keuntungan bagi Pelanggan"</t>
  </si>
  <si>
    <t>Membiasakan menilai setiap interaksi dari sisi keuntungan pelanggan, bukan keuntungan sendiri.</t>
  </si>
  <si>
    <t>Setiap interaksi dengan 5 pelanggan portofolio, catat apa yang menguntungkan PELANGGAN dari interaksi itu — bukan apa yang menguntungkan perusahaan peserta. Beri tanda khusus pada tindakan yang murni menguntungkan mereka meskipun tidak menambah order, tidak menaikkan nilai kontrak, atau bahkan mengurangi peluang penjualan.</t>
  </si>
  <si>
    <t>Log minimal 50 interaksi; rekap triwulanan rasio antara tindakan yang menguntungkan pelanggan dan yang menguntungkan perusahaan sendiri. Termasuk review rekap triwulanan oleh Mentor.</t>
  </si>
  <si>
    <t>Minimal 50 entri. Minimal 15 tindakan yang murni menguntungkan pelanggan tanpa menambah order, tersebar pada minimal 4 dari 5 pelanggan portofolio. Milestone bulan ke-6: 25 entri, minimal 6 tindakan murni.</t>
  </si>
  <si>
    <t>Refleksi "Pendekatan yang Berbeda per Pelanggan"</t>
  </si>
  <si>
    <t>Memastikan pendekatan dibedakan berdasarkan sumber kesulitan masing-masing pelanggan.</t>
  </si>
  <si>
    <t>Setiap 3 bulan, untuk tiap pelanggan portofolio tuliskan: pendekatan apa yang terbukti berhasil, apa yang justru memperburuk, dan apa yang akan peserta ubah pada triwulan berikutnya. Bandingkan kelima pendekatan berdampingan — bila kelimanya sama, berarti peserta belum menyesuaikan.</t>
  </si>
  <si>
    <t>4 laporan triwulanan (5 pelanggan × 4 triwulan = 20 catatan penyesuaian).</t>
  </si>
  <si>
    <t>4 laporan selesai. Mentor menilai ≥4 (skala 1–5) bahwa pendekatan antar pelanggan benar-benar berbeda DAN perbedaannya berdasar pada sumber kesulitan masing-masing, bukan pada besar-kecilnya nilai kontrak. Milestone bulan ke-6: 2 laporan.</t>
  </si>
  <si>
    <t>Workshop "Trusted Advisor &amp; Key Account Relationship" (2 hari)</t>
  </si>
  <si>
    <t>Menguasai cara berpindah dari kedudukan pemasok menjadi penasehat yang dipercaya pelanggan.</t>
  </si>
  <si>
    <t>Pelatihan 2 hari: membangun kredibilitas sebagai penasehat, memahami bisnis pelanggan sampai ke persoalan yang mereka hadapi sendiri, memberikan saran yang mungkin merugikan penjualan kita sendiri, menjaga relasi melintasi siklus kontrak, dan mengelola pelanggan yang kepentingannya berbeda secara struktural. Peserta wajib membawa peta portofolio pelanggan yang telah disusunnya.</t>
  </si>
  <si>
    <t>Sertifikat; 1 rencana relasi 12 bulan untuk masing-masing dari 5 pelanggan portofolio.</t>
  </si>
  <si>
    <t>Lulus studi kasus dengan skor ≥80 (skala 0–100). Rencana relasi dinilai atasan ≥4 (skala 1–5) pada kelayakan DAN pada perbedaan pendekatan antar kelima pelanggan.</t>
  </si>
  <si>
    <t>Kursus Online "Memahami Bisnis Pelanggan"</t>
  </si>
  <si>
    <t>Memahami tekanan dan risiko bisnis pelanggan, termasuk yang tidak berkaitan dengan produk kita.</t>
  </si>
  <si>
    <t>Selesaikan kursus online: membaca model bisnis, sumber pendapatan, tekanan, dan risiko pelanggan; mengenali persoalan yang mereka hadapi yang tidak ada hubungannya dengan produk atau jasa kita; serta merumuskan saran yang berpijak pada kepentingan mereka.</t>
  </si>
  <si>
    <t>Sertifikat; 3 analisis bisnis untuk 3 pelanggan portofolio.</t>
  </si>
  <si>
    <t>Ketiga pelanggan mengonfirmasi analisis tentang tekanan dan tantangan bisnis mereka tergambar dengan tepat, dengan skor ≥4 (skala 1–5). Analisis yang hanya bersumber dari data internal dan tidak dikonfirmasi pelanggan tidak dihitung.</t>
  </si>
  <si>
    <t>Micro-learning "Memulihkan Relasi Pelanggan yang Retak"</t>
  </si>
  <si>
    <t>Mengembalikan kerja sama setelah hubungan dengan pelanggan sempat memburuk.</t>
  </si>
  <si>
    <t>Selesaikan modul: mengenali tanda hubungan mulai memburuk sebelum pelanggan menyampaikannya, membuka kembali percakapan setelah perselisihan atau kegagalan layanan, memperbaiki tanpa mengorbankan posisi perusahaan, dan membangun ulang kepercayaan melalui komitmen kecil yang ditepati.</t>
  </si>
  <si>
    <t>Sertifikat; 1 rencana pemulihan untuk pelanggan dengan skor hubungan TERENDAH pada portofolio.</t>
  </si>
  <si>
    <t>Rencana pemulihan dijalankan. Skor kondisi hubungan pelanggan tersebut naik minimal 1 poin DAN bertahan minimal 3 bulan berturut-turut.</t>
  </si>
  <si>
    <t>"Account Review" — Forum Peer Setingkat dan Mentor Senior</t>
  </si>
  <si>
    <t>Menguji apakah perbaikan hubungan bertahan atau hanya akibat satu transaksi yang berjalan baik.</t>
  </si>
  <si>
    <t>Bentuk forum berisi 3–4 peer setingkat ditambah 1 mentor senior. Setiap 2 bulan, satu peserta memaparkan perkembangan 1 pelanggan portofolio SEJAK SESI TERAKHIR: apa yang dicoba, apa hasilnya, dan ke mana arah hubungannya. Peserta lain bertugas menantang — apakah membaiknya bertahan, atau hanya efek satu order besar yang kebetulan lancar.</t>
  </si>
  <si>
    <t>Minimal 5 dari 6 sesi terlaksana. Pada 2 pemaparan sendiri, peserta mampu menunjukkan TREN hubungan lintas beberapa bulan, bukan menceritakan satu peristiwa. Milestone bulan ke-6: 3 sesi, minimal 1 sebagai pemapar.</t>
  </si>
  <si>
    <t>Shadowing Atasan dalam Satu Relasi Pelanggan Sulit yang Sama</t>
  </si>
  <si>
    <t>Mempelajari bagaimana senior memelihara satu hubungan pelanggan sulit dari waktu ke waktu.</t>
  </si>
  <si>
    <t>Minta izin mengamati 3 rangkaian interaksi antara atasan dengan SATU pelanggan sulit YANG SAMA, tersebar sepanjang beberapa bulan — bukan 2 pertemuan terpisah dengan pelanggan berbeda. Catat: bagaimana ia menjaga kontak di luar masa transaksi, apa yang ia berikan tanpa diminta, bagaimana ia menagih tanpa merusak hubungan, dan bagaimana ia menyampaikan hal yang tidak ingin didengar pelanggan.</t>
  </si>
  <si>
    <t>Minimal 3 pola hasil observasi diterapkan pada pelanggan portofolio sendiri dan divalidasi atasan dengan skor ≥4 (skala 1–5).</t>
  </si>
  <si>
    <t>Umpan Balik 360° "Penasehat Terpercaya"</t>
  </si>
  <si>
    <t>Mengukur perubahan kedudukan peserta di mata pelanggan yang hubungannya memang sulit.</t>
  </si>
  <si>
    <t>Kuesioner pre (bulan 1) dan post (bulan 11). Responden WAJIB mencakup kelima pelanggan portofolio, ditambah atasan dan 2 rekan setingkat. Butir khusus PA12: "Saya akan tetap bekerja sama dengannya pada periode berikutnya"; "Ia memahami tekanan bisnis yang saya hadapi"; "Ia pernah menyarankan hal yang tidak menguntungkan perusahaannya sendiri karena itu yang terbaik bagi saya"; "Saya membawa persoalan saya kepadanya sebelum saya memutuskan"; "Perbedaan kepentingan di antara kami tidak merusak kerja sama".</t>
  </si>
  <si>
    <t>2 laporan (pre dan post); analisis kenaikan per butir dan per pelanggan. Termasuk pengumpulan dan pengolahan data oleh HC.</t>
  </si>
  <si>
    <t>Kenaikan rata-rata ≥1 poin (skala 1–5). Butir "saya membawa persoalan saya kepadanya sebelum saya memutuskan" WAJIB naik pada minimal 3 dari 5 pelanggan portofolio — butir inilah penanda kedudukan penasehat terpercaya. Pengukuran yang tidak menyertakan kelima pelanggan portofolio tidak sah.</t>
  </si>
  <si>
    <t>Memperbaiki Hubungan dengan 3 Pelanggan Sulit Sepanjang 9 Bulan</t>
  </si>
  <si>
    <t>Membuktikan perbaikan hubungan yang bertahan, bukan perbaikan sesaat setelah satu order lancar.</t>
  </si>
  <si>
    <t>Dari 5 pelanggan portofolio, pilih 3 dengan kondisi hubungan terendah. Untuk masing-masing, jalankan rencana relasi sepanjang minimal 9 bulan yang memuat empat hal: kontak terjadwal DI LUAR masa transaksi — termasuk keikutsertaan dalam program atau pertemuan rutin yang mereka selenggarakan;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</si>
  <si>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 Termasuk review pada bulan ke-6 dan ke-12 oleh Atasan.</t>
  </si>
  <si>
    <t>Pada minimal 2 dari 3 pelanggan, skor kondisi hubungan naik minimal 1 poin DAN bertahan minimal 3 bulan berturut-turut. Pelanggan yang bersangkutan mengonfirmasi perbaikan itu dengan skor ≥4 (skala 1–5). Kenaikan yang tidak bertahan 3 bulan tidak dihitung. Milestone bulan ke-6: 3 rencana berjalan, tren awal terlihat.</t>
  </si>
  <si>
    <t>Menjadi Penasehat pada 2 Kesulitan Pelanggan yang Bukan Urusan Perusahaan Kita</t>
  </si>
  <si>
    <t>Menguji apakah peserta dipercaya pelanggan pada persoalan yang tidak menghasilkan order.</t>
  </si>
  <si>
    <t>Pada 2 kesempatan, bantu pelanggan mengatasi kesulitan yang TIDAK berkaitan dengan produk atau jasa perusahaan peserta dan tidak menghasilkan order — misalnya persoalan proses internal mereka, pilihan pemasok lain, atau tantangan pasar yang mereka hadapi. Pelajari persoalannya, berikan saran, dan tindak lanjuti hasilnya. Jangan mengaitkannya dengan penawaran apa pun.</t>
  </si>
  <si>
    <t>2 dokumentasi (persoalan pelanggan, analisis, saran yang diberikan, tindak lanjut, hasil); konfirmasi dari pelanggan.</t>
  </si>
  <si>
    <t>Kedua pelanggan mengonfirmasi saran itu berguna dan mereka menerapkannya, dengan skor ≥4 (skala 1–5). Tidak ada penawaran atau permintaan order yang diajukan selama proses berlangsung — bila ada, aktivitas ini gugur.</t>
  </si>
  <si>
    <t>Menyepakati 2 Kesepakatan Jangka Panjang yang Menguntungkan Kedua Pihak</t>
  </si>
  <si>
    <t>Mengubah hubungan yang membaik menjadi kerja sama yang terikat dan berjalan.</t>
  </si>
  <si>
    <t>Pada 2 pelanggan portofolio, capai kesepakatan kerja sama yang berlaku minimal 12 bulan ke depan — bukan transaksi sekali jalan. Urutannya: petakan kepentingan dan batasan kedua pihak, susun opsi yang menambah nilai bagi keduanya, sepakati, lalu PANTAU pelaksanaannya minimal 3 bulan. Yang dinilai bukan tercapainya kesepakatan, melainkan apakah kesepakatan itu benar-benar dijalankan kedua pihak.</t>
  </si>
  <si>
    <t>Kedua kesepakatan dijalankan oleh kedua belah pihak selama minimal 3 bulan tanpa perlu dinegosiasikan ulang. Pelanggan mengonfirmasi kesepakatan itu menguntungkan pihaknya juga, dengan skor ≥4 (skala 1–5). Milestone bulan ke-6: 1 kesepakatan tercapai dan mulai dipantau.</t>
  </si>
  <si>
    <t>Jurnal "Standar yang Peserta Naikkan"</t>
  </si>
  <si>
    <t>Memisahkan standar yang benar-benar dinaikkan dari standar yang sekadar diteruskan.</t>
  </si>
  <si>
    <t>Setiap kali peserta menetapkan atau menerima sebuah standar — bagi diri, tim, maupun fungsi — catat: standar lama, standar baru, selisihnya dalam angka, dasar penetapannya (pembanding kinerja sendiri, pesaing, atau ekspektasi pelanggan), dan siapa yang menolak beserta alasannya. Beri tanda mana standar yang peserta NAIKKAN dan mana yang sekadar peserta TERUSKAN.</t>
  </si>
  <si>
    <t>Log minimal 24 standar; rekap triwulanan: berapa yang dinaikkan dibanding yang diteruskan, besar kenaikannya, dan sebaran dasar penetapannya. Termasuk review rekap triwulanan oleh Mentor dan Direksi.</t>
  </si>
  <si>
    <t>Minimal 24 standar tercatat. Minimal 12 adalah standar yang DINAIKKAN dengan selisih terukur. Minimal 8 di antaranya berdasar pembanding DI LUAR organisasi — pesaing atau ekspektasi pelanggan — bukan pembanding kinerja sendiri tahun lalu. Milestone bulan ke-6: 12 standar, minimal 6 dinaikkan.</t>
  </si>
  <si>
    <t>Latihan "Standar untuk Diri Sendiri"</t>
  </si>
  <si>
    <t>Memastikan standar tinggi yang dituntut dari orang lain juga berlaku bagi peserta sendiri.</t>
  </si>
  <si>
    <t>Setiap triwulan, tetapkan 1 standar kinerja pribadi yang LEBIH TINGGI daripada yang dituntut jabatan peserta — misalnya waktu tanggap terhadap persoalan pelanggan, kesiapan sebelum forum, atau mutu keputusan. Umumkan standar itu kepada tim, ukur pencapaiannya, dan laporkan hasilnya apa adanya kepada tim, termasuk ketika tidak tercapai.</t>
  </si>
  <si>
    <t>4 standar ditetapkan dan diumumkan kepada tim. Minimal 3 tercapai. Laporan untuk standar yang TIDAK tercapai tetap dibagikan kepada tim tanpa dihaluskan — bila ada yang disembunyikan, aktivitas ini gugur. Milestone bulan ke-6: 2 standar ditetapkan dan dilaporkan.</t>
  </si>
  <si>
    <t>Menemukan standar yang secara resmi berlaku tetapi dalam praktiknya sudah ditinggalkan.</t>
  </si>
  <si>
    <t>Setiap 3 bulan, cari 1 standar layanan pelanggan yang secara resmi masih berlaku tetapi dalam praktiknya sudah tidak dijalankan. Telusuri: kapan dan mengapa turun, siapa yang pertama kali melonggarkan, apa yang membuatnya tidak ketahuan, dan apa yang menahannya dari ditegakkan kembali. Lalu tegakkan kembali.</t>
  </si>
  <si>
    <t>4 analisis peluruhan standar; 4 tindakan penegakan kembali beserta bukti pelaksanaannya.</t>
  </si>
  <si>
    <t>4 analisis selesai. Minimal 3 standar kembali dijalankan DAN bertahan minimal 3 bulan setelah ditegakkan. Standar yang kembali turun dalam 3 bulan tidak dihitung. Milestone bulan ke-6: 2 analisis, 1 standar tegak kembali.</t>
  </si>
  <si>
    <t>Program "Operational Excellence &amp; Performance Standards" (3–5 hari)</t>
  </si>
  <si>
    <t>Menguasai perancangan mekanisme yang menjaga standar tanpa kehadiran pemimpinnya.</t>
  </si>
  <si>
    <t>Program eksekutif 3–5 hari: menetapkan standar berbasis pembanding eksternal, merancang sistem ukur yang tidak mudah dimanipulasi, membangun mekanisme yang menjaga standar tanpa kehadiran pemimpinnya, menetapkan konsekuensi yang dapat dijalankan, dan mengubah standar menjadi kebiasaan kerja.</t>
  </si>
  <si>
    <t>Sertifikat; 1 rancangan sistem penjagaan standar layanan pelanggan untuk satu fungsi.</t>
  </si>
  <si>
    <t>Lulus studi kasus dengan skor ≥85 (skala 0–100). Rancangan wajib memuat mekanisme yang berjalan TANPA peserta — pemilik standar selain peserta, irama peninjauan, dan konsekuensi — dinilai direksi ≥4 (skala 1–5).</t>
  </si>
  <si>
    <t>Kursus Online "Benchmarking &amp; Setting the Bar"</t>
  </si>
  <si>
    <t>Menetapkan standar berdasarkan pembanding yang tepat, bukan berdasarkan kinerja sendiri sebelumnya.</t>
  </si>
  <si>
    <t>Selesaikan kursus online: memilih pembanding yang tepat, membaca standar industri dan ekspektasi pelanggan, menetapkan target yang menantang tetapi tidak merusak, serta mengenali kapan standar yang terlalu tinggi justru menurunkan kinerja atau mendorong manipulasi angka.</t>
  </si>
  <si>
    <t>Sertifikat; 1 studi pembanding untuk 3 standar layanan pelanggan utama organisasi.</t>
  </si>
  <si>
    <t>Ketiga standar dibandingkan dengan pembanding DI LUAR organisasi. Minimal 2 dinaikkan berdasarkan hasil pembandingan itu dan disetujui direksi, dengan selisih kenaikan yang terukur.</t>
  </si>
  <si>
    <t>Immersion pada Organisasi dengan Standar Layanan Lebih Tinggi</t>
  </si>
  <si>
    <t>Menggeser acuan tentang apa yang dianggap "sudah cukup baik".</t>
  </si>
  <si>
    <t>Kunjungi atau ikuti 1 organisasi yang standar layanan pelanggannya diakui lebih tinggi daripada organisasi peserta. Fokus pengamatan BUKAN pada program atau teknologinya, melainkan pada tiga hal: standar apa yang mereka anggap normal, bagaimana standar itu tetap terjaga ketika pemimpinnya tidak ada, dan apa konsekuensinya bila tidak terpenuhi.</t>
  </si>
  <si>
    <t>Laporan immersion; 3 standar yang akan diadopsi beserta mekanisme penjagaannya.</t>
  </si>
  <si>
    <t>Minimal 2 standar hasil immersion diadopsi dan berjalan minimal 3 bulan DENGAN mekanisme penjagaan yang sudah terpasang — bukan sekadar diumumkan.</t>
  </si>
  <si>
    <t>"Standard Review" — Forum Peer Setingkat dan Mentor Senior</t>
  </si>
  <si>
    <t>Menguji apakah kenaikan standar nyata atau hanya perubahan cara mengukurnya.</t>
  </si>
  <si>
    <t>Bentuk forum berisi 3–4 peer setingkat ditambah 1 mentor senior. Setiap 2 bulan, satu peserta memaparkan 1 standar yang ia naikkan: seberapa tinggi, atas dasar pembanding apa, dan apakah masih berjalan sampai hari pemaparan. Peserta lain bertugas menantang satu hal secara khusus — apakah kenaikannya nyata, atau hanya akibat definisi dan cara pengukuran yang diubah.</t>
  </si>
  <si>
    <t>6 sesi (minimal 2 sesi sebagai pemapar); catatan tantangan atas keabsahan kenaikan standar.</t>
  </si>
  <si>
    <t>Minimal 5 dari 6 sesi terlaksana. Pada 2 pemaparan sendiri, peserta menyajikan bukti standar masih berjalan pada bulan-bulan SETELAH ditetapkan, bukan hanya pada saat ditetapkan. Milestone bulan ke-6: 3 sesi, minimal 1 sebagai pemapar.</t>
  </si>
  <si>
    <t>Shadowing Direksi saat Menolak Hasil yang "Sudah Cukup Baik"</t>
  </si>
  <si>
    <t>Mempelajari dasar yang dipakai pemimpin puncak untuk menolak hasil yang sudah memenuhi standar berlaku.</t>
  </si>
  <si>
    <t>Minta izin mengamati 3 forum di mana direksi menolak sesuatu yang sebenarnya SUDAH memenuhi standar yang berlaku. Catat empat hal: atas dasar apa ia menolak, standar apa yang ia pakai sebagai acuan pembanding, bagaimana ia menyampaikannya tanpa mematahkan semangat, dan apa yang terjadi pada pekerjaan itu sesudahnya.</t>
  </si>
  <si>
    <t>Minimal 3 pola hasil observasi diterapkan pada forum yang peserta pimpin sendiri, dan divalidasi direksi dengan skor ≥4 (skala 1–5).</t>
  </si>
  <si>
    <t>Umpan Balik 360° "Standar dan Keberlanjutannya"</t>
  </si>
  <si>
    <t>Mengukur apakah standar yang ditetapkan terasa lebih tinggi dan tetap berjalan tanpa pengawasan.</t>
  </si>
  <si>
    <t>Kuesioner pre (bulan 1) dan post (bulan 11) kepada minimal 10 responden: tim langsung, rekan setingkat, direksi, dan minimal 2 pelanggan. Butir khusus RA12: "Standar yang ia tetapkan lebih tinggi daripada yang biasa berlaku di sini"; "Standar itu tetap dijalankan meskipun ia tidak mengawasi"; "Ia menerapkan standar yang sama kepada dirinya sendiri"; "Ia tidak menurunkan standar ketika sedang terdesak waktu atau biaya"; "Saya tahu apa yang terjadi bila standar itu tidak dipenuhi".</t>
  </si>
  <si>
    <t>2 laporan (pre dan post); analisis kenaikan per butir dan per kelompok responden. Termasuk pengumpulan dan pengolahan data oleh HC.</t>
  </si>
  <si>
    <t>Kenaikan rata-rata ≥1 poin (skala 1–5). Butir "tetap dijalankan meskipun ia tidak mengawasi" dan "menerapkan standar yang sama kepada dirinya sendiri" WAJIB mencapai ≥4 (skala 1–5). Keduanya adalah inti RA12 dan tidak dapat digantikan oleh butir lain yang tinggi.</t>
  </si>
  <si>
    <t>Menaikkan 3 Standar Layanan Pelanggan dan Menjaganya 6 Bulan</t>
  </si>
  <si>
    <t>Membuktikan standar yang lebih tinggi benar-benar ditetapkan dan bertahan.</t>
  </si>
  <si>
    <t>Pilih 3 standar layanan pelanggan yang berlaku di fungsi peserta. Naikkan masing-masing berdasarkan pembanding di luar organisasi. Untuk setiap standar, pasang mekanisme penjagaan: siapa yang memeriksa, seberapa sering, dan apa konsekuensinya bila tidak terpenuhi. Jalankan minimal 6 bulan dan catat pencapaiannya setiap bulan.</t>
  </si>
  <si>
    <t>3 standar baru dengan selisih kenaikan terukur; mekanisme penjagaan untuk masing-masing; grafik pencapaian bulanan selama minimal 6 bulan. Termasuk review pada bulan ke-6, ke-9, dan ke-12 oleh Direksi.</t>
  </si>
  <si>
    <t>Ketiga standar naik dengan selisih terukur terhadap standar lama. Minimal 2 tetap terpenuhi selama 6 bulan berturut-turut. Penjagaan berjalan tanpa peserta harus mengingatkan — dikonfirmasi oleh pemilik standar. Milestone bulan ke-6: 3 standar ditetapkan dan 3 bulan pertama tercatat.</t>
  </si>
  <si>
    <t>Melembagakan 1 Standar ke dalam Tata Kelola Organisasi</t>
  </si>
  <si>
    <t>Memastikan satu standar berjalan sebagai bagian tata kelola, bukan karena dorongan peserta.</t>
  </si>
  <si>
    <t>Pilih 1 standar layanan pelanggan yang paling berdampak. Lembagakan: masukkan ke dalam ukuran kinerja resmi, tetapkan PEMILIK STANDAR selain peserta, tetapkan irama peninjauannya, dan tetapkan konsekuensinya. Lalu uji dengan cara yang paling menentukan — pastikan standar itu tetap berjalan pada satu periode peninjauan penuh di mana peserta TIDAK terlibat sama sekali.</t>
  </si>
  <si>
    <t>Dokumen tata kelola standar; bukti masuknya ke ukuran kinerja resmi; berita acara satu siklus peninjauan yang berjalan tanpa peserta.</t>
  </si>
  <si>
    <t>Standar masuk ke ukuran kinerja resmi dengan pemilik selain peserta. Berjalan minimal 1 siklus peninjauan penuh TANPA keterlibatan peserta, dikonfirmasi direksi dan pemilik standar. Standar yang hanya berjalan ketika peserta hadir tidak memenuhi aktivitas ini.</t>
  </si>
  <si>
    <t>Direksi dan Pemilik Standar</t>
  </si>
  <si>
    <t>Mempertahankan Standar pada 1 Situasi yang Menuntut Kompromi</t>
  </si>
  <si>
    <t>Menguji apakah standar yang ditetapkan bertahan ketika memenuhinya menjadi mahal atau tidak nyaman.</t>
  </si>
  <si>
    <t>Pilih 1 situasi nyata di mana memenuhi standar layanan pelanggan menjadi mahal atau tidak nyaman — tenggat mepet, biaya membengkak, tekanan dari pelanggan besar, atau target lain yang terancam. Pertahankan standarnya. Dokumentasikan: tekanan apa yang muncul, pilihan apa yang tersedia, apa yang peserta korbankan, dan bagaimana standar tetap dipenuhi.</t>
  </si>
  <si>
    <t>Dokumentasi situasi; catatan pilihan yang tersedia dan yang diambil; bukti standar terpenuhi; umpan balik direksi dan pelanggan.</t>
  </si>
  <si>
    <t>Standar dipertahankan. ATAU, bila diturunkan, penurunan itu diputuskan secara TERBUKA bersama direksi dengan jangka waktu dan rencana pemulihan yang jelas — bukan dilonggarkan diam-diam atau dibiarkan luruh. Direksi menilai ≥4 (skala 1–5). Standar yang turun tanpa keputusan terbuka menggugurkan aktivitas ini.</t>
  </si>
  <si>
    <t>Log "Sistem/Tools Baru yang Dikuasai Peserta"</t>
  </si>
  <si>
    <t>Mengukur kecepatan dan kemandirian menguasai sistem/prosedur/tools baru.</t>
  </si>
  <si>
    <t>Setiap kali organisasi menerapkan sistem, prosedur, atau tools baru yang harus peserta pakai, catat: tanggal diperkenalkan, berapa hari sampai peserta bisa memakainya secara efektif TANPA bantuan orang lain, dan bantuan apa yang masih diperlukan bila ada.</t>
  </si>
  <si>
    <t>Log minimal 8 sistem/prosedur/tools baru sepanjang program; rekap waktu penguasaan. Termasuk review setiap kali muncul oleh Mentor.</t>
  </si>
  <si>
    <t>Minimal 8 sistem/tools baru tercatat. Waktu penguasaan mandiri turun ≥20% dari sistem pertama ke sistem-sistem berikutnya. Milestone bulan ke-6: 4 sistem tercatat.</t>
  </si>
  <si>
    <t>Latihan "Belajar Mandiri Sebelum Bertanya"</t>
  </si>
  <si>
    <t>Membiasakan mencoba menguasai sendiri sebelum meminta bantuan.</t>
  </si>
  <si>
    <t>Setiap kali menghadapi fitur atau prosedur baru dari sebuah sistem, coba pahami sendiri (dokumentasi, eksplorasi, uji coba) selama minimal 15 menit SEBELUM bertanya kepada orang lain. Catat berapa sering berhasil menemukan sendiri.</t>
  </si>
  <si>
    <t>Log minimal 20 kesempatan.</t>
  </si>
  <si>
    <t>Minimal 20 kesempatan tercatat. Proporsi yang berhasil dipahami mandiri tanpa bertanya naik ≥20% dari baseline.</t>
  </si>
  <si>
    <t>Membuat Panduan Singkat Setiap Kali Menguasai Sistem Baru</t>
  </si>
  <si>
    <t>Menguji penguasaan dengan cara mengajarkannya, sekaligus menyiapkan bahan berbagi.</t>
  </si>
  <si>
    <t>Setiap kali menguasai sistem/prosedur/tools baru yang dicatat peserta dalam aktivitas ini, buat panduan singkat 1 halaman (langkah-langkah, tips, kesalahan umum) sebagai bahan berbagi kepada rekan.</t>
  </si>
  <si>
    <t>Minimal 6 panduan singkat.</t>
  </si>
  <si>
    <t>Minimal 6 panduan dibuat. Setiap panduan diverifikasi mentor dengan skor ≥4 (skala 1–5) pada akurasi dan kemudahan diikuti orang yang belum tahu sistem itu.</t>
  </si>
  <si>
    <t>Workshop "Belajar Cepat Sistem dan Tools Baru"</t>
  </si>
  <si>
    <t>Menguasai teknik belajar mandiri yang efisien untuk sistem baru.</t>
  </si>
  <si>
    <t>Ikuti pelatihan tentang teknik belajar cepat: membaca dokumentasi secara efektif, eksplorasi terstruktur, dan menguji coba fitur secara sistematis.</t>
  </si>
  <si>
    <t>Sertifikat; 1 sistem baru yang dikuasai menggunakan teknik dari pelatihan.</t>
  </si>
  <si>
    <t>Sistem baru yang dipilih dikuasai dengan waktu penguasaan turun ≥20% dibanding baseline peserta, dikonfirmasi mentor.</t>
  </si>
  <si>
    <t>Fasilitator dan Mentor</t>
  </si>
  <si>
    <t>Micro-learning "On-the-Job Training (OJT) Techniques"</t>
  </si>
  <si>
    <t>Mempelajari cara mengajarkan sistem/prosedur yang baru dikuasai kepada rekan kerja.</t>
  </si>
  <si>
    <t>Selesaikan modul tentang teknik OJT seperti "tell-show-do-review", khusus untuk mengajarkan sistem atau prosedur baru.</t>
  </si>
  <si>
    <t>Sertifikat; panduan singkat "cara mengajarkan sistem baru ke rekan kerja".</t>
  </si>
  <si>
    <t>Panduan mendapat skor ≥4 (skala 1–5) dari atasan pada aspek kejelasan dan kemudahan digunakan untuk mengajarkan sistem/prosedur baru.</t>
  </si>
  <si>
    <t>Kursus Online "Giving and Receiving Feedback"</t>
  </si>
  <si>
    <t>Menerima koreksi secara terbuka saat proses belajar sistem baru.</t>
  </si>
  <si>
    <t>Selesaikan kursus tentang menerima umpan balik secara konstruktif, diterapkan khusus pada momen belajar sistem baru dari rekan atau atasan.</t>
  </si>
  <si>
    <t>Sertifikat; laporan penerapan pada 2 momen belajar sistem baru.</t>
  </si>
  <si>
    <t>2 momen belajar didokumentasikan menunjukkan penerimaan koreksi yang terbuka, divalidasi atasan dengan skor ≥4 (skala 1–5).</t>
  </si>
  <si>
    <t>Program 'Peer Learning Buddy' untuk Sistem/Tools Baru</t>
  </si>
  <si>
    <t>Mempraktikkan peran mengajar dan belajar sistem baru secara bergiliran.</t>
  </si>
  <si>
    <t>Berpasangan dengan 1 rekan setingkat. Setiap kali salah satu dari peserta menguasai sistem/prosedur baru lebih dulu, ajarkan kepada yang lain, dan sebaliknya.</t>
  </si>
  <si>
    <t>Minimal 6 sesi saling mengajarkan sistem/tools baru.</t>
  </si>
  <si>
    <t>Minimal 6 sesi terlaksana. Pasangan memberi skor manfaat ≥4 (skala 1–5) pada setiap sesi mengajarkan sistem baru.</t>
  </si>
  <si>
    <t>Rekan Pasangan</t>
  </si>
  <si>
    <t>Observasi 'Shadowing Rekan yang Cepat Menguasai Sistem Baru'</t>
  </si>
  <si>
    <t>Mempelajari cara rekan yang cepat menguasai sistem/tools baru.</t>
  </si>
  <si>
    <t>Amati 1 rekan yang dikenal cepat menguasai sistem/prosedur baru. Catat teknik yang mereka pakai — cara membaca dokumentasi, cara eksplorasi, cara memvalidasi pemahaman sendiri.</t>
  </si>
  <si>
    <t>1 laporan observasi; daftar 5 teknik.</t>
  </si>
  <si>
    <t>Minimal 3 teknik diadopsi dan diterapkan pada sistem baru berikutnya, tercatat pada log penguasaan sistem/tools baru peserta.</t>
  </si>
  <si>
    <t>Rekan yang Diobservasi</t>
  </si>
  <si>
    <t>Umpan Balik 360° tentang "Kecepatan Menguasai dan Berbagi Sistem Baru"</t>
  </si>
  <si>
    <t>Mengukur persepsi rekan atas kecepatan penguasaan dan kesediaan berbagi.</t>
  </si>
  <si>
    <t>Kuesioner pre (bulan 1) dan post (bulan 11) kepada 4 rekan kerja. Butir CA1: "Ia cepat menguasai sistem atau tools baru"; "Ia belajar sistem baru secara mandiri tanpa terus bertanya"; "Ia menularkan penguasaan sistem baru itu kepada rekan lain".</t>
  </si>
  <si>
    <t>Kenaikan rata-rata ≥1 poin (skala 1–5). Butir "belajar mandiri tanpa terus bertanya" WAJIB naik ≥1 poin (skala 1–5).</t>
  </si>
  <si>
    <t>Menguasai dan Mengajarkan 4 Sistem/Prosedur Baru kepada Tim</t>
  </si>
  <si>
    <t>Membuktikan penguasaan cepat-mandiri pada volume yang cukup, sekaligus menularkannya.</t>
  </si>
  <si>
    <t>Sepanjang program, pilih 4 sistem/prosedur/tools baru yang paling relevan. Kuasai secara mandiri dalam waktu secepat mungkin, lalu ajarkan kepada minimal 2 rekan untuk masing-masing.</t>
  </si>
  <si>
    <t>4 dokumentasi penguasaan dan pengajaran. Termasuk review Bulan ke-6 oleh Atasan.</t>
  </si>
  <si>
    <t>4 sistem dikuasai dan diajarkan. Waktu penguasaan turun ≥20% dari sistem pertama ke sistem terakhir. Minimal 6 rekan mengonfirmasi berhasil belajar dari pengajaran peserta dengan skor ≥4 (skala 1–5). Milestone bulan ke-6: 2 sistem.</t>
  </si>
  <si>
    <t>Menjadi Rujukan Tim untuk 1 Sistem/Tools yang Baru Diterapkan</t>
  </si>
  <si>
    <t>Menguji apakah penguasaan cepat-mandiri membuat peserta menjadi rujukan bagi tim.</t>
  </si>
  <si>
    <t>Pada 1 sistem/tools baru yang diterapkan organisasi, kuasai lebih dulu dan lebih cepat dari sebagian besar rekan. Jadilah rujukan yang dicari tim ketika mereka kesulitan.</t>
  </si>
  <si>
    <t>Dokumentasi menjadi rujukan; log pertanyaan yang dijawab.</t>
  </si>
  <si>
    <t>Minimal 4 anggota tim mengonfirmasi mendatangi peserta sebagai rujukan pertama untuk sistem itu, bukan atasan atau dokumentasi resmi.</t>
  </si>
  <si>
    <t>Membuat 1 Panduan Sistem Baru yang Dipakai Tim Secara Luas</t>
  </si>
  <si>
    <t>Menguji apakah panduan yang dibuat benar-benar dipakai, bukan hanya dibuat.</t>
  </si>
  <si>
    <t>Berdasarkan panduan singkat yang telah dibuat peserta dalam aktivitas ini, pilih 1 yang paling kompleks. Sempurnakan dan distribusikan ke seluruh tim/unit sebagai rujukan resmi.</t>
  </si>
  <si>
    <t>1 panduan final; bukti pemakaian oleh tim.</t>
  </si>
  <si>
    <t>Panduan dipakai minimal 5 anggota tim dan disetujui atasan dengan skor ≥4 (skala 1–5) sebagai rujukan resmi untuk sistem itu.</t>
  </si>
  <si>
    <t>Log "Yang Peserta Pelajari tentang Orang Ini, Bukan Tugasnya"</t>
  </si>
  <si>
    <t>Melatih menggali hal tentang orang yang tidak diperlukan untuk menyelesaikan tugas.</t>
  </si>
  <si>
    <t>Setiap minggu, pilih 1 rekan kerja. Dalam percakapan santai, gali 1 hal tentang motivasi, kekhawatiran, atau pengalaman mereka yang TIDAK terkait langsung dengan tugas yang sedang dikerjakan. Catat apa yang peserta pelajari.</t>
  </si>
  <si>
    <t>Log minimal 20 percakapan sepanjang program. Termasuk review rekap triwulanan oleh Mentor.</t>
  </si>
  <si>
    <t>Minimal 20 percakapan tercatat. Setiap entri menunjukkan hal yang digali MELAMPAUI kebutuhan tugas, bukan sekadar basa-basi. Milestone bulan ke-6: 10 percakapan.</t>
  </si>
  <si>
    <t>Latihan "Bertanya Mengapa, Bukan Hanya Apa"</t>
  </si>
  <si>
    <t>Melatih pertanyaan yang menggali alasan dan motivasi, bukan hanya fakta permukaan.</t>
  </si>
  <si>
    <t>Setiap kali berinteraksi dengan rekan tentang pekerjaan mereka, ajukan minimal 1 pertanyaan "mengapa" yang menggali motivasi di balik pilihan atau minat mereka — bukan hanya "apa" yang sedang mereka kerjakan.</t>
  </si>
  <si>
    <t>Log 15 pertanyaan "mengapa" dan jawabannya.</t>
  </si>
  <si>
    <t>Minimal 15 pertanyaan tercatat. Minimal 10 mengungkap motivasi yang sebelumnya tidak diketahui peserta.</t>
  </si>
  <si>
    <t>Refleksi "Kesimpulan Cepat yang Dibuat Peserta tentang Orang"</t>
  </si>
  <si>
    <t>Menemukan pola membuat kesimpulan cepat tentang orang tanpa menggali lebih dalam.</t>
  </si>
  <si>
    <t>Setiap bulan, ambil 1 kesan awal peserta tentang seorang rekan yang ternyata keliru setelah mengenal mereka lebih baik. Telusuri apa yang membuat kesimpulan awal itu salah.</t>
  </si>
  <si>
    <t>Minimal 10 dari 12 refleksi selesai. Minimal 4 pola kesimpulan cepat yang keliru teridentifikasi.</t>
  </si>
  <si>
    <t>Workshop "Active Listening &amp; Deep Questioning"</t>
  </si>
  <si>
    <t>Menguasai teknik bertanya dan mendengarkan yang menggali motivasi dan kekhawatiran.</t>
  </si>
  <si>
    <t>Ikuti pelatihan tentang teknik bertanya terbuka yang menggali motivasi, bukan sekadar klarifikasi fakta tugas. Praktikkan pada 3 situasi nyata.</t>
  </si>
  <si>
    <t>Sertifikat; 3 dokumentasi praktik.</t>
  </si>
  <si>
    <t>Ketiga praktik menunjukkan pertanyaan yang menggali motivasi/kekhawatiran, dikonfirmasi lawan bicara sebagai pertanyaan yang tulus, bukan formalitas, dengan skor ≥4 (skala 1–5).</t>
  </si>
  <si>
    <t>Kursus Online "Understanding Employee Motivation"</t>
  </si>
  <si>
    <t>Memahami keragaman motivasi kerja seseorang di luar tugas yang tampak.</t>
  </si>
  <si>
    <t>Selesaikan kursus tentang teori motivasi kerja dan bagaimana motivasi seseorang mempengaruhi cara mereka bekerja, terlepas dari tugas spesifiknya.</t>
  </si>
  <si>
    <t>Sertifikat; analisis motivasi 3 rekan kerja.</t>
  </si>
  <si>
    <t>Analisis motivasi 3 rekan dikonfirmasi oleh rekan yang bersangkutan sebagai akurat, dengan skor ≥4 (skala 1–5).</t>
  </si>
  <si>
    <t>Micro-learning "Membedakan Bertanya untuk Tugas dari Bertanya karena Tulus Ingin Tahu"</t>
  </si>
  <si>
    <t>Mengenali perbedaan antara bertanya seperlunya dan bertanya karena tulus ingin tahu.</t>
  </si>
  <si>
    <t>Selesaikan modul yang membahas tanda-tanda pertanyaan formalitas versus pertanyaan yang benar-benar tulus ingin tahu, dan dampaknya pada kedalaman hubungan.</t>
  </si>
  <si>
    <t>Sertifikat; analisis diri: apakah pertanyaan pada log pertanyaan "mengapa" yang dicatat peserta dalam aktivitas ini lebih dekat formalitas atau ketulusan.</t>
  </si>
  <si>
    <t>Analisis diri dinilai mentor sebagai jujur, dengan skor ≥4 (skala 1–5), dan minimal 3 contoh perbaikan dari formalitas menjadi ketulusan.</t>
  </si>
  <si>
    <t>Sesi Mengenal Rekan di Luar Konteks Kerja</t>
  </si>
  <si>
    <t>Mempraktikkan penggalian pengalaman dan latar belakang personal secara langsung.</t>
  </si>
  <si>
    <t>Ajak 1 rekan kerja mengobrol santai (makan siang, coffee chat) tanpa agenda kerja. Fokus mengenal latar belakang, pengalaman, dan hal yang penting bagi mereka di luar pekerjaan.</t>
  </si>
  <si>
    <t>Minimal 6 sesi sepanjang program; catatan yang dipelajari.</t>
  </si>
  <si>
    <t>Minimal 6 sesi terlaksana dengan 6 rekan berbeda. Setiap rekan mengonfirmasi merasa dikenal secara personal, bukan hanya sebagai kolega tugas, dengan skor ≥4 (skala 1–5).</t>
  </si>
  <si>
    <t>Rekan Kerja</t>
  </si>
  <si>
    <t>Diskusi dengan Mentor tentang Membaca Kekhawatiran Tersembunyi</t>
  </si>
  <si>
    <t>Mempelajari cara senior menggali kekhawatiran yang tidak diucapkan secara terbuka.</t>
  </si>
  <si>
    <t>Diskusi dengan mentor tentang cara mengenali kekhawatiran seseorang yang tidak diucapkan secara terbuka, dan cara menggali tanpa membuat orang merasa diinterogasi.</t>
  </si>
  <si>
    <t>Catatan diskusi; teknik yang akan diadopsi.</t>
  </si>
  <si>
    <t>Minimal 3 teknik diadopsi dan diterapkan pada log percakapan personal yang dicatat peserta dalam aktivitas ini.</t>
  </si>
  <si>
    <t>Umpan Balik 360° "Ketertarikan Tulus pada Peserta sebagai Individu"</t>
  </si>
  <si>
    <t>Mengukur apakah rekan merasa dikenal secara personal, bukan hanya sebagai penyelesai tugas.</t>
  </si>
  <si>
    <t>Kuesioner pre (bulan 1) dan post (bulan 11) kepada minimal 5 rekan. Butir PA3: "Ia tertarik mengenal saya sebagai pribadi, bukan hanya soal tugas saya"; "Ia menggali alasan dan motivasi saya, bukan sekadar bertanya seperlunya"; "Saya merasa nyaman berbagi kekhawatiran dengannya".</t>
  </si>
  <si>
    <t>Kenaikan rata-rata ≥1 poin (skala 1–5). Butir "tertarik mengenal saya sebagai pribadi" WAJIB naik ≥1 poin (skala 1–5).</t>
  </si>
  <si>
    <t>Menggali Motivasi dan Kekhawatiran 6 Rekan Kerja Secara Mendalam</t>
  </si>
  <si>
    <t>Membuktikan penggalian yang tulus dan mendalam pada volume yang cukup.</t>
  </si>
  <si>
    <t>Sepanjang program, bangun pemahaman mendalam tentang motivasi, kekhawatiran, dan pengalaman personal dari 6 rekan kerja berbeda — melampaui apa yang diperlukan untuk tugas mereka.</t>
  </si>
  <si>
    <t>6 dokumentasi pemahaman personal per rekan. Termasuk review Bulan ke-6 oleh Atasan.</t>
  </si>
  <si>
    <t>6 rekan didokumentasikan. Minimal 5 mengonfirmasi peserta memahami motivasi/kekhawatiran mereka secara akurat dan tulus, bukan formalitas, dengan skor ≥4 (skala 1–5). Milestone bulan ke-6: 3 rekan.</t>
  </si>
  <si>
    <t>Menggunakan Pemahaman Personal untuk Membantu 1 Rekan Mengatasi Kekhawatiran</t>
  </si>
  <si>
    <t>Menguji apakah penggalian personal menghasilkan bantuan nyata.</t>
  </si>
  <si>
    <t>Berdasarkan kekhawatiran yang tergali dari 1 rekan (dokumentasi pemahaman personal yang disusun peserta dalam aktivitas ini), bantu mereka mengatasinya — bukan sekadar mendengarkan, tetapi mengambil tindakan konkret.</t>
  </si>
  <si>
    <t>1 dokumentasi kekhawatiran dan bantuan yang diberikan.</t>
  </si>
  <si>
    <t>Rekan mengonfirmasi kekhawatirannya berkurang atau teratasi karena bantuan peserta, skor ≥4 (skala 1–5).</t>
  </si>
  <si>
    <t>Membangun Kepercayaan Mendalam dengan 1 Rekan yang Awalnya Tertutup</t>
  </si>
  <si>
    <t>Menguji kemampuan membangun kepercayaan mendalam pada kasus yang sulit.</t>
  </si>
  <si>
    <t>Pilih 1 rekan yang awalnya tertutup atau jarang berbagi hal personal. Melalui interaksi yang konsisten dan tulus sepanjang program, bangun kepercayaan sampai mereka bersedia berbagi hal yang lebih mendalam.</t>
  </si>
  <si>
    <t>1 dokumentasi perjalanan membangun kepercayaan.</t>
  </si>
  <si>
    <t>Rekan mengonfirmasi merasa lebih terbuka dan percaya kepada peserta dibanding awal program, skor ≥4 (skala 1–5), dengan bukti perubahan pola berbagi dari waktu ke waktu.</t>
  </si>
  <si>
    <t>Peta Kekuatan-Kelemahan-Penyebab untuk Setiap Anggota Tim</t>
  </si>
  <si>
    <t>Membangun pemahaman individual yang sampai pada penyebab, bukan berhenti pada label.</t>
  </si>
  <si>
    <t>Untuk setiap anggota tim (minimal 5 orang), buat peta: kekuatan yang teramati, area yang perlu dikembangkan, dan PENYEBAB di balik kesenjangan itu — bukan sekadar label "lemah di X".</t>
  </si>
  <si>
    <t>5 peta individu; diperbarui setiap 2 bulan. Termasuk verifikasi kedalaman analisis oleh Mentor.</t>
  </si>
  <si>
    <t>5 peta dibuat dan diperbarui minimal 4 kali. Setiap pembaruan menyertakan penyebab spesifik, bukan label, diverifikasi mentor dengan skor ≥4 (skala 1–5). Milestone bulan ke-6: 5 peta awal selesai.</t>
  </si>
  <si>
    <t>Latihan "Menelusuri Mengapa" pada Kesenjangan Kinerja</t>
  </si>
  <si>
    <t>Melatih menelusuri sebab kesenjangan, bukan berhenti pada pengamatan permukaan.</t>
  </si>
  <si>
    <t>Setiap kali menemukan kesenjangan kinerja seorang anggota tim, tanyakan minimal 3 kali "mengapa" untuk menelusuri sebab sebenarnya — kurang keterampilan, kurang motivasi, kurang kesempatan, atau kondisi eksternal.</t>
  </si>
  <si>
    <t>Log minimal 15 kesenjangan yang ditelusuri sampai penyebab akar.</t>
  </si>
  <si>
    <t>Minimal 15 kesenjangan ditelusuri. Minimal 10 mencapai penyebab akar yang berbeda dari asumsi awal peserta.</t>
  </si>
  <si>
    <t>Refleksi "Kapan Peserta Berhenti di Label"</t>
  </si>
  <si>
    <t>Menemukan pola menilai seseorang hanya dari label tanpa menelusuri sebab.</t>
  </si>
  <si>
    <t>Setiap bulan, ambil 1 kasus di mana peserta menyimpulkan seseorang "kuat" atau "lemah" tanpa menelusuri sebabnya. Telusuri sekarang, dan catat apa yang berubah dari kesimpulan awal.</t>
  </si>
  <si>
    <t>Minimal 10 dari 12 refleksi selesai. Minimal 5 menunjukkan kesimpulan awal berubah menjadi kesimpulan berbeda setelah penyebab ditelusuri.</t>
  </si>
  <si>
    <t>Workshop "Membaca Potensi dan Penyebab Kesenjangan Kemampuan"</t>
  </si>
  <si>
    <t>Menguasai teknik mendiagnosis penyebab kesenjangan kemampuan secara sistematis.</t>
  </si>
  <si>
    <t>Ikuti workshop tentang kerangka mendiagnosis kesenjangan kemampuan (skill vs will vs kesempatan vs sistem), dan teknik memetakan potensi berdasarkan bukti, bukan kesan.</t>
  </si>
  <si>
    <t>1 kerangka diagnosis yang dipakai pada peta individu yang disusun peserta dalam aktivitas ini.</t>
  </si>
  <si>
    <t>Kerangka disetujui atasan dan dipakai pada minimal 5 peta individu.</t>
  </si>
  <si>
    <t>Kursus Online "Talent Assessment &amp; Placement"</t>
  </si>
  <si>
    <t>Menguasai cara mencocokkan potensi seseorang dengan peran atau tugas yang tepat.</t>
  </si>
  <si>
    <t>Selesaikan kursus tentang talent assessment dan penempatan berbasis potensi, bukan sekadar ketersediaan.</t>
  </si>
  <si>
    <t>1 analisis kecocokan potensi-peran untuk 3 anggota tim.</t>
  </si>
  <si>
    <t>Analisis dikonfirmasi atasan sebagai akurat, dan minimal 1 dari 3 rekomendasi penempatan diterapkan.</t>
  </si>
  <si>
    <t>Micro-learning "Strengths-Based Development yang Berbasis Bukti"</t>
  </si>
  <si>
    <t>Mengidentifikasi kekuatan berbasis bukti konkret, bukan kesan umum.</t>
  </si>
  <si>
    <t>Selesaikan modul tentang mengidentifikasi kekuatan yang didukung bukti hasil kerja nyata, bukan generalisasi.</t>
  </si>
  <si>
    <t>Daftar kekuatan 3 anggota tim dengan bukti konkret masing-masing.</t>
  </si>
  <si>
    <t>Setiap kekuatan yang diidentifikasi disertai bukti hasil kerja konkret, divalidasi anggota tim yang bersangkutan dengan skor ≥4 (skala 1–5).</t>
  </si>
  <si>
    <t>Mentor dan Anggota Tim</t>
  </si>
  <si>
    <t>'Talent Review Circle' — Forum Peer Setingkat dan Mentor Senior</t>
  </si>
  <si>
    <t>Menguji apakah pembacaan potensi anggota tim akurat atau bias.</t>
  </si>
  <si>
    <t>Bentuk forum 3–4 peer setingkat ditambah 1 mentor senior. Setiap bulan, satu peserta memaparkan 1 peta kekuatan-kelemahan-penyebab yang telah disusunnya dalam aktivitas ini.</t>
  </si>
  <si>
    <t>Minimal 5 dari 6 sesi terlaksana. Minimal 1 pembacaan terkoreksi karena bias yang ditemukan forum. Milestone bulan ke-6: 3 sesi.</t>
  </si>
  <si>
    <t>Diskusi dengan Anggota Tim tentang Persepsi Potensi Diri Mereka</t>
  </si>
  <si>
    <t>Menguji apakah pembacaan potensi sesuai dengan persepsi anggota tim sendiri.</t>
  </si>
  <si>
    <t>Diskusikan peta kekuatan-kelemahan-penyebab yang telah disusun peserta dengan masing-masing anggota tim. Minta mereka mengonfirmasi atau mengoreksi.</t>
  </si>
  <si>
    <t>5 catatan diskusi konfirmasi.</t>
  </si>
  <si>
    <t>5 diskusi terlaksana. Minimal 4 anggota tim mengonfirmasi pembacaan peserta akurat dengan skor ≥4 (skala 1–5), atau koreksi diterima dan peta diperbarui.</t>
  </si>
  <si>
    <t>Umpan Balik 360° "Akurasi Membaca Potensi"</t>
  </si>
  <si>
    <t>Mengukur persepsi tim atas akurasi pembacaan potensi peserta.</t>
  </si>
  <si>
    <t>Kuesioner pre (bulan 1) dan post (bulan 11) kepada minimal 6 responden. Butir PA7: "Ia memahami kekuatan dan area pengembangan saya secara akurat"; "Ia menelusuri sebab ketika saya kesulitan, bukan hanya menilai hasil"; "Ia menempatkan saya pada tugas yang sesuai potensi saya".</t>
  </si>
  <si>
    <t>Kenaikan rata-rata ≥1 poin (skala 1–5). Butir "menelusuri sebab ketika saya kesulitan" WAJIB naik ≥1 poin (skala 1–5).</t>
  </si>
  <si>
    <t>Menelusuri Penyebab Kesenjangan dan Menyesuaikan Cara Kerja untuk 5 Anggota Tim</t>
  </si>
  <si>
    <t>Membuktikan pembacaan potensi yang sampai pada penyebab dan menghasilkan penyesuaian nyata.</t>
  </si>
  <si>
    <t>Untuk 5 anggota tim, telusuri penyebab kesenjangan kemampuan mereka dan sesuaikan cara peserta bekerja dengan mereka berdasarkan penyebab itu — bukan pendekatan yang sama untuk semua.</t>
  </si>
  <si>
    <t>5 dokumentasi penyebab dan penyesuaian cara kerja. Termasuk review Bulan ke-6 oleh Atasan.</t>
  </si>
  <si>
    <t>5 anggota tim ditangani. Minimal 4 penyesuaian cara kerja dikonfirmasi anggota tim sebagai benar-benar berbeda dan lebih sesuai kebutuhan mereka, dengan skor ≥4 (skala 1–5). Milestone bulan ke-6: 3 anggota.</t>
  </si>
  <si>
    <t>Menempatkan 2 Anggota Tim pada Tugas yang Lebih Sesuai Potensinya</t>
  </si>
  <si>
    <t>Membuktikan pemahaman potensi dipakai untuk menempatkan orang pada peran yang tepat.</t>
  </si>
  <si>
    <t>Berdasarkan peta potensi yang sudah dikalibrasi, usulkan dan jalankan penempatan 2 anggota tim pada tugas atau peran yang lebih sesuai dengan potensi mereka, berbeda dari penugasan sebelumnya.</t>
  </si>
  <si>
    <t>2 dokumentasi usulan penempatan dan hasilnya.</t>
  </si>
  <si>
    <t>Kedua penempatan disetujui atasan. Minimal 1 menunjukkan peningkatan kinerja naik ≥20% dari baseline dibanding penugasan sebelumnya.</t>
  </si>
  <si>
    <t>Memberikan Alternatif Pengembangan Berbasis Penyebab kepada 3 Anggota Tim</t>
  </si>
  <si>
    <t>Menguji apakah rekomendasi pengembangan benar-benar disesuaikan dengan penyebab spesifik masing-masing, bukan generik.</t>
  </si>
  <si>
    <t>Untuk 3 anggota tim dengan kesenjangan yang penyebabnya berbeda (skill, will, kesempatan), berikan alternatif pengembangan yang secara spesifik menyasar penyebab masing-masing.</t>
  </si>
  <si>
    <t>3 dokumentasi alternatif pengembangan berbasis penyebab.</t>
  </si>
  <si>
    <t>Ketiga alternatif pengembangan berbeda satu sama lain sesuai penyebabnya masing-masing, dikonfirmasi atasan sebagai tepat sasaran dengan skor ≥4 (skala 1–5), bukan rekomendasi generik yang sama untuk semua.</t>
  </si>
  <si>
    <t>Anggota Tim dan Atasan</t>
  </si>
  <si>
    <t>Log "Masukan Korektif yang Disampaikan Peserta"</t>
  </si>
  <si>
    <t>Mengukur keberanian dan cara menyampaikan pada momen yang sama.</t>
  </si>
  <si>
    <t>Setiap kali menyampaikan masukan korektif kepada anggota tim, catat: apa yang disampaikan, seberapa cepat setelah masalah muncul (keberanian/ketepatan waktu), dan bagaimana peserta menjaga harga diri penerima sambil menyampaikan (kepekaan).</t>
  </si>
  <si>
    <t>Log minimal 24 kejadian; rekap triwulanan. Termasuk review rekap triwulanan oleh Mentor.</t>
  </si>
  <si>
    <t>Minimal 24 kejadian tercatat. Proporsi yang disampaikan dalam 48 jam sejak masalah teridentifikasi naik menjadi ≥70% pada triwulan 4. Milestone bulan ke-6: 12 kejadian.</t>
  </si>
  <si>
    <t>Latihan "Masalah yang Peserta Tunda Sampaikan"</t>
  </si>
  <si>
    <t>Menemukan pola menunda masukan korektif sampai mendesak.</t>
  </si>
  <si>
    <t>Setiap bulan, ambil 1 masalah kinerja yang peserta tunda sampaikan kepada anggota tim lebih lama dari seharusnya. Telusuri apa yang membuat peserta menunda, dan sampaikan sekarang.</t>
  </si>
  <si>
    <t>12 refleksi bulanan dengan tindakan penyampaian yang tertunda.</t>
  </si>
  <si>
    <t>Minimal 10 dari 12 refleksi selesai DENGAN masukan yang akhirnya disampaikan. Minimal 3 pola penundaan teridentifikasi dan turun ≥50% pada triwulan berikutnya.</t>
  </si>
  <si>
    <t>Menyusun Skrip "Menyampaikan tanpa Merendahkan"</t>
  </si>
  <si>
    <t>Menyiapkan format penyampaian yang menjaga harga diri sekaligus tetap jelas.</t>
  </si>
  <si>
    <t>Susun format pribadi untuk menyampaikan masukan korektif: mengakui hal spesifik yang perlu diperbaiki, tanpa menyerang karakter, disertai saran konkret perbaikan. Terapkan pada setiap kejadian yang dicatat peserta dalam log masukan korektif aktivitas ini.</t>
  </si>
  <si>
    <t>1 format pribadi; catatan penerapan pada minimal 10 kejadian.</t>
  </si>
  <si>
    <t>Format diterapkan pada minimal 10 kejadian. Minimal 8 dikonfirmasi penerima sebagai tidak merendahkan meski isinya korektif, dengan skor ≥4 (skala 1–5).</t>
  </si>
  <si>
    <t>Workshop "Memberi Umpan Balik Korektif yang Menjaga Harga Diri"</t>
  </si>
  <si>
    <t>Menguasai teknik menyampaikan masukan korektif secara langsung tanpa merendahkan.</t>
  </si>
  <si>
    <t>Ikuti workshop tentang teknik menyampaikan masukan korektif secara spesifik dan langsung, sekaligus menjaga harga diri penerima — bukan sekadar teknik menyampaikan pesan yang enak didengar.</t>
  </si>
  <si>
    <t>Sertifikat; 1 rekaman/transkrip role-play penyampaian masukan korektif.</t>
  </si>
  <si>
    <t>Role-play dinilai fasilitator menunjukkan kedua fokus perilaku: masukan disampaikan jelas DAN harga diri penerima terjaga, skor ≥80 (skala 0–100).</t>
  </si>
  <si>
    <t>Kursus Online "Difficult Conversations at Work"</t>
  </si>
  <si>
    <t>Mengatasi kecenderungan menghindari percakapan sulit.</t>
  </si>
  <si>
    <t>Selesaikan kursus tentang mengatasi ketakutan menyampaikan masukan sulit, dan teknik memulai percakapan yang sering dihindari.</t>
  </si>
  <si>
    <t>Sertifikat; daftar 5 percakapan sulit yang selama ini dihindari, beserta rencana menyampaikannya.</t>
  </si>
  <si>
    <t>Minimal 3 dari 5 percakapan yang tertunda akhirnya disampaikan dan tercatat pada log masukan korektif yang dicatat peserta dalam aktivitas ini.</t>
  </si>
  <si>
    <t>Studi Kasus Umpan Balik yang Gagal karena Kurang Berani atau Kurang Peka</t>
  </si>
  <si>
    <t>Belajar dari kasus umpan balik yang gagal karena hanya memenuhi satu fokus perilaku.</t>
  </si>
  <si>
    <t>Pelajari minimal 2 studi kasus: 1 kasus umpan balik yang gagal karena terlalu lama ditunda (kurang berani), dan 1 kasus yang gagal karena disampaikan secara kasar (kurang peka).</t>
  </si>
  <si>
    <t>Analisis 2 studi kasus.</t>
  </si>
  <si>
    <t>Kedua kasus menunjukkan dengan jelas fokus perilaku mana yang hilang dan apa akibatnya, dinilai mentor ≥4 (skala 1–5).</t>
  </si>
  <si>
    <t>"Feedback Delivery Clinic" — Forum Peer Setingkat dan Mentor Senior</t>
  </si>
  <si>
    <t>Menguji apakah masukan yang disampaikan benar-benar memenuhi kedua fokus perilaku.</t>
  </si>
  <si>
    <t>Bentuk forum 3–4 peer setingkat ditambah 1 mentor senior. Setiap bulan, satu peserta memaparkan 1 masukan korektif yang baru atau akan disampaikan. Peserta lain menantang: apakah disampaikan cukup cepat, dan apakah caranya menjaga harga diri.</t>
  </si>
  <si>
    <t>8 sesi (minimal 2 sebagai pemapar).</t>
  </si>
  <si>
    <t>Minimal 6 dari 8 sesi terlaksana. Milestone bulan ke-6: 4 sesi.</t>
  </si>
  <si>
    <t>Shadowing Atasan saat Menyampaikan Masukan Korektif yang Sulit</t>
  </si>
  <si>
    <t>Mempelajari cara senior menyeimbangkan keberanian dan kepekaan.</t>
  </si>
  <si>
    <t>Amati 3 kesempatan atasan menyampaikan masukan korektif yang sulit. Catat bagaimana ia menyampaikan secara langsung sekaligus menjaga harga diri penerima.</t>
  </si>
  <si>
    <t>Minimal 3 teknik diterapkan pada log masukan korektif yang dicatat peserta dalam aktivitas ini. Divalidasi atasan ≥4 (skala 1–5).</t>
  </si>
  <si>
    <t>Umpan Balik 360° "Kualitas Umpan Balik Korektif yang Diberikan Peserta"</t>
  </si>
  <si>
    <t>Mengukur persepsi anggota tim atas keberanian dan kepekaan peserta dalam memberi umpan balik.</t>
  </si>
  <si>
    <t>Kuesioner pre (bulan 1) dan post (bulan 11) kepada minimal 6 anggota tim. Butir PA11: "Ia menyampaikan masukan korektif secara langsung, tidak dibiarkan sampai masalah membesar"; "Ia menyampaikan dengan cara yang tidak membuat saya merasa direndahkan"; "Umpan baliknya membuat saya ingin memperbaiki, bukan menolak".</t>
  </si>
  <si>
    <t>Kenaikan rata-rata ≥1 poin (skala 1–5). KEDUA butir keberanian dan kepekaan WAJIB naik ≥1 poin (skala 1–5) — tidak boleh hanya salah satu.</t>
  </si>
  <si>
    <t>Menyampaikan Masukan Korektif kepada 6 Anggota Tim yang Menghasilkan Perbaikan</t>
  </si>
  <si>
    <t>Membuktikan masukan korektif yang disampaikan benar-benar menghasilkan perbaikan, bukan penolakan.</t>
  </si>
  <si>
    <t>Sepanjang program, sampaikan masukan korektif kepada 6 anggota tim berbeda tentang kinerja mereka. Untuk masing-masing, verifikasi apakah masukan itu menghasilkan perbaikan nyata pada kinerja.</t>
  </si>
  <si>
    <t>6 dokumentasi masukan korektif dan hasil perbaikan. Termasuk review Bulan ke-6 oleh Atasan.</t>
  </si>
  <si>
    <t>6 masukan disampaikan. Minimal 5 menghasilkan perbaikan kinerja naik ≥20% dari baseline, bukan resistensi atau penolakan. Milestone bulan ke-6: 3 masukan.</t>
  </si>
  <si>
    <t>Menyampaikan 1 Masukan Korektif pada Kesalahan yang Berdampak Besar</t>
  </si>
  <si>
    <t>Menguji keberanian menyampaikan pada situasi yang paling sulit dihindari.</t>
  </si>
  <si>
    <t>Pilih 1 kesalahan anggota tim yang berdampak cukup besar — situasi yang secara alami paling sering dihindari atau ditunda. Sampaikan masukan korektif secara langsung dan tepat waktu, dengan cara yang menjaga harga diri.</t>
  </si>
  <si>
    <t>1 dokumentasi kasus berdampak besar.</t>
  </si>
  <si>
    <t>Masukan disampaikan dalam 48 jam sejak dampak besar diketahui. Anggota tim mengonfirmasi merasa dihargai meski menerima kritik keras, skor ≥4 (skala 1–5).</t>
  </si>
  <si>
    <t>Melembagakan Sesi Umpan Balik Rutin sehingga Menjadi Hal Biasa</t>
  </si>
  <si>
    <t>Menguji apakah umpan balik menjadi kebiasaan rutin, bukan peristiwa langka yang ditakuti.</t>
  </si>
  <si>
    <t>Bangun mekanisme umpan balik rutin di unit — sesi mingguan/bulanan yang terjadwal — sehingga anggota tim menerima masukan korektif secara teratur, bukan hanya saat masalah besar terjadi.</t>
  </si>
  <si>
    <t>Dokumen mekanisme; bukti pelaksanaan minimal 3 bulan.</t>
  </si>
  <si>
    <t>Mekanisme berjalan minimal 3 bulan. Tim mengonfirmasi umpan balik korektif sudah menjadi hal biasa, tidak lagi ditakuti, skor ≥4 (skala 1–5).</t>
  </si>
  <si>
    <t>Log "Tugas yang Peserta Delegasikan dan Alasannya"</t>
  </si>
  <si>
    <t>Mengukur dasar sebenarnya di balik keputusan mendelegasikan sebuah tugas.</t>
  </si>
  <si>
    <t>Setiap kali mendelegasikan tugas kepada anggota tim, catat: tugas apa, alasan sebenarnya (kemudahan bagi diri sendiri, ketidakpentingan tugas itu, atau nilai pembelajaran bagi penerima), dan apakah tugas itu meregangkan kemampuan penerima.</t>
  </si>
  <si>
    <t>Log minimal 20 delegasi; rekap triwulanan proporsi berdasar nilai pembelajaran. Termasuk review rekap triwulanan oleh Mentor.</t>
  </si>
  <si>
    <t>Minimal 20 delegasi tercatat. Proporsi yang didasarkan pada nilai pembelajaran naik menjadi ≥50% pada triwulan 4. Milestone bulan ke-6: 10 delegasi.</t>
  </si>
  <si>
    <t>Latihan "Menahan Diri Mengerjakan Sendiri"</t>
  </si>
  <si>
    <t>Mengatasi kecenderungan mengerjakan sendiri karena lebih cepat dan lebih terjamin kualitasnya.</t>
  </si>
  <si>
    <t>Setiap kali tergoda mengerjakan sendiri sebuah tugas karena dianggap "lebih cepat jika dikerjakan sendiri", tahan diri dan delegasikan, meski tahu hasilnya mungkin tidak sesempurna bila dikerjakan sendiri. Catat prosesnya.</t>
  </si>
  <si>
    <t>Log minimal 15 momen menahan diri.</t>
  </si>
  <si>
    <t>Minimal 15 momen tercatat. Minimal 10 benar-benar didelegasikan meski tergoda mengerjakan sendiri.</t>
  </si>
  <si>
    <t>Menyusun Rencana Pendampingan untuk Setiap Delegasi Berisiko</t>
  </si>
  <si>
    <t>Menyiapkan pendampingan agar tugas yang meregangkan kemampuan tidak berujung gagal total.</t>
  </si>
  <si>
    <t>Untuk setiap delegasi yang meregangkan kemampuan penerima, susun rencana pendampingan: kapan check-in, sinyal apa yang menunjukkan penerima butuh bantuan, dan batas kesalahan yang dapat diterima.</t>
  </si>
  <si>
    <t>Minimal 8 rencana pendampingan.</t>
  </si>
  <si>
    <t>Minimal 8 rencana dibuat dan diterapkan. Minimal 6 delegasi berhasil diselesaikan penerima dengan pendampingan itu, meski tidak sempurna.</t>
  </si>
  <si>
    <t>Workshop "Delegating for Development, Bukan Sekadar Meringankan Beban"</t>
  </si>
  <si>
    <t>Menguasai kerangka memilih tugas delegasi berdasarkan nilai pembelajaran.</t>
  </si>
  <si>
    <t>Ikuti workshop tentang membedakan delegasi untuk efisiensi versus delegasi untuk pengembangan, cara memilih tugas yang meregangkan kemampuan tanpa membebani berlebihan, dan menyiapkan pendampingan yang tepat.</t>
  </si>
  <si>
    <t>1 kerangka pemilihan tugas delegasi yang dipakai pada log delegasi peserta dalam aktivitas ini.</t>
  </si>
  <si>
    <t>Kerangka disetujui atasan dan dipakai pada minimal 8 delegasi di log delegasi peserta dalam aktivitas ini.</t>
  </si>
  <si>
    <t>Kursus Online "Giving People Room to Fail Safely"</t>
  </si>
  <si>
    <t>Menguasai cara memberi ruang keliru tanpa membiarkan kegagalan merusak hasil kritis.</t>
  </si>
  <si>
    <t>Selesaikan kursus tentang menetapkan batas aman untuk kesalahan, membedakan kesalahan yang boleh terjadi dari yang berisiko fatal, dan cara merespons kesalahan sebagai pembelajaran.</t>
  </si>
  <si>
    <t>1 kerangka batas aman kesalahan untuk 3 jenis tugas yang sering didelegasikan.</t>
  </si>
  <si>
    <t>Kerangka disetujui atasan dan diterapkan pada minimal 3 delegasi nyata.</t>
  </si>
  <si>
    <t>Studi Kasus Pemimpin yang Terlalu Andal Sehingga Menghambat Timnya</t>
  </si>
  <si>
    <t>Belajar dari pola pemimpin yang sangat andal tetapi menghambat pertumbuhan tim karena tidak mendelegasikan.</t>
  </si>
  <si>
    <t>Pelajari minimal 2 studi kasus pemimpin yang penyelesaian tugasnya sangat tinggi tetapi timnya tidak berkembang karena semua pekerjaan penting dikerjakan sendiri.</t>
  </si>
  <si>
    <t>Analisis 2 studi kasus; refleksi diri apakah pola ini berlaku pada peserta.</t>
  </si>
  <si>
    <t>Refleksi diri jujur mengidentifikasi apakah pola ini berlaku, dikonfirmasi mentor berdasarkan data log momen menahan diri untuk tidak mengerjakan sendiri yang telah dicatat peserta.</t>
  </si>
  <si>
    <t>"Delegation Review Clinic" — Forum Peer Setingkat dan Mentor Senior</t>
  </si>
  <si>
    <t>Menguji apakah delegasi yang dipilih benar-benar berdasarkan nilai pembelajaran.</t>
  </si>
  <si>
    <t>Bentuk forum 3–4 peer setingkat ditambah 1 mentor senior. Setiap bulan, satu peserta membawa 1 keputusan delegasi. Peserta lain menantang: apakah dasarnya benar-benar nilai pembelajaran, atau sekadar kemudahan/ketidakpentingan.</t>
  </si>
  <si>
    <t>Diskusi dengan Anggota Tim tentang Tugas yang Ingin Mereka Pelajari</t>
  </si>
  <si>
    <t>Memastikan tugas yang didelegasikan benar-benar sesuai kebutuhan pengembangan penerima.</t>
  </si>
  <si>
    <t>Diskusikan dengan setiap anggota tim: keterampilan apa yang ingin mereka kembangkan, dan tugas seperti apa yang akan meregangkan kemampuan mereka secara tepat.</t>
  </si>
  <si>
    <t>Minimal 5 catatan diskusi.</t>
  </si>
  <si>
    <t>5 diskusi terlaksana. Minimal 4 delegasi berikutnya disesuaikan dengan hasil diskusi ini.</t>
  </si>
  <si>
    <t>Umpan Balik 360° "Delegasi sebagai Kesempatan Belajar"</t>
  </si>
  <si>
    <t>Mengukur persepsi anggota tim atas kualitas delegasi yang diterima.</t>
  </si>
  <si>
    <t>Kuesioner pre (bulan 1) dan post (bulan 11) kepada minimal 6 anggota tim. Butir PA13: "Tugas yang didelegasikan kepada saya membantu saya belajar, bukan hanya pekerjaan yang tidak penting"; "Saya mendapat pendampingan yang cukup saat mengerjakan tugas yang menantang"; "Saya boleh membuat kesalahan tanpa dihukum berlebihan".</t>
  </si>
  <si>
    <t>Kenaikan rata-rata ≥1 poin (skala 1–5). Butir "boleh membuat kesalahan tanpa dihukum berlebihan" WAJIB naik ≥1 poin (skala 1–5).</t>
  </si>
  <si>
    <t>Mendelegasikan 6 Tugas yang Meregangkan Kemampuan dengan Pendampingan Memadai</t>
  </si>
  <si>
    <t>Membuktikan pola delegasi untuk pertumbuhan secara konsisten.</t>
  </si>
  <si>
    <t>Sepanjang program, delegasikan 6 tugas kepada anggota tim berbeda, dipilih secara sengaja karena meregangkan kemampuan mereka. Sediakan pendampingan memadai untuk masing-masing.</t>
  </si>
  <si>
    <t>6 dokumentasi delegasi dengan alasan, pendampingan, dan hasil. Termasuk review Bulan ke-6 oleh Atasan.</t>
  </si>
  <si>
    <t>6 tugas didelegasikan. Minimal 5 dikonfirmasi anggota tim sebagai tugas yang meregangkan kemampuan mereka, bukan tugas remeh. Milestone bulan ke-6: 3 tugas.</t>
  </si>
  <si>
    <t>Memberi Ruang untuk Keliru pada 1 Delegasi Berisiko dan Merespons Kesalahannya sebagai Pembelajaran</t>
  </si>
  <si>
    <t>Menguji kesediaan membiarkan kesalahan terjadi dan meresponsnya secara konstruktif.</t>
  </si>
  <si>
    <t>Pilih 1 delegasi berisiko yang kemungkinan besar akan menghasilkan kesalahan karena tugasnya baru bagi penerima. Ketika kesalahan terjadi, respons sebagai pembelajaran, bukan hukuman.</t>
  </si>
  <si>
    <t>1 dokumentasi kasus: delegasi, kesalahan yang terjadi, respons, pembelajaran.</t>
  </si>
  <si>
    <t>Kesalahan terjadi dan direspons sebagai pembelajaran, dikonfirmasi penerima delegasi sebagai tidak dihukum berlebihan, skor ≥4 (skala 1–5). Penerima melanjutkan mencoba tugas serupa setelahnya.</t>
  </si>
  <si>
    <t>Penerima Delegasi dan Atasan</t>
  </si>
  <si>
    <t>Menunjukkan Pertumbuhan Nyata pada 3 Anggota Tim Melalui Delegasi Berkelanjutan</t>
  </si>
  <si>
    <t>Menguji apakah pola delegasi menghasilkan pertumbuhan kapasitas yang terukur.</t>
  </si>
  <si>
    <t>Untuk 3 anggota tim yang menerima delegasi bertahap sepanjang program, dokumentasikan perkembangan kapasitas mereka dari awal hingga akhir program.</t>
  </si>
  <si>
    <t>3 dokumentasi perkembangan kapasitas.</t>
  </si>
  <si>
    <t>Minimal 2 dari 3 anggota tim menunjukkan peningkatan kapasitas: mampu menangani minimal 1 tugas yang pada awal program belum mampu ditangani sendiri, atau naik ≥20% dari baseline.</t>
  </si>
  <si>
    <t>Atasan dan Anggota Tim</t>
  </si>
  <si>
    <t>Log "Percakapan Pengembangan Teratur yang Dilakukan Peserta"</t>
  </si>
  <si>
    <t>Mengukur keteraturan percakapan pengembangan dengan individu tertentu.</t>
  </si>
  <si>
    <t>Tetapkan minimal 4 orang (dari berbagai level) yang menjadi fokus pendampingan berkelanjutan sepanjang program. Catat setiap percakapan pengembangan dengan mereka: kapan, topik, komitmen yang disepakati.</t>
  </si>
  <si>
    <t>Log minimal 24 percakapan sepanjang program (rata-rata 6 per orang). Termasuk review rekap triwulanan oleh Mentor.</t>
  </si>
  <si>
    <t>Minimal 24 percakapan tercatat dengan 4 orang yang sama sepanjang program, bukan orang yang berbeda-beda setiap kali. Milestone bulan ke-6: 12 percakapan.</t>
  </si>
  <si>
    <t>Refleksi "Ketergantungan pada Kehadiran Peserta"</t>
  </si>
  <si>
    <t>Menemukan area di mana pengembangan orang lain masih bergantung penuh pada peserta.</t>
  </si>
  <si>
    <t>Setiap bulan, identifikasi 1 aspek pengembangan tim yang masih sepenuhnya bergantung pada kehadiran peserta. Rencanakan cara agar itu bisa berjalan tanpa peserta.</t>
  </si>
  <si>
    <t>Minimal 10 dari 12 refleksi selesai. Minimal 5 aspek ketergantungan berhasil dialihkan menjadi kebiasaan mandiri.</t>
  </si>
  <si>
    <t>Analisis "Bias dalam Pengembangan Talenta"</t>
  </si>
  <si>
    <t>Mengidentifikasi bias dalam sistem pengembangan talenta yang berpotensi menghambat pemerataan kesempatan.</t>
  </si>
  <si>
    <t>Analisis proses pengembangan talenta di organisasi. Identifikasi bias yang mungkin terjadi.</t>
  </si>
  <si>
    <t>Laporan analisis bias; rekomendasi perbaikan sistem.</t>
  </si>
  <si>
    <t>Laporan mendapat skor ≥4 (skala 1–5) dan minimal 2 rekomendasi disetujui untuk masuk perbaikan sistem.</t>
  </si>
  <si>
    <t>Atasan dan Direksi</t>
  </si>
  <si>
    <t>Program "Advanced Coaching for Sustained Development"</t>
  </si>
  <si>
    <t>Menguasai teknik percakapan pengembangan yang berkelanjutan, bukan sesi sekali jalan.</t>
  </si>
  <si>
    <t>Ikuti program tentang merancang irama percakapan pengembangan yang teratur, teknik mempertahankan momentum pembelajaran individu lintas waktu, dan cara melepaskan ketergantungan secara bertahap.</t>
  </si>
  <si>
    <t>1 rencana percakapan pengembangan teratur untuk 4 orang yang ditetapkan peserta dalam aktivitas ini.</t>
  </si>
  <si>
    <t>Rencana disetujui fasilitator dan dijalankan pada log percakapan pengembangan yang dicatat peserta dalam aktivitas ini.</t>
  </si>
  <si>
    <t>Workshop "Building a Learning Organization"</t>
  </si>
  <si>
    <t>Memahami cara membangun budaya belajar yang berjalan tanpa bergantung pada satu orang.</t>
  </si>
  <si>
    <t>Ikuti pelatihan tentang organizational learning dan cara melembagakan kebiasaan saling mengembangkan.</t>
  </si>
  <si>
    <t>Sertifikat; blueprint learning organization untuk divisi.</t>
  </si>
  <si>
    <t>Blueprint mendapat skor ≥4 (skala 1–5) pada aspek strategic alignment, governance, learning culture, dan implementability.</t>
  </si>
  <si>
    <t>Program "Unconscious Bias Training for Leaders"</t>
  </si>
  <si>
    <t>Mendalami bias bawah sadar dan dampaknya pada pengembangan orang lain.</t>
  </si>
  <si>
    <t>Ikuti pelatihan tentang unconscious bias, inclusive leadership, dan equitable talent development.</t>
  </si>
  <si>
    <t>Sertifikat; rencana aksi mengurangi bias.</t>
  </si>
  <si>
    <t>Minimal 2 dari 3 action plan dijalankan dan dievaluasi dalam 1 siklus talent review.</t>
  </si>
  <si>
    <t>"Development Conversation Review" — Forum Peer Setingkat dan Mentor Senior</t>
  </si>
  <si>
    <t>Menguji apakah percakapan pengembangan benar-benar teratur, bukan sporadis.</t>
  </si>
  <si>
    <t>Bentuk forum 3–4 peer setingkat ditambah 1 mentor senior. Setiap 2 bulan, satu peserta memaparkan pola percakapan pengembangan dengan 4 orang yang menjadi fokus pendampingannya.</t>
  </si>
  <si>
    <t>Minimal 5 dari 6 sesi terlaksana. Milestone bulan ke-6: 3 sesi.</t>
  </si>
  <si>
    <t>Shadowing Direksi dalam Percakapan Pengembangan Jangka Panjang</t>
  </si>
  <si>
    <t>Mempelajari cara pemimpin puncak menjaga percakapan pengembangan yang berkelanjutan.</t>
  </si>
  <si>
    <t>Amati 2 kesempatan pemimpin senior melakukan percakapan pengembangan dengan bawahan langsungnya. Catat bagaimana mereka menjaga keteraturan dan melepaskan ketergantungan secara bertahap.</t>
  </si>
  <si>
    <t>2 laporan observasi; daftar 5 prinsip.</t>
  </si>
  <si>
    <t>Minimal 3 prinsip diterapkan pada log percakapan pengembangan yang dicatat peserta dan divalidasi mentor ≥4 (skala 1–5).</t>
  </si>
  <si>
    <t>Direksi dan Mentor</t>
  </si>
  <si>
    <t>Umpan Balik 360° "Pendampingan Berkelanjutan dan Kemandirian yang Dibangun"</t>
  </si>
  <si>
    <t>Mengukur persepsi keteraturan dan kemandirian yang dibangun peserta.</t>
  </si>
  <si>
    <t>Kuesioner pre (bulan 1) dan post (bulan 11) kepada minimal 8 responden, termasuk 4 orang yang menjadi fokus pendampingan peserta. Butir khusus: "Ia mendampingi perkembangan saya secara teratur, bukan sesekali"; "Pembelajaran saya tetap berjalan bahkan ketika ia tidak hadir".</t>
  </si>
  <si>
    <t>Kenaikan rata-rata ≥1 poin (skala 1–5). Butir "pembelajaran saya tetap berjalan meski ia tidak hadir" WAJIB naik ≥1 poin (skala 1–5) — inti fokus perilaku pendampingan berkelanjutan.</t>
  </si>
  <si>
    <t>Mendampingi 4 Orang Melalui Percakapan Pengembangan Teratur Sepanjang Program</t>
  </si>
  <si>
    <t>Membuktikan pendampingan berkelanjutan yang menghasilkan perkembangan nyata.</t>
  </si>
  <si>
    <t>Lanjutkan pendampingan 4 orang yang telah ditetapkan peserta sepanjang program. Dokumentasikan perkembangan mereka dari awal hingga akhir program.</t>
  </si>
  <si>
    <t>4 dokumentasi perkembangan individu. Termasuk review Bulan ke-6 oleh Atasan.</t>
  </si>
  <si>
    <t>4 orang didampingi secara teratur (minimal 6 percakapan masing-masing). Minimal 3 menunjukkan perkembangan kapasitas naik ≥20% dari baseline. Milestone bulan ke-6: percakapan berjalan teratur untuk seluruh 4 orang.</t>
  </si>
  <si>
    <t>Melembagakan 1 Kebiasaan Saling Mengembangkan yang Berjalan Tanpa Peserta</t>
  </si>
  <si>
    <t>Membuktikan pembelajaran berjalan tanpa bergantung pada kehadiran peserta.</t>
  </si>
  <si>
    <t>Bangun 1 mekanisme saling mengembangkan di unit (peer coaching, forum belajar rutin, sistem mentoring internal) yang melibatkan minimal 5 orang. Uji dengan memastikan mekanisme itu berjalan pada periode peserta TIDAK terlibat langsung.</t>
  </si>
  <si>
    <t>Dokumen mekanisme; bukti berjalan minimal 1 periode tanpa keterlibatan peserta.</t>
  </si>
  <si>
    <t>Mekanisme berjalan minimal 1 siklus penuh TANPA keterlibatan langsung peserta, dikonfirmasi minimal 5 partisipan.</t>
  </si>
  <si>
    <t>Tim dan Atasan</t>
  </si>
  <si>
    <t>Merancang Sistem Pengembangan Talenta Divisi yang Mengurangi Bias</t>
  </si>
  <si>
    <t>Menerapkan pemahaman learning organization dan kesadaran bias dalam sistem nyata.</t>
  </si>
  <si>
    <t>Rancang sistem pengembangan talenta untuk 1 divisi yang mencakup identifikasi talenta, pengembangan, rotasi, dan evaluasi, dengan perhatian eksplisit pada bias dan inklusivitas.</t>
  </si>
  <si>
    <t>Blueprint sistem; presentasi ke direksi; tindak lanjut.</t>
  </si>
  <si>
    <t>Blueprint disetujui direksi dan minimal 1 komponen sistem mulai diimplementasikan.</t>
  </si>
  <si>
    <t>Developing Onself</t>
  </si>
  <si>
    <t>Log "Reaksi Pertama Peserta terhadap Kritik"</t>
  </si>
  <si>
    <t>Melatih menyadari reaksi awal sebelum sempat menutupinya dengan sikap tenang di permukaan.</t>
  </si>
  <si>
    <t>Setiap kali menerima kritik atau masukan korektif, dalam 10 menit pertama catat: apa reaksi pertama peserta secara jujur (kesal, ingin membela diri, malu), dan apa yang peserta katakan atau lakukan setelahnya.</t>
  </si>
  <si>
    <t>Log minimal 24 kejadian; rekap triwulanan proporsi reaksi pertama yang defensif. Termasuk review rekap triwulanan oleh Mentor.</t>
  </si>
  <si>
    <t>Minimal 24 kejadian tercatat. Proporsi reaksi pertama yang defensif turun ≥50% dari baseline triwulan 1 menjadi ≤20% pada triwulan 4. Milestone bulan ke-6: 12 kejadian dan baseline terbentuk.</t>
  </si>
  <si>
    <t>Public Mistake Acknowledgement Journal</t>
  </si>
  <si>
    <t>Membangun keberanian mengakui kesalahan secara terbuka.</t>
  </si>
  <si>
    <t>Setiap melakukan kesalahan kerja, buat catatan maksimal 24 jam setelah kejadian: kesalahan, dampak, tanggung jawab pribadi TANPA menyalahkan pihak lain, langkah perbaikan, pencegahan. Bagikan minimal 1 kasus secara terbuka kepada atasan/rekan.</t>
  </si>
  <si>
    <t>Jurnal minimal 4 entri/bulan.</t>
  </si>
  <si>
    <t>Minimal 70% jurnal lengkap. Minimal 1 kasus per bulan dibagikan terbuka kepada pihak terkait, diverifikasi bahwa tidak ada pengalihan penyebab ke pihak lain.</t>
  </si>
  <si>
    <t>Mistake Log &amp; Reflection Review</t>
  </si>
  <si>
    <t>Meningkatkan kesadaran pola kesalahan pribadi.</t>
  </si>
  <si>
    <t>Buat Mistake Log mingguan: tanggal, jenis kesalahan, penyebab utama, emosi yang muncul, dampak, lesson learned, pencegahan. Review 15–20 menit setiap akhir minggu untuk mencari pola berulang.</t>
  </si>
  <si>
    <t>Log mingguan; ringkasan pola.</t>
  </si>
  <si>
    <t>Minimal 4 review mingguan per bulan dan minimal 1 pola perbaikan teridentifikasi per bulan.</t>
  </si>
  <si>
    <t>Workshop Psychological Safety &amp; Learning from Failure</t>
  </si>
  <si>
    <t>Meningkatkan keberanian mengakui kesalahan sebagai bagian pembelajaran.</t>
  </si>
  <si>
    <t>Ikuti workshop tentang psychological safety, dampak perilaku defensif, dan budaya belajar dari kesalahan. Refleksikan pengalaman pribadi.</t>
  </si>
  <si>
    <t>Ringkasan pembelajaran; hasil refleksi.</t>
  </si>
  <si>
    <t>Mengidentifikasi minimal 2 pembelajaran terkait pentingnya mengakui kesalahan.</t>
  </si>
  <si>
    <t>Pelatihan "Menerima Kritik dengan Growth Mindset"</t>
  </si>
  <si>
    <t>Menguasai teknik menerima kritik tanpa defensif.</t>
  </si>
  <si>
    <t>Ikuti pelatihan tentang perbedaan fixed vs growth mindset dalam menerima masukan, teknik menenangkan diri dalam 30 detik pertama setelah dikritik, dan mengubah kritik menjadi rencana aksi.</t>
  </si>
  <si>
    <t>Sertifikat; 1 video praktik menerima feedback secara langsung, dinilai fasilitator.</t>
  </si>
  <si>
    <t>Video praktik dinilai fasilitator menunjukkan reaksi tidak defensif dan permintaan klarifikasi yang jelas, skor ≥4 (skala 1–5).</t>
  </si>
  <si>
    <t>Pelatihan Accountability &amp; Integrity in the Workplace</t>
  </si>
  <si>
    <t>Membangun perilaku bertanggung jawab dalam konteks profesional.</t>
  </si>
  <si>
    <t>Ikuti pelatihan accountability dan integrity, simulasi kasus dan role-play pengakuan kesalahan.</t>
  </si>
  <si>
    <t>Sertifikat; hasil simulasi.</t>
  </si>
  <si>
    <t>Menunjukkan kemampuan mengakui kesalahan secara terbuka dalam simulasi, dinilai fasilitator dengan skor ≥4 (skala 1–5).</t>
  </si>
  <si>
    <t>Structured Apology Statement Practice</t>
  </si>
  <si>
    <t>Melatih meminta maaf secara profesional yang mencerminkan ownership.</t>
  </si>
  <si>
    <t>Gunakan format: mengakui kesalahan spesifik, menjelaskan dampak tanpa defensif, tanggung jawab pribadi, langkah koreksi, komitmen pencegahan. Praktik minimal 2 kali per bulan.</t>
  </si>
  <si>
    <t>Draft apology statement; feedback atasan/peer.</t>
  </si>
  <si>
    <t>Minimal 2 praktik per bulan dengan feedback positif terkait akuntabilitas, skor ≥4 (skala 1–5).</t>
  </si>
  <si>
    <t>Atasan atau Rekan</t>
  </si>
  <si>
    <t>Peer Feedback Discussion dengan Fokus Reaksi terhadap Kritik</t>
  </si>
  <si>
    <t>Mendapatkan gambaran dari sisi pemberi kritik tentang reaksi awal peserta.</t>
  </si>
  <si>
    <t>Sesi diskusi 2 kali per bulan dengan rekan kerja. Minta mereka menilai secara khusus: apakah reaksi pertama peserta saat dikritik terasa defensif atau terbuka.</t>
  </si>
  <si>
    <t>Catatan diskusi; feedback tentang reaksi terhadap kritik.</t>
  </si>
  <si>
    <t>Minimal 2 sesi per bulan. Rekan mengonfirmasi penurunan reaksi defensif ≥20% dari sesi awal ke sesi akhir.</t>
  </si>
  <si>
    <t>Buddy Reflection &amp; Accountability Partner</t>
  </si>
  <si>
    <t>Membangun kebiasaan saling mengingatkan untuk mengakui kesalahan secara konsisten.</t>
  </si>
  <si>
    <t>Tentukan 1 accountability partner. Refleksi mingguan tentang kesalahan yang terjadi. Buddy mengobservasi keterbukaan peserta dan mengingatkan bila ada kecenderungan defensif.</t>
  </si>
  <si>
    <t>Log refleksi mingguan; feedback buddy.</t>
  </si>
  <si>
    <t>Minimal 4 sesi refleksi per bulan dan peningkatan keterbukaan dikonfirmasi buddy dengan skor ≥4 (skala 1–5).</t>
  </si>
  <si>
    <t>Buddy</t>
  </si>
  <si>
    <t>Menerima dan Merespons Terbuka 10 Kritik Nyata di Tempat Kerja</t>
  </si>
  <si>
    <t>Membuktikan reaksi tidak defensif pada volume yang cukup untuk menunjukkan konsistensi.</t>
  </si>
  <si>
    <t>Pada 10 kesempatan nyata menerima kritik dari atasan atau rekan, respons dengan tidak defensif: dengarkan penuh, minta klarifikasi bila perlu, dan tunjukkan perbaikan nyata.</t>
  </si>
  <si>
    <t>10 dokumentasi kritik yang diterima dan respons yang diberikan. Termasuk review Bulan ke-6 oleh Atasan.</t>
  </si>
  <si>
    <t>10 kritik diterima. Minimal 8 dikonfirmasi pemberi kritik sebagai direspons tanpa defensif. Milestone bulan ke-6: 5 kritik.</t>
  </si>
  <si>
    <t>Leading Post-Mistake Recovery Action</t>
  </si>
  <si>
    <t>Membuktikan kesediaan mengakui kesalahan besar dan memimpin perbaikannya.</t>
  </si>
  <si>
    <t>Ketika menangani situasi kerja yang mengalami kesalahan, akui kesalahan kepada pihak terkait secara terbuka, jelaskan dampaknya, pimpin langkah perbaikan.</t>
  </si>
  <si>
    <t>Dokumentasi kasus; evidence pengakuan; laporan tindak lanjut.</t>
  </si>
  <si>
    <t>Minimal 2 kasus ditangani dengan pengakuan terbuka tanpa mengalihkan penyebab ke pihak lain, dikonfirmasi pihak terkait dengan skor ≥4 (skala 1–5).</t>
  </si>
  <si>
    <t>Menangani 1 Kasus Komplain sebagai Ujian Gabungan Penerimaan Kritik dan Pengakuan Kesalahan</t>
  </si>
  <si>
    <t>Menguji kedua indikator sekaligus pada situasi yang menekan.</t>
  </si>
  <si>
    <t>Tangani 1 kasus komplain pelanggan/internal yang disebabkan kesalahan kerja. Terima kritik dari pengadu tanpa defensif (penerimaan kritik) SEKALIGUS akui kesalahan yang menyebabkannya (pengakuan kesalahan), lalu selesaikan sampai tuntas.</t>
  </si>
  <si>
    <t>Dokumentasi penanganan komplain.</t>
  </si>
  <si>
    <t>Kasus terselesaikan. Pengadu mengonfirmasi peserta menerima kritik dengan terbuka DAN mengakui kesalahannya, skor ≥4 (skala 1–5).</t>
  </si>
  <si>
    <t>Atasan dan Pengadu</t>
  </si>
  <si>
    <t>Menyusun Jurnal Feedback Mingguan dari Minimal 2 Sumber</t>
  </si>
  <si>
    <t>Meningkatkan kesadaran diri melalui feedback dari berbagai pihak.</t>
  </si>
  <si>
    <t>Jurnal mingguan; minta minimal 2 feedback dari atasan, rekan, atau stakeholder setiap minggu. Catat feedback dan identifikasi pola berulang.</t>
  </si>
  <si>
    <t>Jurnal feedback mingguan. Termasuk review rekap triwulanan oleh Mentor.</t>
  </si>
  <si>
    <t>Minimal 40 dari 48 minggu terisi dengan minimal 2 feedback dan rencana perbaikan. Milestone bulan ke-6: 20 minggu terisi dan baseline terbentuk.</t>
  </si>
  <si>
    <t>Simulasi Permintaan Feedback Secara Spesifik</t>
  </si>
  <si>
    <t>Melatih meminta feedback yang jelas dan spesifik.</t>
  </si>
  <si>
    <t>Pilih 3 situasi kerja. Susun pertanyaan feedback spesifik (bukan "bagaimana menurutmu" tetapi "bagian mana yang paling perlu diperbaiki"). Lakukan permintaan dan dokumentasikan.</t>
  </si>
  <si>
    <t>Laporan simulasi; refleksi.</t>
  </si>
  <si>
    <t>Minimal 3 pertanyaan spesifik dibuat, dan minimal 3 insight konkret terdokumentasi.</t>
  </si>
  <si>
    <t>Peta Gambaran Diri: Kekuatan, Kelemahan, dan Buktinya</t>
  </si>
  <si>
    <t>Mengubah kumpulan feedback menjadi gambaran diri yang koheren.</t>
  </si>
  <si>
    <t>Setiap bulan, tinjau seluruh feedback dari jurnal feedback mingguan yang dicatat peserta. Perbarui peta kekuatan dan kelemahan peserta, dengan bukti dari feedback yang mendukung setiap poin — bukan opini sendiri.</t>
  </si>
  <si>
    <t>12 pembaruan peta gambaran diri bulanan.</t>
  </si>
  <si>
    <t>Minimal 10 dari 12 pembaruan selesai. Setiap poin pada peta didukung bukti feedback konkret, bukan asumsi pribadi, diverifikasi mentor dengan skor ≥4 (skala 1–5).</t>
  </si>
  <si>
    <t>Pelatihan 'Asking for Feedback Effectively'</t>
  </si>
  <si>
    <t>Menguasai teknik meminta feedback secara efektif.</t>
  </si>
  <si>
    <t>Ikuti pelatihan tentang menyusun pertanyaan feedback spesifik. Praktikkan pada simulasi, susun minimal 5 pertanyaan, minta feedback nyata dari minimal 2 rekan.</t>
  </si>
  <si>
    <t>Daftar pertanyaan; hasil feedback; refleksi.</t>
  </si>
  <si>
    <t>Minimal 5 pertanyaan spesifik dibuat, dan minimal 2 feedback nyata diperoleh serta ditindaklanjuti.</t>
  </si>
  <si>
    <t>Workshop 'The Art of Receiving Feedback with a Growth Mindset'</t>
  </si>
  <si>
    <t>Menerima feedback tanpa defensif sambil mencarinya secara aktif.</t>
  </si>
  <si>
    <t>Ikuti pelatihan tentang fixed vs growth mindset, teknik merespons tanpa defensif, mengubah kritik menjadi rencana aksi.</t>
  </si>
  <si>
    <t>Rangkuman; rencana aksi; video praktik.</t>
  </si>
  <si>
    <t>Minimal 70% dari rencana aksi diimplementasikan, dibuktikan dengan bukti pelaksanaan. Video praktik dinilai fasilitator ≥4 (skala 1–5).</t>
  </si>
  <si>
    <t>Workshop "Dari Feedback Menuju Keputusan"</t>
  </si>
  <si>
    <t>Menggunakan gambaran diri untuk mengambil keputusan nyata, bukan berhenti sebagai catatan.</t>
  </si>
  <si>
    <t>Ikuti workshop tentang bagaimana orang dengan pemahaman diri akurat memakainya untuk memilih peran, menegosiasikan tugas, dan menyusun rencana pengembangan. Susun 1 keputusan nyata berdasarkan peta gambaran diri yang telah disusun peserta.</t>
  </si>
  <si>
    <t>1 keputusan nyata yang didasarkan pada gambaran diri.</t>
  </si>
  <si>
    <t>Keputusan yang diambil (memilih tugas, menegosiasikan peran, atau menyusun rencana) dikonfirmasi atasan sebagai benar-benar didasarkan pada gambaran diri yang akurat, dengan skor ≥4 (skala 1–5), bukan keinginan sesaat.</t>
  </si>
  <si>
    <t>Membentuk dan Mengikuti Feedback Circle 360-Derajat</t>
  </si>
  <si>
    <t>Memperoleh feedback dari berbagai perspektif.</t>
  </si>
  <si>
    <t>Pilih minimal 4 pihak (atasan, sejawat, bawahan, user internal). Minta feedback, lakukan debriefing dengan mentor, identifikasi area pengembangan.</t>
  </si>
  <si>
    <t>Rekap feedback 360°; action plan.</t>
  </si>
  <si>
    <t>Minimal 4 pihak memberi feedback, action plan disusun, dan minimal 1 tindakan dijalankan.</t>
  </si>
  <si>
    <t>Diskusi Kalibrasi Gambaran Diri dengan Mentor</t>
  </si>
  <si>
    <t>Menguji apakah gambaran diri yang disusun sendiri akurat menurut pihak luar.</t>
  </si>
  <si>
    <t>Setiap 2 bulan, presentasikan peta gambaran diri peserta kepada mentor. Minta mentor menilai: apakah gambaran itu akurat, atau ada bagian yang terlalu positif/negatif dari kenyataan.</t>
  </si>
  <si>
    <t>5 sesi kalibrasi sepanjang program.</t>
  </si>
  <si>
    <t>Minimal 4 dari 5 sesi terlaksana. Minimal 3 koreksi mentor diterapkan pada peta berikutnya, menunjukkan akurasi yang meningkat.</t>
  </si>
  <si>
    <t>Peer Feedback Group Terstruktur</t>
  </si>
  <si>
    <t>Melatih menerima kritik konstruktif dari kelompok sejawat.</t>
  </si>
  <si>
    <t>Bergabung dalam kelompok 3–5 orang. Presentasikan hasil kerja, terima feedback, tentukan prioritas perbaikan, laporkan progres pada sesi berikutnya.</t>
  </si>
  <si>
    <t>Rekap feedback kelompok; laporan progres.</t>
  </si>
  <si>
    <t>Minimal 4 sesi diikuti, dan minimal 1 area menunjukkan peningkatan skor ≥4 (skala 1–5) dari peer.</t>
  </si>
  <si>
    <t>Kelompok Peer</t>
  </si>
  <si>
    <t>Meminta dan Mengintegrasikan Feedback pada Setiap Milestone 1 Proyek</t>
  </si>
  <si>
    <t>Membuktikan pola mencari feedback secara konsisten dan spesifik.</t>
  </si>
  <si>
    <t>Tangani 1 proyek dengan milestone mingguan. Pada setiap milestone, minta feedback spesifik dari atasan/rekan/stakeholder mengenai kualitas hasil kerja, dan buat tindak lanjut.</t>
  </si>
  <si>
    <t>Rekap feedback dan action plan setiap milestone. Termasuk review Bulan ke-6 oleh Atasan.</t>
  </si>
  <si>
    <t>Minimal 1 feedback per minggu dengan pertanyaan spesifik, dan minimal 1 perbaikan nyata per milestone. Milestone bulan ke-6: minimal 50% milestone berjalan dengan pola ini konsisten.</t>
  </si>
  <si>
    <t>Menggunakan Gambaran Diri untuk Memilih 1 Peran atau Tugas Menantang</t>
  </si>
  <si>
    <t>Membuktikan gambaran diri dipakai untuk keputusan nyata, bukan sekadar dipahami.</t>
  </si>
  <si>
    <t>Berdasarkan peta gambaran diri yang sudah terkalibrasi, pilih dan ajukan 1 peran atau tugas menantang yang secara spesifik memanfaatkan kekuatan peserta dan menantang salah satu kelemahan yang sudah disadari.</t>
  </si>
  <si>
    <t>Dokumentasi: peran/tugas yang dipilih, alasan berdasarkan gambaran diri, hasil setelah dijalankan.</t>
  </si>
  <si>
    <t>Pilihan peran/tugas dikonfirmasi atasan sebagai benar-benar didasarkan pada gambaran diri yang akurat, dengan skor ≥4 (skala 1–5). Hasil dari menjalankan tugas itu dilaporkan, termasuk yang tidak sesuai ekspektasi.</t>
  </si>
  <si>
    <t>Customer/Internal User Feedback Challenge</t>
  </si>
  <si>
    <t>Menguji keragaman sumber feedback melampaui hierarki internal.</t>
  </si>
  <si>
    <t>Minta feedback dari minimal 5 pengguna internal/eksternal terkait kualitas layanan atau hasil kerja. Analisis pola, tentukan prioritas, terapkan minimal 1 perubahan.</t>
  </si>
  <si>
    <t>Ringkasan feedback pengguna; implementasi perbaikan.</t>
  </si>
  <si>
    <t>Minimal 5 pengguna memberi feedback, dan minimal 1 perubahan diimplementasikan dengan bukti nyata.</t>
  </si>
  <si>
    <t>Pengguna Internal/Eksternal</t>
  </si>
  <si>
    <t>Reflection Learning Log</t>
  </si>
  <si>
    <t>Membiasakan evaluasi pengalaman kerja secara terstruktur.</t>
  </si>
  <si>
    <t>Setiap minggu dokumentasikan minimal 2 pengalaman kerja yang memberikan pembelajaran. Identifikasi situasi, tindakan, hasil, pembelajaran, perbaikan.</t>
  </si>
  <si>
    <t>Learning log mingguan. Termasuk review rekap triwulanan oleh Mentor.</t>
  </si>
  <si>
    <t>Minimal 80% log terisi (minimal 38 dari 48 minggu).</t>
  </si>
  <si>
    <t>After Action Review (AAR) Pribadi</t>
  </si>
  <si>
    <t>Merefleksikan keberhasilan/kegagalan dari tugas penting.</t>
  </si>
  <si>
    <t>Setelah tugas/proyek penting selesai, evaluasi: target, hal baik, hal perlu diperbaiki, tindakan berbeda di masa depan.</t>
  </si>
  <si>
    <t>Dokumen AAR.</t>
  </si>
  <si>
    <t>Minimal 1 AAR untuk setiap tugas/proyek utama, dengan minimal 3 lesson learned per AAR.</t>
  </si>
  <si>
    <t>Rencana Pengembangan untuk Peran yang Lebih Kompleks</t>
  </si>
  <si>
    <t>Merencanakan kebutuhan pengembangan untuk tuntutan yang belum terjadi.</t>
  </si>
  <si>
    <t>Setiap 2 bulan, identifikasi 1 tuntutan peran yang lebih kompleks yang diperkirakan akan peserta hadapi dalam 1–2 tahun. Rencanakan pengetahuan/keterampilan yang perlu dikembangkan SEKARANG, atas inisiatif sendiri — tanpa menunggu ditugaskan atau diminta.</t>
  </si>
  <si>
    <t>6 rencana pengembangan proaktif sepanjang program. Termasuk verifikasi bahwa inisiatif berasal dari peserta sendiri oleh Mentor.</t>
  </si>
  <si>
    <t>6 rencana disusun. Mentor mengonfirmasi seluruhnya berasal dari inisiatif peserta sendiri, bukan arahan atasan. Minimal 4 mulai dijalankan.</t>
  </si>
  <si>
    <t>Workshop Reflective Practice for Continuous Learning</t>
  </si>
  <si>
    <t>Menguasai teknik refleksi terstruktur.</t>
  </si>
  <si>
    <t>Ikuti workshop tentang reflective practices, pelajari model refleksi (Gibbs atau AAR), analisis minimal 3 pengalaman kerja.</t>
  </si>
  <si>
    <t>Sertifikat; 3 lembar refleksi kasus.</t>
  </si>
  <si>
    <t>Menyelesaikan pelatihan 100% dan 3 refleksi kasus kerja, dinilai fasilitator ≥4 (skala 1–5).</t>
  </si>
  <si>
    <t>Training Learning Journal &amp; Self-Reflection Techniques</t>
  </si>
  <si>
    <t>Membentuk kebiasaan refleksi yang konsisten.</t>
  </si>
  <si>
    <t>Ikuti pelatihan teknik learning journal, buat jurnal refleksi setiap minggu selama program.</t>
  </si>
  <si>
    <t>Sertifikat; learning journal mingguan.</t>
  </si>
  <si>
    <t>Menyelesaikan minimal 80% learning journal yang ditargetkan (minimal 38 dari 48 minggu).</t>
  </si>
  <si>
    <t>Workshop "Merencanakan Pengembangan Diri untuk Peran Masa Depan"</t>
  </si>
  <si>
    <t>Menguasai cara merencanakan pengembangan diri secara mandiri untuk tuntutan yang lebih kompleks.</t>
  </si>
  <si>
    <t>Ikuti workshop tentang mengidentifikasi kesenjangan kompetensi untuk peran masa depan, mencari sumber belajar secara mandiri (bukan menunggu ditugaskan HC), dan menyusun rencana pengembangan jangka menengah.</t>
  </si>
  <si>
    <t>1 rencana pengembangan 12–18 bulan untuk tuntutan peran yang lebih kompleks.</t>
  </si>
  <si>
    <t>Rencana disetujui atasan sebagai realistis dan proaktif — disusun sebelum ada tuntutan formal untuk menyusunnya, dengan skor ≥4 (skala 1–5).</t>
  </si>
  <si>
    <t>Structured Reflection with Mentor</t>
  </si>
  <si>
    <t>Meningkatkan kedalaman refleksi melalui bimbingan mentor.</t>
  </si>
  <si>
    <t>Sesi refleksi mingguan dengan mentor. Bahas keberhasilan dan tantangan, identifikasi pembelajaran, susun tindakan perbaikan.</t>
  </si>
  <si>
    <t>Jurnal refleksi; catatan mentoring.</t>
  </si>
  <si>
    <t>Minimal 4 sesi refleksi dengan mentor dan 80% action plan dilaksanakan.</t>
  </si>
  <si>
    <t>Mentoring tentang Perencanaan Pengembangan Diri Proaktif</t>
  </si>
  <si>
    <t>Mempelajari bagaimana senior merencanakan pengembangan dirinya sendiri tanpa diminta.</t>
  </si>
  <si>
    <t>Sesi mentoring dengan mentor senior. Tanyakan: bagaimana mereka mengidentifikasi kebutuhan pengembangan untuk peran mereka saat ini SEBELUM secara resmi dipromosikan ke sana.</t>
  </si>
  <si>
    <t>Catatan mentoring; pola yang akan diadopsi.</t>
  </si>
  <si>
    <t>Minimal 2 pola perencanaan proaktif diadopsi dan diterapkan pada rencana pengembangan proaktif yang disusun peserta.</t>
  </si>
  <si>
    <t>Peer Reflection Circle</t>
  </si>
  <si>
    <t>Mengembangkan kebiasaan refleksi melalui diskusi kelompok.</t>
  </si>
  <si>
    <t>Kelompok 3–5 orang. Berbagi pengalaman kerja, terima pertanyaan reflektif, simpulkan insight, tentukan perubahan perilaku.</t>
  </si>
  <si>
    <t>Ringkasan refleksi kelompok.</t>
  </si>
  <si>
    <t>Menghadiri minimal 3 sesi dan menunjukkan implementasi minimal 2 perbaikan dengan skor ≥4 (skala 1–5).</t>
  </si>
  <si>
    <t>After Action Review atas 4 Penugasan Kerja Sepanjang Program</t>
  </si>
  <si>
    <t>Membuktikan kebiasaan refleksi yang konsisten sepanjang tahun.</t>
  </si>
  <si>
    <t>Lakukan AAR terhadap 4 proyek/penugasan yang selesai sepanjang program. Identifikasi keberhasilan, kendala, lesson learned, area perbaikan pada masing-masing.</t>
  </si>
  <si>
    <t>4 dokumen AAR. Termasuk review Bulan ke-6 oleh Atasan.</t>
  </si>
  <si>
    <t>4 AAR selesai. Minimal 3 lesson learned dan 2 rencana perbaikan per AAR dapat diterapkan. Milestone bulan ke-6: 2 AAR.</t>
  </si>
  <si>
    <t>Mencari dan Menyelesaikan Sendiri 1 Pelatihan atau Sertifikasi untuk Peran Masa Depan</t>
  </si>
  <si>
    <t>Membuktikan kepemilikan penuh atas pengembangan diri, tanpa ditugaskan.</t>
  </si>
  <si>
    <t>Berdasarkan rencana pengembangan yang telah disusun peserta, cari dan selesaikan SENDIRI 1 pelatihan, sertifikasi, atau sumber belajar yang relevan untuk peran yang lebih kompleks — tanpa menunggu ditugaskan HC atau atasan.</t>
  </si>
  <si>
    <t>Bukti pencarian mandiri; bukti penyelesaian; penerapan pada pekerjaan saat ini.</t>
  </si>
  <si>
    <t>Atasan mengonfirmasi pencarian dan pendaftaran dilakukan atas inisiatif peserta sendiri, bukan ditugaskan. Hasil belajar diterapkan pada pekerjaan saat ini dengan bukti konkret (minimal 1 penerapan).</t>
  </si>
  <si>
    <t>Implementasi Lesson Learned sebagai Bukti Refleksi Berdampak</t>
  </si>
  <si>
    <t>Menguji apakah refleksi benar-benar berdampak, bukan hanya dicatat.</t>
  </si>
  <si>
    <t>Terapkan lesson learned yang telah dicatat peserta dalam aktivitas ini pada tugas berikutnya. Dokumentasikan hasilnya.</t>
  </si>
  <si>
    <t>Laporan implementasi lesson learned.</t>
  </si>
  <si>
    <t>Minimal 70% rencana perbaikan berhasil diterapkan dan terdokumentasi dengan hasil naik ≥20% dari baseline.</t>
  </si>
  <si>
    <t>Jurnal Kalibrasi Penilaian Diri</t>
  </si>
  <si>
    <t>Membiasakan menilai diri dengan bukti, bukan perasaan.</t>
  </si>
  <si>
    <t>Setiap akhir minggu: tuliskan 3 keberhasilan dan 3 area yang perlu diperbaiki, SERTAKAN bukti atau data pendukung untuk setiap poin. Hindari penilaian berdasarkan perasaan semata.</t>
  </si>
  <si>
    <t>Jurnal kalibrasi mingguan. Termasuk review rekap triwulanan oleh Mentor.</t>
  </si>
  <si>
    <t>Minimal 8 jurnal selesai dan 80% penilaian diri didukung bukti atau data yang relevan.</t>
  </si>
  <si>
    <t>Analisis Gap Persepsi vs Fakta Kinerja</t>
  </si>
  <si>
    <t>Membandingkan penilaian diri dengan data kinerja aktual.</t>
  </si>
  <si>
    <t>Pilih 1 tugas/proyek. Nilai performa diri pada beberapa aspek, bandingkan dengan KPI, target, atau evaluasi atasan. Identifikasi gap dan rencana perbaikan.</t>
  </si>
  <si>
    <t>Laporan analisis gap.</t>
  </si>
  <si>
    <t>Minimal 2 laporan diselesaikan dan seluruh gap memiliki rencana tindak lanjut.</t>
  </si>
  <si>
    <t>Refleksi Keputusan dan Pembelajaran Pribadi Berbasis Fakta</t>
  </si>
  <si>
    <t>Merefleksikan keberhasilan/kesalahan berdasarkan fakta dan perilaku, bukan pembenaran diri.</t>
  </si>
  <si>
    <t>Setelah pekerjaan penting selesai, refleksi: apa yang berjalan baik, apa yang kurang efektif, penyebabnya, apa yang akan dilakukan berbeda. Fokus pada fakta dan perilaku.</t>
  </si>
  <si>
    <t>Catatan refleksi.</t>
  </si>
  <si>
    <t>Minimal 3 refleksi terdokumentasi dengan lesson learned dan tindakan perbaikan yang dapat diterapkan, minimal 1 penerapan per refleksi.</t>
  </si>
  <si>
    <t>Pelatihan Personal SWOT Analysis Berbasis Evidence</t>
  </si>
  <si>
    <t>Menilai kekuatan dan area pengembangan diri menggunakan data dan fakta.</t>
  </si>
  <si>
    <t>Ikuti pelatihan Personal SWOT. Kumpulkan data kinerja, evaluasi, sertifikat 6–12 bulan terakhir. Identifikasi minimal 3 tiap kuadran berdasarkan bukti. Diskusikan dan revisi dengan atasan.</t>
  </si>
  <si>
    <t>Dokumen Personal SWOT berbasis evidence.</t>
  </si>
  <si>
    <t>SWOT memuat minimal 3 Strength dan 3 Development Area didukung bukti objektif serta validasi atasan/mentor dengan skor ≥4 (skala 1–5).</t>
  </si>
  <si>
    <t>Workshop 360° Feedback Interpretation</t>
  </si>
  <si>
    <t>Memahami kesenjangan antara persepsi diri dan persepsi orang lain.</t>
  </si>
  <si>
    <t>Ikuti workshop interpretasi 360°. Bandingkan self-rating dengan penilaian pihak lain. Identifikasi minimal 3 gap utama dan analisis penyebabnya.</t>
  </si>
  <si>
    <t>Laporan analisis 360° dan action plan.</t>
  </si>
  <si>
    <t>Mengidentifikasi minimal 3 gap pengembangan dan menyusun action plan yang spesifik dan terukur.</t>
  </si>
  <si>
    <t>Pelatihan Data-Driven Self Assessment</t>
  </si>
  <si>
    <t>Melakukan evaluasi diri berdasarkan indikator kinerja terukur.</t>
  </si>
  <si>
    <t>Ikuti pelatihan Data-Driven Self Assessment. Tentukan minimal 3 KPI relevan, bandingkan pencapaian dengan target, identifikasi gap dan akar penyebab.</t>
  </si>
  <si>
    <t>Laporan self-assessment berbasis KPI.</t>
  </si>
  <si>
    <t>Laporan memuat analisis minimal 3 KPI, identifikasi gap, akar penyebab, dan rekomendasi yang dapat ditindaklanjuti.</t>
  </si>
  <si>
    <t>Diskusi Hasil Self-Assessment dengan Mentor/Coach</t>
  </si>
  <si>
    <t>Memperoleh perspektif objektif eksternal atas hasil penilaian diri.</t>
  </si>
  <si>
    <t>Lakukan self-assessment, rangkum 3 kekuatan dan 3 area pengembangan. Diskusikan dengan mentor, minta pandangan mengenai kesesuaian dengan perilaku kerja sehari-hari.</t>
  </si>
  <si>
    <t>Catatan diskusi; rencana tindak lanjut.</t>
  </si>
  <si>
    <t>Seluruh sesi terlaksana dan minimal 80% area pengembangan memiliki rencana tindak lanjut yang disepakati.</t>
  </si>
  <si>
    <t>Mentor atau Coach</t>
  </si>
  <si>
    <t>Peer Calibration Session</t>
  </si>
  <si>
    <t>Membandingkan penilaian diri dengan penilaian rekan pada kriteria yang sama.</t>
  </si>
  <si>
    <t>Pilih 3–5 rekan kerja. Bagikan format penilaian yang sama dengan self-assessment. Bandingkan hasil, identifikasi gap terbesar, diskusikan penyebabnya.</t>
  </si>
  <si>
    <t>Laporan perbandingan self-assessment dan peer assessment.</t>
  </si>
  <si>
    <t>Minimal 3 rekan berpartisipasi dan tersedia analisis gap serta rencana perbaikan yang terdokumentasi.</t>
  </si>
  <si>
    <t>Sesi 'Brutal Facts' dengan Rekan Terpercaya</t>
  </si>
  <si>
    <t>Menerima fakta tentang diri secara objektif tanpa defensif, memperluas kesadaran blind spot.</t>
  </si>
  <si>
    <t>Pilih 1–2 rekan yang jujur dan dapat dipercaya. Ajukan pertanyaan tentang perilaku/kebiasaan/kompetensi yang perlu diperbaiki. Dengarkan tanpa pembelaan diri.</t>
  </si>
  <si>
    <t>Dokumen ringkasan feedback; daftar blind spot.</t>
  </si>
  <si>
    <t>Minimal 3 area pengembangan teridentifikasi dan minimal 70% action plan mulai diimplementasikan.</t>
  </si>
  <si>
    <t>Rekan Terpercaya</t>
  </si>
  <si>
    <t>Assessment Center dengan Simulasi Kerja Nyata</t>
  </si>
  <si>
    <t>Membuktikan kalibrasi diri terhadap penilaian pihak ketiga yang independen.</t>
  </si>
  <si>
    <t>Ikuti rangkaian assessment center. Catat self-assessment SEBELUM assessment dimulai. Bandingkan dengan hasil assessor.</t>
  </si>
  <si>
    <t>Laporan hasil assessment center; analisis gap; Individual Development Plan. Termasuk review Bulan ke-6 oleh Atasan.</t>
  </si>
  <si>
    <t>Seluruh tahapan selesai, analisis gap disusun, dan minimal 80% area pengembangan memiliki rencana tindak lanjut. Milestone bulan ke-6: assessment selesai.</t>
  </si>
  <si>
    <t>Assessor</t>
  </si>
  <si>
    <t>Menjalankan Peran dengan KPI yang Sangat Jelas dan Terukur</t>
  </si>
  <si>
    <t>Menilai kinerja diri berdasarkan data, bukan asumsi, secara berkelanjutan.</t>
  </si>
  <si>
    <t>Jalankan peran/proyek dengan KPI terukur. Dokumentasikan target dan realisasi setiap periode. Bandingkan persepsi kinerja pribadi dengan hasil KPI aktual.</t>
  </si>
  <si>
    <t>Laporan pencapaian KPI; evaluasi bulanan.</t>
  </si>
  <si>
    <t>Minimal 80% target monitoring dilakukan dan tersedia bukti evaluasi berbasis KPI setiap periode.</t>
  </si>
  <si>
    <t>Mengikuti Kompetisi atau Kontes Profesional</t>
  </si>
  <si>
    <t>Mendapatkan umpan balik objektif dari luar organisasi untuk menilai kemampuan diri lebih realistis.</t>
  </si>
  <si>
    <t>Pilih kompetisi/kontes relevan dengan bidang kerja. Siapkan materi, ikuti seluruh tahapan, dokumentasikan hasil/peringkat/feedback.</t>
  </si>
  <si>
    <t>Sertifikat/hasil kompetisi; laporan refleksi.</t>
  </si>
  <si>
    <t>Seluruh tahapan diikuti dan laporan refleksi memuat minimal 3 kekuatan dan 3 area pengembangan yang teridentifikasi dari sumber eksternal, bukan penilaian internal.</t>
  </si>
  <si>
    <t>Panitia Kompetisi</t>
  </si>
  <si>
    <t>Jurnal Pemicu Emosi (Emotional Trigger Journal)</t>
  </si>
  <si>
    <t>Meningkatkan kesadaran terhadap situasi yang memicu emosi.</t>
  </si>
  <si>
    <t>Selama program, catat setiap kejadian yang memunculkan emosi kuat: situasi, emosi, intensitas (1–10), pemicu, respons, pelajaran. Refleksi mingguan untuk pola pemicu.</t>
  </si>
  <si>
    <t>Jurnal minimal 3 entri per minggu. Termasuk review rekap triwulanan oleh Mentor.</t>
  </si>
  <si>
    <t>Minimal 70% jurnal terisi lengkap dan minimal 2 pola pemicu emosi berhasil diidentifikasi.</t>
  </si>
  <si>
    <t>Latihan Labeling Emotion dan Jeda Sebelum Merespons</t>
  </si>
  <si>
    <t>Melatih jeda sadar antara merasakan emosi dan merespons.</t>
  </si>
  <si>
    <t>Setiap hari, pilih 1 situasi yang memunculkan reaksi emosional. Sebelum merespons, beri jeda minimal 10 detik untuk melabeli emosi secara spesifik (kecewa, frustrasi, cemas), lalu catat responsnya.</t>
  </si>
  <si>
    <t>Log harian; refleksi perkembangan.</t>
  </si>
  <si>
    <t>Minimal 80% hari terdokumentasi dan menunjukkan jeda sebelum merespons naik ≥20% dari baseline.</t>
  </si>
  <si>
    <t>Menyusun dan Menerapkan Toolkit Regulasi Emosi</t>
  </si>
  <si>
    <t>Membangun strategi pribadi untuk merespons konstruktif saat tertekan.</t>
  </si>
  <si>
    <t>Susun toolkit minimal 3 teknik regulasi emosi. Terapkan setiap menghadapi situasi yang memicu emosi. Dokumentasikan efektivitasnya, termasuk apakah kualitas keputusan tetap terjaga.</t>
  </si>
  <si>
    <t>Dokumen toolkit; laporan penerapan dan evaluasi.</t>
  </si>
  <si>
    <t>Minimal 70% teknik diterapkan pada situasi relevan dan terdapat evaluasi kualitas keputusan yang diambil selama emosi tinggi.</t>
  </si>
  <si>
    <t>Pelatihan Emotional Intelligence &amp; Self-Regulation</t>
  </si>
  <si>
    <t>Mengenali pemicu emosi dan menerapkan teknik regulasi.</t>
  </si>
  <si>
    <t>Ikuti pelatihan EI dan self-regulation. Identifikasi minimal 5 pemicu pribadi. Susun rencana pengelolaan untuk masing-masing.</t>
  </si>
  <si>
    <t>Sertifikat; daftar pemicu; rencana pengelolaan.</t>
  </si>
  <si>
    <t>Menyelesaikan pelatihan dan menunjukkan penerapan minimal 3 teknik regulasi pada situasi nyata.</t>
  </si>
  <si>
    <t>Workshop Mindfulness for Emotional Balance</t>
  </si>
  <si>
    <t>Menjaga kestabilan emosi dan mengurangi reaktivitas.</t>
  </si>
  <si>
    <t>Ikuti workshop mindfulness, latihan minimal 10 menit per hari, dokumentasikan perubahan emosi.</t>
  </si>
  <si>
    <t>Sertifikat; jurnal mindfulness.</t>
  </si>
  <si>
    <t>Menyelesaikan minimal 80% sesi latihan dan jurnal menunjukkan kesadaran emosi naik ≥1 poin (skala 1–5).</t>
  </si>
  <si>
    <t>Kursus Neuroscience of Emotions</t>
  </si>
  <si>
    <t>Memahami dasar ilmiah pembentukan emosi untuk mengelola respons lebih objektif.</t>
  </si>
  <si>
    <t>Ikuti kursus, buat ringkasan setiap modul, kaitkan dengan tantangan pekerjaan.</t>
  </si>
  <si>
    <t>Sertifikat; ringkasan; rencana implementasi.</t>
  </si>
  <si>
    <t>Menyelesaikan seluruh modul dan menyusun minimal 2 rencana implementasi yang relevan.</t>
  </si>
  <si>
    <t>Coaching Strategi Mengelola Emosi dalam Situasi Kerja</t>
  </si>
  <si>
    <t>Mengelola respons emosional secara konstruktif dengan bimbingan.</t>
  </si>
  <si>
    <t>Sesi coaching minimal 2 kali per bulan. Bahas situasi pemicu emosi, pola reaksi, dampak, susun strategi.</t>
  </si>
  <si>
    <t>Catatan coaching; action plan.</t>
  </si>
  <si>
    <t>Minimal 80% sesi coaching terlaksana dan menerapkan minimal 2 strategi yang disepakati.</t>
  </si>
  <si>
    <t>Coach atau Mentor</t>
  </si>
  <si>
    <t>Mentoring dengan Leader yang Stabil Secara Emosional dan Mampu Menenangkan Orang Lain</t>
  </si>
  <si>
    <t>Mempelajari bagaimana pemimpin senior menenangkan orang lain, bukan hanya diri sendiri.</t>
  </si>
  <si>
    <t>Sesi mentoring bulanan dengan leader yang dikenal stabil secara emosional. Fokus khusus: bagaimana ia MENENANGKAN ORANG LAIN saat tim panik atau tertekan, bukan hanya mengelola emosinya sendiri.</t>
  </si>
  <si>
    <t>Log mentoring; contoh penerapan.</t>
  </si>
  <si>
    <t>Minimal 4 sesi terlaksana. Minimal 2 pola menenangkan orang lain diadopsi dan diterapkan pada tim sendiri.</t>
  </si>
  <si>
    <t>Peer Support Group untuk Diskusi Tantangan Emosional</t>
  </si>
  <si>
    <t>Membangun dukungan sosial dan keterbukaan membahas tantangan emosional.</t>
  </si>
  <si>
    <t>Kelompok 3–5 orang, bertemu setiap 2 minggu. Berbagi pengalaman menghadapi situasi emosional, strategi, hasilnya.</t>
  </si>
  <si>
    <t>Catatan pembelajaran; daftar strategi.</t>
  </si>
  <si>
    <t>Mengikuti minimal 75% sesi dan mendokumentasikan minimal 3 pembelajaran yang diterapkan.</t>
  </si>
  <si>
    <t>Memimpin Proyek dengan Tekanan Emosional Tinggi</t>
  </si>
  <si>
    <t>Membuktikan kemampuan mengenali, mengelola, dan menstabilkan emosi di bawah tekanan nyata.</t>
  </si>
  <si>
    <t>Pilih proyek bertekanan tinggi. Identifikasi minimal 3 situasi pemicu emosi. Catat emosi, pemicu, dampak. Terapkan minimal 2 teknik regulasi.</t>
  </si>
  <si>
    <t>Log pengelolaan emosi; laporan pembelajaran. Termasuk review Bulan ke-6 oleh Atasan.</t>
  </si>
  <si>
    <t>Minimal 3 situasi emosional terdokumentasi, minimal 2 teknik regulasi diterapkan, dan kualitas keputusan yang diambil selama tekanan dikonfirmasi tidak menurun oleh atasan, skor ≥4 (skala 1–5).</t>
  </si>
  <si>
    <t>Menangani Keluhan atau Konflik Stakeholder sebagai PIC pada 4 Kasus, Termasuk Menenangkan Pihak Lain</t>
  </si>
  <si>
    <t>Menguji kemampuan tetap tenang, objektif, DAN menenangkan pihak yang emosional.</t>
  </si>
  <si>
    <t>Jadi PIC minimal 4 kasus keluhan/konflik. Identifikasi emosi yang muncul pada diri sendiri MAUPUN pihak lain. Terapkan komunikasi asertif yang juga menenangkan pihak lain.</t>
  </si>
  <si>
    <t>Laporan penanganan kasus; refleksi; lesson learned.</t>
  </si>
  <si>
    <t>Minimal 4 kasus berhasil ditangani. Pada minimal 3, pihak yang awalnya emosional mengonfirmasi merasa lebih tenang setelah berinteraksi dengan peserta, skor ≥4 (skala 1–5).</t>
  </si>
  <si>
    <t>After Action Review pada 4 Situasi yang Memicu Emosi dengan Fokus Kualitas Keputusan</t>
  </si>
  <si>
    <t>Menguji apakah kualitas keputusan tetap terjaga meski emosi tinggi.</t>
  </si>
  <si>
    <t>Identifikasi 4 situasi kerja yang memunculkan emosi kuat. AAR maksimal 3 hari setelah kejadian: kejadian, emosi, pemicu, respons, dan SECARA KHUSUS nilai apakah keputusan yang diambil saat itu tetap berkualitas.</t>
  </si>
  <si>
    <t>4 dokumen AAR dengan evaluasi kualitas keputusan.</t>
  </si>
  <si>
    <t>4 AAR selesai. Pola emosi utama teridentifikasi, dan pada minimal 3 dari 4 situasi, keputusan yang diambil dikonfirmasi tetap berkualitas meski emosi tinggi, skor ≥4 (skala 1–5).</t>
  </si>
  <si>
    <t>Log "Peristiwa ke Pola ke Bias"</t>
  </si>
  <si>
    <t>Menyintesis banyak peristiwa menjadi satu pola dan bias yang mendasarinya.</t>
  </si>
  <si>
    <t>Setiap 2 bulan, kumpulkan minimal 5 peristiwa penting dari periode itu. Cari POLA yang berulang di antara peristiwa itu — bukan menganalisis satu per satu — dan identifikasi BIAS yang mendasari pola tersebut.</t>
  </si>
  <si>
    <t>6 analisis pola-dan-bias sepanjang program (setiap 2 bulan). Termasuk verifikasi kedalaman analisis oleh Mentor.</t>
  </si>
  <si>
    <t>6 analisis selesai. Setiap analisis menyintesis minimal 5 peristiwa menjadi 1 pola dan 1 bias, bukan daftar 5 refleksi terpisah. Milestone bulan ke-6: 3 analisis.</t>
  </si>
  <si>
    <t>Prediksi Reaksi Diri Sebelum Menghadapi Situasi</t>
  </si>
  <si>
    <t>Melatih memprediksi reaksi sendiri SEBELUM situasi terjadi, berdasarkan pola yang sudah dikenali.</t>
  </si>
  <si>
    <t>Sebelum menghadapi 1 situasi yang diperkirakan akan memicu reaksi kuat (presentasi penting, negosiasi sulit, keputusan besar), tuliskan PREDIKSI bagaimana peserta akan bereaksi berdasarkan pola yang sudah dikenali dari log pola-dan-bias yang telah disusun peserta. Setelah situasi terjadi, bandingkan prediksi dengan kenyataan.</t>
  </si>
  <si>
    <t>8 prediksi dengan verifikasi setelah kejadian.</t>
  </si>
  <si>
    <t>Minimal 8 prediksi dibuat SEBELUM kejadian. Minimal 6 terbukti akurat atau mendekati akurat, menunjukkan pemahaman pola diri yang matang.</t>
  </si>
  <si>
    <t>Surat untuk Diri Sendiri dari Perspektif Orang Ketiga</t>
  </si>
  <si>
    <t>Melihat diri secara lebih objektif dan mengurangi bias dalam penilaian diri.</t>
  </si>
  <si>
    <t>Setiap 2 minggu, tulis surat untuk diri sendiri seolah ditulis pengamat netral. Jelaskan kekuatan, kelemahan, perilaku yang perlu dipertahankan/diperbaiki, dengan penekanan pada apakah perilaku peserta sehari-hari konsisten dengan nilai yang peserta yakini (autentisitas).</t>
  </si>
  <si>
    <t>Minimal 2 surat per bulan.</t>
  </si>
  <si>
    <t>Minimal 4 surat per bulan rata-rata, setiap surat menilai konsistensi antara nilai yang diyakini dan perilaku aktual.</t>
  </si>
  <si>
    <t>Retreat/Workshop Pengembangan Kesadaran Diri (Mindfulness-Based)</t>
  </si>
  <si>
    <t>Meningkatkan kemampuan refleksi jujur atas pola dan bias yang tidak disadari.</t>
  </si>
  <si>
    <t>Ikuti retreat/workshop kesadaran diri. Buat catatan refleksi mengenai blind spot dan pola perilaku yang perlu diperbaiki.</t>
  </si>
  <si>
    <t>Sertifikat; personal insight report.</t>
  </si>
  <si>
    <t>Mengikuti minimal 90% sesi dan menyerahkan Personal Insight Report yang mengidentifikasi minimal 2 bias yang sebelumnya tidak disadari.</t>
  </si>
  <si>
    <t>Pelatihan Nilai-Nilai Pribadi (Personal Values) dan Integritas</t>
  </si>
  <si>
    <t>Memahami keselarasan antara nilai pribadi dan perilaku aktual.</t>
  </si>
  <si>
    <t>Ikuti pelatihan personal values. Petakan 5 nilai pribadi utama, identifikasi perilaku yang selaras maupun tidak, susun komitmen perubahan.</t>
  </si>
  <si>
    <t>Peta nilai pribadi; analisis kesenjangan.</t>
  </si>
  <si>
    <t>Peta nilai lengkap, minimal 3 area perbaikan diidentifikasi, minimal 80% komitmen dilaksanakan.</t>
  </si>
  <si>
    <t>Workshop "Menjadi Mentor: Membagikan Pembelajaran Diri kepada Orang Lain"</t>
  </si>
  <si>
    <t>Menguasai cara membagikan pembelajaran pribadi secara bermakna kepada orang lain.</t>
  </si>
  <si>
    <t>Ikuti workshop tentang teknik mentoring dan coaching berbasis pengalaman pribadi: bagaimana membagikan pola dan pembelajaran diri tanpa terasa menggurui, dan bagaimana membantu orang lain menemukan pola mereka sendiri.</t>
  </si>
  <si>
    <t>1 rancangan sesi mentoring yang akan dijalankan pada aktivitas Experience-Based Development.</t>
  </si>
  <si>
    <t>Rancangan dinilai fasilitator layak dijalankan pada minimal 1 mentee nyata.</t>
  </si>
  <si>
    <t>Coaching Eksistensial: Menantang Kejujuran Diri</t>
  </si>
  <si>
    <t>Mengembangkan keberanian mempertanyakan asumsi diri secara mendalam.</t>
  </si>
  <si>
    <t>Sesi coaching minimal 1 kali setiap 2 minggu. Diskusikan pertanyaan reflektif mendalam tentang motif dan bias. Dokumentasikan insight dan komitmen perubahan.</t>
  </si>
  <si>
    <t>Jurnal coaching; daftar insight.</t>
  </si>
  <si>
    <t>Menghadiri minimal 80% sesi, menyusun action plan, dan realisasi minimal 70% komitmen perubahan.</t>
  </si>
  <si>
    <t>Coach</t>
  </si>
  <si>
    <t>Sesi Konseling/Terapi Reflektif</t>
  </si>
  <si>
    <t>Mengidentifikasi pola pikir dan bias yang selama ini dihindari untuk diakui.</t>
  </si>
  <si>
    <t>Sesi konseling/terapi minimal 2 kali per bulan. Bahas situasi yang memicu konflik batin. Identifikasi pola pikir/keyakinan yang dihindari.</t>
  </si>
  <si>
    <t>Catatan refleksi; daftar pola perilaku yang disadari.</t>
  </si>
  <si>
    <t>Mengikuti minimal 80% sesi terjadwal dan menghasilkan minimal 3 insight utama tentang bias diri.</t>
  </si>
  <si>
    <t>Konselor atau Terapis</t>
  </si>
  <si>
    <t>Menjadi Mentor bagi 1 Talent Lebih Junior, Membagikan Pola dan Pembelajaran Diri</t>
  </si>
  <si>
    <t>Menguji apakah pembelajaran tentang pola dan bias diri dapat dibagikan secara bermakna kepada orang lain.</t>
  </si>
  <si>
    <t>Dengan rancangan sesi mentoring yang telah disusun peserta dalam aktivitas Education-Based Development, jadi mentor bagi 1 talent lebih junior. Bagikan pola dan pembelajaran dari perjalanan peserta sendiri, dan bantu mentee mengenali pola mereka sendiri — bukan sekadar memberi nasihat generik.</t>
  </si>
  <si>
    <t>Log sesi mentoring; refleksi mentee tentang manfaat yang diperoleh.</t>
  </si>
  <si>
    <t>Minimal 6 sesi mentoring terlaksana. Mentee mengonfirmasi belajar mengenali pola dirinya sendiri dari proses ini, bukan hanya menerima nasihat, skor ≥4 (skala 1–5).</t>
  </si>
  <si>
    <t>Mentee</t>
  </si>
  <si>
    <t>Memprediksi dan Mengelola Reaksi Diri pada 3 Situasi Bertekanan Tinggi</t>
  </si>
  <si>
    <t>Membuktikan kemampuan memprediksi dan mengelola pola reaksi diri pada situasi nyata yang menekan.</t>
  </si>
  <si>
    <t>Pada 3 situasi bertekanan tinggi yang diperkirakan sebelumnya, prediksi reaksi peserta berdasarkan pola yang sudah dikenali, kelola secara matang saat situasi terjadi, dan refleksikan akurasi prediksi itu.</t>
  </si>
  <si>
    <t>3 dokumentasi: prediksi, kejadian aktual, pengelolaan, akurasi.</t>
  </si>
  <si>
    <t>3 situasi ditangani. Minimal 2 prediksi terbukti akurat, dan pengelolaan reaksi dinilai matang oleh pihak yang menyaksikan, skor ≥4 (skala 1–5).</t>
  </si>
  <si>
    <t>Membagikan Best Practice dan Pembelajaran Pribadi dalam 1 Forum Internal</t>
  </si>
  <si>
    <t>Membuktikan pembelajaran pribadi benar-benar dibagikan untuk meningkatkan efektivitas orang lain.</t>
  </si>
  <si>
    <t>Sampaikan dalam 1 forum internal (bisa lintas fungsi) tentang pola, bias, dan pembelajaran pribadi yang relevan bagi audiens — bukan pencapaian, melainkan PROSES belajar mengenali diri sendiri.</t>
  </si>
  <si>
    <t>Materi forum; umpan balik dari audiens.</t>
  </si>
  <si>
    <t>Forum terlaksana. Minimal 5 peserta mengonfirmasi mendapatkan wawasan yang dapat mereka terapkan pada pengenalan pola diri mereka sendiri, skor ≥4 (skala 1–5).</t>
  </si>
  <si>
    <t>Audiens Forum</t>
  </si>
  <si>
    <t>Penugasan pada Situasi Bertekanan Tinggi untuk Menguji Autentisitas</t>
  </si>
  <si>
    <t>Menguji apakah perilaku tetap konsisten dengan nilai yang diyakini saat tertekan.</t>
  </si>
  <si>
    <t>Terlibat dalam proyek/tugas dengan tekanan waktu tinggi atau potensi konflik. Refleksikan reaksi pribadi, keputusan yang diambil, dan APAKAH tindakan itu konsisten dengan nilai yang peserta yakini (dari peta nilai yang disusun peserta dalam aktivitas Education-Based Development).</t>
  </si>
  <si>
    <t>Laporan refleksi pasca-penugasan.</t>
  </si>
  <si>
    <t>Laporan diselesaikan maksimal 7 hari setelah penugasan, memuat minimal 3 pembelajaran dan penilaian jujur tentang konsistensi antara nilai dan tindakan aktual di bawah tekanan.</t>
  </si>
  <si>
    <t>Log "Saya Lihat, Saya Bertindak sebagai Pemimpin"</t>
  </si>
  <si>
    <t>Mengukur jarak waktu antara melihat kebutuhan tindakan kepemimpinan dan bertindak.</t>
  </si>
  <si>
    <t>Setiap kali peserta melihat situasi tim yang membutuhkan seseorang mengambil peran memimpin — mengoordinasikan, menengahi, mengarahkan — catat: apa yang peserta lihat, apakah peserta bertindak tanpa diminta, dan berapa lama jaraknya.</t>
  </si>
  <si>
    <t>Log minimal 24 kesempatan. Termasuk rekap triwulanan.</t>
  </si>
  <si>
    <t>Minimal 24 kesempatan tercatat. Proporsi yang direspons tanpa diminta naik dari baseline menjadi ≥60% pada triwulan 4. Milestone bulan ke-6: 12 kesempatan.</t>
  </si>
  <si>
    <t>Latihan "Mengambil Peran Memimpin Rapat Kecil Tanpa Ditunjuk"</t>
  </si>
  <si>
    <t>Membiasakan mengambil inisiatif memimpin tanpa menunggu ditunjuk.</t>
  </si>
  <si>
    <t>Pada rapat kecil atau diskusi tim yang belum ada pemimpin jelas, tawarkan diri memimpin (mengarahkan agenda, merangkum keputusan) tanpa menunggu ditunjuk. Catat pengalaman.</t>
  </si>
  <si>
    <t>Log minimal 15 kesempatan.</t>
  </si>
  <si>
    <t>Minimal 15 kesempatan tercatat. Minimal 10 benar-benar mengambil peran tanpa ditunjuk lebih dulu.</t>
  </si>
  <si>
    <t>Refleksi "Kapan Saya Menunggu Ditunjuk"</t>
  </si>
  <si>
    <t>Menemukan pola yang membuat peserta menunggu ditunjuk sebelum mengambil peran memimpin.</t>
  </si>
  <si>
    <t>Setiap bulan, ambil 1 kesempatan memimpin yang terlewat karena peserta menunggu ditunjuk. Telusuri apa yang membuat peserta menunggu.</t>
  </si>
  <si>
    <t>Minimal 10 dari 12 refleksi selesai. Minimal 2 pola menunggu teridentifikasi dan turun ≥50% dari baseline.</t>
  </si>
  <si>
    <t>Workshop "Dari Ditunjuk Menjadi Berinisiatif Memimpin"</t>
  </si>
  <si>
    <t>Menguasai cara mengenali momen yang membutuhkan inisiatif kepemimpinan.</t>
  </si>
  <si>
    <t>Ikuti workshop tentang mengenali momen tim membutuhkan seseorang mengambil peran memimpin, dan mengambil peran itu tanpa menunggu penunjukan formal.</t>
  </si>
  <si>
    <t>Sertifikat; daftar 5 situasi tim yang membutuhkan inisiatif kepemimpinan.</t>
  </si>
  <si>
    <t>Daftar disetujui Atasan. Minimal 3 dari 5 situasi direspons dengan inisiatif memimpin tanpa ditunjuk.</t>
  </si>
  <si>
    <t>Kursus Online "First-Time Leadership: Taking Charge Without Being Asked"</t>
  </si>
  <si>
    <t>Mempelajari cara mengambil peran kepemimpinan informal secara proaktif.</t>
  </si>
  <si>
    <t>Selesaikan kursus tentang kepemimpinan informal — mengambil peran memimpin tanpa jabatan formal, dan membangun kredibilitas melalui inisiatif.</t>
  </si>
  <si>
    <t>Sertifikat; laporan penerapan pada 2 situasi nyata. Termasuk validasi Atasan.</t>
  </si>
  <si>
    <t>2 situasi didokumentasikan menunjukkan inisiatif memimpin tanpa ditunjuk.</t>
  </si>
  <si>
    <t>Micro-learning "Mengenali Momen yang Membutuhkan Kepemimpinan"</t>
  </si>
  <si>
    <t>Melatih kepekaan mengenali momen tim membutuhkan seseorang mengambil peran memimpin.</t>
  </si>
  <si>
    <t>Selesaikan modul tentang tanda-tanda tim membutuhkan arahan — kebingungan, konflik kecil, tidak ada yang mengoordinasikan — sebelum situasi memburuk.</t>
  </si>
  <si>
    <t>Sertifikat; daftar 5 tanda yang akan diwaspadai. Termasuk verifikasi oleh Mentor.</t>
  </si>
  <si>
    <t>5 dari 5 tanda relevan dengan konteks tim peserta.</t>
  </si>
  <si>
    <t>Observasi Rekan yang Sering Mengambil Peran Memimpin Tanpa Ditunjuk</t>
  </si>
  <si>
    <t>Mempelajari cara rekan yang aktif mengambil inisiatif kepemimpinan informal.</t>
  </si>
  <si>
    <t>Amati 1 rekan yang dikenal sering mengambil peran memimpin tanpa ditunjuk. Catat momen yang ia pilih dan caranya.</t>
  </si>
  <si>
    <t>1 laporan observasi; daftar 4 pola.</t>
  </si>
  <si>
    <t>Minimal 3 pola diadopsi dan terdokumentasi dalam log peserta.</t>
  </si>
  <si>
    <t>Feedback dari Rekan tentang Inisiatif Kepemimpinan Peserta</t>
  </si>
  <si>
    <t>Mengukur persepsi rekan atas kecenderungan mengambil inisiatif memimpin.</t>
  </si>
  <si>
    <t>Minta 3 rekan menilai: apakah peserta cenderung mengambil peran memimpin ketika dibutuhkan, atau menunggu ditunjuk.</t>
  </si>
  <si>
    <t>Catatan feedback; area perbaikan.</t>
  </si>
  <si>
    <t>Minimal 2 area perbaikan diidentifikasi dan ditindaklanjuti.</t>
  </si>
  <si>
    <t>Umpan Balik 360° "Inisiatif Mengambil Peran Memimpin"</t>
  </si>
  <si>
    <t>Mengukur persepsi rekan dan atasan atas inisiatif kepemimpinan peserta.</t>
  </si>
  <si>
    <t>Kuesioner pre (bulan 1) dan post (bulan 11) kepada 5 responden. Butir RA2: "Ia mengambil peran memimpin ketika dibutuhkan, tanpa menunggu ditunjuk"; "Ia bertindak lebih dulu saat melihat tim membutuhkan arahan".</t>
  </si>
  <si>
    <t>Kenaikan rata-rata ≥1 poin (skala 1–5). Butir "tanpa menunggu ditunjuk" wajib naik ≥1 poin (skala 1–5).</t>
  </si>
  <si>
    <t>Mengambil Peran Memimpin Tanpa Ditunjuk pada 8 Kesempatan Nyata</t>
  </si>
  <si>
    <t>Membuktikan inisiatif kepemimpinan yang konsisten.</t>
  </si>
  <si>
    <t>Sepanjang program, ambil peran memimpin (memimpin rapat, mengoordinasikan tugas tim, menengahi kebingungan) pada 8 kesempatan nyata tanpa ditunjuk lebih dulu.</t>
  </si>
  <si>
    <t>8 dokumentasi kesempatan. Termasuk review bulan ke-6 oleh Atasan dan konfirmasi Atasan untuk minimal 6 kesempatan.</t>
  </si>
  <si>
    <t>8 kesempatan diambil, seluruhnya atas inisiatif sendiri. Minimal 6 kesempatan. Milestone bulan ke-6: 4 kesempatan.</t>
  </si>
  <si>
    <t>Mengantisipasi 1 Kebutuhan Kepemimpinan Sebelum Menjadi Masalah</t>
  </si>
  <si>
    <t>Menguji kemampuan bertindak sebelum kebutuhan kepemimpinan menjadi krisis.</t>
  </si>
  <si>
    <t>Identifikasi 1 situasi tim yang berpotensi butuh arahan sebelum benar-benar menjadi masalah. Ambil peran memimpin lebih awal untuk mencegahnya.</t>
  </si>
  <si>
    <t>1 dokumentasi antisipasi. Termasuk konfirmasi Atasan bahwa antisipasi mencegah masalah lebih besar.</t>
  </si>
  <si>
    <t>1 dari 1 antisipasi dilakukan sebelum masalah membesar.</t>
  </si>
  <si>
    <t>Mengajak 1 Rekan Ikut Mengambil Peran Memimpin Tanpa Ditunjuk</t>
  </si>
  <si>
    <t>Menguji apakah inisiatif kepemimpinan menular ke orang lain.</t>
  </si>
  <si>
    <t>Dampingi 1 rekan yang cenderung menunggu ditunjuk untuk mengambil peran memimpin pada 1 kesempatan.</t>
  </si>
  <si>
    <t>1 catatan pendampingan.</t>
  </si>
  <si>
    <t>Rekan mengambil peran memimpin dan mengonfirmasi merasa lebih berani setelah didampingi, skor ≥4 (skala 1–5).</t>
  </si>
  <si>
    <t>Rekan yang Didampingi</t>
  </si>
  <si>
    <t>Log "Dasar Saya Mengurutkan Pekerjaan Tim"</t>
  </si>
  <si>
    <t>Mengukur dasar yang dipakai untuk mengurutkan pekerjaan tim yang bersaing.</t>
  </si>
  <si>
    <t>Setiap kali menghadapi lebih dari 2 tugas tim yang bersaing memperebutkan waktu, catat: tugas apa saja, urutan yang peserta tetapkan, dan dasar sebenarnya.</t>
  </si>
  <si>
    <t>Log minimal 24 situasi. Termasuk rekap triwulanan.</t>
  </si>
  <si>
    <t>Minimal 24 situasi tercatat. Proporsi berdasar dampak naik menjadi ≥50% pada triwulan 4. Milestone bulan ke-6: 12 situasi.</t>
  </si>
  <si>
    <t>Latihan "Mengomunikasikan Prioritas kepada Tim"</t>
  </si>
  <si>
    <t>Melatih menjelaskan dasar urutan prioritas kepada tim, bukan hanya menetapkannya sendiri.</t>
  </si>
  <si>
    <t>Setiap kali menetapkan urutan prioritas untuk tugas tim, jelaskan kepada anggota tim dasarnya — mengapa tugas ini lebih dulu daripada yang lain.</t>
  </si>
  <si>
    <t>Log 20 komunikasi prioritas. Termasuk konfirmasi anggota tim.</t>
  </si>
  <si>
    <t>Minimal 20 komunikasi tercatat. Minimal 15 dikonfirmasi anggota tim sebagai jelas dan masuk akal.</t>
  </si>
  <si>
    <t>Refleksi "Keterkaitan Antar Tugas yang Terlewat"</t>
  </si>
  <si>
    <t>Menemukan ketergantungan antar tugas yang terlewat saat mengurutkan.</t>
  </si>
  <si>
    <t>Setiap bulan, ambil 1 situasi ketika urutan yang ditetapkan mengabaikan ketergantungan pada tugas atau pihak lain. Telusuri apa yang terlewat.</t>
  </si>
  <si>
    <t>Minimal 10 dari 12 refleksi selesai. Minimal 6 pola ketergantungan teridentifikasi.</t>
  </si>
  <si>
    <t>Workshop "Mengurutkan dan Mengomunikasikan Prioritas Tim Berdasarkan Dampak"</t>
  </si>
  <si>
    <t>Menguasai kerangka mengurutkan berdasarkan dampak dan mengomunikasikannya kepada tim.</t>
  </si>
  <si>
    <t>Ikuti workshop tentang urgent-important matrix, keterkaitan antar tugas, dan cara mengomunikasikan prioritas agar tim memahami tanpa perlu terus bertanya.</t>
  </si>
  <si>
    <t>1 kerangka pengurutan yang dipakai peserta dalam aktivitas ini. Termasuk persetujuan Atasan.</t>
  </si>
  <si>
    <t>Kerangka disetujui Atasan dan dipakai pada minimal 10 situasi.</t>
  </si>
  <si>
    <t>Kursus Online "Leading Teams Through Competing Priorities"</t>
  </si>
  <si>
    <t>Mempelajari cara memimpin tim yang menghadapi banyak tugas bersaing.</t>
  </si>
  <si>
    <t>Selesaikan kursus tentang mengelola beban kerja tim yang majemuk dan mengomunikasikan perubahan prioritas.</t>
  </si>
  <si>
    <t>1 rencana penerapan pada tim sendiri. Termasuk konfirmasi Atasan.</t>
  </si>
  <si>
    <t>Rencana diterapkan dan dikonfirmasi Atasan sebagai efektif mengurangi kebingungan prioritas tim.</t>
  </si>
  <si>
    <t>Micro-learning "Mengenali Keterkaitan Antar Tugas"</t>
  </si>
  <si>
    <t>Melatih mengenali ketergantungan antar tugas sebelum menetapkan urutan.</t>
  </si>
  <si>
    <t>Selesaikan modul tentang memetakan ketergantungan antar tugas dan pihak sebelum menetapkan urutan prioritas.</t>
  </si>
  <si>
    <t>Sertifikat; 1 pemetaan ketergantungan untuk tugas tim yang sedang berjalan. Termasuk konfirmasi Atasan.</t>
  </si>
  <si>
    <t>Pemetaan dikonfirmasi Atasan sebagai akurat dan dipakai untuk menyesuaikan urutan yang sudah ditetapkan.</t>
  </si>
  <si>
    <t>Diskusi dengan Rekan Senior tentang Mengurutkan Pekerjaan Tim</t>
  </si>
  <si>
    <t>Mempelajari dasar pengurutan yang dipakai senior untuk tim mereka.</t>
  </si>
  <si>
    <t>Diskusi dengan rekan senior tentang bagaimana mereka mengurutkan pekerjaan tim yang bersaing dan mengomunikasikannya.</t>
  </si>
  <si>
    <t>Catatan diskusi; dasar yang diadopsi.</t>
  </si>
  <si>
    <t>Minimal 3 dasar pengurutan diadopsi dan diterapkan pada log peserta dalam aktivitas ini.</t>
  </si>
  <si>
    <t>Meminta Anggota Tim Menantang Urutan Prioritas yang Ditetapkan</t>
  </si>
  <si>
    <t>Menguji apakah urutan yang ditetapkan benar-benar berdasar dampak.</t>
  </si>
  <si>
    <t>Setiap bulan, tunjukkan urutan prioritas tim kepada 1 anggota. Minta mereka menantang apakah urutan itu berdasar dampak atau kemudahan.</t>
  </si>
  <si>
    <t>Catatan tantangan; revisi urutan.</t>
  </si>
  <si>
    <t>Minimal 6 sesi terlaksana. Minimal 3 urutan direvisi setelah ditantang.</t>
  </si>
  <si>
    <t>Umpan Balik 360° "Kejelasan Prioritas dari Pemimpin Saya"</t>
  </si>
  <si>
    <t>Mengukur persepsi tim atas kejelasan prioritas yang dikomunikasikan.</t>
  </si>
  <si>
    <t>Kuesioner pre (bulan 1) dan post (bulan 11) kepada minimal 5 anggota tim. Butir RA5: "Saya tahu mengapa tugas tertentu diprioritaskan lebih dulu"; "Prioritas yang ditetapkan mempertimbangkan dampak, bukan sekadar urutan datang".</t>
  </si>
  <si>
    <t>Kenaikan rata-rata ≥1 poin (skala 1–5).</t>
  </si>
  <si>
    <t>Mengurutkan dan Mengomunikasikan Prioritas pada 8 Situasi Beban Tim Bersaing</t>
  </si>
  <si>
    <t>Membuktikan pengurutan berdasar dampak yang dikomunikasikan jelas kepada tim.</t>
  </si>
  <si>
    <t>Pada 8 situasi nyata tim menghadapi tugas bersaing, urutkan berdasarkan dampak, komunikasikan dasarnya kepada tim, dan tinjau ulang bila situasi berubah.</t>
  </si>
  <si>
    <t>8 dokumentasi. Termasuk review bulan ke-6 oleh Atasan.</t>
  </si>
  <si>
    <t>8 situasi ditangani. Minimal 6 dikonfirmasi tim sebagai jelas dan berdasar dampak. Milestone bulan ke-6: 4 situasi.</t>
  </si>
  <si>
    <t>Menyesuaikan Ulang Prioritas Tim Setelah Situasi Berubah pada 2 Kesempatan</t>
  </si>
  <si>
    <t>Menguji kesediaan meninjau ulang urutan ketika keadaan berubah.</t>
  </si>
  <si>
    <t>Pada 2 kesempatan nyata situasi tim berubah signifikan, tinjau ulang urutan prioritas dan komunikasikan perubahannya kepada tim.</t>
  </si>
  <si>
    <t>2 dokumentasi peninjauan ulang. Termasuk persetujuan Atasan dan komunikasi kepada tim.</t>
  </si>
  <si>
    <t>Kedua peninjauan ulang disetujui Atasan sebagai respons yang tepat terhadap perubahan, dikomunikasikan jelas kepada tim.</t>
  </si>
  <si>
    <t>Mengurangi Kebutuhan Mengambil Alih Tugas Tim Melalui Prioritas yang Jelas</t>
  </si>
  <si>
    <t>Menguji apakah prioritas yang jelas mengurangi kecenderungan mengambil alih pekerjaan tim.</t>
  </si>
  <si>
    <t>Bandingkan frekuensi peserta mengambil alih tugas tim sebelum dan setelah menerapkan komunikasi prioritas yang jelas dari log peserta dalam aktivitas ini.</t>
  </si>
  <si>
    <t>1 laporan perbandingan. Termasuk konfirmasi Atasan.</t>
  </si>
  <si>
    <t>Frekuensi mengambil alih tugas turun ≥50% dari baseline, dikonfirmasi Atasan, karena tim sudah memahami prioritas dengan jelas tanpa perlu diambil alih.</t>
  </si>
  <si>
    <t>Jurnal "3 Sudut Pandang" Mingguan</t>
  </si>
  <si>
    <t>Melatih kebiasaan melihat setiap situasi dari minimal 3 perspektif berbeda.</t>
  </si>
  <si>
    <t>Setiap minggu, pilih 1 keputusan atau situasi kerja. Tulis analisis dari 3 sudut pandang berbeda.</t>
  </si>
  <si>
    <t>Jurnal mingguan (16 entri).</t>
  </si>
  <si>
    <t>80% minggu terisi dan minimal 4 entri mendapat skor ≥4 (skala 1–5) dari Mentor.</t>
  </si>
  <si>
    <t>Latihan "Menyusun Ekspektasi yang Jelas untuk Setiap Tugas"</t>
  </si>
  <si>
    <t>Melatih menuliskan tujuan, hasil yang diharapkan, dan ukuran keberhasilan sebelum mendelegasikan tugas.</t>
  </si>
  <si>
    <t>Sebelum memberikan tugas kepada anggota tim, tuliskan: apa tujuannya, seperti apa hasil yang diharapkan, dan ukuran keberhasilannya. Sampaikan secara eksplisit, bukan diasumsikan dipahami.</t>
  </si>
  <si>
    <t>Log minimal 20 penugasan dengan ekspektasi tertulis.</t>
  </si>
  <si>
    <t>Minimal 20 penugasan tercatat. Minimal 15 anggota tim mengonfirmasi memahami ekspektasi tanpa perlu bertanya ulang.</t>
  </si>
  <si>
    <t>Analisis "Keputusan Kontroversial"</t>
  </si>
  <si>
    <t>Melatih kemampuan menganalisis keputusan dari berbagai perspektif stakeholder.</t>
  </si>
  <si>
    <t>Pilih 1 keputusan organisasi yang kontroversial. Tulis analisis dari 4 stakeholder berbeda.</t>
  </si>
  <si>
    <t>3 analisis keputusan.</t>
  </si>
  <si>
    <t>Setiap analisis mencakup minimal 4 perspektif berbeda dan dikonfirmasi Atasan.</t>
  </si>
  <si>
    <t>Workshop "Multi-Perspective Thinking for Leaders"</t>
  </si>
  <si>
    <t>Menguasai kerangka analisis multi-perspektif.</t>
  </si>
  <si>
    <t>Pelatihan 2 hari tentang Six Thinking Hats, stakeholder mapping, perspective-taking.</t>
  </si>
  <si>
    <t>Sertifikat; peta perspektif untuk 1 kasus nyata.</t>
  </si>
  <si>
    <t>Lulus studi kasus dengan skor minimal 80 (skala 0–100).</t>
  </si>
  <si>
    <t>Workshop "Setting Clear Direction: Menghilangkan Kebutuhan Terus Bertanya"</t>
  </si>
  <si>
    <t>Menguasai teknik memberi kejelasan arah agar tim tidak perlu terus bertanya.</t>
  </si>
  <si>
    <t>Ikuti workshop tentang menetapkan tujuan, pembagian peran, dan ukuran keberhasilan yang disepakati bersama, serta cara memverifikasi pemahaman tim.</t>
  </si>
  <si>
    <t>1 kerangka penetapan ekspektasi yang dipakai peserta dalam aktivitas ini.</t>
  </si>
  <si>
    <t>Kerangka disetujui Atasan dan dipakai pada minimal 10 penugasan.</t>
  </si>
  <si>
    <t>Micro-learning "System Thinking &amp; Stakeholder Analysis"</t>
  </si>
  <si>
    <t>Belajar melihat masalah sebagai sistem dengan berbagai pemangku kepentingan.</t>
  </si>
  <si>
    <t>Selesaikan modul tentang system thinking dan stakeholder analysis.</t>
  </si>
  <si>
    <t>2 diagram sistem untuk masalah di unit kerja.</t>
  </si>
  <si>
    <t>2 diagram mendapat skor ≥4 (skala 1–5) dari Atasan.</t>
  </si>
  <si>
    <t>"Perspective Circle" dengan Peer dari Berbagai Fungsi</t>
  </si>
  <si>
    <t>Berlatih melihat masalah dari perspektif berbagai fungsi secara rutin.</t>
  </si>
  <si>
    <t>Bentuk circle 5 orang dari fungsi berbeda. Setiap 2 minggu, satu orang memaparkan masalah.</t>
  </si>
  <si>
    <t>10 sesi.</t>
  </si>
  <si>
    <t>10 dari 10 sesi menghasilkan minimal 4 perspektif baru.</t>
  </si>
  <si>
    <t>Meminta Anggota Tim Memverifikasi Pemahaman Ekspektasi</t>
  </si>
  <si>
    <t>Menguji apakah ekspektasi yang disampaikan benar-benar dipahami tim.</t>
  </si>
  <si>
    <t>Setiap bulan, minta 2 anggota tim menjelaskan kembali dengan kata mereka sendiri apa yang diharapkan dari tugas yang baru diberikan.</t>
  </si>
  <si>
    <t>Log minimal 8 verifikasi.</t>
  </si>
  <si>
    <t>Minimal 8 verifikasi terlaksana. Minimal 6 menunjukkan pemahaman yang akurat tanpa perlu dikoreksi.</t>
  </si>
  <si>
    <t>Umpan Balik 360° tentang "Kejelasan Arah dan Mempertimbangkan Perspektif"</t>
  </si>
  <si>
    <t>Mengukur persepsi tim atas kedua indikator sekaligus.</t>
  </si>
  <si>
    <t>Kuesioner pre (bulan 1) dan post (bulan 11) kepada 6 responden. Butir PA6: "Ia mempertimbangkan pendapat berbeda sebelum memutuskan". Butir PA8: "Saya tahu apa yang diharapkan dari saya tanpa harus terus bertanya".</t>
  </si>
  <si>
    <t>Kenaikan rata-rata ≥1 poin (skala 1–5) pada kedua indikator.</t>
  </si>
  <si>
    <t>Memimpin Proyek dengan Tim Lintas Fungsi (3–6 bulan)</t>
  </si>
  <si>
    <t>Mempraktikkan analisis multi-perspektif dalam proyek nyata.</t>
  </si>
  <si>
    <t>Pimpin proyek yang melibatkan minimal 2 fungsi berbeda. Pertimbangkan perspektif setiap fungsi dalam pengambilan keputusan.</t>
  </si>
  <si>
    <t>Dokumentasi keputusan proyek; peta perspektif. Termasuk review bulan ke-6 oleh Atasan.</t>
  </si>
  <si>
    <t>Rata-rata skor "perspektif saya dipertimbangkan" dari tim ≥4 (skala 1–5).</t>
  </si>
  <si>
    <t>Menetapkan Ekspektasi yang Jelas untuk 5 Tugas Tim Sehingga Tidak Ada yang Bertanya Ulang</t>
  </si>
  <si>
    <t>Membuktikan ekspektasi yang jelas mengurangi kebutuhan bertanya berulang.</t>
  </si>
  <si>
    <t>Untuk 5 tugas tim, tetapkan tujuan, peran, dan ukuran keberhasilan secara eksplisit di muka. Pantau apakah anggota tim masih perlu bertanya ulang.</t>
  </si>
  <si>
    <t>5 dokumentasi penugasan dengan ekspektasi tertulis.</t>
  </si>
  <si>
    <t>5 tugas ditangani. Minimal 4 tidak memerlukan pertanyaan ulang dari anggota tim tentang apa yang diharapkan. Milestone bulan ke-6: 2 tugas.</t>
  </si>
  <si>
    <t>Menyusun Stakeholder Perspective Map untuk 1 Keputusan Strategis</t>
  </si>
  <si>
    <t>Menerapkan analisis multi-perspektif pada keputusan strategis nyata.</t>
  </si>
  <si>
    <t>Pilih 1 keputusan strategis. Petakan perspektif semua stakeholder yang terpengaruh.</t>
  </si>
  <si>
    <t>Peta stakeholder; rekomendasi keputusan.</t>
  </si>
  <si>
    <t>Rekomendasi dipresentasikan dan minimal 1 disetujui Atasan untuk digunakan.</t>
  </si>
  <si>
    <t>Jurnal "Menangkap Emosi" Harian</t>
  </si>
  <si>
    <t>Melatih kepekaan terhadap isyarat emosional.</t>
  </si>
  <si>
    <t>Catat 20 interaksi dengan anggota tim/rekan. Identifikasi emosi yang dirasakan, bukti spesifik, konfirmasi bila memungkinkan.</t>
  </si>
  <si>
    <t>Jurnal (20 entri). Termasuk konfirmasi akurasi identifikasi emosi.</t>
  </si>
  <si>
    <t>Minimal 20 entri; akurasi identifikasi emosi ≥75% berdasarkan konfirmasi.</t>
  </si>
  <si>
    <t>Latihan "Dampak Kata-Kata Saya" Setelah Setiap Interaksi Penting</t>
  </si>
  <si>
    <t>Melatih menyadari dampak perilaku sendiri terhadap emosi orang lain.</t>
  </si>
  <si>
    <t>Setelah setiap interaksi penting dengan anggota tim, peserta menanyakan kepada diri sendiri: "apa yang SAYA lakukan atau katakan yang mungkin menyebabkan reaksi mereka?" — bukan hanya "apa yang mereka rasakan". Verifikasi kepada orangnya bila memungkinkan.</t>
  </si>
  <si>
    <t>Log minimal 15 refleksi dampak diri. Termasuk verifikasi oleh Mentor dan konfirmasi orang yang bersangkutan.</t>
  </si>
  <si>
    <t>Minimal 15 refleksi tercatat. Minimal 10 mengidentifikasi dengan tepat perilaku peserta sendiri sebagai penyebab, dikonfirmasi orang yang bersangkutan.</t>
  </si>
  <si>
    <t>Menyusun "Toolkit Penyesuaian Perilaku Berdasarkan Dampak"</t>
  </si>
  <si>
    <t>Menyiapkan penyesuaian perilaku konkret berdasarkan kesadaran dampak diri.</t>
  </si>
  <si>
    <t>Berdasarkan pola dari log dampak diri peserta dalam aktivitas ini, susun minimal 3 penyesuaian perilaku spesifik (cara bicara, waktu memberi masukan, nada suara) yang akan peserta terapkan agar dampaknya lebih positif.</t>
  </si>
  <si>
    <t>1 toolkit; catatan penerapan. Termasuk verifikasi Mentor.</t>
  </si>
  <si>
    <t>Toolkit diterapkan pada minimal 8 interaksi. Minimal 6 dari 8 interaksi menunjukkan dampak yang lebih positif dibanding sebelumnya.</t>
  </si>
  <si>
    <t>Workshop "Empathy for Leaders: From Cognitive to Affective Empathy"</t>
  </si>
  <si>
    <t>Menguasai perbedaan empati kognitif vs afektif, teknik merespons emosi.</t>
  </si>
  <si>
    <t>Pelatihan 2 hari mencakup deteksi micro-expressions, empathetic listening, cara merespons emosi sulit.</t>
  </si>
  <si>
    <t>Sertifikat; rencana aksi 3 teknik. Termasuk penilaian studi kasus oleh Fasilitator.</t>
  </si>
  <si>
    <t>Skor studi kasus ≥80 (skala 0–100); rencana aksi memuat 3 dari 3 teknik.</t>
  </si>
  <si>
    <t>Kursus Online "Self-Awareness: How Your Behavior Shapes Others' Reactions"</t>
  </si>
  <si>
    <t>Menguasai kesadaran atas dampak perilaku sendiri terhadap orang lain.</t>
  </si>
  <si>
    <t>Selesaikan kursus tentang bagaimana gaya komunikasi, nada, dan keputusan seorang pemimpin membentuk reaksi bawahannya, dan teknik menyesuaikan diri.</t>
  </si>
  <si>
    <t>Sertifikat; analisis 3 kasus di mana perilaku peserta sendiri menyebabkan reaksi tertentu. Termasuk konfirmasi Mentor.</t>
  </si>
  <si>
    <t>3 dari 3 analisis dikonfirmasi Mentor sebagai identifikasi akurat atas hubungan sebab-akibat antara perilaku peserta dan reaksi orang lain.</t>
  </si>
  <si>
    <t>Micro-learning "Managing Difficult Emotions in Teams"</t>
  </si>
  <si>
    <t>Mempelajari protokol merespons emosi negatif dalam tim.</t>
  </si>
  <si>
    <t>Selesaikan modul tentang teknik de-eskalasi emosi dan cara menenangkan tim.</t>
  </si>
  <si>
    <t>Studi kasus tertulis untuk 2 skenario. Termasuk penilaian Atasan.</t>
  </si>
  <si>
    <t>2 dari 2 studi kasus mendapat skor ≥4 (skala 1–5).</t>
  </si>
  <si>
    <t>"Empathy Circle" dengan Peer Department Head</t>
  </si>
  <si>
    <t>Melatih empati afektif dalam lingkungan aman.</t>
  </si>
  <si>
    <t>Bentuk kelompok 5 orang setara. Berbagi tantangan emosional sebagai pemimpin, saling merespons tanpa memberi solusi.</t>
  </si>
  <si>
    <t>10 sesi. Termasuk rekap penilaian empati.</t>
  </si>
  <si>
    <t>Rata-rata skor empati dari Peserta Forum ≥4 (skala 1–5).</t>
  </si>
  <si>
    <t>Meminta Anggota Tim Mengonfirmasi Dampak Perilaku Peserta terhadap Mereka</t>
  </si>
  <si>
    <t>Menguji apakah kesadaran dampak diri sesuai dengan yang benar-benar dirasakan orang lain.</t>
  </si>
  <si>
    <t>Setiap 2 bulan, peserta menanyakan kepada 2 anggota tim: bagaimana cara peserta berkomunikasi atau memutuskan sesuatu mempengaruhi mereka — positif maupun negatif.</t>
  </si>
  <si>
    <t>Minimal 5 sesi konfirmasi. Termasuk bukti penyesuaian perilaku setelahnya.</t>
  </si>
  <si>
    <t>Minimal 5 sesi terlaksana. Minimal 4 dari 5 mengonfirmasi kesadaran peserta akurat, dengan bukti penyesuaian perilaku setelahnya.</t>
  </si>
  <si>
    <t>Umpan Balik 360° "Empati dan Kesadaran Dampak Diri"</t>
  </si>
  <si>
    <t>Kuesioner pre (bulan 1) dan post (bulan 11) kepada minimal 6 responden. Butir PA9: "Atasan saya mampu merasakan apa yang saya rasakan". Butir SA8: "Atasan saya menyadari bagaimana caranya berkomunikasi mempengaruhi saya, dan menyesuaikannya".</t>
  </si>
  <si>
    <t>2 laporan (pre dan post). Termasuk rekap pre-post.</t>
  </si>
  <si>
    <t>Kenaikan rata-rata ≥1 poin (skala 1–5) pada kedua indikator. Butir SA8 wajib naik ≥1 poin (skala 1–5).</t>
  </si>
  <si>
    <t>Memfasilitasi Sesi Refleksi Emosi Tim (3x, setiap 2 bulan)</t>
  </si>
  <si>
    <t>Mempraktikkan empati dalam setting kelompok.</t>
  </si>
  <si>
    <t>Jadwalkan sesi mendengarkan 1 jam setiap 2 bulan. Dengarkan, validasi perasaan, rangkum emosi dan kebutuhan tim.</t>
  </si>
  <si>
    <t>3 sesi terdokumentasi. Termasuk review bulan ke-6 oleh Atasan.</t>
  </si>
  <si>
    <t>Rata-rata skor feedback ≥4 (skala 1–5) dari Anggota Tim. Milestone bulan ke-6: 1–2 sesi terlaksana.</t>
  </si>
  <si>
    <t>Menyesuaikan Gaya Komunikasi untuk 3 Anggota Tim Berdasarkan Kesadaran Dampak Diri</t>
  </si>
  <si>
    <t>Membuktikan penyesuaian perilaku nyata berdasarkan kesadaran dampak diri.</t>
  </si>
  <si>
    <t>Untuk 3 anggota tim yang bereaksi berbeda terhadap gaya komunikasi peserta, sengaja sesuaikan cara peserta berkomunikasi berdasarkan kesadaran dampak yang sudah dipelajari.</t>
  </si>
  <si>
    <t>3 dokumentasi penyesuaian dan hasilnya. Termasuk konfirmasi Anggota Tim.</t>
  </si>
  <si>
    <t>3 dari 3 penyesuaian dikonfirmasi Anggota Tim sebagai perubahan nyata berdampak positif, skor ≥4 (skala 1–5).</t>
  </si>
  <si>
    <t>Menangani 1 Kasus Anggota Tim dengan Masalah Emosional (Bukan Teknis)</t>
  </si>
  <si>
    <t>Menerapkan empati afektif untuk mendampingi anggota tim.</t>
  </si>
  <si>
    <t>Identifikasi 1 anggota tim yang mengalami tekanan emosional. Lakukan sesi empati murni tanpa memberi solusi teknis.</t>
  </si>
  <si>
    <t>Laporan kasus (anonim). Termasuk skor Anggota Tim dan konfirmasi Atasan atas prosedur consent/escalation.</t>
  </si>
  <si>
    <t>Anggota Tim memberi skor ≥4 (skala 1–5) pada aspek merasa didengar/dipahami. Prosedur consent dan escalation pathway diikuti bila diperlukan.</t>
  </si>
  <si>
    <t>Log "Membaca Kesiapan dan Menyesuaikan Gaya"</t>
  </si>
  <si>
    <t>Mengukur kesediaan menyesuaikan gaya memimpin berdasarkan kesiapan individu.</t>
  </si>
  <si>
    <t>Setiap kali memberikan tugas kepada anggota tim, catat: tingkat kesiapan mereka pada tugas itu (baru vs berpengalaman), gaya yang peserta pakai (banyak arahan vs banyak ruang), dan apakah gaya itu disesuaikan dengan kesiapan mereka atau sama untuk semua.</t>
  </si>
  <si>
    <t>Log minimal 24 penugasan. Termasuk rekap triwulanan.</t>
  </si>
  <si>
    <t>Minimal 24 penugasan tercatat. Proporsi yang disesuaikan dengan kesiapan naik menjadi ≥70% pada triwulan 4. Milestone bulan ke-6: 12 penugasan.</t>
  </si>
  <si>
    <t>Latihan "Jeda Sebelum Merespons dalam Tekanan"</t>
  </si>
  <si>
    <t>Melatih jeda sadar sebelum merespons saat emosi tinggi.</t>
  </si>
  <si>
    <t>Setiap kali menghadapi situasi bertekanan yang memicu emosi kuat, beri jeda minimal 10 detik sebelum merespons. Catat keberhasilan.</t>
  </si>
  <si>
    <t>Minimal 20 kesempatan tercatat. Proporsi berhasil memberi jeda naik ≥20% dari baseline.</t>
  </si>
  <si>
    <t>Analisis "Satu Gaya untuk Semua Orang yang Ternyata Tidak Efektif"</t>
  </si>
  <si>
    <t>Menemukan pola memakai gaya yang sama untuk orang dengan kesiapan berbeda.</t>
  </si>
  <si>
    <t>Setiap bulan, ambil 1 kasus di mana peserta memakai gaya yang sama untuk 2 orang dengan tingkat kesiapan berbeda, dan hasilnya tidak optimal untuk salah satu. Telusuri apa yang seharusnya berbeda.</t>
  </si>
  <si>
    <t>Minimal 10 dari 12 refleksi selesai. Minimal 5 pola satu-gaya-untuk-semua teridentifikasi dan turun ≥50% dari baseline.</t>
  </si>
  <si>
    <t>Workshop "Situational Leadership: Membaca Kesiapan dan Menyesuaikan Gaya"</t>
  </si>
  <si>
    <t>Menguasai kerangka situational leadership secara formal.</t>
  </si>
  <si>
    <t>Ikuti workshop tentang model situational leadership: menilai kesiapan (kemampuan + kemauan), dan menyesuaikan tingkat arahan-dukungan.</t>
  </si>
  <si>
    <t>1 kerangka yang dipakai peserta dalam aktivitas ini. Termasuk persetujuan Atasan.</t>
  </si>
  <si>
    <t>Kursus Online "Managing Emotions Under High-Stakes Pressure"</t>
  </si>
  <si>
    <t>Menguasai teknik menjaga kualitas keputusan saat emosi tinggi.</t>
  </si>
  <si>
    <t>Selesaikan kursus tentang teknik regulasi emosi khusus untuk keputusan bertaruhan tinggi.</t>
  </si>
  <si>
    <t>Sertifikat; 1 rencana regulasi emosi untuk situasi bertekanan yang sering dihadapi.</t>
  </si>
  <si>
    <t>Rencana diterapkan pada minimal 5 situasi dan dikonfirmasi Mentor menjaga kualitas keputusan.</t>
  </si>
  <si>
    <t>Micro-learning "Diagnosing Readiness: Skill vs Will"</t>
  </si>
  <si>
    <t>Membedakan kekurangan kemampuan dari kekurangan motivasi saat menilai kesiapan.</t>
  </si>
  <si>
    <t>Selesaikan modul tentang mendiagnosis kesiapan seseorang — apakah kurang skill, kurang will, atau keduanya — sebelum menentukan gaya memimpin yang tepat.</t>
  </si>
  <si>
    <t>Diagnosis kesiapan untuk 5 anggota tim pada tugas berbeda.</t>
  </si>
  <si>
    <t>5 dari 5 diagnosis dikonfirmasi akurat oleh Anggota Tim yang bersangkutan.</t>
  </si>
  <si>
    <t>"Situational Leadership Clinic" — Peer Department Head + Mentor Division Head</t>
  </si>
  <si>
    <t>Menguji apakah gaya yang dipakai benar-benar disesuaikan dengan kesiapan, bukan asumsi.</t>
  </si>
  <si>
    <t>Bentuk forum 3–4 peer setingkat ditambah 1 mentor berjenjang Division Head. Setiap bulan, satu peserta membawa 1 kasus penyesuaian gaya kepemimpinan.</t>
  </si>
  <si>
    <t>Shadowing Atasan saat Tetap Tenang di Bawah Tekanan Tinggi</t>
  </si>
  <si>
    <t>Mempelajari cara senior menjaga ketenangan dan kualitas keputusan di bawah tekanan.</t>
  </si>
  <si>
    <t>Amati 3 kesempatan atasan menghadapi tekanan tinggi. Catat bagaimana ia tetap tenang dan menjaga kualitas keputusan.</t>
  </si>
  <si>
    <t>Minimal 3 teknik diadopsi dan diterapkan pada log peserta dalam aktivitas ini.</t>
  </si>
  <si>
    <t>Umpan Balik 360° "Fleksibilitas Gaya dan Ketenangan di Bawah Tekanan"</t>
  </si>
  <si>
    <t>Kuesioner pre (bulan 1) dan post (bulan 11) kepada minimal 8 responden. Butir PA14: "Ia memperlakukan saya berbeda dari rekan lain sesuai kesiapan saya pada tugas tertentu". Butir SA9: "Ia tetap tenang dan profesional bahkan saat tertekan".</t>
  </si>
  <si>
    <t>Menyesuaikan Gaya Kepemimpinan untuk 5 Anggota Tim dengan Kesiapan Berbeda</t>
  </si>
  <si>
    <t>Membuktikan penyesuaian gaya yang konsisten berdasarkan kesiapan individu.</t>
  </si>
  <si>
    <t>Untuk 5 anggota tim dengan tingkat kesiapan berbeda pada tugas yang sama atau serupa, terapkan gaya memimpin yang disesuaikan — lebih banyak arahan untuk yang belum siap, lebih banyak ruang untuk yang sudah siap.</t>
  </si>
  <si>
    <t>5 dokumentasi penyesuaian dan hasilnya. Termasuk review bulan ke-6 oleh Atasan.</t>
  </si>
  <si>
    <t>5 anggota tim ditangani. Minimal 4 dari 5 anggota tim mengonfirmasi menerima gaya yang sesuai kesiapan mereka, bukan gaya generik. Milestone bulan ke-6: 3 anggota.</t>
  </si>
  <si>
    <t>Menjaga Kualitas Keputusan pada 4 Situasi Bertekanan Tinggi</t>
  </si>
  <si>
    <t>Membuktikan kualitas keputusan tetap terjaga meski emosi tinggi.</t>
  </si>
  <si>
    <t>Pada 4 situasi nyata bertekanan tinggi, kelola emosi, jaga ketenangan, dan pastikan kualitas keputusan yang diambil tidak menurun.</t>
  </si>
  <si>
    <t>4 dokumentasi situasi dan keputusan.</t>
  </si>
  <si>
    <t>4 situasi ditangani. Minimal 3 keputusan dikonfirmasi Atasan tetap berkualitas meski diambil dalam tekanan tinggi.</t>
  </si>
  <si>
    <t>Mengubah Gaya Kepemimpinan dalam Satu Percakapan yang Sama</t>
  </si>
  <si>
    <t>Menguji kemampuan membaca dan menyesuaikan gaya secara real-time dalam satu interaksi.</t>
  </si>
  <si>
    <t>Pada 1 percakapan dengan anggota tim yang menunjukkan kesiapan berbeda pada topik berbeda dalam percakapan yang sama, sesuaikan gaya memimpin peserta secara real-time sesuai perubahan topik.</t>
  </si>
  <si>
    <t>1 dokumentasi percakapan dengan penyesuaian gaya di dalamnya.</t>
  </si>
  <si>
    <t>Anggota Tim mengonfirmasi merasakan penyesuaian gaya yang tepat pada bagian percakapan yang berbeda, skor ≥4 (skala 1–5).</t>
  </si>
  <si>
    <t>Jurnal "Peta Konflik" Mingguan</t>
  </si>
  <si>
    <t>Melatih analisis mendalam tentang akar dan dinamika konflik.</t>
  </si>
  <si>
    <t>Pilih 1 konflik organisasi. Buat peta: pihak-pihaknya, kepentingan, akar konflik, titik temu potensial.</t>
  </si>
  <si>
    <t>Jurnal mingguan (20 peta konflik). Termasuk review oleh Mentor/CEO untuk minimal 4 peta.</t>
  </si>
  <si>
    <t>Minimal 20 peta konflik.</t>
  </si>
  <si>
    <t>Setiap kali menetapkan atau meninjau ulang standar kinerja bagi tim atau fungsi, catat standar lama, standar baru, selisihnya, dan dasar penetapannya.</t>
  </si>
  <si>
    <t>Log minimal 20 standar; rekap triwulanan.</t>
  </si>
  <si>
    <t>Minimal 20 standar tercatat. Minimal 10 adalah standar yang dinaikkan dengan selisih terukur. Milestone bulan ke-6: 10 standar, minimal 5 dinaikkan.</t>
  </si>
  <si>
    <t>Refleksi "Mediator dalam Diri Sendiri"</t>
  </si>
  <si>
    <t>Meningkatkan kesadaran akan bias dan reaksi emosional sendiri saat menghadapi konflik.</t>
  </si>
  <si>
    <t>Catat reaksi emosional saat menyaksikan atau terlibat konflik. Identifikasi bias dan cara menjadi lebih netral.</t>
  </si>
  <si>
    <t>Jurnal refleksi 20 entri.</t>
  </si>
  <si>
    <t>Mengidentifikasi minimal 3 bias pribadi dan ≥3 strategi mengatasinya.</t>
  </si>
  <si>
    <t>Workshop "Advanced Conflict Mediation &amp; Negotiation"</t>
  </si>
  <si>
    <t>Menguasai teknik mediasi tingkat lanjut.</t>
  </si>
  <si>
    <t>Pelatihan 2–3 hari tentang teknik mediasi, negosiasi integratif, manajemen konflik organisasi.</t>
  </si>
  <si>
    <t>Sertifikat; rencana mediasi untuk 2 kasus.</t>
  </si>
  <si>
    <t>Lulus simulasi mediasi dengan skor minimal 85 (skala 0–100).</t>
  </si>
  <si>
    <t>Program "Adaptive Strategic Planning &amp; Standard Setting for Directors"</t>
  </si>
  <si>
    <t>Merancang sistem yang melembagakan standar kinerja tinggi.</t>
  </si>
  <si>
    <t>Ikuti program tentang menetapkan standar berdasarkan pembanding eksternal dan melembagakan standar itu menjadi sistem dan budaya kerja.</t>
  </si>
  <si>
    <t>1 proposal sistem standar kinerja untuk fungsi/divisi.</t>
  </si>
  <si>
    <t>Proposal disetujui Direksi; memuat pemilik sistem selain peserta, jadwal peninjauan, dan mekanisme berjalan tanpa peserta.</t>
  </si>
  <si>
    <t>Kursus Online "Organizational Conflict Management"</t>
  </si>
  <si>
    <t>Mempelajari teori dan praktik manajemen konflik tingkat organisasi.</t>
  </si>
  <si>
    <t>Selesaikan kursus tentang sumber konflik organisasi dan peran pemimpin puncak.</t>
  </si>
  <si>
    <t>Proposal sistem manajemen konflik.</t>
  </si>
  <si>
    <t>Proposal mendapat skor ≥4 dari Direksi (skala 1–5).</t>
  </si>
  <si>
    <t>"Mediation Circle" dengan Peer Director/Division Head</t>
  </si>
  <si>
    <t>Berlatih mediasi dalam lingkungan aman dengan sesama pemimpin senior.</t>
  </si>
  <si>
    <t>Bentuk circle 6 orang. Setiap 2 bulan, satu orang memaparkan konflik nyata.</t>
  </si>
  <si>
    <t>6 sesi.</t>
  </si>
  <si>
    <t>Setiap pemapar mendapat minimal 3 strategi mediasi yang aplikatif.</t>
  </si>
  <si>
    <t>"Standard Review Clinic" — Peer Division Head + Mentor Director</t>
  </si>
  <si>
    <t>Menguji apakah kenaikan standar kinerja nyata atau hanya perubahan format.</t>
  </si>
  <si>
    <t>Bentuk forum 3–4 peer setingkat ditambah 1 mentor berjenjang Director. Setiap 2 bulan, satu peserta memaparkan 1 standar kinerja yang ia naikkan.</t>
  </si>
  <si>
    <t>Minimal 5 dari 6 sesi terlaksana.</t>
  </si>
  <si>
    <t>Umpan Balik 360° "Mediasi Konflik dan Standar Kinerja Tinggi"</t>
  </si>
  <si>
    <t>Mengukur persepsi terhadap kedua indikator sekaligus.</t>
  </si>
  <si>
    <t>Kuesioner pre (bulan 1) dan post (bulan 11) kepada minimal 10 responden dari kedua sisi konflik dan tim. Butir PA15: "Saya menganggapnya netral, tidak berpihak". Butir RA12: "Standar kinerja yang ia tetapkan lebih tinggi daripada yang biasa berlaku, dan tetap berjalan meski ia tidak mengawasi".</t>
  </si>
  <si>
    <t>Kenaikan rata-rata ≥1 poin pada kedua indikator. Butir netralitas PA15 dan pelembagaan RA12 wajib ≥4 (skala 1–5).</t>
  </si>
  <si>
    <t>Memediasi 3 Konflik dengan Netralitas Terverifikasi</t>
  </si>
  <si>
    <t>Membuktikan kemampuan menengahi konflik dengan dipercaya kedua pihak.</t>
  </si>
  <si>
    <t>Tangani 3 konflik lintas unit atau kepentingan strategis sebagai mediator. Verifikasi persepsi netralitas dari kedua pihak.</t>
  </si>
  <si>
    <t>3 laporan mediasi dengan verifikasi netralitas.</t>
  </si>
  <si>
    <t>3 mediasi selesai. Pada minimal 2, kedua pihak mengonfirmasi peserta netral, skor ≥4 (skala 1–5). Milestone bulan ke-6: 1–2 mediasi.</t>
  </si>
  <si>
    <t>Kedua Pihak yang Berkonflik</t>
  </si>
  <si>
    <t>Melembagakan 1 Sistem Standar Kinerja Tinggi yang Berjalan Tanpa Peserta</t>
  </si>
  <si>
    <t>Membuktikan standar kinerja yang lebih tinggi benar-benar ditetapkan dan melembaga.</t>
  </si>
  <si>
    <t>Bangun 1 sistem yang melembagakan standar kinerja tinggi (metrik, mekanisme penjagaan, pemilik selain peserta). Uji dengan memastikan berjalan minimal 1 periode tanpa peserta terlibat.</t>
  </si>
  <si>
    <t>Dokumen sistem; bukti berjalan tanpa peserta. Termasuk konfirmasi Direksi.</t>
  </si>
  <si>
    <t>Sistem berjalan minimal 1 siklus penuh tanpa keterlibatan peserta.</t>
  </si>
  <si>
    <t>Membangun Sistem Manajemen Konflik untuk Organisasi/Divisi</t>
  </si>
  <si>
    <t>Menginternalisasi peran sebagai pembangun sistem, bukan hanya mediator kasus per kasus.</t>
  </si>
  <si>
    <t>Rancang sistem manajemen konflik untuk organisasi/divisi: protokol, eskalasi, pelatihan, evaluasi. Presentasikan ke direksi.</t>
  </si>
  <si>
    <t>Proposal sistem; presentasi.</t>
  </si>
  <si>
    <t>Proposal mendapat persetujuan Direksi untuk pilot/implementasi.</t>
  </si>
  <si>
    <t>Log "Berapa Lama Saya Menguasai"</t>
  </si>
  <si>
    <t>Mengukur seberapa cepat dan semandiri apa peserta menguasai hal baru.</t>
  </si>
  <si>
    <t>Setiap kali ada sistem, prosedur, format, atau alat kerja baru, catat: kapan diperkenalkan, kapan pertama kali peserta dapat memakainya TANPA bantuan, berapa kali peserta bertanya kepada orang lain, dan dari mana peserta belajar — dibimbing, membaca panduan sendiri, atau mencoba sendiri.</t>
  </si>
  <si>
    <t>Log minimal 15 hal baru; rekap triwulanan rata-rata waktu sampai mandiri dan proporsi yang dipelajari sendiri. Termasuk review rekap triwulanan oleh Mentor.</t>
  </si>
  <si>
    <t>Minimal 15 entri. Rata-rata waktu sampai dapat memakai tanpa bantuan turun ≥50% dari baseline triwulan 1, dan proporsi yang dipelajari sendiri naik menjadi ≥60% pada triwulan 4. Milestone bulan ke-6: 7 entri dan baseline terbentuk.</t>
  </si>
  <si>
    <t>Log "Kebiasaan Lama yang Masih Saya Pakai"</t>
  </si>
  <si>
    <t>Menyadari seberapa sering peserta kembali ke cara lama setelah cara baru diberlakukan.</t>
  </si>
  <si>
    <t>Setelah sebuah cara kerja baru diberlakukan, catat SETIAP KALI peserta kembali memakai cara lama: kapan, apa pemicunya (sedang buru-buru, lupa, merasa lebih cepat, atau tidak yakin cara baru benar), dan apa yang membuat peserta akhirnya kembali ke cara baru.</t>
  </si>
  <si>
    <t>Log minimal 30 kejadian; rekap bulanan frekuensi kembali ke cara lama per jenis perubahan.</t>
  </si>
  <si>
    <t>Minimal 30 kejadian tercatat. Frekuensi kembali ke cara lama turun ≥50% dari baseline pada triwulan 4, termasuk pada bulan tersibuk. Milestone bulan ke-6: 15 kejadian dan pemicu yang berulang teridentifikasi.</t>
  </si>
  <si>
    <t>Latihan "Mengganti Satu Kebiasaan"</t>
  </si>
  <si>
    <t>Mengukur berapa lama sebuah cara kerja baru menjadi wajar.</t>
  </si>
  <si>
    <t>Setiap 3 bulan, pilih 1 kebiasaan kerja peserta sendiri dan ganti dengan cara baru — urutan mengerjakan, cara mencatat, cara memeriksa sebelum menyerahkan. Catat setiap hari selama 6 minggu: apakah hari itu peserta memakai cara baru atau kembali ke cara lama, dan pada hari ke berapa cara baru mulai terasa wajar.</t>
  </si>
  <si>
    <t>4 catatan penggantian kebiasaan; grafik harian 6 minggu untuk masing-masing.</t>
  </si>
  <si>
    <t>4 kebiasaan diganti. Jumlah hari sampai cara baru terasa wajar turun ≥50% dari penggantian pertama ke keempat. Minimal 3 masih dipakai pada akhir program. Milestone bulan ke-6: 2 penggantian selesai.</t>
  </si>
  <si>
    <t>Pelatihan "Menguasai Sistem Baru Secara Mandiri" (1 hari)</t>
  </si>
  <si>
    <t>Menguasai cara mempelajari alat kerja baru tanpa menunggu dibimbing.</t>
  </si>
  <si>
    <t>Pelatihan 1 hari: membaca panduan dan pesan kesalahan, mencoba pada lingkungan yang aman, mencatat langkah untuk diri sendiri, mencari jawaban sendiri sebelum bertanya, dan menyusun pertanyaan yang tepat ketika memang harus bertanya.</t>
  </si>
  <si>
    <t>Sertifikat; 1 catatan langkah kerja untuk sistem yang sedang berlaku, dibuat sendiri tanpa panduan resmi.</t>
  </si>
  <si>
    <t>Lulus praktik dengan skor ≥80 (skala 0–100). Catatan langkah kerja diuji ke 1 rekan yang belum pernah memakai sistem itu, dan rekan tersebut mampu memakainya hanya dengan catatan itu.</t>
  </si>
  <si>
    <t>Kursus Online "Membentuk Kebiasaan Kerja Baru"</t>
  </si>
  <si>
    <t>Memahami mengapa cara lama kembali dan bagaimana menahannya.</t>
  </si>
  <si>
    <t>Selesaikan kursus online: pemicu dan rutinitas, mengapa kebiasaan lama kembali ketika sedang sibuk atau tertekan, cara memasang pengingat yang bekerja, dan berapa lama sebuah kebiasaan baru biasanya perlu waktu.</t>
  </si>
  <si>
    <t>Sertifikat; 1 rancangan pemicu dan pengingat untuk kebiasaan yang sedang diganti.</t>
  </si>
  <si>
    <t>Rancangan diterapkan pada penggantian kebiasaan peserta dalam aktivitas ini, dan terbukti menurunkan frekuensi kembali ke cara lama ≥50% dibanding penggantian sebelumnya.</t>
  </si>
  <si>
    <t>Micro-learning "Mengapa Perubahan Terasa Tidak Nyaman"</t>
  </si>
  <si>
    <t>Mengenali ketidaknyamanan sebagai hal wajar, bukan tanda cara baru itu salah.</t>
  </si>
  <si>
    <t>Selesaikan modul online: mengapa cara lama terasa lebih cepat meski belum tentu lebih baik, perbedaan antara "tidak nyaman" dan "tidak berhasil", dan tanda bahwa ketidaknyamanan sudah mulai berkurang.</t>
  </si>
  <si>
    <t>Sertifikat; daftar 5 ketidaknyamanan yang peserta alami pada perubahan yang sedang berjalan beserta penilaiannya.</t>
  </si>
  <si>
    <t>Peserta mampu membedakan pada minimal 4 dari 5 kasus mana yang ketidaknyamanan sementara dan mana yang memang hambatan nyata pada cara baru.</t>
  </si>
  <si>
    <t>"Belajar Berpasangan" — Saling Mengajarkan Sistem Baru</t>
  </si>
  <si>
    <t>Menguji penguasaan dengan cara yang paling sulit dipalsukan: mengajarkannya.</t>
  </si>
  <si>
    <t>Berpasangan dengan 1 rekan. Setiap kali ada sistem atau prosedur baru, salah satu mempelajarinya lebih dulu secara mandiri, lalu mengajarkan kepada yang lain. Bergantian. Catat: berapa lama mempelajarinya, dan apakah rekan dapat memakainya setelah diajarkan.</t>
  </si>
  <si>
    <t>10 sesi saling mengajarkan; catatan waktu belajar dan hasil pada rekan.</t>
  </si>
  <si>
    <t>Minimal 8 dari 10 sesi terlaksana. Pada minimal 6 sesi di mana peserta yang mengajarkan, rekan mampu memakai sistem itu tanpa bantuan lanjutan. Milestone bulan ke-6: 4 sesi.</t>
  </si>
  <si>
    <t>Meminta 3 Rekan Menandai Kapan Peserta Kembali ke Cara Lama</t>
  </si>
  <si>
    <t>Menemukan kebiasaan lama yang kembali tanpa peserta sadari.</t>
  </si>
  <si>
    <t>Pilih 3 rekan yang sering bekerja bersama peserta. Minta mereka menandai — pada saat kejadian, bukan di akhir bulan — setiap kali mereka melihat peserta memakai cara lama padahal cara baru sudah berlaku. Bandingkan dengan log peserta sendiri.</t>
  </si>
  <si>
    <t>Catatan dari 3 rekan selama minimal 6 bulan; perbandingan dengan log pribadi. Termasuk rekap bulanan.</t>
  </si>
  <si>
    <t>Selisih antara jumlah yang dicatat rekan dan yang dicatat peserta sendiri turun ≥50% dari bulan pertama ke bulan terakhir. Frekuensi yang dicatat rekan turun ≥50% dari baseline.</t>
  </si>
  <si>
    <t>Umpan Balik 360° "Adaptasi Sistem dan Cara Kerja Baru"</t>
  </si>
  <si>
    <t>Mengukur persepsi rekan dan atasan atas kedua indikator.</t>
  </si>
  <si>
    <t>Kuesioner pre (bulan 1) dan post (bulan 11) kepada minimal 5 responden yang bekerja bersama peserta sehari-hari. Butir CA1: "Ia cepat bisa memakai sistem atau prosedur baru"; "Ia mempelajarinya sendiri, tidak menunggu diajari". Butir CA2: "Ia benar-benar meninggalkan cara lama, bukan hanya di awal"; "Ketika sedang sibuk, ia tetap memakai cara baru"; "Ia tidak mengeluhkan perubahan cara kerja kepada rekan".</t>
  </si>
  <si>
    <t>2 laporan (pre dan post); analisis kenaikan per butir dan per indikator.</t>
  </si>
  <si>
    <t>Kenaikan rata-rata ≥1 poin (skala 1–5). Butir "ketika sedang sibuk, ia tetap memakai cara baru" wajib naik ≥1 poin (skala 1–5).</t>
  </si>
  <si>
    <t>Menguasai 4 Sistem atau Prosedur Baru Secara Mandiri</t>
  </si>
  <si>
    <t>Membuktikan kecepatan dan kemandirian menguasai alat kerja baru.</t>
  </si>
  <si>
    <t>Selama program, kuasai 4 sistem, prosedur, format, atau alat kerja baru. Untuk masing-masing: pelajari sendiri lebih dulu sebelum meminta bimbingan, catat waktu sampai dapat dipakai tanpa bantuan, dan buktikan penguasaan dengan mengerjakan pekerjaan nyata memakainya.</t>
  </si>
  <si>
    <t>4 catatan penguasaan; bukti pekerjaan nyata yang dikerjakan memakai masing-masing sistem. Termasuk review bulan ke-6 dan ke-12 oleh Atasan.</t>
  </si>
  <si>
    <t>4 sistem dikuasai. Minimal 3 dipelajari TANPA pelatihan formal maupun bimbingan langkah demi langkah. Atasan mengonfirmasi pekerjaan yang dikerjakan memakai sistem itu tidak perlu dikoreksi. Milestone bulan ke-6: 2 sistem.</t>
  </si>
  <si>
    <t>Menjalankan 1 Cara Kerja Baru Secara Penuh Selama 6 Bulan</t>
  </si>
  <si>
    <t>Membuktikan kebiasaan lama benar-benar ditinggalkan, bukan hanya di awal.</t>
  </si>
  <si>
    <t>Pilih 1 perubahan cara kerja yang berlaku di unit peserta dan jalankan secara penuh selama minimal 6 bulan tanpa kembali ke cara lama — termasuk pada periode tersibuk. Catat setiap minggu, dan minta 1 rekan memverifikasi catatan itu setiap bulan.</t>
  </si>
  <si>
    <t>Catatan mingguan selama 6 bulan; verifikasi bulanan dari rekan; catatan periode tersibuk.</t>
  </si>
  <si>
    <t>Cara baru dijalankan penuh selama 6 bulan. Tidak ada kembali ke cara lama pada bulan tersibuk, diverifikasi rekan. Bila terjadi, peserta mendokumentasikan pemicunya dan cara baru kembali dijalankan dalam 1 minggu.</t>
  </si>
  <si>
    <t>Rekan Pemverifikasi dan Atasan</t>
  </si>
  <si>
    <t>Menjadi Rujukan Rekan untuk 1 Sistem Baru</t>
  </si>
  <si>
    <t>Menguji kemandirian sampai tingkat mampu membantu orang lain menguasainya.</t>
  </si>
  <si>
    <t>Dengan persetujuan atasan, jadilah orang yang dituju rekan unit ketika ada pertanyaan tentang 1 sistem atau prosedur baru. Buat catatan langkah sendiri, bantu minimal 5 rekan menguasainya, dan kumpulkan pertanyaan yang paling sering muncul beserta jawabannya.</t>
  </si>
  <si>
    <t>Catatan langkah; daftar pertanyaan yang sering muncul; catatan 5 rekan yang dibantu beserta hasilnya.</t>
  </si>
  <si>
    <t>Minimal 5 rekan dibantu dan seluruhnya mampu memakai sistem itu tanpa bantuan lanjutan. Catatan langkah dipakai unit sebagai rujukan. Milestone bulan ke-6: catatan langkah selesai dan 2 rekan dibantu.</t>
  </si>
  <si>
    <t>Atasan dan Rekan yang Dibantu</t>
  </si>
  <si>
    <t>Log "Perubahan Mendadak"</t>
  </si>
  <si>
    <t>Mengukur berapa lama peserta kembali produktif setelah perubahan datang tanpa persiapan.</t>
  </si>
  <si>
    <t>Setiap kali arahan, target, prioritas, atau situasi kerja berubah MENDADAK — tanpa pemberitahuan sebelumnya — catat: apa yang berubah, kapan peserta diberi tahu, apa yang peserta lakukan pada jam-jam pertama, dan kapan peserta kembali bekerja dengan produktivitas normal. Perubahan yang sudah diumumkan jauh hari TIDAK dicatat di sini.</t>
  </si>
  <si>
    <t>Log minimal 20 perubahan mendadak; rekap triwulanan rata-rata waktu pemulihan produktivitas. Termasuk review rekap triwulanan.</t>
  </si>
  <si>
    <t>Minimal 20 kejadian tercatat. Rata-rata waktu pemulihan turun ≥50% dari baseline triwulan 1 pada triwulan 4. Milestone bulan ke-6: 10 kejadian dan baseline terbentuk.</t>
  </si>
  <si>
    <t>Jurnal "Penolakan Saya Sendiri"</t>
  </si>
  <si>
    <t>Mengenali bentuk penolakan diri yang biasanya tidak disadari.</t>
  </si>
  <si>
    <t>Setiap kali peserta menolak, menunda, mencari alasan, atau diam-diam tidak menjalankan sebuah perubahan, catat: apa perubahannya, bentuk penolakan peserta, apa yang SEBENARNYA peserta khawatirkan di baliknya, dan apa yang akhirnya peserta lakukan. Beri tanda: disadari saat kejadian, atau baru disadari belakangan.</t>
  </si>
  <si>
    <t>Log minimal 24 kejadian; rekap triwulanan proporsi yang disadari saat kejadian.</t>
  </si>
  <si>
    <t>Minimal 24 kejadian tercatat. Proporsi penolakan yang disadari SAAT KEJADIAN naik dari baseline triwulan 1 menjadi ≥60% pada triwulan 4. Milestone bulan ke-6: 12 kejadian dan baseline terbentuk.</t>
  </si>
  <si>
    <t>Refleksi "Diam-diam Kembali ke Cara Lama"</t>
  </si>
  <si>
    <t>Menemukan perubahan yang sudah diterima di permukaan tetapi tidak dijalankan.</t>
  </si>
  <si>
    <t>Setiap 3 bulan, tinjau perubahan yang peserta nyatakan terima pada triwulan itu. Periksa jujur: mana yang sebenarnya tidak peserta jalankan, atau peserta jalankan sebagian lalu kembali ke cara lama. Tulis apa yang membuat peserta tidak menyampaikan keberatan secara terbuka pada saat itu.</t>
  </si>
  <si>
    <t>4 laporan refleksi; daftar perubahan yang diterima di permukaan tetapi tidak dijalankan.</t>
  </si>
  <si>
    <t>4 laporan selesai. Jumlah perubahan yang "diterima tetapi tidak dijalankan" turun ≥50% dari triwulan pertama ke triwulan terakhir. Milestone bulan ke-6: 2 laporan.</t>
  </si>
  <si>
    <t>Workshop "Bekerja Saat Prioritas Berubah Mendadak" (1 hari)</t>
  </si>
  <si>
    <t>Menguasai langkah yang mempercepat kembali produktif setelah perubahan mendadak.</t>
  </si>
  <si>
    <t>Pelatihan 1 hari: menyusun ulang prioritas dengan cepat, memutuskan pekerjaan mana yang dihentikan dan mana yang diteruskan, menegosiasikan ulang komitmen yang terdampak, serta apa yang harus dikerjakan pada jam-jam pertama setelah perubahan datang.</t>
  </si>
  <si>
    <t>Sertifikat; 1 daftar langkah pribadi untuk jam-jam pertama setelah perubahan mendadak.</t>
  </si>
  <si>
    <t>Lulus simulasi dengan skor ≥80 (skala 0–100). Daftar langkah dipakai pada minimal 5 kejadian nyata dan tercatat dalam dokumentasi peserta, dengan waktu pemulihan turun ≥20% dibanding kejadian sebelum pelatihan.</t>
  </si>
  <si>
    <t>Kursus Online "Mengenali Resistensi Diri"</t>
  </si>
  <si>
    <t>Mengenali bentuk penolakan diri yang menyamar sebagai alasan yang masuk akal.</t>
  </si>
  <si>
    <t>Selesaikan kursus online: bentuk-bentuk penolakan yang tidak terlihat seperti penolakan — menunda, meminta data tambahan terus-menerus, menyoroti risiko secara berlebihan, atau mengalihkan ke prioritas lain; membedakan keberatan yang berdasar dari penolakan yang bersumber dari ketidaknyamanan.</t>
  </si>
  <si>
    <t>Sertifikat; daftar 6 bentuk penolakan pribadi yang paling sering peserta pakai.</t>
  </si>
  <si>
    <t>Peserta mampu menunjukkan minimal 4 dari 6 bentuk itu pada catatan reflektif peserta, dinilai Mentor ≥4 (skala 1–5). Daftar yang hanya berisi bentuk umum tanpa contoh dari catatan reflektif peserta tidak memenuhi.</t>
  </si>
  <si>
    <t>Micro-learning "Menjaga Konsistensi Kerja di Tengah Perubahan"</t>
  </si>
  <si>
    <t>Menjaga mutu dan ketepatan waktu tetap stabil meski lingkungan kerja berubah.</t>
  </si>
  <si>
    <t>Selesaikan modul online: memisahkan pekerjaan yang terdampak perubahan dari yang tidak, menjaga komitmen yang masih berlaku, dan memberi kabar lebih awal pada komitmen yang terdampak.</t>
  </si>
  <si>
    <t>Sertifikat; 1 cara memilah pekerjaan yang dipakai setiap kali ada perubahan mendadak.</t>
  </si>
  <si>
    <t>Cara memilah dipakai pada minimal 8 kejadian nyata yang didokumentasikan peserta. Pada kejadian tersebut, tidak ada komitmen yang gagal tanpa pemberitahuan lebih awal (0 komitmen gagal tanpa pemberitahuan).</t>
  </si>
  <si>
    <t>Shadowing Atasan saat Menerima Perubahan Mendadak</t>
  </si>
  <si>
    <t>Mempelajari apa yang dilakukan senior pada 24 jam pertama setelah perubahan datang.</t>
  </si>
  <si>
    <t>Minta izin mengamati 3 kesempatan di mana atasan menerima perubahan arahan atau prioritas secara mendadak. Catat: apa yang ia lakukan lebih dulu, pekerjaan apa yang ia hentikan, siapa yang ia hubungi dan dalam urutan apa, dan berapa lama sampai unit kembali bekerja normal.</t>
  </si>
  <si>
    <t>3 laporan observasi; daftar 4 langkah yang akan diadopsi.</t>
  </si>
  <si>
    <t>Minimal 3 langkah diterapkan pada kejadian nyata peserta; waktu pemulihan terkait turun ≥20% dari baseline. Divalidasi Atasan ≥4 (skala 1–5).</t>
  </si>
  <si>
    <t>Meminta Atasan dan 2 Rekan Menandai Tanda Penolakan Peserta</t>
  </si>
  <si>
    <t>Menemukan bentuk penolakan yang terlihat orang lain tetapi tidak disadari peserta.</t>
  </si>
  <si>
    <t>Minta atasan dan 2 rekan menandai — pada saat kejadian — ketika mereka melihat tanda peserta menolak sebuah perubahan: menunda, mempertanyakan berlebihan, atau tidak menjalankan. Bandingkan dengan jurnal peserta sendiri, dan catat bentuk mana yang sama sekali tidak peserta sadari.</t>
  </si>
  <si>
    <t>Catatan dari 3 pengamat selama minimal 6 bulan; perbandingan dengan jurnal pribadi. Termasuk rekap bulanan.</t>
  </si>
  <si>
    <t>Selisih antara yang dicatat pengamat dan yang dicatat peserta turun ≥50% dari bulan pertama ke bulan terakhir. Peserta mampu menyebutkan minimal 2 bentuk penolakan yang semula tidak disadari.</t>
  </si>
  <si>
    <t>Umpan Balik 360° "Respons terhadap Perubahan Mendadak"</t>
  </si>
  <si>
    <t>Kuesioner pre (bulan 1) dan post (bulan 11) kepada minimal 6 responden termasuk atasan langsung. Butir CA3: "Ketika prioritas berubah mendadak, ia cepat kembali bekerja"; "Mutu kerjanya tidak turun saat ada perubahan mendadak". Butir CA4: "Bila ia keberatan atas sebuah perubahan, ia menyampaikannya terbuka, bukan dengan menunda"; "Ia menjalankan perubahan yang sudah diputuskan meski ia tidak sepenuhnya setuju"; "Ia menyadari sendiri ketika ia sedang menolak sesuatu".</t>
  </si>
  <si>
    <t>Kenaikan rata-rata ≥1 poin (skala 1–5). Butir "menyampaikannya terbuka, bukan dengan menunda" wajib naik ≥1 poin (skala 1–5).</t>
  </si>
  <si>
    <t>Menangani 6 Perubahan Mendadak dengan Waktu Pemulihan Terukur</t>
  </si>
  <si>
    <t>Membuktikan pemulihan produktivitas yang makin cepat pada perubahan nyata.</t>
  </si>
  <si>
    <t>Pada 6 perubahan mendadak nyata sepanjang program, jalankan langkah jam-jam pertama yang sudah peserta susun: pilah pekerjaan yang terdampak, hentikan yang sudah tidak relevan, negosiasikan ulang komitmen yang terdampak, dan mulai pekerjaan baru. Catat waktu pemulihan dan mutu hasil pada masing-masing.</t>
  </si>
  <si>
    <t>6 dokumentasi penanganan; grafik waktu pemulihan; catatan komitmen yang dinegosiasikan ulang. Termasuk review bulan ke-6 dan ke-12 oleh Atasan.</t>
  </si>
  <si>
    <t>6 perubahan ditangani. Waktu pemulihan pada 3 kejadian terakhir turun ≥20% dibanding 3 kejadian pertama. Tidak ada komitmen yang gagal tanpa dinegosiasikan ulang lebih dulu (0). Milestone bulan ke-6: 3 kejadian.</t>
  </si>
  <si>
    <t>Menjalankan 2 Perubahan yang Peserta Sendiri Tidak Setujui</t>
  </si>
  <si>
    <t>Menguji pengelolaan penolakan diri pada situasi yang paling menuntut.</t>
  </si>
  <si>
    <t>Pada 2 perubahan nyata yang peserta sendiri tidak setujui, jalankan urutan berikut: sampaikan keberatan peserta secara terbuka kepada yang berwenang SEBELUM perubahan berjalan; setelah keputusan final diambil, jalankan perubahan itu sepenuhnya; catat setiap dorongan untuk menunda atau kembali ke cara lama beserta cara peserta menanganinya.</t>
  </si>
  <si>
    <t>2 dokumentasi: keberatan yang disampaikan, tanggapan, keputusan akhir, catatan dorongan menolak, dan bukti perubahan dijalankan penuh.</t>
  </si>
  <si>
    <t>Pada kedua kasus, keberatan disampaikan terbuka SEBELUM perubahan berjalan, dan perubahan dijalankan sepenuhnya setelah keputusan final. Atasan mengonfirmasi tidak ada penundaan diam-diam maupun kembali ke cara lama (0 kejadian). Keberatan yang baru disampaikan setelah perubahan berjalan tidak memenuhi.</t>
  </si>
  <si>
    <t>Menjaga Mutu Kerja pada 1 Periode Perubahan Beruntun</t>
  </si>
  <si>
    <t>Membuktikan konsistensi hasil kerja meski lingkungan kerja terus berubah.</t>
  </si>
  <si>
    <t>Pilih 1 periode minimal 3 bulan di mana terjadi minimal 3 perubahan pada arahan, prioritas, atau cara kerja. Selama periode itu, jaga mutu dan ketepatan waktu hasil kerja peserta tetap setara periode normal. Catat setiap perubahan yang terjadi, penyesuaian yang dilakukan, dan hasil kerja per bulan.</t>
  </si>
  <si>
    <t>Dokumentasi periode; data mutu dan ketepatan waktu per bulan dibandingkan periode normal sebelumnya.</t>
  </si>
  <si>
    <t>Selama periode tersebut, tingkat revisi ≤ baseline dan ketepatan waktu ≥95% atau ≥ baseline periode normal sebelumnya, dibuktikan dengan data. Atasan menilai ≥4 (skala 1–5).</t>
  </si>
  <si>
    <t>Log "Kemampuan Baru yang Dituntut Perubahan"</t>
  </si>
  <si>
    <t>Memisahkan belajar atas dorongan sendiri dari belajar karena ditugaskan.</t>
  </si>
  <si>
    <t>Setiap kali terjadi perubahan pada sistem, proses, pasar, atau tuntutan pekerjaan, catat: kemampuan atau pengetahuan apa yang menjadi dituntut, apakah peserta mempelajarinya, dari mana, dan kapan pertama kali peserta memakainya pada pekerjaan nyata. Beri tanda: dipelajari atas inisiatif sendiri, atau karena ditugaskan.</t>
  </si>
  <si>
    <t>Log minimal 20 kemampuan; rekap triwulanan proporsi yang dipelajari atas inisiatif sendiri dan yang sudah dipakai pada pekerjaan. Termasuk review rekap triwulanan oleh Mentor.</t>
  </si>
  <si>
    <t>Minimal 20 entri. Proporsi yang dipelajari atas inisiatif sendiri naik menjadi ≥60% pada triwulan 4, dan proporsi yang sudah dipakai pada pekerjaan nyata ≥70%. Milestone bulan ke-6: 10 entri dan baseline terbentuk.</t>
  </si>
  <si>
    <t>Latihan "Uji Kecil dalam 30 Hari"</t>
  </si>
  <si>
    <t>Memastikan setiap hal baru yang dipelajari diuji pada pekerjaan nyata.</t>
  </si>
  <si>
    <t>Setiap pendekatan, metode, atau alat baru yang peserta pelajari, uji pada skala kecil dalam 30 hari sejak mempelajarinya. Tetapkan lebih dulu: apa yang diuji, berapa lama, apa ukurannya, dan pada kondisi apa peserta menghentikannya. Catat hasilnya apa adanya, termasuk ketika gagal.</t>
  </si>
  <si>
    <t>Minimal 12 catatan uji; rekap hasil termasuk yang tidak berhasil.</t>
  </si>
  <si>
    <t>Minimal 12 uji dijalankan, masing-masing dengan ukuran dan batas waktu yang ditetapkan di muka. Minimal 3 di antaranya TIDAK BERHASIL dan pelajarannya didokumentasikan — bila seluruh uji berhasil, berarti tidak ada yang benar-benar diuji. Milestone bulan ke-6: 6 uji.</t>
  </si>
  <si>
    <t>Refleksi "Belajar dari Luar Bidang Sendiri"</t>
  </si>
  <si>
    <t>Mengambil pendekatan dari fungsi atau industri lain untuk persoalan sendiri.</t>
  </si>
  <si>
    <t>Setiap 3 bulan, cari 1 praktik kerja dari fungsi lain di perusahaan, atau dari industri yang sama sekali berbeda, yang menangani persoalan serupa dengan persoalan di unit peserta. Pelajari cara kerjanya, terjemahkan ke konteks pekerjaan peserta, dan uji.</t>
  </si>
  <si>
    <t>4 catatan pembelajaran lintas bidang; 4 hasil uji penerapannya.</t>
  </si>
  <si>
    <t>4 praktik dipelajari dan diuji. Minimal 2 berasal dari luar fungsi peserta sendiri. Minimal 2 terbukti bermanfaat dan tetap dipakai setelah masa uji. Milestone bulan ke-6: 2 praktik diuji.</t>
  </si>
  <si>
    <t>Workshop "Rapid Skill Acquisition" (2 hari)</t>
  </si>
  <si>
    <t>Menguasai cara mempelajari keterampilan baru dalam waktu singkat.</t>
  </si>
  <si>
    <t>Pelatihan 2 hari: memilah bagian yang paling menentukan dari sebuah keterampilan baru, menyusun urutan belajar sendiri, mencari sumber yang tepat, dan menetapkan titik ketika belajar harus berhenti dan penerapan harus dimulai.</t>
  </si>
  <si>
    <t>Sertifikat; 1 keterampilan baru yang dituntut perubahan, dikuasai dan dipakai dalam 60 hari setelah pelatihan.</t>
  </si>
  <si>
    <t>Lulus praktik dengan skor ≥80 (skala 0–100). Keterampilan yang dipilih terbukti dipakai pada pekerjaan nyata dalam 60 hari, dan Atasan mengonfirmasi hasilnya.</t>
  </si>
  <si>
    <t>Kursus Online "Merancang Uji Coba Kerja Skala Kecil"</t>
  </si>
  <si>
    <t>Menguji pendekatan baru tanpa mengganggu pekerjaan yang sedang berjalan.</t>
  </si>
  <si>
    <t>Selesaikan kursus online: menyusun dugaan yang dapat diuji, memilih ukuran yang sederhana, menetapkan batas waktu dan kriteria berhenti, membatasi risiko agar kegagalan tidak merugikan, serta membaca hasil uji yang tidak jelas.</t>
  </si>
  <si>
    <t>Sertifikat; 1 format uji coba yang dipakai untuk seluruh uji dalam aktivitas ini.</t>
  </si>
  <si>
    <t>Format dipakai pada minimal 8 uji. Setiap uji memuat ukuran, batas waktu, dan kriteria berhenti yang ditetapkan sebelum uji dimulai — bukan ditentukan setelah hasilnya terlihat.</t>
  </si>
  <si>
    <t>Micro-learning "Menerjemahkan Praktik dari Bidang Lain"</t>
  </si>
  <si>
    <t>Mengambil inti sebuah praktik tanpa ikut mengambil konteks yang tidak berlaku.</t>
  </si>
  <si>
    <t>Selesaikan modul online: mengenali persoalan yang sebenarnya sama meski bidangnya berbeda, memisahkan prinsip dari bentuk pelaksanaannya, dan menguji apakah syarat yang membuat praktik itu berhasil juga ada di tempat peserta.</t>
  </si>
  <si>
    <t>Sertifikat; 3 analisis singkat praktik luar bidang beserta syarat keberhasilannya.</t>
  </si>
  <si>
    <t>Ketiga analisis memisahkan prinsip dari bentuk pelaksanaan, dan menyebutkan syarat keberhasilan yang spesifik. Dinilai Mentor ≥4 (skala 1–5).</t>
  </si>
  <si>
    <t>"Learning Circle" — Peer Analyst + Mentor Unit Head</t>
  </si>
  <si>
    <t>Memastikan yang dipelajari benar-benar diuji, bukan berhenti sebagai pengetahuan.</t>
  </si>
  <si>
    <t>Bentuk forum 3–4 peer SETINGKAT ditambah 1 mentor berjenjang Unit Head. Setiap bulan, satu peserta memaparkan 1 hal baru yang ia pelajari DAN hasil ujinya pada pekerjaan. Pemaparan tanpa hasil uji tidak dihitung sebagai sesi. Peserta lain bertugas menantang apakah ujinya benar-benar menguji sesuatu.</t>
  </si>
  <si>
    <t>10 sesi (minimal 3 sebagai pemapar); catatan tantangan atas rancangan uji.</t>
  </si>
  <si>
    <t>Minimal 8 dari 10 sesi terlaksana dengan hasil uji yang disertakan. Pada 3 pemaparan sendiri, rancangan uji membaik — ukuran dan kriteria berhenti makin jelas dari pemaparan pertama ke ketiga. Milestone bulan ke-6: 4 sesi, minimal 1 sebagai pemapar.</t>
  </si>
  <si>
    <t>Shadowing Atasan saat Menghadapi Tuntutan Kemampuan Baru</t>
  </si>
  <si>
    <t>Mempelajari bagaimana senior menutup kesenjangan kemampuan yang muncul karena perubahan.</t>
  </si>
  <si>
    <t>Minta izin mengamati 3 kesempatan di mana atasan menghadapi tuntutan kemampuan atau pengetahuan yang belum ia kuasai. Catat: bagaimana ia mengenali kesenjangan itu, dari mana ia belajar, berapa lama sampai ia mulai memakainya, dan apa yang ia lakukan ketika percobaan pertamanya gagal.</t>
  </si>
  <si>
    <t>Minimal 3 pola diterapkan pada pembelajaran sendiri dan tercatat dalam dokumentasi peserta dalam aktivitas ini. Divalidasi Atasan ≥4 (skala 1–5).</t>
  </si>
  <si>
    <t>Umpan Balik 360° "Inisiatif Belajar dan Bereksperimen"</t>
  </si>
  <si>
    <t>Mengukur apakah kebiasaan belajar dan menguji terlihat oleh orang lain.</t>
  </si>
  <si>
    <t>Kuesioner pre (bulan 1) dan post (bulan 11) kepada minimal 6 responden termasuk atasan dan rekan yang bekerja dekat. Butir CA5: "Ketika ada tuntutan baru, ia mempelajarinya sendiri tanpa menunggu ditugaskan"; "Ia mencoba pendekatan baru pada pekerjaan, bukan hanya membahasnya"; "Ia berani mencoba meski belum pasti berhasil"; "Ia membawa cara kerja dari bidang lain ke unit kita"; "Ia terbuka ketika percobaannya gagal".</t>
  </si>
  <si>
    <t>Kenaikan rata-rata ≥1 poin (skala 1–5). Butir "ia terbuka ketika percobaannya gagal" wajib naik ≥1 poin (skala 1–5).</t>
  </si>
  <si>
    <t>Mempelajari dan Menerapkan 4 Kemampuan Baru yang Dituntut Perubahan</t>
  </si>
  <si>
    <t>Membuktikan kemampuan baru dipelajari atas dorongan sendiri dan dipakai pada pekerjaan.</t>
  </si>
  <si>
    <t>Dari log peserta dalam aktivitas ini, pilih 4 kemampuan atau pengetahuan baru yang dituntut oleh perubahan di pekerjaan peserta. Pelajari masing-masing, lalu terapkan pada pekerjaan nyata dengan hasil yang dapat diukur. Dokumentasikan: apa yang menuntutnya, dari mana peserta belajar, berapa lama, dan hasil penerapannya.</t>
  </si>
  <si>
    <t>4 dokumentasi pembelajaran dan penerapan; bukti hasil pada pekerjaan nyata. Termasuk review bulan ke-6 dan ke-12 oleh Atasan.</t>
  </si>
  <si>
    <t>4 kemampuan dipelajari dan diterapkan. Minimal 3 dipelajari ATAS INISIATIF SENDIRI, bukan karena ditugaskan. Keempatnya menghasilkan perubahan yang dapat ditunjukkan pada pekerjaan, dinilai Atasan ≥4 (skala 1–5). Milestone bulan ke-6: 2 kemampuan.</t>
  </si>
  <si>
    <t>Menjalankan 6 Uji Coba Kerja Skala Kecil</t>
  </si>
  <si>
    <t>Membuktikan kesediaan mencoba pendekatan baru pada pekerjaan yang sedang berjalan.</t>
  </si>
  <si>
    <t>Jalankan 6 uji coba pendekatan kerja baru pada skala kecil sepanjang program. Untuk masing-masing tetapkan di muka: dugaan yang diuji, ukuran keberhasilan, batas waktu, dan kriteria berhenti. Laporkan hasilnya apa adanya, termasuk yang gagal, beserta pelajarannya.</t>
  </si>
  <si>
    <t>6 laporan uji coba; rekap pendekatan yang akhirnya dipakai tetap dan yang dihentikan.</t>
  </si>
  <si>
    <t>6 uji dijalankan dengan ukuran dan batas waktu yang ditetapkan di muka. Minimal 2 GAGAL dan dilaporkan terbuka beserta pelajarannya. Minimal 2 berhasil dan tetap dipakai setelah masa uji. Milestone bulan ke-6: 3 uji.</t>
  </si>
  <si>
    <t>Menjaga Mutu Kerja pada 1 Periode Perubahan Bertekanan</t>
  </si>
  <si>
    <t>Mempertahankan hasil kerja yang optimal meski tuntutan berubah dan waktu ketat.</t>
  </si>
  <si>
    <t>Pilih 1 periode minimal 3 bulan di mana tuntutan pekerjaan berubah dan batas waktu menjadi ketat. Selama periode itu, jaga mutu hasil kerja tetap setara periode normal — dan tunjukkan minimal 1 kemampuan atau pendekatan BARU yang peserta pelajari selama periode itu yang membuatnya mungkin.</t>
  </si>
  <si>
    <t>Dokumentasi periode; data mutu dan ketepatan waktu per bulan; catatan kemampuan baru yang dipelajari selama periode itu beserta perannya.</t>
  </si>
  <si>
    <t>Mutu hasil kerja tidak turun dibanding periode normal, dibuktikan dengan data. Peserta mampu menunjukkan minimal 1 kemampuan baru yang dipelajari selama periode itu dan perannya dalam menjaga mutu. Atasan menilai ≥4 (skala 1–5).</t>
  </si>
  <si>
    <t>Log "Usulan yang Saya Ajukan"</t>
  </si>
  <si>
    <t>Mengukur seberapa sering peserta mengusulkan, dan apa yang ia lakukan setelah ditolak.</t>
  </si>
  <si>
    <t>Setiap usulan perbaikan atau perubahan yang peserta ajukan, catat: apa usulannya, dari mana peserta melihat peluangnya, kepada siapa diajukan, diterima atau ditolak, alasan penolakannya, dan APAKAH PESERTA MENGAJUKANNYA KEMBALI setelah ditolak pertama kali. Catat juga peluang yang peserta lihat tetapi tidak ajukan, beserta alasannya.</t>
  </si>
  <si>
    <t>Log minimal 20 usulan; rekap triwulanan frekuensi pengajuan, tingkat penerimaan, dan proporsi yang diperjuangkan setelah ditolak. Termasuk review rekap triwulanan oleh Mentor.</t>
  </si>
  <si>
    <t>Minimal 20 usulan tercatat. Frekuensi pengajuan naik ≥20% dari baseline triwulan 1, dan proporsi usulan yang diajukan kembali setelah ditolak naik menjadi ≥40% pada triwulan 4. Milestone bulan ke-6: 10 usulan.</t>
  </si>
  <si>
    <t>Jurnal "Yang Tidak Dikatakan tentang Perubahan Ini"</t>
  </si>
  <si>
    <t>Menangkap keberatan yang tidak disampaikan terbuka atas perubahan yang diusulkan.</t>
  </si>
  <si>
    <t>Setiap kali peserta mengusulkan atau menjalankan perubahan, catat: sinyal keberatan yang peserta tangkap di luar kata-kata — diam, setuju cepat tanpa pertanyaan, penundaan komitmen, atau menyetujui di rapat tetapi tidak menjalankan; apa yang peserta baca dari sinyal itu; apakah peserta MEMERIKSA bacaan itu kepada orangnya; dan apa jawabannya.</t>
  </si>
  <si>
    <t>Log minimal 24 entri; rekap triwulanan persentase bacaan yang diperiksa dan yang ternyata tepat.</t>
  </si>
  <si>
    <t>Minimal 24 entri. Persentase bacaan yang diperiksa naik menjadi ≥70% pada triwulan 4, dan akurasi bacaan yang diperiksa naik ≥20% dari baseline. Bacaan yang tidak diperiksa tidak dihitung sebagai bukti. Milestone bulan ke-6: 12 entri.</t>
  </si>
  <si>
    <t>Refleksi "Dampak Usulan Saya pada Unit Lain"</t>
  </si>
  <si>
    <t>Mengantisipasi dampak sebuah usulan terhadap pihak lain sebelum diajukan.</t>
  </si>
  <si>
    <t>Setiap 3 bulan, ambil 3 usulan yang peserta ajukan pada periode itu. Untuk masing-masing periksa: unit mana yang terdampak, apakah peserta menyadarinya SEBELUM mengajukan, apakah peserta memberi tahu mereka lebih dulu, dan apa yang terjadi kemudian. Tandai usulan yang dampaknya baru ketahuan setelah diajukan.</t>
  </si>
  <si>
    <t>4 laporan refleksi; daftar unit terdampak per usulan beserta kapan mereka diberi tahu.</t>
  </si>
  <si>
    <t>4 laporan selesai. Proporsi usulan yang dampaknya pada unit lain sudah diantisipasi SEBELUM diajukan naik menjadi ≥75% pada triwulan 4. Milestone bulan ke-6: 2 laporan.</t>
  </si>
  <si>
    <t>Workshop "Menyusun dan Memperjuangkan Usulan Perubahan" (2 hari)</t>
  </si>
  <si>
    <t>Menguasai cara menyusun usulan yang realistis dan mendorongnya sampai dijalankan.</t>
  </si>
  <si>
    <t>Pelatihan 2 hari: menyusun dasar usulan yang ringkas dan berbukti, menilai realisme sumber daya, memetakan siapa yang perlu mendukung dan dalam urutan apa, menangani penolakan pertama, dan mengetahui kapan sebuah usulan memang harus dilepaskan.</t>
  </si>
  <si>
    <t>Sertifikat; 1 usulan nyata yang disusun ulang dan diajukan dalam 30 hari setelah pelatihan.</t>
  </si>
  <si>
    <t>Lulus simulasi dengan skor ≥80 (skala 0–100). Usulan nyata diajukan dalam 30 hari, dan peserta mampu menunjukkan peta dukungan yang ia susun sebelum mengajukan.</t>
  </si>
  <si>
    <t>Kursus Online "Membaca Keberatan yang Tidak Diucapkan"</t>
  </si>
  <si>
    <t>Mengenali penolakan yang tidak disampaikan terbuka dan meresponsnya dengan tepat.</t>
  </si>
  <si>
    <t>Selesaikan kursus online: tanda keberatan yang tidak diucapkan, mengapa orang tidak menyampaikan keberatannya kepada pengusul, cara memeriksa bacaan tanpa menuduh, membedakan keberatan atas isi dari keberatan atas cara penyampaian, dan memilih respons yang sesuai penyebabnya.</t>
  </si>
  <si>
    <t>Sertifikat; daftar 8 tanda keberatan tak terucap yang teramati di unit sendiri beserta cara membukanya.</t>
  </si>
  <si>
    <t>Minimal 5 dari 8 tanda berhasil dibuka menjadi percakapan terbuka, dan pihak bersangkutan mengonfirmasi memang ada keberatan yang sebelumnya tidak ia sampaikan.</t>
  </si>
  <si>
    <t>Micro-learning "Menyampaikan Perubahan yang Tidak Diinginkan"</t>
  </si>
  <si>
    <t>Menyampaikan usulan yang akan merugikan sebagian pihak tanpa kehilangan dukungan mereka.</t>
  </si>
  <si>
    <t>Selesaikan modul online: menyampaikan perubahan yang membebani sebagian pihak, mengakui kerugian yang nyata tanpa menjanjikan yang belum pasti, dan membedakan mendengarkan keberatan dari membatalkan usulan.</t>
  </si>
  <si>
    <t>Sertifikat; 6 rumusan penyampaian untuk 6 situasi usulan yang berpotensi ditolak.</t>
  </si>
  <si>
    <t>Minimal 4 rumusan dipakai pada situasi nyata. Pihak yang dirugikan usulan menilai mereka merasa didengar meskipun usulan tetap berjalan, dengan skor ≥4 (skala 1–5).</t>
  </si>
  <si>
    <t>Menguji 6 Usulan kepada Pihak Terdampak Sebelum Diajukan Resmi</t>
  </si>
  <si>
    <t>Memperbaiki usulan berdasarkan keberatan sebelum sampai ke forum keputusan.</t>
  </si>
  <si>
    <t>Sebelum mengajukan usulan secara resmi, bawa lebih dulu kepada pihak yang akan terdampak. Minta mereka menyampaikan keberatan dan kelemahannya. Revisi usulan berdasarkan keberatan itu. Dokumentasikan versi awal, keberatan yang diterima, dan versi revisinya.</t>
  </si>
  <si>
    <t>6 usulan dengan 3 dokumen masing-masing: versi awal, daftar keberatan, versi revisi.</t>
  </si>
  <si>
    <t>6 usulan diuji lebih dulu. Minimal 4 direvisi secara substantif berdasarkan keberatan — bukan perubahan kosmetik. Tingkat penerimaan usulan yang diuji lebih dulu ≥20% lebih tinggi daripada yang tidak diuji lebih dulu. Milestone bulan ke-6: 3 usulan.</t>
  </si>
  <si>
    <t>Atasan dan Pihak Terdampak</t>
  </si>
  <si>
    <t>Shadowing Atasan saat Mengajukan dan Memperjuangkan Usulan</t>
  </si>
  <si>
    <t>Mempelajari apa yang dilakukan senior setelah usulannya ditolak pertama kali.</t>
  </si>
  <si>
    <t>Minta izin mengamati 3 kesempatan di mana atasan mengajukan usulan perubahan. Catat: bagaimana ia membuka, bukti apa yang ia siapkan, siapa yang ia temui lebih dulu sebelum forum resmi, apa yang ia lakukan ketika usulannya ditolak atau ditunda, dan kapan ia memutuskan melepaskan usulan.</t>
  </si>
  <si>
    <t>Minimal 3 pola diterapkan pada usulan sendiri dan terlihat di log. Divalidasi Atasan ≥4 (skala 1–5).</t>
  </si>
  <si>
    <t>Umpan Balik 360° "Inisiatif Perubahan dan Membaca Keberatan"</t>
  </si>
  <si>
    <t>Mengukur persepsi atas frekuensi usulan dan ketepatan membaca keberatan.</t>
  </si>
  <si>
    <t>Kuesioner pre (bulan 1) dan post (bulan 11) kepada minimal 8 responden, WAJIB mencakup pihak yang pernah keberatan atas usulan peserta. Butir CA7: "Ia mengusulkan perbaikan tanpa menunggu diminta"; "Usulannya realistis dan dapat dijalankan"; "Ia tidak berhenti pada penolakan pertama". Butir PA9: "Ia menangkap ketika saya keberatan meski saya belum mengatakannya"; "Saya merasa didengar meskipun usulannya tetap berjalan".</t>
  </si>
  <si>
    <t>Kenaikan rata-rata ≥1 poin (skala 1–5). Butir "ia tidak berhenti pada penolakan pertama" (CA7) dan "saya merasa didengar meskipun usulannya tetap berjalan" (PA9) wajib naik ≥1 poin (skala 1–5).</t>
  </si>
  <si>
    <t>Mengajukan 12 Usulan Perbaikan dan Memperjuangkan 3 sampai Dijalankan</t>
  </si>
  <si>
    <t>Membuktikan frekuensi pengajuan dan ketekunan mendorong implementasi.</t>
  </si>
  <si>
    <t>Ajukan 12 usulan perbaikan sepanjang program, yang lahir dari peluang yang peserta lihat sendiri — bukan dari penugasan. Dari 12 itu, pilih 3 yang paling berdampak dan perjuangkan sampai benar-benar dijalankan, termasuk mengajukan kembali yang sempat ditolak dengan perbaikan berdasarkan alasan penolakannya.</t>
  </si>
  <si>
    <t>12 usulan terdokumentasi; 3 berkas perjuangan lengkap (pengajuan, penolakan, perbaikan, pengajuan ulang, pelaksanaan). Termasuk review bulan ke-6 dan ke-12 oleh Atasan.</t>
  </si>
  <si>
    <t>12 usulan diajukan. Minimal 8 dinilai Atasan relevan dan realistis. Minimal 3 dijalankan, termasuk minimal 1 yang ditolak pada pengajuan pertama lalu diperjuangkan sampai diterima. Milestone bulan ke-6: 6 usulan, minimal 1 dijalankan.</t>
  </si>
  <si>
    <t>Menemukan dan Menjawab Kekhawatiran Nyata di Balik 4 Penolakan</t>
  </si>
  <si>
    <t>Membuktikan kemampuan membaca keberatan yang sebenarnya, bukan yang disebutkan.</t>
  </si>
  <si>
    <t>Pada 4 penolakan nyata atas usulan atau perubahan yang peserta bawa, telusuri kekhawatiran yang SEBENARNYA di baliknya — sering bukan alasan yang disebutkan pertama kali. Periksa bacaan peserta kepada orang yang bersangkutan, lalu susun respons yang menjawab kekhawatiran itu.</t>
  </si>
  <si>
    <t>4 dokumentasi dengan alur: alasan yang disebutkan → sinyal → bacaan → konfirmasi → respons → hasil.</t>
  </si>
  <si>
    <t>Pada minimal 3 dari 4, kekhawatiran yang sebenarnya BERBEDA dari alasan yang disebutkan pertama, dan pihak bersangkutan membenarkan bacaan peserta. Minimal 2 respons dinilai tepat sasaran oleh pihak tersebut (≥4, skala 1–5). Milestone bulan ke-6: 2 kasus.</t>
  </si>
  <si>
    <t>Atasan dan Pihak yang Menolak</t>
  </si>
  <si>
    <t>Memimpin 1 Perubahan di Unit yang Berdampak ke Unit Lain</t>
  </si>
  <si>
    <t>Menjalankan perubahan sambil mengantisipasi dampaknya pada pihak lain sejak awal.</t>
  </si>
  <si>
    <t>Pimpin 1 perubahan di unit peserta yang berdampak pada minimal 2 unit lain. Sebelum mengumumkannya, identifikasi unit yang terdampak, temui mereka lebih dulu, dan sesuaikan rencana berdasarkan masukan mereka. Jalankan, lalu pantau dampaknya pada unit-unit tersebut selama minimal 3 bulan.</t>
  </si>
  <si>
    <t>Dokumentasi perubahan; catatan pertemuan dengan unit terdampak sebelum pengumuman; data dampak pada unit lain selama 3 bulan.</t>
  </si>
  <si>
    <t>Perubahan dijalankan. Seluruh unit terdampak mengonfirmasi mereka DIBERI TAHU DAN DIMINTAI MASUKAN sebelum perubahan diumumkan, bukan setelahnya. Tidak ada dampak merugikan pada unit lain yang tidak diantisipasi. Atasan menilai ≥4 (skala 1–5).</t>
  </si>
  <si>
    <t>Atasan dan Unit Terdampak</t>
  </si>
  <si>
    <t>Log "Suhu Saya dan Suhu yang Tertangkap Tim"</t>
  </si>
  <si>
    <t>Membandingkan ketegangan yang dirasakan peserta dengan yang ditangkap timnya.</t>
  </si>
  <si>
    <t>Setiap situasi perubahan yang belum jelas, catat: tingkat ketegangan peserta sendiri pada skala 1–5, apa pemicunya, apa yang peserta tunjukkan ke luar, dan apa yang peserta kerjakan. Pada bulan yang sama, tanyakan kepada 2 anggota tim: seberapa tegang mereka menangkap peserta pada situasi itu. Catat selisihnya.</t>
  </si>
  <si>
    <t>Log minimal 24 situasi; rekap triwulanan selisih antara suhu yang dirasakan dan yang tertangkap tim. Termasuk review rekap triwulanan oleh Mentor.</t>
  </si>
  <si>
    <t>Minimal 24 situasi tercatat dengan pembanding dari tim. Selisih antara suhu yang dirasakan peserta dan yang tertangkap tim turun ≥50% dari triwulan 1 ke triwulan 4. Milestone bulan ke-6: 12 situasi dan baseline terbentuk.</t>
  </si>
  <si>
    <t>Latihan "Jeda Sebelum Meneruskan Kabar"</t>
  </si>
  <si>
    <t>Menahan diri meneruskan ketidakjelasan mentah-mentah kepada tim.</t>
  </si>
  <si>
    <t>Sebelum meneruskan kabar perubahan yang belum jelas kepada tim, tunggu — minimal beberapa jam untuk kabar besar. Rumuskan lebih dulu tiga hal: apa yang sudah pasti, apa yang belum pasti, dan apa yang tetap dikerjakan sekarang. Baru sampaikan. Catat apa yang akan peserta sampaikan bila tidak menahan diri.</t>
  </si>
  <si>
    <t>20 catatan; perbandingan antara rumusan awal dan yang akhirnya disampaikan.</t>
  </si>
  <si>
    <t>Minimal 16 dari 20 kabar melewati jeda dan rumusan tiga bagian. Pada minimal 12, penerima mengonfirmasi mereka tahu apa yang harus dikerjakan setelah mendengarnya. Milestone bulan ke-6: 8 catatan.</t>
  </si>
  <si>
    <t>Refleksi "Apa yang Menular dari Saya"</t>
  </si>
  <si>
    <t>Mengetahui apa yang sebenarnya ditangkap tim dari sikap peserta saat perubahan.</t>
  </si>
  <si>
    <t>Setiap 3 bulan, tanyakan kepada 3 anggota tim tentang perubahan terakhir yang dilalui: apa yang mereka tangkap dari sikap peserta, apa yang membuat mereka lebih tenang, dan apa yang justru membuat mereka lebih cemas. Tanyakan secara terbuka dan catat apa adanya.</t>
  </si>
  <si>
    <t>4 laporan refleksi berisi kutipan langsung dari anggota tim.</t>
  </si>
  <si>
    <t>4 laporan selesai dengan kutipan langsung. Hal-hal yang disebut membuat tim cemas turun ≥50% dari laporan pertama ke laporan keempat. Milestone bulan ke-6: 2 laporan.</t>
  </si>
  <si>
    <t>Workshop "Menjaga Ketenangan Diri dan Tim dalam Perubahan" (2 hari)</t>
  </si>
  <si>
    <t>Menguasai pengelolaan diri sekaligus pengaruhnya pada orang lain saat keadaan berubah.</t>
  </si>
  <si>
    <t>Pelatihan 2 hari: mengenali pemicu pribadi saat keadaan berubah, tanda tubuh dan suara yang menular kepada tim, teknik regulasi saat pertemuan berlangsung, cara menyampaikan kabar yang belum pasti tanpa menutupi, dan mengenali tanda tim mulai panik.</t>
  </si>
  <si>
    <t>Sertifikat; daftar 5 pemicu pribadi beserta tanda yang terlihat oleh orang lain. Termasuk verifikasi oleh 2 Anggota Tim.</t>
  </si>
  <si>
    <t>Lulus praktik dengan skor ≥80 (skala 0–100). Kelima pemicu diverifikasi 2 Anggota Tim sebagai memang terlihat oleh mereka — daftar yang tidak dikenali tim menandakan peserta belum tahu apa yang ia tularkan.</t>
  </si>
  <si>
    <t>Fasilitator dan Anggota Tim</t>
  </si>
  <si>
    <t>Kursus Online "Komunikasi Perubahan yang Menenangkan Tanpa Menutupi"</t>
  </si>
  <si>
    <t>Menyampaikan ketidakpastian secara jujur tanpa menimbulkan kecemasan.</t>
  </si>
  <si>
    <t>Selesaikan kursus online: memisahkan yang pasti dari yang belum pasti, irama komunikasi pada masa tidak jelas, mengapa diam justru menambah kecemasan, cara menjawab pertanyaan yang belum ada jawabannya, dan bahaya menenangkan dengan janji yang belum tentu ditepati.</t>
  </si>
  <si>
    <t>Sertifikat; 1 pola komunikasi berkala untuk masa perubahan yang dipakai pada unit sendiri.</t>
  </si>
  <si>
    <t>Pola komunikasi dijalankan minimal 3 bulan. Anggota tim mengonfirmasi mereka merasa cukup mendapat kabar dan tidak menunggu dalam ketidakjelasan, dengan skor ≥4 (skala 1–5).</t>
  </si>
  <si>
    <t>Tim Langsung</t>
  </si>
  <si>
    <t>Micro-learning "Tanda Tim Mulai Kehilangan Pegangan"</t>
  </si>
  <si>
    <t>Mengenali lebih awal ketika tim mulai cemas atau kehilangan arah.</t>
  </si>
  <si>
    <t>Selesaikan modul online: tanda kecemasan kolektif — meningkatnya rumor, pertanyaan berulang tentang hal yang sudah dijawab, menurunnya inisiatif, dan meningkatnya permintaan kepastian; serta langkah pertama yang tepat untuk masing-masing.</t>
  </si>
  <si>
    <t>Sertifikat; daftar 5 tanda yang teramati di unit sendiri beserta langkah yang diambil.</t>
  </si>
  <si>
    <t>Minimal 3 dari 5 tanda ditindaklanjuti dan kemunculan tanda tersebut turun ≥50% dalam 1 bulan setelah tindakan, dikonfirmasi Anggota Tim.</t>
  </si>
  <si>
    <t>"Steady Clinic" — Peer Department Head + Mentor Division Head</t>
  </si>
  <si>
    <t>Menguji apakah tim benar-benar terbantu atau hanya tidak mengeluh.</t>
  </si>
  <si>
    <t>Bentuk forum 3–4 peer SETINGKAT ditambah 1 mentor berjenjang Division Head. Setiap 2 bulan, satu peserta memaparkan bagaimana ia menjaga unitnya tetap tenang dan bekerja pada periode perubahan terakhir. Peserta lain BERTUGAS menantang satu hal: apakah timnya benar-benar terbantu, atau hanya tidak menyampaikan keluhan. Pemapar wajib membawa bukti dari anggota timnya.</t>
  </si>
  <si>
    <t>6 sesi (minimal 2 sebagai pemapar); catatan tantangan dan bukti dari tim.</t>
  </si>
  <si>
    <t>Minimal 5 dari 6 sesi terlaksana. Pada 2 pemaparan sendiri, peserta menyajikan bukti dari anggota tim — bukan penilaian dirinya sendiri. Milestone bulan ke-6: 3 sesi, minimal 1 sebagai pemapar.</t>
  </si>
  <si>
    <t>Shadowing Atasan saat Menyampaikan Perubahan yang Mengguncang</t>
  </si>
  <si>
    <t>Mempelajari cara senior menyampaikan kabar berat tanpa menularkan kegelisahan.</t>
  </si>
  <si>
    <t>Minta izin mengamati 3 kesempatan di mana atasan menyampaikan perubahan yang mengguncang kepada unitnya. Catat: apa yang ia sampaikan lebih dulu, bagaimana ia menyatakan hal yang belum pasti, bagaimana ia menjawab pertanyaan yang belum ada jawabannya, apa yang ia lakukan pada orang yang paling terlihat cemas, dan bagaimana suasana ruangan berubah sepanjang pertemuan.</t>
  </si>
  <si>
    <t>Minimal 3 pola diterapkan pada penyampaian sendiri, dan pengaruhnya dikonfirmasi Anggota Tim. Divalidasi Atasan ≥4 (skala 1–5).</t>
  </si>
  <si>
    <t>Umpan Balik 360° "Efek Menenangkan"</t>
  </si>
  <si>
    <t>Mengukur apakah kehadiran peserta menenangkan atau justru menambah tegang.</t>
  </si>
  <si>
    <t>Kuesioner pre (bulan 1) dan post (bulan 11) kepada minimal 10 responden, WAJIB mencakup seluruh tim langsung. Butir khusus CA9: "Ketika keadaan berubah cepat, sikapnya membuat saya lebih tenang"; "Ia tidak menularkan kepanikan kepada kami"; "Ia tetap berpikir jernih ketika keadaan belum jelas"; "Ia jujur tentang yang belum pasti tanpa membuat saya cemas"; "Saya tahu apa yang harus dikerjakan meski arahnya belum turun".</t>
  </si>
  <si>
    <t>Kenaikan rata-rata ≥1 poin (skala 1–5). Butir "sikapnya membuat saya lebih tenang" dan "ia tidak menularkan kepanikan" wajib mencapai ≥4 (skala 1–5) dari responden tim langsung. Penilaian yang tidak menyertakan tim langsung tidak sah.</t>
  </si>
  <si>
    <t>Mendampingi 6 Orang Melewati Perubahan yang Mereka Tolak</t>
  </si>
  <si>
    <t>Membantu orang lain sampai benar-benar mampu menjalankan perubahan.</t>
  </si>
  <si>
    <t>Pilih 6 orang — anggota tim maupun dari unit lain — yang sedang kesulitan menerima sebuah perubahan. Dampingi masing-masing: telusuri apa yang sebenarnya mereka khawatirkan, bantu memisahkan kekhawatiran yang berdasar dari yang tidak, dan dampingi sampai mereka menjalankan perubahan itu. Catat setiap pendampingan.</t>
  </si>
  <si>
    <t>6 catatan pendampingan (kekhawatiran, pendekatan, perkembangan, hasil); konfirmasi dari yang didampingi.</t>
  </si>
  <si>
    <t>6 orang didampingi. Minimal 4 menjalankan perubahan tersebut dan mengonfirmasi pendampingan itu membantu, dengan skor ≥4 (skala 1–5). Yang menjalankan karena perintah tanpa merasa terbantu tidak dihitung. Milestone bulan ke-6: 3 orang.</t>
  </si>
  <si>
    <t>Atasan dan Yang Didampingi</t>
  </si>
  <si>
    <t>Memimpin 1 Perubahan Besar yang Mengguncang Unit</t>
  </si>
  <si>
    <t>Menjaga unit tetap bekerja dan tetap tenang selama perubahan yang berat.</t>
  </si>
  <si>
    <t>Pimpin 1 perubahan besar yang berdampak nyata pada cara kerja atau posisi anggota unit — perubahan struktur, sistem inti, atau target yang jauh berbeda. Jalankan dengan irama komunikasi yang tetap, dampingi yang paling terdampak, dan pantau keluaran unit setiap bulan selama perubahan berlangsung.</t>
  </si>
  <si>
    <t>Dokumentasi perubahan; catatan irama komunikasi; data keluaran unit per bulan; hasil pengukuran ketenangan tim sebelum, selama, dan sesudah.</t>
  </si>
  <si>
    <t>Selama periode perubahan, keluaran unit ≥95% dari periode normal, dan skor butir ketenangan pada pengukuran tim tidak turun dari baseline. Keduanya harus terpenuhi — unit yang tetap produktif tetapi tegang tidak memenuhi CA9.</t>
  </si>
  <si>
    <t>Atasan dan Tim Langsung</t>
  </si>
  <si>
    <t>Menjaga Ketenangan pada 1 Perubahan yang Peserta Sendiri Keberatan</t>
  </si>
  <si>
    <t>Menjalankan dan menyampaikan perubahan yang peserta sendiri tidak setujui, tanpa menularkan keberatan itu.</t>
  </si>
  <si>
    <t>Pada 1 perubahan yang peserta sendiri keberatan, jalankan urutan berikut: sampaikan keberatan peserta secara terbuka kepada atasan SEBELUM perubahan berjalan; setelah keputusan final, sampaikan kepada tim keputusan beserta alasannya tanpa menularkan kegelisahan peserta; jalankan sepenuhnya. Catat setiap dorongan untuk menunjukkan ketidaksetujuan kepada tim dan cara peserta menanganinya.</t>
  </si>
  <si>
    <t>Dokumentasi: keberatan yang disampaikan ke atas, cara penyampaian ke tim, catatan dorongan, dan bukti pelaksanaan penuh.</t>
  </si>
  <si>
    <t>Keberatan disampaikan terbuka ke Atasan SEBELUM perubahan berjalan. Tim memberi skor ≥4 (skala 1–5) untuk memahami keputusan dan tidak menangkap kegelisahan dari peserta. Perubahan dijalankan sepenuhnya. Menahan keberatan dari atasan dan menyalurkannya ke tim menggugurkan aktivitas ini.</t>
  </si>
  <si>
    <t>Log "Sinyal yang Saya Tangkap"</t>
  </si>
  <si>
    <t>Memisahkan sinyal yang hanya dicatat dari sinyal yang ditindaklanjuti.</t>
  </si>
  <si>
    <t>Setiap tanda perubahan eksternal yang peserta tangkap — pasar, regulasi, teknologi, pesaing, perilaku pelanggan — catat: sinyalnya apa dan dari mana, apa yang mungkin terjadi, perkiraan kapan, dan APA YANG PESERTA LAKUKAN SEKARANG. Beri tanda: hanya dicatat, atau ditindaklanjuti dengan langkah nyata.</t>
  </si>
  <si>
    <t>Log minimal 30 sinyal; rekap triwulanan proporsi yang ditindaklanjuti dengan langkah nyata. Termasuk review rekap triwulanan oleh Mentor.</t>
  </si>
  <si>
    <t>Minimal 30 sinyal tercatat. Proporsi yang ditindaklanjuti dengan langkah nyata naik dari baseline triwulan 1 menjadi ≥40% pada triwulan 4. Sinyal yang hanya dicatat tidak menilai CA10. Milestone bulan ke-6: 15 sinyal.</t>
  </si>
  <si>
    <t>Latihan "Taruhan Bertanggal"</t>
  </si>
  <si>
    <t>Menguji apakah pembacaan arah perubahan peserta benar-benar akurat.</t>
  </si>
  <si>
    <t>Untuk setiap perkiraan perubahan, tuliskan tiga hal sebelum kejadiannya: apa yang akan terjadi, KAPAN, dan tanda apa yang akan membuktikan perkiraan peserta SALAH. Tinjau kembali pada tanggal yang peserta tetapkan, dan catat hasilnya apa adanya — tepat, meleset, atau belum terjawab.</t>
  </si>
  <si>
    <t>Minimal 12 taruhan bertanggal; rekap hasil peninjauan pada setiap tanggal jatuh tempo.</t>
  </si>
  <si>
    <t>Minimal 12 taruhan dibuat, dan minimal 8 sudah jatuh tempo serta ditinjau sebelum akhir program. Tingkat ketepatan pada 4 taruhan terakhir naik ≥20% dibanding 4 taruhan pertama. Taruhan tanpa tanggal dan tanpa tanda pembantah tidak dihitung.</t>
  </si>
  <si>
    <t>Refleksi "Perubahan yang Saya Lewatkan"</t>
  </si>
  <si>
    <t>Menemukan sinyal yang sebenarnya sudah ada tetapi tidak tertangkap.</t>
  </si>
  <si>
    <t>Setiap 3 bulan, cari 1 perubahan yang sudah terjadi dan TIDAK peserta antisipasi. Telusuri mundur: kapan sinyalnya sebenarnya sudah muncul, di mana ia terlihat, mengapa peserta tidak menangkapnya, dan sumber informasi apa yang perlu peserta tambahkan agar tidak terlewat lagi.</t>
  </si>
  <si>
    <t>4 laporan penelusuran mundur; daftar sumber informasi yang ditambahkan.</t>
  </si>
  <si>
    <t>4 laporan selesai. Minimal 3 sumber informasi baru ditambahkan ke kebiasaan pemindaian, dan minimal 1 sinyal pada log pemindaian peserta berasal dari sumber yang baru ditambahkan itu. Milestone bulan ke-6: 2 laporan.</t>
  </si>
  <si>
    <t>Program "Strategic Foresight &amp; Scenario Planning" (3–5 hari)</t>
  </si>
  <si>
    <t>Menguasai pemindaian lingkungan dan penyusunan skenario yang dapat ditindaklanjuti.</t>
  </si>
  <si>
    <t>Program eksekutif 3–5 hari: memindai lingkungan secara sistematis, membaca sinyal lemah, menyusun skenario alternatif, menetapkan tanda pemantau untuk tiap skenario, dan menurunkan skenario menjadi langkah persiapan yang dapat dijalankan sekarang.</t>
  </si>
  <si>
    <t>Sertifikat; 1 set skenario dengan tanda pemantau dan langkah persiapan per skenario.</t>
  </si>
  <si>
    <t>Lulus studi kasus dengan skor ≥85 (skala 0–100). Setiap skenario wajib disertai langkah persiapan yang dapat dijalankan SEKARANG — skenario tanpa langkah persiapan tidak memenuhi.</t>
  </si>
  <si>
    <t>Kursus "Membaca Sinyal Lemah"</t>
  </si>
  <si>
    <t>Mengenali tanda perubahan ketika masih samar dan mudah diabaikan.</t>
  </si>
  <si>
    <t>Selesaikan kursus: sumber sinyal di luar jalur informasi resmi, membedakan sinyal dari gangguan, pola yang biasanya mendahului perubahan besar, dan mengapa sinyal lemah biasanya diabaikan organisasi yang sedang berjalan baik.</t>
  </si>
  <si>
    <t>Sertifikat; daftar 8 sumber pemindaian baru yang dipakai rutin di luar jalur informasi resmi.</t>
  </si>
  <si>
    <t>Minimal 6 dari 8 sumber dipakai rutin dan menghasilkan minimal 5 sinyal yang masuk ke log pemindaian peserta dalam aktivitas ini.</t>
  </si>
  <si>
    <t>Micro-learning "Menyiapkan Organisasi Sebelum Tahu Pasti"</t>
  </si>
  <si>
    <t>Membangun kesiapan ketika bentuk perubahannya belum pasti.</t>
  </si>
  <si>
    <t>Selesaikan modul: langkah persiapan yang tetap berguna apa pun bentuk perubahannya, membangun kemampuan sebelum dibutuhkan, meyakinkan orang untuk bersiap atas sesuatu yang belum terlihat, dan menghindari kesiapan yang justru membuang sumber daya.</t>
  </si>
  <si>
    <t>Sertifikat; 5 langkah persiapan yang tetap berguna apa pun skenarionya, untuk organisasi sendiri.</t>
  </si>
  <si>
    <t>Minimal 3 dari 5 langkah persiapan disetujui Direksi dan mulai dijalankan sebelum perubahan yang dituju terjadi.</t>
  </si>
  <si>
    <t>"Foresight Clinic" — Peer Division Head + Mentor Director</t>
  </si>
  <si>
    <t>Memisahkan antisipasi yang sesungguhnya dari reaksi yang disebut antisipasi.</t>
  </si>
  <si>
    <t>Bentuk forum 3–4 peer SETINGKAT ditambah 1 mentor berjenjang Director. Setiap 2 bulan, satu peserta memaparkan 1 sinyal yang ia tangkap beserta langkah yang sudah ia ambil. Peserta lain BERTUGAS menantang satu hal: apakah ini benar-benar antisipasi terhadap yang belum terjadi, atau reaksi terhadap yang dampaknya sudah mulai terasa. Pemapar wajib menyertakan tanggal sinyal dan tanggal langkah.</t>
  </si>
  <si>
    <t>6 sesi (minimal 2 sebagai pemapar); catatan tantangan atas keabsahan antisipasi.</t>
  </si>
  <si>
    <t>Minimal 5 dari 6 sesi terlaksana. Pada 2 pemaparan sendiri, forum menyepakati langkah yang diambil memang mendahului dampak — dibuktikan dengan tanggal. Milestone bulan ke-6: 3 sesi, minimal 1 sebagai pemapar.</t>
  </si>
  <si>
    <t>Mentoring dengan Director: Keputusan Antisipatif yang Pernah Diambil</t>
  </si>
  <si>
    <t>Mempelajari dasar yang dipakai pemimpin puncak untuk bertindak sebelum ada bukti.</t>
  </si>
  <si>
    <t>Lakukan minimal 4 sesi mentoring dengan seorang Director atau anggota direksi. Fokus percakapan pada satu hal: keputusan antisipatif apa yang pernah ia ambil sebelum ada bukti yang cukup, apa dasarnya, bagaimana ia meyakinkan orang lain untuk bersiap, dan keputusan antisipatif mana yang ternyata keliru beserta biayanya.</t>
  </si>
  <si>
    <t>4 catatan mentoring; daftar 5 pola yang akan diadopsi, termasuk cara menilai kapan antisipasi tidak sepadan biayanya.</t>
  </si>
  <si>
    <t>4 sesi terlaksana. Minimal 4 pola diterapkan pada keputusan peserta sendiri dan tercatat di log peserta dalam aktivitas ini. Divalidasi Mentor ≥4 (skala 1–5).</t>
  </si>
  <si>
    <t>Umpan Balik 360° "Kesiapan Menghadapi yang Belum Terjadi"</t>
  </si>
  <si>
    <t>Mengukur apakah orang lain merasa disiapkan sebelum perubahan datang.</t>
  </si>
  <si>
    <t>Kuesioner pre (bulan 1) dan post (bulan 11) kepada minimal 12 responden, WAJIB mencakup minimal 6 orang dari fungsi DI LUAR unit peserta. Butir khusus CA10: "Ia sudah menyiapkan kami sebelum perubahan itu datang"; "Ia melihat perubahan lebih awal daripada kebanyakan orang di sini"; "Ia mengajak kami bersiap atas hal yang belum terlihat"; "Persiapan yang ia minta ternyata berguna ketika perubahannya datang".</t>
  </si>
  <si>
    <t>Kenaikan rata-rata ≥1 poin (skala 1–5). Butir "ia sudah menyiapkan kami sebelum perubahan itu datang" wajib mencapai ≥4 (skala 1–5), termasuk dari responden di luar unit peserta. Penilaian yang hanya bersumber dari unit sendiri tidak sah.</t>
  </si>
  <si>
    <t>Menggerakkan Organisasi atas 2 Perubahan yang Belum Terjadi</t>
  </si>
  <si>
    <t>Membuktikan organisasi bergerak karena antisipasi, bukan karena dampak sudah terasa.</t>
  </si>
  <si>
    <t>Pilih 2 perubahan yang peserta perkirakan akan datang tetapi BELUM terjadi. Untuk masing-masing: susun langkah persiapan, ajukan kepada direksi, dan jalankan dengan pelaksana di luar diri peserta sendiri. Catat tanggal: kapan sinyal ditangkap, kapan langkah diajukan, kapan mulai dijalankan, dan kapan perubahan itu mulai terasa dampaknya.</t>
  </si>
  <si>
    <t>2 berkas antisipasi lengkap dengan linimasa bertanggal; bukti pelaksanaan oleh pihak di luar peserta. Termasuk review bulan ke-6 dan ke-12 oleh Direksi.</t>
  </si>
  <si>
    <t>2 langkah persiapan dijalankan SEBELUM dampak perubahan terasa, dibuktikan dengan tanggal, dan dengan pelaksana di luar peserta. Bila salah satu perubahan sudah datang dalam periode program, persiapan itu terbukti terpakai; bila belum, Direksi menilai kesiapan yang dibangun tetap relevan. Milestone bulan ke-6: 1 langkah berjalan.</t>
  </si>
  <si>
    <t>Memasang Sistem Pemantau Sinyal untuk Organisasi</t>
  </si>
  <si>
    <t>Membuat kemampuan menangkap sinyal tidak bergantung pada satu orang.</t>
  </si>
  <si>
    <t>Rancang dan pasang mekanisme pemantauan sinyal perubahan untuk organisasi: sumber apa yang dipantau, siapa yang memantau, seberapa sering, ke mana temuan dilaporkan, dan pada tanda apa organisasi harus bertindak. Serahkan kepada minimal 2 fungsi lain untuk dijalankan, dampingi pada putaran pertama, lalu tarik diri.</t>
  </si>
  <si>
    <t>Dokumen mekanisme pemantauan; bukti pemakaian oleh minimal 2 fungsi lain tanpa kehadiran peserta; daftar sinyal yang tertangkap sistem itu.</t>
  </si>
  <si>
    <t>Sistem dipakai minimal 2 fungsi lain TANPA kehadiran peserta selama minimal 3 bulan. Minimal 1 sinyal tertangkap lebih dulu oleh sistem itu daripada oleh jalur informasi biasa, dan ditindaklanjuti.</t>
  </si>
  <si>
    <t>Direksi dan Unit Kerja Terkait</t>
  </si>
  <si>
    <t>Memimpin 1 Transformasi yang Dimulai Sebelum Ada Tekanan</t>
  </si>
  <si>
    <t>Menginisiasi transformasi atas dasar pembacaan, bukan atas dasar krisis atau arahan.</t>
  </si>
  <si>
    <t>Pimpin 1 inisiatif transformasi lintas fungsi yang dimulai BUKAN karena krisis, bukan karena arahan dari atas, dan bukan karena kinerja sedang turun — melainkan atas usulan peserta berdasarkan sinyal yang peserta baca. Bangun komitmen lintas fungsi, ajukan kepada direksi, dan jalankan minimal satu tahapnya.</t>
  </si>
  <si>
    <t>Dokumen usulan beserta sinyal yang mendasarinya; risalah persetujuan direksi; bukti komitmen lintas fungsi; bukti pelaksanaan tahap pertama.</t>
  </si>
  <si>
    <t>Transformasi dimulai atas usulan peserta berdasarkan sinyal — dibuktikan dengan catatan sinyal yang mendahului usulan. Disetujui Direksi, komitmen lintas fungsi diperoleh dari minimal 3 fungsi, dan minimal 1 tahap dijalankan dalam periode program. Transformasi yang dimulai karena krisis atau arahan tidak dihitung.</t>
  </si>
  <si>
    <t>Log "Kualitas, Ketepatan Waktu, dan Keandalan"</t>
  </si>
  <si>
    <t>Mengukur ketiga fokus perilaku RA1 secara terpisah dan eksplisit.</t>
  </si>
  <si>
    <t>Catat SETIAP penyerahan hasil kerja: standar mutu yang berlaku, tanggal yang dijanjikan, tanggal penyerahan sebenarnya, diterima tanpa revisi atau tidak.</t>
  </si>
  <si>
    <t>Log minimal 60 penyerahan; rekap bulanan 3 angka — % tepat waktu, % diterima tanpa revisi, rata-rata revisi. Termasuk review rekap bulanan oleh Mentor.</t>
  </si>
  <si>
    <t>Log minimal 60 penyerahan. Baseline diambil dari bulan 1–3. Milestone bulan ke-6: 30 penyerahan dan baseline terbentuk.</t>
  </si>
  <si>
    <t>Membangun Personal Quality Checklist</t>
  </si>
  <si>
    <t>Meningkatkan ketelitian menghasilkan pekerjaan yang akurat dan sesuai standar.</t>
  </si>
  <si>
    <t>Susun checklist kualitas berisi aspek penting sebelum pekerjaan diselesaikan. Gunakan pada setiap tugas dan evaluasi temuan yang muncul.</t>
  </si>
  <si>
    <t>Checklist kualitas dan log penggunaan. Termasuk verifikasi Mentor.</t>
  </si>
  <si>
    <t>Checklist digunakan minimal pada 10 pekerjaan dan minimal 80% pekerjaan memenuhi seluruh kriteria kualitas.</t>
  </si>
  <si>
    <t>Melakukan Self-Review Sebelum Submit dengan Target Waktu</t>
  </si>
  <si>
    <t>Membangun kebiasaan memeriksa hasil kerja tanpa mengorbankan tenggat.</t>
  </si>
  <si>
    <t>Lakukan self-review terhadap setiap output menggunakan kriteria kualitas, dengan memastikan waktu self-review tidak membuat penyerahan terlambat dari tenggat yang disepakati.</t>
  </si>
  <si>
    <t>Form self-review; catatan waktu penyerahan.</t>
  </si>
  <si>
    <t>Minimal 90% pekerjaan yang disubmit telah melalui self-review dan tetap diserahkan tepat waktu; jumlah revisi dari atasan turun ≥50% dari baseline.</t>
  </si>
  <si>
    <t>Pelatihan Attention to Detail &amp; Quality Management</t>
  </si>
  <si>
    <t>Meningkatkan ketelitian dan meminimalkan kesalahan hasil kerja.</t>
  </si>
  <si>
    <t>Ikuti pelatihan teknik quality checking dan error prevention, selesaikan studi kasus.</t>
  </si>
  <si>
    <t>Menyelesaikan 100% materi, nilai post-test minimal 80 (skala 0–100).</t>
  </si>
  <si>
    <t>Sertifikasi Six Sigma Yellow Belt / Green Belt</t>
  </si>
  <si>
    <t>Memahami quality improvement dan process control.</t>
  </si>
  <si>
    <t>Ikuti modul sertifikasi, identifikasi 1 area kerja untuk penerapan konsep Six Sigma, susun laporan penerapan.</t>
  </si>
  <si>
    <t>Sertifikat; laporan penerapan.</t>
  </si>
  <si>
    <t>Lulus sertifikasi/assessment minimal 80 (skala 0–100).</t>
  </si>
  <si>
    <t>Workshop "Menepati Tenggat Tanpa Mengorbankan Kualitas"</t>
  </si>
  <si>
    <t>Menguasai teknik memperkirakan waktu pengerjaan secara realistis.</t>
  </si>
  <si>
    <t>Ikuti workshop tentang estimasi waktu pengerjaan, menyisipkan cadangan waktu, dan mengenali tanda akan terlambat lebih awal.</t>
  </si>
  <si>
    <t>1 metode estimasi waktu pribadi.</t>
  </si>
  <si>
    <t>Pada 10 penyerahan terakhir setelah workshop, selisih waktu perkiraan dan sebenarnya tidak lebih dari 20%.</t>
  </si>
  <si>
    <t>Peer Review Rutin untuk Dokumen/Presentasi sebelum Diserahkan</t>
  </si>
  <si>
    <t>Meminimalkan kesalahan melalui pemeriksaan rekan kerja.</t>
  </si>
  <si>
    <t>Kirim draft kepada reviewer sebelum finalisasi, minta masukan dengan checklist kualitas, dokumentasikan dan perbaiki sebelum diserahkan.</t>
  </si>
  <si>
    <t>Minimal 3 dokumen yang direview beserta bukti perbaikan.</t>
  </si>
  <si>
    <t>Minimal 3 dokumen direview dan ≥80% masukan reviewer ditindaklanjuti.</t>
  </si>
  <si>
    <t>Rekan Reviewer</t>
  </si>
  <si>
    <t>Mentoring dengan Rekan Senior yang Memiliki Standar Kualitas Tinggi</t>
  </si>
  <si>
    <t>Mempelajari praktik kerja terbaik untuk ketelitian dan konsistensi.</t>
  </si>
  <si>
    <t>Sesi mentoring 2 kali per bulan, bahas hasil kerja, catat rekomendasi, terapkan pada pekerjaan berikutnya.</t>
  </si>
  <si>
    <t>Catatan mentoring; bukti implementasi.</t>
  </si>
  <si>
    <t>Mengikuti minimal 8 sesi dan menerapkan minimal 75% rekomendasi mentor.</t>
  </si>
  <si>
    <t>Membangun Feedback Loop Cepat dengan Stakeholder Internal</t>
  </si>
  <si>
    <t>Memastikan hasil kerja sesuai ekspektasi sejak awal.</t>
  </si>
  <si>
    <t>Diskusi penyelarasan ekspektasi di awal pekerjaan, minta feedback pada tahap draft, dokumentasikan dan perbaiki.</t>
  </si>
  <si>
    <t>Log feedback; bukti perbaikan.</t>
  </si>
  <si>
    <t>Minimal 4 siklus feedback terdokumentasi dan ≥80% feedback relevan ditindaklanjuti.</t>
  </si>
  <si>
    <t>Stakeholder Internal</t>
  </si>
  <si>
    <t>Menjaga Keandalan pada 40 Penyerahan Berturut-turut</t>
  </si>
  <si>
    <t>Sepanjang program, jalankan 40 penyerahan dengan disiplin: sepakati standar dan tenggat di muka, periksa dengan checklist, serahkan tepat waktu.</t>
  </si>
  <si>
    <t>40 penyerahan tercatat; grafik bulanan tepat waktu dan tanpa revisi. Termasuk review bulan ke-6 dan ke-12 oleh Atasan.</t>
  </si>
  <si>
    <t>Pada triwulan terakhir: tepat waktu ≥95%, persentase tanpa revisi naik minimal 15 poin dari baseline. Milestone bulan ke-6: 15 penyerahan.</t>
  </si>
  <si>
    <t>Ditugaskan pada Proyek dengan Standar Kualitas Ekstrem</t>
  </si>
  <si>
    <t>Menjaga kualitas hasil kerja secara konsisten pada standar mutu tinggi.</t>
  </si>
  <si>
    <t>Bergabung sebagai anggota inti proyek berstandar ketat. Identifikasi persyaratan kualitas, lakukan pengecekan pada setiap tahap, dokumentasikan temuan dan perbaikan.</t>
  </si>
  <si>
    <t>Laporan proyek; daftar temuan; hasil evaluasi kualitas.</t>
  </si>
  <si>
    <t>Minimal 90% persyaratan kualitas proyek terpenuhi dan 100% temuan kritikal ditindaklanjuti.</t>
  </si>
  <si>
    <t>Memegang Peran Final Approver untuk Dokumen atau Deliverable Penting</t>
  </si>
  <si>
    <t>Melatih ketelitian dan memastikan kualitas akhir sebelum diserahkan.</t>
  </si>
  <si>
    <t>Jadi final approver untuk dokumen/deliverable yang ditugaskan. Gunakan checklist kualitas, beri umpan balik perbaikan.</t>
  </si>
  <si>
    <t>Checklist review; catatan approval; rekap hasil review.</t>
  </si>
  <si>
    <t>Minimal 95% dokumen yang direview lolos tanpa revisi mayor dari stakeholder akhir.</t>
  </si>
  <si>
    <t>Stakeholder Terkait</t>
  </si>
  <si>
    <t>Log "Dasar Saya Mengurutkan Pekerjaan"</t>
  </si>
  <si>
    <t>Mengukur dasar yang benar-benar dipakai untuk mengurutkan pekerjaan yang bersaing.</t>
  </si>
  <si>
    <t>Setiap kali menghadapi lebih dari 2 tugas yang bersaing memperebutkan waktu, catat: tugas apa saja, urutan yang peserta pilih, dan dasar sebenarnya — kedatangan, kemudahan, tenggat, atau dampak terhadap tujuan yang lebih besar.</t>
  </si>
  <si>
    <t>Log minimal 24 situasi; rekap triwulanan proporsi dasar "dampak" vs dasar yang lebih rendah. Termasuk review rekap triwulanan oleh Mentor.</t>
  </si>
  <si>
    <t>Minimal 24 situasi tercatat. Proporsi yang diurutkan berdasar DAMPAK naik dari baseline triwulan 1 menjadi ≥50% pada triwulan 4. Milestone bulan ke-6: 12 situasi.</t>
  </si>
  <si>
    <t>Latihan "Menguji Rencana Kerja Sebelum Menjalankannya"</t>
  </si>
  <si>
    <t>Mempertanyakan asumsi rencana kerja sebelum dijalankan.</t>
  </si>
  <si>
    <t>Sebelum menjalankan rencana kerja (analisis kapasitas, kebutuhan alat, sumber daya unit), ajukan minimal 3 pertanyaan yang menguji asumsi di baliknya: "apa yang membuat asumsi ini benar?", "apa yang berbeda dari kondisi sebelumnya?", "pembanding apa yang tersedia?"</t>
  </si>
  <si>
    <t>24 catatan pengujian asumsi rencana kerja.</t>
  </si>
  <si>
    <t>Minimal 20 dari 24 pengujian dilakukan. Minimal 10 mengungkap asumsi yang perlu direvisi sebelum rencana dijalankan.</t>
  </si>
  <si>
    <t>Menemukan ketergantungan antar tugas yang sebelumnya tidak disadari saat mengurutkan.</t>
  </si>
  <si>
    <t>Setiap bulan, ambil 1 situasi ketika urutan pekerjaan yang peserta pilih ternyata mengabaikan ketergantungan pada pihak lain atau tugas lain. Telusuri apa yang terlewat.</t>
  </si>
  <si>
    <t>Minimal 10 dari 12 refleksi selesai. Minimal 6 pola ketergantungan yang berulang teridentifikasi.</t>
  </si>
  <si>
    <t>Pelatihan Critical Thinking &amp; Questioning Technique</t>
  </si>
  <si>
    <t>Menguasai teknik bertanya yang menembus permukaan sebuah rencana kerja.</t>
  </si>
  <si>
    <t>Ikuti pelatihan critical thinking, terapkan pada studi kasus rencana kerja unit sendiri.</t>
  </si>
  <si>
    <t>Sertifikat; 10 pertanyaan kritis diterapkan pada 1 rencana kerja nyata.</t>
  </si>
  <si>
    <t>Kesepuluh pertanyaan diterapkan dan minimal 3 mengungkap asumsi yang sebelumnya tidak disadari.</t>
  </si>
  <si>
    <t>Workshop "Mengurutkan Pekerjaan Berdasarkan Dampak"</t>
  </si>
  <si>
    <t>Menguasai kerangka mengurutkan berdasarkan dampak, bukan kemudahan atau urutan datang.</t>
  </si>
  <si>
    <t>Ikuti workshop tentang menilai kepentingan-kegentingan (urgent-important matrix), mengenali keterkaitan antar tugas, dan menyusun ulang urutan berdasarkan dampak terhadap tujuan unit.</t>
  </si>
  <si>
    <t>Kerangka disetujui Atasan dan dipakai pada minimal 10 situasi di log peserta dalam aktivitas ini.</t>
  </si>
  <si>
    <t>Studi Kasus Rencana Kerja yang Gagal karena Asumsi Tidak Diuji</t>
  </si>
  <si>
    <t>Belajar dari kasus rencana kerja yang gagal karena asumsi dasarnya salah.</t>
  </si>
  <si>
    <t>Pelajari minimal 2 studi kasus rencana kerja (kapasitas, sumber daya) yang gagal karena asumsi tidak diuji. Identifikasi asumsi yang seharusnya dipertanyakan lebih dulu.</t>
  </si>
  <si>
    <t>Analisis 2 studi kasus. Termasuk konfirmasi Mentor.</t>
  </si>
  <si>
    <t>Kedua kasus menunjukkan asumsi yang jelas seharusnya diuji, dikonfirmasi Mentor.</t>
  </si>
  <si>
    <t>Diskusi dengan Rekan Senior tentang Cara Mengurutkan Pekerjaan</t>
  </si>
  <si>
    <t>Mempelajari dasar yang dipakai senior untuk mengurutkan pekerjaan yang bersaing.</t>
  </si>
  <si>
    <t>Diskusi dengan rekan senior. Tanyakan: bagaimana mereka memutuskan mana yang dikerjakan lebih dulu ketika banyak tugas bersaing, dan apa dasar yang mereka pakai.</t>
  </si>
  <si>
    <t>Catatan diskusi; dasar pengurutan yang akan diadopsi.</t>
  </si>
  <si>
    <t>Minimal 3 dasar pengurutan dipelajari dan diterapkan pada log peserta dalam aktivitas ini.</t>
  </si>
  <si>
    <t>Menemukan asumsi rencana kerja yang belum diuji sebelum dijalankan.</t>
  </si>
  <si>
    <t>Bentuk forum 3–4 peer SETINGKAT ditambah 1 mentor berjenjang Analyst. Setiap bulan, satu peserta membawa 1 rencana kerja yang akan dijalankan. Peserta lain mencari asumsi yang belum diuji.</t>
  </si>
  <si>
    <t>Minimal 5 dari 6 sesi terlaksana. Pada 2 rencana sendiri, minimal 1 asumsi yang ditemukan forum mengubah rencana akhir.</t>
  </si>
  <si>
    <t>Meminta Rekan Menantang Urutan Prioritas yang Peserta Susun</t>
  </si>
  <si>
    <t>Menguji apakah urutan yang disusun benar-benar berdasar dampak, bukan kenyamanan pribadi.</t>
  </si>
  <si>
    <t>Setiap bulan, tunjukkan urutan prioritas pekerjaan peserta kepada 1 rekan. Minta mereka menantang: apakah urutan itu berdasar dampak, atau sebenarnya berdasar kemudahan/kenyamanan.</t>
  </si>
  <si>
    <t>Catatan tantangan dari rekan; revisi urutan bila diperlukan.</t>
  </si>
  <si>
    <t>Mengurutkan dan Menjalankan Prioritas pada 8 Situasi Beban Bersaing</t>
  </si>
  <si>
    <t>Membuktikan pengurutan berdasar dampak pada situasi nyata yang beban bersaing.</t>
  </si>
  <si>
    <t>Pada 8 situasi nyata dengan tugas bersaing, urutkan berdasarkan dampak terhadap tujuan unit (bukan kedatangan/kemudahan), jalankan, dan tinjau ulang bila situasi berubah.</t>
  </si>
  <si>
    <t>8 dokumentasi pengurutan dan hasil. Termasuk review bulan ke-6 oleh Atasan.</t>
  </si>
  <si>
    <t>8 situasi ditangani. Minimal 6 dikonfirmasi Atasan berdasar dampak, bukan kemudahan. Milestone bulan ke-6: 4 situasi.</t>
  </si>
  <si>
    <t>Menguji Asumsi pada 4 Rencana Kerja Unit Sebelum Dijalankan</t>
  </si>
  <si>
    <t>Membuktikan pengujian asumsi pada rencana kerja nyata.</t>
  </si>
  <si>
    <t>Pada 4 rencana kerja unit (analisis kapasitas, kebutuhan alat, sumber daya), uji asumsi dasarnya sebelum dijalankan menggunakan kerangka pengujian asumsi yang disusun peserta dalam aktivitas ini.</t>
  </si>
  <si>
    <t>4 dokumentasi pengujian asumsi dan hasil revisi rencana.</t>
  </si>
  <si>
    <t>4 rencana diuji. Minimal 2 mengalami revisi berarti karena asumsi yang terungkap keliru.</t>
  </si>
  <si>
    <t>Meninjau Ulang 1 Urutan Prioritas Setelah Situasi Berubah</t>
  </si>
  <si>
    <t>Menguji kesediaan meninjau ulang urutan ketika keadaan berubah, bukan bertahan pada urutan lama.</t>
  </si>
  <si>
    <t>Pilih 1 periode di mana urutan prioritas yang sudah ditetapkan perlu ditinjau ulang karena situasi berubah signifikan. Susun ulang urutan berdasarkan dampak yang baru, dan jelaskan kepada pihak terkait.</t>
  </si>
  <si>
    <t>1 dokumentasi peninjauan ulang urutan. Termasuk persetujuan Atasan.</t>
  </si>
  <si>
    <t>Urutan ditinjau ulang dan disetujui Atasan sebagai respons yang tepat terhadap perubahan situasi, bukan keputusan sepihak yang mengabaikan komitmen sebelumnya.</t>
  </si>
  <si>
    <t>Decision Journal pada Situasi Informasi Tidak Lengkap</t>
  </si>
  <si>
    <t>Mengukur cara memutuskan ketika informasi belum lengkap.</t>
  </si>
  <si>
    <t>Setiap minggu, identifikasi 1 situasi kerja yang mengharuskan keputusan dengan informasi terbatas. Catat tujuan, informasi tersedia/tidak tersedia, minimal 2 alternatif, risiko, keputusan.</t>
  </si>
  <si>
    <t>Decision Journal minimal 4 entri/bulan.</t>
  </si>
  <si>
    <t>Minimal 4 entri/bulan terselesaikan dan 80% jurnal memuat analisis alternatif, risiko, dan evaluasi hasil secara lengkap.</t>
  </si>
  <si>
    <t>Latihan Analisis Skenario dan Risiko</t>
  </si>
  <si>
    <t>Melatih mempertimbangkan beberapa kemungkinan sebelum memutuskan.</t>
  </si>
  <si>
    <t>Pilih 1 isu pekerjaan setiap minggu. Susun minimal 3 skenario (optimis, moderat, pesimis), identifikasi risiko dan dampak, tentukan keputusan.</t>
  </si>
  <si>
    <t>Laporan analisis skenario minimal 4 kasus/bulan.</t>
  </si>
  <si>
    <t>Minimal 4 laporan skenario/bulan dengan 3 skenario, risiko, dampak, dan rekomendasi keputusan.</t>
  </si>
  <si>
    <t>Menyusun Rencana Kerja Setahun dengan Informasi yang Diketahui Tidak Akan Lengkap</t>
  </si>
  <si>
    <t>Menyusun rencana jangka panjang meski sebagian informasi pasti belum tersedia.</t>
  </si>
  <si>
    <t>Susun rencana kerja unit untuk 1 tahun ke depan. Tandai secara eksplisit bagian mana yang didasarkan pada asumsi karena informasinya belum tersedia dan tidak akan tersedia sampai rencana harus ditetapkan.</t>
  </si>
  <si>
    <t>1 rencana kerja setahun dengan asumsi ditandai eksplisit. Termasuk persetujuan Atasan.</t>
  </si>
  <si>
    <t>Rencana disetujui Atasan. Minimal 3 asumsi kunci ditandai secara eksplisit beserta dasar pertimbangannya.</t>
  </si>
  <si>
    <t>Pelatihan "Decision Making Under Uncertainty"</t>
  </si>
  <si>
    <t>Menguasai konsep decision tree, risk assessment, scenario analysis.</t>
  </si>
  <si>
    <t>Ikuti pelatihan/kelas. Pelajari faktor yang perlu dipertimbangkan ketika data belum lengkap. Latihan studi kasus.</t>
  </si>
  <si>
    <t>Ringkasan; rencana penerapan.</t>
  </si>
  <si>
    <t>Memahami minimal 80% materi dan menghasilkan rencana penerapan yang relevan.</t>
  </si>
  <si>
    <t>Workshop "Risk Assessment &amp; Alternative Analysis"</t>
  </si>
  <si>
    <t>Mengevaluasi alternatif tindakan dan memahami risiko dari setiap pilihan.</t>
  </si>
  <si>
    <t>Ikuti workshop. Simulasi analisis minimal 3 skenario keputusan, bandingkan kelebihan-kekurangan setiap alternatif.</t>
  </si>
  <si>
    <t>Laporan hasil simulasi dan rekomendasi.</t>
  </si>
  <si>
    <t>Menyelesaikan analisis minimal 3 skenario dengan rekomendasi yang didukung analisis risiko.</t>
  </si>
  <si>
    <t>Program Belajar Mandiri "Strategic Decision Making with Limited Information"</t>
  </si>
  <si>
    <t>Memperluas wawasan praktik terbaik pengambilan keputusan dalam ketidakpastian.</t>
  </si>
  <si>
    <t>Baca minimal 5 referensi terkait. Identifikasi prinsip utama, susun lesson learned dan rekomendasi.</t>
  </si>
  <si>
    <t>Learning summary; lesson learned.</t>
  </si>
  <si>
    <t>Menyelesaikan kajian minimal 5 referensi dengan lesson learned yang dapat diterapkan.</t>
  </si>
  <si>
    <t>Diskusi Keputusan Bersama Mentor atas Kasus Data Tidak Lengkap</t>
  </si>
  <si>
    <t>Menguji kualitas proses pertimbangan melalui diskusi dengan pihak ketiga.</t>
  </si>
  <si>
    <t>Pilih 3 kasus nyata. Diskusikan dengan mentor: informasi tersedia/tidak, alternatif, risiko, keputusan yang direkomendasikan.</t>
  </si>
  <si>
    <t>Dokumen analisis 3 kasus. Termasuk penilaian Mentor atas rekomendasi.</t>
  </si>
  <si>
    <t>Minimal 3 kasus selesai didiskusikan dan ≥70% rekomendasi memperoleh skor ≥4 (skala 1–5) dari Mentor.</t>
  </si>
  <si>
    <t>Peer Review Pengambilan Keputusan</t>
  </si>
  <si>
    <t>Meningkatkan kualitas pertimbangan melalui sudut pandang rekan.</t>
  </si>
  <si>
    <t>Presentasikan 2 keputusan penting kepada 2–3 rekan. Minta masukan terkait risiko, asumsi, alternatif. Revisi bila perlu.</t>
  </si>
  <si>
    <t>Catatan peer review; revisi keputusan.</t>
  </si>
  <si>
    <t>Minimal 2 sesi terlaksana dan ≥70% masukan terdokumentasi serta ditindaklanjuti.</t>
  </si>
  <si>
    <t>Sesi Refleksi Keputusan dengan Atasan</t>
  </si>
  <si>
    <t>Mengevaluasi kualitas keputusan berdasarkan informasi saat itu.</t>
  </si>
  <si>
    <t>Sesi refleksi bulanan. Bandingkan asumsi awal dengan hasil aktual, identifikasi risiko yang terlewat, rumuskan lesson learned.</t>
  </si>
  <si>
    <t>Laporan refleksi; lesson learned.</t>
  </si>
  <si>
    <t>Minimal 3 sesi terlaksana dan seluruh lesson learned terdokumentasi dengan rencana perbaikan.</t>
  </si>
  <si>
    <t>Mengambil Keputusan pada 6 Kasus Operasional dengan Data Terbatas</t>
  </si>
  <si>
    <t>Membuktikan kualitas keputusan yang konsisten pada informasi tidak lengkap.</t>
  </si>
  <si>
    <t>Pada 6 kasus nyata, identifikasi informasi tersedia/tidak, buat minimal 2 alternatif, analisis risiko, pilih keputusan.</t>
  </si>
  <si>
    <t>6 dokumentasi kasus. Termasuk review bulan ke-6 oleh Atasan.</t>
  </si>
  <si>
    <t>6 kasus selesai. Minimal 5 dari 6 dinilai Atasan tepat dengan skor ≥4 (skala 1–5) berdasarkan informasi yang tersedia saat diambil. Milestone bulan ke-6: 3 kasus.</t>
  </si>
  <si>
    <t>Memimpin Tugas dengan Informasi yang Bertahap dan Merevisi Keputusan</t>
  </si>
  <si>
    <t>Menguji kemampuan memperbarui keputusan ketika informasi baru muncul.</t>
  </si>
  <si>
    <t>Ambil 1 proyek lintas fungsi. Buat keputusan awal berdasarkan data tersedia, catat asumsi, review ketika informasi baru diperoleh, sesuaikan bila perlu.</t>
  </si>
  <si>
    <t>Dokumen keputusan awal; log perubahan; lesson learned.</t>
  </si>
  <si>
    <t>Minimal 2 siklus review keputusan terjadi dan seluruh perubahan keputusan memiliki dasar yang terdokumentasi.</t>
  </si>
  <si>
    <t>Menjalankan Rencana Kerja Setahun dan Mengevaluasi Ketepatan Asumsi di Tengah Tahun</t>
  </si>
  <si>
    <t>Menguji apakah asumsi dalam rencana setahun terbukti tepat berdasarkan informasi yang tersedia saat disusun.</t>
  </si>
  <si>
    <t>Pada bulan ke-6, tinjau rencana kerja setahun yang disusun peserta dalam aktivitas ini. Evaluasi asumsi yang ditandai eksplisit: mana yang terbukti tepat, mana yang perlu direvisi.</t>
  </si>
  <si>
    <t>1 laporan evaluasi tengah tahun. Termasuk persetujuan Atasan atas revisi bila diperlukan.</t>
  </si>
  <si>
    <t>Evaluasi menunjukkan asumsi dinilai berdasarkan informasi yang tersedia saat rencana disusun, bukan pengetahuan belakangan. Revisi rencana disetujui Atasan bila diperlukan.</t>
  </si>
  <si>
    <t>Log "Strategi yang Saya Ubah Sebelum Diminta"</t>
  </si>
  <si>
    <t>Mengukur seberapa sering strategi diubah atas inisiatif sendiri, bukan atas instruksi.</t>
  </si>
  <si>
    <t>Setiap kali menyadari strategi/rencana yang sedang dijalankan mulai tidak efektif, catat: tanda apa yang membuat peserta menyadarinya, seberapa cepat setelah tanda itu muncul peserta mengubah arah, dan apakah perubahan itu atas inisiatif sendiri atau setelah diminta.</t>
  </si>
  <si>
    <t>Log minimal 20 kejadian; rekap triwulanan proporsi yang diubah atas inisiatif sendiri. Termasuk review rekap triwulanan oleh Mentor.</t>
  </si>
  <si>
    <t>Minimal 20 kejadian tercatat. Proporsi yang diubah atas inisiatif sendiri naik menjadi ≥70% pada triwulan 4. Milestone bulan ke-6: 10 kejadian.</t>
  </si>
  <si>
    <t>Latihan "Tanda-Tanda Dini Strategi Tidak Efektif"</t>
  </si>
  <si>
    <t>Melatih mengenali tanda dini sebelum kerugian membesar.</t>
  </si>
  <si>
    <t>Untuk 3 strategi/rencana yang sedang berjalan, tetapkan lebih dulu tanda-tanda dini yang akan menunjukkan strategi itu mulai tidak efektif — sebelum hasilnya benar-benar gagal.</t>
  </si>
  <si>
    <t>3 daftar tanda dini; catatan penerapan.</t>
  </si>
  <si>
    <t>3 daftar ditetapkan dan disetujui Atasan. Minimal 2 tanda dini terbukti muncul dan direspons sebelum kerugian membesar.</t>
  </si>
  <si>
    <t>Refleksi "Kapan Saya Bertahan Terlalu Lama"</t>
  </si>
  <si>
    <t>Menemukan pola yang membuat peserta bertahan pada strategi yang sudah terbukti tidak efektif.</t>
  </si>
  <si>
    <t>Setiap 3 bulan, ambil 1 situasi di mana peserta bertahan pada strategi lebih lama dari seharusnya. Telusuri apa yang membuat peserta tidak segera mengubah arah.</t>
  </si>
  <si>
    <t>4 laporan penelusuran.</t>
  </si>
  <si>
    <t>4 laporan selesai. Minimal 2 pola bertahan-terlalu-lama teridentifikasi dan frekuensinya turun ≥50% dari baseline.</t>
  </si>
  <si>
    <t>Workshop "Mendeteksi dan Mengubah Strategi Secara Real-Time"</t>
  </si>
  <si>
    <t>Menguasai teknik mendeteksi ketidakefektifan strategi saat sedang berjalan.</t>
  </si>
  <si>
    <t>Ikuti workshop tentang: menetapkan indikator dini keberhasilan strategi, membedakan kegagalan sementara dari kegagalan mendasar, dan mengubah arah tanpa menunggu izin formal pada area yang menjadi kewenangan.</t>
  </si>
  <si>
    <t>1 kerangka deteksi dini untuk 1 strategi nyata yang sedang berjalan.</t>
  </si>
  <si>
    <t>Kerangka disetujui Atasan dan dipakai pada log peserta dalam aktivitas ini.</t>
  </si>
  <si>
    <t>Kursus Online "Mengubah Pendekatan Tanpa Menunggu Instruksi"</t>
  </si>
  <si>
    <t>Mengambil kewenangan mengubah arah dalam batas tanggung jawab sendiri.</t>
  </si>
  <si>
    <t>Selesaikan kursus tentang membedakan keputusan yang butuh persetujuan dari yang tidak, dan mengambil kewenangan mengubah strategi dalam batas tanggung jawab sendiri.</t>
  </si>
  <si>
    <t>Daftar area yang boleh diubah tanpa menunggu persetujuan.</t>
  </si>
  <si>
    <t>Daftar disetujui Atasan dan dipakai minimal 3 kali pada log peserta dalam aktivitas ini.</t>
  </si>
  <si>
    <t>Studi Kasus Organisasi yang Terlambat Mengubah Strategi</t>
  </si>
  <si>
    <t>Belajar dari kasus organisasi yang bertahan pada strategi yang sudah terbukti gagal.</t>
  </si>
  <si>
    <t>Pelajari minimal 2 studi kasus organisasi yang terlambat mengubah strategi meski tanda ketidakefektifan sudah muncul. Identifikasi tanda yang terlewat.</t>
  </si>
  <si>
    <t>Kedua kasus menunjukkan tanda dini yang seharusnya sudah terlihat, dikonfirmasi Mentor.</t>
  </si>
  <si>
    <t>"Strategy Pivot Clinic" — Peer Unit Head + Mentor Department Head</t>
  </si>
  <si>
    <t>Menguji apakah strategi yang belum diubah sebenarnya sudah menunjukkan tanda tidak efektif.</t>
  </si>
  <si>
    <t>Bentuk forum 3–4 peer SETINGKAT ditambah 1 mentor berjenjang Department Head. Setiap bulan, satu peserta membawa 1 strategi yang sedang berjalan. Peserta lain menantang: apakah sudah ada tanda tidak efektif yang belum direspons.</t>
  </si>
  <si>
    <t>8 sesi (minimal 2 sebagai pembawa strategi).</t>
  </si>
  <si>
    <t>Shadowing Atasan saat Mengubah Strategi di Tengah Jalan</t>
  </si>
  <si>
    <t>Mempelajari bagaimana senior mendeteksi dan mengubah strategi secara real-time.</t>
  </si>
  <si>
    <t>Amati 3 kesempatan atasan mengubah strategi/rencana yang sedang berjalan. Catat tanda yang membuatnya menyadari, dan seberapa cepat ia mengubah arah.</t>
  </si>
  <si>
    <t>Minimal 3 pola diterapkan pada log peserta dalam aktivitas ini. Divalidasi Atasan ≥4 (skala 1–5).</t>
  </si>
  <si>
    <t>Umpan Balik 360° "Kepekaan dan Kemandirian Mengubah Strategi"</t>
  </si>
  <si>
    <t>Mengukur persepsi tim dan atasan atas kepekaan dan kemandirian peserta.</t>
  </si>
  <si>
    <t>Kuesioner pre (bulan 1) dan post (bulan 11) kepada minimal 8 responden. Butir RA9: "Ia menyadari ketika strategi tidak lagi berjalan efektif"; "Ia mengubah pendekatan tanpa menunggu diminta"; "Ia tidak bertahan pada cara lama yang sudah jelas tidak berhasil".</t>
  </si>
  <si>
    <t>Kenaikan rata-rata ≥1 poin (skala 1–5). Butir "mengubah pendekatan tanpa menunggu diminta" wajib naik ≥1 poin (skala 1–5).</t>
  </si>
  <si>
    <t>Mendeteksi dan Mengubah 6 Strategi yang Mulai Tidak Efektif</t>
  </si>
  <si>
    <t>Membuktikan deteksi dini dan perubahan mandiri pada strategi nyata.</t>
  </si>
  <si>
    <t>Pada 6 strategi/rencana kerja nyata sepanjang program, deteksi tanda tidak efektif secara dini dan ubah pendekatan atas inisiatif sendiri, tanpa menunggu diminta.</t>
  </si>
  <si>
    <t>6 dokumentasi deteksi dan perubahan strategi. Termasuk review bulan ke-6 oleh Atasan.</t>
  </si>
  <si>
    <t>6 strategi ditangani. Minimal 5 diubah atas inisiatif sendiri, dikonfirmasi Atasan. Milestone bulan ke-6: 3 strategi.</t>
  </si>
  <si>
    <t>Menyusun Rencana Alternatif untuk 1 Kendala Strategis Jangka Panjang</t>
  </si>
  <si>
    <t>Menyusun contingency plan untuk kendala yang berpotensi menghambat sasaran jangka panjang.</t>
  </si>
  <si>
    <t>Identifikasi 1 kendala strategis (informasi terbatas, perlunya prosedur baru) yang berpotensi menghambat sasaran jangka panjang unit. Susun rencana alternatif agar tujuan tetap tercapai.</t>
  </si>
  <si>
    <t>1 dokumen contingency plan.</t>
  </si>
  <si>
    <t>Rencana alternatif disetujui Atasan sebagai realistis dan menutup kendala yang teridentifikasi.</t>
  </si>
  <si>
    <t>Mengubah Strategi Sebelum Dampak Terasa Luas pada 1 Situasi Kritis</t>
  </si>
  <si>
    <t>Menguji kecepatan deteksi dan perubahan pada situasi yang berdampak besar bila terlambat.</t>
  </si>
  <si>
    <t>Pilih 1 situasi kritis di mana strategi yang sedang berjalan berpotensi berdampak luas bila gagal. Deteksi tanda ketidakefektifan secepat mungkin dan ubah strategi sebelum dampaknya meluas.</t>
  </si>
  <si>
    <t>1 dokumentasi kasus kritis.</t>
  </si>
  <si>
    <t>Perubahan strategi dilakukan sebelum dampak meluas, dikonfirmasi Atasan sebagai tepat waktu dan atas inisiatif sendiri, skor ≥4 (skala 1–5).</t>
  </si>
  <si>
    <t>Untuk setiap pekerjaan atau inisiatif baru, catat apakah kebutuhan orang, waktu, biaya, dan peralatan dihitung SEBELUM dimulai atau ditangani SAMBIL BERJALAN.</t>
  </si>
  <si>
    <t>Log minimal 20 pekerjaan; rekap triwulanan. Termasuk review rekap triwulanan oleh Mentor.</t>
  </si>
  <si>
    <t>Minimal 20 pekerjaan tercatat. Proporsi yang dihitung sebelum dimulai naik menjadi ≥70% pada triwulan 4. Milestone bulan ke-6: 10 pekerjaan.</t>
  </si>
  <si>
    <t>Memastikan keempat kategori sumber daya dihitung sebelum bekerja.</t>
  </si>
  <si>
    <t>Sebelum memulai setiap inisiatif, hitung tertulis: kebutuhan orang, waktu, biaya, peralatan.</t>
  </si>
  <si>
    <t>20 catatan perhitungan empat kategori.</t>
  </si>
  <si>
    <t>Minimal 16 dari 20 catatan lengkap keempat kategori.</t>
  </si>
  <si>
    <t>Setiap 3 bulan, ambil 1 pekerjaan yang mengalami kendala sumber daya. Telusuri apakah kendala itu sudah pernah terjadi pada pekerjaan sejenis.</t>
  </si>
  <si>
    <t>4 laporan selesai. Minimal 3 kendala berulang dimasukkan ke rencana cadangan berikutnya.</t>
  </si>
  <si>
    <t>Workshop "Resource Planning Sebelum Eksekusi"</t>
  </si>
  <si>
    <t>Menghitung kebutuhan sumber daya secara rinci sebelum pekerjaan dimulai.</t>
  </si>
  <si>
    <t>Ikuti workshop 2 hari: menghitung kebutuhan orang, waktu, biaya, peralatan secara rinci, menyesuaikan alokasi dengan prioritas, menyusun rencana cadangan.</t>
  </si>
  <si>
    <t>1 rencana sumber daya untuk 1 inisiatif belum dimulai.</t>
  </si>
  <si>
    <t>Rencana disetujui Atasan SEBELUM inisiatif dimulai.</t>
  </si>
  <si>
    <t>Menyusun rencana cadangan untuk kendala yang paling mungkin, bukan generik.</t>
  </si>
  <si>
    <t>Selesaikan kursus tentang mengumpulkan data riwayat kendala dan menyusun langkah cadangan spesifik.</t>
  </si>
  <si>
    <t>1 daftar kendala paling mungkin berdasarkan riwayat.</t>
  </si>
  <si>
    <t>Daftar disusun dari data riwayat, dinilai Atasan ≥4 (skala 1–5).</t>
  </si>
  <si>
    <t>Selesaikan modul tentang kriteria prioritas alokasi sumber daya dan mengkomunikasikan keputusan.</t>
  </si>
  <si>
    <t>Kriteria disetujui Atasan dan dipakai pada minimal 2 keputusan alokasi nyata.</t>
  </si>
  <si>
    <t>"Resource Review Clinic" — Peer Department Head + Mentor Division Head</t>
  </si>
  <si>
    <t>Menemukan kategori sumber daya atau kendala yang terlewat.</t>
  </si>
  <si>
    <t>Bentuk forum 3–4 peer SETINGKAT ditambah 1 mentor berjenjang Division Head. Setiap 2 bulan, satu peserta membawa 1 rencana sumber daya untuk inisiatif belum dimulai.</t>
  </si>
  <si>
    <t>Mempelajari cara senior menghitung kebutuhan sumber daya secara rinci.</t>
  </si>
  <si>
    <t>Amati 3 kesempatan atasan menghitung kebutuhan sumber daya sebelum inisiatif besar dimulai.</t>
  </si>
  <si>
    <t>Minimal 3 teknik diterapkan. Divalidasi Atasan ≥4 (skala 1–5).</t>
  </si>
  <si>
    <t>Mengukur persepsi tim dan atasan atas kelengkapan perencanaan sumber daya.</t>
  </si>
  <si>
    <t>Kuesioner pre (bulan 1) dan post (bulan 11) kepada minimal 8 responden. Butir RA11: "Ia menghitung kebutuhan sumber daya sebelum memulai, bukan sambil berjalan"; "Ketika kendala muncul, ia sudah punya rencana cadangan".</t>
  </si>
  <si>
    <t>Membuktikan kebutuhan sumber daya dihitung rinci sebelum dimulai.</t>
  </si>
  <si>
    <t>Untuk 4 inisiatif nyata, hitung kebutuhan sumber daya SEBELUM dimulai, alokasikan sesuai prioritas, siapkan rencana cadangan.</t>
  </si>
  <si>
    <t>4 dokumentasi rencana sumber daya; perbandingan dengan realisasi. Termasuk review bulan ke-6 oleh Atasan.</t>
  </si>
  <si>
    <t>4 inisiatif memiliki rencana yang disetujui SEBELUM dimulai. Minimal 3 inisiatif dengan selisih realisasi vs perhitungan ≤20%. Milestone bulan ke-6: 2 inisiatif.</t>
  </si>
  <si>
    <t>Pilih 1 inisiatif berisiko tinggi. Susun rencana cadangan berbasis riwayat. Jalankan, dan bila kendala terjadi, jalankan rencana cadangannya.</t>
  </si>
  <si>
    <t>Dokumentasi rencana cadangan; hasil.</t>
  </si>
  <si>
    <t>Rencana cadangan disiapkan sebelum inisiatif dimulai. Bila kendala terjadi, rencana cadangan dijalankan dan pekerjaan tetap berjalan sesuai tenggat yang direvisi.</t>
  </si>
  <si>
    <t>Menguji kemampuan membagi sumber daya terbatas berdasarkan prioritas jelas.</t>
  </si>
  <si>
    <t>Pada 3 inisiatif yang bersaing memperebutkan sumber daya sama, tetapkan kriteria prioritas, alokasikan, sampaikan kepada pihak yang tidak menerima porsi penuh.</t>
  </si>
  <si>
    <t>Dokumen kriteria; keputusan alokasi.</t>
  </si>
  <si>
    <t>Kriteria ditetapkan sebelum alokasi diputuskan. Minimal 80% pihak yang menerima porsi lebih kecil mengonfirmasi memahami dasar keputusan (skor ≥4, skala 1–5).</t>
  </si>
  <si>
    <t>Log "Standar Perencanaan yang Saya Naikkan"</t>
  </si>
  <si>
    <t>Memisahkan standar perencanaan yang benar-benar dinaikkan dari yang sekadar diteruskan.</t>
  </si>
  <si>
    <t>Setiap kali menetapkan atau meninjau ulang standar perencanaan — kedalaman skenario, frekuensi peninjauan rencana, keterlibatan lintas fungsi — catat standar lama, standar baru, selisihnya, dan dasar penetapannya.</t>
  </si>
  <si>
    <t>Log minimal 20 standar; rekap triwulanan. Termasuk review rekap triwulanan oleh Mentor dan Direksi.</t>
  </si>
  <si>
    <t>Minimal 20 standar tercatat. Minimal 10 adalah standar yang DINAIKKAN dengan selisih terukur. Milestone bulan ke-6: 10 standar, minimal 5 dinaikkan.</t>
  </si>
  <si>
    <t>Latihan "Standar Perencanaan bagi Diri Sendiri"</t>
  </si>
  <si>
    <t>Memastikan disiplin perencanaan yang dituntut dari organisasi juga berlaku bagi peserta sendiri.</t>
  </si>
  <si>
    <t>Setiap triwulan, tetapkan 1 standar perencanaan pribadi yang lebih tinggi daripada yang dituntut jabatan peserta. Umumkan kepada tim senior dan laporkan hasilnya apa adanya.</t>
  </si>
  <si>
    <t>4 standar pribadi; 4 laporan. Termasuk verifikasi Tim Senior dan Mentor.</t>
  </si>
  <si>
    <t>4 standar ditetapkan dan diumumkan. Minimal 3 tercapai.</t>
  </si>
  <si>
    <t>Tim Senior dan Mentor</t>
  </si>
  <si>
    <t>Analisis "Standar Perencanaan yang Turun Diam-diam"</t>
  </si>
  <si>
    <t>Menemukan standar perencanaan yang secara resmi berlaku tetapi tidak lagi dijalankan.</t>
  </si>
  <si>
    <t>Setiap 3 bulan, cari 1 standar perencanaan yang secara resmi masih berlaku tetapi praktiknya ditinggalkan (skenario tidak lagi disusun, peninjauan berkala terlewat). Telusuri sebab dan tegakkan kembali.</t>
  </si>
  <si>
    <t>4 analisis; 4 tindakan penegakan kembali. Termasuk verifikasi Direksi.</t>
  </si>
  <si>
    <t>Program "Adaptive Strategic Planning &amp; Scenario Design"</t>
  </si>
  <si>
    <t>Merancang sistem perencanaan skenario yang menjaga standar tanpa kehadiran pemimpinnya.</t>
  </si>
  <si>
    <t>Ikuti program tentang merancang skenario best-moderate-worst case, menyusun mekanisme peninjauan berkala, dan melembagakan proses perencanaan adaptif lintas fungsi.</t>
  </si>
  <si>
    <t>1 proposal sistem perencanaan adaptif untuk organisasi. Termasuk persetujuan Direksi.</t>
  </si>
  <si>
    <t>Proposal disetujui Direksi dan memuat mekanisme yang berjalan TANPA peserta — pemilik proses selain peserta, irama peninjauan, konsekuensi jika terlewat.</t>
  </si>
  <si>
    <t>Benchmarking Sistem Perencanaan Strategis di Industri Sejenis</t>
  </si>
  <si>
    <t>Menetapkan standar berdasarkan pembanding eksternal.</t>
  </si>
  <si>
    <t>Lakukan benchmarking terhadap sistem perencanaan strategis di 2–3 organisasi sejenis. Fokus pada bagaimana rencana disusun, disesuaikan, dan diintegrasikan lintas fungsi.</t>
  </si>
  <si>
    <t>1 laporan benchmarking; rekomendasi adaptasi. Termasuk penilaian Direksi.</t>
  </si>
  <si>
    <t>Laporan komparatif dan analitis. Minimal 2 standar perencanaan dinaikkan berdasarkan hasil benchmarking.</t>
  </si>
  <si>
    <t>Pelatihan Data-Driven Scenario Planning</t>
  </si>
  <si>
    <t>Merancang skenario perencanaan berbasis data.</t>
  </si>
  <si>
    <t>Ikuti pelatihan merancang skenario perencanaan berbasis data historis dan tren, dengan mekanisme pembaruan berkala.</t>
  </si>
  <si>
    <t>1 blueprint skenario perencanaan berbasis data. Termasuk penilaian Direksi.</t>
  </si>
  <si>
    <t>Blueprint mencakup mekanisme pembaruan berkala dan dinilai Direksi ≥4 (skala 1–5) layak dilanjutkan.</t>
  </si>
  <si>
    <t>Menguji apakah kenaikan standar perencanaan nyata atau hanya perubahan format dokumen.</t>
  </si>
  <si>
    <t>Bentuk forum 3–4 peer SETINGKAT ditambah 1 mentor berjenjang Director. Setiap 2 bulan, satu peserta memaparkan 1 standar perencanaan yang ia naikkan.</t>
  </si>
  <si>
    <t>Sharing Session dengan High Performer dan Mentor tentang Sistem Perencanaan</t>
  </si>
  <si>
    <t>Mendapatkan perspektif tentang elemen sistem perencanaan yang benar-benar dipakai di lapangan.</t>
  </si>
  <si>
    <t>Diskusi dengan karyawan berprestasi atau mentor tentang cara mereka menetapkan target dan menjaga rencana kerja tetap relevan di tengah perubahan.</t>
  </si>
  <si>
    <t>Ringkasan best practice. Termasuk validasi Atasan.</t>
  </si>
  <si>
    <t>Minimal 5 best practice terdokumentasi dan 2 praktik diterapkan serta divalidasi Atasan.</t>
  </si>
  <si>
    <t>High Performer, Mentor, dan Atasan</t>
  </si>
  <si>
    <t>Umpan Balik 360° "Standar Perencanaan dan Keberlanjutannya"</t>
  </si>
  <si>
    <t>Mengukur apakah standar perencanaan terasa lebih tinggi dan tetap berjalan tanpa pengawasan.</t>
  </si>
  <si>
    <t>Kuesioner pre (bulan 1) dan post (bulan 11) kepada minimal 10 responden. Butir RA12: "Standar perencanaan yang ia tetapkan lebih tinggi daripada yang biasa berlaku"; "Sistem perencanaan adaptif itu tetap berjalan meski ia tidak mengawasi".</t>
  </si>
  <si>
    <t>Kenaikan rata-rata ≥1 poin (skala 1–5). Butir "tetap berjalan meski tidak diawasi" wajib ≥4 (skala 1–5).</t>
  </si>
  <si>
    <t>Melembagakan 1 Sistem Perencanaan Skenario Lintas Fungsi</t>
  </si>
  <si>
    <t>Membuktikan sistem perencanaan adaptif berjalan sebagai bagian tata kelola, bukan karena dorongan peserta.</t>
  </si>
  <si>
    <t>Bangun 1 sistem perencanaan skenario (best-moderate-worst case) yang melibatkan minimal 3 fungsi. Tetapkan pemilik sistem selain peserta, irama peninjauan, dan uji dengan memastikan sistem tetap berjalan pada satu periode peninjauan penuh tanpa keterlibatan peserta.</t>
  </si>
  <si>
    <t>Dokumen sistem; bukti masuknya ke tata kelola resmi; berita acara satu siklus tanpa peserta.</t>
  </si>
  <si>
    <t>Sistem berjalan minimal 1 siklus peninjauan penuh TANPA keterlibatan peserta. Milestone bulan ke-6: sistem dirancang dan disetujui.</t>
  </si>
  <si>
    <t>Menaikkan 2 Standar Perencanaan dan Menjaganya 6 Bulan</t>
  </si>
  <si>
    <t>Membuktikan standar perencanaan yang lebih tinggi benar-benar ditetapkan dan bertahan.</t>
  </si>
  <si>
    <t>Pilih 2 standar perencanaan yang berlaku (kedalaman skenario, integrasi lintas fungsi). Naikkan berdasarkan pembanding eksternal, pasang mekanisme penjagaan, jalankan minimal 6 bulan.</t>
  </si>
  <si>
    <t>2 standar baru; mekanisme penjagaan; grafik pencapaian 6 bulan. Termasuk review bulan ke-6 dan ke-12 oleh Direksi.</t>
  </si>
  <si>
    <t>Kedua standar naik dengan selisih terukur. Minimal 1 tetap terpenuhi 6 bulan berturut-turut tanpa peserta mengingatkan.</t>
  </si>
  <si>
    <t>Mengintegrasikan Rencana Kerja Lintas Fungsi yang Responsif terhadap Perubahan</t>
  </si>
  <si>
    <t>Membangun rencana kerja terintegrasi yang tetap dapat merespons perubahan secara cepat dan terkoordinasi.</t>
  </si>
  <si>
    <t>Integrasikan rencana kerja minimal 3 fungsi/unit agar selaras dengan strategi organisasi. Uji responsivitasnya pada 1 perubahan kondisi nyata (internal atau eksternal) yang muncul sepanjang program.</t>
  </si>
  <si>
    <t>Dokumen rencana terintegrasi; catatan respons terhadap perubahan nyata.</t>
  </si>
  <si>
    <t>Rencana terintegrasi berhasil merespons perubahan nyata secara cepat dan terkoordinasi, dikonfirmasi Direksi dan Unit Kerja Terkait, skor ≥4 (skala 1–5).</t>
  </si>
  <si>
    <t>Log "Gejala vs Akar vs Dampak"</t>
  </si>
  <si>
    <t>Melatih kebiasaan memisahkan tiga lapis yang sering tercampur.</t>
  </si>
  <si>
    <t>Untuk setiap masalah kerja yang peserta temui, tuliskan tiga baris terpisah: GEJALA yang terlihat, AKAR penyebab sesungguhnya (setelah ditelusuri), dan DAMPAK yang ditimbulkan. Tandai bila peserta berhenti di gejala tanpa menelusuri akarnya.</t>
  </si>
  <si>
    <t>Log minimal 30 masalah; rekap triwulanan proporsi yang berhasil menemukan akar, bukan berhenti di gejala. Termasuk review rekap triwulanan oleh Mentor.</t>
  </si>
  <si>
    <t>Minimal 30 masalah tercatat. Proporsi yang menemukan akar naik dari baseline triwulan 1 menjadi ≥70% pada triwulan 4. Milestone bulan ke-6: 15 masalah dan baseline terbentuk.</t>
  </si>
  <si>
    <t>Fishbone Diagram untuk Menganalisis Permasalahan Kerja</t>
  </si>
  <si>
    <t>Memetakan berbagai faktor penyebab secara sistematis.</t>
  </si>
  <si>
    <t>Pilih minimal 4 kasus permasalahan kerja sepanjang program. Buat Fishbone Diagram, kelompokkan penyebab berdasarkan kategori, dan tentukan akar penyebab utama. Tandai mana yang peserta temukan sendiri dan mana yang perlu arahan mentor.</t>
  </si>
  <si>
    <t>4 Fishbone Diagram lengkap; catatan mana yang ditemukan mandiri dan mana dengan arahan.</t>
  </si>
  <si>
    <t>4 diagram selesai. Proporsi yang ditemukan MANDIRI naik ≥20% dari kasus pertama ke kasus keempat. Milestone bulan ke-6: 2 diagram.</t>
  </si>
  <si>
    <t>Menerapkan Metode 5 Whys pada Permasalahan Nyata</t>
  </si>
  <si>
    <t>Melatih menggali lapis demi lapis sampai akar, bukan berhenti di jawaban pertama.</t>
  </si>
  <si>
    <t>Identifikasi minimal 4 kendala kerja. Lakukan analisis 5 Whys pada masing-masing — jangan berhenti sebelum mencapai pertanyaan kelima, kecuali akarnya sudah jelas lebih awal. Catat pada pertanyaan ke berapa akar sesungguhnya ditemukan.</t>
  </si>
  <si>
    <t>4 laporan analisis 5 Whys; catatan kedalaman (pada "why" ke berapa akar ditemukan).</t>
  </si>
  <si>
    <t>4 kasus dianalisis. Minimal 3 mencapai minimal "why" ketiga sebelum berhenti — berhenti di "why" pertama atau kedua menandakan belum menembus gejala permukaan.</t>
  </si>
  <si>
    <t>Pelatihan Sertifikasi Root Cause Analysis Dasar (Six Sigma Yellow Belt atau setara)</t>
  </si>
  <si>
    <t>Menguasai metodologi analisis akar masalah berbasis data.</t>
  </si>
  <si>
    <t>Mengikuti pelatihan RCA dasar, mempelajari konsep DMAIC atau kerangka setara, menyelesaikan latihan kasus, dan menyusun ringkasan penerapan pada 1 kasus kerja nyata.</t>
  </si>
  <si>
    <t>Sertifikat pelatihan; ringkasan penerapan pada 1 kasus kerja. Termasuk persetujuan Atasan.</t>
  </si>
  <si>
    <t>Lulus evaluasi akhir dengan skor ≥80 (skala 0–100) sesuai standar penyelenggara. Ringkasan penerapan disetujui Atasan sebagai benar-benar menembus akar, bukan berhenti di gejala.</t>
  </si>
  <si>
    <t>Workshop Investigasi Masalah Terstruktur (5 Why / Fishbone Lanjutan)</t>
  </si>
  <si>
    <t>Menguasai teknik investigasi terstruktur untuk masalah yang lebih kompleks.</t>
  </si>
  <si>
    <t>Mengikuti workshop, mempelajari tools RCA, melakukan simulasi investigasi, menyusun pohon penyebab, dan menyusun laporan hasil RCA.</t>
  </si>
  <si>
    <t>Laporan hasil RCA dari studi kasus simulasi.</t>
  </si>
  <si>
    <t>Laporan dinilai ≥4 (skala 1–5) oleh Fasilitator, dengan akar masalah yang teridentifikasi jelas berbeda dari gejalanya.</t>
  </si>
  <si>
    <t>Studi Kasus Kegagalan Nyata dan Penarikan Akar Masalah</t>
  </si>
  <si>
    <t>Melatih mengurai penyebab kegagalan yang kompleks dan berlapis.</t>
  </si>
  <si>
    <t>Pelajari minimal 2 studi kasus kegagalan (teknik atau bisnis). Identifikasi penyebab langsung, telusuri akar penyebab utama, dan susun lesson learned.</t>
  </si>
  <si>
    <t>Dokumen analisis 2 studi kasus dan lesson learned.</t>
  </si>
  <si>
    <t>Kedua kasus menunjukkan pemisahan yang jelas antara penyebab langsung (gejala) dan akar penyebab utama.</t>
  </si>
  <si>
    <t>Facilitated RCA Session dengan Tim Lintas Fungsi</t>
  </si>
  <si>
    <t>Berlatih menelusuri akar masalah yang melibatkan lebih dari satu fungsi.</t>
  </si>
  <si>
    <t>Bentuk tim lintas fungsi untuk 1 masalah nyata. Lakukan RCA bersama menggunakan 5 Whys atau Fishbone. Dokumentasikan faktor penyebab dan rumuskan akar masalah bersama.</t>
  </si>
  <si>
    <t>1 laporan RCA lintas fungsi; notulen dan diagram RCA.</t>
  </si>
  <si>
    <t>Sesi menghasilkan dokumen RCA lengkap yang disepakati seluruh fungsi yang terlibat sebagai akar yang benar, bukan sekadar gejala di masing-masing fungsi.</t>
  </si>
  <si>
    <t>Peserta Lintas Fungsi</t>
  </si>
  <si>
    <t>Mentoring Analisis Masalah dengan Uji Kemandirian</t>
  </si>
  <si>
    <t>Mengurangi ketergantungan pada arahan mentor secara bertahap.</t>
  </si>
  <si>
    <t>Lakukan minimal 4 sesi mentoring analisis masalah. Pada 2 sesi awal, minta mentor membimbing penuh. Pada 2 sesi berikutnya, coba analisis sendiri lebih dulu, baru minta mentor memeriksa hasilnya.</t>
  </si>
  <si>
    <t>4 dokumen analisis; catatan mana yang dibimbing penuh dan mana yang dianalisis mandiri lebih dulu.</t>
  </si>
  <si>
    <t>Minimal 2 dari 4 analisis dikerjakan mandiri lebih dulu sebelum diperiksa Mentor, dan akar yang ditemukan dikonfirmasi tepat oleh Mentor.</t>
  </si>
  <si>
    <t>Komunitas Praktisi Root Cause Analysis</t>
  </si>
  <si>
    <t>Belajar dari kasus RCA orang lain untuk memperluas kepekaan menelusuri akar.</t>
  </si>
  <si>
    <t>Bergabung dengan komunitas praktisi RCA di organisasi. Ikuti sharing bulanan, paparkan minimal 1 kasus milik sendiri, dan dokumentasikan pembelajaran.</t>
  </si>
  <si>
    <t>Catatan pembelajaran dari sharing; 1 paparan kasus sendiri; bukti penerapan minimal 1 pembelajaran.</t>
  </si>
  <si>
    <t>Minimal 3 sesi diikuti, 1 kali memaparkan kasus sendiri, dan minimal 1 pembelajaran diterapkan pada pekerjaan.</t>
  </si>
  <si>
    <t>Menjadi Investigator Masalah Berulang di Unit Kerja</t>
  </si>
  <si>
    <t>Membuktikan kemampuan menemukan akar masalah yang berulang, bukan gejalanya.</t>
  </si>
  <si>
    <t>Identifikasi 1 masalah operasional yang berulang. Kumpulkan data kejadian 3–6 bulan terakhir, lakukan Fishbone dan 5 Whys, verifikasi temuan dengan pihak terkait, dan susun rekomendasi.</t>
  </si>
  <si>
    <t>Laporan investigasi lengkap; Fishbone Diagram; analisis 5 Whys; rekomendasi yang disetujui. Termasuk review bulan ke-6 oleh Atasan.</t>
  </si>
  <si>
    <t>Laporan RCA disetujui Atasan. Akar masalah yang ditemukan terbukti BERBEDA dari gejala yang selama ini diduga sebagai penyebab. Milestone bulan ke-6: data terkumpul dan analisis awal selesai.</t>
  </si>
  <si>
    <t>Memimpin Post-Mortem Analysis atas 1 Proyek yang Tidak Mencapai Target</t>
  </si>
  <si>
    <t>Menemukan penyebab kegagalan proyek yang melibatkan banyak faktor.</t>
  </si>
  <si>
    <t>Pilih 1 proyek yang terlambat, membengkak biaya, atau tidak mencapai target. Fasilitasi sesi post-mortem dengan stakeholder, petakan penyebab menggunakan RCA, kelompokkan menjadi people, process, system, dan external factor.</t>
  </si>
  <si>
    <t>Dokumen post-mortem; lesson learned; corrective action plan.</t>
  </si>
  <si>
    <t>Post-mortem menghasilkan akar masalah yang dikelompokkan dengan jelas ke keempat kategori, disetujui Stakeholder ≥4 (skala 1–5) sebagai penyebab sesungguhnya — bukan sekadar daftar kejadian.</t>
  </si>
  <si>
    <t>Atasan dan Stakeholder</t>
  </si>
  <si>
    <t>Membangun Dashboard Early Warning untuk Mendeteksi Pola Akar Masalah</t>
  </si>
  <si>
    <t>Menggunakan pola akar masalah yang berulang untuk deteksi dini.</t>
  </si>
  <si>
    <t>Identifikasi indikator yang sering mendahului munculnya masalah tertentu. Bangun dashboard monitoring sederhana, analisis tren, dan lakukan investigasi awal ketika indikator melewati ambang.</t>
  </si>
  <si>
    <t>Dashboard early warning; laporan analisis tren; daftar potensi akar masalah yang terdeteksi dini.</t>
  </si>
  <si>
    <t>Minimal 3 potensi masalah berhasil diidentifikasi sebelum eskalasi, dengan akar yang sudah dipetakan dari pola sebelumnya — bukan ditemukan dari nol setiap kali.</t>
  </si>
  <si>
    <t>Log "Keputusan dari Pengalaman vs Keputusan yang Diuji"</t>
  </si>
  <si>
    <t>Mengukur seberapa sering keputusan berbasis pengalaman semata diuji lebih dulu.</t>
  </si>
  <si>
    <t>Setiap keputusan kerja yang biasanya peserta ambil berdasarkan pengalaman — cara troubleshooting, metode kerja, penilaian cepat — catat: apa pengalaman yang mendasarinya, pertanyaan apa yang peserta ajukan untuk mengujinya, dan apakah keputusan berubah setelah diuji.</t>
  </si>
  <si>
    <t>Log minimal 30 keputusan; rekap triwulanan proporsi yang diuji sebelum diputuskan. Termasuk review rekap triwulanan oleh Mentor.</t>
  </si>
  <si>
    <t>Minimal 30 keputusan tercatat. Proporsi yang diuji naik dari baseline triwulan 1 menjadi ≥60% pada triwulan 4. Milestone bulan ke-6: 15 keputusan dan baseline terbentuk.</t>
  </si>
  <si>
    <t>Latihan "Tiga Pertanyaan Sebelum Memutuskan dari Pengalaman"</t>
  </si>
  <si>
    <t>Menguji asumsi di balik keputusan berbasis pengalaman sebelum menjalankannya.</t>
  </si>
  <si>
    <t>Sebelum memutuskan sesuatu berdasarkan pengalaman, ajukan 3 pertanyaan: "apa yang membuat pengalaman itu relevan untuk situasi ini?", "apa yang berbeda dari situasi sebelumnya?", dan "apa yang terjadi bila asumsi ini salah?" Catat jawabannya dan apakah keputusan akhirnya berubah.</t>
  </si>
  <si>
    <t>24 catatan latihan; daftar keputusan yang berubah setelah pertanyaan itu diajukan.</t>
  </si>
  <si>
    <t>Minimal 20 dari 24 latihan dilakukan. Pada minimal 12, jawaban atas pertanyaan itu mengubah atau mempertajam keputusan. Milestone bulan ke-6: 10 latihan.</t>
  </si>
  <si>
    <t>Jurnal Evaluasi Keputusan yang Sudah Berjalan</t>
  </si>
  <si>
    <t>Memeriksa apakah asumsi yang dipakai terbukti benar setelah keputusan dijalankan.</t>
  </si>
  <si>
    <t>Pilih 1 keputusan yang diambil setiap bulan. Tuliskan asumsi dan data pendukungnya, lalu setelah beberapa waktu, evaluasi: asumsi mana yang terbukti benar, mana yang meleset, dan apa yang akan diuji lebih dulu pada keputusan sejenis berikutnya.</t>
  </si>
  <si>
    <t>12 jurnal evaluasi bulanan.</t>
  </si>
  <si>
    <t>Minimal 10 dari 12 jurnal selesai dengan evaluasi asumsi yang jelas. Peserta menyebutkan minimal 3 asumsi yang berulang kali meleset.</t>
  </si>
  <si>
    <t>Menguasai teknik bertanya yang menembus permukaan sebuah pernyataan.</t>
  </si>
  <si>
    <t>Mengikuti pelatihan critical thinking, mempelajari teknik menyusun pertanyaan eksploratif, dan menerapkannya pada studi kasus nyata dari pekerjaan sendiri.</t>
  </si>
  <si>
    <t>Sertifikat; 10 pertanyaan kritis yang diterapkan pada 1 keputusan kerja nyata beserta hasilnya. Termasuk konfirmasi Atasan.</t>
  </si>
  <si>
    <t>Kesepuluh pertanyaan diterapkan dan minimal 3 mengungkap asumsi yang sebelumnya tidak disadari, dikonfirmasi Atasan.</t>
  </si>
  <si>
    <t>Kursus Root Cause Analysis dan Logical Fallacy</t>
  </si>
  <si>
    <t>Mengenali kesalahan berpikir yang membuat sebuah kesimpulan tampak benar padahal tidak.</t>
  </si>
  <si>
    <t>Belajar minimal 5 jenis logical fallacy dan menerapkan metode 5 Why pada 1 kasus. Identifikasi logical fallacy yang muncul dalam alasan yang biasa dipakai untuk keputusan berbasis pengalaman.</t>
  </si>
  <si>
    <t>Dokumen analisis; daftar logical fallacy yang ditemukan dalam alasan kerja sendiri.</t>
  </si>
  <si>
    <t>Minimal 3 logical fallacy diidentifikasi dari alasan keputusan peserta sendiri, bukan dari contoh generik.</t>
  </si>
  <si>
    <t>Menganalisis Studi Kasus dengan Sudut Pandang Pembanding</t>
  </si>
  <si>
    <t>Melatih mencari sudut pandang yang berpotensi membantah kesimpulan awal.</t>
  </si>
  <si>
    <t>Pilih 1 studi kasus kerja. Identifikasi minimal 3 sudut pandang berbeda, dengan syarat minimal 1 sudut pandang dipilih karena berpotensi membantah kesimpulan awal. Bandingkan dan susun rekomendasi.</t>
  </si>
  <si>
    <t>Laporan analisis dengan minimal 1 sudut pandang pembantah beserta hasilnya.</t>
  </si>
  <si>
    <t>Sudut pandang pembantah benar-benar mengubah atau mempertajam rekomendasi akhir, dinilai Mentor ≥4 (skala 1–5).</t>
  </si>
  <si>
    <t>Menemukan cacat penalaran dalam keputusan berbasis pengalaman sebelum dijalankan.</t>
  </si>
  <si>
    <t>Bentuk forum 3–4 peer SETINGKAT ditambah 1 mentor berjenjang Analyst. Setiap bulan, satu peserta membawa 1 keputusan yang akan diambil berdasarkan pengalaman. Peserta lain bertugas mencari asumsi yang belum diuji.</t>
  </si>
  <si>
    <t>8 sesi (minimal 2 sebagai pembawa kasus); catatan asumsi yang ditemukan.</t>
  </si>
  <si>
    <t>Minimal 6 dari 8 sesi terlaksana. Pada 2 kasus sendiri, minimal 1 asumsi yang ditemukan forum mengubah keputusan akhir.</t>
  </si>
  <si>
    <t>Mentoring Analisis Permasalahan dengan Pertanyaan Mendalam</t>
  </si>
  <si>
    <t>Mempelajari pertanyaan seperti apa yang diajukan orang yang lebih berpengalaman.</t>
  </si>
  <si>
    <t>Lakukan minimal 2 sesi mentoring. Minta mentor menunjukkan pertanyaan yang ia ajukan untuk menguji keputusan berbasis pengalamannya sendiri, bukan hanya memberi jawaban.</t>
  </si>
  <si>
    <t>Catatan mentoring; daftar pertanyaan mentor yang akan diadopsi.</t>
  </si>
  <si>
    <t>Minimal 3 pertanyaan yang dipelajari dari mentor diterapkan pada keputusan peserta sendiri dan tercatat di log.</t>
  </si>
  <si>
    <t>Forum Sharing dan Challenge Assumption</t>
  </si>
  <si>
    <t>Membiasakan diri menerima dan mengajukan tantangan atas ide secara terbuka.</t>
  </si>
  <si>
    <t>Presentasikan 1 ide atau solusi kepada forum. Minta peserta lain secara khusus mempertanyakan asumsi di dalamnya. Evaluasi ulang asumsi awal berdasarkan masukan itu.</t>
  </si>
  <si>
    <t>Laporan pembelajaran; perbaikan ide berdasarkan hasil sintesis masukan.</t>
  </si>
  <si>
    <t>Berpartisipasi dalam minimal 2 forum, menerima umpan balik, dan menunjukkan perbaikan nyata pada ide awal berdasarkan pertanyaan yang diajukan.</t>
  </si>
  <si>
    <t>Menguji 8 Keputusan Kerja yang Biasanya Diambil dari Pengalaman Semata</t>
  </si>
  <si>
    <t>Membuktikan kesediaan menguji keputusan yang sudah lazim diambil berdasarkan pengalaman.</t>
  </si>
  <si>
    <t>Pilih 8 jenis keputusan kerja yang biasa peserta ambil berdasarkan pengalaman — metode troubleshooting, penilaian tender, cara kerja. Uji masing-masing dengan pertanyaan dan data sebelum memutuskan, dan laporkan hasilnya termasuk ketika keputusan tetap sama.</t>
  </si>
  <si>
    <t>8 laporan pengujian; daftar keputusan yang berubah setelah diuji. Termasuk review bulan ke-6 dan ke-12 oleh Atasan.</t>
  </si>
  <si>
    <t>8 keputusan diuji. Minimal 3 berubah atau dipertajam setelah pengujian, dikonfirmasi Atasan. Milestone bulan ke-6: 4 keputusan diuji.</t>
  </si>
  <si>
    <t>Menjadi PIC Evaluasi Alternatif Solusi pada 1 Proyek atau Perbaikan Proses</t>
  </si>
  <si>
    <t>Membandingkan alternatif secara sistematis, bukan langsung memilih yang paling familiar.</t>
  </si>
  <si>
    <t>Ambil 1 proyek atau perbaikan proses yang sedang berjalan. Identifikasi minimal 3 alternatif solusi, termasuk minimal 1 yang bukan cara yang biasa dipakai. Analisis kelebihan, risiko, dan dampak masing-masing.</t>
  </si>
  <si>
    <t>Matriks alternatif solusi; keputusan yang diambil beserta alasannya.</t>
  </si>
  <si>
    <t>Minimal 3 alternatif dianalisis, termasuk 1 alternatif non-familiar. Keputusan akhir dijelaskan secara logis berdasarkan data, dinilai Atasan ≥4 (skala 1–5).</t>
  </si>
  <si>
    <t>Melaksanakan After Action Review atas 2 Keputusan yang Diambil dari Pengalaman</t>
  </si>
  <si>
    <t>Menguji apakah asumsi dari pengalaman terbukti benar setelah keputusan dijalankan.</t>
  </si>
  <si>
    <t>Pilih 2 keputusan yang diambil berdasarkan pengalaman dan sudah selesai dijalankan. Evaluasi hasil dibanding target, identifikasi asumsi yang terbukti benar dan yang tidak, dan susun rencana penerapan pembelajaran.</t>
  </si>
  <si>
    <t>2 laporan AAR dan lesson learned.</t>
  </si>
  <si>
    <t>Kedua AAR menghasilkan minimal 1 asumsi yang terbukti keliru per kasus, dan minimal 2 rencana perbaikan yang diterapkan pada pekerjaan berikutnya.</t>
  </si>
  <si>
    <t>Log "Keputusan dengan Data Terbatas"</t>
  </si>
  <si>
    <t>Menstrukturkan dan mengukur cara memutuskan ketika informasi belum lengkap.</t>
  </si>
  <si>
    <t>Untuk setiap keputusan yang harus diambil tanpa informasi lengkap, catat SEBELUM memutuskan: informasi yang tersedia, informasi yang tidak tersedia, opsi yang dipertimbangkan, risiko terburuk tiap opsi, dan asumsi yang dipakai. Setelah hasil diketahui, nilai apakah keputusan itu tepat berdasarkan informasi yang tersedia SAAT ITU.</t>
  </si>
  <si>
    <t>Log minimal 30 keputusan; rekap triwulanan proporsi yang memuat minimal 2 opsi beserta risikonya. Termasuk review rekap triwulanan oleh Mentor.</t>
  </si>
  <si>
    <t>Minimal 30 keputusan tercatat. Proporsi yang ditunda menunggu data lengkap turun ≥50% dari baseline triwulan 1, dan proporsi yang memuat minimal 2 opsi beserta risikonya naik menjadi ≥80% pada triwulan 4. Milestone bulan ke-6: 15 keputusan.</t>
  </si>
  <si>
    <t>Menetapkan batas menunggu di muka agar tidak menunda tanpa akhir.</t>
  </si>
  <si>
    <t>Untuk jenis keputusan yang berulang, tetapkan lebih dulu: informasi apa yang MINIMAL harus ada agar boleh memutuskan, dan berapa lama maksimal boleh menunggu tambahan informasi. Setelah batas tercapai, putuskan.</t>
  </si>
  <si>
    <t>Daftar batas informasi minimum untuk 6 jenis keputusan berulang; 24 catatan penerapan. Termasuk persetujuan Atasan dan pemeriksaan penerapan oleh Mentor.</t>
  </si>
  <si>
    <t>6 batas ditetapkan dan disetujui Atasan. Minimal 18 dari 24 penerapan, keputusan diambil dalam batas yang ditetapkan sendiri. Milestone bulan ke-6: 6 batas selesai dan 10 penerapan.</t>
  </si>
  <si>
    <t>Menutup siklus belajar dengan menguji apakah keputusan terbukti tepat.</t>
  </si>
  <si>
    <t>Setiap 3 bulan, ambil dari log 3 keputusan yang diambil 90 hari sebelumnya. Nilai: apakah hasilnya sesuai perkiraan, asumsi mana yang meleset, dan pelajaran apa yang akan dipakai pada keputusan sejenis berikutnya.</t>
  </si>
  <si>
    <t>4 laporan selesai. Minimal 6 pelajaran terbukti diterapkan pada keputusan berikutnya. Milestone bulan ke-6: 2 laporan.</t>
  </si>
  <si>
    <t>Pelatihan 2 hari: membingkai keputusan, menyusun dan membandingkan opsi, analisis skenario dan risiko, membedakan keputusan yang dapat dikoreksi dari yang tidak, dan menentukan informasi minimum yang cukup.</t>
  </si>
  <si>
    <t>Sertifikat; 1 kerangka keputusan yang dipakai sebagai format pada log. Termasuk persetujuan Atasan.</t>
  </si>
  <si>
    <t>Lulus simulasi skor ≥80 (skala 0–100). Kerangka disetujui Atasan dan dipakai pada minimal 10 keputusan di log.</t>
  </si>
  <si>
    <t>Kursus Online "Menyampaikan Keputusan yang Belum Sepenuhnya Pasti"</t>
  </si>
  <si>
    <t>Menjelaskan dasar keputusan kepada pihak lain ketika informasinya memang belum lengkap.</t>
  </si>
  <si>
    <t>Selesaikan kursus: menjelaskan dasar keputusan secara logis ketika data belum lengkap, menyampaikan risiko yang diterima secara jujur, dan memberi kabar lebih awal ketika muncul informasi baru yang mengubah keputusan.</t>
  </si>
  <si>
    <t>Sertifikat; 5 rumusan penjelasan untuk 5 situasi keputusan yang sering muncul.</t>
  </si>
  <si>
    <t>Minimal 4 rumusan dipakai pada situasi nyata dan dinilai pihak terkait ≥4 (skala 1–5) pada kejelasan dan kejujuran.</t>
  </si>
  <si>
    <t>Selesaikan modul tentang heuristik, satisficing, keputusan bertahap dan reversible, serta kriteria kapan sebuah keputusan memang layak ditunda.</t>
  </si>
  <si>
    <t>Sertifikat; panduan ringkas pengambilan keputusan dengan data terbatas.</t>
  </si>
  <si>
    <t>Panduan dinilai Atasan ≥4 (skala 1–5) dan terbukti dipakai pada minimal 3 keputusan nyata.</t>
  </si>
  <si>
    <t>"Decision Clinic" — Peer Analyst + Mentor Unit Head</t>
  </si>
  <si>
    <t>Menemukan opsi dan risiko yang terlewat sebelum keputusan diambil.</t>
  </si>
  <si>
    <t>Bentuk forum 3–4 peer SETINGKAT ditambah 1 mentor berjenjang Unit Head. Setiap 2 bulan, satu peserta memaparkan 1 keputusan yang sedang atau baru diambil dengan data terbatas. Peserta lain menantang opsi dan risiko yang belum dipertimbangkan.</t>
  </si>
  <si>
    <t>6 sesi (minimal 2 sebagai pemapar); catatan opsi dan risiko yang terlewat.</t>
  </si>
  <si>
    <t>Minimal 5 dari 6 sesi terlaksana. Pada 2 pemaparan sendiri, jumlah opsi/risiko yang terlewat turun ≥50% dari sesi pertama ke kedua. Milestone bulan ke-6: 3 sesi.</t>
  </si>
  <si>
    <t>Shadowing Atasan saat Memutuskan Tanpa Data Lengkap</t>
  </si>
  <si>
    <t>Mempelajari batas informasi dan risiko yang dipakai senior sebelum memutuskan.</t>
  </si>
  <si>
    <t>Minta izin mengamati 3 forum di mana atasan mengambil keputusan padahal informasinya belum lengkap. Catat informasi yang dianggap cukup, pertanyaan kunci sebelum memutuskan, dan batas risiko yang diterima.</t>
  </si>
  <si>
    <t>Minimal 3 pertanyaan kunci dipakai pada keputusan sendiri dan tercatat di log. Divalidasi Atasan ≥4 (skala 1–5).</t>
  </si>
  <si>
    <t>Umpan Balik 360° "Keputusan dengan Data Terbatas"</t>
  </si>
  <si>
    <t>Mengukur perubahan persepsi atas kualitas keputusan peserta dalam ketidakpastian.</t>
  </si>
  <si>
    <t>Kuesioner pre (bulan 1) dan post (bulan 11) kepada minimal 6 responden. Butir RA7: "Ia mengambil keputusan tepat waktu meski informasinya belum lengkap"; "Ia menjelaskan dasar keputusannya secara logis"; "Ia tidak mengelak ketika keputusannya ternyata kurang tepat"; "Keputusannya terbukti tepat berdasarkan informasi yang tersedia saat itu".</t>
  </si>
  <si>
    <t>Kenaikan rata-rata ≥1 poin (skala 1–5). Butir "tidak mengelak ketika keputusannya kurang tepat" wajib naik ≥1 poin (skala 1–5).</t>
  </si>
  <si>
    <t>Mengambil dan Mempertanggungjawabkan 8 Keputusan dengan Data Terbatas</t>
  </si>
  <si>
    <t>Mempraktikkan pengambilan keputusan dengan data terbatas secara langsung dengan akuntabilitas penuh.</t>
  </si>
  <si>
    <t>Minta pendelegasian resmi atasan atas 8 keputusan nyata yang harus diambil tanpa informasi lengkap. Untuk masing-masing: nyatakan opsi dan risikonya di muka, putuskan dalam batas waktu yang disepakati, lalu pertanggungjawabkan hasilnya.</t>
  </si>
  <si>
    <t>8 dokumen keputusan; catatan hasil dan tindak lanjutnya. Termasuk review bulan ke-6 dan ke-12 oleh Atasan.</t>
  </si>
  <si>
    <t>8 keputusan diambil dalam batas waktu yang disepakati. Minimal 6 dinilai Atasan tepat berdasarkan informasi yang tersedia saat diambil. Milestone bulan ke-6: 4 keputusan.</t>
  </si>
  <si>
    <t>Menangani 1 Perkara yang Informasinya Terus Berubah</t>
  </si>
  <si>
    <t>Dengan penugasan atasan, tangani 1 perkara yang informasinya belum lengkap dan terus berubah. Kelola dari keputusan awal, revisi ketika informasi baru muncul, hingga penutupan.</t>
  </si>
  <si>
    <t>1 laporan perkara dengan linimasa keputusan dan titik revisi.</t>
  </si>
  <si>
    <t>Perkara tuntas. Laporan memuat minimal 3 titik keputusan dan minimal 1 revisi karena informasi baru. Atasan menilai ≥4 (skala 1–5).</t>
  </si>
  <si>
    <t>Membangun Kesepakatan atas Keputusan Berisiko yang Diambil Sendiri</t>
  </si>
  <si>
    <t>Membuktikan keberanian mengambil keputusan berisiko dengan konsekuensi yang ditanggung.</t>
  </si>
  <si>
    <t>Pilih 1 keputusan berisiko yang harus peserta ambil sendiri tanpa data lengkap, dengan konsekuensi nyata bila salah. Ambil keputusan itu, jalankan, dan tanggung hasilnya — sesuai dengan konteks kondisi sebenarnya.</t>
  </si>
  <si>
    <t>Dokumentasi keputusan; risiko yang dinyatakan di muka; hasil akhir; refleksi.</t>
  </si>
  <si>
    <t>Keputusan diambil dan dijalankan. Atasan menilai ≥4 (skala 1–5) pada keberanian mengambil risiko dan kesediaan menanggung konsekuensi.</t>
  </si>
  <si>
    <t>Log "Risiko yang Saya Hitung Sebelum Mencoba"</t>
  </si>
  <si>
    <t>Memastikan setiap uji coba melalui perhitungan risiko di muka.</t>
  </si>
  <si>
    <t>Untuk setiap pendekatan baru yang peserta coba, tuliskan SEBELUM mencoba: apa yang bisa hilang bila gagal, seberapa besar kerugiannya, batas kerugian yang dapat diterima, dan tanda untuk berhenti. Setelah dijalankan, catat hasilnya apa adanya, termasuk yang gagal.</t>
  </si>
  <si>
    <t>Log minimal 20 uji coba dengan perhitungan risiko di muka; rekap triwulanan proporsi yang gagal dan yang kerugiannya tetap dalam batas. Termasuk review rekap triwulanan oleh Mentor.</t>
  </si>
  <si>
    <t>Minimal 20 uji coba tercatat dengan perhitungan risiko SEBELUM dijalankan. Minimal 5 di antaranya gagal, dan pada seluruh yang gagal, kerugian tetap dalam batas yang ditetapkan di muka. Milestone bulan ke-6: 10 uji coba, minimal 2 gagal terkendali.</t>
  </si>
  <si>
    <t>Refleksi "Kapan Saya Kembali ke Cara Lama karena Ragu"</t>
  </si>
  <si>
    <t>Menemukan pola mundur dari risiko yang sebenarnya sudah terukur.</t>
  </si>
  <si>
    <t>Setiap 3 bulan, ambil 1 kesempatan mencoba pendekatan baru yang peserta batalkan karena ragu, padahal risikonya sudah terukur dan terkendali. Telusuri apa yang membuat peserta mundur, dan apa yang akan peserta lakukan berbeda.</t>
  </si>
  <si>
    <t>4 laporan penelusuran; daftar pola keraguan yang berulang.</t>
  </si>
  <si>
    <t>4 laporan selesai. Minimal 2 pola keraguan yang berulang teridentifikasi dan turun ≥50% dari baseline pada triwulan berikutnya. Milestone bulan ke-6: 2 laporan.</t>
  </si>
  <si>
    <t>Latihan "Batas Kerugian yang Dapat Diterima"</t>
  </si>
  <si>
    <t>Menetapkan batas kerugian di muka untuk setiap kategori uji coba di unit.</t>
  </si>
  <si>
    <t>Untuk 3 kategori pendekatan baru yang sering muncul di unit peserta, tetapkan batas kerugian yang dapat diterima — waktu, biaya, atau reputasi — sebelum uji coba jenis itu dijalankan berikutnya.</t>
  </si>
  <si>
    <t>3 batas kerugian per kategori; catatan penerapan pada uji coba nyata.</t>
  </si>
  <si>
    <t>3 batas ditetapkan dan disetujui Atasan. Minimal 2 dipakai pada uji coba nyata dan terbukti mencegah kerugian melebihi batas.</t>
  </si>
  <si>
    <t>Workshop "Calculated Risk-Taking &amp; Failure Management" (2 hari)</t>
  </si>
  <si>
    <t>Menguasai cara menghitung risiko dan mengelola dampak kegagalan.</t>
  </si>
  <si>
    <t>Pelatihan 2 hari: menghitung risiko sebelum mencoba, menetapkan batas kerugian, merancang uji coba skala kecil, membedakan kegagalan yang terkendali dari yang di luar kendali, dan menyampaikan kegagalan secara terbuka kepada atasan.</t>
  </si>
  <si>
    <t>Sertifikat; 1 rencana uji coba untuk pendekatan baru nyata dengan risiko terhitung.</t>
  </si>
  <si>
    <t>Lulus simulasi skor ≥80 (skala 0–100). Rencana disetujui Atasan dan dijalankan dalam 60 hari, dengan hasil dilaporkan apa adanya.</t>
  </si>
  <si>
    <t>Kursus Online "Merancang Eksperimen Berisiko Terukur"</t>
  </si>
  <si>
    <t>Menyusun uji coba yang cukup kecil untuk aman tetapi cukup nyata untuk bermakna.</t>
  </si>
  <si>
    <t>Selesaikan kursus: menentukan skala uji coba yang tepat, menetapkan kriteria berhenti, dan mengelola ekspektasi pihak terkait terhadap kemungkinan gagal.</t>
  </si>
  <si>
    <t>Sertifikat; format uji coba yang dipakai untuk seluruh uji coba peserta dalam aktivitas ini.</t>
  </si>
  <si>
    <t>Format dipakai pada minimal 8 uji coba. Setiap uji coba memuat batas kerugian dan kriteria berhenti yang ditetapkan sebelum dijalankan.</t>
  </si>
  <si>
    <t>Micro-learning "Melaporkan Kegagalan secara Terbuka"</t>
  </si>
  <si>
    <t>Menyampaikan kegagalan terkendali tanpa dihukum atau disembunyikan.</t>
  </si>
  <si>
    <t>Selesaikan modul: cara menyampaikan kegagalan yang tetap membangun kepercayaan, membedakan kegagalan yang harus dilaporkan segera dari yang cukup dicatat, dan menarik pembelajaran tanpa mencari pembenaran.</t>
  </si>
  <si>
    <t>Sertifikat; 3 laporan kegagalan nyata yang disampaikan secara terbuka kepada Atasan.</t>
  </si>
  <si>
    <t>3 laporan kegagalan disampaikan dalam 48 jam sejak diketahui, dinilai Atasan ≥4 (skala 1–5) pada keterbukaan dan kualitas pembelajaran yang ditarik.</t>
  </si>
  <si>
    <t>"Risk Circle" — Peer Unit Head + Mentor Department Head</t>
  </si>
  <si>
    <t>Menguji apakah risiko yang dihitung memang wajar, bukan terlalu kecil atau terlalu besar.</t>
  </si>
  <si>
    <t>Bentuk forum 3–4 peer SETINGKAT ditambah 1 mentor berjenjang Department Head. Setiap bulan, satu peserta membawa 1 rencana uji coba beserta perhitungan risikonya. Peserta lain menantang: apakah risikonya cukup berarti untuk disebut mencoba, atau terlalu kecil untuk berarti apa-apa.</t>
  </si>
  <si>
    <t>8 sesi (minimal 2 sebagai pembawa rencana); catatan tantangan atas kewajaran risiko.</t>
  </si>
  <si>
    <t>Minimal 6 dari 8 sesi terlaksana. Pada 2 rencana sendiri, forum menyepakati risikonya wajar — tidak terlalu kecil maupun berlebihan. Milestone bulan ke-6: 4 sesi.</t>
  </si>
  <si>
    <t>Mendorong 2 Anggota Tim Mencoba Pendekatan Baru</t>
  </si>
  <si>
    <t>Menguji apakah keberanian mencoba menular kepada tim.</t>
  </si>
  <si>
    <t>Identifikasi 2 anggota tim yang cenderung menghindari risiko. Dorong masing-masing mencoba 1 pendekatan baru dengan risiko terukur, bantu mereka menghitung risiko dan batas kerugiannya, dan dampingi hasilnya.</t>
  </si>
  <si>
    <t>2 catatan pendampingan; hasil uji coba anggota tim; refleksi mereka tentang pengalaman mencoba.</t>
  </si>
  <si>
    <t>Kedua anggota tim menjalankan uji coba dengan risiko terhitung. Minimal 1 mengonfirmasi merasa lebih berani mencoba setelah didampingi, dengan skor ≥4 (skala 1–5).</t>
  </si>
  <si>
    <t>Anggota Tim yang Didampingi</t>
  </si>
  <si>
    <t>Umpan Balik 360° "Keseimbangan Berani dan Mengelola Risiko"</t>
  </si>
  <si>
    <t>Mengukur persepsi tim dan atasan atas keberanian dan pengelolaan risiko peserta.</t>
  </si>
  <si>
    <t>Kuesioner pre (bulan 1) dan post (bulan 11) kepada minimal 8 responden, termasuk tim langsung. Butir CA8: "Ia berani mencoba pendekatan baru yang belum terbukti"; "Ia menghitung risiko lebih dulu, tidak sembarangan"; "Ia terbuka ketika uji cobanya gagal"; "Ia mendorong kami untuk berani mencoba, bukan hanya dirinya sendiri".</t>
  </si>
  <si>
    <t>Kenaikan rata-rata ≥1 poin (skala 1–5). Butir "mendorong kami untuk berani mencoba" wajib naik ≥1 poin (skala 1–5).</t>
  </si>
  <si>
    <t>Menjalankan 6 Uji Coba Berisiko Terukur</t>
  </si>
  <si>
    <t>Membuktikan keberanian mencoba dengan risiko yang dihitung dan dikelola.</t>
  </si>
  <si>
    <t>Jalankan 6 uji coba pendekatan baru yang belum terbukti sepenuhnya, masing-masing dengan risiko dihitung dan batas kerugian ditetapkan sebelum dijalankan. Laporkan hasilnya apa adanya, termasuk yang gagal.</t>
  </si>
  <si>
    <t>6 laporan uji coba; rekap yang berhasil dan yang gagal beserta pengelolaan dampaknya. Termasuk review bulan ke-6 dan ke-12 oleh Atasan.</t>
  </si>
  <si>
    <t>6 uji coba dijalankan dengan risiko terhitung di muka. Minimal 2 GAGAL dan kerugiannya tetap dalam batas yang ditetapkan. Minimal 2 berhasil dan diadopsi. Milestone bulan ke-6: 3 uji coba.</t>
  </si>
  <si>
    <t>Memimpin 1 Inisiatif Berisiko dengan Konsekuensi Nyata bagi Unit</t>
  </si>
  <si>
    <t>Menguji keberanian mengambil risiko pada skala yang konsekuensinya nyata, bukan simulasi kecil.</t>
  </si>
  <si>
    <t>Pilih 1 inisiatif yang belum terbukti sepenuhnya tetapi berpotensi memberi nilai signifikan bagi unit, dengan konsekuensi nyata bila gagal. Hitung risikonya, ajukan kepada atasan, jalankan, dan kelola dampaknya.</t>
  </si>
  <si>
    <t>Dokumen inisiatif dengan perhitungan risiko; persetujuan Atasan; catatan pengelolaan dampak selama berjalan; hasil akhir.</t>
  </si>
  <si>
    <t>Inisiatif dijalankan dengan risiko yang dikelola sesuai rencana. Atasan menilai ≥4 (skala 1–5) pada keseimbangan keberanian dan kehati-hatian, terlepas dari inisiatif itu berhasil atau tidak.</t>
  </si>
  <si>
    <t>Membangun Ruang Eksperimen Aman bagi Tim</t>
  </si>
  <si>
    <t>Menciptakan mekanisme yang membuat anggota tim berani mencoba tanpa takut dihukum atas kegagalan terkendali.</t>
  </si>
  <si>
    <t>Bangun 1 mekanisme di unit — forum, kuota uji coba, atau kebijakan tertulis — yang memberi ruang aman bagi anggota tim mencoba pendekatan baru dengan risiko terukur, termasuk kejelasan bahwa kegagalan terkendali tidak dihukum.</t>
  </si>
  <si>
    <t>Dokumen mekanisme; bukti minimal 3 anggota tim memakainya untuk mencoba sesuatu yang baru; hasilnya.</t>
  </si>
  <si>
    <t>Mekanisme berjalan dan dipakai minimal 3 anggota tim untuk mencoba pendekatan baru. Tim mengonfirmasi merasa lebih aman mencoba dibanding sebelumnya, dengan skor ≥4 (skala 1–5).</t>
  </si>
  <si>
    <t>Log "Bergerak Sebelum Jelas"</t>
  </si>
  <si>
    <t>Mengukur berapa lama peserta menunggu kejelasan sebelum bergerak.</t>
  </si>
  <si>
    <t>Setiap kali menghadapi keputusan yang arah, data, atau prioritasnya belum jelas, catat: apa yang belum jelas, sejak kapan, apa yang TETAP peserta kerjakan selama itu, dan berapa lama peserta menunggu sebelum bergerak.</t>
  </si>
  <si>
    <t>Log minimal 24 situasi; rekap triwulanan rata-rata waktu tunggu. Termasuk review rekap triwulanan oleh Mentor.</t>
  </si>
  <si>
    <t>Minimal 24 situasi tercatat. Rata-rata waktu tunggu turun ≥50% dari baseline pada triwulan 4. Milestone bulan ke-6: 12 situasi.</t>
  </si>
  <si>
    <t>Menemukan tindakan yang tetap bermanfaat apa pun keputusan akhirnya.</t>
  </si>
  <si>
    <t>Pada setiap situasi belum jelas, identifikasi minimal 2 tindakan yang tetap bermanfaat apa pun arah yang akhirnya diambil, dan jalankan tanpa menunggu kejelasan.</t>
  </si>
  <si>
    <t>20 catatan latihan; hasil setelah situasi menjadi jelas.</t>
  </si>
  <si>
    <t>Minimal 16 dari 20 latihan dilakukan. Pada minimal 12, tindakan yang dipilih terbukti tetap bermanfaat. Milestone bulan ke-6: 8 latihan.</t>
  </si>
  <si>
    <t>Refleksi "Kejelasan yang Saya Tunggu"</t>
  </si>
  <si>
    <t>Menyadari kejelasan yang ditunggu padahal tidak akan pernah datang.</t>
  </si>
  <si>
    <t>Setiap 3 bulan, periksa kejelasan yang peserta tunggu dan ternyata tidak pernah datang atau datang terlambat. Tetapkan 1 aturan pribadi tentang kapan berhenti menunggu.</t>
  </si>
  <si>
    <t>4 laporan refleksi; 4 aturan pribadi.</t>
  </si>
  <si>
    <t>4 laporan selesai. Minimal 3 aturan diterapkan dan terlihat pengaruhnya pada penurunan waktu tunggu ≥50% di log. Milestone bulan ke-6: 2 laporan.</t>
  </si>
  <si>
    <t>Workshop "Decision &amp; Execution Under Ambiguity" (2 hari)</t>
  </si>
  <si>
    <t>Menguasai cara tetap bergerak dan memutuskan ketika keadaan belum jelas.</t>
  </si>
  <si>
    <t>Pelatihan 2 hari: langkah tanpa penyesalan, keputusan bertahap dan pilihan yang dapat dibuka kemudian, menetapkan pemicu peninjauan ulang, dan menjaga unit tetap berjalan ketika arah belum turun.</t>
  </si>
  <si>
    <t>Sertifikat; 1 rencana bergerak untuk situasi nyata yang saat ini masih belum jelas.</t>
  </si>
  <si>
    <t>Lulus studi kasus skor ≥80 (skala 0–100). Rencana dijalankan pada situasi nyata dalam 30 hari, dinilai Atasan ≥4 (skala 1–5).</t>
  </si>
  <si>
    <t>Kursus Online "Analisis Risiko dan Urgensi sebagai Dasar Bergerak"</t>
  </si>
  <si>
    <t>Memakai cost analysis, risk analysis, dan sense of urgency untuk memutuskan cepat, bukan menunda.</t>
  </si>
  <si>
    <t>Selesaikan kursus: menilai urgensi, menghitung biaya penundaan, dan menetapkan ambang "cukup untuk bergerak" berdasarkan risiko yang dapat diterima.</t>
  </si>
  <si>
    <t>Sertifikat; 1 kerangka urgensi-biaya-risiko yang dipakai pada log.</t>
  </si>
  <si>
    <t>Kerangka dipakai pada minimal 8 keputusan dan terbukti mempercepat waktu bergerak ≥20% dibanding baseline.</t>
  </si>
  <si>
    <t>Micro-learning "Kapan Analisis Berhenti Menambah Nilai"</t>
  </si>
  <si>
    <t>Melawan kebiasaan menganalisis berlebih untuk menunda keputusan.</t>
  </si>
  <si>
    <t>Selesaikan modul: biaya menunda, nilai informasi tambahan, dan menetapkan batas informasi minimum untuk keputusan yang berulang.</t>
  </si>
  <si>
    <t>Sertifikat; batas informasi minimum untuk 5 jenis keputusan berulang.</t>
  </si>
  <si>
    <t>5 batas ditetapkan dan disetujui Atasan. Minimal 3 terbukti dipakai di log.</t>
  </si>
  <si>
    <t>Bentuk forum 3–4 peer SETINGKAT ditambah 1 mentor berjenjang Division Head. Setiap 2 bulan, satu peserta membawa 1 situasi belum jelas beserta rencana bergeraknya. Peserta lain menantang: apakah ia menunggu terlalu lama.</t>
  </si>
  <si>
    <t>6 sesi (minimal 2 sebagai pemapar); catatan langkah yang ternyata sudah dapat dijalankan.</t>
  </si>
  <si>
    <t>Shadowing Atasan saat Memutuskan Sebelum Data Lengkap</t>
  </si>
  <si>
    <t>Mempelajari batas informasi yang dipakai senior sebelum bergerak.</t>
  </si>
  <si>
    <t>Minta izin mengamati 3 kesempatan di mana atasan memutuskan padahal informasinya belum lengkap. Catat apa yang ia anggap sudah cukup dan bagaimana ia menjaga pilihan tetap terbuka.</t>
  </si>
  <si>
    <t>Minimal 3 pola diterapkan dan tercatat di log. Divalidasi Atasan ≥4 (skala 1–5).</t>
  </si>
  <si>
    <t>Kuesioner pre (bulan 1) dan post (bulan 11) kepada minimal 8 responden, termasuk tim langsung. Butir MA9: "Ia tetap memberi saya pekerjaan yang jelas meski arah dari atas belum turun"; "Unit kami tetap produktif pada periode yang tidak jelas".</t>
  </si>
  <si>
    <t>Kenaikan rata-rata ≥1 poin (skala 1–5). Butir "unit kami tetap produktif" wajib naik ≥1 poin (skala 1–5).</t>
  </si>
  <si>
    <t>Menjaga Unit Tetap Produktif pada 2 Periode Belum Jelas</t>
  </si>
  <si>
    <t>Membuktikan unit tetap menghasilkan selama arah belum ditetapkan.</t>
  </si>
  <si>
    <t>Pada 2 periode nyata arah belum jelas, jaga unit tetap menghasilkan. Tetapkan pekerjaan yang tetap benar apa pun arahnya dan sampaikan dengan jujur bahwa arah belum pasti.</t>
  </si>
  <si>
    <t>2 dokumentasi periode; keluaran unit; penyesuaian setelah arah turun. Termasuk review bulan ke-6 oleh Atasan dan konfirmasi Tim.</t>
  </si>
  <si>
    <t>Keluaran unit tidak menurun dibanding periode normal. Tim mengonfirmasi tahu apa yang dikerjakan, skor ≥4 (skala 1–5). Milestone bulan ke-6: 1 periode.</t>
  </si>
  <si>
    <t>Mengambil 4 Keputusan pada Situasi yang Datanya Tidak Akan Lengkap</t>
  </si>
  <si>
    <t>Memutuskan tanpa menunggu data yang memang tidak akan datang.</t>
  </si>
  <si>
    <t>Pada 4 situasi nyata dengan data yang tidak akan lengkap, ambil keputusan dalam batas waktu yang ditetapkan sendiri di muka.</t>
  </si>
  <si>
    <t>4 dokumentasi keputusan; batas waktu dan kepatuhannya.</t>
  </si>
  <si>
    <t>4 keputusan diambil dalam batas waktu sendiri. Minimal 3 dinilai Atasan tepat. Milestone bulan ke-6: 2 keputusan.</t>
  </si>
  <si>
    <t>Memutuskan Berdasarkan Urgensi, Biaya, dan Risiko pada 1 Perkara Kompleks</t>
  </si>
  <si>
    <t>Mengambil keputusan besar dengan kerangka urgensi-biaya-risiko meski informasi belum lengkap.</t>
  </si>
  <si>
    <t>Pilih 1 perkara kompleks yang menuntut keputusan cepat dengan informasi belum lengkap. Terapkan sense of urgency, cost analysis, dan risk analysis untuk memutuskan, dan siapkan langkah antisipasi dampaknya.</t>
  </si>
  <si>
    <t>Dokumen keputusan dengan ketiga analisis; langkah antisipasi dampak; hasil akhir.</t>
  </si>
  <si>
    <t>Keputusan diambil dalam batas waktu yang wajar mengingat urgensinya. Atasan menilai ≥4 (skala 1–5) pada kualitas ketiga analisis dan langkah antisipasi dampak.</t>
  </si>
  <si>
    <t>Setiap kali organisasi menghadapi persoalan yang belum jelas, catat: apa yang belum jelas, arah apa yang peserta berikan, kepada siapa, dan apakah mereka bergerak setelahnya.</t>
  </si>
  <si>
    <t>Log minimal 24 kesempatan; rekap triwulanan proporsi yang diberi arah. Termasuk review rekap triwulanan oleh Mentor.</t>
  </si>
  <si>
    <t>Minimal 24 kesempatan tercatat. Proporsi yang diberi arah naik menjadi ≥70% pada triwulan 4. Milestone bulan ke-6: 12 kesempatan.</t>
  </si>
  <si>
    <t>Susun dan sampaikan pesan kepada fungsi lain yang memuat: apa yang belum pasti, apa yang tetap dikerjakan sekarang, dan kapan ada kabar berikutnya. Periksa kepada penerima apakah mereka tahu apa yang harus dikerjakan.</t>
  </si>
  <si>
    <t>16 catatan pesan beserta hasil pemeriksaan. Termasuk verifikasi ke penerima oleh Mentor.</t>
  </si>
  <si>
    <t>Minimal 14 dari 16 pesan disampaikan. Pada minimal 12, penerima mengonfirmasi tahu apa yang dikerjakan. Milestone bulan ke-6: 7 pesan.</t>
  </si>
  <si>
    <t>Membaca ketidakpastian yang sedang berlangsung sebagai kemungkinan strategis.</t>
  </si>
  <si>
    <t>Setiap 3 bulan, tinjau ketidakpastian besar yang sedang dihadapi organisasi. Tuliskan peluang strategis yang lahir darinya dan pihak yang perlu digerakkan.</t>
  </si>
  <si>
    <t>4 laporan refleksi; daftar peluang beserta usulan langkahnya. Termasuk penilaian oleh Direksi.</t>
  </si>
  <si>
    <t>4 laporan selesai. Minimal 3 peluang diajukan, minimal 1 diterima ditindaklanjuti. Milestone bulan ke-6: 2 laporan.</t>
  </si>
  <si>
    <t>Program eksekutif: memberi arah tanpa kepastian, berkomunikasi pada masa tidak jelas, menjaga fungsi tetap bergerak, dan mengubah gangguan menjadi peluang.</t>
  </si>
  <si>
    <t>Sertifikat; 1 rencana menggerakkan fungsi pada situasi nyata yang saat ini belum jelas. Termasuk penilaian oleh Fasilitator dan Direksi.</t>
  </si>
  <si>
    <t>Lulus studi kasus skor ≥85 (skala 0–100). Rencana dijalankan dalam 30 hari, penerimanya mengonfirmasi tahu apa yang harus dikerjakan.</t>
  </si>
  <si>
    <t>Kursus "Membangun Kerangka Keputusan Lintas Fungsi"</t>
  </si>
  <si>
    <t>Menyusun kerangka yang dipakai unit lain untuk memutuskan sendiri secara konsisten.</t>
  </si>
  <si>
    <t>Selesaikan kursus: menyusun prinsip dan kriteria keputusan yang fleksibel, menguji kerangka pada kasus lampau, dan menyederhanakannya agar dapat dipakai tanpa kehadiran penyusunnya.</t>
  </si>
  <si>
    <t>Sertifikat; 1 kerangka keputusan lintas fungsi. Termasuk penilaian oleh Direksi dan Unit Pengguna.</t>
  </si>
  <si>
    <t>Kerangka DIPAKAI minimal 2 fungsi untuk memutuskan sendiri. Kerangka yang hanya dipresentasikan tidak dihitung.</t>
  </si>
  <si>
    <t>Menyusun kerangka analisa untuk persoalan yang belum ada modelnya.</t>
  </si>
  <si>
    <t>Selesaikan modul: menyusun kerangka dari nol, memilih variabel yang menentukan, menguji dengan kasus lampau.</t>
  </si>
  <si>
    <t>Sertifikat; 1 rancangan model untuk persoalan yang belum ada kerangkanya. Termasuk penilaian oleh Direksi.</t>
  </si>
  <si>
    <t>Model diuji pada minimal 2 kasus lampau dan hasilnya sesuai. Dinilai Direksi ≥4 (skala 1–5).</t>
  </si>
  <si>
    <t>Menguji apakah orang yang dipimpin peserta benar-benar bergerak.</t>
  </si>
  <si>
    <t>Bentuk forum 3–4 peer SETINGKAT ditambah 1 mentor berjenjang Director. Setiap 2 bulan, satu peserta memaparkan bagaimana ia menjaga fungsi tetap bergerak. Peserta lain menantang: apakah orang-orangnya benar-benar bergerak, atau hanya tidak mengeluh.</t>
  </si>
  <si>
    <t>6 sesi (minimal 2 sebagai pemapar); catatan tantangan dan bukti yang dibawa kembali. Termasuk penilaian oleh Mentor.</t>
  </si>
  <si>
    <t>Lakukan minimal 4 sesi mentoring dengan seorang Director. Fokus pada: bagaimana ia memberi arah saat ia sendiri belum tahu jawabannya.</t>
  </si>
  <si>
    <t>4 catatan mentoring; daftar 5 pola yang akan diadopsi. Termasuk validasi oleh Mentor Director.</t>
  </si>
  <si>
    <t>4 sesi terlaksana. Minimal 4 pola diterapkan dan tercatat di log. Divalidasi Mentor ≥4 (skala 1–5).</t>
  </si>
  <si>
    <t>Kuesioner pre (bulan 1) dan post (bulan 11) kepada minimal 12 responden, WAJIB mencakup minimal 6 orang dari luar unit peserta. Butir MA10: "Ketika keadaan tidak jelas, saya tahu apa yang harus saya kerjakan karena dia"; "Pekerjaan kami tidak berhenti menunggu kejelasan".</t>
  </si>
  <si>
    <t>2 laporan (pre dan post); analisis kenaikan per butir. Termasuk analisis pre-post oleh HC.</t>
  </si>
  <si>
    <t>Kenaikan rata-rata ≥1 poin (skala 1–5). Butir "saya tahu apa yang harus saya kerjakan karena dia" wajib ≥4 (skala 1–5), termasuk dari luar unit peserta.</t>
  </si>
  <si>
    <t>Memimpin 1 Fungsi Melewati Periode Ketidakpastian Tinggi</t>
  </si>
  <si>
    <t>Membuktikan orang lain tetap efektif selama periode tidak jelas.</t>
  </si>
  <si>
    <t>Pada 1 periode minimal 6 bulan arah organisasi belum jelas, pimpin 1 fungsi agar tetap bergerak. Tetapkan pekerjaan yang tetap benar apa pun arahnya.</t>
  </si>
  <si>
    <t>Dokumentasi periode; keluaran fungsi per bulan; penyesuaian setiap ada kabar baru. Termasuk penilaian oleh Direksi dan Anggota Fungsi.</t>
  </si>
  <si>
    <t>Keluaran fungsi tidak menurun (≥95% dari baseline). Minimal 80% anggota tahu apa yang dikerjakan. Milestone bulan ke-6: periode berjalan.</t>
  </si>
  <si>
    <t>Direksi dan Anggota Fungsi</t>
  </si>
  <si>
    <t>Membangun Kerangka Keputusan yang Dipakai Minimal 3 Fungsi</t>
  </si>
  <si>
    <t>Menghasilkan kerangka yang membuat fungsi lain mampu memutuskan sendiri secara konsisten.</t>
  </si>
  <si>
    <t>Kembangkan 1 kerangka pengambilan keputusan untuk persoalan lintas fungsi yang kompleks dan ambigu. Uji pada kasus lampau, sederhanakan, serahkan kepada minimal 3 fungsi untuk dipakai, lalu tarik diri.</t>
  </si>
  <si>
    <t>Dokumen kerangka; hasil pengujian; bukti pemakaian oleh minimal 3 fungsi tanpa kehadiran peserta. Termasuk penilaian oleh Direksi dan Fungsi Pengguna.</t>
  </si>
  <si>
    <t>Kerangka dipakai minimal 3 fungsi TANPA kehadiran peserta, menghasilkan keputusan yang konsisten. Pengguna menilai ≥4 (skala 1–5).</t>
  </si>
  <si>
    <t>Direksi dan Fungsi Pengguna</t>
  </si>
  <si>
    <t>Menjadikan situasi belum jelas sebagai dasar langkah strategis organisasi.</t>
  </si>
  <si>
    <t>Pilih 1 ketidakpastian besar yang dihadapi organisasi. Rumuskan peluang strategis, ajukan kepada direksi, dan pimpin minimal 1 langkah nyata dengan pelaksana di luar peserta.</t>
  </si>
  <si>
    <t>Dokumen usulan; persetujuan direksi; bukti pelaksanaan langkah pertama. Termasuk penilaian oleh Direksi.</t>
  </si>
  <si>
    <t>Peluang disetujui. Minimal 1 langkah dijalankan dengan pelaksana di luar peserta. Direksi menilai ≥4 (skala 1–5).</t>
  </si>
  <si>
    <t>Log "Kesimpulan Saya atas Dokumen Bisnis"</t>
  </si>
  <si>
    <t>Mengukur ketepatan kesimpulan sendiri atas informasi bisnis sebelum mendapat arahan.</t>
  </si>
  <si>
    <t>Setiap dokumen bisnis yang peserta terima — laporan kinerja, target unit, notulen rapat kerja, atau bagian dokumen strategi — tuliskan 3 poin utamanya dan 1 kesimpulan tentang apa artinya bagi pekerjaan peserta, SEBELUM bertanya kepada siapa pun. Verifikasi ke atasan: apakah poin utama dan kesimpulan itu tepat.</t>
  </si>
  <si>
    <t>Log minimal 36 dokumen; rekap triwulanan persentase kesimpulan yang tepat tanpa arahan. Termasuk verifikasi oleh Atasan dan review rekap triwulanan oleh Mentor.</t>
  </si>
  <si>
    <t>Minimal 36 entri. Persentase kesimpulan yang tepat tanpa arahan naik dari baseline triwulan 1 menjadi ≥70% pada triwulan 4. Milestone bulan ke-6: 18 entri dan baseline terbentuk.</t>
  </si>
  <si>
    <t>Latihan "Satu Kalimat Keterkaitan"</t>
  </si>
  <si>
    <t>Melatih menarik kesimpulan yang relevan dengan pekerjaan sendiri.</t>
  </si>
  <si>
    <t>Setiap prioritas, target, atau kebijakan perusahaan yang peserta baca, tuliskan dalam SATU kalimat: apa hubungannya dengan pekerjaan peserta minggu ini. Bila tidak ada hubungannya, tulis itu juga. Verifikasi ke atasan apakah kaitan yang peserta tarik memang tepat.</t>
  </si>
  <si>
    <t>24 catatan keterkaitan beserta hasil verifikasi atasan.</t>
  </si>
  <si>
    <t>Minimal 20 dari 24 catatan dibuat. Pada minimal 16, atasan membenarkan kaitan yang ditarik peserta. Kaitan yang dipaksakan — menghubungkan sesuatu yang sebenarnya tidak berkaitan — dihitung sebagai salah.</t>
  </si>
  <si>
    <t>Jurnal "Fakta, Asumsi, atau Opini dalam Laporan Bisnis"</t>
  </si>
  <si>
    <t>Memisahkan angka yang tertulis dari tafsiran atas angka itu.</t>
  </si>
  <si>
    <t>Untuk setiap kesimpulan yang peserta tarik dari dokumen bisnis, tandai setiap pernyataan di dalamnya: berdasar ANGKA atau pernyataan yang tertulis di dokumen, ASUMSI peserta, atau OPINI. Minta mentor memeriksa penandaan itu secara berkala.</t>
  </si>
  <si>
    <t>Log minimal 24 kesimpulan yang sudah ditandai; rekap triwulanan kesalahan penandaan. Termasuk review oleh Mentor.</t>
  </si>
  <si>
    <t>Minimal 24 kesimpulan ditandai. Proporsi pernyataan yang keliru ditandai turun menjadi ≤15% pada triwulan 4.</t>
  </si>
  <si>
    <t>Pelatihan "Membaca Dokumen Strategi dan Laporan Bisnis" (1 hari)</t>
  </si>
  <si>
    <t>Menguasai cara membaca dokumen bisnis dan menarik kesimpulan yang tepat.</t>
  </si>
  <si>
    <t>Pelatihan 1 hari: anatomi dokumen strategi dan laporan kinerja, membedakan sasaran dari cara mencapainya, mengenali bagian yang menyentuh unit kerja sendiri, dan menyusun kesimpulan yang sesuai konteks tugas. Peserta membawa 3 dokumen bisnis nyata sebagai bahan.</t>
  </si>
  <si>
    <t>Sertifikat; 3 interpretasi dokumen bisnis nyata beserta hasil verifikasi atasan.</t>
  </si>
  <si>
    <t>Lulus studi kasus dengan skor ≥80 (skala 0–100). Ketiga interpretasi dibenarkan Atasan sebagai tepat.</t>
  </si>
  <si>
    <t>Kursus Online "Membaca Angka Bisnis Dasar"</t>
  </si>
  <si>
    <t>Memahami angka bisnis yang muncul dalam laporan dan target.</t>
  </si>
  <si>
    <t>Selesaikan kursus online: membaca pencapaian terhadap target, memahami biaya dan margin secara dasar, membedakan angka absolut dari pertumbuhan, serta mengenali angka yang menyesatkan bila dibaca sendirian.</t>
  </si>
  <si>
    <t>Sertifikat; 5 pembacaan angka dari laporan kerja nyata beserta verifikasinya.</t>
  </si>
  <si>
    <t>Minimal 4 dari 5 pembacaan dibenarkan Atasan. Kesalahan yang berulang jenisnya diperbaiki dan tidak muncul lagi pada pembacaan berikutnya.</t>
  </si>
  <si>
    <t>Mengenali kapan sebuah pernyataan belum didukung data.</t>
  </si>
  <si>
    <t>Selesaikan modul online tentang pembedaan fakta, asumsi, inferensi, dan opini, serta cara menyatakan tingkat keyakinan atas sebuah kesimpulan.</t>
  </si>
  <si>
    <t>Sertifikat; 10 contoh pernyataan dari dokumen bisnis nyata yang sudah diklasifikasikan.</t>
  </si>
  <si>
    <t>Minimal 8 dari 10 klasifikasi dinilai tepat oleh Mentor.</t>
  </si>
  <si>
    <t>Coaching Atasan atas 4 Kesimpulan dari Dokumen Bisnis</t>
  </si>
  <si>
    <t>Mendapatkan koreksi atas cara menarik kesimpulan, bukan atas isi dokumennya.</t>
  </si>
  <si>
    <t>Setiap triwulan, bawa 1 kesimpulan yang peserta tarik sendiri dari dokumen bisnis kepada atasan. Yang dibahas bukan isi dokumennya, melainkan PENALARANNYA: bagian mana yang peserta pakai, mengapa peserta menyimpulkan demikian, dan apa yang terlewat.</t>
  </si>
  <si>
    <t>4 catatan coaching berisi koreksi penalaran beserta perbaikannya.</t>
  </si>
  <si>
    <t>4 sesi terlaksana. Jenis kesalahan penalaran yang sama tidak berulang pada sesi berikutnya, dinilai Atasan ≥4 (skala 1–5).</t>
  </si>
  <si>
    <t>"Reading Buddy" — Membandingkan Kesimpulan atas Dokumen yang Sama</t>
  </si>
  <si>
    <t>Menemukan perbedaan cara membaca informasi bisnis yang sama.</t>
  </si>
  <si>
    <t>Berpasangan dengan 1 rekan setingkat. Setiap bulan, keduanya membaca dokumen bisnis YANG SAMA secara terpisah, lalu membandingkan poin utama dan kesimpulan masing-masing. Catat di mana keduanya berbeda dan apa sebabnya — kelalaian membaca atau perbedaan sudut pandang.</t>
  </si>
  <si>
    <t>10 sesi; catatan perbedaan pembacaan beserta penyebabnya. Termasuk review oleh Mentor pada bulan ke-6 dan ke-12.</t>
  </si>
  <si>
    <t>Minimal 8 dari 10 sesi terlaksana. Jumlah perbedaan yang disebabkan kelalaian membaca menurun dari 3 sesi pertama ke 3 sesi terakhir.</t>
  </si>
  <si>
    <t>Umpan Balik 360° "Ketepatan Memahami Informasi Bisnis"</t>
  </si>
  <si>
    <t>Mengukur persepsi atasan dan rekan atas ketepatan pemahaman peserta.</t>
  </si>
  <si>
    <t>Kuesioner pre (bulan 1) dan post (bulan 11) kepada minimal 5 responden yang rutin mengirim informasi atau laporan kepada peserta. Butir MA1: "Kesimpulannya atas laporan yang saya kirim biasanya tepat"; "Ia menangkap poin utama tanpa perlu dijelaskan berulang"; "Ia tidak mencampur angka dengan dugaannya sendiri"; "Ia memahami bagian mana dari informasi itu yang menyangkut pekerjaannya".</t>
  </si>
  <si>
    <t>Kenaikan rata-rata ≥1 poin (skala 1–5). Butir "memahami bagian mana yang menyangkut pekerjaannya" wajib naik ≥1 poin (skala 1–5).</t>
  </si>
  <si>
    <t>Menarik Kesimpulan Mandiri atas 24 Dokumen Bisnis</t>
  </si>
  <si>
    <t>Membuktikan kemandirian dan ketepatan menyimpulkan pada informasi bisnis nyata.</t>
  </si>
  <si>
    <t>Sejak bulan ke-3, untuk setiap laporan kinerja, target, atau dokumen bisnis yang peserta terima, sampaikan kesimpulan peserta sendiri kepada atasan SEBELUM meminta penjelasan. Catat ketepatannya dalam dokumentasi peserta.</t>
  </si>
  <si>
    <t>24 kesimpulan mandiri terdokumentasi; grafik ketepatan per bulan. Termasuk review bulan ke-6 dan ke-12 oleh Atasan.</t>
  </si>
  <si>
    <t>24 kesimpulan disampaikan lebih dulu tanpa meminta arahan. Pada triwulan terakhir, ≥75% dinilai tepat oleh Atasan. Milestone bulan ke-6: 10 kesimpulan dan tren naik terlihat.</t>
  </si>
  <si>
    <t>Menjelaskan Keterkaitan Target Unit dengan Prioritas Perusahaan pada 4 Kesempatan</t>
  </si>
  <si>
    <t>Menunjukkan kesimpulan yang menghubungkan pekerjaan unit dengan arah perusahaan.</t>
  </si>
  <si>
    <t>Pada 4 kesempatan nyata — penyusunan target, rapat kerja, atau pembahasan rencana — jelaskan keterkaitan antara target unit peserta dengan prioritas perusahaan, TERMASUK keterkaitan dengan kemampuan unit kerja lain. Sampaikan berdasarkan dokumen, bukan berdasarkan dugaan.</t>
  </si>
  <si>
    <t>4 dokumentasi penjelasan beserta sumber dokumen yang dipakai; umpan balik atasan.</t>
  </si>
  <si>
    <t>4 penjelasan disampaikan. Minimal 3 dinilai Atasan tepat DAN berdasar dokumen — penjelasan yang berdasar dugaan tidak dihitung. Milestone bulan ke-6: 2 penjelasan.</t>
  </si>
  <si>
    <t>Menjadi Perangkum Laporan Kinerja Unit untuk 1 Forum Rutin</t>
  </si>
  <si>
    <t>Menguji apakah kesimpulan peserta cukup tepat untuk dipakai forum tanpa dikoreksi.</t>
  </si>
  <si>
    <t>Dengan penugasan atasan, jadilah orang yang merangkum laporan kinerja unit untuk 1 forum rutin selama minimal 6 bulan. Setiap kali: pilih angka yang relevan, rangkum poin utamanya, dan nyatakan kesimpulan yang berkaitan dengan keputusan yang akan diambil forum.</t>
  </si>
  <si>
    <t>Rangkuman untuk minimal 12 forum; catatan koreksi yang diterima; umpan balik peserta forum.</t>
  </si>
  <si>
    <t>Rangkuman dipakai tanpa perlu dikoreksi pada ≥80% forum. Peserta forum menilai ketepatan poin utama ≥4 (skala 1–5).</t>
  </si>
  <si>
    <t>Latihan "Satu Analisis, Tiga Audiens"</t>
  </si>
  <si>
    <t>Menyesuaikan bentuk penjelasan analisis tanpa mengubah kesimpulannya.</t>
  </si>
  <si>
    <t>Setiap 2 minggu, ambil 1 analisis bisnis yang peserta buat — kondisi internal, pembanding pesaing, atau faktor eksternal. Tulis 3 versi: untuk atasan (keputusan apa yang peserta minta), untuk rekan pelaksana (apa yang harus dikerjakan), dan untuk pihak di luar unit yang tidak menguasai istilahnya. Catat apa yang dibuang dan apa yang wajib dipertahankan.</t>
  </si>
  <si>
    <t>24 set latihan (72 versi); daftar istilah bisnis beserta padanan awamnya. Termasuk review bulan ke-6 dan ke-12 oleh Mentor.</t>
  </si>
  <si>
    <t>Minimal 20 dari 24 set lengkap. Mentor menilai ≥4 (skala 1–5) pada aspek "kesimpulan tetap sama di ketiga versi" — versi yang lebih sederhana tidak boleh mengubah arah kesimpulannya. Milestone bulan ke-6: 10 set.</t>
  </si>
  <si>
    <t>Jurnal "Pertanyaan Setelah Saya Menjelaskan Analisis"</t>
  </si>
  <si>
    <t>Mengukur apakah analisis benar-benar dipahami, bukan sekadar terdengar meyakinkan.</t>
  </si>
  <si>
    <t>Setiap kali menjelaskan analisis bisnis, catat pertanyaan balik yang muncul dan kelompokkan: pertanyaan pendalaman (tanda penjelasan berhasil) atau pertanyaan pengulangan dan salah tangkap (tanda penjelasan gagal). Tulis bagian mana dari penjelasan peserta yang menyebabkannya.</t>
  </si>
  <si>
    <t>Log minimal 30 kejadian; rekap triwulanan proporsi pertanyaan salah-tangkap.</t>
  </si>
  <si>
    <t>Proporsi pertanyaan salah-tangkap turun dari baseline triwulan 1 menjadi ≤20% pada triwulan 4. Milestone bulan ke-6: 15 kejadian dan baseline terbentuk.</t>
  </si>
  <si>
    <t>Latihan "Ringkas Analisis Jadi Satu Halaman"</t>
  </si>
  <si>
    <t>Menyederhanakan analisis panjang tanpa menghilangkan yang menentukan.</t>
  </si>
  <si>
    <t>Setiap bulan, ambil 1 analisis bisnis yang panjang — milik peserta sendiri atau milik unit. Ringkas menjadi 1 halaman dengan urutan: kesimpulan di depan, 3 alasan pendukung, 1 tindakan yang diminta. Lalu minta 1 orang yang belum membaca analisis aslinya menjelaskan ulang isinya hanya dari ringkasan peserta.</t>
  </si>
  <si>
    <t>12 ringkasan satu halaman; catatan hasil uji "jelaskan ulang".</t>
  </si>
  <si>
    <t>Minimal 9 dari 12 ringkasan lolos uji — pembaca menyebutkan kesimpulan dan tindakan yang diminta dengan benar tanpa membaca analisis asli. Milestone bulan ke-6: 5 ringkasan, minimal 3 lolos.</t>
  </si>
  <si>
    <t>Workshop "Structured Business Communication: Pyramid Principle &amp; SCQA" (2 hari)</t>
  </si>
  <si>
    <t>Menguasai kerangka menyusun penjelasan analisis yang runtut.</t>
  </si>
  <si>
    <t>Pelatihan 2 hari: Pyramid Principle (kesimpulan di depan, pengelompokan alasan secara MECE), kerangka SCQA untuk membingkai persoalan bisnis, menurunkan tingkat abstraksi, dan menyesuaikan kedalaman per audiens. Peserta membawa 1 analisis bisnis nyata.</t>
  </si>
  <si>
    <t>Sertifikat; 1 analisis bisnis nyata yang disusun ulang dengan kerangka piramida — versi sebelum dan sesudah.</t>
  </si>
  <si>
    <t>Lulus studi kasus dengan skor ≥80 (skala 0–100). Atasan menilai versi sesudah ≥4 (skala 1–5) pada kejelasan struktur dibanding versi sebelum.</t>
  </si>
  <si>
    <t>Kursus Online "Menyajikan Analisis Bisnis untuk Non-Analis"</t>
  </si>
  <si>
    <t>Menerjemahkan analisis dan angka menjadi penjelasan yang dipahami pihak non-teknis.</t>
  </si>
  <si>
    <t>Selesaikan kursus: memilih satu pesan utama dari sekumpulan analisis, memilih bentuk visual yang tepat, menghindari grafik yang menyesatkan, dan menyusun alur dari temuan menuju tindakan.</t>
  </si>
  <si>
    <t>Sertifikat; 1 analisis bisnis yang diubah menjadi penjelasan 5 menit untuk audiens non-analis. Termasuk penilaian oleh Atasan dan Rekan Kerja.</t>
  </si>
  <si>
    <t>Diuji ke minimal 3 pendengar non-analis: seluruhnya mampu menyebutkan pesan utama dengan benar setelah satu kali mendengar. Atasan menilai ≥4 (skala 1–5).</t>
  </si>
  <si>
    <t>Atasan dan Rekan Kerja</t>
  </si>
  <si>
    <t>Micro-learning "Menyederhanakan Istilah Bisnis"</t>
  </si>
  <si>
    <t>Menerjemahkan istilah bisnis tanpa mengubah artinya.</t>
  </si>
  <si>
    <t>Selesaikan modul tentang analogi, contoh konkret, dan penurunan tingkat abstraksi. Terapkan dengan menyusun glosarium 15 istilah bisnis yang dipakai di unit peserta beserta padanan yang dapat dipahami pihak luar.</t>
  </si>
  <si>
    <t>Sertifikat; glosarium 15 istilah beserta padanannya. Termasuk verifikasi Atasan dan pengujian oleh 3 penguji dari luar unit.</t>
  </si>
  <si>
    <t>Glosarium diuji ke 3 orang dari luar unit: minimal 12 dari 15 padanan dinilai tepat dan tidak mengubah arti aslinya, diverifikasi Atasan.</t>
  </si>
  <si>
    <t>Atasan dan Unit Kerja Terkait</t>
  </si>
  <si>
    <t>"Clarity Circle" — Uji Penjelasan Analisis ke Rekan Lintas Fungsi</t>
  </si>
  <si>
    <t>Menguji apakah analisis dipahami oleh orang yang tidak menguasai konteksnya.</t>
  </si>
  <si>
    <t>Bentuk forum 4 orang dari fungsi berbeda. Setiap bulan, satu peserta menjelaskan 1 analisis bisnis selama 5 menit. Pendengar WAJIB menjelaskan ulang isinya dengan bahasa sendiri; pemapar mencatat bagian mana yang maknanya bergeser, lalu memperbaiki penjelasannya.</t>
  </si>
  <si>
    <t>10 sesi (minimal 3 sebagai pemapar); catatan pergeseran makna dan perbaikannya.</t>
  </si>
  <si>
    <t>Minimal 8 dari 10 sesi terlaksana. Pada 3 pemaparan sendiri, ketepatan penjelasan-ulang pendengar naik ≥20% dari pemaparan pertama ke ketiga. Milestone bulan ke-6: 4 sesi, minimal 1 sebagai pemapar.</t>
  </si>
  <si>
    <t>Shadowing Atasan saat Menjelaskan Analisis ke Audiens Berbeda</t>
  </si>
  <si>
    <t>Mempelajari cara senior menyesuaikan penjelasan analisis yang sama untuk audiens berbeda.</t>
  </si>
  <si>
    <t>Minta izin mengamati 3 forum di mana atasan menjelaskan analisis atau angka bisnis kepada audiens dengan tingkat pemahaman berbeda. Catat: urutan penyampaian, apa yang sengaja dibuang, analogi yang dipakai, dan bagaimana ia mengubah kedalaman ketika audiens terlihat tidak mengikuti.</t>
  </si>
  <si>
    <t>Minimal 3 teknik diterapkan pada penjelasan sendiri dan divalidasi Atasan ≥4 (skala 1–5).</t>
  </si>
  <si>
    <t>Umpan Balik 360° "Kejelasan Penjelasan Analisis"</t>
  </si>
  <si>
    <t>Mengukur perubahan persepsi audiens atas kejelasan penjelasan peserta.</t>
  </si>
  <si>
    <t>Kuesioner pre (bulan 1) dan post (bulan 11) kepada minimal 5 responden, termasuk minimal 2 dari luar unit. Butir MA4: "Saya memahami analisisnya sesuai yang ia maksudkan"; "Ia menyusun penjelasan dengan runtut dan kesimpulannya jelas"; "Ia menyesuaikan kedalaman penjelasan dengan tingkat pemahaman saya"; "Ia menyederhanakan hal rumit tanpa menghilangkan hal penting".</t>
  </si>
  <si>
    <t>Kenaikan rata-rata ≥1 poin (skala 1–5). Butir "menyesuaikan kedalaman penjelasan" wajib naik ≥1 poin (skala 1–5).</t>
  </si>
  <si>
    <t>Menjadi Penjelas Tetap untuk 4 Analisis Bisnis ke Audiens Berbeda</t>
  </si>
  <si>
    <t>Mempraktikkan penyesuaian penjelasan pada analisis nyata.</t>
  </si>
  <si>
    <t>Minta penugasan atasan untuk menjadi pihak yang menjelaskan 4 analisis bisnis unit — kondisi internal, pembanding pesaing, faktor eksternal, atau usulan berbasis analisis. Setiap analisis disampaikan kepada audiens berbeda: tim sendiri, unit lain, atasan, dan pihak di luar fungsi.</t>
  </si>
  <si>
    <t>4 materi penjelasan; 4 catatan penyesuaian per audiens; umpan balik audiens. Termasuk review bulan ke-6 dan ke-12 oleh Atasan.</t>
  </si>
  <si>
    <t>Minimal 3 dari 4 mendapat skor ≥4 (skala 1–5) dari audiens pada butir "saya memahami sesuai yang dimaksudkan". Milestone bulan ke-6: 2 analisis.</t>
  </si>
  <si>
    <t>Menyusun 1 Analisis Internal-Eksternal yang Dipakai Unit Tanpa Penjelasan Lisan</t>
  </si>
  <si>
    <t>Membuktikan analisis cukup terstruktur untuk dipakai tanpa bantuan penjelasan lisan.</t>
  </si>
  <si>
    <t>Susun 1 analisis kekuatan dan kelemahan internal beserta faktor eksternal yang mempengaruhi unit peserta. Sajikan dalam bentuk yang berdiri sendiri — satu halaman, tabel, atau infografik. Uji ke 3 orang yang belum pernah menerima penjelasan lisan tentang analisis itu, lalu revisi berdasarkan bagian yang mereka salah pahami. Lakukan minimal 2 putaran uji.</t>
  </si>
  <si>
    <t>Analisis final; catatan 2 putaran uji dan revisi; bukti pemakaian oleh orang lain.</t>
  </si>
  <si>
    <t>Analisis disetujui Atasan dan terbukti dipakai minimal 3 kali oleh orang lain TANPA perlu penjelasan lisan tambahan, dengan skor manfaat ≥4 (skala 1–5).</t>
  </si>
  <si>
    <t>Menjelaskan Perbandingan Opsi kepada Pihak yang Memutuskan</t>
  </si>
  <si>
    <t>Menjelaskan perbandingan yang kompleks sehingga pihak lain dapat memutuskan.</t>
  </si>
  <si>
    <t>Pada 2 kesempatan nyata — respons tender, pemilihan vendor, atau pilihan investasi alat — susun dan sampaikan penjelasan perbandingan: opsi yang tersedia, kemampuan internal kita, kelebihan dan kekurangan pesaing atau alternatif, serta rekomendasi beserta alasannya. Sampaikan kepada pihak yang berwenang memutuskan.</t>
  </si>
  <si>
    <t>Pada kedua kesempatan, pihak pemutus mampu menyebutkan ulang trade-off utama dengan benar. Atasan menilai ≥4 (skala 1–5) pada struktur penyajian dan kenetralan — kekurangan opsi yang direkomendasikan tetap disampaikan.</t>
  </si>
  <si>
    <t>Log "Reaksi Pertama Saya atas Perubahan"</t>
  </si>
  <si>
    <t>Mengukur bagaimana peserta membaca sebuah perubahan pada saat perubahan itu muncul.</t>
  </si>
  <si>
    <t>Setiap perubahan yang terjadi — kebijakan, pasar, teknologi, struktur, permintaan pelanggan, atau cara kerja — catat DALAM 24 JAM PERTAMA: apa reaksi pertama peserta, dipilih dari empat kata saja — beban, gangguan, ancaman, atau peluang. Baru setelah beberapa hari, catat peluang apa yang akhirnya peserta temukan. Kedua catatan itu tidak boleh diisi bersamaan.</t>
  </si>
  <si>
    <t>Log minimal 30 perubahan; rekap triwulanan proporsi reaksi pertama "peluang". Termasuk review rekap triwulanan oleh Mentor.</t>
  </si>
  <si>
    <t>Minimal 30 perubahan tercatat dengan reaksi pertama diisi dalam 24 jam. Proporsi reaksi pertama "peluang" naik dari baseline triwulan 1 menjadi ≥50% pada triwulan 4. Milestone bulan ke-6: 15 entri dan baseline terbentuk.</t>
  </si>
  <si>
    <t>Latihan "Tiga Peluang Sebelum Satu Hambatan"</t>
  </si>
  <si>
    <t>Membalik urutan berpikir yang biasa: peluang lebih dulu, hambatan kemudian.</t>
  </si>
  <si>
    <t>Untuk setiap perubahan yang terjadi, paksa diri menuliskan 3 PELUANG yang lahir darinya SEBELUM menuliskan satu pun hambatan. Baru setelah ketiganya tertulis, boleh mencatat hambatannya. Catat juga mana yang lebih dulu terpikir secara alami.</t>
  </si>
  <si>
    <t>24 catatan latihan; rekap perubahan mana yang peluangnya sulit ditemukan beserta sebabnya.</t>
  </si>
  <si>
    <t>Minimal 20 dari 24 latihan dilakukan dengan urutan yang benar. Pada minimal 15, Mentor menilai ketiga peluang yang dituliskan masuk akal dan berakar pada perubahan itu — bukan peluang umum yang ditempelkan. Milestone bulan ke-6: 10 latihan.</t>
  </si>
  <si>
    <t>Refleksi "Perubahan yang Saya Anggap Ancaman"</t>
  </si>
  <si>
    <t>Menemukan peluang yang terlewat karena perubahan dibaca sebagai ancaman.</t>
  </si>
  <si>
    <t>Setiap 3 bulan, ambil 1 perubahan yang dulu peserta anggap ancaman atau beban. Telusuri sekarang: peluang apa yang ternyata ada di dalamnya, siapa yang memanfaatkannya, apa yang membuat peserta tidak melihatnya waktu itu, dan berapa biaya dari keterlambatan itu.</t>
  </si>
  <si>
    <t>4 laporan penelusuran; daftar pola yang membuat peserta membaca perubahan sebagai ancaman.</t>
  </si>
  <si>
    <t>4 laporan selesai. Peserta mampu menyebutkan minimal 2 pola yang berulang membuatnya membaca perubahan sebagai ancaman, dan pola itu turun ≥50% pada log triwulan berikutnya. Milestone bulan ke-6: 2 laporan.</t>
  </si>
  <si>
    <t>Workshop "Reframing: Melihat Peluang dalam Perubahan" (2 hari)</t>
  </si>
  <si>
    <t>Menguasai cara membaca ulang sebuah perubahan dari sisi peluangnya.</t>
  </si>
  <si>
    <t>Pelatihan 2 hari: mengapa otak membaca perubahan sebagai ancaman lebih dulu, teknik membalik pembingkaian, membedakan kerugian nyata dari ketidaknyamanan, mencari pihak yang diuntungkan oleh sebuah perubahan, dan menerjemahkan perubahan menjadi kebutuhan baru yang dapat dilayani.</t>
  </si>
  <si>
    <t>Sertifikat; 3 perubahan nyata yang sedang berlangsung, dibaca ulang dari sisi peluangnya.</t>
  </si>
  <si>
    <t>Lulus studi kasus dengan skor ≥80 (skala 0–100). Ketiga pembacaan ulang dinilai Atasan ≥4 (skala 1–5) pada kemasukakalan peluang yang ditemukan.</t>
  </si>
  <si>
    <t>Kursus Online "Dari Perubahan Menjadi Formula Bisnis Baru"</t>
  </si>
  <si>
    <t>Menerjemahkan perubahan pasar atau teknologi menjadi penawaran atau cara kerja baru.</t>
  </si>
  <si>
    <t>Selesaikan kursus: membaca perubahan pasar sebagai kebutuhan yang belum terlayani, menggabungkan kekuatan internal dengan peluang eksternal, menguji kelayakan awal sebuah gagasan, dan mengenali perubahan yang terlihat besar tetapi tidak membuka peluang apa pun.</t>
  </si>
  <si>
    <t>Sertifikat; 2 formula atau penawaran baru yang berakar pada perubahan nyata di pasar atau teknologi.</t>
  </si>
  <si>
    <t>Kedua formula dinilai Atasan ≥4 (skala 1–5), dan peserta mampu menunjukkan perubahan spesifik apa yang memicunya. Gagasan yang tidak berakar pada perubahan tidak dihitung.</t>
  </si>
  <si>
    <t>Micro-learning "Mengapa Perubahan Terbaca sebagai Ancaman"</t>
  </si>
  <si>
    <t>Mengenali kecenderungan diri yang membuat perubahan terbaca negatif.</t>
  </si>
  <si>
    <t>Selesaikan modul: kecenderungan menilai kerugian lebih besar daripada keuntungan yang setara, biaya tenggelam, rasa aman dari yang sudah dikenal, dan pengaruh suasana kelompok terhadap cara seseorang membaca perubahan.</t>
  </si>
  <si>
    <t>Sertifikat; daftar 5 kecenderungan pribadi yang teramati dari log peserta dalam aktivitas ini.</t>
  </si>
  <si>
    <t>Kelima kecenderungan disertai contoh nyata dari log peserta sendiri — daftar yang hanya berisi konsep umum tanpa contoh tidak memenuhi.</t>
  </si>
  <si>
    <t>"Opportunity Circle" — Peer Analyst + Mentor Unit Head</t>
  </si>
  <si>
    <t>Memaksa munculnya pembacaan peluang atas perubahan yang sedang terjadi.</t>
  </si>
  <si>
    <t>Bentuk forum 3–4 peer SETINGKAT ditambah 1 mentor berjenjang Unit Head. Setiap bulan, satu peserta membawa 1 perubahan yang sedang terjadi beserta pembacaannya. Peserta lain BERTUGAS menyebutkan peluang — bukan risiko dan bukan hambatan. Risiko baru boleh dibahas pada sepuluh menit terakhir.</t>
  </si>
  <si>
    <t>10 sesi (minimal 3 sebagai pemapar); catatan peluang yang disebutkan peserta lain dan yang akhirnya dikejar.</t>
  </si>
  <si>
    <t>Minimal 8 dari 10 sesi terlaksana. Dari sesi-sesi itu, minimal 3 peluang benar-benar ditindaklanjuti pada pekerjaan nyata. Milestone bulan ke-6: 4 sesi, minimal 1 sebagai pemapar.</t>
  </si>
  <si>
    <t>Shadowing Atasan saat Menghadapi Perubahan yang Merugikan Unit</t>
  </si>
  <si>
    <t>Mempelajari bagaimana senior membaca perubahan yang jelas merugikan.</t>
  </si>
  <si>
    <t>Minta izin mengamati 3 kesempatan di mana atasan menghadapi perubahan yang merugikan unit — anggaran dipotong, sumber daya ditarik, aturan diperketat, atau target dinaikkan. Catat: apa yang ia sebut lebih dulu, peluang apa yang ia lihat, bagaimana ia menyampaikannya kepada tim, dan apa yang akhirnya berubah karena pembacaan itu.</t>
  </si>
  <si>
    <t>3 laporan observasi; daftar 4 pola pembacaan yang akan ditiru.</t>
  </si>
  <si>
    <t>Minimal 3 pola diterapkan pada perubahan yang dihadapi peserta sendiri, dan terlihat pengaruhnya pada log peserta dalam aktivitas ini. Divalidasi Atasan ≥4 (skala 1–5).</t>
  </si>
  <si>
    <t>Umpan Balik 360° "Cara Ia Membaca Perubahan"</t>
  </si>
  <si>
    <t>Mengukur apakah cara peserta memandang perubahan terlihat oleh rekan dan tim.</t>
  </si>
  <si>
    <t>Kuesioner pre (bulan 1) dan post (bulan 11) kepada minimal 6 responden yang bekerja dekat dengan peserta. Butir CA6: "Ketika ada perubahan, hal pertama yang ia cari adalah peluangnya"; "Ia tidak mengeluhkan perubahan kepada rekan"; "Ia membuat saya melihat sisi yang berguna dari sebuah perubahan"; "Ia tetap mencari peluang bahkan pada perubahan yang merugikan unit kami".</t>
  </si>
  <si>
    <t>Kenaikan rata-rata ≥1 poin (skala 1–5). Butir "hal pertama yang ia cari adalah peluangnya" wajib naik ≥1 poin (skala 1–5).</t>
  </si>
  <si>
    <t>Mengubah 4 Perubahan Menjadi Inisiatif Nyata</t>
  </si>
  <si>
    <t>Membuktikan peluang yang dibaca benar-benar diwujudkan.</t>
  </si>
  <si>
    <t>Pilih 4 perubahan yang terjadi sepanjang program — pasar, teknologi, kebijakan, atau struktur. Untuk masing-masing, wujudkan 1 inisiatif nyata yang lahir dari perubahan itu. Setiap inisiatif WAJIB dapat ditelusuri ke perubahan spesifik yang memicunya; inisiatif yang lahir dari ide bebas tidak dihitung.</t>
  </si>
  <si>
    <t>4 dokumentasi dengan alur: perubahan → peluang yang dibaca → inisiatif → hasil. Termasuk review bulan ke-6 dan ke-12 oleh Atasan.</t>
  </si>
  <si>
    <t>4 inisiatif berjalan, seluruhnya dapat ditelusuri ke perubahan pemicunya. Minimal 3 menghasilkan perbaikan yang dapat ditunjukkan, dinilai Atasan ≥4 (skala 1–5). Milestone bulan ke-6: 2 inisiatif.</t>
  </si>
  <si>
    <t>Menyusun 1 Formula Bisnis Baru dari Perubahan Pasar atau Teknologi</t>
  </si>
  <si>
    <t>Menggabungkan perubahan eksternal dengan kekuatan internal menjadi penawaran baru.</t>
  </si>
  <si>
    <t>Pilih 1 perubahan pasar, teknologi, atau perilaku pelanggan yang sedang berlangsung. Gabungkan dengan kekuatan dan kelemahan unit atau perusahaan, lalu susun 1 formula baru — jenis layanan baru, cara kerja baru, atau penawaran baru. Ajukan kepada atasan beserta dasar pembacaannya.</t>
  </si>
  <si>
    <t>1 dokumen formula baru; catatan perubahan pemicu, kekuatan internal yang dipakai, dan kelemahan yang disiasati; tanggapan atasan.</t>
  </si>
  <si>
    <t>Formula diajukan dan dinilai Atasan ≥4 (skala 1–5) pada kejelasan kaitan antara perubahan pemicu dan formula yang dihasilkan. Bila disetujui untuk diuji coba, uji coba dijalankan dalam periode program.</t>
  </si>
  <si>
    <t>Mengubah 1 Perubahan yang Merugikan Unit Menjadi Peluang</t>
  </si>
  <si>
    <t>Menguji apakah pembacaan peluang bertahan ketika perubahan itu jelas merugikan.</t>
  </si>
  <si>
    <t>Pilih 1 perubahan yang secara nyata merugikan unit peserta — anggaran dipotong, sumber daya ditarik, aturan diperketat, wilayah dikurangi, atau target dinaikkan tanpa tambahan sumber daya. Temukan peluang yang lahir dari keterbatasan itu dan wujudkan. Dokumentasikan pembacaan awal peserta, peluang yang ditemukan, dan hasilnya.</t>
  </si>
  <si>
    <t>Dokumentasi lengkap: kerugian yang nyata, peluang yang ditemukan, langkah yang dijalankan, dan hasilnya; umpan balik tim atas cara peserta menyampaikan perubahan itu.</t>
  </si>
  <si>
    <t>Peluang ditemukan dan diwujudkan menjadi langkah nyata. Tim mengonfirmasi peserta menyampaikan perubahan itu dengan menyebut peluangnya, bukan hanya kerugiannya, dengan skor ≥4 (skala 1–5). Atasan menilai ≥4 (skala 1–5).</t>
  </si>
  <si>
    <t>Log "Tanda Strategi Mulai Tidak Efektif"</t>
  </si>
  <si>
    <t>Mencatat tanda awal ketidakefektifan sebelum hasilnya terlihat buruk.</t>
  </si>
  <si>
    <t>Untuk setiap strategi, rencana, atau cara kerja yang SEDANG BERJALAN di unit peserta, catat setiap tanda awal bahwa ia mulai tidak efektif: kapan tanda itu peserta lihat, apa tandanya, dan apa yang peserta lakukan. Beri tanda: hanya dicatat, dilaporkan ke atasan, atau diubah sendiri. Catat juga tanggal ketika hasil buruknya akhirnya terlihat.</t>
  </si>
  <si>
    <t>Log minimal 24 tanda; rekap triwulanan selisih hari antara tanda pertama terlihat dan arah diubah. Termasuk review rekap triwulanan oleh Mentor.</t>
  </si>
  <si>
    <t>Minimal 24 tanda tercatat. Selisih hari antara tanda pertama dan tindakan turun ≥50% dari baseline triwulan 1 ke triwulan 4, dan proporsi yang "diubah sendiri" naik menjadi ≥50%. Milestone bulan ke-6: 12 tanda dan baseline terbentuk.</t>
  </si>
  <si>
    <t>Latihan "Titik Tinjau yang Ditetapkan di Muka"</t>
  </si>
  <si>
    <t>Menetapkan lebih dulu pada angka berapa sebuah rencana harus diubah.</t>
  </si>
  <si>
    <t>Setiap rencana atau strategi yang peserta susun, tetapkan DI MUKA tiga hal: indikator apa yang akan menunjukkan rencana ini tidak berjalan, kapan akan ditinjau, dan pada angka berapa peserta akan mengubahnya. Tuliskan sebelum rencana dijalankan, bukan setelahnya.</t>
  </si>
  <si>
    <t>20 rencana dengan titik tinjau tertulis di muka; catatan hasil peninjauan pada setiap tanggalnya.</t>
  </si>
  <si>
    <t>Minimal 16 dari 20 rencana memiliki titik tinjau yang ditetapkan SEBELUM dijalankan. Pada minimal 12, peninjauan benar-benar dilakukan pada tanggal yang ditetapkan. Milestone bulan ke-6: 8 rencana.</t>
  </si>
  <si>
    <t>Refleksi "Rencana yang Terlalu Lama Saya Pertahankan"</t>
  </si>
  <si>
    <t>Menemukan pola yang membuat sebuah rencana dipertahankan lebih lama dari seharusnya.</t>
  </si>
  <si>
    <t>Setiap 3 bulan, ambil 1 rencana yang peserta pertahankan lebih lama daripada seharusnya. Telusuri: kapan tandanya sebenarnya sudah muncul, apa yang membuat peserta tidak mengubahnya saat itu — biaya yang sudah dikeluarkan, kekhawatiran dianggap tidak konsisten, atau menunggu bukti yang lebih pasti — dan berapa biaya dari keterlambatan itu.</t>
  </si>
  <si>
    <t>4 laporan selesai. Peserta mampu menyebutkan minimal 2 pola penahan yang berulang, dan pola itu turun pengaruhnya ≥50% pada log triwulan berikutnya. Milestone bulan ke-6: 2 laporan.</t>
  </si>
  <si>
    <t>Workshop "Monitoring &amp; Adapting Strategy in Flight" (2 hari)</t>
  </si>
  <si>
    <t>Menguasai cara memantau rencana yang sedang berjalan dan mengubahnya tepat waktu.</t>
  </si>
  <si>
    <t>Pelatihan 2 hari: menyusun indikator pemantau untuk sebuah rencana, membedakan penyimpangan sementara dari penyimpangan yang berarti, menetapkan ambang perubahan di muka, mengubah arah tanpa kehilangan kepercayaan tim, dan mengenali kapan bertahan justru lebih tepat daripada berubah.</t>
  </si>
  <si>
    <t>Sertifikat; 1 rencana unit yang sedang berjalan dilengkapi indikator pemantau dan ambang perubahannya.</t>
  </si>
  <si>
    <t>Lulus studi kasus dengan skor ≥80 (skala 0–100). Rencana yang dilengkapi indikator pemantau benar-benar ditinjau pada tanggal yang ditetapkan, dan hasil peninjauannya dilaporkan kepada Atasan.</t>
  </si>
  <si>
    <t>Kursus Online "Indikator Dini dan Indikator Hasil"</t>
  </si>
  <si>
    <t>Membedakan tanda yang muncul lebih dulu dari angka hasil yang baru terlihat belakangan.</t>
  </si>
  <si>
    <t>Selesaikan kursus online: membedakan indikator yang mendahului hasil dari indikator hasil itu sendiri, memilih indikator dini yang benar-benar meramalkan, mengenali indikator yang mudah dimanipulasi, dan menetapkan ambang yang memicu peninjauan.</t>
  </si>
  <si>
    <t>Sertifikat; 6 indikator dini untuk 3 rencana unit yang sedang berjalan.</t>
  </si>
  <si>
    <t>6 indikator dini ditetapkan dan dipantau. Minimal 2 terbukti memberi tanda LEBIH DULU daripada angka hasil, dibuktikan dengan tanggal pada log.</t>
  </si>
  <si>
    <t>Micro-learning "Mengapa Rencana Sulit Dihentikan"</t>
  </si>
  <si>
    <t>Mengenali penahan yang membuat seseorang bertahan pada rencana yang sudah tidak efektif.</t>
  </si>
  <si>
    <t>Selesaikan modul: biaya yang sudah terlanjur dikeluarkan, kekhawatiran terlihat tidak konsisten, keterikatan pada rencana yang kita susun sendiri, dan tekanan menunggu bukti yang lebih pasti sebelum berubah.</t>
  </si>
  <si>
    <t>Sertifikat; daftar 5 penahan yang teramati pada diri sendiri dari log peserta dalam aktivitas ini.</t>
  </si>
  <si>
    <t>Kelima penahan disertai contoh nyata dari log peserta sendiri. Daftar yang hanya berisi konsep umum tidak memenuhi.</t>
  </si>
  <si>
    <t>"Strategy Review Clinic" — Peer Unit Head + Mentor Department Head</t>
  </si>
  <si>
    <t>Menemukan rencana yang sudah waktunya diubah tetapi belum disadari pemiliknya.</t>
  </si>
  <si>
    <t>Bentuk forum 3–4 peer SETINGKAT ditambah 1 mentor berjenjang Department Head. Setiap 2 bulan, satu peserta memaparkan 1 rencana yang SEDANG BERJALAN di unitnya beserta indikator pemantaunya. Peserta lain BERTUGAS menantang satu hal: apakah rencana ini masih efektif, atau sudah waktunya diubah — dan tanda apa yang mungkin terlewat.</t>
  </si>
  <si>
    <t>6 sesi (minimal 2 sebagai pemapar); catatan tanda yang terlewat dan rencana yang akhirnya diubah.</t>
  </si>
  <si>
    <t>Minimal 5 dari 6 sesi terlaksana. Dari sesi-sesi itu, minimal 2 rencana nyata diubah arahnya. Pada 2 pemaparan sendiri, jumlah tanda yang terlewat turun ≥50% dari pemaparan pertama ke kedua. Milestone bulan ke-6: 3 sesi.</t>
  </si>
  <si>
    <t>Shadowing Atasan saat Mengubah Rencana yang Sedang Berjalan</t>
  </si>
  <si>
    <t>Mempelajari dasar yang dipakai senior untuk memutuskan sebuah rencana harus diubah.</t>
  </si>
  <si>
    <t>Minta izin mengamati 3 kesempatan di mana atasan mengubah arah sebuah rencana yang sedang berjalan. Catat: tanda apa yang ia pakai sebagai dasar, seberapa yakin ia saat memutuskan, bagaimana ia menyampaikan perubahan itu kepada pihak yang sudah bekerja dengan rencana lama, dan apa yang ia lakukan agar perubahan itu tidak terbaca sebagai ketidakkonsistenan.</t>
  </si>
  <si>
    <t>Minimal 3 pola diterapkan pada perubahan rencana sendiri dan tercatat di log. Divalidasi Atasan ≥4 (skala 1–5).</t>
  </si>
  <si>
    <t>Umpan Balik 360° "Kepekaan dan Kemandirian Mengubah Arah"</t>
  </si>
  <si>
    <t>Mengukur apakah kepekaan dan kemandirian peserta terlihat oleh atasan dan tim.</t>
  </si>
  <si>
    <t>Kuesioner pre (bulan 1) dan post (bulan 11) kepada minimal 8 responden, termasuk atasan dan tim langsung. Butir RA9: "Ia menyadari lebih dulu ketika sebuah rencana mulai tidak berjalan"; "Ia mengubah arah tanpa perlu diminta"; "Ia mengubah rencana sebelum targetnya terlanjur gagal, bukan sesudahnya"; "Ketika ia mengubah arah, alasannya jelas dan bukan karena panik".</t>
  </si>
  <si>
    <t>Kenaikan rata-rata ≥1 poin (skala 1–5). Butir "mengubah arah tanpa perlu diminta" (dari responden atasan) dan "mengubah sebelum targetnya terlanjur gagal" wajib naik ≥1 poin (skala 1–5) — keduanya adalah kedua fokus perilaku RA9.</t>
  </si>
  <si>
    <t>Mengubah 4 Rencana yang Sedang Berjalan Sebelum Hasilnya Buruk</t>
  </si>
  <si>
    <t>Membuktikan deteksi dini dan perubahan arah yang dilakukan sendiri.</t>
  </si>
  <si>
    <t>Pada 4 rencana, strategi, atau cara kerja yang sedang berjalan di unit peserta, kenali tanda ketidakefektifan lalu ubah arahnya. Untuk masing-masing dokumentasikan: tanda yang terlihat beserta tanggalnya, dasar keputusan mengubah, apa yang diubah, tanggal perubahan, dan hasilnya. Catat juga apakah perubahan itu peserta putuskan sendiri atau setelah diminta.</t>
  </si>
  <si>
    <t>4 dokumentasi perubahan arah dengan linimasa bertanggal; data hasil sebelum dan sesudah. Termasuk review bulan ke-6 dan ke-12 oleh Atasan.</t>
  </si>
  <si>
    <t>4 rencana diubah arahnya. Pada minimal 3, perubahan dilakukan SEBELUM target terlewat atau hasilnya memburuk — dibuktikan dengan tanggal. Minimal 3 diputuskan sendiri tanpa diminta atasan. Milestone bulan ke-6: 2 perubahan.</t>
  </si>
  <si>
    <t>Memasang Sistem Pemantau pada 1 Rencana Jangka Panjang Unit</t>
  </si>
  <si>
    <t>Membangun kerangka yang membuat penyimpangan terdeteksi tanpa bergantung pada kewaspadaan satu orang.</t>
  </si>
  <si>
    <t>Pilih 1 rencana jangka panjang unit peserta — rencana tahunan, program strategis, atau inisiatif besar. Pasang kerangka pemantauan: indikator dini apa yang dipantau, siapa yang memeriksa, irama peninjauannya, dan ambang yang memicu peninjauan arah. Jalankan minimal 6 bulan dan lakukan peninjauan sesuai irama yang ditetapkan.</t>
  </si>
  <si>
    <t>Dokumen kerangka pemantauan; berita acara setiap peninjauan; catatan penyesuaian arah yang dilakukan.</t>
  </si>
  <si>
    <t>Kerangka berjalan minimal 6 bulan dengan seluruh peninjauan dilakukan pada tanggalnya. Minimal 1 penyesuaian arah lahir dari peninjauan itu — bukan dari laporan hasil akhir. Milestone bulan ke-6: kerangka berjalan dan 2 peninjauan selesai.</t>
  </si>
  <si>
    <t>Menghentikan 1 Rencana yang Sudah Tidak Efektif Meski Sudah Banyak Investasi</t>
  </si>
  <si>
    <t>Menguji kemandirian mengubah arah ketika biaya yang sudah dikeluarkan menahan.</t>
  </si>
  <si>
    <t>Pilih 1 rencana atau program yang sudah menyerap biaya, waktu, atau tenaga yang besar tetapi terbukti tidak mencapai tujuannya. Hentikan atau ubah arahnya. Dokumentasikan: bukti ketidakefektifan, biaya yang sudah dikeluarkan, alasan menghentikan, bagaimana peserta menyampaikannya kepada pihak yang sudah terlibat, dan langkah pengganti.</t>
  </si>
  <si>
    <t>Dokumentasi lengkap penghentian atau perubahan arah; catatan penyampaian kepada pihak terlibat; hasil langkah pengganti.</t>
  </si>
  <si>
    <t>Rencana dihentikan atau diubah arahnya, dan langkah pengganti berjalan minimal 3 bulan. Atasan menilai ≥4 (skala 1–5) pada dasar keputusan dan pada cara penyampaiannya kepada pihak yang sudah terlibat. Keputusan yang diambil setelah diperintahkan menghentikan tidak dihitung.</t>
  </si>
  <si>
    <t>Log "Bergerak Sebelum Arah Jelas"</t>
  </si>
  <si>
    <t>Mengukur berapa lama peserta menunggu kejelasan strategis sebelum bertindak.</t>
  </si>
  <si>
    <t>Setiap kali menghadapi persoalan strategis yang arah, data, atau prioritasnya belum jelas, catat: apa yang belum jelas, sejak kapan, apa yang TETAP peserta kerjakan selama itu, apa yang peserta tunda beserta alasannya, dan berapa lama peserta menunggu sebelum mulai bergerak.</t>
  </si>
  <si>
    <t>Log minimal 24 situasi; rekap triwulanan rata-rata waktu tunggu sebelum bergerak. Termasuk review rekap triwulanan oleh Mentor.</t>
  </si>
  <si>
    <t>Minimal 24 situasi tercatat. Rata-rata waktu tunggu sebelum mulai bergerak turun ≥50% dari baseline triwulan 1 pada triwulan 4. Milestone bulan ke-6: 12 situasi dan baseline terbentuk.</t>
  </si>
  <si>
    <t>Latihan "Langkah Strategis yang Tetap Benar"</t>
  </si>
  <si>
    <t>Menemukan langkah yang tetap bermanfaat apa pun arah yang akhirnya diambil.</t>
  </si>
  <si>
    <t>Dalam setiap persoalan strategis yang belum jelas, identifikasi minimal 2 langkah yang akan TETAP bermanfaat apa pun keputusan atau arah yang akhirnya diambil — penguatan kemampuan, penyederhanaan proses, penyiapan data, atau pembicaraan awal dengan pihak terkait. Jalankan tanpa menunggu kejelasan.</t>
  </si>
  <si>
    <t>20 catatan latihan; daftar langkah yang dijalankan beserta hasilnya setelah arah jelas.</t>
  </si>
  <si>
    <t>Minimal 16 dari 20 latihan dilakukan. Pada minimal 12, langkah yang dipilih terbukti tetap bermanfaat setelah arah menjadi jelas. Milestone bulan ke-6: 8 latihan.</t>
  </si>
  <si>
    <t>Refleksi "Kepastian Strategis yang Saya Tunggu"</t>
  </si>
  <si>
    <t>Menyadari kepastian apa yang ditunggu padahal tidak akan pernah datang.</t>
  </si>
  <si>
    <t>Setiap 3 bulan, tinjau log dan periksa: kepastian strategis apa yang peserta tunggu dan ternyata tidak pernah datang, atau datang setelah tidak lagi relevan. Hitung berapa banyak inisiatif yang tertahan karenanya, dan tetapkan 1 aturan pribadi tentang kapan peserta berhenti menunggu.</t>
  </si>
  <si>
    <t>4 laporan refleksi; 4 aturan pribadi tentang batas menunggu.</t>
  </si>
  <si>
    <t>4 laporan selesai. Minimal 3 aturan pribadi diterapkan dan terlihat pengaruhnya pada penurunan waktu tunggu ≥50% di log. Milestone bulan ke-6: 2 laporan.</t>
  </si>
  <si>
    <t>Workshop "Strategic Decision Under Ambiguity" (2 hari)</t>
  </si>
  <si>
    <t>Menguasai cara memutuskan dan bergerak pada persoalan strategis yang belum jelas.</t>
  </si>
  <si>
    <t>Pelatihan 2 hari: langkah tanpa penyesalan, keputusan bertahap dan pilihan yang dapat dibuka kemudian, menetapkan pemicu untuk meninjau ulang, mengenali titik di mana analisis strategis berhenti menambah nilai, serta menjaga unit tetap bekerja ketika arah belum turun.</t>
  </si>
  <si>
    <t>Sertifikat; 1 rencana bergerak untuk persoalan strategis nyata yang saat ini masih belum jelas.</t>
  </si>
  <si>
    <t>Lulus studi kasus dengan skor ≥80 (skala 0–100). Rencana bergerak dijalankan pada persoalan nyata dalam 30 hari setelah pelatihan, dan dinilai Atasan ≥4 (skala 1–5).</t>
  </si>
  <si>
    <t>Kursus "Scenario Planning sebagai Alat Bergerak, Bukan Alat Menunggu"</t>
  </si>
  <si>
    <t>Memakai skenario untuk menentukan langkah sekarang, bukan untuk menunda sampai jelas.</t>
  </si>
  <si>
    <t>Selesaikan kursus: menyusun skenario alternatif, menetapkan tanda pemantau, dan yang terpenting — menurunkan setiap skenario menjadi langkah yang dapat dijalankan SEKARANG, termasuk langkah yang sama pada seluruh skenario.</t>
  </si>
  <si>
    <t>Sertifikat; 1 set skenario yang setiap butirnya disertai langkah yang dijalankan sekarang.</t>
  </si>
  <si>
    <t>Skenario disusun DAN minimal 3 langkah turunannya benar-benar dijalankan dalam periode program. Skenario tanpa langkah yang dijalankan tidak memenuhi.</t>
  </si>
  <si>
    <t>Micro-learning "Kapan Analisis Strategis Berhenti Menambah Nilai"</t>
  </si>
  <si>
    <t>Mengenali titik di mana tambahan analisis tidak lagi mengubah keputusan.</t>
  </si>
  <si>
    <t>Selesaikan modul: biaya menunda keputusan strategis, nilai informasi tambahan, mengenali analisis yang dilakukan untuk menunda, dan menetapkan batas informasi minimum untuk jenis keputusan strategis yang berulang.</t>
  </si>
  <si>
    <t>Sertifikat; batas informasi minimum untuk 5 jenis keputusan strategis yang berulang.</t>
  </si>
  <si>
    <t>5 batas ditetapkan dan disetujui Atasan. Minimal 3 terbukti dipakai dan tercatat di log peserta dalam aktivitas ini.</t>
  </si>
  <si>
    <t>Bentuk forum 3–4 peer SETINGKAT ditambah 1 mentor berjenjang Division Head. Setiap 2 bulan, satu peserta membawa 1 persoalan strategis yang saat ini belum jelas beserta rencana bergeraknya. Peserta lain BERTUGAS menantang satu hal: apakah ia menunggu terlalu lama, dan langkah apa yang sebenarnya sudah dapat dijalankan.</t>
  </si>
  <si>
    <t>Minimal 5 dari 6 sesi terlaksana. Pada 2 pemaparan sendiri, peserta membawa kembali bukti bahwa langkah yang disarankan forum benar-benar dijalankan. Milestone bulan ke-6: 3 sesi.</t>
  </si>
  <si>
    <t>Shadowing Division Head saat Memutuskan Arah Sebelum Data Lengkap</t>
  </si>
  <si>
    <t>Mempelajari batas informasi yang dipakai senior sebelum menetapkan arah.</t>
  </si>
  <si>
    <t>Minta izin mengamati 3 kesempatan di mana atasan menetapkan arah strategis padahal data atau kejelasan belum lengkap. Catat: informasi apa yang ia anggap sudah cukup, apa yang ia putuskan untuk tidak ditunggu, bagaimana ia menjaga pilihan tetap terbuka, dan bagaimana ia memberi pekerjaan ketika arahnya masih dapat berubah.</t>
  </si>
  <si>
    <t>Minimal 3 pola diterapkan pada situasi sendiri dan tercatat di log. Divalidasi Atasan ≥4 (skala 1–5).</t>
  </si>
  <si>
    <t>Umpan Balik 360° "Bergerak Tanpa Kepastian Strategis"</t>
  </si>
  <si>
    <t>Mengukur apakah unit tetap berjalan pada periode arah belum jelas.</t>
  </si>
  <si>
    <t>Kuesioner pre (bulan 1) dan post (bulan 11) kepada minimal 8 responden, WAJIB mencakup tim langsung. Butir MA9: "Ia tetap memberi saya pekerjaan yang jelas meski arah dari atas belum turun"; "Ia tidak menunggu semua data lengkap untuk memulai"; "Unit kami tetap produktif pada periode yang tidak jelas"; "Ia tetap berpikir jernih ketika keadaan membingungkan".</t>
  </si>
  <si>
    <t>Kenaikan rata-rata ≥1 poin (skala 1–5). Butir "unit kami tetap produktif pada periode yang tidak jelas" wajib mencapai ≥4 (skala 1–5) dari responden tim langsung.</t>
  </si>
  <si>
    <t>Menjaga Unit Tetap Produktif pada 2 Periode Arah Strategis Belum Jelas</t>
  </si>
  <si>
    <t>Membuktikan unit tetap menghasilkan selama arah strategis belum ditetapkan.</t>
  </si>
  <si>
    <t>Pada 2 periode nyata di mana arah strategis, prioritas, atau keputusan besar belum turun, jaga agar unit peserta tetap menghasilkan. Tetapkan pekerjaan yang tetap benar apa pun arah yang akhirnya diambil, sampaikan dengan jujur bahwa arah belum pasti, dan tinjau ulang ketika kejelasan datang.</t>
  </si>
  <si>
    <t>2 dokumentasi periode: apa yang belum jelas, pekerjaan yang tetap dijalankan, keluaran unit, dan penyesuaian setelah arah turun.</t>
  </si>
  <si>
    <t>Pada kedua periode, keluaran unit tidak menurun dibanding periode normal. Tim mengonfirmasi mereka tahu apa yang harus dikerjakan, dengan skor ≥4 (skala 1–5). Tidak ada pekerjaan yang berhenti menunggu kejelasan lebih dari 2 minggu. Milestone bulan ke-6: 1 periode terdokumentasi.</t>
  </si>
  <si>
    <t>Mengambil 4 Keputusan Strategis pada Situasi yang Datanya Tidak Akan Lengkap</t>
  </si>
  <si>
    <t>Memutuskan tanpa menunggu data strategis yang memang tidak akan datang.</t>
  </si>
  <si>
    <t>Pada 4 persoalan strategis nyata di mana data yang dibutuhkan TIDAK akan pernah lengkap, ambil keputusan dalam batas waktu yang peserta tetapkan sendiri di muka. Untuk masing-masing catat: data apa yang tidak akan tersedia, batas waktu yang ditetapkan, keputusan yang diambil, dan pemicu untuk meninjau ulang.</t>
  </si>
  <si>
    <t>4 dokumentasi keputusan; catatan batas waktu yang ditetapkan sendiri dan kepatuhannya.</t>
  </si>
  <si>
    <t>4 keputusan diambil dalam batas waktu yang ditetapkan sendiri. Minimal 3 dinilai Atasan tepat berdasarkan informasi yang tersedia saat itu. Tidak ada keputusan yang ditunda menunggu data yang sudah diketahui tidak akan datang. Milestone bulan ke-6: 2 keputusan.</t>
  </si>
  <si>
    <t>Menjalankan 1 Terobosan Sebelum Kelayakannya Sepenuhnya Terbukti</t>
  </si>
  <si>
    <t>Menguji kesediaan bergerak pada gagasan besar yang belum dapat dibuktikan kelayakannya.</t>
  </si>
  <si>
    <t>Pilih 1 terobosan — cara kerja, penawaran, atau pendekatan yang berbeda secara mendasar dari yang berlaku — yang kelayakannya TIDAK dapat dibuktikan sepenuhnya sebelum dijalankan. Jalankan pada skala yang risikonya terkendali, dengan batas waktu dan kriteria berhenti yang ditetapkan di muka. Dokumentasikan apa yang belum pasti saat memulai, dan apa yang akhirnya diketahui.</t>
  </si>
  <si>
    <t>Dokumentasi terobosan: ketidakpastian saat memulai, batas dan kriteria berhenti, jalannya pelaksanaan, dan hasilnya — termasuk bila dihentikan.</t>
  </si>
  <si>
    <t>Terobosan dijalankan dengan batas dan kriteria berhenti yang ditetapkan SEBELUM memulai. Atasan menilai ≥4 (skala 1–5) pada kelayakan risiko yang diambil. Terobosan yang dihentikan sesuai kriteria tetap memenuhi — yang tidak memenuhi adalah terobosan yang tidak pernah dimulai karena menunggu bukti kelayakan.</t>
  </si>
  <si>
    <t>Setiap kali organisasi menghadapi persoalan strategis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</si>
  <si>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review rekap triwulanan oleh Mentor.</t>
  </si>
  <si>
    <t>Minimal 24 kesempatan tercatat. Proporsi yang diberi arah naik dari baseline triwulan 1 menjadi ≥70% pada triwulan 4. Milestone bulan ke-6: 12 kesempatan.</t>
  </si>
  <si>
    <t>Latihan "Pesan Strategis Saat Belum Ada Jawaban"</t>
  </si>
  <si>
    <t>Menyampaikan ketidakpastian strategis secara jujur sambil tetap memberi arah.</t>
  </si>
  <si>
    <t>Susun dan sampaikan pesan kepada unit atau fungsi lain yang memuat tiga hal sekaligus: apa yang memang belum pasti tentang arah perusahaan,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</si>
  <si>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oleh Mentor.</t>
  </si>
  <si>
    <t>Minimal 14 dari 16 pesan disampaikan. Pada minimal 12, penerima mengonfirmasi mereka tahu apa yang harus dikerjakan. Milestone bulan ke-6: 7 pesan.</t>
  </si>
  <si>
    <t>Refleksi "Peluang Strategis dari Ketidakpastian"</t>
  </si>
  <si>
    <t>Setiap 3 bulan, tinjau ketidakpastian besar yang sedang dihadapi organisasi — arah pasar yang belum jelas, regulasi yang belum turun, teknologi yang belum matang, atau keputusan korporasi yang tertunda. Untuk masing-masing tuliskan: peluang strategis apa yang justru lahir dari ketidakjelasan itu, apa yang perlu disiapkan sekarang, dan pihak mana yang perlu digerakkan.</t>
  </si>
  <si>
    <t>4 laporan refleksi; daftar peluang strategis beserta usulan langkahnya. Termasuk penilaian oleh Direksi.</t>
  </si>
  <si>
    <t>4 laporan selesai. Minimal 3 peluang diajukan kepada Direksi, dan minimal 1 diterima untuk ditindaklanjuti. Milestone bulan ke-6: 2 laporan.</t>
  </si>
  <si>
    <t>Program "Leading Through Strategic Uncertainty" (3–5 hari)</t>
  </si>
  <si>
    <t>Menguasai cara menggerakkan organisasi ketika arah strategis belum ada.</t>
  </si>
  <si>
    <t>Program eksekutif 3–5 hari: memberi arah tanpa kepastian, berkomunikasi pada masa strategi belum turun tanpa kehilangan kepercayaan, menjaga fungsi tetap bergerak ketika keputusan korporasi tertunda, mengenali tanda organisasi mulai membeku, dan mengubah gangguan strategis menjadi peluang.</t>
  </si>
  <si>
    <t>Sertifikat; 1 rencana menggerakkan fungsi pada persoalan strategis nyata yang saat ini belum jelas. Termasuk penilaian oleh Fasilitator dan Direksi.</t>
  </si>
  <si>
    <t>Lulus studi kasus dengan skor ≥85 (skala 0–100). Rencana dijalankan pada persoalan nyata dalam 30 hari, dan penerimanya mengonfirmasi mereka tahu apa yang harus dikerjakan.</t>
  </si>
  <si>
    <t>Kursus "Menurunkan Visi Menjadi Langkah yang Dapat Dijalankan Unit"</t>
  </si>
  <si>
    <t>Menerjemahkan arah strategis menjadi pekerjaan yang dapat dijalankan fungsi masing-masing.</t>
  </si>
  <si>
    <t>Selesaikan kursus: menurunkan visi menjadi sasaran per fungsi, menetapkan langkah pertama yang dapat dijalankan sekarang meski arah akhir belum pasti, menetapkan tanda peninjauan, dan mengenali mengapa sebagian visi tidak pernah menggerakkan siapa pun.</t>
  </si>
  <si>
    <t>Sertifikat; 1 arah strategis yang diturunkan menjadi langkah per fungsi untuk minimal 3 fungsi. Termasuk penilaian oleh Direksi dan Fungsi Pengguna.</t>
  </si>
  <si>
    <t>Arah diturunkan DAN langkah turunannya dijalankan oleh minimal 2 fungsi. Pengguna mengonfirmasi turunan itu membantu mereka menentukan tindakan, dengan skor ≥4 (skala 1–5). Dokumen yang hanya dipresentasikan tidak dihitung.</t>
  </si>
  <si>
    <t>Micro-learning "Mengapa Visi Tidak Menggerakkan"</t>
  </si>
  <si>
    <t>Mengenali sebab sebuah arah strategis tidak diikuti siapa pun.</t>
  </si>
  <si>
    <t>Selesaikan modul: visi yang terlalu umum untuk diterjemahkan, arah yang bertabrakan dengan ukuran kinerja yang berlaku, ketiadaan langkah pertama, dan mengapa orang tetap menunggu meski arah sudah disampaikan.</t>
  </si>
  <si>
    <t>Sertifikat; analisis 3 arah strategis yang pernah disampaikan organisasi dan tidak diikuti, beserta sebabnya. Termasuk penilaian oleh Direksi.</t>
  </si>
  <si>
    <t>Ketiga analisis menyebutkan sebab yang spesifik dan dapat diperiksa. Minimal 2 perbaikan diterapkan pada arah yang peserta sampaikan sendiri, dan pengaruhnya terlihat pada log peserta dalam aktivitas ini.</t>
  </si>
  <si>
    <t>Menguji apakah fungsi yang dipimpin peserta benar-benar bergerak.</t>
  </si>
  <si>
    <t>Bentuk forum 3–4 peer SETINGKAT ditambah 1 mentor berjenjang Director. Setiap 2 bulan, satu peserta memaparkan bagaimana ia menjaga fungsi atau divisi tetap bergerak pada periode arah strategis belum jelas. Peserta lain BERTUGAS menantang satu hal: apakah orang-orangnya benar-benar bergerak, atau hanya tidak mengeluh. Pemapar wajib membawa bukti dari pihak yang dipimpinnya.</t>
  </si>
  <si>
    <t>Minimal 5 dari 6 sesi terlaksana. Pada 2 pemaparan sendiri, peserta menyajikan bukti dari pihak yang dipimpin — bukan penilaian dirinya sendiri. Milestone bulan ke-6: 3 sesi.</t>
  </si>
  <si>
    <t>Lakukan minimal 4 sesi mentoring dengan seorang Director atau anggota direksi. Fokus percakapan pada satu hal: bagaimana ia memberi arah kepada organisasi saat ia sendiri belum tahu jawabannya, apa yang ia sampaikan dan apa yang ia tahan, bagaimana ia menjaga orang tetap bekerja, dan arah mana yang ternyata keliru beserta biayanya.</t>
  </si>
  <si>
    <t>4 sesi terlaksana. Minimal 4 pola diterapkan pada situasi nyata dan tercatat dalam dokumentasi peserta. Divalidasi Mentor ≥4 (skala 1–5).</t>
  </si>
  <si>
    <t>Umpan Balik 360° "Arah di Tengah Ketidakjelasan Strategis"</t>
  </si>
  <si>
    <t>Kuesioner pre (bulan 1) dan post (bulan 11) kepada minimal 12 responden, WAJIB mencakup minimal 6 orang dari fungsi DI LUAR unit peserta. Butir MA10: "Ketika arah perusahaan belum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</si>
  <si>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 Termasuk analisis pre-post oleh HC.</t>
  </si>
  <si>
    <t>Kenaikan rata-rata ≥1 poin (skala 1–5). Butir "saya tahu apa yang harus saya kerjakan karena dia" wajib mencapai ≥4 (skala 1–5), termasuk dari responden di luar unit peserta. Penilaian yang hanya bersumber dari unit sendiri tidak sah.</t>
  </si>
  <si>
    <t>Memimpin 1 Fungsi atau Divisi Melewati Periode Ketidakpastian Strategis</t>
  </si>
  <si>
    <t>Membuktikan orang lain tetap bekerja produktif selama arah strategis belum jelas.</t>
  </si>
  <si>
    <t>Pada 1 periode nyata berdurasi minimal 6 bulan di mana arah strategis organisasi belum jelas dan dampaknya luas, pimpin 1 fungsi atau divisi agar tetap bergerak. Tetapkan pekerjaan yang tetap benar apa pun arahnya, sampaikan ketidakpastian secara jujur pada irama yang tetap, dan tinjau ulang setiap ada kabar baru.</t>
  </si>
  <si>
    <t>Dokumentasi periode: apa yang belum jelas, arah yang diberikan, irama komunikasi, keluaran per bulan, dan penyesuaian setiap ada kejelasan baru. Termasuk review oleh Direksi dan konfirmasi Anggota Fungsi.</t>
  </si>
  <si>
    <t>Selama periode itu keluaran fungsi tidak menurun dibanding periode normal. Minimal 80% anggota menyatakan tahu apa yang dikerjakan. Tidak ada pekerjaan yang tertahan lebih dari 2 minggu karena menunggu kejelasan. Milestone bulan ke-6: periode berjalan dan keluaran 3 bulan pertama tercatat.</t>
  </si>
  <si>
    <t>Menyusun 1 Arah Strategis yang Diturunkan dan Dijalankan Minimal 3 Fungsi</t>
  </si>
  <si>
    <t>Menghasilkan arah yang membuat fungsi lain mampu menentukan langkahnya sendiri.</t>
  </si>
  <si>
    <t>Susun 1 arah strategis untuk area bisnis yang menjadi tanggung jawab peserta, pada persoalan yang arah akhirnya belum pasti. Turunkan menjadi sasaran dan langkah pertama untuk minimal 3 fungsi. Peserta mendampingi pada penurunan pertama, lalu menarik diri. Pantau apakah ketiga fungsi benar-benar bergerak.</t>
  </si>
  <si>
    <t>Dokumen arah strategis dan turunannya per fungsi; bukti pelaksanaan oleh ketiga fungsi tanpa kehadiran peserta; umpan balik pelaksana. Termasuk penilaian oleh Direksi dan Fungsi Pelaksana.</t>
  </si>
  <si>
    <t>Arah diturunkan dan dijalankan oleh minimal 3 fungsi TANPA kehadiran peserta selama minimal 3 bulan. Pelaksana menilai ≥4 (skala 1–5) pada kejelasan langkah yang harus mereka ambil. Arah yang hanya disetujui dan dipresentasikan tidak dihitung.</t>
  </si>
  <si>
    <t>Direksi dan Fungsi Pelaksana</t>
  </si>
  <si>
    <t>Mengubah 1 Ketidakpastian Besar Menjadi Posisi Kepeloporan</t>
  </si>
  <si>
    <t>Menjadikan ketidakpastian yang sedang berlangsung sebagai dasar langkah yang mendahului pesaing.</t>
  </si>
  <si>
    <t>Pilih 1 ketidakpastian besar yang sedang dihadapi industri atau organisasi — arah regulasi, teknologi, atau pasar yang belum jelas bagi semua pemain. Rumuskan langkah strategis yang justru memanfaatkan ketidakjelasan itu, ajukan kepada direksi, dan pimpin pelaksanaan minimal 1 tahap dengan pelaksana di luar diri peserta.</t>
  </si>
  <si>
    <t>Dokumen usulan; risalah persetujuan direksi; bukti pelaksanaan tahap pertama; catatan pihak yang digerakkan. Termasuk penilaian oleh Direksi.</t>
  </si>
  <si>
    <t>Langkah diajukan dan disetujui Direksi. Minimal 1 tahap dijalankan dalam periode program, dengan pelaksana di luar peserta sendiri. Direksi menilai ≥4 (skala 1–5) pada ketajaman pembacaan peluang dan pada kemampuan menggerakkan pihak lain menjalankannya.</t>
  </si>
  <si>
    <t>Teamwork</t>
  </si>
  <si>
    <t>Log "Yang Saya Dengar vs Yang Sebenarnya Dimaksud"</t>
  </si>
  <si>
    <t>Melatih memeriksa apakah yang didengar sesuai dengan yang dimaksud pembicara.</t>
  </si>
  <si>
    <t>Setiap kali seseorang menjelaskan, mengeluh, atau memberi masukan kepada peserta, sebelum menanggapi, rangkum kembali dengan kata peserta sendiri dan tanyakan "apakah maksud Anda seperti ini?". Catat: apa yang peserta dengar pertama kali, apakah rangkuman itu dibenarkan, dan apa yang meleset bila ada.</t>
  </si>
  <si>
    <t>Log minimal 36 percakapan; rekap triwulanan persentase rangkuman yang dibenarkan tanpa koreksi. Termasuk review rekap triwulanan oleh Mentor.</t>
  </si>
  <si>
    <t>Minimal 36 percakapan tercatat. Persentase rangkuman yang dibenarkan tanpa koreksi naik dari baseline triwulan 1 menjadi ≥75% pada triwulan 4. Milestone bulan ke-6: 18 percakapan.</t>
  </si>
  <si>
    <t>Jurnal "Nada dan Emosi di Balik Kata"</t>
  </si>
  <si>
    <t>Melatih menangkap emosi yang tidak diucapkan secara eksplisit.</t>
  </si>
  <si>
    <t>Setiap minggu, pilih 1 percakapan kerja dan catat: apa yang dikatakan secara literal, dan apa emosi atau nada yang peserta tangkap di baliknya (frustrasi, ragu, antusias, dan lainnya). Verifikasi bacaan itu kepada orangnya bila memungkinkan.</t>
  </si>
  <si>
    <t>Jurnal mingguan minimal 20 minggu. Termasuk verifikasi oleh Mentor.</t>
  </si>
  <si>
    <t>Minimal 20 entri. Minimal 12 diverifikasi kepada orangnya, dengan minimal 8 dibenarkan sebagai bacaan yang tepat.</t>
  </si>
  <si>
    <t>Latihan "Menunda Menanggapi 5 Detik"</t>
  </si>
  <si>
    <t>Melatih benar-benar selesai mendengar sebelum merumuskan tanggapan.</t>
  </si>
  <si>
    <t>Setiap kali seseorang berbicara kepada peserta, tunda 5 detik sebelum menanggapi — gunakan waktu itu untuk memastikan peserta benar-benar mendengar seluruh yang dikatakan, bukan menyiapkan jawaban sambil mereka masih bicara. Catat pengalaman ini pada 20 kesempatan.</t>
  </si>
  <si>
    <t>Log 20 kesempatan; refleksi apa yang berubah dari kebiasaan menyiapkan jawaban lebih dulu. Termasuk verifikasi oleh Mentor.</t>
  </si>
  <si>
    <t>Minimal 20 kesempatan tercatat. Peserta mampu menyebutkan minimal 3 contoh di mana menunda membuatnya menangkap sesuatu yang terlewat bila langsung menanggapi.</t>
  </si>
  <si>
    <t>Pelatihan Active &amp; Empathetic Listening</t>
  </si>
  <si>
    <t>Menguasai teknik dasar mendengarkan aktif dan empatik.</t>
  </si>
  <si>
    <t>Ikuti pelatihan tentang perbedaan mendengarkan aktif vs pasif, teknik parafrase dan klarifikasi. Praktikkan pada minimal 3 situasi kerja nyata dan dokumentasikan.</t>
  </si>
  <si>
    <t>Sertifikat; 3 dokumentasi praktik nyata. Termasuk penilaian oleh Fasilitator dan Atasan.</t>
  </si>
  <si>
    <t>Mendemonstrasikan minimal 2 teknik dalam role-play. Ketiga praktik nyata dikonfirmasi lawan bicara sebagai benar-benar didengarkan.</t>
  </si>
  <si>
    <t>Workshop Dasar-Dasar Kerja Tim (Kendaraan Konteks)</t>
  </si>
  <si>
    <t>Memahami mengapa mendengarkan penting dalam sinergi tim.</t>
  </si>
  <si>
    <t>Ikuti workshop tentang konsep sinergi tim dan peran kontribusi individu, dengan penekanan khusus pada bagian active &amp; empathetic listening yang menjadi fondasi keterlibatan tulus.</t>
  </si>
  <si>
    <t>Lembar kerja simulasi; post-test. Termasuk penilaian oleh Fasilitator.</t>
  </si>
  <si>
    <t>Skor post-test minimal 70 (skala 0–100). Peserta mampu menjelaskan mengapa mendengarkan adalah fondasi kontribusi tim, bukan sekadar berbicara.</t>
  </si>
  <si>
    <t>Micro-learning "Merangkum Tanpa Menambah atau Mengurangi"</t>
  </si>
  <si>
    <t>Melatih merangkum secara akurat tanpa bias pribadi.</t>
  </si>
  <si>
    <t>Selesaikan modul tentang teknik merangkum yang setia pada maksud pembicara, mengenali kecenderungan menambahkan opini sendiri saat merangkum, dan cara memeriksa akurasi rangkuman.</t>
  </si>
  <si>
    <t>Sertifikat; 5 latihan merangkum dari rekaman atau transkrip percakapan nyata. Termasuk verifikasi oleh Mentor.</t>
  </si>
  <si>
    <t>Minimal 4 dari 5 rangkuman dinilai Mentor setia pada maksud asli, tanpa penambahan atau pengurangan yang mengubah makna.</t>
  </si>
  <si>
    <t>Feedback Terstruktur tentang Kualitas Mendengarkan dari Rekan Tim</t>
  </si>
  <si>
    <t>Mendapatkan gambaran nyata tentang bagaimana kualitas mendengarkan dipersepsikan.</t>
  </si>
  <si>
    <t>Minta feedback terstruktur dari minimal 3 rekan tim khusus tentang kualitas mendengarkan peserta — bukan tentang kontribusi secara umum. Diskusikan hasilnya dengan atasan.</t>
  </si>
  <si>
    <t>Formulir feedback terisi; catatan area perbaikan. Termasuk umpan balik dari Rekan Tim dan Atasan.</t>
  </si>
  <si>
    <t>Minimal 3 formulir terkumpul. Peserta mengidentifikasi minimal 2 area perbaikan spesifik tentang kualitas mendengarkan, bukan kontribusi umum.</t>
  </si>
  <si>
    <t>Rekan Tim dan Atasan</t>
  </si>
  <si>
    <t>Paired Listening dengan Rekan Senior</t>
  </si>
  <si>
    <t>Mempelajari cara rekan senior mendengarkan dengan kualitas tinggi.</t>
  </si>
  <si>
    <t>Berpasangan dengan 1 rekan senior selama 6 minggu. Amati secara khusus: bagaimana ia mendengarkan saat rapat atau diskusi — apakah ia mengklarifikasi, merangkum, atau menangkap emosi orang lain.</t>
  </si>
  <si>
    <t>Catatan pembelajaran mingguan. Termasuk verifikasi oleh Rekan Senior.</t>
  </si>
  <si>
    <t>Peserta mengidentifikasi minimal 3 perilaku mendengarkan konkret yang diadopsi dari rekan senior, dengan bukti penerapan pada log peserta dalam aktivitas ini.</t>
  </si>
  <si>
    <t>Diskusi Rutin Tim dengan Peran Khusus Mendengarkan</t>
  </si>
  <si>
    <t>Melatih mendengarkan dalam forum tim yang sesungguhnya.</t>
  </si>
  <si>
    <t>Hadiri diskusi rutin tim minimal 2 kali per bulan. Pada setengah dari sesi itu, ambil peran khusus: merangkum apa yang disampaikan rekan sebelum memberikan tanggapan sendiri.</t>
  </si>
  <si>
    <t>Log kehadiran; catatan rangkuman yang dibuat dalam forum. Termasuk verifikasi oleh Atasan.</t>
  </si>
  <si>
    <t>Hadir minimal 80% dari total sesi. Pada sesi dengan peran merangkum, minimal 80% rangkuman dibenarkan oleh rekan yang bicara.</t>
  </si>
  <si>
    <t>Mendengarkan dan Memverifikasi Pemahaman pada 20 Situasi Kerja Nyata</t>
  </si>
  <si>
    <t>Membuktikan kualitas mendengarkan pada volume yang cukup untuk menunjukkan konsistensi.</t>
  </si>
  <si>
    <t>Pada 20 situasi kerja nyata — menerima keluhan, instruksi, masukan, atau ide — dengarkan penuh, klarifikasi bila perlu, dan verifikasi pemahaman peserta kepada pembicara sebelum bertindak.</t>
  </si>
  <si>
    <t>20 dokumentasi situasi dengan verifikasi pemahaman. Termasuk review bulan ke-6 oleh Atasan.</t>
  </si>
  <si>
    <t>20 situasi tercatat. Minimal 16 verifikasi dibenarkan tanpa koreksi berarti oleh pembicara. Milestone bulan ke-6: 10 situasi.</t>
  </si>
  <si>
    <t>Menangkap Emosi Tersembunyi pada 5 Situasi dan Merespons Tepat</t>
  </si>
  <si>
    <t>Menguji kepekaan pada emosi yang tidak diucapkan secara eksplisit.</t>
  </si>
  <si>
    <t>Pada 5 situasi kerja nyata, tangkap emosi yang tidak diucapkan secara eksplisit oleh rekan atau atasan, dan berikan respons yang sesuai dengan emosi itu — bukan hanya isi literalnya.</t>
  </si>
  <si>
    <t>5 dokumentasi: apa yang diucapkan, emosi yang ditangkap, respons yang diberikan, konfirmasi dari orangnya. Termasuk konfirmasi oleh Orang yang Bersangkutan.</t>
  </si>
  <si>
    <t>Minimal 4 dari 5 bacaan emosi dikonfirmasi tepat oleh orangnya, dan respons yang diberikan dinilai sesuai, dengan skor ≥4 (skala 1–5).</t>
  </si>
  <si>
    <t>Orang yang Bersangkutan</t>
  </si>
  <si>
    <t>Membantu Forum Tim Mencapai Kesepakatan dengan Merangkum Pandangan Berbeda</t>
  </si>
  <si>
    <t>Menguji apakah mendengarkan dapat dipakai untuk membantu kelompok mencapai kesepakatan.</t>
  </si>
  <si>
    <t>Pada 1 forum tim yang menghadapi pandangan berbeda, gunakan keterampilan mendengarkan untuk merangkum setiap pandangan secara adil, dan bantu forum menemukan titik temu berdasarkan rangkuman itu.</t>
  </si>
  <si>
    <t>1 dokumentasi forum: pandangan yang muncul, rangkuman yang dibuat, dan kesepakatan yang tercapai. Termasuk penilaian oleh Peserta Forum dan Atasan.</t>
  </si>
  <si>
    <t>Forum mencapai kesepakatan yang dibantu oleh rangkuman peserta. Minimal 2 peserta forum mengonfirmasi merasa didengar dan dipahami dengan tepat, dengan skor ≥4 (skala 1–5).</t>
  </si>
  <si>
    <t>Peserta Forum dan Atasan</t>
  </si>
  <si>
    <t>Log "Penyesuaian Gaya dan Hasilnya"</t>
  </si>
  <si>
    <t>Melatih menyesuaikan cara berinteraksi sesuai gaya kerja lawan.</t>
  </si>
  <si>
    <t>Setiap kali berkolaborasi dengan rekan yang gaya kerjanya jelas berbeda dari peserta, catat: apa perbedaannya, penyesuaian apa yang peserta lakukan, dan apakah kolaborasi itu berjalan lebih lancar karenanya.</t>
  </si>
  <si>
    <t>Log minimal 24 kolaborasi; rekap triwulanan proporsi yang berjalan lebih lancar setelah penyesuaian. Termasuk review rekap triwulanan oleh Mentor.</t>
  </si>
  <si>
    <t>Minimal 24 kolaborasi tercatat. Proporsi yang membaik setelah penyesuaian naik menjadi ≥70% pada triwulan 4. Milestone bulan ke-6: 12 kolaborasi.</t>
  </si>
  <si>
    <t>Studi Kasus Mandiri: Kolaborasi dengan Karakter Berbeda</t>
  </si>
  <si>
    <t>Membangun kesadaran tentang gaya kerja berbeda di lingkungan kerja.</t>
  </si>
  <si>
    <t>Identifikasi 3 rekan dengan gaya kerja berbeda satu sama lain. Untuk masing-masing, tuliskan karakteristik gaya kerjanya, tantangan yang pernah dialami, dan strategi paling efektif untuk berkolaborasi dengannya.</t>
  </si>
  <si>
    <t>Dokumen analisis profil kolaborasi untuk 3 rekan.</t>
  </si>
  <si>
    <t>Profil tersusun dengan analisis spesifik. Strategi yang diusulkan diuji pada kolaborasi nyata dan terbukti dapat diterapkan.</t>
  </si>
  <si>
    <t>Refleksi "Nilai Tambah dari Perbedaan"</t>
  </si>
  <si>
    <t>Menemukan hasil yang lebih baik karena adanya perbedaan, bukan sekadar berhasil dilewati.</t>
  </si>
  <si>
    <t>Setiap bulan, ambil 1 kolaborasi lintas gaya kerja atau latar belakang. Telusuri: apakah hasilnya lebih baik KARENA perbedaan itu — misalnya ide yang tidak akan muncul bila semua orang serupa — atau hanya berhasil dilewati tanpa nilai tambah.</t>
  </si>
  <si>
    <t>Minimal 10 dari 12 refleksi selesai. Minimal 4 menunjukkan nilai tambah yang jelas dari perbedaan, bukan sekadar kolaborasi yang berhasil.</t>
  </si>
  <si>
    <t>Pelatihan Mengenali Gaya Kerja/Personality</t>
  </si>
  <si>
    <t>Menguasai kerangka mengenali gaya kerja diri sendiri dan orang lain.</t>
  </si>
  <si>
    <t>Ikuti pelatihan tentang model gaya kerja (DISC atau setara). Latihan mengenali gaya kerja diri sendiri dan minimal 3 rekan, serta strategi adaptasi komunikasi.</t>
  </si>
  <si>
    <t>Hasil asesmen gaya kerja pribadi; lembar kerja adaptasi.</t>
  </si>
  <si>
    <t>Peserta mampu mengidentifikasi gaya kerjanya sendiri dan minimal 3 rekan dengan tepat, dikonfirmasi Fasilitator atau rekan yang bersangkutan.</t>
  </si>
  <si>
    <t>E-Learning Kolaborasi Lintas Departemen</t>
  </si>
  <si>
    <t>Memahami prinsip kolaborasi lintas fungsi sebagai arena keberagaman.</t>
  </si>
  <si>
    <t>Selesaikan modul tentang kolaborasi lintas departemen. Buat ringkasan 3 insight dan rencana penerapan yang secara khusus menyebutkan bagaimana perbedaan gaya kerja akan dikelola.</t>
  </si>
  <si>
    <t>Sertifikat; ringkasan insight dan rencana penerapan.</t>
  </si>
  <si>
    <t>Modul selesai 100%. Rencana penerapan menyebutkan secara spesifik perbedaan gaya kerja yang akan dihadapi dan cara mengelolanya.</t>
  </si>
  <si>
    <t>Workshop Memanfaatkan Perbedaan sebagai Sumber Ide</t>
  </si>
  <si>
    <t>Menguasai cara mengubah perbedaan pandangan menjadi solusi yang lebih baik.</t>
  </si>
  <si>
    <t>Ikuti workshop tentang bagaimana tim dengan latar belakang beragam menghasilkan solusi yang lebih kaya dibanding tim yang homogen, dan teknik memfasilitasi supaya perbedaan itu benar-benar dimanfaatkan.</t>
  </si>
  <si>
    <t>1 contoh kasus nyata yang disusun ulang menggunakan teknik itu.</t>
  </si>
  <si>
    <t>Contoh kasus menunjukkan solusi yang lebih baik karena melibatkan sudut pandang berbeda, dinilai Fasilitator ≥4 (skala 1–5).</t>
  </si>
  <si>
    <t>Job Shadowing dengan Rekan dari Unit Lain</t>
  </si>
  <si>
    <t>Memahami cara kerja, prioritas, dan gaya unit lain secara langsung.</t>
  </si>
  <si>
    <t>Lakukan job shadowing 2 hari dengan rekan dari unit yang sering berinteraksi dengan pekerjaan peserta. Amati gaya kerja, prioritas, dan cara berkomunikasi mereka yang berbeda dari unit peserta.</t>
  </si>
  <si>
    <t>Laporan hasil shadowing.</t>
  </si>
  <si>
    <t>Laporan menunjukkan insight baru tentang gaya kerja unit lain yang sebelumnya tidak disadari.</t>
  </si>
  <si>
    <t>Rekan yang Di-shadow</t>
  </si>
  <si>
    <t>Mentoring: Kolaborasi dengan Karakter Sulit</t>
  </si>
  <si>
    <t>Mendapatkan strategi dari senior tentang berkolaborasi dengan gaya kerja yang menantang.</t>
  </si>
  <si>
    <t>Sesi mentoring dengan rekan senior tentang pengalaman berkolaborasi dengan berbagai karakter, dan strategi yang terbukti efektif memanfaatkan perbedaan itu.</t>
  </si>
  <si>
    <t>Catatan hasil mentoring; rencana aksi.</t>
  </si>
  <si>
    <t>Sesi terlaksana dan menghasilkan rencana aksi yang diterapkan pada kolaborasi nyata peserta dalam aktivitas ini.</t>
  </si>
  <si>
    <t>Forum Lintas Unit: Sharing Tantangan &amp; Solusi Bersama</t>
  </si>
  <si>
    <t>Menguji apakah perbedaan sudut pandang lintas unit menghasilkan solusi bersama yang lebih baik.</t>
  </si>
  <si>
    <t>Berpartisipasi aktif dalam forum lintas unit. Sampaikan minimal 1 tantangan dari unit peserta dan berkontribusi pada solusi untuk tantangan unit lain, dengan fokus pada solusi yang lahir dari menggabungkan sudut pandang berbeda.</t>
  </si>
  <si>
    <t>Catatan partisipasi forum.</t>
  </si>
  <si>
    <t>Hadir dan berkontribusi aktif. Minimal 1 solusi yang dihasilkan forum dikonfirmasi lahir dari kombinasi sudut pandang lintas unit, bukan satu pihak saja.</t>
  </si>
  <si>
    <t>Fasilitator Forum</t>
  </si>
  <si>
    <t>Berkolaborasi Efektif dengan 6 Pihak Berbeda Gaya Kerja atau Latar Belakang</t>
  </si>
  <si>
    <t>Membuktikan kolaborasi yang produktif meski gaya kerja atau latar belakang berbeda.</t>
  </si>
  <si>
    <t>Sepanjang program, berkolaborasi secara aktif dengan 6 pihak yang gaya kerja, fungsi, atau latar belakangnya jelas berbeda dari peserta. Untuk masing-masing, catat penyesuaian yang dilakukan dan hasil kolaborasinya.</t>
  </si>
  <si>
    <t>6 dokumentasi kolaborasi dengan penyesuaian dan hasil. Termasuk review bulan ke-6 oleh Atasan.</t>
  </si>
  <si>
    <t>6 kolaborasi terlaksana dengan penyesuaian gaya yang jelas. Minimal 5 dinilai Atasan berjalan produktif. Milestone bulan ke-6: 3 kolaborasi.</t>
  </si>
  <si>
    <t>Menghasilkan 2 Solusi yang Lebih Baik karena Perbedaan Sudut Pandang</t>
  </si>
  <si>
    <t>Membuktikan bahwa perbedaan benar-benar menghasilkan nilai tambah, bukan sekadar dilewati.</t>
  </si>
  <si>
    <t>Pada 2 kesempatan nyata, gabungkan sudut pandang dari pihak dengan latar belakang atau gaya kerja berbeda untuk menghasilkan solusi yang LEBIH BAIK daripada bila dikerjakan sendiri atau dengan orang yang serupa. Buktikan mengapa solusi itu lebih baik karena perbedaannya.</t>
  </si>
  <si>
    <t>2 dokumentasi: solusi yang dihasilkan, sudut pandang yang berkontribusi, dan alasan solusi itu lebih baik.</t>
  </si>
  <si>
    <t>Kedua solusi dikonfirmasi Atasan sebagai lebih baik KARENA melibatkan sudut pandang berbeda — bukan solusi yang sama saja yang kebetulan dikerjakan bersama orang berbeda. Skor ≥4 (skala 1–5).</t>
  </si>
  <si>
    <t>Membantu 1 Rekan Menyesuaikan Diri dengan Pihak yang Gaya Kerjanya Berbeda</t>
  </si>
  <si>
    <t>Menguji apakah kemampuan menyesuaikan gaya dapat dibagikan kepada orang lain.</t>
  </si>
  <si>
    <t>Identifikasi 1 rekan yang kesulitan berkolaborasi dengan pihak bergaya kerja berbeda. Bantu ia memahami perbedaan itu dan menyesuaikan pendekatannya.</t>
  </si>
  <si>
    <t>1 catatan pendampingan; hasil kolaborasi rekan setelah dibantu.</t>
  </si>
  <si>
    <t>Rekan mengonfirmasi kolaborasinya membaik setelah dibantu, dengan skor ≥4 (skala 1–5).</t>
  </si>
  <si>
    <t>Log "Pendapat Berbeda yang Saya Beri Ruang"</t>
  </si>
  <si>
    <t>Mengukur seberapa sering pendapat berbeda diberi ruang untuk disampaikan.</t>
  </si>
  <si>
    <t>Setiap kali seseorang menyampaikan pendapat yang berbeda dari peserta, catat: apa pendapatnya, apakah peserta memberinya ruang penuh untuk menjelaskan sebelum menanggapi, dan bagaimana peserta menunjukkan bahwa pendapat itu dipertimbangkan serius — TERLEPAS dari apakah akhirnya dipakai.</t>
  </si>
  <si>
    <t>Log minimal 24 kejadian; rekap triwulanan proporsi yang diberi ruang penuh. Termasuk review rekap triwulanan oleh Mentor.</t>
  </si>
  <si>
    <t>Minimal 24 kejadian tercatat. Proporsi yang diberi ruang penuh naik menjadi ≥80% pada triwulan 4. Milestone bulan ke-6: 12 kejadian.</t>
  </si>
  <si>
    <t>Jurnal Merespons Pendapat yang Berbeda dalam Pengambilan Keputusan</t>
  </si>
  <si>
    <t>Melatih memisahkan sikap menghargai dari keputusan akhir yang diambil.</t>
  </si>
  <si>
    <t>Catat situasi di mana terdapat perbedaan opini dalam pengambilan keputusan bersama. Tuliskan: opini yang muncul, respons yang peserta berikan, apakah pemilik opini merasa dihargai — dan CATAT SECARA TERPISAH apakah opini itu akhirnya dipakai dalam keputusan.</t>
  </si>
  <si>
    <t>Jurnal minimal 15 situasi.</t>
  </si>
  <si>
    <t>Minimal 15 situasi tercatat dengan kedua hal dipisahkan secara eksplisit. Pada minimal 5 kasus, opini yang TIDAK dipakai tetap dikonfirmasi pemiliknya sebagai dihargai dan didengar.</t>
  </si>
  <si>
    <t>Pre-Mortem Exercise sebelum Keputusan Tim</t>
  </si>
  <si>
    <t>Melatih secara aktif menggali kekhawatiran dan pendapat berbeda sebelum keputusan difinalisasi.</t>
  </si>
  <si>
    <t>Sebelum keputusan penting tim difinalisasi, inisiasi diskusi: "apa yang bisa salah dari keputusan ini?" Fasilitasi agar semua anggota menyampaikan kekhawatiran atau opini alternatif. Dokumentasikan opini yang muncul dan bagaimana peserta menunjukkan bahwa opini itu dipertimbangkan serius.</t>
  </si>
  <si>
    <t>Minimal 6 dokumentasi pre-mortem sepanjang program.</t>
  </si>
  <si>
    <t>Minimal 6 sesi terlaksana. Pada setiap sesi, seluruh peserta mengonfirmasi merasa didengar, terlepas dari opini mana yang akhirnya menang.</t>
  </si>
  <si>
    <t>Pelatihan Memberi dan Menerima Masukan secara Konstruktif</t>
  </si>
  <si>
    <t>Menguasai cara merespons pendapat berbeda tanpa defensif atau menolak.</t>
  </si>
  <si>
    <t>Ikuti pelatihan tentang menerima opini berbeda tanpa defensif, cara merespons tanpa menolak, dan menghargai pandangan yang tidak sesuai. Sertakan role-play.</t>
  </si>
  <si>
    <t>Lembar refleksi; hasil role-play.</t>
  </si>
  <si>
    <t>Peserta dapat mendemonstrasikan respons non-defensif dalam role-play, dinilai Fasilitator ≥4 (skala 1–5).</t>
  </si>
  <si>
    <t>Workshop Design Thinking — Tahap Ideate sebagai Latihan Memberi Ruang</t>
  </si>
  <si>
    <t>Melatih memberi ruang pada berbagai ide sebelum menyaring.</t>
  </si>
  <si>
    <t>Ikuti workshop design thinking, dengan fokus pada tahap IDEATE: bagaimana memberi ruang pada semua ide yang muncul, termasuk yang tampak tidak biasa, sebelum menyaringnya.</t>
  </si>
  <si>
    <t>Lembar kerja tahapan design thinking.</t>
  </si>
  <si>
    <t>Lembar kerja menunjukkan minimal 5 ide yang diberi ruang pada tahap ideate sebelum disaring, termasuk ide yang akhirnya tidak dipakai.</t>
  </si>
  <si>
    <t>E-Learning Inclusive Decision Making</t>
  </si>
  <si>
    <t>Memahami cara memastikan semua pihak merasa didengar dalam keputusan bersama.</t>
  </si>
  <si>
    <t>Selesaikan modul tentang inclusive decision making, dengan fokus pada cara memastikan semua suara didengar — terpisah dari teknik mengintegrasikan opini ke keputusan (yang merupakan materi berbeda).</t>
  </si>
  <si>
    <t>Sertifikat; ringkasan insight.</t>
  </si>
  <si>
    <t>Skor kuis minimal 75% (skala 0–100). Ringkasan secara eksplisit membedakan "memberi ruang untuk didengar" dari "memasukkan opini ke keputusan".</t>
  </si>
  <si>
    <t>Feedback Log dari Presentasi &amp; Diskusi Harian</t>
  </si>
  <si>
    <t>Mengukur apakah opini yang berbeda benar-benar dipertimbangkan serius, dikonfirmasi pemiliknya.</t>
  </si>
  <si>
    <t>Setiap presentasi atau diskusi yang melibatkan pihak lain, catat opini yang berbeda yang muncul dan TANYAKAN kepada pemiliknya: apakah mereka merasa didengar dan dipertimbangkan serius.</t>
  </si>
  <si>
    <t>Log minimal 15 entri dengan konfirmasi pemilik opini.</t>
  </si>
  <si>
    <t>Minimal 15 entri dengan konfirmasi langsung dari pemilik opini. Minimal 12 mengonfirmasi merasa didengar dan dihargai.</t>
  </si>
  <si>
    <t>Pemilik Opini</t>
  </si>
  <si>
    <t>Mentoring dengan Pemimpin Cross-Functional</t>
  </si>
  <si>
    <t>Mempelajari cara senior memberi ruang pada opini yang berbeda dari arah yang ia yakini.</t>
  </si>
  <si>
    <t>Sesi mentoring dengan pemimpin yang efektif dalam koordinasi lintas fungsi. Tanyakan: bagaimana ia memberi ruang kepada opini yang berbeda dari arah yang ia yakini benar, meski akhirnya tidak dipakai.</t>
  </si>
  <si>
    <t>Catatan hasil mentoring.</t>
  </si>
  <si>
    <t>Sesi terlaksana dan menghasilkan minimal 1 prinsip konkret tentang memberi ruang, diterapkan pada log peserta dalam aktivitas ini.</t>
  </si>
  <si>
    <t>Pemimpin Cross-Functional</t>
  </si>
  <si>
    <t>Sesi Kalibrasi Pandangan dengan Rekan Lintas Unit</t>
  </si>
  <si>
    <t>Melatih secara aktif mendengarkan sudut pandang unit lain sebelum keputusan diambil.</t>
  </si>
  <si>
    <t>Inisiasi sesi diskusi informal dengan rekan dari unit lain sebelum sebuah keputusan diambil. Tujuan utamanya BUKAN mencari kesepakatan, melainkan memastikan sudut pandang mereka didengar dan dipertimbangkan secara serius.</t>
  </si>
  <si>
    <t>Catatan sesi kalibrasi.</t>
  </si>
  <si>
    <t>Minimal 3 sesi terlaksana. Rekan lintas unit mengonfirmasi sudut pandang mereka didengar secara serius, dengan skor ≥4 (skala 1–5), terlepas dari keputusan akhirnya.</t>
  </si>
  <si>
    <t>Rekan Lintas Unit</t>
  </si>
  <si>
    <t>Memfasilitasi 6 Sesi Pengambilan Keputusan yang Memberi Ruang pada Opini Berbeda</t>
  </si>
  <si>
    <t>Membuktikan pola memberi ruang dan respek pada opini berbeda secara konsisten.</t>
  </si>
  <si>
    <t>Pimpin 6 sesi pengambilan keputusan tim sepanjang program. Pastikan setiap anggota menyampaikan opininya dan merasa dipertimbangkan secara serius — dokumentasikan proses pemberian ruang itu, terpisah dari keputusan akhir yang diambil.</t>
  </si>
  <si>
    <t>6 laporan fasilitasi dengan verifikasi dari peserta. Termasuk review bulan ke-6 oleh Atasan.</t>
  </si>
  <si>
    <t>6 sesi terfasilitasi. Pada setiap sesi, minimal 80% peserta mengonfirmasi opininya didengar dan dipertimbangkan serius — terlepas dari opini siapa yang akhirnya menang. Milestone bulan ke-6: 3 sesi.</t>
  </si>
  <si>
    <t>Menerima dan Menjalankan 1 Usulan yang Berbeda dari Pendapat Sendiri</t>
  </si>
  <si>
    <t>Membuktikan keterbukaan menerima usulan pihak lain, bukan sekadar mendengarkan.</t>
  </si>
  <si>
    <t>Identifikasi 1 usulan dari pihak lain yang berbeda dari pendapat peserta sendiri. Terima, pertimbangkan serius, dan jalankan usulan itu — dokumentasikan proses pertimbangan dan hasilnya.</t>
  </si>
  <si>
    <t>1 laporan: usulan yang diterima, proses pertimbangan, hasil pelaksanaan.</t>
  </si>
  <si>
    <t>Usulan dijalankan. Pengusul mengonfirmasi merasa dihargai sepanjang proses, dengan skor ≥4 (skala 1–5).</t>
  </si>
  <si>
    <t>Atasan dan Pengusul</t>
  </si>
  <si>
    <t>Menjaga 1 Anggota Tim yang Pendapatnya Sering Tidak Terpakai Tetap Merasa Dihargai</t>
  </si>
  <si>
    <t>Menguji apakah rasa dihargai dapat dipertahankan meski pendapat berulang kali tidak dipakai.</t>
  </si>
  <si>
    <t>Identifikasi 1 anggota tim yang pendapatnya sering berbeda dan sering tidak dipakai dalam keputusan akhir. Selama minimal 3 bulan, pastikan ia tetap merasa dihargai dan diberi ruang setiap kali berpendapat, meski keputusan akhirnya tetap berbeda.</t>
  </si>
  <si>
    <t>Dokumentasi 3 bulan interaksi; konfirmasi dari anggota tim tersebut.</t>
  </si>
  <si>
    <t>Anggota tim mengonfirmasi tetap merasa dihargai dan bersedia terus menyampaikan pendapat, meski pendapatnya sering tidak dipakai, dengan skor ≥4 (skala 1–5).</t>
  </si>
  <si>
    <t>Anggota Tim yang Bersangkutan</t>
  </si>
  <si>
    <t>Log "Pendekatan Tim yang Belum Terbukti, yang Kami Coba"</t>
  </si>
  <si>
    <t>Mencatat uji coba pendekatan kerja tim yang risikonya dihitung lebih dulu.</t>
  </si>
  <si>
    <t>Setiap kali tim peserta mencoba cara kerja, format kolaborasi, atau pendekatan baru yang belum terbukti, catat SEBELUM mencoba: apa yang bisa hilang bila gagal, batas kerugian yang dapat diterima, dan siapa di tim yang terlibat. Setelah dijalankan, catat hasilnya apa adanya.</t>
  </si>
  <si>
    <t>Log minimal 20 uji coba dengan perhitungan risiko di muka. Termasuk review rekap triwulanan oleh Mentor.</t>
  </si>
  <si>
    <t>Minimal 20 uji coba tercatat dengan risiko dihitung SEBELUM dijalankan. Minimal 5 gagal, dengan kerugian tetap dalam batas yang ditetapkan. Milestone bulan ke-6: 10 uji coba, minimal 2 gagal terkendali.</t>
  </si>
  <si>
    <t>Refleksi "Ide Tim yang Batal Dicoba karena Ragu"</t>
  </si>
  <si>
    <t>Menemukan pola tim yang mundur dari ide yang sebenarnya sudah terukur risikonya.</t>
  </si>
  <si>
    <t>Setiap 3 bulan, ambil 1 ide dari anggota tim yang batal dicoba karena keraguan, padahal risikonya sudah terhitung dan terkendali. Telusuri apa yang membuat tim mundur.</t>
  </si>
  <si>
    <t>4 laporan selesai. Minimal 2 pola keraguan tim teridentifikasi dan turun ≥50% dari baseline.</t>
  </si>
  <si>
    <t>Latihan "Batas Kerugian yang Dapat Diterima Tim"</t>
  </si>
  <si>
    <t>Menetapkan batas kerugian di muka untuk uji coba tim.</t>
  </si>
  <si>
    <t>Untuk 3 kategori pendekatan tim yang sering diusulkan, tetapkan batas kerugian yang dapat diterima sebelum uji coba jenis itu dijalankan berikutnya.</t>
  </si>
  <si>
    <t>3 batas kerugian per kategori. Termasuk persetujuan Atasan.</t>
  </si>
  <si>
    <t>3 batas ditetapkan dan disetujui Atasan. Minimal 2 dipakai pada uji coba tim nyata.</t>
  </si>
  <si>
    <t>Workshop "Mendorong Gagasan Tim yang Berani Dicoba"</t>
  </si>
  <si>
    <t>Menguasai cara mendorong anggota tim mengusulkan DAN mencoba gagasan baru.</t>
  </si>
  <si>
    <t>Ikuti workshop tentang: mendorong anggota tim menyampaikan gagasan, menghitung risiko bersama sebelum mencoba, dan membedakan mendorong gagasan (mengusulkan) dari mendorong eksperimen (mencoba).</t>
  </si>
  <si>
    <t>Sertifikat; 1 rencana uji coba gagasan tim dengan risiko terhitung.</t>
  </si>
  <si>
    <t>Rencana disetujui Atasan dan dijalankan dalam 60 hari.</t>
  </si>
  <si>
    <t>Kursus Online "Merancang Eksperimen Tim Berisiko Terukur"</t>
  </si>
  <si>
    <t>Menyusun uji coba tim yang cukup kecil untuk aman, cukup nyata untuk bermakna.</t>
  </si>
  <si>
    <t>Selesaikan kursus tentang menentukan skala uji coba tim yang tepat, menetapkan kriteria berhenti, dan mengelola ekspektasi anggota tim terhadap kemungkinan gagal.</t>
  </si>
  <si>
    <t>Format uji coba tim yang dipakai peserta dalam aktivitas ini.</t>
  </si>
  <si>
    <t>Format dipakai pada minimal 8 uji coba tim.</t>
  </si>
  <si>
    <t>Micro-learning "Melaporkan Kegagalan Tim secara Terbuka"</t>
  </si>
  <si>
    <t>Melaporkan kegagalan tim tanpa mencari kambing hitam.</t>
  </si>
  <si>
    <t>Selesaikan modul tentang cara menyampaikan kegagalan uji coba tim secara terbuka, membedakan kegagalan pendekatan dari kegagalan individu, dan menarik pembelajaran bersama.</t>
  </si>
  <si>
    <t>3 laporan kegagalan tim yang disampaikan terbuka.</t>
  </si>
  <si>
    <t>3 laporan disampaikan dalam 48 jam sejak diketahui, dinilai Atasan ≥4 (skala 1–5) pada keterbukaan tanpa menyalahkan individu.</t>
  </si>
  <si>
    <t>Menguji apakah risiko uji coba tim yang dihitung memang wajar.</t>
  </si>
  <si>
    <t>Bentuk forum 3–4 peer SETINGKAT ditambah 1 mentor berjenjang Department Head. Setiap bulan, satu peserta membawa 1 rencana uji coba tim beserta perhitungan risikonya.</t>
  </si>
  <si>
    <t>8 sesi (minimal 2 sebagai pembawa rencana).</t>
  </si>
  <si>
    <t>Mendorong 2 Anggota Tim Mengusulkan dan Mencoba Gagasan Baru</t>
  </si>
  <si>
    <t>Menguji apakah dorongan mengusulkan berlanjut menjadi keberanian mencoba.</t>
  </si>
  <si>
    <t>Identifikasi 2 anggota tim yang cenderung menahan gagasan. Dorong masing-masing mengusulkan DAN mencoba 1 gagasan dengan risiko terukur, dampingi hasilnya.</t>
  </si>
  <si>
    <t>2 catatan pendampingan; hasil uji coba anggota tim.</t>
  </si>
  <si>
    <t>Kedua anggota tim mengusulkan dan mencoba gagasannya. Minimal 1 mengonfirmasi merasa lebih berani mencoba setelah didampingi, skor ≥4 (skala 1–5).</t>
  </si>
  <si>
    <t>Umpan Balik 360° "Mendorong Keberanian Mencoba dalam Tim"</t>
  </si>
  <si>
    <t>Mengukur persepsi tim atas keberanian dan pengelolaan risiko peserta.</t>
  </si>
  <si>
    <t>Kuesioner pre (bulan 1) dan post (bulan 11) kepada minimal 8 responden, termasuk tim langsung. Butir CA8: "Ia mendorong kami mencoba gagasan baru, tidak hanya membicarakannya"; "Ia menghitung risiko lebih dulu sebelum mencoba"; "Ia terbuka ketika uji coba tim gagal".</t>
  </si>
  <si>
    <t>Kenaikan rata-rata ≥1 poin (skala 1–5). Butir "mendorong kami mencoba, tidak hanya membicarakannya" wajib naik ≥1 poin (skala 1–5).</t>
  </si>
  <si>
    <t>Menjalankan 6 Uji Coba Pendekatan Tim Berisiko Terukur</t>
  </si>
  <si>
    <t>Membuktikan keberanian mencoba pendekatan tim dengan risiko terhitung dan dikelola.</t>
  </si>
  <si>
    <t>Jalankan 6 uji coba pendekatan kerja tim yang belum terbukti sepenuhnya, masing-masing dengan risiko dihitung sebelum dijalankan. Laporkan hasilnya apa adanya, termasuk yang gagal.</t>
  </si>
  <si>
    <t>6 laporan uji coba tim. Termasuk review bulan ke-6 oleh Atasan.</t>
  </si>
  <si>
    <t>6 uji coba dijalankan. Minimal 2 gagal dengan kerugian terkendali. Minimal 2 berhasil dan diadopsi sebagai cara kerja tetap. Milestone bulan ke-6: 3 uji coba.</t>
  </si>
  <si>
    <t>Mendorong Tim Mengusulkan dan Mencoba 4 Gagasan Perbaikan</t>
  </si>
  <si>
    <t>Menggerakkan seluruh tim, bukan hanya diri sendiri, untuk berani mengusulkan dan mencoba.</t>
  </si>
  <si>
    <t>Fasilitasi tim mengusulkan minimal 4 gagasan perbaikan sepanjang program. Untuk masing-masing, dorong pengusulnya sendiri untuk mencoba, dengan risiko yang dihitung bersama.</t>
  </si>
  <si>
    <t>4 dokumentasi gagasan, pengusul, dan hasil uji coba.</t>
  </si>
  <si>
    <t>4 gagasan diusulkan DAN dicoba oleh pengusulnya sendiri, bukan oleh peserta. Minimal 2 diadopsi.</t>
  </si>
  <si>
    <t>Menciptakan mekanisme yang membuat tim berani mencoba tanpa takut dihukum atas kegagalan terkendali.</t>
  </si>
  <si>
    <t>Bangun 1 mekanisme di unit — forum, kuota uji coba, atau kebijakan tertulis — yang memberi ruang aman bagi anggota tim mencoba pendekatan baru dengan risiko terukur.</t>
  </si>
  <si>
    <t>Dokumen mekanisme; bukti minimal 3 anggota tim memakainya.</t>
  </si>
  <si>
    <t>Mekanisme berjalan dan dipakai minimal 3 anggota tim. Tim mengonfirmasi merasa lebih aman mencoba dibanding sebelumnya, skor ≥4 (skala 1–5).</t>
  </si>
  <si>
    <t>Portofolio 5 Stakeholder Internal yang Sulit</t>
  </si>
  <si>
    <t>Pada bulan ke-1, daftarkan 5 stakeholder internal — anggota tim, pimpinan unit lain, atau pihak dalam organisasi — yang hubungan kerjanya secara struktural sulit. Untuk masing-masing catat: sumber kesulitannya, kondisi hubungan pada skala 1–5. Perbarui setiap bulan.</t>
  </si>
  <si>
    <t>Peta portofolio; 12 pembaruan bulanan. Termasuk review bulan ke-6 dan ke-12 oleh Mentor.</t>
  </si>
  <si>
    <t>5 stakeholder ditetapkan bulan ke-1 dan tidak diganti kecuali kerja samanya berakhir di luar kendali peserta. 12 pembaruan terisi. Milestone bulan ke-6: peta lengkap dan 6 pembaruan.</t>
  </si>
  <si>
    <t>Jurnal "Pendekatan yang Berbeda per Stakeholder"</t>
  </si>
  <si>
    <t>Memastikan pendekatan dibedakan berdasarkan sumber kesulitan masing-masing.</t>
  </si>
  <si>
    <t>Setiap 3 bulan, untuk tiap stakeholder portofolio tuliskan: pendekatan yang terbukti berhasil, apa yang memperburuk, dan apa yang akan diubah pada triwulan berikutnya.</t>
  </si>
  <si>
    <t>4 laporan triwulanan (5 stakeholder × 4 triwulan = 20 catatan).</t>
  </si>
  <si>
    <t>4 laporan selesai. Mentor menilai ≥4 (skala 1–5) bahwa pendekatan antar stakeholder benar-benar berbeda berdasar sumber kesulitannya. Milestone bulan ke-6: 2 laporan.</t>
  </si>
  <si>
    <t>Refleksi "Titik Temu yang Saya Cari"</t>
  </si>
  <si>
    <t>Melatih mencari kepentingan bersama, bukan sekadar bertahan.</t>
  </si>
  <si>
    <t>Setiap bulan, ambil 1 interaksi dengan stakeholder portofolio. Tuliskan: kepentingan peserta, kepentingan mereka, dan apakah ada titik temu yang dicari — bukan sekadar salah satu pihak mengalah.</t>
  </si>
  <si>
    <t>Minimal 10 dari 12 refleksi selesai. Minimal 6 menunjukkan titik temu yang dicari secara aktif, bukan kompromi sepihak.</t>
  </si>
  <si>
    <t>Workshop "Trusted Relationship Building dengan Stakeholder Internal Sulit"</t>
  </si>
  <si>
    <t>Menguasai cara membangun kredibilitas dengan stakeholder internal yang sulit.</t>
  </si>
  <si>
    <t>Pelatihan 2 hari: membangun kredibilitas dengan stakeholder sulit, memahami kepentingan struktural mereka, menjaga relasi melintasi pergantian proyek, dan mengelola stakeholder yang kepentingannya berbeda secara struktural.</t>
  </si>
  <si>
    <t>1 rencana relasi 12 bulan untuk masing-masing dari 5 stakeholder portofolio.</t>
  </si>
  <si>
    <t>Rencana relasi dinilai Atasan ≥4 (skala 1–5) pada kelayakan dan perbedaan pendekatan antar kelima stakeholder.</t>
  </si>
  <si>
    <t>Kursus Online "Memahami Kepentingan Struktural Unit Lain"</t>
  </si>
  <si>
    <t>Memahami tekanan dan kepentingan struktural yang mendasari kesulitan stakeholder internal.</t>
  </si>
  <si>
    <t>Selesaikan kursus tentang membaca struktur organisasi, kepentingan dan tekanan yang dihadapi unit lain, dan sumber ketegangan struktural antar fungsi.</t>
  </si>
  <si>
    <t>3 analisis kepentingan struktural untuk 3 stakeholder portofolio.</t>
  </si>
  <si>
    <t>Ketiga analisis dikonfirmasi Stakeholder Terkait sebagai menggambarkan tekanan mereka dengan tepat, skor ≥4 (skala 1–5).</t>
  </si>
  <si>
    <t>Atasan dan Stakeholder Terkait</t>
  </si>
  <si>
    <t>Micro-learning "Memulihkan Relasi Internal yang Retak"</t>
  </si>
  <si>
    <t>Mengembalikan kerja sama setelah hubungan sempat memburuk.</t>
  </si>
  <si>
    <t>Selesaikan modul tentang membuka kembali percakapan setelah perselisihan, dan membangun ulang kepercayaan melalui komitmen kecil yang ditepati.</t>
  </si>
  <si>
    <t>1 rencana pemulihan untuk stakeholder dengan skor hubungan TERENDAH.</t>
  </si>
  <si>
    <t>Skor kondisi hubungan naik minimal 1 poin (skala 1–5) dan bertahan minimal 3 bulan berturut-turut.</t>
  </si>
  <si>
    <t>"Account Review" — Peer Department Head + Mentor Division Head</t>
  </si>
  <si>
    <t>Menguji apakah perbaikan hubungan bertahan atau hanya efek satu peristiwa baik.</t>
  </si>
  <si>
    <t>Bentuk forum 3–4 peer SETINGKAT ditambah 1 mentor berjenjang Division Head. Setiap 2 bulan, satu peserta memaparkan perkembangan 1 stakeholder portofolio SEJAK SESI TERAKHIR.</t>
  </si>
  <si>
    <t>Minimal 5 dari 6 sesi terlaksana. Pada 2 pemaparan sendiri, peserta menunjukkan TREN hubungan lintas beberapa bulan. Milestone bulan ke-6: 3 sesi.</t>
  </si>
  <si>
    <t>Shadowing Atasan dalam Satu Relasi Stakeholder Internal Sulit yang Sama</t>
  </si>
  <si>
    <t>Mempelajari cara senior menjaga satu hubungan sulit dari waktu ke waktu.</t>
  </si>
  <si>
    <t>Amati 3 rangkaian interaksi atasan dengan SATU stakeholder internal sulit yang sama, tersebar sepanjang beberapa bulan.</t>
  </si>
  <si>
    <t>3 laporan observasi atas 1 relasi yang sama.</t>
  </si>
  <si>
    <t>Minimal 3 pola diterapkan pada stakeholder portofolio sendiri, divalidasi Atasan ≥4 (skala 1–5).</t>
  </si>
  <si>
    <t>Umpan Balik 360° "Keberlanjutan Relasi dengan Stakeholder Sulit"</t>
  </si>
  <si>
    <t>Mengukur perubahan kedudukan peserta di mata stakeholder yang hubungannya sulit.</t>
  </si>
  <si>
    <t>Kuesioner pre (bulan 1) dan post (bulan 11). Responden WAJIB mencakup kelima stakeholder portofolio. Butir PA12: "Saya akan tetap bekerja sama dengannya pada periode berikutnya"; "Perbedaan kepentingan di antara kami tidak merusak kerja sama".</t>
  </si>
  <si>
    <t>Kenaikan rata-rata ≥1 poin (skala 1–5). Wajib menyertakan kelima stakeholder portofolio.</t>
  </si>
  <si>
    <t>Memperbaiki Hubungan dengan 3 Stakeholder Sulit Sepanjang 9 Bulan</t>
  </si>
  <si>
    <t>Membuktikan perbaikan hubungan yang bertahan.</t>
  </si>
  <si>
    <t>Dari 5 stakeholder portofolio, pilih 3 dengan kondisi terendah. Jalankan rencana relasi minimal 9 bulan: kontak terjadwal, minimal 1 hal yang diberikan tanpa diminta, penyelesaian 1 persoalan bersama.</t>
  </si>
  <si>
    <t>3 berkas relasi dengan catatan bulanan. Termasuk review bulan ke-6 dan ke-12 oleh Atasan.</t>
  </si>
  <si>
    <t>Pada minimal 2 dari 3 stakeholder, skor hubungan naik minimal 1 poin (skala 1–5) dan bertahan minimal 3 bulan berturut-turut. Milestone bulan ke-6: 3 rencana berjalan.</t>
  </si>
  <si>
    <t>Mencari Titik Temu pada 2 Perkara yang Kepentingannya Berbeda Struktural</t>
  </si>
  <si>
    <t>Menghasilkan kesepakatan yang menguntungkan kedua pihak, bukan kompromi sepihak.</t>
  </si>
  <si>
    <t>Pada 2 stakeholder portofolio, capai kesepakatan kerja sama yang berlaku minimal 6 bulan ke depan. Petakan kepentingan kedua pihak, susun opsi yang menambah nilai bagi keduanya, pantau pelaksanaannya minimal 3 bulan.</t>
  </si>
  <si>
    <t>2 dokumen kesepakatan; catatan pemantauan 3 bulan.</t>
  </si>
  <si>
    <t>Kedua kesepakatan dijalankan tanpa perlu dinegosiasikan ulang selama minimal 3 bulan. Stakeholder mengonfirmasi kesepakatan itu menguntungkan pihaknya juga, skor ≥4 (skala 1–5).</t>
  </si>
  <si>
    <t>Menjaga 1 Relasi Bertahan Melampaui Pergantian Peran di Salah Satu Pihak</t>
  </si>
  <si>
    <t>Menguji apakah relasi bergantung pada individu atau benar-benar melembaga.</t>
  </si>
  <si>
    <t>Pilih 1 stakeholder portofolio yang mengalami pergantian peran atau rotasi selama program. Pastikan relasi dan kerja sama tetap berjalan baik meski orangnya berganti.</t>
  </si>
  <si>
    <t>1 dokumentasi transisi; konfirmasi kerja sama tetap berjalan setelah pergantian.</t>
  </si>
  <si>
    <t>Kerja sama tetap berjalan produktif setelah pergantian, dikonfirmasi pihak yang baru menjabat, skor ≥4 (skala 1–5).</t>
  </si>
  <si>
    <t>Atasan dan Pihak Baru</t>
  </si>
  <si>
    <t>Log "Konflik yang Saya Tengahi dan Persepsi Netralitas"</t>
  </si>
  <si>
    <t>Mengukur apakah kedua pihak yang berkonflik menganggap peserta netral.</t>
  </si>
  <si>
    <t>Setiap kali menjadi penengah dalam konflik, catat: pihak yang berkonflik, pendekatan yang dipakai, dan VERIFIKASI kepada KEDUA pihak apakah mereka menganggap peserta netral — bukan hanya menilai sendiri.</t>
  </si>
  <si>
    <t>Log minimal 15 kasus dengan verifikasi netralitas dari kedua pihak. Termasuk review triwulanan oleh Mentor.</t>
  </si>
  <si>
    <t>Minimal 15 kasus tercatat dengan verifikasi dari kedua pihak. Proporsi yang dianggap netral oleh KEDUA pihak naik menjadi ≥80% pada triwulan 4.</t>
  </si>
  <si>
    <t>Jurnal Refleksi: Peran sebagai Penengah</t>
  </si>
  <si>
    <t>Merefleksikan efektivitas peran sebagai penengah.</t>
  </si>
  <si>
    <t>Setiap kali terlibat sebagai penengah, dokumentasikan: situasi, peran yang dimainkan, respons pihak-pihak terkait, dan refleksi tentang efektivitas pendekatan.</t>
  </si>
  <si>
    <t>Jurnal minimal 12 entri. Termasuk review oleh Mentor.</t>
  </si>
  <si>
    <t>Minimal 12 entri dengan refleksi yang kritis dan identifikasi pendekatan yang lebih baik.</t>
  </si>
  <si>
    <t>Thought Leadership: Perspektif tentang Kolaborasi Lintas Divisi</t>
  </si>
  <si>
    <t>Mengembangkan dan mengomunikasikan perspektif tentang mediasi dan kolaborasi organisasi.</t>
  </si>
  <si>
    <t>Tulis artikel internal atau sampaikan dalam forum tentang kolaborasi lintas divisi atau mediasi konflik organisasi.</t>
  </si>
  <si>
    <t>1 konten terpublikasi. Termasuk penilaian Atasan.</t>
  </si>
  <si>
    <t>Konten terpublikasi dan mendapat minimal 3 respons positif dari audiens internal.</t>
  </si>
  <si>
    <t>Pelatihan Mediation &amp; Conflict Resolution for Senior Leaders</t>
  </si>
  <si>
    <t>Menguasai teknik mediasi terstruktur untuk konflik lintas unit.</t>
  </si>
  <si>
    <t>Ikuti pelatihan tentang teknik mediasi terstruktur, memfasilitasi dialog antar pihak berseberangan, dan menyatukan kepentingan berbeda.</t>
  </si>
  <si>
    <t>1 laporan penerapan pada situasi mediasi nyata. Termasuk penilaian Fasilitator dan Atasan.</t>
  </si>
  <si>
    <t>Teknik digunakan secara terstruktur pada situasi nyata dengan bukti penerapan yang jelas, dinilai Fasilitator dan Atasan ≥4 (skala 1–5).</t>
  </si>
  <si>
    <t>Pelatihan Facilitation Skills for Senior Leaders</t>
  </si>
  <si>
    <t>Membangun konsensus dari kepentingan yang berbeda.</t>
  </si>
  <si>
    <t>Ikuti pelatihan facilitation skills: memfasilitasi dialog antar pihak berseberangan, membangun konsensus, mengelola dinamika kelompok kompleks.</t>
  </si>
  <si>
    <t>1 laporan penerapan pada situasi fasilitasi nyata. Termasuk penilaian Fasilitator dan Atasan.</t>
  </si>
  <si>
    <t>Sesi terlaksana dengan situasi fasilitasi yang spesifik, dinilai Fasilitator dan Atasan ≥4 (skala 1–5).</t>
  </si>
  <si>
    <t>Studi Kasus: Organisasi yang Berhasil Membangun Kolaborasi Lintas Unit</t>
  </si>
  <si>
    <t>Belajar dari mekanisme yang membuat kolaborasi bertahan jangka panjang.</t>
  </si>
  <si>
    <t>Pelajari kasus organisasi yang berhasil membangun kolaborasi lintas unit. Analisis mekanisme yang dibangun untuk MEMPERTAHANKAN kolaborasi, bukan hanya meredakan gesekan awal.</t>
  </si>
  <si>
    <t>1 laporan analisis komparatif. Termasuk penilaian Atasan.</t>
  </si>
  <si>
    <t>Laporan memuat minimal 3 mekanisme keberlanjutan yang dapat diadaptasi, dinilai Atasan ≥4 (skala 1–5).</t>
  </si>
  <si>
    <t>Executive Coaching: Memimpin sebagai Mediator Organisasi</t>
  </si>
  <si>
    <t>Mempelajari cara membangun kepercayaan sebagai mediator dari SEMUA pihak.</t>
  </si>
  <si>
    <t>Sesi coaching dengan BOD. Fokus: cara membangun kepercayaan sebagai mediator dari semua pihak, dan cara memastikan hasil mediasi bertahan jangka panjang.</t>
  </si>
  <si>
    <t>Catatan hasil coaching. Termasuk penilaian BOD atau Senior Leader.</t>
  </si>
  <si>
    <t>Sesi terlaksana dan menghasilkan minimal 3 insight konkret tentang membangun netralitas yang dipersepsikan.</t>
  </si>
  <si>
    <t>BOD atau Senior Leader</t>
  </si>
  <si>
    <t>Reverse Mentoring dengan Pemimpin Unit yang Sering Berkonflik</t>
  </si>
  <si>
    <t>Mendapatkan perspektif langsung dari pihak yang sering berkonflik.</t>
  </si>
  <si>
    <t>Sesi reverse mentoring dengan pemimpin unit yang dikenal sering berkonflik dengan unit lain. Diskusikan akar konflik dan apa yang mereka butuhkan dari mediator.</t>
  </si>
  <si>
    <t>Catatan insight dan pendekatan mediasi yang diinisiasi.</t>
  </si>
  <si>
    <t>Sesi terlaksana dan minimal 1 pendekatan mediasi diinisiasi berdasarkan insight yang diperoleh.</t>
  </si>
  <si>
    <t>Pemimpin Unit yang Sering Berkonflik</t>
  </si>
  <si>
    <t>Umpan Balik 360° "Netralitas dan Kemampuan Memfasilitasi"</t>
  </si>
  <si>
    <t>Mengukur persepsi organisasi atas netralitas dan efektivitas mediasi peserta.</t>
  </si>
  <si>
    <t>Kuesioner pre (bulan 1) dan post (bulan 11) kepada minimal 10 responden dari kedua sisi konflik yang pernah ditangani. Butir PA15: "Saya menganggapnya netral, tidak berpihak"; "Ia memastikan semua pihak didengar"; "Kesepakatan yang ia bangun masih berjalan sampai sekarang".</t>
  </si>
  <si>
    <t>2 laporan (pre dan post). Termasuk analisis kenaikan per butir.</t>
  </si>
  <si>
    <t>Kenaikan rata-rata ≥1 poin (skala 1–5). Butir "menganggapnya netral" wajib ≥4 (skala 1–5) dari KEDUA belah pihak yang pernah berkonflik.</t>
  </si>
  <si>
    <t>Memediasi 4 Konflik Lintas Unit dengan Netralitas Terverifikasi</t>
  </si>
  <si>
    <t>Tangani 4 konflik lintas unit atau kepentingan strategis sebagai mediator. Untuk masing-masing, verifikasi persepsi netralitas dari KEDUA pihak, dan dokumentasikan proses fasilitasi.</t>
  </si>
  <si>
    <t>4 laporan mediasi dengan verifikasi netralitas dari kedua pihak. Termasuk review bulan ke-6 oleh Kedua Pihak.</t>
  </si>
  <si>
    <t>4 mediasi selesai. Pada minimal 3, KEDUA pihak mengonfirmasi peserta dianggap netral, skor ≥4 (skala 1–5). Milestone bulan ke-6: 2 mediasi.</t>
  </si>
  <si>
    <t>Membangun Komitmen Jangka Panjang dari 2 Kesepakatan Mediasi</t>
  </si>
  <si>
    <t>Menguji apakah kesepakatan hasil mediasi benar-benar bertahan, bukan hanya meredakan konflik saat itu.</t>
  </si>
  <si>
    <t>Dari mediasi yang dilakukan, pilih 2 kesepakatan. Pantau pelaksanaannya minimal 4 bulan untuk memastikan komitmen itu benar-benar dijalankan, bukan hanya disepakati di atas kertas.</t>
  </si>
  <si>
    <t>2 dokumentasi kesepakatan dengan pemantauan 4 bulan.</t>
  </si>
  <si>
    <t>Kedua kesepakatan tetap dijalankan setelah 4 bulan tanpa perlu dinegosiasikan ulang, dikonfirmasi kedua pihak.</t>
  </si>
  <si>
    <t>Kedua Pihak</t>
  </si>
  <si>
    <t>Menginisiasi 1 Kolaborasi Antar Divisi yang Tidak Memiliki Keterkaitan Tugas Langsung</t>
  </si>
  <si>
    <t>Membangun kolaborasi baru antar divisi yang secara struktural tidak berkaitan.</t>
  </si>
  <si>
    <t>Identifikasi 2 divisi yang tidak memiliki keterkaitan tugas langsung namun berpotensi menciptakan nilai bersama. Inisiasi dan pimpin proyek kolaborasi, sebagai penengah aktif bila muncul perbedaan kepentingan.</t>
  </si>
  <si>
    <t>1 laporan: proses membangun kolaborasi, hambatan, peran sebagai penyatu, dampak terhadap tujuan organisasi.</t>
  </si>
  <si>
    <t>Kolaborasi terbentuk dan menghasilkan dampak nyata terhadap tujuan organisasi. Kedua divisi mengonfirmasi peserta berperan sebagai penengah netral sepanjang proses, skor ≥4 (skala 1–5).</t>
  </si>
  <si>
    <t>Kedua Divisi dan Direksi</t>
  </si>
  <si>
    <t xml:space="preserve">	Key12</t>
  </si>
  <si>
    <t>Metode12</t>
  </si>
  <si>
    <t>Komp12</t>
  </si>
  <si>
    <t>GapRaw</t>
  </si>
  <si>
    <t xml:space="preserve">	GapCapped</t>
  </si>
  <si>
    <t>KeyExpanded</t>
  </si>
  <si>
    <t>Level</t>
  </si>
  <si>
    <t>MetodeExpanded</t>
  </si>
  <si>
    <t>KompExpanded</t>
  </si>
  <si>
    <t>KompPrioritas</t>
  </si>
  <si>
    <t>LevelSaatIni</t>
  </si>
  <si>
    <t>LevelTujuan</t>
  </si>
  <si>
    <t>GapAktual</t>
  </si>
  <si>
    <t>SpineKomp</t>
  </si>
  <si>
    <t>SpineAspek</t>
  </si>
  <si>
    <t>SpineLevel</t>
  </si>
  <si>
    <t>LvSaatIni</t>
  </si>
  <si>
    <t>LvTujuan</t>
  </si>
  <si>
    <t>LvJabatan</t>
  </si>
  <si>
    <t>SpineFiltered</t>
  </si>
  <si>
    <t>Tanggal Penilaian 1</t>
  </si>
  <si>
    <t>Tanggal Penilaian 2</t>
  </si>
  <si>
    <t>Metode Pengembangan</t>
  </si>
  <si>
    <t>tugas</t>
  </si>
  <si>
    <t>instruksi</t>
  </si>
  <si>
    <t>Output/Bukti</t>
  </si>
  <si>
    <t>Timeline</t>
  </si>
  <si>
    <t>Standar Kelulusan</t>
  </si>
  <si>
    <t>Standar Keberhasilan</t>
  </si>
  <si>
    <t>Target</t>
  </si>
  <si>
    <t>Actual</t>
  </si>
  <si>
    <t>Skor</t>
  </si>
  <si>
    <t>Status</t>
  </si>
  <si>
    <t>Catatan Evaluator</t>
  </si>
  <si>
    <t>Belum Mulai</t>
  </si>
  <si>
    <t>Jabatan</t>
  </si>
  <si>
    <t>Aspek ke</t>
  </si>
  <si>
    <t>nama Aspek</t>
  </si>
  <si>
    <t>Jarak antara melihat dan bertindak</t>
  </si>
  <si>
    <t>Kemandirian memulai</t>
  </si>
  <si>
    <t>Rencana kerja sebagai acuan</t>
  </si>
  <si>
    <t>Antisipasi sebelum berdampak</t>
  </si>
  <si>
    <t>Daya tahan komitmen sepanjang waktu</t>
  </si>
  <si>
    <t xml:space="preserve">Kemandirian mempertahankan usaha </t>
  </si>
  <si>
    <t>Ketekunan yang sehat, bukan keras kepala</t>
  </si>
  <si>
    <t>Bangkit dari kegagalan signifikan</t>
  </si>
  <si>
    <t>Kesadaran atas hasil terhadap target</t>
  </si>
  <si>
    <t>Refleksi berujung tindakan</t>
  </si>
  <si>
    <t>Pembelajaran kolektif tanpa kambing hitam</t>
  </si>
  <si>
    <t>Pelembagaan perbaikan</t>
  </si>
  <si>
    <t>Stabilitas atensi saat beban meningkat</t>
  </si>
  <si>
    <t>Kualitas output saat tertekan</t>
  </si>
  <si>
    <t>Menenangkan situasi</t>
  </si>
  <si>
    <t>Mengubah hambatan menjadi momentum</t>
  </si>
  <si>
    <t>Kapan kebutuhan sumber daya dipikirkan</t>
  </si>
  <si>
    <t>Alokasi sesuai prioritas</t>
  </si>
  <si>
    <t>Antisipasi kendala pelaksanaan</t>
  </si>
  <si>
    <t>Target di atas standar yang didukung perhitungan</t>
  </si>
  <si>
    <t>Ketinggian standar kinerja yang ditetapkan</t>
  </si>
  <si>
    <t>Standar bagi diri sendiri</t>
  </si>
  <si>
    <t>Pelembagaan menjadi sistem dan budaya</t>
  </si>
  <si>
    <t>Standar tetap berlandaskan integritas</t>
  </si>
  <si>
    <t>Reaksi emosional awal terhadap kritik</t>
  </si>
  <si>
    <t>Kepemilikan atas kesalahan</t>
  </si>
  <si>
    <t>Konsistensi lintas situasi</t>
  </si>
  <si>
    <t xml:space="preserve"> Verifikasi dari pihak lain</t>
  </si>
  <si>
    <t>Inisiatif dan frekuensi mencari feedback</t>
  </si>
  <si>
    <t>Akurasi gambaran diri</t>
  </si>
  <si>
    <t>Penggunaan praktis gambaran diri</t>
  </si>
  <si>
    <t>Keragaman dan spesifisitas sumber</t>
  </si>
  <si>
    <t>Keteraturan dan kedalaman refleksi</t>
  </si>
  <si>
    <t>Kepemilikan atas pengembangan diri</t>
  </si>
  <si>
    <t>Orientasi waktu pengembangan</t>
  </si>
  <si>
    <t>Dampak pada perkembangan nyata</t>
  </si>
  <si>
    <t>Dasar penilaian: bukti vs persepsi</t>
  </si>
  <si>
    <t>Ketajaman kalibrasi diri</t>
  </si>
  <si>
    <t>Kesiapan menghadapi standar peran yang lebih tinggi</t>
  </si>
  <si>
    <t>Ketahanan terhadap fakta yang tidak menyenangkan</t>
  </si>
  <si>
    <t>Jeda antara stimulus dan respons</t>
  </si>
  <si>
    <t>Kualitas keputusan saat emosi tinggi</t>
  </si>
  <si>
    <t>Ketenangan yang dipersepsikan</t>
  </si>
  <si>
    <t>Menenangkan orang lain</t>
  </si>
  <si>
    <t>Kedalaman refleksi: dari peristiwa ke pola ke bias</t>
  </si>
  <si>
    <t>Kemampuan memprediksi reaksi diri</t>
  </si>
  <si>
    <t>Autentisitas</t>
  </si>
  <si>
    <t>Membagikan pembelajaran kepada orang lain</t>
  </si>
  <si>
    <t>Kualitas output</t>
  </si>
  <si>
    <t>Ketepatan waktu</t>
  </si>
  <si>
    <t>Keandalan dan konsistensi</t>
  </si>
  <si>
    <t>Kesepakatan standar dan tenggat di muka</t>
  </si>
  <si>
    <t>Kedalaman pertanyaan</t>
  </si>
  <si>
    <t>Dasar pengurutan pekerjaan</t>
  </si>
  <si>
    <t>Kemandirian menguji dan mengurutkan</t>
  </si>
  <si>
    <t>Kesediaan meninjau ulang</t>
  </si>
  <si>
    <t>Kesediaan memutuskan tanpa kepastian penuh</t>
  </si>
  <si>
    <t>Kualitas proses pertimbangan</t>
  </si>
  <si>
    <t>Rencana jangka panjang dengan asumsi eksplisit</t>
  </si>
  <si>
    <t>Ketepatan berdasarkan informasi saat itu</t>
  </si>
  <si>
    <t>Kepekaan mendeteksi ketidakefektifan</t>
  </si>
  <si>
    <t>Kemandirian mengubah arah</t>
  </si>
  <si>
    <t>Kecepatan respons</t>
  </si>
  <si>
    <t>Rencana alternatif untuk kendala strategis</t>
  </si>
  <si>
    <t>Rencana cadangan yang benar-benar dipakai</t>
  </si>
  <si>
    <t>Ketinggian standar perencanaan</t>
  </si>
  <si>
    <t>Pelembagaan sistem perencanaan</t>
  </si>
  <si>
    <t>Integrasi dan responsivitas lintas fungsi</t>
  </si>
  <si>
    <t>Kedalaman penelusuran</t>
  </si>
  <si>
    <t>Memisahkan gejala, penyebab, dan dampak</t>
  </si>
  <si>
    <t>Kemandirian</t>
  </si>
  <si>
    <t>Verifikasi temuan</t>
  </si>
  <si>
    <t>Keberanian menguji</t>
  </si>
  <si>
    <t>Pencarian pembanding</t>
  </si>
  <si>
    <t>Keingintahuan yang berkelanjutan</t>
  </si>
  <si>
    <t>Tanggung jawab atas keputusan</t>
  </si>
  <si>
    <t>Kesediaan mengambil risiko</t>
  </si>
  <si>
    <t xml:space="preserve">Kualitas perhitungan risiko </t>
  </si>
  <si>
    <t>Pengelolaan kegagalan</t>
  </si>
  <si>
    <t>Mendorong eksperimen dalam tim</t>
  </si>
  <si>
    <t>Kesediaan bergerak tanpa kepastian</t>
  </si>
  <si>
    <t>Produktivitas kognitif dalam ketidakjelasan</t>
  </si>
  <si>
    <t xml:space="preserve">Menjaga unit tetap berjalan </t>
  </si>
  <si>
    <t>Urgensi, biaya, dan risiko sebagai dasar bergerak</t>
  </si>
  <si>
    <t>Memberi arah saat arah belum ada</t>
  </si>
  <si>
    <t xml:space="preserve">Menjaga orang lain tetap produktif </t>
  </si>
  <si>
    <t>Mengubah ketidakpastian menjadi peluang</t>
  </si>
  <si>
    <t>Kerangka keputusan yang dipakai orang lain</t>
  </si>
  <si>
    <t>Kesepakatan dan peringatan dini</t>
  </si>
  <si>
    <t>Pemahaman tujuan akhir</t>
  </si>
  <si>
    <t>Penggunaan metrik keberhasilan</t>
  </si>
  <si>
    <t>Penyesuaian proses saat hambatan</t>
  </si>
  <si>
    <t>Nilai bagi penerima manfaat</t>
  </si>
  <si>
    <t>Kesadaran atas hasil</t>
  </si>
  <si>
    <t>Kecepatan menghasilkan alternatif</t>
  </si>
  <si>
    <t>Fleksibilitas mengganti solusi</t>
  </si>
  <si>
    <t>Memanfaatkan sumber daya yang ada</t>
  </si>
  <si>
    <t>Ketenangan saat berganti arah</t>
  </si>
  <si>
    <t>Ketinggian standar pengendalian yang ditetapkan</t>
  </si>
  <si>
    <t>Pelembagaan sistem pengendalian</t>
  </si>
  <si>
    <t>Ketahanan standar di bawah tekanan</t>
  </si>
  <si>
    <t>Kecepatan memahami</t>
  </si>
  <si>
    <t>Akurasi menangkap poin utama</t>
  </si>
  <si>
    <t>Kemandirian menyimpulkan</t>
  </si>
  <si>
    <t>Memisahkan fakta dari asumsi</t>
  </si>
  <si>
    <t>Cakupan sudut pandang yang masuk</t>
  </si>
  <si>
    <t>Memadukan versus memilih</t>
  </si>
  <si>
    <t>Mengurangi dominasi sudut pandang sendiri</t>
  </si>
  <si>
    <t>Keberterimaan keputusan oleh pihak yang tidak menang</t>
  </si>
  <si>
    <t>Kesediaan mengevaluasi ulang solusi sendiri</t>
  </si>
  <si>
    <t>Orisinalitas pendekatan</t>
  </si>
  <si>
    <t>Masalah berulang benar-benar berhenti</t>
  </si>
  <si>
    <t>Prioritisasi berbasis dampak</t>
  </si>
  <si>
    <t xml:space="preserve"> Kesediaan bergerak tanpa kepastian</t>
  </si>
  <si>
    <t>Kualitas pemetaan sebab-akibat majemuk</t>
  </si>
  <si>
    <t>Menjaga unit tetap berjalan</t>
  </si>
  <si>
    <t>Menjaga orang lain tetap produktif</t>
  </si>
  <si>
    <t>Model analisa yang dipakai orang lain</t>
  </si>
  <si>
    <t>Kecepatan menguasai</t>
  </si>
  <si>
    <t>Kemandirian mempelajari</t>
  </si>
  <si>
    <t xml:space="preserve">Melepaskan kebiasaan lama </t>
  </si>
  <si>
    <t>Kecepatan membentuk kebiasaan baru</t>
  </si>
  <si>
    <t>Kecepatan pemulihan produktivitas</t>
  </si>
  <si>
    <t>Konsistensi hasil kerja saat berubah</t>
  </si>
  <si>
    <t>Kesadaran atas penolakan diri</t>
  </si>
  <si>
    <t>Pengelolaan yang konstruktif, bukan penyangkalan</t>
  </si>
  <si>
    <t>Inisiatif belajar</t>
  </si>
  <si>
    <t>Kesediaan bereksperimen</t>
  </si>
  <si>
    <t>Pembelajaran lintas bidang</t>
  </si>
  <si>
    <t>Penerapan pada solusi kerja</t>
  </si>
  <si>
    <t>Frekuensi mengusulkan</t>
  </si>
  <si>
    <t>Relevansi dan realisme usulan</t>
  </si>
  <si>
    <t>Memperjuangkan sampai dijalankan</t>
  </si>
  <si>
    <t>Membaca keberatan yang tidak diucapkan</t>
  </si>
  <si>
    <t>Regulasi diri saat keadaan berubah</t>
  </si>
  <si>
    <t>Kejernihan berpikir dan langkah saat belum jelas</t>
  </si>
  <si>
    <t>Efek menenangkan pada orang lain</t>
  </si>
  <si>
    <t>Mendampingi orang lain melewati perubahan</t>
  </si>
  <si>
    <t>Orientasi ke depan</t>
  </si>
  <si>
    <t>Kesiapan skenario</t>
  </si>
  <si>
    <t>Penggerakan organisasi secara antisipatif</t>
  </si>
  <si>
    <t xml:space="preserve">Kalibrasi dari yang terlewat </t>
  </si>
  <si>
    <t>Kecepatan memahami informasi bisnis</t>
  </si>
  <si>
    <t>Menghubungkan dengan konteks pekerjaan</t>
  </si>
  <si>
    <t>Struktur penjelasan</t>
  </si>
  <si>
    <t>Penyesuaian terhadap audiens</t>
  </si>
  <si>
    <t>Menyederhanakan tanpa kehilangan makna</t>
  </si>
  <si>
    <t>Bukti pemahaman audiens</t>
  </si>
  <si>
    <t>Framing pertama atas perubahan</t>
  </si>
  <si>
    <t>Aktif mencari peluang di dalam perubahan</t>
  </si>
  <si>
    <t>Mengubah peluang menjadi langkah nyata</t>
  </si>
  <si>
    <t>Framing pada perubahan yang merugikan</t>
  </si>
  <si>
    <t>Kepekaan mendeteksi ketidak-efektifan</t>
  </si>
  <si>
    <t>Ketepatan waktu perubahan</t>
  </si>
  <si>
    <t>Kerangka jangka panjang sebagai acuan</t>
  </si>
  <si>
    <t>Kesediaan bergerak tanpa kepastian strategis</t>
  </si>
  <si>
    <t xml:space="preserve">Terobosan tanpa bukti kelayakan penuh  </t>
  </si>
  <si>
    <t>Mengubah ketidakpastian menjadi peluang strategis</t>
  </si>
  <si>
    <t>Arah strategis yang benar-benar diturunkan</t>
  </si>
  <si>
    <t>Memisahkan fakta dari opini</t>
  </si>
  <si>
    <t>Menghubungkan dengan konteks</t>
  </si>
  <si>
    <t>Memperjelas informasi ambigu</t>
  </si>
  <si>
    <t>Melihat pola lintas sumber</t>
  </si>
  <si>
    <t>Membangun kerangka baru</t>
  </si>
  <si>
    <t>Pembeda dari sintesis sudut pandang</t>
  </si>
  <si>
    <t>Kerangka teruji pada praktik</t>
  </si>
  <si>
    <t>Keterbukaan pada hal yang belum terbukti</t>
  </si>
  <si>
    <t>Inisiatif mengeksplorasi</t>
  </si>
  <si>
    <t>Keterbukaan lintas domain</t>
  </si>
  <si>
    <t>Target melampaui kepastian informasi</t>
  </si>
  <si>
    <t>Menciptakan dan menggerakkan cara pandang baru</t>
  </si>
  <si>
    <t>Mengarahkan keputusan lintas fungsi</t>
  </si>
  <si>
    <t>Ketepatan momen</t>
  </si>
  <si>
    <t>Kepercayaan diri yang dipersepsikan</t>
  </si>
  <si>
    <t>Dasar pengurutan pekerjaan tim</t>
  </si>
  <si>
    <t>Komunikasi prioritas kepada tim</t>
  </si>
  <si>
    <t>Mengurangi pengambilalihan tugas</t>
  </si>
  <si>
    <t>Kedalaman pemetaan perspektif</t>
  </si>
  <si>
    <t>Kejelasan arah dan ekspektasi</t>
  </si>
  <si>
    <t>Kedalaman pemetaan bukan sekadar persetujuan</t>
  </si>
  <si>
    <t>Verifikasi pemahaman</t>
  </si>
  <si>
    <t>Akurasi membaca emosi orang lain</t>
  </si>
  <si>
    <t>Kesadaran atas dampak perilaku sendiri</t>
  </si>
  <si>
    <t>Ketepatan respons terhadap emosi</t>
  </si>
  <si>
    <t>Penyesuaian perilaku berbasis kesadaran diri</t>
  </si>
  <si>
    <t>Keluwesan gaya berdasarkan kesiapan</t>
  </si>
  <si>
    <t>Jeda dan kualitas respons di bawah tekanann</t>
  </si>
  <si>
    <t>Akurasi membaca kesiapan</t>
  </si>
  <si>
    <t>Ketenangan yang dipersepsikan orang lain</t>
  </si>
  <si>
    <t>Netralitas yang dipersepsikan</t>
  </si>
  <si>
    <t>Ketinggian dan pelembagaan standar kinerja</t>
  </si>
  <si>
    <t>Kemampuan membangun komitmen jangka panjang</t>
  </si>
  <si>
    <t>Kemandirian dalam mempelajari</t>
  </si>
  <si>
    <t>Menularkan penguasaan</t>
  </si>
  <si>
    <t>Efektivitas penggunaan setelah dikuasai</t>
  </si>
  <si>
    <t>Kedalaman penggalian</t>
  </si>
  <si>
    <t>Ketulusan</t>
  </si>
  <si>
    <t>Melampaui kebutuhan tugas</t>
  </si>
  <si>
    <t>Dampak pada tindakan</t>
  </si>
  <si>
    <t>Kedalaman pembacaan kemampuan</t>
  </si>
  <si>
    <t>Akurasi pembacaan</t>
  </si>
  <si>
    <t>Penyesuaian cara kerja berbasis penyebab</t>
  </si>
  <si>
    <t>Penempatan pada peran yang tepat</t>
  </si>
  <si>
    <t>Keberanian menyampaikan</t>
  </si>
  <si>
    <t>Kepekaan cara menyampaikan</t>
  </si>
  <si>
    <t>Hasil: perbaikan alih-alih penolakan</t>
  </si>
  <si>
    <t>Menjadi kebiasaan rutin</t>
  </si>
  <si>
    <t>Dasar pemilihan tugas yang didelegasikan</t>
  </si>
  <si>
    <t>Pendampingan yang memadai</t>
  </si>
  <si>
    <t>Ruang untuk keliru</t>
  </si>
  <si>
    <t>Pertumbuhan kapasitas penerima</t>
  </si>
  <si>
    <t>Keteraturan percakapan pengembangan</t>
  </si>
  <si>
    <t>Kemandirian pembelajaran yang dibangun</t>
  </si>
  <si>
    <t>Kedalaman pendampingan individual</t>
  </si>
  <si>
    <t>Pelembagaan sistem pengembangan yang inklusif</t>
  </si>
  <si>
    <t>Kualitas perhatian</t>
  </si>
  <si>
    <t>Kemampuan merangkum</t>
  </si>
  <si>
    <t>Kepekaan pada nada dan emosi</t>
  </si>
  <si>
    <t>Mendorong konsensus</t>
  </si>
  <si>
    <t>Kesediaan berkolaborasi dengan yang berbeda</t>
  </si>
  <si>
    <t>Penyesuaian gaya komunikasi</t>
  </si>
  <si>
    <t xml:space="preserve">Memanfaatkan perbedaan sebagai sumber nilai </t>
  </si>
  <si>
    <t>Membangun budaya inklusif</t>
  </si>
  <si>
    <t>Ruang yang diberikan</t>
  </si>
  <si>
    <t>Memisahkan respek dari hasil keputusan</t>
  </si>
  <si>
    <t>Menggali pendapat secara aktif</t>
  </si>
  <si>
    <t>Ketahanan memberi ruang pada pendapat yang berulang tidak dipakai</t>
  </si>
  <si>
    <t>Kesediaan mengambil risiko dalam konteks tim</t>
  </si>
  <si>
    <t>Kualitas perhitungan risiko tim</t>
  </si>
  <si>
    <t>Pengelolaan kegagalan tim tanpa kambing hitam</t>
  </si>
  <si>
    <t>Mendorong gagasan menjadi eksperimen</t>
  </si>
  <si>
    <t>Keberlanjutan relasi</t>
  </si>
  <si>
    <t>Penyesuaian pendekatan per stakeholder</t>
  </si>
  <si>
    <t>Pencarian titik temu</t>
  </si>
  <si>
    <t>Ketahanan relasi terhadap pergantian orang</t>
  </si>
  <si>
    <t>Kemampuan memfasilitasi</t>
  </si>
  <si>
    <t>Keberhasilan membangun komitmen jangka panjang</t>
  </si>
  <si>
    <t>Membangun kolaborasi baru lintas divisi</t>
  </si>
  <si>
    <t>Reaksi awal terhadap masukan</t>
  </si>
  <si>
    <t>Ketepatan memahami masukan</t>
  </si>
  <si>
    <t>Tindak lanjut setelah menerima</t>
  </si>
  <si>
    <t xml:space="preserve">Perlakuan terhadap pemberi masukan </t>
  </si>
  <si>
    <t>Kedalaman pemetaan</t>
  </si>
  <si>
    <t>Ketahanan pada perspektif orang lain</t>
  </si>
  <si>
    <t>Memisahkan memahami dari menyetuju</t>
  </si>
  <si>
    <t>Bukti ketepatan dari pihak yang dipetakan</t>
  </si>
  <si>
    <t>Keberanian menghadapi</t>
  </si>
  <si>
    <t>Pengendalian diri dalam konflik</t>
  </si>
  <si>
    <t>Fokus pada isu dan orientasi solusi yang adil</t>
  </si>
  <si>
    <t>Keberlanjutan hubungan kerja setelah konflik</t>
  </si>
  <si>
    <t>Cakrawala relasi</t>
  </si>
  <si>
    <t>Ketahanan relasi terhadap perbedaan kepentingan</t>
  </si>
  <si>
    <t>Disiplin batas peran</t>
  </si>
  <si>
    <t>Keberhasilan membangun komitmen</t>
  </si>
  <si>
    <t>Pengelolaan kesepakatan dan peringatan dini</t>
  </si>
  <si>
    <t>Ketulusan penggalian</t>
  </si>
  <si>
    <t>Pemerataan perhatian</t>
  </si>
  <si>
    <t>Kelanjutan komunikasi setelah pekerjaan selesai</t>
  </si>
  <si>
    <t>Tanggung jawab personal atas keputusan</t>
  </si>
  <si>
    <t>Keterbukaan kepada pelanggan saat ada masalah</t>
  </si>
  <si>
    <t>Akurasi membaca emosi</t>
  </si>
  <si>
    <t>Ketepatan respons</t>
  </si>
  <si>
    <t>Membaca kebutuhan yang tidak terucapkan</t>
  </si>
  <si>
    <t>Dinamika emosi dalam kelompok</t>
  </si>
  <si>
    <t>Cakrawala relasi  (transaksi vs jangka panjang)</t>
  </si>
  <si>
    <t>Penyesuaian pendekatan per pelanggan</t>
  </si>
  <si>
    <t>Keberpihakan pada kepentingan pelanggan</t>
  </si>
  <si>
    <t>Kedudukan sebagai penasehat terpercaya</t>
  </si>
  <si>
    <t>Ketinggian standar yang ditetapkan</t>
  </si>
  <si>
    <t>Pelembagaan standar</t>
  </si>
  <si>
    <t xml:space="preserve">	Kompetensi</t>
  </si>
  <si>
    <t xml:space="preserve">	Jabatan</t>
  </si>
  <si>
    <t xml:space="preserve">	Aspek Ke</t>
  </si>
  <si>
    <t xml:space="preserve">	Level 1</t>
  </si>
  <si>
    <t xml:space="preserve">	Level 2</t>
  </si>
  <si>
    <t xml:space="preserve">	Level 3</t>
  </si>
  <si>
    <t xml:space="preserve">	Level 4</t>
  </si>
  <si>
    <t xml:space="preserve">	Level 5</t>
  </si>
  <si>
    <t>Menunggu instruksi eksplisit sebelum bertindak.</t>
  </si>
  <si>
    <t>Melihat kebutuhan tindakan, tetapi menunggu persetujuan meski jelas dalam kewenangannya.</t>
  </si>
  <si>
    <t>Berinisiatif bertindak dalam area kerjanya sendiri tanpa menunggu.</t>
  </si>
  <si>
    <t>Bertindak sebelum masalah berdampak, mengantisipasi kebutuhan tindakan lebih awal.</t>
  </si>
  <si>
    <t>Menggerakkan orang lain untuk juga bertindak lebih dulu.</t>
  </si>
  <si>
    <t>Tidak memulai apa pun tanpa arahan.</t>
  </si>
  <si>
    <t>Memulai hanya setelah diyakinkan atau disetujui.</t>
  </si>
  <si>
    <t>Memulai sendiri pada tugas rutin yang familiar.</t>
  </si>
  <si>
    <t>Memulai sendiri pada situasi baru yang belum familiar, tanpa menunggu contoh atau arahan.</t>
  </si>
  <si>
    <t>Menjadi contoh yang membuat orang lain berani memulai sendiri.</t>
  </si>
  <si>
    <t>Menyusun rencana kerja tetapi tidak pernah memakainya sebagai acuan.</t>
  </si>
  <si>
    <t>Memakai rencana kerja sesekali, sering menyimpang tanpa sadar.</t>
  </si>
  <si>
    <t>Memakai rencana kerja sebagai acuan pada hari-hari normal.</t>
  </si>
  <si>
    <t>Memakai rencana kerja sebagai acuan utama secara konsisten, termasuk pada hari yang sibuk.</t>
  </si>
  <si>
    <t>Rencana kerjanya menjadi contoh disiplin bagi rekan.</t>
  </si>
  <si>
    <t>Bertindak hanya setelah masalah terjadi dan terlihat jelas.</t>
  </si>
  <si>
    <t>Menyadari potensi masalah, tidak bertindak sebelum terjadi.</t>
  </si>
  <si>
    <t>Bertindak mencegah masalah yang sudah sering terjadi.</t>
  </si>
  <si>
    <t>Bertindak mencegah masalah yang BELUM terjadi berdasarkan tanda-tanda awal.</t>
  </si>
  <si>
    <t>Antisipasinya menjadi kebiasaan yang diikuti unit.</t>
  </si>
  <si>
    <t>Menyerah setelah hambatan pertama yang berarti.</t>
  </si>
  <si>
    <t>Bertahan sebentar, lalu melambat dan akhirnya berhenti.</t>
  </si>
  <si>
    <t>Bertahan dengan dukungan rutin dari atasan atau mentor.</t>
  </si>
  <si>
    <t>Bertahan mandiri melewati hambatan berulang dalam rentang waktu berbulan-bulan.</t>
  </si>
  <si>
    <t>Ketekunannya menular kepada rekan yang hampir menyerah.</t>
  </si>
  <si>
    <t>Berhenti tanpa mencoba cara lain ketika hambatan muncul.</t>
  </si>
  <si>
    <t>Melanjutkan hanya setelah didorong berulang oleh atasan.</t>
  </si>
  <si>
    <t>Melanjutkan dengan sesekali butuh dorongan.</t>
  </si>
  <si>
    <t>Melanjutkan usaha atas kemauan sendiri, mencari cara baru tanpa harus terus didorong.</t>
  </si>
  <si>
    <t>Menjadi sumber dorongan bagi rekan lain yang hampir menyerah.</t>
  </si>
  <si>
    <t>Mengulang cara yang sama meski terus gagal, tanpa mengevaluasi.</t>
  </si>
  <si>
    <t>Menyadari cara tidak berhasil, tetapi tetap mengulanginya.</t>
  </si>
  <si>
    <t>Mengubah taktik setelah gagal berulang kali.</t>
  </si>
  <si>
    <t>Membedakan kegagalan taktik dari kegagalan tujuan — mengubah cara secepat mungkin, tetap berkomitmen pada tujuan.</t>
  </si>
  <si>
    <t>Perubahan taktiknya menjadi contoh cara bertahan yang bijak, bukan sekadar ngotot.</t>
  </si>
  <si>
    <t>Berhenti total setelah kegagalan besar.</t>
  </si>
  <si>
    <t>Butuh waktu lama dan dorongan kuat untuk melanjutkan setelah gagal besar.</t>
  </si>
  <si>
    <t>Melanjutkan setelah kegagalan besar dengan dukungan.</t>
  </si>
  <si>
    <t>Memutuskan sendiri untuk melanjutkan setelah kegagalan signifikan, menyusun cara baru.</t>
  </si>
  <si>
    <t>Kegagalan besar justru menjadi titik balik yang memperkuat pencapaian berikutnya.</t>
  </si>
  <si>
    <t>Tidak merefleksikan hasil target sama sekali.</t>
  </si>
  <si>
    <t>Menyadari target tercapai atau tidak, tidak menelusuri sebabnya.</t>
  </si>
  <si>
    <t>Menelusuri sebab target yang meleset pada pekerjaannya sendiri.</t>
  </si>
  <si>
    <t>Menelusuri sebab pada tingkat tim, termasuk target yang dianggap sudah cukup baik.</t>
  </si>
  <si>
    <t>Menjadi rujukan tim untuk memahami mengapa target tercapai atau gagal.</t>
  </si>
  <si>
    <t>Tidak menarik pelajaran dari target yang meleset.</t>
  </si>
  <si>
    <t>Menarik pelajaran, tetapi berhenti sebagai kesadaran.</t>
  </si>
  <si>
    <t>Menetapkan tindakan perbaikan, tidak selalu diterapkan pada target berikutnya.</t>
  </si>
  <si>
    <t>Pelajaran diubah menjadi tindakan yang dijalankan, dengan bukti pencapaian target membaik.</t>
  </si>
  <si>
    <t>Tindakan perbaikannya menjadi kebiasaan baku tim.</t>
  </si>
  <si>
    <t>Target tim yang gagal dibahas dengan mencari siapa yang salah.</t>
  </si>
  <si>
    <t>Dibahas, tetapi anggota tim menahan diri karena takut disalahkan.</t>
  </si>
  <si>
    <t>Dibahas terbuka pada kasus yang tidak terlalu sensitif.</t>
  </si>
  <si>
    <t>Memimpin pembahasan kegagalan target secara terbuka termasuk kasus signifikan, tanpa mencari kambing hitam.</t>
  </si>
  <si>
    <t>Tim secara mandiri membahas kegagalan target mereka tanpa perlu dipimpin.</t>
  </si>
  <si>
    <t>Perbaikan hanya berupa pengingat lisan kepada individu.</t>
  </si>
  <si>
    <t>Perbaikan dicatat, tidak ada perubahan cara kerja tim.</t>
  </si>
  <si>
    <t>Perbaikan diterapkan pada kasus yang sama bila muncul lagi.</t>
  </si>
  <si>
    <t>Perbaikan diubah menjadi perubahan cara kerja tim, sehingga target yang sama tidak berulang gagal.</t>
  </si>
  <si>
    <t>Cara kerja yang diperbaikinya diadopsi unit lain.</t>
  </si>
  <si>
    <t>Kehilangan fokus sepenuhnya saat tertekan.</t>
  </si>
  <si>
    <t>Sering terganggu, sulit menyelesaikan tugas kritis.</t>
  </si>
  <si>
    <t>Tetap fokus dengan dukungan atasan atau rekan.</t>
  </si>
  <si>
    <t>Tetap fokus secara mandiri meski beban tinggi, tanpa dukungan terus-menerus.</t>
  </si>
  <si>
    <t>Fokusnya menenangkan orang lain di sekitarnya yang ikut tertekan.</t>
  </si>
  <si>
    <t>Kualitas turun drastis saat beban tinggi.</t>
  </si>
  <si>
    <t>Kualitas turun cukup terasa, meski pekerjaan selesai.</t>
  </si>
  <si>
    <t>Kualitas relatif terjaga pada beban yang familiar.</t>
  </si>
  <si>
    <t>Kualitas tidak menurun dibanding periode normal, dibuktikan dengan data, bahkan pada beban yang belum familiar.</t>
  </si>
  <si>
    <t>Kualitasnya justru meningkat saat tertekan, karena prioritas menjadi lebih jelas.</t>
  </si>
  <si>
    <t>Menambah kepanikan saat situasi sudah tertekan.</t>
  </si>
  <si>
    <t>Tetap tenang untuk dirinya sendiri, tidak menenangkan orang lain.</t>
  </si>
  <si>
    <t>Menenangkan sebagian orang di sekitarnya.</t>
  </si>
  <si>
    <t>Secara aktif menenangkan situasi dan orang di sekitarnya saat tekanan tinggi.</t>
  </si>
  <si>
    <t>Kehadirannya menjadi jangkar ketenangan bagi seluruh tim.</t>
  </si>
  <si>
    <t>Hambatan hanya dilewati, tidak dimanfaatkan.</t>
  </si>
  <si>
    <t>Menyadari ada peluang dalam hambatan, tidak menindaklanjuti.</t>
  </si>
  <si>
    <t>Memanfaatkan sebagian peluang dari hambatan.</t>
  </si>
  <si>
    <t>Mengubah hambatan bertekanan menjadi momentum yang mendorong hasil lebih baik dari perkiraan awal.</t>
  </si>
  <si>
    <t>Pola ini menjadi kebiasaan tim: hambatan besar justru menjadi titik lompatan.</t>
  </si>
  <si>
    <t>Ditangani sambil berjalan; kekurangan baru terlihat setelah mulai.</t>
  </si>
  <si>
    <t>Diperkirakan garis besar sebelum mulai.</t>
  </si>
  <si>
    <t>Dihitung rinci sebelum pelaksanaan, untuk keempat kategori.</t>
  </si>
  <si>
    <t>Perhitungan rinci sebelum mulai menjadi kebiasaan tetap, termasuk untuk target yang menantang.</t>
  </si>
  <si>
    <t>Metode perhitungannya dipakai unit lain.</t>
  </si>
  <si>
    <t>Mengalokasikan berdasarkan siapa yang meminta lebih dulu.</t>
  </si>
  <si>
    <t>Menyadari perlunya prioritas, keputusan tetap tidak konsisten.</t>
  </si>
  <si>
    <t>Mengalokasikan berdasarkan prioritas yang ditetapkan atasan.</t>
  </si>
  <si>
    <t>Menetapkan kriteria prioritas sendiri dan menerapkannya konsisten meski mengecewakan pihak tertentu.</t>
  </si>
  <si>
    <t>Kriteria prioritasnya diadopsi sebagai standar organisasi.</t>
  </si>
  <si>
    <t>Tidak mempertimbangkan kemungkinan gagal.</t>
  </si>
  <si>
    <t>Menyadari risiko, tidak menyiapkan langkah apa pun.</t>
  </si>
  <si>
    <t>Mencatat daftar risiko generik tanpa langkah cadangan.</t>
  </si>
  <si>
    <t>Mengidentifikasi kendala PALING MUNGKIN berdasarkan riwayat dan menyiapkan langkah cadangan spesifik.</t>
  </si>
  <si>
    <t>Daftar kendala dan cadangannya menjadi rujukan unit lain.</t>
  </si>
  <si>
    <t>Menetapkan target sesuai standar organisasi, tidak melampauinya.</t>
  </si>
  <si>
    <t>Menetapkan target lebih tinggi tanpa menghitung sumber dayanya.</t>
  </si>
  <si>
    <t>Menetapkan target lebih tinggi dengan perhitungan sumber daya kasar.</t>
  </si>
  <si>
    <t>Menetapkan target di atas standar manajemen dengan perhitungan sumber daya yang rinci dan mencapainya.</t>
  </si>
  <si>
    <t>Target yang ditetapkan menjadi acuan baru bagi organisasi.</t>
  </si>
  <si>
    <t>Menerima standar yang berlaku apa adanya.</t>
  </si>
  <si>
    <t>Menaikkan standar hanya ketika diminta.</t>
  </si>
  <si>
    <t>Menaikkan standar dengan pembanding kinerja sendiri.</t>
  </si>
  <si>
    <t>Menetapkan standar berdasarkan pembanding eksternal, dan mampu menjelaskan mengapa batas itu dipilih.</t>
  </si>
  <si>
    <t>Standar yang ia tetapkan menjadi acuan bagi organisasi.</t>
  </si>
  <si>
    <t>Menuntut standar tinggi dari orang lain tanpa menerapkannya sendiri.</t>
  </si>
  <si>
    <t>Menerapkan standar yang sama dengan timnya.</t>
  </si>
  <si>
    <t>Menetapkan standar pribadi lebih tinggi, disimpan untuk diri sendiri.</t>
  </si>
  <si>
    <t>Menetapkan standar pribadi lebih tinggi, mengumumkannya, dan melaporkan hasilnya apa adanya.</t>
  </si>
  <si>
    <t>Standar pribadinya menjadi rujukan yang ditiru tanpa diminta.</t>
  </si>
  <si>
    <t>Standar bergantung sepenuhnya pada pengawasannya.</t>
  </si>
  <si>
    <t>Standar dituliskan tanpa pemeriksaan dan konsekuensi.</t>
  </si>
  <si>
    <t>Standar berjalan dengan peserta sebagai pemeriksanya.</t>
  </si>
  <si>
    <t>Standar memiliki pemilik selain dirinya, irama peninjauan, konsekuensi, dan terbukti berjalan tanpa keterlibatannya.</t>
  </si>
  <si>
    <t>Standar menjadi budaya kerja yang dijaga sendiri oleh pelaksananya.</t>
  </si>
  <si>
    <t>Standar dikorbankan atau dilanggar demi mencapai target.</t>
  </si>
  <si>
    <t>Standar dipertahankan tetapi integritas kadang dikompromikan di bawah tekanan.</t>
  </si>
  <si>
    <t>Standar dan integritas keduanya dijaga pada situasi normal.</t>
  </si>
  <si>
    <t>Standar dan integritas keduanya dijaga bahkan di bawah tekanan pencapaian target yang tinggi.</t>
  </si>
  <si>
    <t>Organisasi dikenal mencapai hasil terbaik tanpa mengorbankan integritas, bahkan oleh pihak eksternal.</t>
  </si>
  <si>
    <t>Defensif; membenarkan diri saat dikritik.</t>
  </si>
  <si>
    <t>Menerima meski terasa tidak nyaman, tanpa membantah.</t>
  </si>
  <si>
    <t>Cukup terbuka dan memahami inti kritik.</t>
  </si>
  <si>
    <t>Meminta klarifikasi untuk memahami lebih dalam dan memperbaiki diri berdasarkan kritik itu.</t>
  </si>
  <si>
    <t>Secara aktif mencari kritik, tidak menunggu diberi.</t>
  </si>
  <si>
    <t>Menyalahkan faktor eksternal atau orang lain.</t>
  </si>
  <si>
    <t>Mengakui hanya kesalahan yang kecil dan tidak berisiko.</t>
  </si>
  <si>
    <t>Mengakui di sebagian besar situasi.</t>
  </si>
  <si>
    <t>Konsisten mengakui dan memperbaiki, bahkan pada kesalahan yang berdampak besar.</t>
  </si>
  <si>
    <t>Menjadikan kesalahannya pembelajaran terbuka bagi orang lain.</t>
  </si>
  <si>
    <t>Reaksi berubah-ubah tergantung siapa yang mengkritik atau seberapa besar kesalahannya.</t>
  </si>
  <si>
    <t>Konsisten hanya pada situasi yang tidak mengancam.</t>
  </si>
  <si>
    <t>Konsisten pada sebagian besar situasi rutin.</t>
  </si>
  <si>
    <t>Konsisten menerima kritik dan mengakui kesalahan bahkan pada situasi yang mengancam reputasi atau berdampak besar.</t>
  </si>
  <si>
    <t>Konsistensinya menjadi contoh bagi rekan kerja.</t>
  </si>
  <si>
    <t>Pihak lain menganggapnya defensif dan sulit menerima masukan.</t>
  </si>
  <si>
    <t>Pihak lain menganggapnya menerima secara pasif tanpa perubahan nyata.</t>
  </si>
  <si>
    <t>Pihak lain menganggapnya cukup terbuka pada sebagian kesempatan.</t>
  </si>
  <si>
    <t>Pihak lain secara konsisten mengonfirmasi keterbukaan dan ownership-nya.</t>
  </si>
  <si>
    <t>Pihak lain merasa nyaman memberi kritik jujur karena responsnya yang selalu terbuka.</t>
  </si>
  <si>
    <t>Tidak pernah meminta feedback sendiri.</t>
  </si>
  <si>
    <t>Meminta feedback hanya jika diminta atasan.</t>
  </si>
  <si>
    <t>Meminta feedback secara rutin dari sumber yang umum.</t>
  </si>
  <si>
    <t>Meminta feedback secara rutin, spesifik, dan dari sumber yang beragam.</t>
  </si>
  <si>
    <t>Mencari feedback menjadi kebiasaan yang berjalan otomatis.</t>
  </si>
  <si>
    <t>Tidak memiliki gambaran tentang kekuatan dan kelemahan diri.</t>
  </si>
  <si>
    <t>Memiliki gambaran diri hanya berdasarkan asesmen formal sesekali.</t>
  </si>
  <si>
    <t>Merefleksikan gambaran diri setelah pengalaman penting.</t>
  </si>
  <si>
    <t>Mengevaluasi gambaran diri secara rutin dan didukung bukti, dikonfirmasi akurat oleh pihak ketiga.</t>
  </si>
  <si>
    <t>Gambaran dirinya menjadi rujukan yang dipercaya bahkan oleh orang lain.</t>
  </si>
  <si>
    <t>Gambaran diri tidak pernah dipakai untuk memutuskan apa pun.</t>
  </si>
  <si>
    <t>Gambaran diri dipakai hanya ketika ditanya dalam asesmen formal.</t>
  </si>
  <si>
    <t>Gambaran diri kadang mempengaruhi pilihan tugas sehari-hari.</t>
  </si>
  <si>
    <t>Gambaran diri secara sadar dipakai untuk memilih peran, tugas, atau rencana pengembangan.</t>
  </si>
  <si>
    <t>Menjadi dasar keputusan karier yang konsisten dari waktu ke waktu.</t>
  </si>
  <si>
    <t>Hanya bertanya kepada satu sumber yang sama.</t>
  </si>
  <si>
    <t>Bertanya kepada beberapa sumber dengan pertanyaan umum.</t>
  </si>
  <si>
    <t>Bertanya spesifik kepada sumber yang familiar.</t>
  </si>
  <si>
    <t>Bertanya spesifik kepada sumber yang beragam, termasuk yang di luar struktur hierarki biasa.</t>
  </si>
  <si>
    <t>Dikenal sebagai orang yang secara terbuka mencari masukan dari siapa pun yang relevan.</t>
  </si>
  <si>
    <t>Tidak pernah merefleksikan pengalaman kerja.</t>
  </si>
  <si>
    <t>Merefleksikan jarang, hanya insiden besar.</t>
  </si>
  <si>
    <t>Merefleksikan setelah pengalaman penting.</t>
  </si>
  <si>
    <t>Merefleksikan secara rutin dengan kedalaman yang menghasilkan perubahan tindakan nyata.</t>
  </si>
  <si>
    <t>Refleksi menjadi kebiasaan otomatis yang tidak perlu diingatkan.</t>
  </si>
  <si>
    <t>Menganggap pengembangan dirinya tanggung jawab perusahaan atau HC.</t>
  </si>
  <si>
    <t>Merencanakan pengembangan hanya ketika diminta secara formal.</t>
  </si>
  <si>
    <t>Mandiri mencari pengembangan yang relevan dengan tugas saat ini.</t>
  </si>
  <si>
    <t>Membuat rencana pengembangan untuk tuntutan MASA DEPAN dan menerapkannya secara mandiri, tanpa menunggu ditugaskan.</t>
  </si>
  <si>
    <t>Terus mengembangkan diri melampaui kebutuhan perannya saat ini.</t>
  </si>
  <si>
    <t>Tidak memikirkan pengembangan sama sekali, baik masa lalu maupun masa depan.</t>
  </si>
  <si>
    <t>Hanya bereaksi atas pengalaman yang sudah terjadi.</t>
  </si>
  <si>
    <t>Sesekali memikirkan kebutuhan masa depan, tanpa rencana konkret.</t>
  </si>
  <si>
    <t>Secara seimbang merefleksikan pengalaman lalu DAN merencanakan kebutuhan masa depan.</t>
  </si>
  <si>
    <t>Kesadaran masa depan menjadi pendorong utama pembelajaran sehari-harinya.</t>
  </si>
  <si>
    <t>Pembelajaran dan rencana tidak pernah diterapkan.</t>
  </si>
  <si>
    <t>Diterapkan sesekali tanpa hasil yang terlihat.</t>
  </si>
  <si>
    <t>Diterapkan dan menghasilkan perbaikan kecil.</t>
  </si>
  <si>
    <t>Diterapkan secara konsisten dan menghasilkan perkembangan kapasitas yang terlihat jelas.</t>
  </si>
  <si>
    <t>Perkembangannya menjadi contoh bagi rekan sejawat.</t>
  </si>
  <si>
    <t>Menilai diri sepenuhnya berdasarkan perasaan atau asumsi pribadi.</t>
  </si>
  <si>
    <t>Memakai bukti hanya ketika diminta dalam asesmen formal.</t>
  </si>
  <si>
    <t>Memakai bukti pada sebagian aspek, sisanya masih berbasis persepsi.</t>
  </si>
  <si>
    <t>Secara konsisten menilai diri berdasarkan bukti — data, hasil kerja, feedback — pada seluruh aspek penting.</t>
  </si>
  <si>
    <t>Penilaiannya menjadi rujukan karena selalu didukung bukti yang kuat.</t>
  </si>
  <si>
    <t>Gambaran dirinya jauh berbeda dari penilaian pihak ketiga.</t>
  </si>
  <si>
    <t>Gambaran dirinya cukup berbeda, terkoreksi hanya setelah diberi tahu.</t>
  </si>
  <si>
    <t>Gambaran dirinya mendekati penilaian pihak ketiga pada aspek yang familiar.</t>
  </si>
  <si>
    <t>Gambaran dirinya konsisten mendekati atau sama dengan penilaian pihak ketiga yang independen.</t>
  </si>
  <si>
    <t>Kalibrasinya begitu tajam sehingga dapat memprediksi penilaian pihak ketiga sebelum diberikan.</t>
  </si>
  <si>
    <t>Menilai diri hanya terhadap standar peran saat ini.</t>
  </si>
  <si>
    <t>Menyadari standar peran lebih tinggi ada, tidak menilai diri terhadapnya.</t>
  </si>
  <si>
    <t>Menilai diri terhadap standar peran lebih tinggi pada sebagian aspek.</t>
  </si>
  <si>
    <t>Secara rutin menilai kesiapan diri terhadap standar peran yang lebih tinggi menggunakan bukti konkret.</t>
  </si>
  <si>
    <t>Penilaian kesiapannya menjadi dasar keputusan promosi yang objektif.</t>
  </si>
  <si>
    <t>Menolak atau membantah fakta yang tidak menyenangkan tentang dirinya.</t>
  </si>
  <si>
    <t>Menerima fakta tidak menyenangkan dengan berat hati, tanpa tindak lanjut.</t>
  </si>
  <si>
    <t>Menerima dan menindaklanjuti fakta yang tidak terlalu mengancam.</t>
  </si>
  <si>
    <t>Menerima dan menindaklanjuti fakta yang tidak menyenangkan bahkan pada area yang mengancam citra dirinya.</t>
  </si>
  <si>
    <t>Secara aktif mencari fakta yang tidak menyenangkan sebagai bahan kalibrasi.</t>
  </si>
  <si>
    <t>Bereaksi impulsif tanpa jeda.</t>
  </si>
  <si>
    <t>Menyadari reaksi berlebihan setelah terjadi.</t>
  </si>
  <si>
    <t>Mengenali emosi yang muncul dan memilih responsnya, meski butuh usaha.</t>
  </si>
  <si>
    <t>Secara konsisten memberi jeda sebelum merespons, tetap tenang dan profesional.</t>
  </si>
  <si>
    <t>Jedanya menjadi kebiasaan otomatis bahkan pada tekanan ekstrem.</t>
  </si>
  <si>
    <t>Keputusan yang diambil saat emosi tinggi sering keliru atau terburu-buru.</t>
  </si>
  <si>
    <t>Keputusan tertunda karena emosi, diambil setelah tenang kembali.</t>
  </si>
  <si>
    <t>Keputusan cukup baik pada tekanan yang sedang.</t>
  </si>
  <si>
    <t>Keputusan tetap berkualitas meski diambil saat emosi tinggi, dikonfirmasi hasilnya.</t>
  </si>
  <si>
    <t>Keputusannya justru lebih tajam karena mampu memanfaatkan energi dari tekanan.</t>
  </si>
  <si>
    <t>Terlihat panik atau reaktif oleh orang di sekitarnya.</t>
  </si>
  <si>
    <t>Terlihat tenang di permukaan, tetapi ketegangan terasa.</t>
  </si>
  <si>
    <t>Terlihat tenang pada situasi yang tidak terlalu berat.</t>
  </si>
  <si>
    <t>Konsisten terlihat tenang dan profesional bahkan pada situasi yang berat.</t>
  </si>
  <si>
    <t>Ketenangannya menjadi jangkar bagi tim di sekitarnya.</t>
  </si>
  <si>
    <t>Ikut terpengaruh emosi orang lain di sekitarnya.</t>
  </si>
  <si>
    <t>Menjaga emosinya sendiri, tidak memperhatikan emosi orang lain.</t>
  </si>
  <si>
    <t>Sesekali membantu menenangkan orang lain pada situasi ringan.</t>
  </si>
  <si>
    <t>Secara aktif menenangkan orang lain yang emosional, dikonfirmasi pihak yang ditenangkan.</t>
  </si>
  <si>
    <t>Menjadi orang yang secara otomatis dicari saat situasi memanas.</t>
  </si>
  <si>
    <t>Hanya melihat peristiwa tunggal, tidak melihat keterkaitan antar peristiwa.</t>
  </si>
  <si>
    <t>Menyadari ada pola, tidak menganalisis bias yang mendasarinya.</t>
  </si>
  <si>
    <t>Mengenali bias yang mendasari sebagian pola.</t>
  </si>
  <si>
    <t>Menyintesis banyak peristiwa menjadi pola yang jelas dan mengidentifikasi bias yang mendasarinya secara akurat.</t>
  </si>
  <si>
    <t>Kemampuannya melihat pola menjadi rujukan bagi orang lain yang ingin memahami dirinya sendiri.</t>
  </si>
  <si>
    <t>Tidak dapat memprediksi bagaimana dirinya akan bereaksi.</t>
  </si>
  <si>
    <t>Memprediksi setelah kejadian terjadi, bukan sebelumnya.</t>
  </si>
  <si>
    <t>Memprediksi pada situasi yang sudah sangat familiar.</t>
  </si>
  <si>
    <t>Memprediksi reaksi diri secara akurat pada situasi baru yang bertekanan, berdasarkan pola yang dikenali.</t>
  </si>
  <si>
    <t>Prediksinya memungkinkan mengelola reaksi sebelum situasi bahkan dimulai.</t>
  </si>
  <si>
    <t>Perilaku sehari-hari sering tidak konsisten dengan nilai yang diucapkan.</t>
  </si>
  <si>
    <t>Konsisten hanya ketika diawasi atau dalam situasi formal.</t>
  </si>
  <si>
    <t>Konsisten pada situasi normal, goyah saat tertekan.</t>
  </si>
  <si>
    <t>Perilaku tetap konsisten dengan nilai yang diyakini bahkan di bawah tekanan tinggi.</t>
  </si>
  <si>
    <t>Menjadi role model autentisitas yang diakui secara luas di organisasi.</t>
  </si>
  <si>
    <t>Pembelajaran tentang diri hanya untuk kepentingan sendiri.</t>
  </si>
  <si>
    <t>Membagikan pembelajaran hanya ketika ditanya langsung.</t>
  </si>
  <si>
    <t>Membagikan pembelajaran pada kesempatan informal yang terbatas.</t>
  </si>
  <si>
    <t>Secara aktif berperan sebagai mentor/coach/narasumber, membagikan pola dan pembelajaran pribadi secara terstruktur.</t>
  </si>
  <si>
    <t>Menjadi rujukan organisasi untuk pengembangan kesadaran diri bagi talent lain.</t>
  </si>
  <si>
    <t>Hasil kerja sering tidak memenuhi standar.</t>
  </si>
  <si>
    <t>Memenuhi standar pada tugas familiar, menurun pada tugas baru.</t>
  </si>
  <si>
    <t>Hasil kerja stabil memenuhi standar; revisi masih terjadi pada hal kecil.</t>
  </si>
  <si>
    <t>Diterima tanpa revisi pada sebagian besar penyerahan.</t>
  </si>
  <si>
    <t>Hasil kerjanya dipakai sebagai contoh standar.</t>
  </si>
  <si>
    <t>Sering terlambat.</t>
  </si>
  <si>
    <t>Tepat waktu bila hanya satu tugas.</t>
  </si>
  <si>
    <t>Sebagian besar penyerahan tepat waktu.</t>
  </si>
  <si>
    <t>Hampir seluruh penyerahan tepat waktu termasuk saat beban bertambah.</t>
  </si>
  <si>
    <t>Menyelesaikan lebih awal secara konsisten.</t>
  </si>
  <si>
    <t>Mutu dan waktu tidak dapat diperkirakan.</t>
  </si>
  <si>
    <t>Baik pada sebagian periode, menurun pada periode lain.</t>
  </si>
  <si>
    <t>Cukup diandalkan pada pekerjaan rutin.</t>
  </si>
  <si>
    <t>Angka ketepatan waktu dan bebas-revisi bertahan tinggi beberapa bulan berturut-turut.</t>
  </si>
  <si>
    <t>Diberi pekerjaan paling kritis karena keandalannya.</t>
  </si>
  <si>
    <t>Mulai mengerjakan tanpa memastikan standar dan tenggat.</t>
  </si>
  <si>
    <t>Menanyakan tenggat, tidak menyepakati kriteria selesai.</t>
  </si>
  <si>
    <t>Menyepakati hasil dan tenggat di muka pada permintaan penting.</t>
  </si>
  <si>
    <t>Menyepakati kriteria dan tenggat di muka pada hampir seluruh permintaan.</t>
  </si>
  <si>
    <t>Kriteria yang disepakati menjadi acuan baku antar unit.</t>
  </si>
  <si>
    <t>Menerima rencana kerja apa adanya tanpa menguji.</t>
  </si>
  <si>
    <t>Bertanya untuk memastikan fakta dasar rencana.</t>
  </si>
  <si>
    <t>Bertanya untuk memahami alasan di balik rencana.</t>
  </si>
  <si>
    <t>Menguji asumsi yang mendasari rencana kerja sebelum dijalankan.</t>
  </si>
  <si>
    <t>Membangun kerangka berpikir baru saat informasi yang ada saling bertentangan.</t>
  </si>
  <si>
    <t>Mengurutkan berdasarkan yang datang lebih dulu.</t>
  </si>
  <si>
    <t>Mengurutkan berdasarkan kemudahan atau siapa yang paling banyak menanyakan.</t>
  </si>
  <si>
    <t>Mengurutkan berdasarkan tenggat waktu dan tingkat kepentingan.</t>
  </si>
  <si>
    <t>Mengurutkan dengan mempertimbangkan keterkaitan antar tugas dan ketergantungan pada pihak lain.</t>
  </si>
  <si>
    <t>Mengurutkan berdasarkan dampak terhadap tujuan yang lebih besar, dan meninjau ulang saat situasi berubah.</t>
  </si>
  <si>
    <t>Menunggu diarahkan untuk menguji atau mengurutkan.</t>
  </si>
  <si>
    <t>Menguji/mengurutkan dengan bimbingan penuh.</t>
  </si>
  <si>
    <t>Menguji/mengurutkan mandiri pada situasi familiar.</t>
  </si>
  <si>
    <t>Menguji/mengurutkan mandiri pada situasi baru, meminta verifikasi bukan bimbingan.</t>
  </si>
  <si>
    <t>Menjadi tempat rekan meminta verifikasi atas pengujian dan pengurutan mereka.</t>
  </si>
  <si>
    <t>Bertahan pada urutan lama meski situasi berubah.</t>
  </si>
  <si>
    <t>Meninjau ulang hanya ketika diperintahkan.</t>
  </si>
  <si>
    <t>Meninjau ulang pada perubahan yang jelas terlihat.</t>
  </si>
  <si>
    <t>Meninjau ulang urutan secara proaktif ketika situasi berubah, dan mengkomunikasikannya kepada pihak terkait.</t>
  </si>
  <si>
    <t>Peninjauan ulangnya menjadi kebiasaan yang membuat unit tetap adaptif.</t>
  </si>
  <si>
    <t>Menunda keputusan sampai data lengkap.</t>
  </si>
  <si>
    <t>Memutuskan setelah menunggu, meski tenggat terlewat.</t>
  </si>
  <si>
    <t>Memutuskan tepat waktu pada perkara familiar.</t>
  </si>
  <si>
    <t>Menetapkan sendiri batas informasi minimum dan bergerak pada batas itu, termasuk perkara baru.</t>
  </si>
  <si>
    <t>Memutuskan lebih awal ketika penundaan justru lebih berisiko.</t>
  </si>
  <si>
    <t>Memutuskan berdasarkan kebiasaan tanpa dasar jelas.</t>
  </si>
  <si>
    <t>Memilih opsi yang terpikir lebih dulu tanpa membandingkan.</t>
  </si>
  <si>
    <t>Memilih opsi paling masuk akal dengan pertimbangan yang dapat dijelaskan.</t>
  </si>
  <si>
    <t>Menyusun minimal dua opsi beserta risiko terburuknya, menyatakan asumsi, menetapkan pemicu revisi.</t>
  </si>
  <si>
    <t>Memakai pelajaran sebelumnya dan pertimbangan jangka panjang.</t>
  </si>
  <si>
    <t>Menyusun rencana tanpa menyadari bagian mana yang berupa asumsi.</t>
  </si>
  <si>
    <t>Menyadari ada asumsi, tidak menandainya secara eksplisit.</t>
  </si>
  <si>
    <t>Menandai sebagian asumsi pada rencana yang penting.</t>
  </si>
  <si>
    <t>Menandai asumsi kunci secara eksplisit pada rencana jangka panjang dan meninjau ulang secara terjadwal.</t>
  </si>
  <si>
    <t>Kerangka penandaan asumsinya dipakai unit lain.</t>
  </si>
  <si>
    <t>Keputusan sering meleset jauh dari informasi yang tersedia.</t>
  </si>
  <si>
    <t>Keputusan cukup tepat pada situasi sederhana.</t>
  </si>
  <si>
    <t>Keputusan tepat pada sebagian besar situasi familiar.</t>
  </si>
  <si>
    <t>Keputusan konsisten tepat berdasarkan informasi yang tersedia SAAT diambil.</t>
  </si>
  <si>
    <t>Keputusannya menjadi rujukan cara memutuskan pada situasi serupa.</t>
  </si>
  <si>
    <t>Bertahan pada strategi yang sudah jelas gagal.</t>
  </si>
  <si>
    <t>Menyadari setelah dampaknya besar.</t>
  </si>
  <si>
    <t>Menyadari setelah diarahkan pihak lain.</t>
  </si>
  <si>
    <t>Mendeteksi tanda ketidakefektifan secara mandiri dan real-time, sebelum dampak besar terjadi.</t>
  </si>
  <si>
    <t>Mendeteksi dan mengubah sebelum dampaknya terasa oleh pihak lain.</t>
  </si>
  <si>
    <t>Tidak mengubah strategi tanpa diperintah.</t>
  </si>
  <si>
    <t>Mengubah hanya setelah diminta secara eksplisit.</t>
  </si>
  <si>
    <t>Mengubah setelah diarahkan, dengan sedikit inisiatif sendiri.</t>
  </si>
  <si>
    <t>Mengubah pendekatan secara mandiri tanpa menunggu diminta, dalam batas kewenangannya.</t>
  </si>
  <si>
    <t>Kemandiriannya menular; tim ikut berani mengubah pendekatan tanpa menunggu arahan.</t>
  </si>
  <si>
    <t>Merespons jauh setelah kerugian terjadi.</t>
  </si>
  <si>
    <t>Merespons setelah kerugian cukup terasa.</t>
  </si>
  <si>
    <t>Merespons dalam waktu wajar setelah tanda muncul.</t>
  </si>
  <si>
    <t>Merespons cepat begitu tanda ketidakefektifan terlihat, sebelum kerugian membesar.</t>
  </si>
  <si>
    <t>Responsnya menjadi standar kecepatan bagi unit.</t>
  </si>
  <si>
    <t>Tidak menyiapkan rencana alternatif untuk kendala jangka panjang.</t>
  </si>
  <si>
    <t>Menyiapkan rencana alternatif hanya setelah kendala benar-benar terjadi.</t>
  </si>
  <si>
    <t>Menyiapkan rencana alternatif untuk kendala yang sudah jelas.</t>
  </si>
  <si>
    <t>Mengidentifikasi kendala strategis jangka panjang dan menyusun rencana alternatif di muka.</t>
  </si>
  <si>
    <t>Rencana alternatifnya menjadi acuan bagi unit lain.</t>
  </si>
  <si>
    <t>Ditangani sambil berjalan.</t>
  </si>
  <si>
    <t>Dihitung rinci sebelum pelaksanaan, keempat kategori.</t>
  </si>
  <si>
    <t>Perhitungan rinci sebelum mulai menjadi kebiasaan tetap.</t>
  </si>
  <si>
    <t>Menyadari perlunya prioritas, keputusan tidak konsisten.</t>
  </si>
  <si>
    <t>Mengalokasikan berdasarkan prioritas atasan.</t>
  </si>
  <si>
    <t>Menetapkan kriteria prioritas sendiri dan konsisten menerapkannya.</t>
  </si>
  <si>
    <t>Menyadari risiko, tidak menyiapkan langkah.</t>
  </si>
  <si>
    <t>Mengidentifikasi kendala PALING MUNGKIN berdasarkan riwayat dan menyiapkan cadangan.</t>
  </si>
  <si>
    <t>Kendala ditangani ad hoc.</t>
  </si>
  <si>
    <t>Rencana cadangan disusun tetapi tidak diperiksa lagi.</t>
  </si>
  <si>
    <t>Rencana cadangan dipakai ketika kendala terjadi.</t>
  </si>
  <si>
    <t>Rencana cadangan berhasil menjaga pekerjaan tetap berjalan tanpa henti berarti.</t>
  </si>
  <si>
    <t>Rencana cadangannya menjadi standar penanganan kendala sejenis di luar unitnya.</t>
  </si>
  <si>
    <t>Menerima standar perencanaan yang berlaku apa adanya.</t>
  </si>
  <si>
    <t>Menetapkan standar perencanaan berdasarkan pembanding eksternal.</t>
  </si>
  <si>
    <t>Standar yang ia tetapkan menjadi acuan organisasi.</t>
  </si>
  <si>
    <t>Menuntut standar tinggi tanpa menerapkannya sendiri.</t>
  </si>
  <si>
    <t>Menetapkan standar pribadi lebih tinggi, disimpan sendiri.</t>
  </si>
  <si>
    <t>Menetapkan standar pribadi lebih tinggi, mengumumkannya, melaporkan hasilnya apa adanya.</t>
  </si>
  <si>
    <t>Sistem perencanaan bergantung sepenuhnya pada pengawasannya.</t>
  </si>
  <si>
    <t>Sistem dituliskan tanpa pemeriksaan dan konsekuensi.</t>
  </si>
  <si>
    <t>Sistem berjalan dengan peserta sebagai pemeriksanya.</t>
  </si>
  <si>
    <t>Sistem memiliki pemilik selain dirinya, irama peninjauan, dan terbukti berjalan tanpa keterlibatannya.</t>
  </si>
  <si>
    <t>Sistem menjadi kebiasaan kerja yang dijaga sendiri oleh pelaksananya.</t>
  </si>
  <si>
    <t>Rencana kerja fungsi berjalan sendiri-sendiri tanpa integrasi.</t>
  </si>
  <si>
    <t>Integrasi dilakukan hanya saat diminta.</t>
  </si>
  <si>
    <t>Rencana terintegrasi pada level dokumen, tidak diuji responsivitasnya.</t>
  </si>
  <si>
    <t>Rencana terintegrasi lintas fungsi dan terbukti responsif terhadap perubahan nyata secara cepat dan terkoordinasi.</t>
  </si>
  <si>
    <t>Menjadi model integrasi rencana kerja yang diadopsi organisasi secara luas.</t>
  </si>
  <si>
    <t>Berhenti pada gejala yang terlihat; mengambil tindakan atas gejala itu.</t>
  </si>
  <si>
    <t>Menelusuri lebih dalam ketika diarahkan, sampai penyebab yang sederhana.</t>
  </si>
  <si>
    <t>Menelusuri sampai akar masalah pada kasus yang tidak terlalu kompleks, tanpa arahan.</t>
  </si>
  <si>
    <t>Mengurai masalah yang kompleks dan berlapis sampai menemukan akar sesungguhnya, secara mandiri.</t>
  </si>
  <si>
    <t>Menelusuri akar masalah lintas fungsi dengan cepat dan akurat.</t>
  </si>
  <si>
    <t>Mencampur ketiganya; menyebut gejala sebagai penyebab.</t>
  </si>
  <si>
    <t>Membedakan ketiganya dengan bantuan mentor.</t>
  </si>
  <si>
    <t>Membedakan ketiganya sendiri pada kasus sederhana.</t>
  </si>
  <si>
    <t>Secara konsisten memisahkan gejala, akar penyebab, dan dampak pada kasus yang kompleks.</t>
  </si>
  <si>
    <t>Pemisahannya menjadi acuan bagi rekan saat menganalisis masalah serupa.</t>
  </si>
  <si>
    <t>Selalu menunggu diarahkan untuk mulai menelusuri.</t>
  </si>
  <si>
    <t>Menelusuri dengan bimbingan penuh dari mentor.</t>
  </si>
  <si>
    <t>Menelusuri mandiri pada kasus yang sudah dikenal, meminta bantuan pada kasus baru.</t>
  </si>
  <si>
    <t>Menelusuri mandiri pada kasus baru sekalipun, meminta verifikasi bukan bimbingan.</t>
  </si>
  <si>
    <t>Menjadi tempat rekan meminta verifikasi atas analisis akar masalah mereka.</t>
  </si>
  <si>
    <t>Menyimpulkan akar masalah tanpa memverifikasi ke pihak terkait.</t>
  </si>
  <si>
    <t>Memverifikasi hanya ketika diminta.</t>
  </si>
  <si>
    <t>Memverifikasi temuan pada kasus yang penting.</t>
  </si>
  <si>
    <t>Secara rutin memverifikasi akar masalah kepada pihak terkait sebelum menyimpulkan, dan merevisi bila verifikasi menunjukkan hal berbeda.</t>
  </si>
  <si>
    <t>Temuannya jarang perlu direvisi karena verifikasinya sudah menyeluruh sejak awal.</t>
  </si>
  <si>
    <t>Menerima informasi dan pengalaman sendiri sebagai kebenaran tanpa diuji.</t>
  </si>
  <si>
    <t>Bertanya untuk memastikan fakta dasar sebelum memutuskan.</t>
  </si>
  <si>
    <t>Bertanya untuk memahami alasan di balik sebuah pengalaman atau kebiasaan.</t>
  </si>
  <si>
    <t>Menguji asumsi yang mendasari pengalaman dan mencari sumber pembanding sebelum menyimpulkan.</t>
  </si>
  <si>
    <t>Merangkai kerangka berpikir sendiri ketika pengalaman dan data baru saling bertentangan.</t>
  </si>
  <si>
    <t>Tidak mempertanyakan cara kerja yang sudah lazim.</t>
  </si>
  <si>
    <t>Mempertanyakan hanya di belakang, tidak kepada sumbernya.</t>
  </si>
  <si>
    <t>Mempertanyakan secara terbuka pada hal yang jelas keliru.</t>
  </si>
  <si>
    <t>Mempertanyakan keputusan berbasis pengalaman — termasuk pengalamannya sendiri — secara terbuka sebelum memutuskan.</t>
  </si>
  <si>
    <t>Dicari orang lain untuk menguji keputusan mereka justru karena pertanyaannya tajam dan membangun.</t>
  </si>
  <si>
    <t>Memakai satu sumber, biasanya pengalaman sendiri.</t>
  </si>
  <si>
    <t>Memakai beberapa sumber yang seluruhnya menguatkan pengalamannya.</t>
  </si>
  <si>
    <t>Membandingkan beberapa sumber sebelum menyimpulkan.</t>
  </si>
  <si>
    <t>Sengaja mencari sumber yang berpotensi MEMBANTAH keputusan berbasis pengalamannya, dan mengubah keputusan ketika pembanding itu lebih kuat.</t>
  </si>
  <si>
    <t>Menemukan sumber pembanding yang sebelumnya tidak terpikir dipakai di unitnya.</t>
  </si>
  <si>
    <t>Bertanya hanya ketika terpaksa.</t>
  </si>
  <si>
    <t>Bertanya pada hal yang berkaitan langsung dengan tugasnya.</t>
  </si>
  <si>
    <t>Menunjukkan minat menggali alasan di balik pekerjaan.</t>
  </si>
  <si>
    <t>Secara rutin memeriksa keputusan berbasis pengalaman yang selama ini tidak dipertanyakan, tanpa diminta.</t>
  </si>
  <si>
    <t>Kebiasaannya menular; rekan mulai ikut mempertanyakan keputusan yang selama ini diterima begitu saja.</t>
  </si>
  <si>
    <t>Memutuskan setelah menunggu, meski tenggatnya terlewat.</t>
  </si>
  <si>
    <t>Memutuskan tepat waktu pada perkara yang sudah familiar.</t>
  </si>
  <si>
    <t>Menetapkan sendiri batas informasi minimum dan bergerak pada batas itu, termasuk pada perkara baru.</t>
  </si>
  <si>
    <t>Memutuskan berdasarkan kebiasaan tanpa dasar yang jelas.</t>
  </si>
  <si>
    <t>Memilih opsi yang paling masuk akal dengan pertimbangan yang dapat dijelaskan.</t>
  </si>
  <si>
    <t>Menyusun minimal dua opsi beserta risiko terburuknya, menyatakan asumsi, dan menetapkan pemicu revisi.</t>
  </si>
  <si>
    <t>Menghindari keputusan agar tidak menanggung akibatnya.</t>
  </si>
  <si>
    <t>Mengambil keputusan tetapi menyerahkan pertanggungjawabannya kepada atasan.</t>
  </si>
  <si>
    <t>Bertanggung jawab dan mampu menjelaskan dasarnya.</t>
  </si>
  <si>
    <t>Berani mengambil keputusan berisiko dengan konsekuensi yang jelas, dan tidak mengelak ketika keputusannya ternyata kurang tepat.</t>
  </si>
  <si>
    <t>Dipercayakan perkara yang lebih berisiko karena kesediaannya menanggung keputusan.</t>
  </si>
  <si>
    <t>Keputusan cukup tepat pada situasi yang sederhana.</t>
  </si>
  <si>
    <t>Keputusan tepat pada sebagian besar situasi yang familiar.</t>
  </si>
  <si>
    <t>Keputusan konsisten tepat berdasarkan informasi yang tersedia SAAT diambil, dinilai bukan dengan pengetahuan belakangan.</t>
  </si>
  <si>
    <t>Menghindari risiko; bertahan pada cara yang sudah pasti aman.</t>
  </si>
  <si>
    <t>Mempertimbangkan mencoba, tetapi ragu dan kembali ke cara lama.</t>
  </si>
  <si>
    <t>Mencoba pendekatan baru setelah risikonya dihitung dan dinilai kecil.</t>
  </si>
  <si>
    <t>Mencoba meski hasil akhirnya belum jelas, dengan risiko yang dihitung dan dikelola, bukan dihindari.</t>
  </si>
  <si>
    <t>Mendorong orang lain untuk berani mencoba dengan cara yang sama.</t>
  </si>
  <si>
    <t>Tidak menghitung risiko sebelum mencoba, atau tidak mencoba sama sekali.</t>
  </si>
  <si>
    <t>Menghitung risiko tetapi terlalu berhati-hati sehingga tidak pernah benar-benar mencoba.</t>
  </si>
  <si>
    <t>Menghitung risiko secara wajar untuk uji coba skala kecil.</t>
  </si>
  <si>
    <t>Menetapkan batas kerugian yang dapat diterima sebelum mencoba, dan kerugian tetap dalam batas itu ketika gagal.</t>
  </si>
  <si>
    <t>Perhitungan risikonya menjadi acuan bagi rekan yang ingin mencoba hal serupa.</t>
  </si>
  <si>
    <t>Menyembunyikan atau menutupi kegagalan uji coba.</t>
  </si>
  <si>
    <t>Melaporkan kegagalan hanya ketika ditanya.</t>
  </si>
  <si>
    <t>Melaporkan kegagalan secara terbuka pada kasus yang kecil.</t>
  </si>
  <si>
    <t>Melaporkan kegagalan secara terbuka dan cepat, menarik pembelajaran tanpa mencari pembenaran.</t>
  </si>
  <si>
    <t>Kegagalannya menjadi bahan pembelajaran yang dibagikan secara sukarela ke unit lain.</t>
  </si>
  <si>
    <t>Hanya dirinya yang berani mencoba; tim tetap menghindari risiko.</t>
  </si>
  <si>
    <t>Mengizinkan tim mencoba bila diminta, tanpa mendorong.</t>
  </si>
  <si>
    <t>Mendorong tim mencoba pada kesempatan tertentu.</t>
  </si>
  <si>
    <t>Secara aktif mendampingi anggota tim yang menghindari risiko untuk berani mencoba dengan risiko terukur.</t>
  </si>
  <si>
    <t>Membangun mekanisme yang membuat keberanian mencoba menjadi kebiasaan tim, bukan tergantung dorongannya.</t>
  </si>
  <si>
    <t>Pekerjaan berhenti sampai arah atau data jelas.</t>
  </si>
  <si>
    <t>Bergerak hanya pada bagian yang sudah pasti.</t>
  </si>
  <si>
    <t>Memutuskan setelah menunggu waktu yang wajar.</t>
  </si>
  <si>
    <t>Menetapkan batas menunggu sendiri di muka, lalu bergerak pada batas itu.</t>
  </si>
  <si>
    <t>Melihat periode belum jelas sebagai kesempatan bergerak lebih dulu.</t>
  </si>
  <si>
    <t>Berhenti berpikir jernih ketika keadaan membingungkan.</t>
  </si>
  <si>
    <t>Masih berpikir, tetapi hanya menghasilkan daftar hal belum diketahui.</t>
  </si>
  <si>
    <t>Menghasilkan analisis rapi, kesimpulan tetap menunggu data tambahan.</t>
  </si>
  <si>
    <t>Menghasilkan langkah yang tetap benar apa pun hasil akhirnya, dan menjalankannya tanpa menunggu.</t>
  </si>
  <si>
    <t>Menemukan peluang yang tidak terlihat ketika keadaan sudah jelas.</t>
  </si>
  <si>
    <t>Unit ikut berhenti ketika arah belum turun.</t>
  </si>
  <si>
    <t>Unit mengerjakan rutinitas, pekerjaan penting tertahan.</t>
  </si>
  <si>
    <t>Unit tetap berjalan karena diberi pekerjaan seadanya.</t>
  </si>
  <si>
    <t>Unit tetap menghasilkan pada periode belum jelas, disertai penjelasan jujur bahwa arah belum pasti.</t>
  </si>
  <si>
    <t>Anggota unit menemukan sendiri pekerjaan yang tetap benar.</t>
  </si>
  <si>
    <t>Tidak mempertimbangkan urgensi maupun biaya penundaan.</t>
  </si>
  <si>
    <t>Mempertimbangkan salah satu — urgensi atau biaya — tidak keduanya.</t>
  </si>
  <si>
    <t>Mempertimbangkan urgensi dan biaya pada keputusan besar.</t>
  </si>
  <si>
    <t>Menerapkan sense of urgency, cost analysis, dan risk analysis secara konsisten untuk memutuskan cepat, disertai langkah antisipasi dampak.</t>
  </si>
  <si>
    <t>Kerangkanya dipakai unit lain untuk memutuskan pada situasi serupa.</t>
  </si>
  <si>
    <t>Ikut menunggu bersama organisasi.</t>
  </si>
  <si>
    <t>Meneruskan ketidakjelasan apa adanya.</t>
  </si>
  <si>
    <t>Memberi arah segera setelah kejelasan datang.</t>
  </si>
  <si>
    <t>Memberi arah SEBELUM kejelasan datang, jujur tentang yang belum pasti.</t>
  </si>
  <si>
    <t>Fungsi-fungsi menentukan sendiri pekerjaan yang tetap benar tanpa menunggu arahan.</t>
  </si>
  <si>
    <t>Fungsi ikut berhenti.</t>
  </si>
  <si>
    <t>Rutinitas berjalan, pekerjaan penting tertahan.</t>
  </si>
  <si>
    <t>Fungsi tetap berjalan tanpa penjelasan mengapa.</t>
  </si>
  <si>
    <t>Keluaran fungsi tidak menurun, anggotanya tahu apa yang dikerjakan — dikonfirmasi mereka sendiri.</t>
  </si>
  <si>
    <t>Fungsi di luar tanggung jawabnya ikut bergerak karena arahnya.</t>
  </si>
  <si>
    <t>Membaca ketidakpastian hanya sebagai risiko.</t>
  </si>
  <si>
    <t>Menyusun mitigasi, tidak melihat kemungkinan.</t>
  </si>
  <si>
    <t>Mengenali peluang, tidak menindaklanjuti.</t>
  </si>
  <si>
    <t>Merumuskan peluang strategis dan menggerakkan pihak lain menjalankan langkah pertamanya.</t>
  </si>
  <si>
    <t>Organisasi memperoleh posisi lebih baik justru karena ketidakpastian itu.</t>
  </si>
  <si>
    <t>Tidak memiliki kerangka; setiap persoalan ditangani menurut kebiasaan.</t>
  </si>
  <si>
    <t>Memakai kerangka yang sudah ada tanpa menyesuaikan.</t>
  </si>
  <si>
    <t>Menyusun kerangka sendiri, memakainya untuk keputusannya sendiri.</t>
  </si>
  <si>
    <t>Menyusun kerangka yang dipakai fungsi lain tanpa kehadirannya, menghasilkan keputusan konsisten di sana.</t>
  </si>
  <si>
    <t>Kerangkanya menjadi cara baku organisasi menangani persoalan sejenis.</t>
  </si>
  <si>
    <t>Hasil kerja sering tidak memenuhi standar SOP.</t>
  </si>
  <si>
    <t>Memenuhi standar pada tugas familiar, menurun pada tugas baru atau saat beban tinggi.</t>
  </si>
  <si>
    <t>Diterima tanpa revisi pada sebagian besar penyerahan, karena diperiksa sendiri terhadap SOP sebelum diserahkan.</t>
  </si>
  <si>
    <t>Hasil kerjanya dipakai sebagai contoh standar; checklist-nya diadopsi rekan.</t>
  </si>
  <si>
    <t>Sering terlambat; keterlambatan baru diketahui setelah tenggat lewat.</t>
  </si>
  <si>
    <t>Tepat waktu bila hanya satu tugas; meleset saat beberapa tenggat bersamaan.</t>
  </si>
  <si>
    <t>Hampir seluruh penyerahan tepat waktu termasuk saat beban bertambah, karena waktu diperkirakan realistis.</t>
  </si>
  <si>
    <t>Angka ketepatan waktu dan bebas-revisi bertahan tinggi beberapa bulan berturut-turut, termasuk bulan tersibuk.</t>
  </si>
  <si>
    <t>Diberi pekerjaan paling kritis karena keandalannya tidak bergantung situasi.</t>
  </si>
  <si>
    <t>Menyepakati kriteria dan tenggat di muka pada hampir seluruh permintaan, memberi kabar dini dan menegosiasikan ulang SEBELUM tenggat lewat.</t>
  </si>
  <si>
    <t>Mengukur pekerjaannya dari aktivitas yang dilakukan.</t>
  </si>
  <si>
    <t>Mengikuti prosedur dan menganggap itu sudah cukup.</t>
  </si>
  <si>
    <t>Memahami untuk apa pekerjaannya dilakukan.</t>
  </si>
  <si>
    <t>Bertanggung jawab atas tercapainya tujuan akhir, bukan hanya atas berjalannya aktivitas.</t>
  </si>
  <si>
    <t>Tujuan akhir yang ia kejar menjadi acuan bagi rekan dalam menilai pekerjaan mereka sendiri.</t>
  </si>
  <si>
    <t>Tidak menetapkan ukuran keberhasilan apa pun.</t>
  </si>
  <si>
    <t>Mengukur keberhasilan dari selesainya aktivitas.</t>
  </si>
  <si>
    <t>Menetapkan target angka untuk pekerjaannya.</t>
  </si>
  <si>
    <t>Menetapkan metrik dampak SEBELUM mengerjakan, dan mengukurnya secara jujur setelah selesai.</t>
  </si>
  <si>
    <t>Metrik yang ia susun dipakai untuk menilai pekerjaan sejenis di unit lain.</t>
  </si>
  <si>
    <t>Berhenti atau menyerah ketika cara biasa tidak membawa hasil.</t>
  </si>
  <si>
    <t>Tetap mengikuti prosedur meski hasilnya jelas tidak akan tercapai.</t>
  </si>
  <si>
    <t>Mencoba cara lain ketika diminta atau ketika sudah sangat terdesak.</t>
  </si>
  <si>
    <t>Menyesuaikan proses begitu menyadari cara biasa tidak akan membawa ke tujuan akhir, tanpa melanggar batas yang penting.</t>
  </si>
  <si>
    <t>Penyesuaiannya menjadi cara baru yang dipakai untuk pekerjaan sejenis berikutnya.</t>
  </si>
  <si>
    <t>Tidak mengetahui atau memikirkan siapa yang menerima manfaat.</t>
  </si>
  <si>
    <t>Mengetahui penerima manfaatnya, tetapi tidak memeriksa apakah mereka terbantu.</t>
  </si>
  <si>
    <t>Sesekali menanyakan kepada penerima manfaat apakah hasilnya berguna.</t>
  </si>
  <si>
    <t>Secara rutin memeriksa dampak kepada penerima manfaat dan menyesuaikan pekerjaan berdasarkan itu.</t>
  </si>
  <si>
    <t>Penerima manfaat mencarinya secara khusus karena hasil kerjanya konsisten memberi nilai.</t>
  </si>
  <si>
    <t>Tidak merefleksikan hasil kerja sama sekali; berlanjut ke tugas berikutnya.</t>
  </si>
  <si>
    <t>Menyadari hasilnya baik atau buruk, tetapi tidak menelusuri sebabnya.</t>
  </si>
  <si>
    <t>Menelusuri sebab hasil yang meleset pada pekerjaannya sendiri.</t>
  </si>
  <si>
    <t>Menelusuri sebab hasil pada tingkat tim, termasuk hasil yang dianggap sudah cukup baik.</t>
  </si>
  <si>
    <t>Menjadi rujukan tim ketika ingin memahami mengapa sesuatu berhasil atau gagal.</t>
  </si>
  <si>
    <t>Tidak menarik pelajaran apa pun dari hasil kerja.</t>
  </si>
  <si>
    <t>Menarik pelajaran, tetapi berhenti sebagai kesadaran — tidak ada tindakan yang berubah.</t>
  </si>
  <si>
    <t>Menetapkan tindakan perbaikan, tetapi tidak selalu diterapkan pada kesempatan berikutnya.</t>
  </si>
  <si>
    <t>Pelajaran yang ditarik secara konsisten diubah menjadi tindakan yang benar-benar dijalankan, dengan bukti hasilnya membaik.</t>
  </si>
  <si>
    <t>Tindakan perbaikannya menjadi kebiasaan baku yang dijalankan tanpa perlu diingatkan.</t>
  </si>
  <si>
    <t>Kegagalan tim dibahas dengan mencari siapa yang salah.</t>
  </si>
  <si>
    <t>Kegagalan dibahas, tetapi anggota tim menahan diri karena takut disalahkan.</t>
  </si>
  <si>
    <t>Membahas kegagalan tim secara terbuka pada kasus yang tidak terlalu sensitif.</t>
  </si>
  <si>
    <t>Memimpin pembahasan kegagalan tim secara terbuka termasuk pada kasus yang signifikan, tanpa mencari kambing hitam, dan tim merasa aman mengakui kesalahan.</t>
  </si>
  <si>
    <t>Tim secara mandiri membahas kegagalan mereka secara terbuka tanpa perlu dipimpin.</t>
  </si>
  <si>
    <t>Perbaikan hanya berupa pengingat lisan kepada individu yang bersalah.</t>
  </si>
  <si>
    <t>Perbaikan dicatat, tetapi tidak ada perubahan pada cara kerja tim.</t>
  </si>
  <si>
    <t>Perbaikan diubah menjadi perubahan sistem atau cara kerja tim, sehingga kesalahan yang sama tidak berulang.</t>
  </si>
  <si>
    <t>Sistem yang diperbaikinya diadopsi unit lain untuk mencegah kesalahan sejenis.</t>
  </si>
  <si>
    <t>Berhenti bekerja atau menunggu arahan ketika solusi pertama tidak terlihat jelas.</t>
  </si>
  <si>
    <t>Menghasilkan satu alternatif, dengan waktu yang lambat mengingat situasinya mendesak.</t>
  </si>
  <si>
    <t>Menghasilkan beberapa alternatif dengan bantuan orang lain.</t>
  </si>
  <si>
    <t>Menghasilkan minimal 3 alternatif dalam waktu singkat secara mandiri, bahkan pada masalah yang belum pernah dihadapi.</t>
  </si>
  <si>
    <t>Kecepatannya menular; tim ikut cepat menyumbang alternatif tanpa diminta.</t>
  </si>
  <si>
    <t>Bertahan pada solusi pertama sampai jelas-jelas gagal total.</t>
  </si>
  <si>
    <t>Menyadari solusi tidak bekerja, tetapi lambat memutuskan penggantinya.</t>
  </si>
  <si>
    <t>Mengganti solusi setelah mendapat persetujuan atau arahan.</t>
  </si>
  <si>
    <t>Mengganti solusi dengan cepat begitu tanda kegagalan terlihat, atas keputusan sendiri, tanpa menunggu yakin sepenuhnya.</t>
  </si>
  <si>
    <t>Perpindahan arahnya tidak membuat tim kehilangan momentum atau kepercayaan.</t>
  </si>
  <si>
    <t>Menunggu sumber daya tambahan sebelum bertindak pada masalah mendesak.</t>
  </si>
  <si>
    <t>Memakai sumber daya yang ada, tetapi tidak maksimal.</t>
  </si>
  <si>
    <t>Memanfaatkan sumber daya yang tersedia untuk solusi yang sudah lazim.</t>
  </si>
  <si>
    <t>Menyusun alternatif dari kombinasi sumber daya yang ada secara kreatif, tanpa menunggu tambahan.</t>
  </si>
  <si>
    <t>Solusi yang lahir dari keterbatasan sumber daya itu menjadi cara baku yang dipakai kembali.</t>
  </si>
  <si>
    <t>Panik atau ragu terlihat jelas ketika harus mengganti arah secara tiba-tiba.</t>
  </si>
  <si>
    <t>Mengganti arah dengan tenang, tetapi tidak menjelaskannya kepada tim.</t>
  </si>
  <si>
    <t>Menjelaskan pergantian arah setelah tim mempertanyakan.</t>
  </si>
  <si>
    <t>Menjelaskan pergantian arah kepada tim secara proaktif dan tenang, sehingga tim tetap bergerak tanpa kebingungan.</t>
  </si>
  <si>
    <t>Tim tetap percaya penuh pada arahannya meski arah berganti berkali-kali dalam satu krisis.</t>
  </si>
  <si>
    <t>Kebutuhan sumber daya ditangani sambil berjalan; kekurangan baru terlihat setelah pekerjaan dimulai.</t>
  </si>
  <si>
    <t>Kebutuhan diperkirakan secara garis besar sebelum mulai, tanpa rincian.</t>
  </si>
  <si>
    <t>Kebutuhan dihitung rinci sebelum pelaksanaan dimulai, untuk keempat kategori.</t>
  </si>
  <si>
    <t>Perhitungan rinci sebelum mulai menjadi kebiasaan tetap, dan realisasinya konsisten mendekati perhitungan.</t>
  </si>
  <si>
    <t>Metode perhitungannya dipakai unit lain sebagai acuan.</t>
  </si>
  <si>
    <t>Mengalokasikan sumber daya berdasarkan siapa yang meminta lebih dulu atau lebih keras.</t>
  </si>
  <si>
    <t>Menyadari perlunya prioritas, tetapi keputusan alokasi tetap tidak konsisten.</t>
  </si>
  <si>
    <t>Menetapkan kriteria prioritas sendiri untuk alokasi sumber daya, dan menerapkannya secara konsisten meski harus mengecewakan pihak tertentu.</t>
  </si>
  <si>
    <t>Kriteria prioritasnya diadopsi sebagai standar organisasi untuk alokasi sumber daya serupa.</t>
  </si>
  <si>
    <t>Tidak mempertimbangkan kemungkinan gagal saat merencanakan.</t>
  </si>
  <si>
    <t>Menyadari ada risiko, tetapi tidak menyiapkan langkah apa pun untuknya.</t>
  </si>
  <si>
    <t>Mencatat daftar risiko generik tanpa langkah cadangan yang spesifik.</t>
  </si>
  <si>
    <t>Mengidentifikasi kendala yang PALING MUNGKIN terjadi berdasarkan riwayat, dan menyiapkan langkah cadangan yang spesifik untuk masing-masing.</t>
  </si>
  <si>
    <t>Daftar kendala dan cadangannya menjadi rujukan bagi perencanaan sejenis di unit lain.</t>
  </si>
  <si>
    <t>Rencana cadangan tidak pernah disusun; kendala ditangani secara ad hoc saat terjadi.</t>
  </si>
  <si>
    <t>Rencana cadangan disusun tetapi tidak pernah diperiksa lagi setelah ditulis.</t>
  </si>
  <si>
    <t>Rencana cadangan dipakai ketika kendala yang diantisipasi benar-benar terjadi.</t>
  </si>
  <si>
    <t>Rencana cadangan berhasil menjaga pekerjaan tetap berjalan tanpa henti berarti ketika kendala terjadi, dibuktikan dengan data.</t>
  </si>
  <si>
    <t>Menerima standar pengendalian yang berlaku apa adanya.</t>
  </si>
  <si>
    <t>Menaikkan standar hanya ketika diminta atau ketika insiden besar terjadi.</t>
  </si>
  <si>
    <t>Menaikkan standar secara berkala dengan pembanding kinerja organisasi sendiri.</t>
  </si>
  <si>
    <t>Menetapkan standar pengendalian berdasarkan pembanding di luar organisasi, dan mampu menjelaskan mengapa batas itu dipilih.</t>
  </si>
  <si>
    <t>Standar yang ia tetapkan menjadi acuan yang diikuti fungsi lain.</t>
  </si>
  <si>
    <t>Menuntut disiplin pengendalian dari orang lain tanpa menerapkannya pada dirinya sendiri.</t>
  </si>
  <si>
    <t>Menerapkan standar yang sama dengan timnya, tidak lebih.</t>
  </si>
  <si>
    <t>Menetapkan standar pribadi yang lebih tinggi, tetapi menyimpannya untuk diri sendiri.</t>
  </si>
  <si>
    <t>Menetapkan standar pribadi yang lebih tinggi daripada tuntutan jabatannya, mengumumkannya, dan melaporkan hasilnya apa adanya.</t>
  </si>
  <si>
    <t>Standar pribadinya menjadi rujukan yang ditiru tanpa ia minta.</t>
  </si>
  <si>
    <t>Sistem pengendalian bergantung sepenuhnya pada pengawasannya.</t>
  </si>
  <si>
    <t>Sistem dituliskan tetapi tidak ada yang memeriksa dan tidak ada konsekuensinya.</t>
  </si>
  <si>
    <t>Sistem memiliki pemilik selain dirinya, irama peninjauan, dan konsekuensi — dan terbukti berjalan pada periode ia tidak terlibat.</t>
  </si>
  <si>
    <t>Sistem itu menjadi kebiasaan kerja yang dijaga sendiri oleh pelaksananya.</t>
  </si>
  <si>
    <t>Standar dilonggarkan setiap kali ada tenggat mepet atau biaya membengkak.</t>
  </si>
  <si>
    <t>Standar dipertahankan pada perkara kecil, dikompromikan pada perkara besar.</t>
  </si>
  <si>
    <t>Standar dipertahankan, dengan biaya yang tidak dikelola.</t>
  </si>
  <si>
    <t>Standar dipertahankan dalam situasi menuntut kompromi; bila diturunkan, diputuskan terbuka bersama direksi dengan rencana pemulihan.</t>
  </si>
  <si>
    <t>Tekanan besar menjadi kesempatan menunjukkan standar dapat dipenuhi, sehingga batasnya naik permanen.</t>
  </si>
  <si>
    <t>Perlu dijelaskan berulang kali sebelum memahami isi sebuah dokumen kerja.</t>
  </si>
  <si>
    <t>Memahami setelah membaca beberapa kali, tetapi masih lebih lambat dari tuntutan pekerjaan.</t>
  </si>
  <si>
    <t>Memahami dokumen kerja rutin dalam waktu yang wajar tanpa penjelasan tambahan.</t>
  </si>
  <si>
    <t>Menangkap inti dokumen kerja yang baru baginya dalam waktu singkat, termasuk yang formatnya belum pernah ia temui.</t>
  </si>
  <si>
    <t>Menjadi orang yang dimintai bantuan rekan untuk membaca dokumen yang sulit dipahami.</t>
  </si>
  <si>
    <t>Menangkap bagian yang menarik baginya, bukan bagian yang terpenting.</t>
  </si>
  <si>
    <t>Menangkap sebagian poin utama, tetapi mencampurnya dengan detail yang tidak penting.</t>
  </si>
  <si>
    <t>Menangkap poin utama dengan benar pada dokumen yang strukturnya jelas.</t>
  </si>
  <si>
    <t>Poin utama yang ia tangkap dibenarkan oleh pemilik dokumen, termasuk pada dokumen yang panjang atau tidak terstruktur rapi.</t>
  </si>
  <si>
    <t>Menemukan poin penting yang bahkan tidak disadari pemilik dokumennya sendiri.</t>
  </si>
  <si>
    <t>Tidak menarik kesimpulan; menunggu diberi tahu apa artinya.</t>
  </si>
  <si>
    <t>Memahami isinya tetapi berhenti pada meringkas; kesimpulan tetap diserahkan kepada orang lain.</t>
  </si>
  <si>
    <t>Menarik kesimpulan sendiri, meski masih sering perlu dikoreksi.</t>
  </si>
  <si>
    <t>Menyampaikan kesimpulan sendiri sebelum meminta arahan, dan mayoritas kesimpulannya tepat.</t>
  </si>
  <si>
    <t>Kesimpulannya dipakai orang lain sebagai dasar keputusan tanpa perlu diperiksa ulang.</t>
  </si>
  <si>
    <t>Menyampaikan dugaan seolah-olah fakta, tanpa menyadari perbedaannya.</t>
  </si>
  <si>
    <t>Menyadari perbedaannya bila ditanya, tetapi tidak membedakannya saat menyampaikan.</t>
  </si>
  <si>
    <t>Menyebutkan mana yang berdasar data dan mana yang perkiraan, bila diminta.</t>
  </si>
  <si>
    <t>Secara otomatis menandai mana yang berdasar data, mana asumsi, dan seberapa yakin ia atas kesimpulannya.</t>
  </si>
  <si>
    <t>Kebiasaan memisahkan ini ditiru rekan kerjanya dan memperbaiki mutu laporan unit.</t>
  </si>
  <si>
    <t>Menerima informasi dan arahan apa adanya; tidak mengajukan pertanyaan.</t>
  </si>
  <si>
    <t>Bertanya untuk memastikan fakta — apa, kapan, berapa — tetapi tidak lebih jauh.</t>
  </si>
  <si>
    <t>Bertanya untuk memahami alasan di balik sebuah angka, arahan, atau keputusan.</t>
  </si>
  <si>
    <t>Menguji asumsi yang mendasari informasi dan mencari sumber pembanding sebelum menyimpulkan.</t>
  </si>
  <si>
    <t>Mampu merangkai kerangka berpikir sendiri ketika informasi dari berbagai sumber saling bertentangan.</t>
  </si>
  <si>
    <t>Tidak mempertanyakan apa pun, terutama dari pihak yang lebih senior.</t>
  </si>
  <si>
    <t>Mempertanyakan hanya kepada rekan setingkat atau di belakang, bukan kepada orangnya.</t>
  </si>
  <si>
    <t>Mempertanyakan secara terbuka pada hal-hal yang jelas keliru.</t>
  </si>
  <si>
    <t>Mempertanyakan arahan dan usulan pihak yang lebih senior secara pantas, sebelum keputusan berjalan.</t>
  </si>
  <si>
    <t>Dicari orang lain untuk memeriksa sebuah usulan justru karena pertanyaannya tajam dan tidak menyerang.</t>
  </si>
  <si>
    <t>Memakai satu sumber saja, biasanya yang paling mudah dijangkau.</t>
  </si>
  <si>
    <t>Memakai beberapa sumber, tetapi seluruhnya berasal dari lingkaran yang sama.</t>
  </si>
  <si>
    <t>Membandingkan beberapa sumber yang berbeda sebelum menyimpulkan.</t>
  </si>
  <si>
    <t>Sengaja mencari sumber yang BERPOTENSI MEMBANTAH kesimpulannya sendiri, dan mengubah kesimpulan ketika pembanding itu lebih kuat.</t>
  </si>
  <si>
    <t>Bertanya hanya ketika diminta atau ketika terpaksa.</t>
  </si>
  <si>
    <t>Bertanya pada hal yang berkaitan langsung dengan tugasnya saja.</t>
  </si>
  <si>
    <t>Menunjukkan minat pada alasan di balik pekerjaan, meski tidak selalu menindaklanjutinya.</t>
  </si>
  <si>
    <t>Secara rutin memeriksa hal yang sudah dianggap benar di unitnya, tanpa diminta, dan menindaklanjuti temuannya.</t>
  </si>
  <si>
    <t>Kebiasaannya memeriksa menular — rekan mulai ikut mempertanyakan hal yang selama ini diterima begitu saja.</t>
  </si>
  <si>
    <t>Memutuskan berdasarkan sudut pandangnya sendiri; tidak mencari pendapat lain.</t>
  </si>
  <si>
    <t>Mendengar pendapat lain karena diminta atau karena formalitas, tetapi tidak memeriksanya.</t>
  </si>
  <si>
    <t>Mengumpulkan pendapat pihak yang jelas berkepentingan sebelum memutuskan.</t>
  </si>
  <si>
    <t>Secara sengaja mencari pihak yang kepentingannya BERTENTANGAN dengan arah yang ia condongi, dan menelusuri kepentingan pokok di balik posisi mereka.</t>
  </si>
  <si>
    <t>Menemukan pihak berkepentingan yang selama ini tidak pernah dilibatkan dalam keputusan sejenis.</t>
  </si>
  <si>
    <t>Memutuskan dengan memilih usulan yang paling mudah atau paling kuat suaranya.</t>
  </si>
  <si>
    <t>Memilih salah satu usulan, dengan penjelasan mengapa yang lain tidak dipakai.</t>
  </si>
  <si>
    <t>Mencari jalan tengah dengan membagi selisih antara usulan yang ada.</t>
  </si>
  <si>
    <t>Menyusun opsi yang tidak ada di antara usulan awal, yang memenuhi kepentingan POKOK lebih dari satu pihak.</t>
  </si>
  <si>
    <t>Keputusannya dinilai lebih baik daripada usulan awal siapa pun, termasuk usulannya sendiri.</t>
  </si>
  <si>
    <t>Keputusan selalu sama dengan pendapat awalnya; masukan tidak pernah mengubah apa pun.</t>
  </si>
  <si>
    <t>Mengubah keputusan hanya ketika ditekan atasan atau ketika buktinya tidak terbantahkan.</t>
  </si>
  <si>
    <t>Bersedia mengubah sebagian keputusan ketika ada masukan yang lebih kuat.</t>
  </si>
  <si>
    <t>Secara berkala memeriksa berapa banyak keputusannya yang berubah dari pendapat awal, dan menindaklanjuti bila terlalu sedikit.</t>
  </si>
  <si>
    <t>Dikenal sebagai orang yang pendapat awalnya dapat berubah oleh argumen, sehingga orang bersedia menyampaikan pandangan berbeda kepadanya.</t>
  </si>
  <si>
    <t>Pihak yang usulannya tidak dipakai merasa tidak didengar dan menghambat pelaksanaan.</t>
  </si>
  <si>
    <t>Keputusan dijalankan karena perintah, bukan karena diterima.</t>
  </si>
  <si>
    <t>Pihak yang tidak menang memahami alasan keputusan, meski tidak merasa kepentingannya terwadahi.</t>
  </si>
  <si>
    <t>Pihak yang usulannya tidak dipakai mengonfirmasi kepentingan pokoknya tetap terwadahi, dan menjalankan keputusan tanpa eskalasi ulang.</t>
  </si>
  <si>
    <t>Pihak yang berseberangan meminta ia menjadi pengambil keputusan pada perkara serupa berikutnya.</t>
  </si>
  <si>
    <t>Mengulang solusi yang sama setiap kali masalah muncul, tanpa memeriksa apakah ia menyelesaikan.</t>
  </si>
  <si>
    <t>Menyadari cara lama kurang efektif, tetapi memperbaikinya dengan pola pikir yang sama.</t>
  </si>
  <si>
    <t>Mengevaluasi solusi yang dipakai dan mencari alternatif ketika hasilnya jelas tidak memadai.</t>
  </si>
  <si>
    <t>Secara berkala memeriksa asumsi di balik praktik baku unitnya, termasuk praktik yang ia sendiri buat, dan bersedia menghentikannya.</t>
  </si>
  <si>
    <t>Menghentikan cara yang masih dianggap berhasil oleh orang lain karena melihat ia tidak akan bertahan.</t>
  </si>
  <si>
    <t>Hanya mengenal satu cara untuk setiap jenis masalah.</t>
  </si>
  <si>
    <t>Menghasilkan variasi dari cara yang sama — lebih cepat, lebih rapi, lebih ketat — tanpa mengubah dasarnya.</t>
  </si>
  <si>
    <t>Mencari alternatif dari praktik unit lain atau dari referensi, lalu menerapkannya.</t>
  </si>
  <si>
    <t>Menyusun pendekatan yang tidak ada di antara pilihan yang tersedia, dengan membalik asumsi atau mengambil analogi dari luar bidangnya.</t>
  </si>
  <si>
    <t>Pendekatan yang ia ciptakan diadopsi unit lain untuk masalah sejenis.</t>
  </si>
  <si>
    <t>Masalah yang sama terus muncul dengan frekuensi yang tidak berubah.</t>
  </si>
  <si>
    <t>Masalah mereda sebentar lalu kembali dengan pola yang sama.</t>
  </si>
  <si>
    <t>Sebagian masalah berulang berhasil ditekan, meski belum tuntas.</t>
  </si>
  <si>
    <t>Minimal satu masalah yang sudah berulang bertahun-tahun tidak muncul kembali selama beberapa bulan setelah pendekatan baru dijalankan.</t>
  </si>
  <si>
    <t>Unitnya dikenal sebagai tempat masalah tidak berulang, dan pendekatannya ditanyakan unit lain.</t>
  </si>
  <si>
    <t>Menangani masalah sesuai urutan kemunculannya atau sesuai yang paling ramai dibicarakan.</t>
  </si>
  <si>
    <t>Mengelompokkan masalah, tetapi urutan penanganannya ditentukan oleh kemudahan.</t>
  </si>
  <si>
    <t>Menyusun prioritas berdasarkan dampak, dengan dasar yang dapat dijelaskan.</t>
  </si>
  <si>
    <t>Menyusun prioritas berdasarkan dampak bisnis DAN biaya pengulangan, lalu benar-benar menangani sesuai urutan itu meski yang teratas paling sulit.</t>
  </si>
  <si>
    <t>Logika prioritasnya dipakai unit lain sebagai acuan.</t>
  </si>
  <si>
    <t>Pekerjaan berhenti sampai arah atau data menjadi jelas.</t>
  </si>
  <si>
    <t>Bergerak hanya pada bagian yang sudah pasti; sisanya menunggu.</t>
  </si>
  <si>
    <t>Memutuskan setelah menunggu selama waktu yang wajar, dan biasanya tepat.</t>
  </si>
  <si>
    <t>Menetapkan sendiri batas menunggu di muka, lalu bergerak pada batas itu — termasuk ketika sebagian informasi memang tidak akan pernah tersedia.</t>
  </si>
  <si>
    <t>Melihat periode yang belum jelas sebagai kesempatan bergerak lebih dulu daripada pihak yang menunggu.</t>
  </si>
  <si>
    <t>Berhenti berpikir jernih ketika keadaan membingungkan; analisisnya berantakan atau tidak ada.</t>
  </si>
  <si>
    <t>Masih dapat berpikir, tetapi hanya menghasilkan daftar hal yang belum diketahui.</t>
  </si>
  <si>
    <t>Menghasilkan analisis yang rapi, meski kesimpulannya tetap menunggu data tambahan.</t>
  </si>
  <si>
    <t>Menghasilkan langkah yang tetap benar apa pun hasil akhirnya, dan menjalankannya tanpa menunggu kejelasan.</t>
  </si>
  <si>
    <t>Justru menemukan peluang atau penyederhanaan yang tidak terlihat ketika keadaan sudah jelas.</t>
  </si>
  <si>
    <t>Melihat satu penyebab tunggal untuk masalah yang sebenarnya berlapis.</t>
  </si>
  <si>
    <t>Menyebut beberapa penyebab, tetapi tidak menunjukkan keterkaitannya.</t>
  </si>
  <si>
    <t>Memetakan penyebab beserta keterkaitannya secara logis.</t>
  </si>
  <si>
    <t>Memetakan tautan sebab-akibat sekaligus MENANDAI mana yang terbukti, mana dugaan, dan mana yang tidak akan terbukti — lalu tetap memutuskan di atasnya.</t>
  </si>
  <si>
    <t>Petanya dipakai departemen lain sebagai dasar keputusan mereka sendiri.</t>
  </si>
  <si>
    <t>Ketika arah belum turun, unit ikut berhenti dan menunggu.</t>
  </si>
  <si>
    <t>Unit tetap mengerjakan rutinitas, tetapi pekerjaan penting tertahan.</t>
  </si>
  <si>
    <t>Unit tetap berjalan karena peserta membagikan pekerjaan seadanya, tanpa penjelasan.</t>
  </si>
  <si>
    <t>Unit tetap menghasilkan pada periode yang belum jelas karena diberi pekerjaan yang tetap benar apa pun arahnya, disertai penjelasan jujur bahwa arah belum pasti.</t>
  </si>
  <si>
    <t>Anggota unit mulai sendiri menemukan pekerjaan yang tetap benar tanpa menunggu diberi tahu.</t>
  </si>
  <si>
    <t>Ikut menunggu bersama tim; tidak ada arah yang diberikan sampai kejelasan datang dari atas.</t>
  </si>
  <si>
    <t>Meneruskan ketidakjelasan apa adanya kepada tim, tanpa menerjemahkannya menjadi pekerjaan.</t>
  </si>
  <si>
    <t>Memberi arah yang jelas segera setelah kejelasan datang.</t>
  </si>
  <si>
    <t>Memberi arah SEBELUM kejelasan datang — menyatakan dengan jujur apa yang belum pasti, tetapi tetap menetapkan apa yang dikerjakan sekarang dan kapan akan ditinjau ulang.</t>
  </si>
  <si>
    <t>Orang-orang mulai sendiri menentukan pekerjaan yang tetap benar tanpa menunggu arahan darinya.</t>
  </si>
  <si>
    <t>Unit ikut berhenti; produktivitas turun tajam pada periode yang tidak jelas.</t>
  </si>
  <si>
    <t>Unit tetap mengerjakan rutinitas, tetapi pekerjaan penting tertahan menunggu keputusan.</t>
  </si>
  <si>
    <t>Unit tetap berjalan karena diberi pekerjaan, meski tanpa penjelasan mengapa.</t>
  </si>
  <si>
    <t>Keluaran unit tidak menurun pada periode yang tidak jelas, dan sebagian besar anggotanya tahu apa yang harus dikerjakan — dikonfirmasi oleh mereka sendiri.</t>
  </si>
  <si>
    <t>Fungsi di luar unitnya ikut tetap bergerak karena arah yang ia berikan.</t>
  </si>
  <si>
    <t>Membaca ketidakpastian hanya sebagai risiko yang harus ditahan.</t>
  </si>
  <si>
    <t>Menyusun rencana mitigasi, tetapi tidak melihat kemungkinan di baliknya.</t>
  </si>
  <si>
    <t>Mengenali peluang yang muncul dari perubahan, tetapi tidak menindaklanjutinya.</t>
  </si>
  <si>
    <t>Merumuskan peluang strategis dari ketidakpastian yang sedang berlangsung, mengajukannya, dan menggerakkan pihak lain menjalankan langkah pertamanya.</t>
  </si>
  <si>
    <t>Organisasi memperoleh posisi yang lebih baik justru karena periode ketidakpastian itu.</t>
  </si>
  <si>
    <t>Tidak memiliki kerangka; setiap persoalan kompleks ditangani menurut kebiasaan.</t>
  </si>
  <si>
    <t>Memakai kerangka yang sudah ada tanpa menyesuaikannya dengan persoalan organisasi.</t>
  </si>
  <si>
    <t>Menyusun kerangka analisa sendiri dan memakainya untuk keputusannya sendiri.</t>
  </si>
  <si>
    <t>Menyusun model yang cukup sederhana untuk dipakai unit lain tanpa kehadirannya, dan model itu benar-benar menghasilkan keputusan di unit tersebut.</t>
  </si>
  <si>
    <t>Modelnya menjadi cara baku organisasi menangani persoalan sejenis.</t>
  </si>
  <si>
    <t>Belum dapat memakai sistem atau prosedur baru meski sudah lama diperkenalkan.</t>
  </si>
  <si>
    <t>Dapat memakai setelah dibimbing langkah demi langkah, dan masih sering bertanya.</t>
  </si>
  <si>
    <t>Menguasai dalam waktu yang wajar dengan bantuan sesekali.</t>
  </si>
  <si>
    <t>Dapat memakai sistem baru tanpa bantuan dalam waktu yang lebih singkat daripada rata-rata unit, termasuk pada sistem yang belum pernah ia temui jenisnya.</t>
  </si>
  <si>
    <t>Menjadi orang pertama yang menguasai dan menjadi tempat bertanya rekan.</t>
  </si>
  <si>
    <t>Menunggu diajari; tidak mencoba sebelum ada yang menunjukkan.</t>
  </si>
  <si>
    <t>Mencoba setelah diberi panduan lengkap, tetapi berhenti pada kendala pertama.</t>
  </si>
  <si>
    <t>Membaca panduan dan mencoba sendiri, bertanya ketika menemui kendala.</t>
  </si>
  <si>
    <t>Mempelajari sendiri dari panduan, percobaan, dan pesan kesalahan; bertanya hanya setelah mencari jawaban sendiri, dan pertanyaannya spesifik.</t>
  </si>
  <si>
    <t>Membuat catatan langkahnya sendiri yang kemudian dipakai orang lain.</t>
  </si>
  <si>
    <t>Terus memakai cara lama meski cara baru sudah berlaku.</t>
  </si>
  <si>
    <t>Memakai cara baru ketika diawasi, kembali ke cara lama ketika tidak.</t>
  </si>
  <si>
    <t>Memakai cara baru sebagian besar waktu, kembali ke cara lama ketika sedang sibuk atau tertekan.</t>
  </si>
  <si>
    <t>Memakai cara baru secara konsisten termasuk pada periode tersibuk, dan menyadari sendiri ketika hampir kembali ke cara lama.</t>
  </si>
  <si>
    <t>Membantu rekan menyadari ketika mereka kembali ke cara lama.</t>
  </si>
  <si>
    <t>Cara baru tidak pernah menjadi kebiasaan; selalu terasa asing.</t>
  </si>
  <si>
    <t>Perlu waktu sangat lama dan pengingat terus-menerus.</t>
  </si>
  <si>
    <t>Cara baru menjadi kebiasaan setelah beberapa bulan.</t>
  </si>
  <si>
    <t>Cara baru menjadi wajar dalam hitungan minggu, dan waktu yang dibutuhkan makin pendek pada perubahan berikutnya.</t>
  </si>
  <si>
    <t>Menghadapi cara kerja baru tanpa masa penyesuaian yang berarti.</t>
  </si>
  <si>
    <t>Pekerjaan terhenti cukup lama setelah perubahan mendadak; perlu diarahkan ulang untuk mulai bergerak.</t>
  </si>
  <si>
    <t>Kembali bekerja setelah beberapa hari, dengan produktivitas yang belum pulih penuh.</t>
  </si>
  <si>
    <t>Kembali bekerja dalam waktu yang wajar, dengan bantuan atasan menentukan prioritas baru.</t>
  </si>
  <si>
    <t>Menyusun ulang prioritas sendiri dan kembali produktif dalam hitungan jam, dan waktunya makin pendek pada kejadian berikutnya.</t>
  </si>
  <si>
    <t>Membantu rekan menyusun ulang prioritas mereka sendiri setelah perubahan yang sama.</t>
  </si>
  <si>
    <t>Mutu dan ketepatan waktu turun tajam setiap kali ada perubahan.</t>
  </si>
  <si>
    <t>Pekerjaan yang terdampak terbengkalai, termasuk yang sebenarnya masih berlaku.</t>
  </si>
  <si>
    <t>Menjaga sebagian besar pekerjaan tetap jalan, dengan beberapa komitmen terlewat.</t>
  </si>
  <si>
    <t>Mutu dan ketepatan waktu tidak turun selama periode perubahan beruntun; komitmen yang terdampak dinegosiasikan ulang lebih dulu, bukan dibiarkan gagal.</t>
  </si>
  <si>
    <t>Unit tetap berjalan karena ia memilah dan membagikan pekerjaan yang masih berlaku.</t>
  </si>
  <si>
    <t>Menolak perubahan dan menganggap penolakannya sebagai keberatan yang sepenuhnya objektif.</t>
  </si>
  <si>
    <t>Menerima di permukaan, tetapi diam-diam kembali ke cara lama tanpa menyadarinya.</t>
  </si>
  <si>
    <t>Menyadari penolakannya setelah diingatkan orang lain atau setelah kejadian berlalu.</t>
  </si>
  <si>
    <t>Menyadari sendiri, pada saat kejadian, bahwa ia sedang menolak — dan mampu menyebutkan apa yang sebenarnya ia khawatirkan di baliknya.</t>
  </si>
  <si>
    <t>Membantu rekan mengenali penolakan mereka sendiri tanpa membuat mereka defensif.</t>
  </si>
  <si>
    <t>Menolak secara terbuka dan menghambat, atau menolak secara tersembunyi dengan menunda.</t>
  </si>
  <si>
    <t>Menyatakan menerima tetapi tidak menjalankan; keberatan baru muncul setelah perubahan gagal.</t>
  </si>
  <si>
    <t>Menjalankan perubahan setelah mendapat penjelasan dan dukungan yang cukup.</t>
  </si>
  <si>
    <t>Menyampaikan keberatan secara terbuka SEBELUM keputusan berjalan, lalu menjalankan keputusan final sepenuhnya — termasuk perubahan yang ia sendiri tidak setujui.</t>
  </si>
  <si>
    <t>Menjadi orang yang keberatannya dicari karena disampaikan pada waktu yang tepat dan tidak berujung hambatan.</t>
  </si>
  <si>
    <t>Mempelajari hal baru hanya ketika ditugaskan atau diwajibkan.</t>
  </si>
  <si>
    <t>Menyadari ada kemampuan yang dituntut, tetapi menunggu disediakan pelatihannya.</t>
  </si>
  <si>
    <t>Mencari sendiri cara mempelajarinya setelah diarahkan bahwa itu diperlukan.</t>
  </si>
  <si>
    <t>Mengenali sendiri kemampuan apa yang mulai dituntut oleh perubahan, lalu mempelajarinya tanpa menunggu ditugaskan maupun disediakan pelatihan.</t>
  </si>
  <si>
    <t>Mempelajari kemampuan yang belum dituntut tetapi akan dibutuhkan, sebelum orang lain menyadarinya.</t>
  </si>
  <si>
    <t>Tidak mencoba pendekatan baru pada pekerjaan; bertahan pada cara yang sudah pasti berhasil.</t>
  </si>
  <si>
    <t>Membahas pendekatan baru tetapi tidak pernah mengujinya pada pekerjaan nyata.</t>
  </si>
  <si>
    <t>Mencoba pendekatan baru ketika cara lama sudah jelas gagal.</t>
  </si>
  <si>
    <t>Menguji pendekatan baru pada skala kecil secara berkala, dengan ukuran dan batas waktu yang ditetapkan di muka, dan melaporkan hasil yang gagal secara terbuka.</t>
  </si>
  <si>
    <t>Menjadikan uji coba sebagai cara kerja unit; rekan ikut menguji sebelum menerapkan sesuatu secara luas.</t>
  </si>
  <si>
    <t>Hanya mempelajari hal yang berasal dari bidang dan fungsinya sendiri.</t>
  </si>
  <si>
    <t>Mengetahui praktik fungsi lain, tetapi menganggapnya tidak berlaku di tempatnya.</t>
  </si>
  <si>
    <t>Mengadopsi praktik dari fungsi lain di perusahaan yang sama.</t>
  </si>
  <si>
    <t>Mengambil pendekatan dari fungsi lain atau industri yang berbeda, memisahkan prinsipnya dari bentuk pelaksanaannya, lalu mengujinya pada konteks sendiri.</t>
  </si>
  <si>
    <t>Menjadi sumber pendekatan baru bagi unitnya, yang berasal dari luar kebiasaan perusahaan.</t>
  </si>
  <si>
    <t>Hal yang dipelajari tidak pernah masuk ke pekerjaan.</t>
  </si>
  <si>
    <t>Menghasilkan sertifikat dan ringkasan, tanpa jejak pada cara kerja.</t>
  </si>
  <si>
    <t>Menerapkan sebagian dari yang dipelajari ketika ada kesempatan.</t>
  </si>
  <si>
    <t>Setiap hal baru yang dipelajari diuji pada pekerjaan dalam waktu dekat, dan hasilnya dapat ditunjukkan — pembelajarannya dipicu tuntutan perubahan, bukan minat pribadi.</t>
  </si>
  <si>
    <t>Perubahan cara kerja unit dapat ditelusuri ke hal-hal yang ia pelajari dan uji.</t>
  </si>
  <si>
    <t>Tidak mengusulkan perubahan; menjalankan apa yang diarahkan.</t>
  </si>
  <si>
    <t>Mengusulkan sesekali, biasanya setelah diminta atau setelah masalah menjadi besar.</t>
  </si>
  <si>
    <t>Mengusulkan secara berkala pada hal-hal yang jelas perlu diperbaiki.</t>
  </si>
  <si>
    <t>Mengusulkan perbaikan secara rutin dari peluang yang ia lihat sendiri, tanpa menunggu masalah muncul atau arahan datang.</t>
  </si>
  <si>
    <t>Usulannya dicari pimpinan sebelum sebuah keputusan diambil.</t>
  </si>
  <si>
    <t>Usulan tidak berkaitan dengan persoalan nyata, atau tidak mungkin dijalankan.</t>
  </si>
  <si>
    <t>Usulan relevan tetapi mengabaikan keterbatasan sumber daya dan waktu.</t>
  </si>
  <si>
    <t>Usulan relevan dan umumnya dapat dijalankan, meski perlu banyak perbaikan.</t>
  </si>
  <si>
    <t>Usulan diuji lebih dulu kepada pihak terdampak dan direvisi berdasarkan keberatan, sehingga sebagian besar dinilai relevan dan realistis saat diajukan resmi.</t>
  </si>
  <si>
    <t>Usulannya dipakai sebagai contoh cara menyusun usulan di unit lain.</t>
  </si>
  <si>
    <t>Tidak mengajukan, atau mengajukan sekali lalu tidak menindaklanjuti.</t>
  </si>
  <si>
    <t>Berhenti pada penolakan pertama dan menganggap usulannya tidak dikehendaki.</t>
  </si>
  <si>
    <t>Mengajukan kembali setelah ditolak, dengan isi yang kurang lebih sama.</t>
  </si>
  <si>
    <t>Menelusuri alasan penolakan, memperbaiki usulan berdasarkan alasan itu, mengumpulkan dukungan, dan mengajukan kembali sampai dijalankan — serta mengetahui kapan sebuah usulan memang harus dilepaskan.</t>
  </si>
  <si>
    <t>Perubahan yang berjalan di unit dapat ditelusuri ke usulan yang ia perjuangkan.</t>
  </si>
  <si>
    <t>Menganggap tidak ada keberatan karena tidak ada yang menyampaikannya.</t>
  </si>
  <si>
    <t>Menyadari ada yang mengganjal, tetapi salah menebak sebabnya.</t>
  </si>
  <si>
    <t>Menangkap keberatan yang disampaikan terbuka dan meresponsnya.</t>
  </si>
  <si>
    <t>Menangkap keberatan yang tidak diucapkan dari sinyal, MEMERIKSA bacaannya kepada orangnya, dan menjawab kekhawatiran yang sebenarnya — bukan alasan yang disebutkan pertama.</t>
  </si>
  <si>
    <t>Pihak yang keberatan menyampaikannya langsung kepadanya karena tahu akan didengar.</t>
  </si>
  <si>
    <t>Ikut panik; ketegangannya terlihat jelas dan menular ke sekitarnya.</t>
  </si>
  <si>
    <t>Berusaha tampak tenang, tetapi kegelisahannya tetap terbaca dari nada, kecepatan bicara, atau keputusan yang berubah-ubah.</t>
  </si>
  <si>
    <t>Tetap tenang dan terkendali pada perubahan yang sudah pernah ia hadapi jenisnya.</t>
  </si>
  <si>
    <t>Mengenali pemicunya sendiri, menahan diri sebelum meneruskan kabar, dan tetap terkendali termasuk pada perubahan yang ia sendiri belum tahu ujungnya.</t>
  </si>
  <si>
    <t>Ketenangannya tidak bergantung pada seberapa besar perubahannya.</t>
  </si>
  <si>
    <t>Berhenti mengambil langkah; menunggu sampai keadaan jelas.</t>
  </si>
  <si>
    <t>Mengambil langkah yang berubah-ubah dan membingungkan tim.</t>
  </si>
  <si>
    <t>Mengambil langkah yang tepat setelah keadaan cukup jelas.</t>
  </si>
  <si>
    <t>Tetap menetapkan langkah yang masuk akal ketika arah belum ada, dan menjelaskan dasarnya kepada tim.</t>
  </si>
  <si>
    <t>Langkah yang ia ambil di masa tidak jelas terbukti tetap tepat setelah keadaan jelas.</t>
  </si>
  <si>
    <t>Kehadirannya menambah ketegangan; tim lebih cemas setelah bertemu dengannya.</t>
  </si>
  <si>
    <t>Tidak menambah tegang, tetapi juga tidak membantu — tim mencari ketenangan dari orang lain.</t>
  </si>
  <si>
    <t>Tim merasa cukup tenang, meski karena ia jarang menyampaikan hal yang mengkhawatirkan.</t>
  </si>
  <si>
    <t>Tim mengonfirmasi sikapnya membuat mereka lebih tenang DAN mereka tetap tahu apa yang harus dikerjakan — ketenangan yang berasal dari kejelasan, bukan dari ketidaktahuan.</t>
  </si>
  <si>
    <t>Menjadi orang yang dicari orang lain ketika keadaan tidak menentu, termasuk dari luar unitnya.</t>
  </si>
  <si>
    <t>Menuntut orang lain menyesuaikan diri tanpa membantu prosesnya.</t>
  </si>
  <si>
    <t>Menjelaskan perubahan sekali, lalu menganggap sisanya urusan masing-masing.</t>
  </si>
  <si>
    <t>Membantu yang meminta bantuan, dan berhenti setelah mereka mulai menjalankan.</t>
  </si>
  <si>
    <t>Mendampingi orang yang kesulitan sampai mereka benar-benar menjalankan — menelusuri kekhawatiran yang sebenarnya, bukan sekadar mengulang penjelasan.</t>
  </si>
  <si>
    <t>Orang yang pernah ia dampingi ikut mendampingi orang lain pada perubahan berikutnya.</t>
  </si>
  <si>
    <t>Bergerak setelah dampak perubahan terasa pada organisasi.</t>
  </si>
  <si>
    <t>Menyadari perubahan setelah ia terjadi, dan menjelaskan mengapa ia terjadi.</t>
  </si>
  <si>
    <t>Memantau tren dan menyusun laporan, tetapi pembacaannya berhenti pada dokumen.</t>
  </si>
  <si>
    <t>Memindai lingkungan secara rutin dari sumber di luar jalur resmi, menangkap sinyal ketika masih samar, dan menguji ketajaman pembacaannya dengan perkiraan bertanggal.</t>
  </si>
  <si>
    <t>Menangkap perubahan yang belum terlihat oleh pelaku industri lainnya.</t>
  </si>
  <si>
    <t>Tidak menyiapkan apa pun untuk kemungkinan yang belum pasti.</t>
  </si>
  <si>
    <t>Menyusun satu perkiraan tunggal dan bertindak seolah itu pasti terjadi.</t>
  </si>
  <si>
    <t>Menyusun beberapa skenario, tetapi tidak ada langkah yang menyertainya.</t>
  </si>
  <si>
    <t>Setiap skenario disertai tanda pemantau dan langkah persiapan yang dapat dijalankan sekarang, termasuk langkah yang tetap berguna apa pun bentuk perubahannya.</t>
  </si>
  <si>
    <t>Skenarionya dipakai fungsi lain sebagai dasar perencanaan mereka sendiri.</t>
  </si>
  <si>
    <t>Organisasi baru bergerak setelah perubahan memaksa.</t>
  </si>
  <si>
    <t>Menyampaikan peringatan, tetapi tidak ada yang berubah karenanya.</t>
  </si>
  <si>
    <t>Menggerakkan unitnya sendiri untuk bersiap, terbatas pada wilayah kewenangannya.</t>
  </si>
  <si>
    <t>Menggerakkan fungsi di luar unitnya untuk bersiap SEBELUM perubahan datang, dengan pelaksana di luar dirinya sendiri — dibuktikan dengan tanggal.</t>
  </si>
  <si>
    <t>Organisasi sudah siap ketika perubahan itu tiba, dan kesiapan itu dapat ditelusuri ke langkah yang ia mulai.</t>
  </si>
  <si>
    <t>Tidak pernah memeriksa apakah perkiraannya tepat; yang meleset dilupakan.</t>
  </si>
  <si>
    <t>Menyadari ada yang terlewat, tetapi menganggapnya tidak dapat diperkirakan siapa pun.</t>
  </si>
  <si>
    <t>Meninjau perkiraan yang meleset dan mencatat pelajarannya.</t>
  </si>
  <si>
    <t>Menelusuri mundur perubahan yang terlewat sampai menemukan kapan sinyalnya sebenarnya sudah ada, lalu menambahkan sumber pemantauan agar tidak terlewat lagi — dan sumber baru itu terbukti menghasilkan sinyal.</t>
  </si>
  <si>
    <t>Ketajaman pembacaannya meningkat terukur dari waktu ke waktu, bukan karena kebetulan.</t>
  </si>
  <si>
    <t>Perlu dijelaskan berulang kali sebelum memahami isi sebuah laporan atau dokumen bisnis.</t>
  </si>
  <si>
    <t>Memahami setelah membaca beberapa kali, masih lebih lambat dari tuntutan pekerjaan.</t>
  </si>
  <si>
    <t>Memahami dokumen bisnis rutin dalam waktu wajar tanpa penjelasan tambahan.</t>
  </si>
  <si>
    <t>Menangkap inti dokumen bisnis yang baru baginya dalam waktu singkat, termasuk yang formatnya belum pernah ia temui.</t>
  </si>
  <si>
    <t>Menjadi orang yang dimintai bantuan rekan untuk membaca laporan yang sulit dipahami.</t>
  </si>
  <si>
    <t>Menangkap bagian yang menarik baginya, bukan bagian yang terpenting bagi keputusan.</t>
  </si>
  <si>
    <t>Menangkap sebagian poin utama, tercampur dengan detail yang tidak menentukan.</t>
  </si>
  <si>
    <t>Poin utama yang ia tangkap dibenarkan atasan atau pemilik dokumen, termasuk pada laporan yang panjang.</t>
  </si>
  <si>
    <t>Menemukan poin penting yang bahkan tidak disadari penyusun dokumennya.</t>
  </si>
  <si>
    <t>Tidak menarik kesimpulan; menunggu diberi tahu apa arti sebuah laporan.</t>
  </si>
  <si>
    <t>Meringkas isi dokumen, tetapi kesimpulan diserahkan kepada orang lain.</t>
  </si>
  <si>
    <t>Tidak melihat hubungan antara informasi bisnis dan pekerjaannya sendiri.</t>
  </si>
  <si>
    <t>Menyadari ada hubungan, tetapi tidak dapat menyebutkannya secara spesifik.</t>
  </si>
  <si>
    <t>Menjelaskan keterkaitan pekerjaannya dengan target unit.</t>
  </si>
  <si>
    <t>Menarik keterkaitan yang tepat antara prioritas perusahaan, target unit, dan pekerjaannya sendiri — berdasar dokumen, bukan dugaan, dan tidak memaksakan kaitan yang sebenarnya tidak ada.</t>
  </si>
  <si>
    <t>Menemukan keterkaitan yang belum terlihat oleh unitnya dan mengubah cara target disusun.</t>
  </si>
  <si>
    <t>Penjelasan analisis tidak terstruktur; pendengar tidak menemukan poin utamanya.</t>
  </si>
  <si>
    <t>Ada urutan, tetapi berbelit — kesimpulan tenggelam di antara data pendukung.</t>
  </si>
  <si>
    <t>Jelas dan runtut: kesimpulan di depan, didukung alasan yang dikelompokkan rapi.</t>
  </si>
  <si>
    <t>Struktur disusun mengikuti keputusan yang dibutuhkan pendengar, bukan mengikuti urutan pengerjaan analisisnya.</t>
  </si>
  <si>
    <t>Penjelasannya menjadi narasi yang menggerakkan pendengar untuk bertindak.</t>
  </si>
  <si>
    <t>Analisis yang sama disampaikan dengan cara yang sama kepada siapa pun.</t>
  </si>
  <si>
    <t>Menyadari audiens berbeda, tetapi penyesuaiannya hanya pada panjang-pendek.</t>
  </si>
  <si>
    <t>Menyesuaikan bahasa dan istilah sesuai latar belakang pendengar.</t>
  </si>
  <si>
    <t>Menyesuaikan kedalaman, pilihan data, dan sudut masuk sesuai apa yang perlu diketahui tiap audiens; mengubah pendekatan di tengah penjelasan ketika audiens terlihat tidak mengikuti.</t>
  </si>
  <si>
    <t>Menjelaskan analisis yang sama secara meyakinkan kepada pihak yang kepentingannya berbeda.</t>
  </si>
  <si>
    <t>Menyampaikan seluruh data apa adanya, atau menyederhanakan sampai kesimpulannya berubah.</t>
  </si>
  <si>
    <t>Menyederhanakan dengan membuang bagian yang sulit dijelaskan, termasuk yang menentukan.</t>
  </si>
  <si>
    <t>Menerjemahkan istilah dan angka ke bahasa yang dapat dipahami dengan menjaga artinya.</t>
  </si>
  <si>
    <t>Memakai analogi, contoh, dan visual untuk menjelaskan analisis rumit, sambil menandai batas dan asumsi yang tetap harus diketahui pendengar.</t>
  </si>
  <si>
    <t>Ringkasannya dipakai orang lain sebagai rujukan karena lebih jelas daripada analisis aslinya.</t>
  </si>
  <si>
    <t>Pendengar sering salah menangkap maksud analisis; keputusan diambil atas dasar yang keliru.</t>
  </si>
  <si>
    <t>Pendengar perlu bertanya berulang untuk hal yang seharusnya sudah jelas.</t>
  </si>
  <si>
    <t>Pendengar memahami inti analisis, meski beberapa detail masih perlu ditanyakan.</t>
  </si>
  <si>
    <t>Pendengar mampu menjelaskan ulang isinya dengan bahasa sendiri sesuai maksud aslinya; pertanyaan yang muncul bersifat pendalaman, bukan pengulangan.</t>
  </si>
  <si>
    <t>Pendengar dapat meneruskan analisis itu kepada orang lain dengan tepat tanpa kehadiran penyusunnya.</t>
  </si>
  <si>
    <t>Reaksi pertama atas hampir setiap perubahan adalah ancaman; menolak atau mencari alasan menundanya.</t>
  </si>
  <si>
    <t>Menerima perubahan sebagai beban yang harus dijalani; tidak mencari apa pun di dalamnya.</t>
  </si>
  <si>
    <t>Menemukan sisi baik sebuah perubahan setelah menganalisisnya beberapa waktu.</t>
  </si>
  <si>
    <t>Pada sebagian besar perubahan, hal pertama yang ia cari adalah peluangnya — terlihat pada reaksi 24 jam pertama, bukan pada kesimpulan setelah berhari-hari.</t>
  </si>
  <si>
    <t>Reaksi pertamanya menular; rekan dan tim ikut membaca perubahan dari sisi peluangnya.</t>
  </si>
  <si>
    <t>Menunggu diberi tahu apa yang harus dilakukan atas sebuah perubahan.</t>
  </si>
  <si>
    <t>Menyebut peluang hanya ketika diminta, dan biasanya berupa peluang umum.</t>
  </si>
  <si>
    <t>Mencari peluang pada perubahan yang jelas menguntungkan.</t>
  </si>
  <si>
    <t>Secara rutin menelusuri peluang pada setiap perubahan yang terjadi, termasuk yang tidak berkaitan langsung dengan unitnya, dan peluang yang ditemukan berakar pada perubahan itu — bukan gagasan umum yang ditempelkan.</t>
  </si>
  <si>
    <t>Menemukan peluang yang belum terlihat oleh fungsi yang justru paling terdampak perubahan itu.</t>
  </si>
  <si>
    <t>Peluang yang disebutkan tidak pernah berlanjut menjadi apa pun.</t>
  </si>
  <si>
    <t>Menuliskan gagasan, tetapi berhenti pada dokumen.</t>
  </si>
  <si>
    <t>Menjalankan gagasan yang mudah dan berisiko kecil.</t>
  </si>
  <si>
    <t>Mewujudkan peluang menjadi inisiatif yang berjalan, dan setiap inisiatif dapat ditelusuri ke perubahan spesifik yang memicunya.</t>
  </si>
  <si>
    <t>Inisiatif yang lahir dari pembacaannya mengubah cara unit atau perusahaan bekerja.</t>
  </si>
  <si>
    <t>Perubahan yang merugikan dibaca sebagai kerugian semata dan dikeluhkan kepada tim.</t>
  </si>
  <si>
    <t>Menerima kerugian itu tanpa mengeluh, tetapi juga tanpa mencari apa pun di dalamnya.</t>
  </si>
  <si>
    <t>Mencari cara meminimalkan kerugiannya.</t>
  </si>
  <si>
    <t>Menemukan dan mewujudkan peluang yang justru lahir dari keterbatasan itu, dan menyampaikannya kepada tim dengan menyebut peluangnya — bukan hanya kerugiannya.</t>
  </si>
  <si>
    <t>Unitnya keluar dari perubahan yang merugikan itu dalam posisi yang lebih baik daripada sebelumnya.</t>
  </si>
  <si>
    <t>Baru menyadari sebuah rencana tidak berjalan setelah targetnya gagal.</t>
  </si>
  <si>
    <t>Menyadari dari angka hasil yang sudah memburuk, ketika sebagian kerugian sudah terjadi.</t>
  </si>
  <si>
    <t>Menyadari dari tanda yang cukup jelas, biasanya setelah beberapa periode berjalan.</t>
  </si>
  <si>
    <t>Menetapkan indikator dini dan ambang perubahan di muka, sehingga penyimpangan terdeteksi sebelum hasilnya memburuk.</t>
  </si>
  <si>
    <t>Menyadari sebuah rencana akan kehilangan daya sebelum tandanya terlihat oleh orang lain.</t>
  </si>
  <si>
    <t>Bertahan pada rencana sampai diperintahkan mengubahnya.</t>
  </si>
  <si>
    <t>Melaporkan masalahnya kepada atasan dan menunggu keputusan.</t>
  </si>
  <si>
    <t>Mengusulkan perubahan arah dan menjalankannya setelah disetujui.</t>
  </si>
  <si>
    <t>Memutuskan sendiri untuk mengubah arah dalam batas kewenangannya, lalu melaporkan dasar dan hasilnya — tanpa menunggu diminta.</t>
  </si>
  <si>
    <t>Perubahan arah yang ia putuskan dipakai unit lain sebagai rujukan untuk persoalan serupa.</t>
  </si>
  <si>
    <t>Perubahan dilakukan setelah kerugian besar terlanjur terjadi.</t>
  </si>
  <si>
    <t>Perubahan dilakukan tepat setelah target terlewat.</t>
  </si>
  <si>
    <t>Perubahan dilakukan ketika hasil mulai terlihat menurun.</t>
  </si>
  <si>
    <t>Perubahan dilakukan SEBELUM target terlewat atau hasilnya memburuk — dibuktikan dengan tanggal tanda dan tanggal tindakan.</t>
  </si>
  <si>
    <t>Perubahan dilakukan cukup awal sehingga sasaran semula tetap tercapai dengan cara yang berbeda.</t>
  </si>
  <si>
    <t>Tidak memiliki kerangka; setiap rencana dinilai sendiri-sendiri tanpa acuan arah.</t>
  </si>
  <si>
    <t>Memiliki gambaran arah, tetapi tidak dipakai untuk menilai rencana yang sedang berjalan.</t>
  </si>
  <si>
    <t>Memantau rencana terhadap target tahunannya.</t>
  </si>
  <si>
    <t>Memantau rencana terhadap kerangka jangka panjang area bisnisnya secara terus-menerus, sehingga penyimpangan arah terdeteksi — bukan hanya penyimpangan angka.</t>
  </si>
  <si>
    <t>Kerangkanya dipakai unit lain untuk menilai rencana mereka sendiri.</t>
  </si>
  <si>
    <t>Pekerjaan strategis berhenti sampai arah atau data menjadi jelas.</t>
  </si>
  <si>
    <t>Berhenti berpikir jernih ketika arah strategis membingungkan.</t>
  </si>
  <si>
    <t>Masih dapat menganalisis, tetapi hanya menghasilkan daftar hal yang belum diketahui.</t>
  </si>
  <si>
    <t>Menghasilkan analisis dan skenario yang rapi, meski kesimpulannya tetap menunggu data tambahan.</t>
  </si>
  <si>
    <t>Menghasilkan langkah yang tetap benar apa pun arah yang akhirnya diambil, dan menjalankannya tanpa menunggu kejelasan.</t>
  </si>
  <si>
    <t>Menemukan peluang strategis yang justru tidak terlihat ketika keadaan sudah jelas.</t>
  </si>
  <si>
    <t>Ketika arah strategis belum turun, unit ikut berhenti dan menunggu.</t>
  </si>
  <si>
    <t>Unit tetap berjalan karena diberi pekerjaan seadanya, tanpa penjelasan.</t>
  </si>
  <si>
    <t>Hanya menjalankan gagasan yang kelayakannya sudah terbukti sepenuhnya.</t>
  </si>
  <si>
    <t>Menyusun gagasan besar tetapi menundanya sampai ada bukti yang meyakinkan.</t>
  </si>
  <si>
    <t>Menjalankan gagasan baru setelah pihak lain membuktikannya lebih dulu.</t>
  </si>
  <si>
    <t>Menjalankan terobosan pada skala yang risikonya terkendali sebelum kelayakannya terbukti, dengan batas dan kriteria berhenti yang ditetapkan di muka.</t>
  </si>
  <si>
    <t>Terobosan yang ia jalankan menjadi rujukan yang kemudian diikuti pihak lain di industrinya.</t>
  </si>
  <si>
    <t>Ikut menunggu bersama organisasi; tidak ada arah yang diberikan sampai kejelasan datang dari atas.</t>
  </si>
  <si>
    <t>Meneruskan ketidakjelasan apa adanya, tanpa menerjemahkannya menjadi pekerjaan.</t>
  </si>
  <si>
    <t>Fungsi-fungsi mulai sendiri menentukan pekerjaan yang tetap benar tanpa menunggu arahan darinya.</t>
  </si>
  <si>
    <t>Fungsi yang dipimpinnya ikut berhenti; produktivitas turun tajam pada periode tidak jelas.</t>
  </si>
  <si>
    <t>Rutinitas berjalan, tetapi pekerjaan penting tertahan menunggu keputusan.</t>
  </si>
  <si>
    <t>Fungsi tetap berjalan karena diberi pekerjaan, meski tanpa penjelasan mengapa.</t>
  </si>
  <si>
    <t>Keluaran fungsi tidak menurun pada periode tidak jelas, dan sebagian besar anggotanya tahu apa yang harus dikerjakan — dikonfirmasi oleh mereka sendiri.</t>
  </si>
  <si>
    <t>Fungsi di luar tanggung jawabnya ikut tetap bergerak karena arah yang ia berikan.</t>
  </si>
  <si>
    <t>Mengenali peluang yang muncul dari ketidakpastian, tetapi tidak menindaklanjutinya.</t>
  </si>
  <si>
    <t>Organisasi memperoleh posisi kepeloporan justru karena periode ketidakpastian itu.</t>
  </si>
  <si>
    <t>Tidak merumuskan arah; menjalankan arah yang ditetapkan pihak lain.</t>
  </si>
  <si>
    <t>Merumuskan visi yang terlalu umum untuk diterjemahkan menjadi pekerjaan.</t>
  </si>
  <si>
    <t>Merumuskan arah dan mempresentasikannya; penurunannya diserahkan kepada masing-masing fungsi.</t>
  </si>
  <si>
    <t>Arah yang ia susun diturunkan menjadi langkah per fungsi, dan minimal tiga fungsi benar-benar menjalankannya tanpa kehadirannya.</t>
  </si>
  <si>
    <t>Arah yang ia susun menjadi cara organisasi menentukan langkah pada persoalan sejenis berikutnya.</t>
  </si>
  <si>
    <t>Perlu dijelaskan berulang sebelum memahami informasi kerja dasar.</t>
  </si>
  <si>
    <t>Memahami setelah membaca beberapa kali.</t>
  </si>
  <si>
    <t>Memahami dalam waktu wajar tanpa penjelasan tambahan.</t>
  </si>
  <si>
    <t>Menangkap inti informasi baru dengan cepat.</t>
  </si>
  <si>
    <t>Menjadi rujukan rekan untuk memahami informasi yang sulit.</t>
  </si>
  <si>
    <t>Mencampur opini dan fakta tanpa menyadarinya.</t>
  </si>
  <si>
    <t>Menyadari perbedaannya bila ditanya.</t>
  </si>
  <si>
    <t>Memisahkan keduanya pada kasus yang jelas.</t>
  </si>
  <si>
    <t>Secara konsisten memisahkan fakta dari opini, termasuk pada kasus yang batasnya tidak jelas, diverifikasi pihak lain.</t>
  </si>
  <si>
    <t>Kebiasaannya menular kepada rekan kerja.</t>
  </si>
  <si>
    <t>Menunggu diberi tahu apa arti sebuah informasi.</t>
  </si>
  <si>
    <t>Meringkas tanpa menyimpulkan.</t>
  </si>
  <si>
    <t>Menyimpulkan sendiri, sering perlu dikoreksi.</t>
  </si>
  <si>
    <t>Menyimpulkan mandiri dan mayoritas tepat.</t>
  </si>
  <si>
    <t>Kesimpulannya dipakai tanpa diperiksa ulang.</t>
  </si>
  <si>
    <t>Tidak melihat kaitan informasi dengan pekerjaannya.</t>
  </si>
  <si>
    <t>Menyadari ada kaitan, tidak dapat menyebutkannya.</t>
  </si>
  <si>
    <t>Menjelaskan kaitan pada kasus sederhana.</t>
  </si>
  <si>
    <t>Menghubungkan informasi dengan konteks tugas secara akurat dan berbasis fakta.</t>
  </si>
  <si>
    <t>Menemukan kaitan yang belum terlihat oleh unitnya.</t>
  </si>
  <si>
    <t>Tidak terstruktur; pendengar tidak menemukan poin utama.</t>
  </si>
  <si>
    <t>Ada urutan, tetapi berbelit.</t>
  </si>
  <si>
    <t>Jelas dan runtut: sebab, dampak, kesimpulan.</t>
  </si>
  <si>
    <t>Struktur disusun mengikuti apa yang perlu diketahui pendengar untuk memahami atau memutuskan.</t>
  </si>
  <si>
    <t>Menjadi narasi yang menggerakkan pendengar bertindak.</t>
  </si>
  <si>
    <t>Tidak menyadari informasi yang disampaikan berpotensi disalahpahami.</t>
  </si>
  <si>
    <t>Menyadari ambiguitas, tetapi tidak memperjelasnya.</t>
  </si>
  <si>
    <t>Memperjelas ambiguitas ketika ditanya.</t>
  </si>
  <si>
    <t>Secara proaktif mengenali dan memperjelas informasi ambigu sebelum menimbulkan salah paham, diverifikasi dari pemahaman penerima.</t>
  </si>
  <si>
    <t>Menjadi rujukan saat informasi di unit membingungkan banyak pihak.</t>
  </si>
  <si>
    <t>Menyampaikan dengan cara yang sama kepada siapa pun.</t>
  </si>
  <si>
    <t>Menyesuaikan panjang-pendek saja.</t>
  </si>
  <si>
    <t>Menyesuaikan bahasa sesuai latar belakang pendengar.</t>
  </si>
  <si>
    <t>Menyesuaikan kedalaman dan sudut masuk sesuai kebutuhan tiap audiens.</t>
  </si>
  <si>
    <t>Menjelaskan hal yang sama secara meyakinkan kepada pihak berkepentingan berbeda.</t>
  </si>
  <si>
    <t>Menyampaikan seluruh data mentah, atau menyederhanakan sampai berubah maknanya.</t>
  </si>
  <si>
    <t>Membuang bagian yang sulit dijelaskan, termasuk yang penting.</t>
  </si>
  <si>
    <t>Menerjemahkan istilah dengan menjaga arti.</t>
  </si>
  <si>
    <t>Menyederhanakan hal rumit dengan analogi atau visual, tetap menjaga batas dan asumsi penting.</t>
  </si>
  <si>
    <t>Ringkasannya dipakai sebagai rujukan karena lebih jelas dari aslinya.</t>
  </si>
  <si>
    <t>Menerima setiap sumber informasi secara terpisah.</t>
  </si>
  <si>
    <t>Menggabungkan sumber yang sudah terlihat jelas terkait.</t>
  </si>
  <si>
    <t>Melihat pola dalam satu sumber informasi yang kompleks.</t>
  </si>
  <si>
    <t>Melihat pola yang menghubungkan sumber-sumber yang PADA AWALNYA tampak tidak berkaitan.</t>
  </si>
  <si>
    <t>Menemukan pola lintas sumber yang belum terlihat oleh siapa pun di unitnya.</t>
  </si>
  <si>
    <t>Tidak menyusun kerangka; hanya mendaftar informasi.</t>
  </si>
  <si>
    <t>Menyusun kerangka yang sebenarnya sudah ada sebelumnya.</t>
  </si>
  <si>
    <t>Menyusun kerangka baru untuk persoalan sederhana.</t>
  </si>
  <si>
    <t>Menyusun kerangka baru dari elemen yang sebelumnya tidak terkait, untuk persoalan yang kompleks.</t>
  </si>
  <si>
    <t>Kerangkanya dipakai orang lain untuk persoalan sejenis.</t>
  </si>
  <si>
    <t>Mencampur sintesis data dengan sintesis pendapat orang, tidak membedakan keduanya.</t>
  </si>
  <si>
    <t>Menyadari perbedaannya tetapi tetap mencampur dalam praktik.</t>
  </si>
  <si>
    <t>Memisahkan sintesis data dari sintesis pendapat pada kasus sederhana.</t>
  </si>
  <si>
    <t>Secara konsisten mensintesis DATA, KONSEP, dan TEMUAN — bukan sekadar pendapat orang — menjadi kerangka baru.</t>
  </si>
  <si>
    <t>Mampu menjelaskan kepada orang lain kapan harus mensintesis data dan kapan mensintesis perspektif.</t>
  </si>
  <si>
    <t>Kerangka tidak pernah diuji atau diterapkan.</t>
  </si>
  <si>
    <t>Kerangka diterapkan tetapi tidak diukur dampaknya.</t>
  </si>
  <si>
    <t>Kerangka diterapkan dan menunjukkan hasil pada kasus sederhana.</t>
  </si>
  <si>
    <t>Kerangka diterapkan pada proyek nyata dan menghasilkan peningkatan efektivitas yang terukur.</t>
  </si>
  <si>
    <t>Kerangkanya diadopsi sebagai pendekatan baku untuk persoalan sejenis.</t>
  </si>
  <si>
    <t>Hanya memakai metode yang sudah familiar.</t>
  </si>
  <si>
    <t>Mendengarkan ide baru tetapi tidak mencobanya.</t>
  </si>
  <si>
    <t>Mencoba ide baru bila kondisinya mendukung.</t>
  </si>
  <si>
    <t>Aktif mencari ide baru meski belum terbukti, dan mencobanya tanpa menunggu kondisi ideal.</t>
  </si>
  <si>
    <t>Mendorong eksperimen dan pembelajaran darinya menjadi kebiasaan tim.</t>
  </si>
  <si>
    <t>Tidak mencari ide baru sama sekali.</t>
  </si>
  <si>
    <t>Mencari ide hanya ketika ditugaskan.</t>
  </si>
  <si>
    <t>Mencari ide pada kesempatan tertentu.</t>
  </si>
  <si>
    <t>Secara rutin mencari ide baru atas dorongan sendiri, tanpa menunggu penugasan.</t>
  </si>
  <si>
    <t>Menjadi sumber ide bagi unit lain.</t>
  </si>
  <si>
    <t>Hanya mencari ide dari bidangnya sendiri.</t>
  </si>
  <si>
    <t>Mengetahui ide dari bidang lain, menganggapnya tidak relevan.</t>
  </si>
  <si>
    <t>Mengadaptasi ide dari fungsi lain di organisasi yang sama.</t>
  </si>
  <si>
    <t>Mengeksplorasi area yang belum dikuasai dan menemukan peluang dari sana.</t>
  </si>
  <si>
    <t>Menjadi jembatan ide antar bidang yang sebelumnya tidak saling terhubung.</t>
  </si>
  <si>
    <t>Hanya dirinya yang mencoba; tim tetap memakai cara lama.</t>
  </si>
  <si>
    <t>Mengizinkan tim mencoba bila diminta.</t>
  </si>
  <si>
    <t>Secara aktif mendorong anggota tim mencoba dan memfasilitasi pembelajaran dari eksperimen mereka.</t>
  </si>
  <si>
    <t>Eksplorasi menjadi kebiasaan tim yang berjalan tanpa dorongannya.</t>
  </si>
  <si>
    <t>Pekerjaan berhenti sampai model atau arah jelas.</t>
  </si>
  <si>
    <t>Menetapkan batas menunggu sendiri, lalu bergerak berdasarkan model yang belum sempurna.</t>
  </si>
  <si>
    <t>Melihat ketidakjelasan sebagai kesempatan bergerak lebih dulu.</t>
  </si>
  <si>
    <t>Berhenti berpikir jernih saat keadaan membingungkan.</t>
  </si>
  <si>
    <t>Masih berpikir, hanya menghasilkan daftar hal belum diketahui.</t>
  </si>
  <si>
    <t>Menghasilkan model rapi, kesimpulan tetap menunggu validasi.</t>
  </si>
  <si>
    <t>Menghasilkan langkah yang tetap benar apa pun bentuk akhir modelnya.</t>
  </si>
  <si>
    <t>Menemukan peluang yang tidak terlihat ketika model sudah selesai.</t>
  </si>
  <si>
    <t>Unit ikut berhenti ketika model belum selesai.</t>
  </si>
  <si>
    <t>Unit berjalan karena diberi pekerjaan seadanya.</t>
  </si>
  <si>
    <t>Unit tetap menghasilkan pada periode model belum lengkap, disertai penjelasan jujur.</t>
  </si>
  <si>
    <t>Menetapkan target hanya setelah seluruh data pendukung lengkap.</t>
  </si>
  <si>
    <t>Menetapkan target di atas standar pada area yang sudah familiar.</t>
  </si>
  <si>
    <t>Menetapkan target unit di atas target organisasi berdasarkan informasi yang tersedia meski belum lengkap, dan menjalankannya.</t>
  </si>
  <si>
    <t>Memberi arah setelah kejelasan datang.</t>
  </si>
  <si>
    <t>Tidak pernah mempertanyakan cara pandang yang berlaku.</t>
  </si>
  <si>
    <t>Mempertanyakan cara pandang, tidak mengusulkan alternatif.</t>
  </si>
  <si>
    <t>Mengusulkan cara pandang baru, berhenti sebagai wacana.</t>
  </si>
  <si>
    <t>Cara pandang baru yang ia usulkan diterapkan oleh minimal 3 fungsi tanpa kehadirannya, mengubah cara kerja mereka.</t>
  </si>
  <si>
    <t>Cara pandangnya mengubah cara organisasi bersaing secara berkelanjutan.</t>
  </si>
  <si>
    <t>Membiarkan setiap fungsi memutuskan sendiri tanpa arahan.</t>
  </si>
  <si>
    <t>Mengarahkan hanya fungsinya sendiri.</t>
  </si>
  <si>
    <t>Mengarahkan lintas fungsi pada keputusan yang informasinya lengkap.</t>
  </si>
  <si>
    <t>Mengarahkan dan menyelaraskan keputusan lintas fungsi meski informasi terbatas, dengan mempertimbangkan risiko dan implikasi jangka panjang.</t>
  </si>
  <si>
    <t>Menjadi rujukan cara mengambil keputusan strategis pada ketidakpastian tinggi bagi organisasi.</t>
  </si>
  <si>
    <t>Menunggu instruksi eksplisit sebelum mengambil peran memimpin.</t>
  </si>
  <si>
    <t>Melihat kebutuhan, tetapi menunggu persetujuan atau penunjukan.</t>
  </si>
  <si>
    <t>Berinisiatif mengambil peran memimpin dalam area kerjanya sendiri.</t>
  </si>
  <si>
    <t>Mengambil peran memimpin sebelum masalah berdampak, mengantisipasi kebutuhan lebih awal.</t>
  </si>
  <si>
    <t>Menggerakkan orang lain untuk juga berinisiatif memimpin.</t>
  </si>
  <si>
    <t>Tidak memulai peran memimpin tanpa arahan.</t>
  </si>
  <si>
    <t>Memulai hanya setelah diyakinkan atau ditunjuk.</t>
  </si>
  <si>
    <t>Memulai sendiri pada situasi yang familiar.</t>
  </si>
  <si>
    <t>Memulai sendiri pada situasi baru yang belum familiar.</t>
  </si>
  <si>
    <t>Menjadi contoh yang membuat orang lain berani mengambil peran memimpin.</t>
  </si>
  <si>
    <t>Bertindak setelah masalah terjadi dan terlihat jelas.</t>
  </si>
  <si>
    <t>Bertindak mencegah kebutuhan kepemimpinan yang belum terjadi berdasarkan tanda awal.</t>
  </si>
  <si>
    <t>Antisipasinya menjadi kebiasaan yang diikuti tim.</t>
  </si>
  <si>
    <t>Ragu-ragu terlihat jelas saat mengambil peran memimpin.</t>
  </si>
  <si>
    <t>Mengambil peran dengan ragu, sering meminta persetujuan.</t>
  </si>
  <si>
    <t>Mengambil peran cukup percaya diri pada situasi familiar.</t>
  </si>
  <si>
    <t>Mengambil peran memimpin dengan percaya diri, dipersepsikan pantas oleh tim.</t>
  </si>
  <si>
    <t>Dipercaya tim untuk mengambil peran memimpin tanpa dipertanyakan.</t>
  </si>
  <si>
    <t>Mengurutkan berdasarkan kemudahan.</t>
  </si>
  <si>
    <t>Mengurutkan berdasarkan tenggat dan tingkat kepentingan.</t>
  </si>
  <si>
    <t>Mengurutkan dengan mempertimbangkan keterkaitan antar tugas dan ketergantungan.</t>
  </si>
  <si>
    <t>Mengurutkan berdasarkan dampak terhadap tujuan besar, ditinjau ulang saat berubah.</t>
  </si>
  <si>
    <t>Tim tidak tahu dasar urutan prioritas.</t>
  </si>
  <si>
    <t>Prioritas disampaikan tanpa alasan.</t>
  </si>
  <si>
    <t>Alasan disampaikan pada permintaan penting.</t>
  </si>
  <si>
    <t>Alasan prioritas dikomunikasikan jelas pada hampir seluruh keputusan, tim tidak perlu terus bertanya.</t>
  </si>
  <si>
    <t>Cara komunikasinya menjadi model bagi pemimpin lain.</t>
  </si>
  <si>
    <t>Meninjau ulang pada perubahan yang jelas.</t>
  </si>
  <si>
    <t>Meninjau ulang secara proaktif dan mengkomunikasikannya kepada tim.</t>
  </si>
  <si>
    <t>Peninjauan ulangnya menjadi kebiasaan yang membuat tim tetap adaptif.</t>
  </si>
  <si>
    <t>Sering mengambil alih tugas tim karena prioritas tidak jelas.</t>
  </si>
  <si>
    <t>Mengambil alih pada sebagian tugas penting.</t>
  </si>
  <si>
    <t>Mengambil alih hanya pada situasi mendesak.</t>
  </si>
  <si>
    <t>Jarang mengambil alih karena prioritas sudah dipahami jelas oleh tim.</t>
  </si>
  <si>
    <t>Tim mampu menentukan urutan sendiri berdasarkan prinsip yang sudah diajarkan.</t>
  </si>
  <si>
    <t>Bertahan pada pandangan sendiri.</t>
  </si>
  <si>
    <t>Mencoba memahami tapi kembali ke perspektif awal.</t>
  </si>
  <si>
    <t>Menerima perspektif lain bila dijelaskan logis.</t>
  </si>
  <si>
    <t>Menganalisis kepentingan dan batasan berbagai pihak secara sistematis.</t>
  </si>
  <si>
    <t>Memetakan perspektif yang bertentangan secara akurat.</t>
  </si>
  <si>
    <t>Anggota tim diharapkan memahami perannya sendiri.</t>
  </si>
  <si>
    <t>Hanya disampaikan apa yang harus dikerjakan, tanpa hasil yang diharapkan.</t>
  </si>
  <si>
    <t>Tujuan, peran, dan hasil yang diharapkan dijelaskan kepada semua pihak.</t>
  </si>
  <si>
    <t>Ukuran keberhasilan disepakati bersama dan tanggung jawab dipastikan dipahami.</t>
  </si>
  <si>
    <t>Arah cukup jelas sehingga anggota tim dapat memutuskan sendiri tanpa menunggu.</t>
  </si>
  <si>
    <t>Menganggap memahami perspektif berarti menyetujuinya.</t>
  </si>
  <si>
    <t>Memetakan hanya perspektif yang mudah diterima.</t>
  </si>
  <si>
    <t>Memetakan perspektif yang berbeda, tetap kesulitan pada yang bertentangan.</t>
  </si>
  <si>
    <t>Memetakan perspektif secara mendalam terlepas dari keputusan akhir yang akan diambil.</t>
  </si>
  <si>
    <t>Pemetaannya dipakai pihak lain untuk memahami situasi yang kompleks.</t>
  </si>
  <si>
    <t>Anggota tim sering bertanya ulang tentang apa yang diharapkan.</t>
  </si>
  <si>
    <t>Bertanya ulang berkurang hanya pada tugas yang sederhana.</t>
  </si>
  <si>
    <t>Bertanya ulang berkurang pada sebagian besar tugas.</t>
  </si>
  <si>
    <t>Anggota tim jarang bertanya ulang karena ekspektasi sudah jelas dan diverifikasi.</t>
  </si>
  <si>
    <t>Anggota tim mampu menjelaskan ekspektasi kepada rekan lain tanpa bantuan peserta.</t>
  </si>
  <si>
    <t>Tidak menyadari emosi orang lain.</t>
  </si>
  <si>
    <t>Membaca emosi yang sangat jelas saja.</t>
  </si>
  <si>
    <t>Membaca emosi yang jelas dengan akurasi cukup baik.</t>
  </si>
  <si>
    <t>Membaca emosi secara akurat termasuk yang tidak diucapkan, merespons tepat.</t>
  </si>
  <si>
    <t>Memahami dinamika emosi kolektif dalam kelompok.</t>
  </si>
  <si>
    <t>Tidak menyadari perilakunya mempengaruhi orang lain.</t>
  </si>
  <si>
    <t>Sadar hanya setelah diberi tahu secara eksplisit.</t>
  </si>
  <si>
    <t>Sadar pada kasus yang dampaknya mencolok.</t>
  </si>
  <si>
    <t>Secara proaktif menyadari dampak perilaku dan cara komunikasinya, menyesuaikan diri agar positif.</t>
  </si>
  <si>
    <t>Jejak yang ditinggalkan pada orang lain konsisten positif tanpa perlu diingatkan.</t>
  </si>
  <si>
    <t>Merespons dengan analisis/logika, mengabaikan emosi.</t>
  </si>
  <si>
    <t>Merespons emosi hanya pada situasi personal yang dekat.</t>
  </si>
  <si>
    <t>Merespons emosi secara memadai pada situasi umum.</t>
  </si>
  <si>
    <t>Merespons emosi secara tepat dan konsisten, termasuk pada situasi kelompok yang kompleks.</t>
  </si>
  <si>
    <t>Responsnya menjadi teladan bagi pemimpin lain.</t>
  </si>
  <si>
    <t>Perilaku tidak berubah meski tahu dampaknya negatif.</t>
  </si>
  <si>
    <t>Menyesuaikan hanya setelah ditegur.</t>
  </si>
  <si>
    <t>Menyesuaikan pada kasus yang jelas berdampak buruk.</t>
  </si>
  <si>
    <t>Menyesuaikan gaya komunikasi secara proaktif berdasarkan kesadaran dampak pada individu berbeda.</t>
  </si>
  <si>
    <t>Penyesuaiannya menjadi kebiasaan yang melekat, tidak lagi perlu usaha sadar.</t>
  </si>
  <si>
    <t>Memakai satu gaya yang sama untuk semua orang.</t>
  </si>
  <si>
    <t>Menyesuaikan gaya hanya setelah muncul masalah.</t>
  </si>
  <si>
    <t>Membedakan gaya antara yang berpengalaman dan yang masih baru.</t>
  </si>
  <si>
    <t>Membaca kesiapan akurat dan mengubah gaya bahkan dalam satu percakapan.</t>
  </si>
  <si>
    <t>Mengenali emosi dan memilih respons, meski butuh usaha.</t>
  </si>
  <si>
    <t>Tetap tenang dan profesional secara konsisten, menjaga kualitas keputusan.</t>
  </si>
  <si>
    <t>Menenangkan orang lain dan menjaga kualitas keputusan sekaligus.</t>
  </si>
  <si>
    <t>Tidak menilai kesiapan sebelum memberi tugas.</t>
  </si>
  <si>
    <t>Menilai kesiapan berdasarkan kesan umum.</t>
  </si>
  <si>
    <t>Menilai kesiapan berdasarkan pengalaman formal.</t>
  </si>
  <si>
    <t>Mendiagnosis kesiapan secara akurat, membedakan kekurangan skill dari kekurangan will.</t>
  </si>
  <si>
    <t>Diagnosisnya dikonfirmasi akurat bahkan oleh orang yang dinilai sendiri.</t>
  </si>
  <si>
    <t>Terlihat panik atau reaktif oleh tim.</t>
  </si>
  <si>
    <t>Terlihat tenang di permukaan, ketegangan terasa.</t>
  </si>
  <si>
    <t>Terlihat tenang pada tekanan sedang.</t>
  </si>
  <si>
    <t>Konsisten terlihat tenang bahkan pada tekanan tinggi.</t>
  </si>
  <si>
    <t>Dianggap berpihak oleh salah satu atau kedua pihak.</t>
  </si>
  <si>
    <t>Dipercaya oleh sebagian pihak saja.</t>
  </si>
  <si>
    <t>Dipercaya kedua pihak pada konflik sederhana.</t>
  </si>
  <si>
    <t>Dipercaya sebagai netral oleh kedua pihak, bahkan pada konflik strategis kompleks.</t>
  </si>
  <si>
    <t>Menjadi rujukan organisasi ketika dibutuhkan mediator netral.</t>
  </si>
  <si>
    <t>Menerima standar kinerja yang berlaku apa adanya.</t>
  </si>
  <si>
    <t>Menetapkan standar berdasarkan pembanding eksternal, melembagakannya menjadi sistem yang berjalan tanpa dirinya.</t>
  </si>
  <si>
    <t>Standar yang ditetapkan menjadi acuan organisasi.</t>
  </si>
  <si>
    <t>Kesepakatan hasil mediasi tidak ditindaklanjuti.</t>
  </si>
  <si>
    <t>Kesepakatan dijalankan sebentar, ditinggalkan.</t>
  </si>
  <si>
    <t>Kesepakatan dijalankan dengan pemantauan ketat.</t>
  </si>
  <si>
    <t>Kesepakatan tetap dijalankan tanpa perlu dinegosiasikan ulang.</t>
  </si>
  <si>
    <t>Kesepakatan menjadi mekanisme kolaborasi permanen.</t>
  </si>
  <si>
    <t>Tidak dapat memakai sistem baru tanpa dituntun langkah demi langkah.</t>
  </si>
  <si>
    <t>Bisa memakai dengan banyak bantuan berulang.</t>
  </si>
  <si>
    <t>Bisa memakai secara mandiri, tetapi lambat.</t>
  </si>
  <si>
    <t>Cepat menguasai sistem baru secara mandiri hingga dapat menggunakannya efektif.</t>
  </si>
  <si>
    <t>Menguasai sistem baru lebih cepat dari sebagian besar rekan sejawat.</t>
  </si>
  <si>
    <t>Selalu bertanya sebelum mencoba sendiri.</t>
  </si>
  <si>
    <t>Mencoba sendiri sebentar, cepat menyerah dan bertanya.</t>
  </si>
  <si>
    <t>Mencoba mandiri pada fitur yang sederhana.</t>
  </si>
  <si>
    <t>Mencoba mandiri secara konsisten sebelum bertanya, termasuk pada fitur yang rumit.</t>
  </si>
  <si>
    <t>Kemandiriannya menjadi contoh bagi rekan.</t>
  </si>
  <si>
    <t>Menguasai sistem baru hanya untuk diri sendiri.</t>
  </si>
  <si>
    <t>Menularkan hanya ketika diminta langsung.</t>
  </si>
  <si>
    <t>Menularkan pada kesempatan informal yang terbatas.</t>
  </si>
  <si>
    <t>Secara aktif mengajarkan sistem baru yang baru dikuasai kepada rekan, dengan panduan yang jelas.</t>
  </si>
  <si>
    <t>Menjadi rujukan tim untuk sistem baru, dicari sebelum bertanya ke pihak lain.</t>
  </si>
  <si>
    <t>Meski sudah dipakai, masih sering melakukan kesalahan dasar.</t>
  </si>
  <si>
    <t>Menggunakan sistem dengan benar pada fungsi dasar saja.</t>
  </si>
  <si>
    <t>Menggunakan sistem dengan benar pada sebagian besar fungsi.</t>
  </si>
  <si>
    <t>Menggunakan sistem secara efektif pada seluruh fungsi yang relevan dengan pekerjaannya.</t>
  </si>
  <si>
    <t>Menemukan cara memakai sistem yang lebih efisien daripada yang diajarkan awalnya.</t>
  </si>
  <si>
    <t>Cepat menyimpulkan tentang orang tanpa menggali.</t>
  </si>
  <si>
    <t>Bertanya seperlunya untuk memahami tugas mereka.</t>
  </si>
  <si>
    <t>Ingin tahu tentang konteks kehidupan orang lain secara umum.</t>
  </si>
  <si>
    <t>Menggali motivasi dan harapan orang lain secara spesifik dan mendalam.</t>
  </si>
  <si>
    <t>Membangun kepercayaan mendalam yang membuat orang bersedia berbagi hal yang jarang diungkapkan.</t>
  </si>
  <si>
    <t>Bertanya hanya karena formalitas atau kesopanan.</t>
  </si>
  <si>
    <t>Bertanya karena kebutuhan tugas, tanpa minat personal.</t>
  </si>
  <si>
    <t>Menunjukkan minat personal pada sebagian orang.</t>
  </si>
  <si>
    <t>Menunjukkan minat personal yang tulus, dikonfirmasi oleh orang yang digali sebagai bukan formalitas.</t>
  </si>
  <si>
    <t>Ketulusannya dikenal luas sebagai ciri khasnya.</t>
  </si>
  <si>
    <t>Tidak pernah bertanya di luar yang diperlukan tugas.</t>
  </si>
  <si>
    <t>Sesekali bertanya di luar tugas, tidak konsisten.</t>
  </si>
  <si>
    <t>Bertanya di luar tugas pada rekan yang dekat.</t>
  </si>
  <si>
    <t>Secara konsisten menggali hal di luar kebutuhan tugas pada berbagai rekan, bukan hanya yang dekat.</t>
  </si>
  <si>
    <t>Menjadi orang yang dipercaya untuk berbagi hal personal oleh banyak pihak.</t>
  </si>
  <si>
    <t>Pemahaman personal tidak pernah dipakai untuk membantu.</t>
  </si>
  <si>
    <t>Dipakai sesekali tanpa tindak lanjut nyata.</t>
  </si>
  <si>
    <t>Dipakai untuk membantu pada kasus yang mudah.</t>
  </si>
  <si>
    <t>Dipakai untuk membantu mengatasi kekhawatiran nyata, dikonfirmasi hasilnya.</t>
  </si>
  <si>
    <t>Pemahamannya menjadi dasar dukungan berkelanjutan bagi rekan.</t>
  </si>
  <si>
    <t>Perhatian terpusat pada tugas sendiri, tidak memperhatikan kemampuan orang lain.</t>
  </si>
  <si>
    <t>Tahu siapa yang kuat dan lemah, tanpa menelusuri sebabnya.</t>
  </si>
  <si>
    <t>Mengenali kekuatan dan area pengembangan berdasarkan hasil kerja.</t>
  </si>
  <si>
    <t>Menelusuri penyebab di balik kesenjangan kemampuan dan menyesuaikan cara bekerja dengan orang itu.</t>
  </si>
  <si>
    <t>Memetakan potensi secara akurat dan mengarahkannya pada peran yang tepat.</t>
  </si>
  <si>
    <t>Pembacaan sering keliru, tidak pernah dikonfirmasi.</t>
  </si>
  <si>
    <t>Pembacaan dikonfirmasi hanya sesekali.</t>
  </si>
  <si>
    <t>Pembacaan sesuai persepsi diri orang tersebut pada sebagian kasus.</t>
  </si>
  <si>
    <t>Pembacaan dikonfirmasi akurat oleh orang yang dinilai maupun pihak ketiga secara konsisten.</t>
  </si>
  <si>
    <t>Pembacaannya menjadi rujukan saat orang lain ragu menilai seseorang.</t>
  </si>
  <si>
    <t>Memperlakukan semua anggota tim dengan cara yang sama.</t>
  </si>
  <si>
    <t>Menyesuaikan cara kerja berdasarkan kesan umum, bukan penyebab spesifik.</t>
  </si>
  <si>
    <t>Menyesuaikan cara kerja pada sebagian anggota tim.</t>
  </si>
  <si>
    <t>Menyesuaikan cara kerja secara spesifik berdasarkan penyebab kesenjangan masing-masing anggota.</t>
  </si>
  <si>
    <t>Penyesuaiannya menjadi model bagi pemimpin lain dalam mengelola tim beragam.</t>
  </si>
  <si>
    <t>Menempatkan orang berdasarkan ketersediaan, bukan potensi.</t>
  </si>
  <si>
    <t>Mempertimbangkan potensi hanya untuk penempatan yang mudah.</t>
  </si>
  <si>
    <t>Menempatkan berdasarkan potensi pada sebagian kasus.</t>
  </si>
  <si>
    <t>Secara aktif menempatkan orang pada peran yang sesuai potensinya, dengan hasil yang terukur lebih baik.</t>
  </si>
  <si>
    <t>Penempatannya secara konsisten menghasilkan talent yang berkembang melampaui ekspektasi.</t>
  </si>
  <si>
    <t>Masalah dibiarkan atau baru disampaikan saat sudah mendesak.</t>
  </si>
  <si>
    <t>Ditunda, disampaikan hanya ketika terpaksa.</t>
  </si>
  <si>
    <t>Disampaikan langsung disertai contoh yang jelas.</t>
  </si>
  <si>
    <t>Disampaikan tepat waktu secara konsisten, termasuk pada masalah yang sulit disampaikan.</t>
  </si>
  <si>
    <t>Disampaikan secara teratur sehingga tidak ada masalah yang dibiarkan menumpuk.</t>
  </si>
  <si>
    <t>Disampaikan dengan cara yang merendahkan atau menyerang karakter.</t>
  </si>
  <si>
    <t>Disampaikan tanpa memperhatikan reaksi penerima.</t>
  </si>
  <si>
    <t>Disampaikan dengan cukup hati-hati pada sebagian kasus.</t>
  </si>
  <si>
    <t>Disampaikan dengan menjaga harga diri penerima secara konsisten, disertai saran perbaikan.</t>
  </si>
  <si>
    <t>Caranya menjadi contoh bagi pemimpin lain dalam menyampaikan hal sulit.</t>
  </si>
  <si>
    <t>Masukan yang disampaikan selalu ditolak atau memicu defensif.</t>
  </si>
  <si>
    <t>Sebagian masukan diterima, sebagian ditolak.</t>
  </si>
  <si>
    <t>Sebagian besar masukan diterima dan ditindaklanjuti.</t>
  </si>
  <si>
    <t>Masukan secara konsisten menghasilkan perbaikan nyata pada kinerja penerima.</t>
  </si>
  <si>
    <t>Penerima secara aktif meminta masukan lebih lanjut karena mempercayai caranya.</t>
  </si>
  <si>
    <t>Umpan balik hanya terjadi pada momen krisis.</t>
  </si>
  <si>
    <t>Umpan balik terjadi sesekali di luar krisis.</t>
  </si>
  <si>
    <t>Umpan balik terjadi cukup rutin pada sebagian anggota tim.</t>
  </si>
  <si>
    <t>Umpan balik terjadi secara rutin dan terjadwal, dianggap hal biasa oleh tim.</t>
  </si>
  <si>
    <t>Budaya umpan balik rutin ini menular ke anggota tim yang saling memberi umpan balik sendiri.</t>
  </si>
  <si>
    <t>Dikerjakan sendiri karena lebih cepat, atau hanya tugas rutin yang diserahkan.</t>
  </si>
  <si>
    <t>Diserahkan berdasarkan kemudahan atau ketidakpentingan tugas itu bagi diri sendiri.</t>
  </si>
  <si>
    <t>Diserahkan disertai penjelasan dan arahan yang memadai.</t>
  </si>
  <si>
    <t>Tugas dipilih secara sengaja karena sekaligus menjadi kesempatan belajar bagi penerima.</t>
  </si>
  <si>
    <t>Pemilihan tugasnya menjadi model delegasi yang dipelajari pemimpin lain.</t>
  </si>
  <si>
    <t>Tugas diserahkan tanpa penjelasan.</t>
  </si>
  <si>
    <t>Penjelasan diberikan sekali di awal, tidak ada pendampingan lanjutan.</t>
  </si>
  <si>
    <t>Pendampingan diberikan ketika penerima meminta.</t>
  </si>
  <si>
    <t>Pendampingan disediakan secara proaktif dan memadai, disesuaikan tingkat kesulitan tugas.</t>
  </si>
  <si>
    <t>Pendampingannya membuat penerima berkembang melampaui ekspektasi tugas awal.</t>
  </si>
  <si>
    <t>Kesalahan langsung diambil alih atau dihukum keras.</t>
  </si>
  <si>
    <t>Kesalahan ditoleransi hanya pada tugas yang tidak penting.</t>
  </si>
  <si>
    <t>Kesalahan pada tugas penting ditoleransi dengan pengawasan ketat.</t>
  </si>
  <si>
    <t>Memberi ruang untuk keliru pada tugas yang meregangkan kemampuan, merespons kesalahan sebagai pembelajaran.</t>
  </si>
  <si>
    <t>Budaya memberi ruang untuk keliru ini menular ke seluruh tim.</t>
  </si>
  <si>
    <t>Penerima delegasi tidak menunjukkan pertumbuhan kapasitas.</t>
  </si>
  <si>
    <t>Pertumbuhan terjadi kebetulan, tidak disengaja.</t>
  </si>
  <si>
    <t>Pertumbuhan terjadi pada sebagian penerima.</t>
  </si>
  <si>
    <t>Pertumbuhan kapasitas terjadi secara konsisten dan terukur pada penerima delegasi.</t>
  </si>
  <si>
    <t>Penerima delegasi menjadi mampu mendelegasikan dengan cara yang sama kepada orang lain.</t>
  </si>
  <si>
    <t>Pengembangan dianggap tanggung jawab fungsi SDM.</t>
  </si>
  <si>
    <t>Didukung hanya ketika program pengembangan tersedia.</t>
  </si>
  <si>
    <t>Mengarahkan orang lain pada kesempatan belajar yang relevan.</t>
  </si>
  <si>
    <t>Mendampingi perkembangan orang lain melalui percakapan pengembangan yang TERATUR dan terjadwal.</t>
  </si>
  <si>
    <t>Keteraturannya menjadi model yang ditiru pemimpin lain.</t>
  </si>
  <si>
    <t>Pembelajaran orang lain sepenuhnya bergantung pada kehadirannya.</t>
  </si>
  <si>
    <t>Sebagian pembelajaran bergantung padanya, sebagian tidak.</t>
  </si>
  <si>
    <t>Pembelajaran berjalan mandiri pada kesempatan yang sederhana.</t>
  </si>
  <si>
    <t>Membangun kebiasaan saling mengembangkan yang mulai berjalan tanpa kehadirannya.</t>
  </si>
  <si>
    <t>Pembelajaran terus berjalan sepenuhnya tanpa bergantung pada dirinya, bahkan setelah ia tidak lagi terlibat.</t>
  </si>
  <si>
    <t>Interaksi dengan bawahan sebatas urusan tugas.</t>
  </si>
  <si>
    <t>Sesekali membahas pengembangan, tidak terstruktur.</t>
  </si>
  <si>
    <t>Membahas pengembangan pada momen formal (review tahunan).</t>
  </si>
  <si>
    <t>Membahas pengembangan secara teratur di luar siklus formal, dengan komitmen yang dipantau.</t>
  </si>
  <si>
    <t>Menjadi tempat individu secara sukarela mencari pendampingan pengembangan.</t>
  </si>
  <si>
    <t>Sistem pengembangan berjalan tanpa memperhatikan bias.</t>
  </si>
  <si>
    <t>Menyadari ada bias, tidak mengambil tindakan.</t>
  </si>
  <si>
    <t>Mengambil tindakan pada bias yang paling jelas.</t>
  </si>
  <si>
    <t>Merancang sistem pengembangan yang secara eksplisit mengurangi bias dan meningkatkan inklusivitas.</t>
  </si>
  <si>
    <t>Sistemnya menjadi rujukan praktik pengembangan talenta yang inklusif di organisasi.</t>
  </si>
  <si>
    <t>Perhatian teralih; memikirkan hal lain saat orang lain berbicara.</t>
  </si>
  <si>
    <t>Mendengar sebagian; menangkap sebagian isi, melewatkan bagian penting.</t>
  </si>
  <si>
    <t>Mendengar penuh isi yang disampaikan pada percakapan yang tidak rumit.</t>
  </si>
  <si>
    <t>Mendengar penuh dan aktif mengklarifikasi pada percakapan yang kompleks atau ambigu.</t>
  </si>
  <si>
    <t>Perhatiannya membuat lawan bicara merasa benar-benar didengar, bahkan pada topik sensitif.</t>
  </si>
  <si>
    <t>Tidak dapat merangkum; hanya mengulang sebagian kata.</t>
  </si>
  <si>
    <t>Merangkum dengan menambahkan opini sendiri, mengubah makna.</t>
  </si>
  <si>
    <t>Merangkum secara akurat pada percakapan sederhana.</t>
  </si>
  <si>
    <t>Merangkum secara akurat dan diverifikasi tepat oleh pembicara, termasuk pada percakapan yang kompleks.</t>
  </si>
  <si>
    <t>Rangkumannya dipakai untuk menyelesaikan perbedaan pandangan dalam kelompok.</t>
  </si>
  <si>
    <t>Tidak menyadari emosi di balik kata-kata.</t>
  </si>
  <si>
    <t>Menyadari ada emosi, tetapi salah menebak jenisnya.</t>
  </si>
  <si>
    <t>Menangkap emosi yang jelas dan eksplisit.</t>
  </si>
  <si>
    <t>Menangkap emosi yang tidak diucapkan secara eksplisit dan merespons sesuai, dikonfirmasi oleh orangnya.</t>
  </si>
  <si>
    <t>Kepekaannya membuat orang lain nyaman menyampaikan hal yang sulit diucapkan.</t>
  </si>
  <si>
    <t>Mendengarkan tidak pernah dipakai untuk membantu kelompok memutuskan.</t>
  </si>
  <si>
    <t>Mendengarkan hanya untuk dirinya sendiri, tidak dibagikan ke forum.</t>
  </si>
  <si>
    <t>Menyampaikan apa yang didengar kepada forum, tanpa menyintesiskannya.</t>
  </si>
  <si>
    <t>Merangkum pandangan yang berbeda secara adil dan membantu forum menemukan titik temu.</t>
  </si>
  <si>
    <t>Menjadi orang yang dicari untuk merangkum ketika forum menghadapi kebuntuan.</t>
  </si>
  <si>
    <t>Memilih bekerja hanya dengan orang yang serupa dengannya.</t>
  </si>
  <si>
    <t>Bekerja dengan yang berbeda hanya ketika diarahkan.</t>
  </si>
  <si>
    <t>Bekerja dengan yang berbeda atas inisiatif sendiri pada situasi yang familiar.</t>
  </si>
  <si>
    <t>Secara aktif mencari kolaborasi dengan pihak berbeda karena menyadari nilai yang bisa dihasilkan.</t>
  </si>
  <si>
    <t>Menjadi orang yang dicari ketika sebuah tim membutuhkan sudut pandang yang berbeda.</t>
  </si>
  <si>
    <t>Berkomunikasi dengan cara yang sama kepada siapa pun.</t>
  </si>
  <si>
    <t>Menyesuaikan cara berkomunikasi ketika diminta atau diarahkan.</t>
  </si>
  <si>
    <t>Menyesuaikan gaya komunikasi secara mandiri sesuai lawan bicara.</t>
  </si>
  <si>
    <t>Menyesuaikan gaya secara konsisten, dan kolaborasi menjadi lebih produktif karenanya, dikonfirmasi lawan kolaborasi.</t>
  </si>
  <si>
    <t>Penyesuaiannya menjadi contoh yang ditiru rekan lain.</t>
  </si>
  <si>
    <t>Menghindari perbedaan pandangan, memilih yang sepakat.</t>
  </si>
  <si>
    <t>Menerima perbedaan pandangan, tidak menggunakannya.</t>
  </si>
  <si>
    <t>Mendengarkan perbedaan pandangan, kadang menerapkannya sebagian.</t>
  </si>
  <si>
    <t>Menggabungkan sudut pandang berbeda menghasilkan solusi yang terbukti lebih baik daripada tanpa perbedaan itu.</t>
  </si>
  <si>
    <t>Keberagaman menjadi sumber nilai yang diandalkan tim secara rutin.</t>
  </si>
  <si>
    <t>Tidak memperhatikan apakah orang lain merasa nyaman berkolaborasi dengannya.</t>
  </si>
  <si>
    <t>Nyaman untuk dirinya sendiri, tidak memperhatikan kenyamanan pihak yang berbeda.</t>
  </si>
  <si>
    <t>Membantu sebagian pihak yang kesulitan berkolaborasi karena perbedaan.</t>
  </si>
  <si>
    <t>Membantu rekan lain menyesuaikan diri dengan pihak yang berbeda gaya kerjanya.</t>
  </si>
  <si>
    <t>Menjadi contoh budaya kerja yang membuat perbedaan terasa sebagai kekuatan, bukan hambatan.</t>
  </si>
  <si>
    <t>Mengabaikan atau memotong pendapat yang berbeda.</t>
  </si>
  <si>
    <t>Mendengar pendapat berbeda tanpa memberinya bobot apa pun.</t>
  </si>
  <si>
    <t>Memberi ruang pada pendapat berbeda yang terdengar wajar atau familiar.</t>
  </si>
  <si>
    <t>Memberi ruang dan bobot serius pada SEMUA pendapat berbeda, termasuk yang bertentangan dengan pandangannya sendiri.</t>
  </si>
  <si>
    <t>Menjadi rujukan tempat orang merasa aman menyampaikan pendapat yang tidak populer.</t>
  </si>
  <si>
    <t>Menghargai pendapat hanya ketika pendapat itu akhirnya dipakai.</t>
  </si>
  <si>
    <t>Menyamakan "dihargai" dengan "dipakai dalam keputusan".</t>
  </si>
  <si>
    <t>Sesekali menunjukkan penghargaan pada pendapat yang tidak dipakai.</t>
  </si>
  <si>
    <t>Secara konsisten membuat pemilik pendapat merasa dihargai meski pendapatnya tidak dipakai dalam keputusan akhir.</t>
  </si>
  <si>
    <t>Pendapat yang tidak dipakai tetap dicatat dan dihormati sebagai kontribusi yang berarti.</t>
  </si>
  <si>
    <t>Tidak pernah menanyakan pendapat yang berbeda.</t>
  </si>
  <si>
    <t>Menerima pendapat berbeda hanya jika disampaikan tanpa diminta.</t>
  </si>
  <si>
    <t>Menanyakan pendapat berbeda pada keputusan yang dianggap penting.</t>
  </si>
  <si>
    <t>Secara aktif menggali kekhawatiran dan pendapat alternatif sebelum keputusan difinalisasi, pada hampir semua keputusan penting.</t>
  </si>
  <si>
    <t>Kebiasaan menggali pendapat ini menular dan menjadi budaya tim.</t>
  </si>
  <si>
    <t>Berhenti mendengarkan seseorang setelah pendapatnya beberapa kali tidak dipakai.</t>
  </si>
  <si>
    <t>Tetap mendengarkan, tetapi dengan semangat yang menurun.</t>
  </si>
  <si>
    <t>Tetap memberi ruang pada sebagian besar kesempatan.</t>
  </si>
  <si>
    <t>Tetap memberi ruang dan bobot serius secara konsisten, bahkan kepada orang yang pendapatnya berulang kali tidak dipakai.</t>
  </si>
  <si>
    <t>Orang yang pendapatnya sering tidak dipakai tetap merasa nyaman dan terus berkontribusi.</t>
  </si>
  <si>
    <t>Menghindari risiko; tim bertahan pada cara yang pasti aman.</t>
  </si>
  <si>
    <t>Mencoba pendekatan tim baru setelah risikonya dihitung dan dinilai kecil.</t>
  </si>
  <si>
    <t>Mendorong tim mencoba meski hasil akhirnya belum jelas, dengan risiko yang dihitung dan dikelola.</t>
  </si>
  <si>
    <t>Mendorong eksperimen menjadi kebiasaan tim yang berjalan tanpa harus terus didorong.</t>
  </si>
  <si>
    <t>Tidak menghitung risiko sebelum tim mencoba.</t>
  </si>
  <si>
    <t>Menghitung risiko tetapi terlalu berhati-hati sehingga tim tidak pernah benar-benar mencoba.</t>
  </si>
  <si>
    <t>Menghitung risiko secara wajar untuk uji coba tim skala kecil.</t>
  </si>
  <si>
    <t>Menetapkan batas kerugian yang dapat diterima sebelum tim mencoba, dan kerugian tetap dalam batas itu ketika gagal.</t>
  </si>
  <si>
    <t>Perhitungan risikonya menjadi acuan bagi tim lain.</t>
  </si>
  <si>
    <t>Menyalahkan individu ketika uji coba tim gagal.</t>
  </si>
  <si>
    <t>Melaporkan kegagalan tim secara terbuka pada kasus kecil.</t>
  </si>
  <si>
    <t>Melaporkan kegagalan tim secara terbuka dan cepat, menarik pembelajaran tanpa menyalahkan individu.</t>
  </si>
  <si>
    <t>Kegagalan tim menjadi bahan pembelajaran yang dibagikan sukarela ke unit lain.</t>
  </si>
  <si>
    <t>Tidak mendorong anggota tim mengusulkan gagasan.</t>
  </si>
  <si>
    <t>Mendorong mengusulkan, tetapi berhenti di situ — gagasan tidak pernah dicoba.</t>
  </si>
  <si>
    <t>Sesekali mendorong gagasan sampai dicoba.</t>
  </si>
  <si>
    <t>Secara aktif mendampingi anggota tim mengusulkan DAN mencoba gagasannya sendiri, dengan risiko terukur.</t>
  </si>
  <si>
    <t>Tim secara mandiri mengusulkan dan mencoba gagasan tanpa perlu didorong.</t>
  </si>
  <si>
    <t>Berhubungan hanya ketika ada kebutuhan mendesak.</t>
  </si>
  <si>
    <t>Menjaga hubungan menjelang momen penting saja.</t>
  </si>
  <si>
    <t>Menjaga hubungan baik selama satu proyek berlangsung.</t>
  </si>
  <si>
    <t>Mengelola hubungan sebagai portofolio lintas waktu, menilai keberhasilan dari kelangsungan kerja sama.</t>
  </si>
  <si>
    <t>Hubungan bertahan melampaui pergantian orang di kedua pihak.</t>
  </si>
  <si>
    <t>Memperlakukan semua stakeholder dengan cara yang sama.</t>
  </si>
  <si>
    <t>Membedakan pendekatan berdasarkan besar-kecilnya kepentingan.</t>
  </si>
  <si>
    <t>Menyesuaikan gaya komunikasi berdasarkan pengalaman sebelumnya.</t>
  </si>
  <si>
    <t>Menyesuaikan pendekatan berdasarkan analisis sumber kesulitan struktural masing-masing.</t>
  </si>
  <si>
    <t>Mampu menjelaskan kepada orang lain mengapa satu stakeholder perlu didekati dengan cara tertentu.</t>
  </si>
  <si>
    <t>Memaksakan kepentingannya sendiri dalam setiap interaksi.</t>
  </si>
  <si>
    <t>Mengalah untuk menghindari konflik.</t>
  </si>
  <si>
    <t>Mencari jalan tengah dengan membagi selisih.</t>
  </si>
  <si>
    <t>Menganalisis kepentingan pokok kedua pihak dan menyusun opsi yang menambah nilai bagi keduanya.</t>
  </si>
  <si>
    <t>Titik temu yang ditemukan menjadi model kerja sama jangka panjang antar unit.</t>
  </si>
  <si>
    <t>Relasi berhenti ketika salah satu pihak berganti peran.</t>
  </si>
  <si>
    <t>Relasi perlu dibangun ulang dari nol setelah pergantian.</t>
  </si>
  <si>
    <t>Sebagian elemen relasi terbawa ke pihak yang baru.</t>
  </si>
  <si>
    <t>Relasi dan kerja sama tetap berjalan produktif meski terjadi pergantian peran di salah satu pihak.</t>
  </si>
  <si>
    <t>Relasi itu melembaga menjadi hubungan antar unit, tidak lagi bergantung pada individu tertentu.</t>
  </si>
  <si>
    <t>Dianggap berpihak oleh salah satu atau kedua pihak yang berkonflik.</t>
  </si>
  <si>
    <t>Dipercaya kedua pihak pada konflik yang sederhana.</t>
  </si>
  <si>
    <t>Dipercaya sebagai netral oleh KEDUA pihak, bahkan pada konflik strategis yang kompleks, diverifikasi langsung.</t>
  </si>
  <si>
    <t>Menjadi rujukan organisasi ketika dibutuhkan mediator yang benar-benar netral.</t>
  </si>
  <si>
    <t>Diskusi yang difasilitasi berakhir tanpa arah.</t>
  </si>
  <si>
    <t>Memfasilitasi dengan bantuan pihak lain.</t>
  </si>
  <si>
    <t>Memfasilitasi konflik sederhana secara mandiri.</t>
  </si>
  <si>
    <t>Memfasilitasi konflik kompleks secara mandiri, memastikan semua pihak benar-benar didengar.</t>
  </si>
  <si>
    <t>Teknik fasilitasinya diadopsi mediator lain di organisasi.</t>
  </si>
  <si>
    <t>Kesepakatan hasil mediasi tidak pernah ditindaklanjuti.</t>
  </si>
  <si>
    <t>Kesepakatan dijalankan sebentar, lalu ditinggalkan.</t>
  </si>
  <si>
    <t>Kesepakatan dijalankan dengan pemantauan ketat darinya.</t>
  </si>
  <si>
    <t>Kesepakatan tetap dijalankan minimal 4 bulan tanpa perlu dinegosiasikan ulang.</t>
  </si>
  <si>
    <t>Kesepakatan menjadi mekanisme kolaborasi permanen antar unit.</t>
  </si>
  <si>
    <t>Tidak menginisiasi kolaborasi antar divisi yang tidak berkaitan langsung.</t>
  </si>
  <si>
    <t>Mengusulkan kolaborasi, tidak pernah terlaksana.</t>
  </si>
  <si>
    <t>Memimpin kolaborasi antar divisi yang sudah punya keterkaitan tugas.</t>
  </si>
  <si>
    <t>Menginisiasi dan memimpin kolaborasi antar divisi yang TIDAK memiliki keterkaitan tugas langsung, dengan dampak nyata.</t>
  </si>
  <si>
    <t>Menjadi pelopor pola kolaborasi lintas divisi yang kemudian diadopsi luas di organisasi.</t>
  </si>
  <si>
    <t>Membela diri, menyanggah, atau mencari alasan begitu masukan disampaikan.</t>
  </si>
  <si>
    <t>Tidak menyanggah secara terbuka, tetapi terlihat tidak nyaman, diam, atau mengalihkan pembicaraan.</t>
  </si>
  <si>
    <t>Menerima masukan tanpa menyanggah, meski belum menunjukkan minat menggali lebih jauh.</t>
  </si>
  <si>
    <t>Menahan pembelaan dan mengajukan pertanyaan klarifikasi lebih dulu untuk memastikan ia memahami maksud pemberi masukan.</t>
  </si>
  <si>
    <t>Menerima masukan yang disampaikan keras dengan tenang, bahkan meminta masukan yang lebih spesifik atas inisiatif sendiri.</t>
  </si>
  <si>
    <t>Salah menangkap maksud masukan atau menganggapnya sebagai serangan pribadi.</t>
  </si>
  <si>
    <t>Menangkap sebagian; sering menyimpulkan lebih cepat daripada yang dimaksudkan pemberi masukan.</t>
  </si>
  <si>
    <t>Menangkap inti masukan dengan benar bila disampaikan secara jelas dan langsung.</t>
  </si>
  <si>
    <t>Mengklarifikasi hingga memahami contoh situasinya dan perubahan apa yang diharapkan, sebelum menanggapi.</t>
  </si>
  <si>
    <t>Mampu membedakan masukan tentang perilaku dan tentang pribadi, serta merumuskan ulang masukan yang disampaikan secara tidak jelas.</t>
  </si>
  <si>
    <t>Tidak ada tindak lanjut; masukan yang sama berulang kali disampaikan orang lain.</t>
  </si>
  <si>
    <t>Berjanji memperbaiki, tetapi perubahan tidak terlihat atau hanya bertahan sebentar.</t>
  </si>
  <si>
    <t>Melakukan perbaikan atas masukan yang jelas dan mudah dilakukan.</t>
  </si>
  <si>
    <t>Mengubah masukan menjadi perubahan cara kerja yang nyata dan bertahan, serta dapat dikonfirmasi oleh pemberi masukan.</t>
  </si>
  <si>
    <t>Perubahan yang dilakukan menjadi kebiasaan baru dan terlihat tanpa perlu diingatkan.</t>
  </si>
  <si>
    <t>Pemberi masukan merasa dihindari atau disalahkan setelah menyampaikan.</t>
  </si>
  <si>
    <t>Masukan diterima dengan sopan, tetapi tidak ada interaksi lanjutan; orang lain ragu memberi masukan lagi.</t>
  </si>
  <si>
    <t>Berterima kasih atas masukan yang diterima.</t>
  </si>
  <si>
    <t>Melaporkan balik kepada pemberi masukan apa yang sudah diubah, sehingga orang lain merasa masukannya berguna dan nyaman memberi masukan lagi.</t>
  </si>
  <si>
    <t>Menjadi orang yang dicari untuk diberi masukan karena responsnya dianggap aman dan produktif.</t>
  </si>
  <si>
    <t>Penjelasan tidak terstruktur; pendengar tidak dapat menemukan poin utamanya.</t>
  </si>
  <si>
    <t>Ada urutan, tetapi berbelit — poin utama baru muncul di akhir atau tenggelam di antara detail.</t>
  </si>
  <si>
    <t>Jelas dan runtut: kesimpulan disampaikan di depan, didukung alasan yang dikelompokkan rapi.</t>
  </si>
  <si>
    <t>Struktur disusun mengikuti keputusan atau tindakan yang dibutuhkan pendengar, bukan mengikuti urutan kerja penyusunnya.</t>
  </si>
  <si>
    <t>Penjelasannya menjadi narasi yang menggerakkan pendengar untuk bertindak, bukan sekadar memahami.</t>
  </si>
  <si>
    <t>Materi yang sama disampaikan dengan cara yang sama kepada siapa pun.</t>
  </si>
  <si>
    <t>Menyadari audiens berbeda, tetapi penyesuaiannya hanya pada panjang-pendek, bukan pada isi dan kedalaman.</t>
  </si>
  <si>
    <t>Menyesuaikan kedalaman, pilihan detail, dan sudut masuk penjelasan sesuai apa yang perlu diketahui tiap audiens; mengubah pendekatan di tengah penjelasan ketika audiens terlihat tidak mengikuti.</t>
  </si>
  <si>
    <t>Mampu menjelaskan materi yang sama secara meyakinkan kepada audiens yang kepentingannya berbeda atau bertentangan.</t>
  </si>
  <si>
    <t>Menyampaikan apa adanya dengan seluruh istilah teknis, atau menyederhanakan sampai maknanya berubah.</t>
  </si>
  <si>
    <t>Menyederhanakan dengan membuang bagian yang sulit dijelaskan, termasuk bagian yang sebenarnya penting.</t>
  </si>
  <si>
    <t>Menerjemahkan istilah teknis ke bahasa yang dapat dipahami dengan tetap menjaga arti aslinya.</t>
  </si>
  <si>
    <t>Menggunakan analogi, contoh konkret, dan visual untuk menjelaskan hal rumit, sambil tetap menandai batas dan pengecualian yang wajib diketahui pendengar.</t>
  </si>
  <si>
    <t>Ringkasannya dipakai orang lain sebagai rujukan karena dianggap lebih jelas daripada dokumen aslinya.</t>
  </si>
  <si>
    <t>Pendengar sering salah menangkap maksud; pekerjaan harus diulang karena salah paham.</t>
  </si>
  <si>
    <t>Pendengar perlu bertanya berulang kali untuk hal yang seharusnya sudah jelas dari penjelasannya.</t>
  </si>
  <si>
    <t>Pendengar memahami inti penjelasan, meski beberapa detail masih perlu ditanyakan.</t>
  </si>
  <si>
    <t>Pendengar dapat meneruskan penjelasan itu kepada orang lain dengan tepat tanpa kehadiran penyusunnya.</t>
  </si>
  <si>
    <t>Hanya mengetahui posisi yang dinyatakan pihak lain; tidak menelusuri apa pun di baliknya.</t>
  </si>
  <si>
    <t>Menebak alasan pihak lain berdasarkan pengalaman sendiri, tanpa memeriksanya kepada yang bersangkutan.</t>
  </si>
  <si>
    <t>Memahami alasan pihak lain bila alasan itu dijelaskan secara logis kepadanya.</t>
  </si>
  <si>
    <t>Menggali sampai menemukan kepentingan yang dijaga, batasan yang mengikat, dan asumsi yang dipakai pihak lain — termasuk yang tidak dinyatakan langsung.</t>
  </si>
  <si>
    <t>Mampu memetakan beberapa pihak yang kepentingannya saling bertentangan sekaligus, dan menunjukkan di mana persisnya titik benturannya.</t>
  </si>
  <si>
    <t>Bertahan pada pandangan sendiri; pandangan lain dianggap salah paham atau kurang informasi.</t>
  </si>
  <si>
    <t>Mencoba memahami, tetapi cepat kembali ke perspektif awal ketika penjelasannya mulai rumit.</t>
  </si>
  <si>
    <t>Bertahan mengikuti alur pikir pihak lain selama penjelasannya runtut dan masuk akal baginya.</t>
  </si>
  <si>
    <t>Tetap menggali meski penjelasan pihak lain tidak runtut, tidak nyaman didengar, atau bertentangan dengan kepentingannya sendiri.</t>
  </si>
  <si>
    <t>Menyadari sudut pandangnya sendiri sebagai salah satu perspektif — mampu menyebut kepentingan dan asumsinya sendiri dengan format yang sama seperti yang ia pakai untuk pihak lain.</t>
  </si>
  <si>
    <t>Menganggap menggali sudut pandang lain sebagai tanda mengalah, sehingga menghindarinya.</t>
  </si>
  <si>
    <t>Menggali hanya ketika kemungkinan besar akan menyetujui; berhenti menggali begitu tahu ia akan menolak.</t>
  </si>
  <si>
    <t>Menggali sudut pandang lain, tetapi rumusannya terdengar seperti versi yang mudah dibantah.</t>
  </si>
  <si>
    <t>Mampu merumuskan argumen pihak yang ia tolak dalam versi terkuatnya, dan tetap menggali meski sudah tahu keputusannya akan berbeda.</t>
  </si>
  <si>
    <t>Dipercaya pihak yang berseberangan untuk menjelaskan posisi mereka kepada pihak ketiga, karena dianggap menggambarkannya dengan adil.</t>
  </si>
  <si>
    <t>Pihak lain merasa disalahpahami atau merasa maksudnya diputarbalikkan.</t>
  </si>
  <si>
    <t>Pihak lain mengoreksi sebagian besar rumusan yang disampaikan peserta.</t>
  </si>
  <si>
    <t>Pihak lain membenarkan rumusan peserta secara garis besar, dengan beberapa koreksi.</t>
  </si>
  <si>
    <t>Pihak lain mengonfirmasi rumusan peserta sudah tepat tanpa koreksi berarti, termasuk pada bagian kepentingan dan batasan yang tidak pernah ia nyatakan langsung.</t>
  </si>
  <si>
    <t>Pihak lain merasa perspektifnya tergambar lebih jelas daripada ketika ia menyampaikannya sendiri.</t>
  </si>
  <si>
    <t>Menghindari perbedaan kepentingan; persoalan dibiarkan berlarut atau disampaikan kepada orang lain, bukan kepada pihak yang bersangkutan.</t>
  </si>
  <si>
    <t>Menghadapi hanya ketika sudah tidak ada pilihan lain, atau hanya ketika lawan bicaranya berjenjang setara atau lebih rendah.</t>
  </si>
  <si>
    <t>Menyampaikan keberatan langsung kepada pihak yang bersangkutan pada persoalan kerja sehari-hari.</t>
  </si>
  <si>
    <t>Menghadapi perbedaan kepentingan sejak dini, termasuk dengan pihak yang lebih senior dan ketika ada risiko bagi posisinya sendiri.</t>
  </si>
  <si>
    <t>Secara sengaja membuka persoalan yang selama ini didiamkan organisasi karena dianggap terlalu sensitif.</t>
  </si>
  <si>
    <t>Bereaksi spontan — meninggi, menyerang balik, atau menarik diri sepenuhnya ketika terpancing.</t>
  </si>
  <si>
    <t>Menyadari dirinya terpancing, tetapi baru setelah reaksinya terlanjur keluar.</t>
  </si>
  <si>
    <t>Menahan reaksi pertama dan tetap sopan, meski percakapan menjadi kaku dan isinya tidak berkembang.</t>
  </si>
  <si>
    <t>Mengenali pemicunya sendiri, mengambil jeda, lalu memilih respons yang tetap menggerakkan percakapan ke arah penyelesaian.</t>
  </si>
  <si>
    <t>Kehadirannya menurunkan suhu percakapan; pihak lain ikut menjadi lebih terkendali.</t>
  </si>
  <si>
    <t>Perselisihan bergeser ke soal orang — sikap, niat, atau kesalahan masa lalu.</t>
  </si>
  <si>
    <t>Tetap pada isu, tetapi tujuannya memenangkan argumen; solusi yang diajukan hanya menguntungkan pihaknya sendiri.</t>
  </si>
  <si>
    <t>Tetap pada isu dan bersedia berkompromi, umumnya dengan membagi selisih tanpa menelusuri kepentingan di baliknya.</t>
  </si>
  <si>
    <t>Memakai pemetaan kepentingan kedua pihak untuk menyusun solusi yang memenuhi kepentingan pokok keduanya, dan mampu menjelaskan mengapa solusi itu adil.</t>
  </si>
  <si>
    <t>Solusi yang ia hasilkan dipakai sebagai preseden ketika persoalan serupa muncul di tempat lain.</t>
  </si>
  <si>
    <t>Hubungan kerja rusak atau mendingin setelah perselisihan; kerja sama berikutnya terhambat.</t>
  </si>
  <si>
    <t>Hubungan kembali normal hanya setelah waktu berlalu, tanpa pembicaraan penutup.</t>
  </si>
  <si>
    <t>Hubungan kerja tetap berjalan, meski topik yang pernah diperselisihkan sejak itu dihindari kedua pihak.</t>
  </si>
  <si>
    <t>Hubungan kerja tetap produktif dan pihak lawan tetap bersedia berselisih pendapat dengannya di kemudian hari.</t>
  </si>
  <si>
    <t>Menjadi pihak yang dicari untuk membahas persoalan sulit, karena berselisih dengannya dianggap tidak merusak hubungan Managing Challenging Stakeholder, jenjang Division Head.</t>
  </si>
  <si>
    <t>Berhubungan dengan pihak sulit hanya ketika ada urusan; di luar itu tidak ada kontak sama sekali.</t>
  </si>
  <si>
    <t>Menyadari relasi perlu dijaga, tetapi upayanya baru muncul setelah terjadi masalah.</t>
  </si>
  <si>
    <t>Menjaga hubungan baik dengan pihak sulit selama satu proyek atau satu urusan berlangsung.</t>
  </si>
  <si>
    <t>Mengelola relasi sebagai portofolio lintas waktu — menjaga kontak terjadwal di luar masa krisis, dan menilai keberhasilannya dari kelangsungan kerja sama, bukan dari hasil satu pertemuan.</t>
  </si>
  <si>
    <t>Relasi yang ia bangun bertahan melampaui perubahan peran, struktur, maupun kepentingan; pihak lain tetap mencarinya meski tidak ada urusan bersama.</t>
  </si>
  <si>
    <t>Memperlakukan semua pihak sulit dengan cara yang sama, umumnya dengan cara yang nyaman bagi dirinya sendiri.</t>
  </si>
  <si>
    <t>Membedakan pendekatan berdasarkan jabatan atau seberapa menyenangkan orangnya, bukan berdasarkan sumber kesulitannya.</t>
  </si>
  <si>
    <t>Menyesuaikan gaya komunikasi per orang berdasarkan pengalaman berinteraksi sebelumnya.</t>
  </si>
  <si>
    <t>Menyesuaikan pendekatan berdasarkan analisis sumber kesulitan masing-masing — kepentingan yang berbeda, tekanan yang dihadapi, atau riwayat hubungan — dan mengubahnya ketika terbukti tidak berhasil.</t>
  </si>
  <si>
    <t>Mampu menjelaskan kepada orang lain mengapa satu stakeholder perlu didekati dengan cara tertentu, sehingga pendekatannya dapat diteruskan oleh penggantinya.</t>
  </si>
  <si>
    <t>Memandang kepentingan pihak sulit sebagai hambatan yang harus dikalahkan atau dihindari.</t>
  </si>
  <si>
    <t>Mencari jalan tengah dengan membagi selisih, tanpa menelusuri kepentingan di balik posisi masing-masing.</t>
  </si>
  <si>
    <t>Mencapai kesepakatan yang dapat diterima kedua pihak untuk persoalan yang sedang dihadapi.</t>
  </si>
  <si>
    <t>Menyusun kesepakatan berbasis kepentingan pokok kedua pihak lalu memantau pelaksanaannya — dan kesepakatan itu tetap berjalan tanpa perlu dinegosiasikan ulang.</t>
  </si>
  <si>
    <t>Kesepakatan yang ia rancang menjadi dasar kerja sama berulang, dan pihak lain mengusulkan kerja sama baru atas inisiatifnya sendiri.</t>
  </si>
  <si>
    <t>Perbedaan kepentingan berujung pada putusnya komunikasi atau eskalasi ke atasan.</t>
  </si>
  <si>
    <t>Kerja sama berjalan selama tidak ada perbedaan; sekali berselisih, hubungan mendingin lama.</t>
  </si>
  <si>
    <t>Hubungan pulih setelah perselisihan, tetapi topik yang pernah diperselisihkan sejak itu dihindari kedua pihak.</t>
  </si>
  <si>
    <t>Perbedaan kepentingan dibicarakan terbuka tanpa merusak kerja sama; pihak lain tetap bersedia bekerja sama pada urusan berikutnya.</t>
  </si>
  <si>
    <t>Justru dipercaya sebagai lawan bicara pada persoalan paling sensitif, karena perbedaan kepentingan dengannya dianggap aman untuk dibahas.</t>
  </si>
  <si>
    <t>Salah satu pihak merasa ia sudah berpihak sejak awal; kehadirannya justru memperkeras posisi.</t>
  </si>
  <si>
    <t>Berusaha bersikap adil, tetapi kedekatan pribadi atau kesamaan cara berpikir terbaca oleh salah satu pihak.</t>
  </si>
  <si>
    <t>Dinilai netral oleh pihak yang posisinya kebetulan diterima, tetapi tidak oleh pihak yang lain.</t>
  </si>
  <si>
    <t>KEDUA pihak, ditanya secara terpisah, menyatakan ia tidak memihak lawannya — termasuk pihak yang hasil akhirnya tidak sesuai keinginannya.</t>
  </si>
  <si>
    <t>Diminta menengahi justru oleh pihak yang paling berseberangan dengannya, karena netralitasnya dianggap tidak bergantung pada siapa yang terlibat.</t>
  </si>
  <si>
    <t>Menengahi konflik yang hasilnya menyangkut kepentingannya sendiri, tanpa menyadarinya.</t>
  </si>
  <si>
    <t>Menyadari kepentingannya, tetapi tetap menengahi karena merasa mampu bersikap adil.</t>
  </si>
  <si>
    <t>Menghindari menengahi hanya ketika kepentingannya sudah jelas terlihat oleh orang lain.</t>
  </si>
  <si>
    <t>Memeriksa kepentingannya sendiri sebelum menerima peran penengah, lalu menyatakannya terbuka di muka atau mengalihkan peran itu kepada pihak lain.</t>
  </si>
  <si>
    <t>Membangun kebiasaan organisasi untuk memeriksa kepentingan penengah sebelum suatu persoalan ditengahi.</t>
  </si>
  <si>
    <t>Membiarkan pihak yang lebih berkuasa atau lebih vokal menguasai pembicaraan.</t>
  </si>
  <si>
    <t>Memberi giliran bicara secara merata, tetapi tidak menangani ketika satu pihak menahan diri karena sungkan.</t>
  </si>
  <si>
    <t>Memastikan semua pihak menyampaikan pandangannya dalam forum.</t>
  </si>
  <si>
    <t>Merancang proses sejak awal — siapa hadir, urutan bicara, kaukus terpisah bila perlu, aturan main yang disepakati — sehingga pihak yang lebih lemah tetap dapat berbicara penuh.</t>
  </si>
  <si>
    <t>Rancangan prosesnya dipakai ulang oleh orang lain di organisasi untuk persoalan serupa.</t>
  </si>
  <si>
    <t>Pertemuan berakhir tanpa kesepakatan, atau dengan kesepakatan lisan yang segera dibantah salah satu pihak.</t>
  </si>
  <si>
    <t>Kesepakatan tercapai di ruangan, tetapi tidak dijalankan setelah para pihak kembali ke unitnya.</t>
  </si>
  <si>
    <t>Kesepakatan tertulis dijalankan selama masih ada yang mengingatkan.</t>
  </si>
  <si>
    <t>Kesepakatan memuat siapa melakukan apa, kapan, dan bagaimana diperiksa; disertai peninjauan berkala; dan masih berjalan setelah 6 bulan tanpa mediasi ulang atas isu yang sama.</t>
  </si>
  <si>
    <t>Kesepakatan yang ia fasilitasi menjadi dasar cara kerja baru antar pihak, dan persoalan serupa tidak lagi berkembang menjadi konflik.</t>
  </si>
  <si>
    <t>Hasil kerja sering tidak memenuhi standar; penerima harus memperbaikinya sendiri atau mengembalikannya berulang kali.</t>
  </si>
  <si>
    <t>Memenuhi standar pada tugas yang sudah familiar, tetapi mutunya menurun pada tugas baru atau saat beban meningkat.</t>
  </si>
  <si>
    <t>Hasil kerja stabil memenuhi standar yang disepakati; revisi masih terjadi tetapi pada hal-hal kecil.</t>
  </si>
  <si>
    <t>Hasil kerja diterima tanpa revisi pada sebagian besar penyerahan, karena diperiksa sendiri terhadap kriteria penerimaan sebelum diserahkan.</t>
  </si>
  <si>
    <t>Hasil kerjanya dipakai orang lain sebagai contoh standar; kriteria penerimaan yang ia susun diadopsi rekan.</t>
  </si>
  <si>
    <t>Sering terlambat, dan keterlambatan baru diketahui penerima setelah tenggat lewat.</t>
  </si>
  <si>
    <t>Tepat waktu bila hanya mengerjakan satu hal; meleset ketika beberapa tenggat datang bersamaan.</t>
  </si>
  <si>
    <t>Sebagian besar penyerahan tepat waktu; keterlambatan yang terjadi masih dalam batas yang dapat ditoleransi penerima.</t>
  </si>
  <si>
    <t>Hampir seluruh penyerahan tepat waktu, termasuk ketika beban bertambah, karena waktu pengerjaan diperkirakan realistis sejak awal.</t>
  </si>
  <si>
    <t>Menyelesaikan lebih awal secara konsisten, sehingga tersedia ruang untuk pemeriksaan dan perbaikan sebelum tenggat.</t>
  </si>
  <si>
    <t>Mutu dan ketepatan waktunya tidak dapat diperkirakan; penerima selalu harus memeriksa ulang.</t>
  </si>
  <si>
    <t>Baik pada sebagian periode dan menurun pada periode lain, tanpa pola yang jelas.</t>
  </si>
  <si>
    <t>Cukup dapat diandalkan pada pekerjaan rutin, tetapi belum teruji pada pekerjaan yang tidak rutin.</t>
  </si>
  <si>
    <t>Angka ketepatan waktu dan bebas-revisi bertahan tinggi selama beberapa bulan berturut-turut, termasuk pada bulan tersibuk.</t>
  </si>
  <si>
    <t>Menjadi orang yang diberi pekerjaan paling kritis, karena keandalannya dianggap tidak bergantung pada situasi.</t>
  </si>
  <si>
    <t>Mulai mengerjakan tanpa memastikan apa yang diminta dan kapan; perbedaan tafsir baru ketahuan saat penyerahan.</t>
  </si>
  <si>
    <t>Menanyakan tenggat, tetapi tidak menyepakati seperti apa hasil yang dianggap selesai.</t>
  </si>
  <si>
    <t>Menyepakati hasil dan tenggat di muka pada permintaan yang penting.</t>
  </si>
  <si>
    <t>Menyepakati kriteria penerimaan dan tenggat di muka pada hampir seluruh permintaan, serta memberi kabar sejak dini dan menegosiasikan ulang SEBELUM tenggat lewat bila ada kendala.</t>
  </si>
  <si>
    <t>Kriteria penerimaan yang ia sepakati menjadi acuan baku antara unitnya dan penerima output.</t>
  </si>
  <si>
    <t>Cepat menyimpulkan tentang pelanggan berdasarkan pengalaman sebelumnya atau kesan pertama, tanpa memeriksanya.</t>
  </si>
  <si>
    <t>Bertanya seperlunya agar tugas dapat dikerjakan; berhenti begitu permintaannya cukup jelas.</t>
  </si>
  <si>
    <t>Menanyakan konteks di balik permintaan — untuk apa dipakai, kapan dibutuhkan, siapa yang akan memakainya.</t>
  </si>
  <si>
    <t>Menggali sampai memahami alasan, kendala, dan harapan pelanggan, termasuk hal yang tidak berhubungan langsung dengan tugas yang sedang dikerjakan.</t>
  </si>
  <si>
    <t>Pelanggan menceritakan kekhawatiran dan rencana yang tidak mereka sampaikan kepada orang lain di unitnya.</t>
  </si>
  <si>
    <t>Tidak bertanya sama sekali, atau bertanya hanya untuk memastikan dirinya tidak disalahkan.</t>
  </si>
  <si>
    <t>Bertanya dengan daftar pertanyaan yang sama untuk semua orang; jawabannya dicatat tetapi tidak memengaruhi apa pun.</t>
  </si>
  <si>
    <t>Bertanya dengan sungguh-sungguh, dan jawabannya memengaruhi cara ia mengerjakan tugas.</t>
  </si>
  <si>
    <t>Pelanggan merasa percakapannya wajar dan bukan formalitas, serta bersedia bercerita lebih jauh daripada yang ditanyakan.</t>
  </si>
  <si>
    <t>Menjadi orang yang dicari pelanggan untuk bercerita, bahkan ketika tidak ada pekerjaan yang sedang berjalan.</t>
  </si>
  <si>
    <t>Hanya menggali kebutuhan pelanggan besar atau yang dianggap penting; sisanya dilayani seperlunya.</t>
  </si>
  <si>
    <t>Menyadari perbedaan perlakuan itu, tetapi belum mengubahnya.</t>
  </si>
  <si>
    <t>Menggali kebutuhan sebagian besar pelanggan, meski kedalamannya masih berbeda menurut besar-kecilnya.</t>
  </si>
  <si>
    <t>Memberi kedalaman penggalian yang sebanding kepada seluruh pelanggan — besar maupun kecil, potensial maupun tidak.</t>
  </si>
  <si>
    <t>Menemukan kebutuhan penting justru dari pelanggan yang selama ini dianggap kecil, dan temuan itu mengubah cara unitnya melayani.</t>
  </si>
  <si>
    <t>Komunikasi berhenti begitu hasil kerja diserahkan.</t>
  </si>
  <si>
    <t>Menanyakan kabar hanya bila ada keluhan, atau bila diminta atasan.</t>
  </si>
  <si>
    <t>Menanyakan apakah hasilnya sesuai, tetapi percakapannya berhenti pada jawaban "sudah baik".</t>
  </si>
  <si>
    <t>Menindaklanjuti secara rutin setelah penyerahan, dan memakai jawabannya untuk menyesuaikan pekerjaan berikutnya.</t>
  </si>
  <si>
    <t>Hubungan berjalan terus di luar siklus permintaan, sehingga kebutuhan baru diketahui sebelum menjadi permintaan resmi.</t>
  </si>
  <si>
    <t>Menunda keputusan atau menyerahkannya kepada atasan setiap kali informasinya tidak lengkap.</t>
  </si>
  <si>
    <t>Bersedia memutuskan hanya setelah menunggu sampai datanya dianggap cukup lengkap, meski tenggatnya terlewat.</t>
  </si>
  <si>
    <t>Memutuskan tepat waktu pada perkara yang sudah familiar; masih menunda pada perkara yang baru baginya.</t>
  </si>
  <si>
    <t>Menetapkan sendiri batas informasi minimum dan batas waktu menunggu, lalu memutuskan pada batas itu — termasuk pada perkara yang belum pernah ia hadapi.</t>
  </si>
  <si>
    <t>Bersedia memutuskan lebih awal ketika penundaan justru lebih berisiko, dan mampu menjelaskan perhitungan di balik pilihan waktu itu.</t>
  </si>
  <si>
    <t>Memutuskan berdasarkan kebiasaan atau dugaan; tidak dapat menjelaskan dasar keputusannya.</t>
  </si>
  <si>
    <t>Memilih opsi yang terpikir lebih dulu tanpa membandingkannya dengan alternatif lain.</t>
  </si>
  <si>
    <t>Memilih opsi yang paling masuk akal, dengan pertimbangan yang dapat dijelaskan.</t>
  </si>
  <si>
    <t>Menyusun minimal dua opsi beserta risiko terburuk masing-masing, menyatakan asumsi yang dipakai, dan menetapkan pemicu untuk merevisi keputusan.</t>
  </si>
  <si>
    <t>Memakai pelajaran dari keputusan sebelumnya dan pertimbangan jangka panjang, bukan hanya konsekuensi perkara yang sedang dihadapi.</t>
  </si>
  <si>
    <t>Menghindari mengambil keputusan agar tidak menanggung akibatnya; bila hasilnya buruk, menyalahkan keterbatasan data.</t>
  </si>
  <si>
    <t>Mengambil keputusan tetapi menyerahkan pertanggungjawabannya kepada atasan ketika ditanya pelanggan.</t>
  </si>
  <si>
    <t>Bertanggung jawab atas keputusannya dan mampu menjelaskan dasarnya kepada pelanggan.</t>
  </si>
  <si>
    <t>Berani memberikan jaminan pribadi atas keputusan yang belum sepenuhnya pasti, menyiapkan rencana cadangannya, dan tidak mengelak ketika keputusannya ternyata kurang tepat.</t>
  </si>
  <si>
    <t>Kesediaannya menanggung keputusan membuat pelanggan mempercayakan perkara yang lebih berisiko kepadanya dan kepada unitnya.</t>
  </si>
  <si>
    <t>Masalah disembunyikan; pelanggan baru mengetahuinya setelah dampaknya terjadi.</t>
  </si>
  <si>
    <t>Memberi tahu pelanggan hanya setelah ditanya, atau setelah tenggat terlewat.</t>
  </si>
  <si>
    <t>Memberi tahu pelanggan setelah persoalannya jelas dan solusinya sudah ada di tangan.</t>
  </si>
  <si>
    <t>Menghubungi pelanggan sejak masalah diketahui — meski penyebabnya belum jelas — disertai apa yang sudah dan akan dilakukan.</t>
  </si>
  <si>
    <t>Pelanggan mengetahui risikonya sejak awal karena disampaikan di muka, sehingga masalah yang muncul tidak menjadi kejutan.</t>
  </si>
  <si>
    <t>Tidak menyadari perubahan suasana; menanggapi kata-katanya saja, dan terkejut ketika pelanggan ternyata kecewa.</t>
  </si>
  <si>
    <t>Menyadari ada yang berubah, tetapi salah menebak sebabnya — biasanya mengaitkannya dengan dirinya sendiri atau dengan harga.</t>
  </si>
  <si>
    <t>Menangkap emosi yang jelas terlihat, seperti marah atau kecewa yang terbuka, dan umumnya benar membacanya.</t>
  </si>
  <si>
    <t>Menangkap emosi yang ditahan atau disamarkan, menelusuri penyebabnya, dan MEMERIKSA bacaannya kepada pelanggan sebelum merespons.</t>
  </si>
  <si>
    <t>Membedakan emosi yang ditampilkan dari yang sebenarnya dirasakan, dan bacaannya jarang meleset bahkan pada orang yang baru dikenal.</t>
  </si>
  <si>
    <t>Tidak merespons emosi sama sekali, atau meresponsnya dengan membela diri.</t>
  </si>
  <si>
    <t>Merespons dengan menenangkan secara umum, tanpa menyentuh penyebabnya.</t>
  </si>
  <si>
    <t>Mengakui perasaan pelanggan dan meresponsnya dengan wajar.</t>
  </si>
  <si>
    <t>Memilih respons yang sesuai dengan penyebabnya — kapan cukup mengakui, kapan perlu menjelaskan, kapan harus memperbaiki — dan tidak menjanjikan hal yang belum pasti demi meredakan suasana.</t>
  </si>
  <si>
    <t>Pelanggan merasa didengar bahkan ketika jawabannya tidak seperti yang ia harapkan.</t>
  </si>
  <si>
    <t>Hanya menanggapi apa yang diminta; kebutuhan yang tidak disampaikan tidak pernah muncul.</t>
  </si>
  <si>
    <t>Kadang menduga ada kebutuhan lain, tetapi tidak memeriksanya dan tidak menindaklanjutinya.</t>
  </si>
  <si>
    <t>Menanyakan apakah ada kebutuhan lain, dan menindaklanjuti yang disampaikan pelanggan.</t>
  </si>
  <si>
    <t>Menangkap kebutuhan yang tidak disampaikan dari sinyal dan keluhan kecil yang berulang, memeriksanya kepada pelanggan, lalu memberi respons yang menjawabnya.</t>
  </si>
  <si>
    <t>Pelanggan menemukan kebutuhannya sendiri melalui percakapan dengannya — hal yang semula tidak mereka sadari.</t>
  </si>
  <si>
    <t>Membaca kelompok sebagai satu suara; yang paling keras dianggap mewakili semuanya.</t>
  </si>
  <si>
    <t>Menyadari ada perbedaan di dalam kelompok, tetapi tidak menelusurinya.</t>
  </si>
  <si>
    <t>Mengenali siapa yang setuju dan siapa yang tidak dalam sebuah pertemuan.</t>
  </si>
  <si>
    <t>Memetakan siapa yang resah dan mengapa, siapa yang sebenarnya menentukan, dan siapa yang diam tetapi tidak setuju — lalu menyesuaikan pendekatannya.</t>
  </si>
  <si>
    <t>Mampu mengubah suasana kelompok yang tegang menjadi percakapan yang terbuka.</t>
  </si>
  <si>
    <t>Berhubungan dengan pelanggan hanya ketika ada order atau ada masalah; di luar itu tidak ada kontak.</t>
  </si>
  <si>
    <t>Menyadari hubungan perlu dijaga, tetapi upayanya baru muncul menjelang perpanjangan kontrak atau setelah komplain.</t>
  </si>
  <si>
    <t>Menjaga hubungan baik dengan pelanggan selama satu kontrak atau satu proyek berlangsung.</t>
  </si>
  <si>
    <t>Mengelola hubungan sebagai portofolio lintas waktu — menjaga kontak terjadwal di luar masa transaksi, termasuk hadir pada program dan pertemuan yang pelanggan selenggarakan — dan menilai keberhasilannya dari kelangsungan kerja sama, bukan dari nilai order terakhir.</t>
  </si>
  <si>
    <t>Hubungan bertahan melampaui pergantian orang di kedua pihak; pelanggan tetap mencarinya meski tidak ada urusan bisnis yang sedang berjalan.</t>
  </si>
  <si>
    <t>Memperlakukan semua pelanggan dengan cara yang sama, umumnya dengan cara yang nyaman bagi dirinya sendiri.</t>
  </si>
  <si>
    <t>Membedakan pendekatan berdasarkan besar-kecilnya nilai kontrak, bukan berdasarkan sumber kesulitannya.</t>
  </si>
  <si>
    <t>Menyesuaikan gaya komunikasi per pelanggan berdasarkan pengalaman berinteraksi sebelumnya.</t>
  </si>
  <si>
    <t>Menyesuaikan pendekatan berdasarkan analisis sumber kesulitan masing-masing — kepentingan yang berbeda, tekanan bisnis yang dihadapi, atau riwayat hubungan — dan mengubahnya ketika terbukti tidak berhasil.</t>
  </si>
  <si>
    <t>Mampu menjelaskan kepada orang lain mengapa satu pelanggan perlu didekati dengan cara tertentu, sehingga pendekatannya dapat diteruskan oleh penggantinya.</t>
  </si>
  <si>
    <t>Menilai setiap interaksi dari keuntungan perusahaan sendiri; kepentingan pelanggan dilihat sebagai biaya.</t>
  </si>
  <si>
    <t>Bersedia memberi kelonggaran kepada pelanggan bila ada peluang order yang lebih besar di baliknya.</t>
  </si>
  <si>
    <t>Menjaga agar kesepakatan adil bagi kedua pihak dan tidak merugikan pelanggan.</t>
  </si>
  <si>
    <t>Menganalisis apa yang menguntungkan pelanggan dalam jangka panjang, dan bersedia menyarankan hal yang tidak menguntungkan perusahaannya sendiri ketika itu yang terbaik bagi pelanggan.</t>
  </si>
  <si>
    <t>Pelanggan menganggapnya berpihak pada kepentingan mereka, dan justru karena itu mempercayakan kerja sama yang lebih besar.</t>
  </si>
  <si>
    <t>Dihubungi pelanggan hanya untuk hal-hal administratif atau ketika ada keluhan.</t>
  </si>
  <si>
    <t>Dihubungi untuk membahas kebutuhan yang sudah pelanggan putuskan sendiri bentuknya.</t>
  </si>
  <si>
    <t>Diajak berdiskusi sebelum pelanggan menyusun kebutuhannya, sepanjang menyangkut produk atau jasa kita.</t>
  </si>
  <si>
    <t>Pelanggan membawa kesulitan mereka kepadanya SEBELUM memutuskan — termasuk persoalan yang tidak berkaitan dengan produk atau jasa kita.</t>
  </si>
  <si>
    <t>Menjadi pihak yang dimintai pendapat pelanggan pada keputusan penting mereka sendiri, setara dengan penasihat internal mereka.</t>
  </si>
  <si>
    <t>Menerima standar yang berlaku apa adanya; tidak pernah mempersoalkan apakah batasnya sudah tepat.</t>
  </si>
  <si>
    <t>Menaikkan standar hanya ketika diminta atasan atau ketika ada keluhan yang tidak bisa diabaikan.</t>
  </si>
  <si>
    <t>Menaikkan standar secara berkala dengan pembanding kinerja organisasi sendiri pada periode sebelumnya.</t>
  </si>
  <si>
    <t>Menetapkan standar berdasarkan pembanding di luar organisasi — pesaing atau ekspektasi pelanggan — dan mampu menjelaskan mengapa batas itu yang dipilih.</t>
  </si>
  <si>
    <t>Standar yang ia tetapkan menjadi acuan yang diikuti fungsi lain, dan mengubah anggapan organisasi tentang apa yang "sudah cukup baik".</t>
  </si>
  <si>
    <t>Menuntut standar tinggi dari orang lain tanpa menerapkannya pada dirinya sendiri.</t>
  </si>
  <si>
    <t>Menerapkan standar yang sama dengan timnya, tidak lebih dan tidak kurang.</t>
  </si>
  <si>
    <t>Menetapkan standar pribadi yang lebih tinggi daripada tuntutan jabatannya, mengumumkannya kepada tim, dan melaporkan hasilnya apa adanya termasuk ketika tidak tercapai.</t>
  </si>
  <si>
    <t>Standar pribadinya menjadi rujukan yang ditiru orang lain tanpa ia minta.</t>
  </si>
  <si>
    <t>Standar bergantung sepenuhnya pada pengawasannya; turun begitu perhatiannya beralih.</t>
  </si>
  <si>
    <t>Standar dituliskan dan disosialisasikan, tetapi tidak ada yang memeriksa dan tidak ada konsekuensinya.</t>
  </si>
  <si>
    <t>Standar masuk ke dalam prosedur dan diperiksa secara berkala, dengan peserta sebagai pemeriksanya.</t>
  </si>
  <si>
    <t>Standar masuk ke ukuran kinerja resmi, memiliki pemilik selain dirinya, irama peninjauan, dan konsekuensi — dan terbukti berjalan pada periode ketika ia tidak terlibat.</t>
  </si>
  <si>
    <t>Standar itu menjadi kebiasaan kerja yang dijaga sendiri oleh pelaksananya, dan bertahan setelah ia berpindah peran.</t>
  </si>
  <si>
    <t>Standar dilonggarkan setiap kali ada tenggat mepet, biaya membengkak, atau tekanan dari pelanggan besar.</t>
  </si>
  <si>
    <t>Standar dipertahankan pada perkara kecil, tetapi dikompromikan pada perkara yang berisiko besar.</t>
  </si>
  <si>
    <t>Standar dipertahankan, tetapi dengan biaya yang tidak dikelola — pekerjaan lain terbengkalai.</t>
  </si>
  <si>
    <t>Standar dipertahankan dalam situasi yang menuntut kompromi; bila memang harus diturunkan, penurunannya diputuskan terbuka bersama direksi dengan jangka waktu dan rencana pemulihan, bukan dilonggarkan diam-diam.</t>
  </si>
  <si>
    <t>Tekanan besar justru menjadi kesempatan menunjukkan standar itu dapat dipenuhi, sehingga batasnya naik permanen.</t>
  </si>
  <si>
    <t>key</t>
  </si>
  <si>
    <t>kompetensi</t>
  </si>
  <si>
    <t>jabatan</t>
  </si>
  <si>
    <t>aspek ke</t>
  </si>
  <si>
    <t>nama aspek</t>
  </si>
  <si>
    <t>level</t>
  </si>
  <si>
    <t>deskripsi</t>
  </si>
  <si>
    <t>Form Penilaian Hasil Pengembangan Talenta</t>
  </si>
  <si>
    <t>Aspek</t>
  </si>
  <si>
    <t>Level 1</t>
  </si>
  <si>
    <t>Level 2</t>
  </si>
  <si>
    <t>Level 3</t>
  </si>
  <si>
    <t>Level 4</t>
  </si>
  <si>
    <t>Level 5</t>
  </si>
  <si>
    <t>Skor 
Panelis 1</t>
  </si>
  <si>
    <t>Skor 
Panelis 2</t>
  </si>
  <si>
    <t>Skor 
Panelis 3</t>
  </si>
  <si>
    <t>Skor 
Panelis 4</t>
  </si>
  <si>
    <t>Rata - Rata</t>
  </si>
  <si>
    <t>Aspek Penilaian</t>
  </si>
  <si>
    <t>Fokus Penilaian</t>
  </si>
  <si>
    <t>Level 1
Belum Tampak</t>
  </si>
  <si>
    <t>Level 2
Mulai Berkembang</t>
  </si>
  <si>
    <t>Level 3
Sesuai Harapan</t>
  </si>
  <si>
    <t>Level 4
Baik</t>
  </si>
  <si>
    <t>Level 5
Sangat Baik</t>
  </si>
  <si>
    <t>Rata - rata</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</si>
  <si>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</si>
  <si>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</si>
  <si>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</si>
  <si>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</si>
  <si>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</si>
  <si>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</si>
  <si>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</si>
  <si>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</si>
  <si>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</si>
  <si>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</si>
  <si>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</si>
  <si>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</si>
  <si>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</si>
  <si>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</si>
  <si>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</si>
  <si>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</si>
  <si>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</si>
  <si>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</si>
  <si>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</si>
  <si>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</si>
  <si>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</si>
  <si>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</si>
  <si>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</si>
  <si>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</si>
  <si>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</si>
  <si>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</si>
  <si>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</si>
  <si>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</si>
  <si>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</si>
  <si>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</si>
  <si>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</si>
  <si>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</si>
  <si>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</si>
  <si>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</si>
  <si>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</si>
  <si>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</si>
  <si>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</si>
  <si>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Dashboard Penilaian Hasil Pengembangan Talenta</t>
  </si>
  <si>
    <t>Skor per metode per kompetensi</t>
  </si>
  <si>
    <t>Personal 
Development
(5%)</t>
  </si>
  <si>
    <t>Education-Based
Development
(15%)</t>
  </si>
  <si>
    <t>RealtionShip-Based
Development
(20%)</t>
  </si>
  <si>
    <t>Experienced-Based
Development
(60%)</t>
  </si>
  <si>
    <t>Nilai Per kompetensi</t>
  </si>
  <si>
    <t>Skor Aktivitas</t>
  </si>
  <si>
    <t>Skor Perilaku</t>
  </si>
  <si>
    <t>Bobot Akt:Per</t>
  </si>
  <si>
    <t>Nilai Kompetensi</t>
  </si>
  <si>
    <t>Standar Level</t>
  </si>
  <si>
    <t>Rata - rata Kompetensi</t>
  </si>
  <si>
    <t>Kelulusan Kompetensi</t>
  </si>
  <si>
    <t>Total Kompetensi</t>
  </si>
  <si>
    <t>Lulus</t>
  </si>
  <si>
    <t>Belum Lulus</t>
  </si>
  <si>
    <t>Kompetensi sudah lulus</t>
  </si>
  <si>
    <t>Kompetensi belum lulus</t>
  </si>
  <si>
    <t>Nilai Akhir</t>
  </si>
  <si>
    <t>Komponen</t>
  </si>
  <si>
    <t>Bobot</t>
  </si>
  <si>
    <t>Nilai</t>
  </si>
  <si>
    <t>Tertimbang</t>
  </si>
  <si>
    <t>Presentasi</t>
  </si>
  <si>
    <t>Nilai Akhir Development</t>
  </si>
  <si>
    <t>Rekomenedasi</t>
  </si>
  <si>
    <t>Kriteria terlemah</t>
  </si>
  <si>
    <t>Nilai terlemah</t>
  </si>
  <si>
    <t>Gap terbesar</t>
  </si>
  <si>
    <t>Estimasi waktu</t>
  </si>
  <si>
    <t>Metode fokus</t>
  </si>
  <si>
    <t>Kompetensi terkuat</t>
  </si>
  <si>
    <t>Metode paling efektif (rata - rata tertinggi)</t>
  </si>
  <si>
    <t>Metode paling lemah</t>
  </si>
  <si>
    <t>Beyond</t>
  </si>
  <si>
    <t>Unit Head / Specialist</t>
  </si>
  <si>
    <r>
      <rPr>
        <b/>
        <sz val="11"/>
        <color rgb="FF0070C0"/>
        <rFont val="Biome"/>
        <family val="2"/>
      </rPr>
      <t xml:space="preserve">Action-Oriented &amp; Takes Initiative </t>
    </r>
    <r>
      <rPr>
        <sz val="11"/>
        <color rgb="FF0070C0"/>
        <rFont val="Biome"/>
        <family val="2"/>
      </rPr>
      <t xml:space="preserve">
</t>
    </r>
    <r>
      <rPr>
        <i/>
        <sz val="11"/>
        <color rgb="FF0070C0"/>
        <rFont val="Biome"/>
        <family val="2"/>
      </rPr>
      <t xml:space="preserve">(proaktif bertindak)
</t>
    </r>
    <r>
      <rPr>
        <b/>
        <i/>
        <sz val="11"/>
        <color rgb="FF0070C0"/>
        <rFont val="Biome"/>
        <family val="2"/>
      </rPr>
      <t>(RA2)</t>
    </r>
  </si>
  <si>
    <r>
      <rPr>
        <b/>
        <sz val="11"/>
        <color rgb="FF0070C0"/>
        <rFont val="Biome"/>
        <family val="2"/>
      </rPr>
      <t xml:space="preserve">Tenacity &amp; Strategic Persistence
</t>
    </r>
    <r>
      <rPr>
        <sz val="11"/>
        <color rgb="FF0070C0"/>
        <rFont val="Biome"/>
        <family val="2"/>
      </rPr>
      <t xml:space="preserve">(menjaga komitmen di tengah tantangan)
</t>
    </r>
    <r>
      <rPr>
        <b/>
        <sz val="11"/>
        <color rgb="FF0070C0"/>
        <rFont val="Biome"/>
        <family val="2"/>
      </rPr>
      <t>(RA4)</t>
    </r>
  </si>
  <si>
    <r>
      <rPr>
        <b/>
        <sz val="11"/>
        <color rgb="FF0070C0"/>
        <rFont val="Biome"/>
        <family val="2"/>
      </rPr>
      <t xml:space="preserve">Learning from Outcomes
</t>
    </r>
    <r>
      <rPr>
        <i/>
        <sz val="11"/>
        <color rgb="FF0070C0"/>
        <rFont val="Biome"/>
        <family val="2"/>
      </rPr>
      <t xml:space="preserve">(belajar dari hasil &amp; kesalahan)
</t>
    </r>
    <r>
      <rPr>
        <b/>
        <i/>
        <sz val="11"/>
        <color rgb="FF0070C0"/>
        <rFont val="Biome"/>
        <family val="2"/>
      </rPr>
      <t>(RA6)</t>
    </r>
  </si>
  <si>
    <r>
      <rPr>
        <b/>
        <sz val="11"/>
        <color rgb="FF0070C0"/>
        <rFont val="Biome"/>
        <family val="2"/>
      </rPr>
      <t xml:space="preserve">Focus Under Pressure
</t>
    </r>
    <r>
      <rPr>
        <sz val="11"/>
        <color rgb="FF0070C0"/>
        <rFont val="Biome"/>
        <family val="2"/>
      </rPr>
      <t xml:space="preserve">(tetap fokus dalam tekanan)
</t>
    </r>
    <r>
      <rPr>
        <b/>
        <sz val="11"/>
        <color rgb="FF0070C0"/>
        <rFont val="Biome"/>
        <family val="2"/>
      </rPr>
      <t>(RA8)</t>
    </r>
  </si>
  <si>
    <r>
      <rPr>
        <b/>
        <sz val="11"/>
        <color rgb="FF0070C0"/>
        <rFont val="Biome"/>
        <family val="2"/>
      </rPr>
      <t xml:space="preserve">Resource Planning &amp; Contingency
</t>
    </r>
    <r>
      <rPr>
        <i/>
        <sz val="11"/>
        <color rgb="FF0070C0"/>
        <rFont val="Biome"/>
        <family val="2"/>
      </rPr>
      <t xml:space="preserve">(merencanakan sumber daya &amp; rencana cadangan
</t>
    </r>
    <r>
      <rPr>
        <b/>
        <i/>
        <sz val="11"/>
        <color rgb="FF0070C0"/>
        <rFont val="Biome"/>
        <family val="2"/>
      </rPr>
      <t>(RA11)</t>
    </r>
  </si>
  <si>
    <r>
      <rPr>
        <b/>
        <sz val="11"/>
        <color rgb="FF0070C0"/>
        <rFont val="Biome"/>
        <family val="2"/>
      </rPr>
      <t>Drive for High Performance</t>
    </r>
    <r>
      <rPr>
        <sz val="11"/>
        <color rgb="FF0070C0"/>
        <rFont val="Biome"/>
        <family val="2"/>
      </rPr>
      <t xml:space="preserve">
</t>
    </r>
    <r>
      <rPr>
        <i/>
        <sz val="11"/>
        <color rgb="FF0070C0"/>
        <rFont val="Biome"/>
        <family val="2"/>
      </rPr>
      <t xml:space="preserve">(dorongan berkinerja tinggi)
</t>
    </r>
    <r>
      <rPr>
        <b/>
        <i/>
        <sz val="11"/>
        <color rgb="FF0070C0"/>
        <rFont val="Biome"/>
        <family val="2"/>
      </rPr>
      <t>(RA12)</t>
    </r>
  </si>
  <si>
    <r>
      <rPr>
        <b/>
        <sz val="11"/>
        <color theme="7" tint="-0.249977111117893"/>
        <rFont val="Biome"/>
        <family val="2"/>
      </rPr>
      <t>Openness to Criticism</t>
    </r>
    <r>
      <rPr>
        <sz val="11"/>
        <color theme="7" tint="-0.249977111117893"/>
        <rFont val="Biome"/>
        <family val="2"/>
      </rPr>
      <t xml:space="preserve">
</t>
    </r>
    <r>
      <rPr>
        <i/>
        <sz val="11"/>
        <color theme="7" tint="-0.249977111117893"/>
        <rFont val="Biome"/>
        <family val="2"/>
      </rPr>
      <t>(menerima kritik )</t>
    </r>
    <r>
      <rPr>
        <sz val="11"/>
        <color theme="7" tint="-0.249977111117893"/>
        <rFont val="Biome"/>
        <family val="2"/>
      </rPr>
      <t xml:space="preserve">
</t>
    </r>
    <r>
      <rPr>
        <b/>
        <sz val="11"/>
        <color theme="7" tint="-0.249977111117893"/>
        <rFont val="Biome"/>
        <family val="2"/>
      </rPr>
      <t>(SA1)</t>
    </r>
  </si>
  <si>
    <r>
      <rPr>
        <b/>
        <sz val="11"/>
        <color theme="7" tint="-0.249977111117893"/>
        <rFont val="Biome"/>
        <family val="2"/>
      </rPr>
      <t>Seeking Feedback on Performance</t>
    </r>
    <r>
      <rPr>
        <sz val="11"/>
        <color theme="7" tint="-0.249977111117893"/>
        <rFont val="Biome"/>
        <family val="2"/>
      </rPr>
      <t xml:space="preserve">
(mencari feedback)
</t>
    </r>
    <r>
      <rPr>
        <b/>
        <sz val="11"/>
        <color theme="7" tint="-0.249977111117893"/>
        <rFont val="Biome"/>
        <family val="2"/>
      </rPr>
      <t>(SA3)</t>
    </r>
  </si>
  <si>
    <r>
      <rPr>
        <b/>
        <sz val="11"/>
        <color theme="7" tint="-0.249977111117893"/>
        <rFont val="Biome"/>
        <family val="2"/>
      </rPr>
      <t>Reflective Practices</t>
    </r>
    <r>
      <rPr>
        <sz val="11"/>
        <color theme="7" tint="-0.249977111117893"/>
        <rFont val="Biome"/>
        <family val="2"/>
      </rPr>
      <t xml:space="preserve">
</t>
    </r>
    <r>
      <rPr>
        <i/>
        <sz val="11"/>
        <color theme="7" tint="-0.249977111117893"/>
        <rFont val="Biome"/>
        <family val="2"/>
      </rPr>
      <t>(melakukan refleksi diri)</t>
    </r>
    <r>
      <rPr>
        <sz val="11"/>
        <color theme="7" tint="-0.249977111117893"/>
        <rFont val="Biome"/>
        <family val="2"/>
      </rPr>
      <t xml:space="preserve">
</t>
    </r>
    <r>
      <rPr>
        <b/>
        <sz val="11"/>
        <color theme="7" tint="-0.249977111117893"/>
        <rFont val="Biome"/>
        <family val="2"/>
      </rPr>
      <t>(SA5)</t>
    </r>
  </si>
  <si>
    <r>
      <rPr>
        <b/>
        <sz val="11"/>
        <color theme="7" tint="-0.249977111117893"/>
        <rFont val="Biome"/>
        <family val="2"/>
      </rPr>
      <t>Objective Self-Assessment</t>
    </r>
    <r>
      <rPr>
        <sz val="11"/>
        <color theme="7" tint="-0.249977111117893"/>
        <rFont val="Biome"/>
        <family val="2"/>
      </rPr>
      <t xml:space="preserve">
(menilai diri secara objektif)
</t>
    </r>
    <r>
      <rPr>
        <b/>
        <sz val="11"/>
        <color theme="7" tint="-0.249977111117893"/>
        <rFont val="Biome"/>
        <family val="2"/>
      </rPr>
      <t>(SA7)</t>
    </r>
  </si>
  <si>
    <r>
      <rPr>
        <b/>
        <sz val="11"/>
        <color theme="7" tint="-0.249977111117893"/>
        <rFont val="Biome"/>
        <family val="2"/>
      </rPr>
      <t>Managing Emotions Effectively</t>
    </r>
    <r>
      <rPr>
        <sz val="11"/>
        <color theme="7" tint="-0.249977111117893"/>
        <rFont val="Biome"/>
        <family val="2"/>
      </rPr>
      <t xml:space="preserve">
</t>
    </r>
    <r>
      <rPr>
        <i/>
        <sz val="11"/>
        <color theme="7" tint="-0.249977111117893"/>
        <rFont val="Biome"/>
        <family val="2"/>
      </rPr>
      <t>(mengelola emosi)</t>
    </r>
    <r>
      <rPr>
        <sz val="11"/>
        <color theme="7" tint="-0.249977111117893"/>
        <rFont val="Biome"/>
        <family val="2"/>
      </rPr>
      <t xml:space="preserve">
</t>
    </r>
    <r>
      <rPr>
        <b/>
        <sz val="11"/>
        <color theme="7" tint="-0.249977111117893"/>
        <rFont val="Biome"/>
        <family val="2"/>
      </rPr>
      <t>(SA9)</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</si>
  <si>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(SA10)</t>
    </r>
  </si>
  <si>
    <r>
      <rPr>
        <b/>
        <sz val="11"/>
        <color theme="7" tint="-0.249977111117893"/>
        <rFont val="Biome"/>
        <family val="2"/>
      </rPr>
      <t>Admitting Mistakes</t>
    </r>
    <r>
      <rPr>
        <sz val="11"/>
        <color theme="7" tint="-0.249977111117893"/>
        <rFont val="Biome"/>
        <family val="2"/>
      </rPr>
      <t xml:space="preserve">
</t>
    </r>
    <r>
      <rPr>
        <i/>
        <sz val="11"/>
        <color theme="7" tint="-0.249977111117893"/>
        <rFont val="Biome"/>
        <family val="2"/>
      </rPr>
      <t>(mengakui kesalahan)</t>
    </r>
    <r>
      <rPr>
        <sz val="11"/>
        <color theme="7" tint="-0.249977111117893"/>
        <rFont val="Biome"/>
        <family val="2"/>
      </rPr>
      <t xml:space="preserve">
</t>
    </r>
    <r>
      <rPr>
        <b/>
        <sz val="11"/>
        <color theme="7" tint="-0.249977111117893"/>
        <rFont val="Biome"/>
        <family val="2"/>
      </rPr>
      <t>(SA2)</t>
    </r>
  </si>
  <si>
    <r>
      <rPr>
        <b/>
        <sz val="11"/>
        <color theme="7" tint="-0.249977111117893"/>
        <rFont val="Biome"/>
        <family val="2"/>
      </rPr>
      <t>Understanding Strengths &amp; Weaknesses</t>
    </r>
    <r>
      <rPr>
        <sz val="11"/>
        <color theme="7" tint="-0.249977111117893"/>
        <rFont val="Biome"/>
        <family val="2"/>
      </rPr>
      <t xml:space="preserve">
(memahami kekuatan &amp; kelemahan)
</t>
    </r>
    <r>
      <rPr>
        <b/>
        <sz val="11"/>
        <color theme="7" tint="-0.249977111117893"/>
        <rFont val="Biome"/>
        <family val="2"/>
      </rPr>
      <t>(SA4)</t>
    </r>
  </si>
  <si>
    <r>
      <rPr>
        <b/>
        <sz val="11"/>
        <color theme="7" tint="-0.249977111117893"/>
        <rFont val="Biome"/>
        <family val="2"/>
      </rPr>
      <t>Proactive Self-Development for Adaptation</t>
    </r>
    <r>
      <rPr>
        <sz val="11"/>
        <color theme="7" tint="-0.249977111117893"/>
        <rFont val="Biome"/>
        <family val="2"/>
      </rPr>
      <t xml:space="preserve">
(aktif mengembangkan diri)
</t>
    </r>
    <r>
      <rPr>
        <b/>
        <sz val="11"/>
        <color theme="7" tint="-0.249977111117893"/>
        <rFont val="Biome"/>
        <family val="2"/>
      </rPr>
      <t>(SA6)</t>
    </r>
  </si>
  <si>
    <r>
      <rPr>
        <b/>
        <sz val="11"/>
        <color rgb="FF0070C0"/>
        <rFont val="Biome"/>
        <family val="2"/>
      </rPr>
      <t xml:space="preserve">Task Completion Quality 
</t>
    </r>
    <r>
      <rPr>
        <i/>
        <sz val="11"/>
        <color rgb="FF0070C0"/>
        <rFont val="Biome"/>
        <family val="2"/>
      </rPr>
      <t xml:space="preserve">(menyelesaikan tugas dengan baik)
</t>
    </r>
    <r>
      <rPr>
        <b/>
        <i/>
        <sz val="11"/>
        <color rgb="FF0070C0"/>
        <rFont val="Biome"/>
        <family val="2"/>
      </rPr>
      <t>(RA1)</t>
    </r>
  </si>
  <si>
    <r>
      <rPr>
        <b/>
        <sz val="11"/>
        <color theme="5" tint="-0.499984740745262"/>
        <rFont val="Biome"/>
        <family val="2"/>
      </rPr>
      <t xml:space="preserve">Critical Thinking &amp; Inquisitiveness
</t>
    </r>
    <r>
      <rPr>
        <i/>
        <sz val="11"/>
        <color theme="5" tint="-0.499984740745262"/>
        <rFont val="Biome"/>
        <family val="2"/>
      </rPr>
      <t xml:space="preserve">(mempertanyakan &amp; mengevaluasi)
</t>
    </r>
    <r>
      <rPr>
        <b/>
        <i/>
        <sz val="11"/>
        <color theme="5" tint="-0.499984740745262"/>
        <rFont val="Biome"/>
        <family val="2"/>
      </rPr>
      <t>(MA3)</t>
    </r>
  </si>
  <si>
    <r>
      <rPr>
        <b/>
        <sz val="11"/>
        <color rgb="FF0070C0"/>
        <rFont val="Biome"/>
        <family val="2"/>
      </rPr>
      <t xml:space="preserve">Deciding with Incomplete Data
</t>
    </r>
    <r>
      <rPr>
        <sz val="11"/>
        <color rgb="FF0070C0"/>
        <rFont val="Biome"/>
        <family val="2"/>
      </rPr>
      <t xml:space="preserve">(mengambil keputusan dengan data/informasi terbatas)
</t>
    </r>
    <r>
      <rPr>
        <b/>
        <sz val="11"/>
        <color rgb="FF0070C0"/>
        <rFont val="Biome"/>
        <family val="2"/>
      </rPr>
      <t>(RA7)</t>
    </r>
  </si>
  <si>
    <r>
      <rPr>
        <b/>
        <sz val="11"/>
        <color rgb="FF0070C0"/>
        <rFont val="Biome"/>
        <family val="2"/>
      </rPr>
      <t xml:space="preserve">Adapting Strategy When Needed
</t>
    </r>
    <r>
      <rPr>
        <sz val="11"/>
        <color rgb="FF0070C0"/>
        <rFont val="Biome"/>
        <family val="2"/>
      </rPr>
      <t xml:space="preserve">(mengubah strategi untuk hasil lebih baik)
</t>
    </r>
    <r>
      <rPr>
        <b/>
        <sz val="11"/>
        <color rgb="FF0070C0"/>
        <rFont val="Biome"/>
        <family val="2"/>
      </rPr>
      <t>(RA9)</t>
    </r>
  </si>
  <si>
    <r>
      <rPr>
        <b/>
        <sz val="11"/>
        <color rgb="FF0070C0"/>
        <rFont val="Biome"/>
        <family val="2"/>
      </rPr>
      <t xml:space="preserve">Prioritizing &amp; Sequencing Work
</t>
    </r>
    <r>
      <rPr>
        <sz val="11"/>
        <color rgb="FF0070C0"/>
        <rFont val="Biome"/>
        <family val="2"/>
      </rPr>
      <t xml:space="preserve">(menyusun prioritas &amp; urutan kerja)
</t>
    </r>
    <r>
      <rPr>
        <b/>
        <sz val="11"/>
        <color rgb="FF0070C0"/>
        <rFont val="Biome"/>
        <family val="2"/>
      </rPr>
      <t>(RA5)</t>
    </r>
  </si>
  <si>
    <r>
      <rPr>
        <b/>
        <sz val="11"/>
        <color theme="5" tint="-0.499984740745262"/>
        <rFont val="Biome"/>
        <family val="2"/>
      </rPr>
      <t xml:space="preserve">Root Cause Analysis
</t>
    </r>
    <r>
      <rPr>
        <sz val="11"/>
        <color theme="5" tint="-0.499984740745262"/>
        <rFont val="Biome"/>
        <family val="2"/>
      </rPr>
      <t xml:space="preserve">(mencari penyebab masalah)
</t>
    </r>
    <r>
      <rPr>
        <b/>
        <sz val="11"/>
        <color theme="5" tint="-0.499984740745262"/>
        <rFont val="Biome"/>
        <family val="2"/>
      </rPr>
      <t>(MA2)</t>
    </r>
  </si>
  <si>
    <r>
      <rPr>
        <b/>
        <sz val="11"/>
        <color theme="9" tint="-0.249977111117893"/>
        <rFont val="Biome"/>
        <family val="2"/>
      </rPr>
      <t>Risk-Taking for Innovation</t>
    </r>
    <r>
      <rPr>
        <sz val="11"/>
        <color theme="9" tint="-0.249977111117893"/>
        <rFont val="Biome"/>
        <family val="2"/>
      </rPr>
      <t xml:space="preserve">
(berani mencoba pendekatan baru)
</t>
    </r>
    <r>
      <rPr>
        <b/>
        <sz val="11"/>
        <color theme="9" tint="-0.249977111117893"/>
        <rFont val="Biome"/>
        <family val="2"/>
      </rPr>
      <t>(CA8)</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</si>
  <si>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</si>
  <si>
    <r>
      <rPr>
        <b/>
        <sz val="11"/>
        <color rgb="FF833C0C"/>
        <rFont val="Biome"/>
        <family val="2"/>
      </rPr>
      <t xml:space="preserve">Tolerance for Ambiguity
</t>
    </r>
    <r>
      <rPr>
        <i/>
        <sz val="11"/>
        <color rgb="FF833C0C"/>
        <rFont val="Biome"/>
        <family val="2"/>
      </rPr>
      <t xml:space="preserve">(memimpin dalam uncertainty tinggi)
</t>
    </r>
    <r>
      <rPr>
        <b/>
        <i/>
        <sz val="11"/>
        <color rgb="FF833C0C"/>
        <rFont val="Biome"/>
        <family val="2"/>
      </rPr>
      <t>(MA10)</t>
    </r>
  </si>
  <si>
    <r>
      <rPr>
        <b/>
        <sz val="11"/>
        <color rgb="FF0070C0"/>
        <rFont val="Biome"/>
        <family val="2"/>
      </rPr>
      <t xml:space="preserve">Driving for impact
</t>
    </r>
    <r>
      <rPr>
        <sz val="11"/>
        <color rgb="FF0070C0"/>
        <rFont val="Biome"/>
        <family val="2"/>
      </rPr>
      <t xml:space="preserve">(fokus pada hasil kerja)
</t>
    </r>
    <r>
      <rPr>
        <b/>
        <sz val="11"/>
        <color rgb="FF0070C0"/>
        <rFont val="Biome"/>
        <family val="2"/>
      </rPr>
      <t>(RA3)</t>
    </r>
  </si>
  <si>
    <r>
      <rPr>
        <b/>
        <sz val="11"/>
        <color rgb="FF0070C0"/>
        <rFont val="Biome"/>
        <family val="2"/>
      </rPr>
      <t xml:space="preserve">Agile Problem-Solving Under Pressure
</t>
    </r>
    <r>
      <rPr>
        <sz val="11"/>
        <color rgb="FF0070C0"/>
        <rFont val="Biome"/>
        <family val="2"/>
      </rPr>
      <t xml:space="preserve">memecahkan masalah di bawah tekanan)
</t>
    </r>
    <r>
      <rPr>
        <b/>
        <sz val="11"/>
        <color rgb="FF0070C0"/>
        <rFont val="Biome"/>
        <family val="2"/>
      </rPr>
      <t>(RA10)</t>
    </r>
  </si>
  <si>
    <r>
      <rPr>
        <b/>
        <sz val="11"/>
        <color theme="5" tint="-0.499984740745262"/>
        <rFont val="Biome"/>
        <family val="2"/>
      </rPr>
      <t xml:space="preserve">Analytical Thinking
</t>
    </r>
    <r>
      <rPr>
        <i/>
        <sz val="11"/>
        <color theme="5" tint="-0.499984740745262"/>
        <rFont val="Biome"/>
        <family val="2"/>
      </rPr>
      <t xml:space="preserve">(memahami data &amp; fakta dasar)
</t>
    </r>
    <r>
      <rPr>
        <b/>
        <i/>
        <sz val="11"/>
        <color theme="5" tint="-0.499984740745262"/>
        <rFont val="Biome"/>
        <family val="2"/>
      </rPr>
      <t>(MA1)</t>
    </r>
  </si>
  <si>
    <r>
      <rPr>
        <b/>
        <sz val="11"/>
        <color theme="5" tint="-0.499984740745262"/>
        <rFont val="Biome"/>
        <family val="2"/>
      </rPr>
      <t xml:space="preserve">Integrating Diverse Perspective
</t>
    </r>
    <r>
      <rPr>
        <sz val="11"/>
        <color theme="5" tint="-0.499984740745262"/>
        <rFont val="Biome"/>
        <family val="2"/>
      </rPr>
      <t xml:space="preserve">(keputusan dari berbagai sudut pandang)
</t>
    </r>
    <r>
      <rPr>
        <b/>
        <sz val="11"/>
        <color theme="5" tint="-0.499984740745262"/>
        <rFont val="Biome"/>
        <family val="2"/>
      </rPr>
      <t>(MA6)</t>
    </r>
  </si>
  <si>
    <r>
      <rPr>
        <b/>
        <sz val="11"/>
        <color theme="5" tint="-0.499984740745262"/>
        <rFont val="Biome"/>
        <family val="2"/>
      </rPr>
      <t>Breaking Patterned Thinking</t>
    </r>
    <r>
      <rPr>
        <sz val="11"/>
        <color theme="5" tint="-0.499984740745262"/>
        <rFont val="Biome"/>
        <family val="2"/>
      </rPr>
      <t xml:space="preserve">
(menciptakan solusi baru)
</t>
    </r>
    <r>
      <rPr>
        <b/>
        <sz val="11"/>
        <color theme="5" tint="-0.499984740745262"/>
        <rFont val="Biome"/>
        <family val="2"/>
      </rPr>
      <t>(MA8)</t>
    </r>
  </si>
  <si>
    <r>
      <rPr>
        <b/>
        <sz val="11"/>
        <color theme="9" tint="-0.249977111117893"/>
        <rFont val="Biome"/>
        <family val="2"/>
      </rPr>
      <t>Adapting to New Systems</t>
    </r>
    <r>
      <rPr>
        <sz val="11"/>
        <color theme="9" tint="-0.249977111117893"/>
        <rFont val="Biome"/>
        <family val="2"/>
      </rPr>
      <t xml:space="preserve">
</t>
    </r>
    <r>
      <rPr>
        <i/>
        <sz val="11"/>
        <color theme="9" tint="-0.249977111117893"/>
        <rFont val="Biome"/>
        <family val="2"/>
      </rPr>
      <t>(mengikuti perubahan sistem &amp; Prosedur)</t>
    </r>
    <r>
      <rPr>
        <sz val="11"/>
        <color theme="9" tint="-0.249977111117893"/>
        <rFont val="Biome"/>
        <family val="2"/>
      </rPr>
      <t xml:space="preserve">
</t>
    </r>
    <r>
      <rPr>
        <b/>
        <sz val="11"/>
        <color theme="9" tint="-0.249977111117893"/>
        <rFont val="Biome"/>
        <family val="2"/>
      </rPr>
      <t>(CA1)</t>
    </r>
  </si>
  <si>
    <r>
      <rPr>
        <b/>
        <sz val="11"/>
        <color theme="9" tint="-0.249977111117893"/>
        <rFont val="Biome"/>
        <family val="2"/>
      </rPr>
      <t>Comfort with Sudden Change</t>
    </r>
    <r>
      <rPr>
        <sz val="11"/>
        <color theme="9" tint="-0.249977111117893"/>
        <rFont val="Biome"/>
        <family val="2"/>
      </rPr>
      <t xml:space="preserve">
</t>
    </r>
    <r>
      <rPr>
        <i/>
        <sz val="11"/>
        <color theme="9" tint="-0.249977111117893"/>
        <rFont val="Biome"/>
        <family val="2"/>
      </rPr>
      <t>(tetap bekerja saat perubahan mendadak)</t>
    </r>
    <r>
      <rPr>
        <sz val="11"/>
        <color theme="9" tint="-0.249977111117893"/>
        <rFont val="Biome"/>
        <family val="2"/>
      </rPr>
      <t xml:space="preserve">
</t>
    </r>
    <r>
      <rPr>
        <b/>
        <sz val="11"/>
        <color theme="9" tint="-0.249977111117893"/>
        <rFont val="Biome"/>
        <family val="2"/>
      </rPr>
      <t>(CA3)</t>
    </r>
  </si>
  <si>
    <r>
      <rPr>
        <b/>
        <sz val="11"/>
        <color theme="9" tint="-0.249977111117893"/>
        <rFont val="Biome"/>
        <family val="2"/>
      </rPr>
      <t>Adaptive Learning &amp; Experimentation</t>
    </r>
    <r>
      <rPr>
        <sz val="11"/>
        <color theme="9" tint="-0.249977111117893"/>
        <rFont val="Biome"/>
        <family val="2"/>
      </rPr>
      <t xml:space="preserve">
(aktif belajar hal baru)
</t>
    </r>
    <r>
      <rPr>
        <b/>
        <sz val="11"/>
        <color theme="9" tint="-0.249977111117893"/>
        <rFont val="Biome"/>
        <family val="2"/>
      </rPr>
      <t>(CA5)</t>
    </r>
  </si>
  <si>
    <r>
      <rPr>
        <b/>
        <sz val="11"/>
        <color theme="9" tint="-0.249977111117893"/>
        <rFont val="Biome"/>
        <family val="2"/>
      </rPr>
      <t>Proposing New Ideas</t>
    </r>
    <r>
      <rPr>
        <sz val="11"/>
        <color theme="9" tint="-0.249977111117893"/>
        <rFont val="Biome"/>
        <family val="2"/>
      </rPr>
      <t xml:space="preserve">
(menginisiasi perubahan)
</t>
    </r>
    <r>
      <rPr>
        <b/>
        <sz val="11"/>
        <color theme="9" tint="-0.249977111117893"/>
        <rFont val="Biome"/>
        <family val="2"/>
      </rPr>
      <t>(CA7)</t>
    </r>
  </si>
  <si>
    <r>
      <rPr>
        <b/>
        <sz val="11"/>
        <color theme="9" tint="-0.249977111117893"/>
        <rFont val="Biome"/>
        <family val="2"/>
      </rPr>
      <t>Calmness in Uncertainty</t>
    </r>
    <r>
      <rPr>
        <sz val="11"/>
        <color theme="9" tint="-0.249977111117893"/>
        <rFont val="Biome"/>
        <family val="2"/>
      </rPr>
      <t xml:space="preserve">
(tetap tenang di kondisi tidak pasti)
</t>
    </r>
    <r>
      <rPr>
        <b/>
        <sz val="11"/>
        <color theme="9" tint="-0.249977111117893"/>
        <rFont val="Biome"/>
        <family val="2"/>
      </rPr>
      <t>(CA9)</t>
    </r>
  </si>
  <si>
    <r>
      <rPr>
        <b/>
        <sz val="11"/>
        <color rgb="FF548235"/>
        <rFont val="Biome"/>
        <family val="2"/>
      </rPr>
      <t xml:space="preserve">Proactive in Anticipating Change
</t>
    </r>
    <r>
      <rPr>
        <i/>
        <sz val="11"/>
        <color rgb="FF548235"/>
        <rFont val="Biome"/>
        <family val="2"/>
      </rPr>
      <t xml:space="preserve">(mengantisipasi perubahan )
</t>
    </r>
    <r>
      <rPr>
        <b/>
        <i/>
        <sz val="11"/>
        <color rgb="FF548235"/>
        <rFont val="Biome"/>
        <family val="2"/>
      </rPr>
      <t>(CA10)</t>
    </r>
  </si>
  <si>
    <r>
      <rPr>
        <b/>
        <sz val="11"/>
        <color theme="9" tint="-0.249977111117893"/>
        <rFont val="Biome"/>
        <family val="2"/>
      </rPr>
      <t>Comfort with New Ways of Working</t>
    </r>
    <r>
      <rPr>
        <sz val="11"/>
        <color theme="9" tint="-0.249977111117893"/>
        <rFont val="Biome"/>
        <family val="2"/>
      </rPr>
      <t xml:space="preserve">
</t>
    </r>
    <r>
      <rPr>
        <i/>
        <sz val="11"/>
        <color theme="9" tint="-0.249977111117893"/>
        <rFont val="Biome"/>
        <family val="2"/>
      </rPr>
      <t>(nyaman dengan cara kerja baru)</t>
    </r>
    <r>
      <rPr>
        <sz val="11"/>
        <color theme="9" tint="-0.249977111117893"/>
        <rFont val="Biome"/>
        <family val="2"/>
      </rPr>
      <t xml:space="preserve">
</t>
    </r>
    <r>
      <rPr>
        <b/>
        <sz val="11"/>
        <color theme="9" tint="-0.249977111117893"/>
        <rFont val="Biome"/>
        <family val="2"/>
      </rPr>
      <t>(CA2)</t>
    </r>
  </si>
  <si>
    <r>
      <rPr>
        <b/>
        <sz val="11"/>
        <color theme="9" tint="-0.249977111117893"/>
        <rFont val="Biome"/>
        <family val="2"/>
      </rPr>
      <t>Managing Resistance to Change</t>
    </r>
    <r>
      <rPr>
        <sz val="11"/>
        <color theme="9" tint="-0.249977111117893"/>
        <rFont val="Biome"/>
        <family val="2"/>
      </rPr>
      <t xml:space="preserve">
(pengelolaan resistensi
</t>
    </r>
    <r>
      <rPr>
        <b/>
        <sz val="11"/>
        <color theme="9" tint="-0.249977111117893"/>
        <rFont val="Biome"/>
        <family val="2"/>
      </rPr>
      <t>(CA4)</t>
    </r>
  </si>
  <si>
    <r>
      <rPr>
        <b/>
        <sz val="11"/>
        <color rgb="FF7030A0"/>
        <rFont val="Biome"/>
        <family val="2"/>
      </rPr>
      <t>Empathy</t>
    </r>
    <r>
      <rPr>
        <sz val="11"/>
        <color rgb="FF7030A0"/>
        <rFont val="Biome"/>
        <family val="2"/>
      </rPr>
      <t xml:space="preserve">
(Merasakan &amp; memahami emosi orang lain)
</t>
    </r>
    <r>
      <rPr>
        <b/>
        <sz val="11"/>
        <color rgb="FF7030A0"/>
        <rFont val="Biome"/>
        <family val="2"/>
      </rPr>
      <t>(PA9)</t>
    </r>
  </si>
  <si>
    <r>
      <rPr>
        <b/>
        <sz val="11"/>
        <color theme="5" tint="-0.499984740745262"/>
        <rFont val="Biome"/>
        <family val="2"/>
      </rPr>
      <t xml:space="preserve">Explaining Complexity
</t>
    </r>
    <r>
      <rPr>
        <sz val="11"/>
        <color theme="5" tint="-0.499984740745262"/>
        <rFont val="Biome"/>
        <family val="2"/>
      </rPr>
      <t xml:space="preserve">(menjelaskan hal kompleks secara sederhana)
</t>
    </r>
    <r>
      <rPr>
        <b/>
        <sz val="11"/>
        <color theme="5" tint="-0.499984740745262"/>
        <rFont val="Biome"/>
        <family val="2"/>
      </rPr>
      <t>(MA4)</t>
    </r>
  </si>
  <si>
    <r>
      <rPr>
        <b/>
        <sz val="11"/>
        <color theme="9" tint="-0.249977111117893"/>
        <rFont val="Biome"/>
        <family val="2"/>
      </rPr>
      <t>Viewing Change as Opportunity</t>
    </r>
    <r>
      <rPr>
        <sz val="11"/>
        <color theme="9" tint="-0.249977111117893"/>
        <rFont val="Biome"/>
        <family val="2"/>
      </rPr>
      <t xml:space="preserve">
</t>
    </r>
    <r>
      <rPr>
        <i/>
        <sz val="11"/>
        <color theme="9" tint="-0.249977111117893"/>
        <rFont val="Biome"/>
        <family val="2"/>
      </rPr>
      <t>(melihat perubahan sebagai peluang)</t>
    </r>
    <r>
      <rPr>
        <sz val="11"/>
        <color theme="9" tint="-0.249977111117893"/>
        <rFont val="Biome"/>
        <family val="2"/>
      </rPr>
      <t xml:space="preserve">
</t>
    </r>
    <r>
      <rPr>
        <b/>
        <sz val="11"/>
        <color theme="9" tint="-0.249977111117893"/>
        <rFont val="Biome"/>
        <family val="2"/>
      </rPr>
      <t>(CA6)</t>
    </r>
  </si>
  <si>
    <r>
      <rPr>
        <b/>
        <sz val="11"/>
        <color theme="5" tint="-0.499984740745262"/>
        <rFont val="Biome"/>
        <family val="2"/>
      </rPr>
      <t xml:space="preserve">Intellectual Synthesis
</t>
    </r>
    <r>
      <rPr>
        <i/>
        <sz val="11"/>
        <color theme="5" tint="-0.499984740745262"/>
        <rFont val="Biome"/>
        <family val="2"/>
      </rPr>
      <t xml:space="preserve">(menghubungkan berbagai informasi)
</t>
    </r>
    <r>
      <rPr>
        <b/>
        <i/>
        <sz val="11"/>
        <color theme="5" tint="-0.499984740745262"/>
        <rFont val="Biome"/>
        <family val="2"/>
      </rPr>
      <t>(MA5)</t>
    </r>
  </si>
  <si>
    <r>
      <rPr>
        <b/>
        <sz val="11"/>
        <color theme="5" tint="-0.499984740745262"/>
        <rFont val="Biome"/>
        <family val="2"/>
      </rPr>
      <t>Creative Exploration</t>
    </r>
    <r>
      <rPr>
        <sz val="11"/>
        <color theme="5" tint="-0.499984740745262"/>
        <rFont val="Biome"/>
        <family val="2"/>
      </rPr>
      <t xml:space="preserve">
(mencari pendekatan baru)
</t>
    </r>
    <r>
      <rPr>
        <b/>
        <sz val="11"/>
        <color theme="5" tint="-0.499984740745262"/>
        <rFont val="Biome"/>
        <family val="2"/>
      </rPr>
      <t>(MA7)</t>
    </r>
  </si>
  <si>
    <r>
      <rPr>
        <b/>
        <sz val="11"/>
        <color rgb="FF7030A0"/>
        <rFont val="Biome"/>
        <family val="2"/>
      </rPr>
      <t>Understanding Different Perspectives</t>
    </r>
    <r>
      <rPr>
        <sz val="11"/>
        <color rgb="FF7030A0"/>
        <rFont val="Biome"/>
        <family val="2"/>
      </rPr>
      <t xml:space="preserve">
</t>
    </r>
    <r>
      <rPr>
        <i/>
        <sz val="11"/>
        <color rgb="FF7030A0"/>
        <rFont val="Biome"/>
        <family val="2"/>
      </rPr>
      <t>(Analisis multi-sudut pandang untuk pemahaman mendalam)</t>
    </r>
    <r>
      <rPr>
        <sz val="11"/>
        <color rgb="FF7030A0"/>
        <rFont val="Biome"/>
        <family val="2"/>
      </rPr>
      <t xml:space="preserve">
</t>
    </r>
    <r>
      <rPr>
        <b/>
        <sz val="11"/>
        <color rgb="FF7030A0"/>
        <rFont val="Biome"/>
        <family val="2"/>
      </rPr>
      <t>(PA6)</t>
    </r>
  </si>
  <si>
    <r>
      <rPr>
        <b/>
        <sz val="11"/>
        <color rgb="FF7030A0"/>
        <rFont val="Biome"/>
        <family val="2"/>
      </rPr>
      <t>Managing Challanging Stakeholder</t>
    </r>
    <r>
      <rPr>
        <sz val="11"/>
        <color rgb="FF7030A0"/>
        <rFont val="Biome"/>
        <family val="2"/>
      </rPr>
      <t xml:space="preserve">
(relasi berkelanjutan dengan pihak sulit)
</t>
    </r>
    <r>
      <rPr>
        <b/>
        <sz val="11"/>
        <color rgb="FF7030A0"/>
        <rFont val="Biome"/>
        <family val="2"/>
      </rPr>
      <t>(PA12)</t>
    </r>
  </si>
  <si>
    <r>
      <rPr>
        <b/>
        <sz val="11"/>
        <color rgb="FF7030A0"/>
        <rFont val="Biome"/>
        <family val="2"/>
      </rPr>
      <t>Conflict Mediation</t>
    </r>
    <r>
      <rPr>
        <sz val="11"/>
        <color rgb="FF7030A0"/>
        <rFont val="Biome"/>
        <family val="2"/>
      </rPr>
      <t xml:space="preserve">
</t>
    </r>
    <r>
      <rPr>
        <i/>
        <sz val="11"/>
        <color rgb="FF7030A0"/>
        <rFont val="Biome"/>
        <family val="2"/>
      </rPr>
      <t xml:space="preserve">(menjadi penengah  pihak berbeda)
</t>
    </r>
    <r>
      <rPr>
        <b/>
        <i/>
        <sz val="11"/>
        <color rgb="FF7030A0"/>
        <rFont val="Biome"/>
        <family val="2"/>
      </rPr>
      <t>(PA15)</t>
    </r>
  </si>
  <si>
    <r>
      <rPr>
        <b/>
        <sz val="11"/>
        <color rgb="FF7030A0"/>
        <rFont val="Biome"/>
        <family val="2"/>
      </rPr>
      <t>Setting Direction &amp; Expectations</t>
    </r>
    <r>
      <rPr>
        <sz val="11"/>
        <color rgb="FF7030A0"/>
        <rFont val="Biome"/>
        <family val="2"/>
      </rPr>
      <t xml:space="preserve">
</t>
    </r>
    <r>
      <rPr>
        <i/>
        <sz val="11"/>
        <color rgb="FF7030A0"/>
        <rFont val="Biome"/>
        <family val="2"/>
      </rPr>
      <t>(menetapkan arah &amp; ekspektasi)</t>
    </r>
    <r>
      <rPr>
        <sz val="11"/>
        <color rgb="FF7030A0"/>
        <rFont val="Biome"/>
        <family val="2"/>
      </rPr>
      <t xml:space="preserve">
</t>
    </r>
    <r>
      <rPr>
        <b/>
        <sz val="11"/>
        <color rgb="FF7030A0"/>
        <rFont val="Biome"/>
        <family val="2"/>
      </rPr>
      <t>(PA8)</t>
    </r>
  </si>
  <si>
    <r>
      <rPr>
        <b/>
        <sz val="11"/>
        <color theme="7" tint="-0.249977111117893"/>
        <rFont val="Biome"/>
        <family val="2"/>
      </rPr>
      <t>Awareness of Impact on Others</t>
    </r>
    <r>
      <rPr>
        <sz val="11"/>
        <color theme="7" tint="-0.249977111117893"/>
        <rFont val="Biome"/>
        <family val="2"/>
      </rPr>
      <t xml:space="preserve">
(memahami dampak perilaku)
</t>
    </r>
    <r>
      <rPr>
        <b/>
        <sz val="11"/>
        <color theme="7" tint="-0.249977111117893"/>
        <rFont val="Biome"/>
        <family val="2"/>
      </rPr>
      <t>(SA8)</t>
    </r>
  </si>
  <si>
    <r>
      <rPr>
        <b/>
        <sz val="11"/>
        <color rgb="FF7030A0"/>
        <rFont val="Biome"/>
        <family val="2"/>
      </rPr>
      <t>Adapting Leadership Style</t>
    </r>
    <r>
      <rPr>
        <sz val="11"/>
        <color rgb="FF7030A0"/>
        <rFont val="Biome"/>
        <family val="2"/>
      </rPr>
      <t xml:space="preserve">
(menyesuaikan gaya kepemimpinan)
</t>
    </r>
    <r>
      <rPr>
        <b/>
        <sz val="11"/>
        <color rgb="FF7030A0"/>
        <rFont val="Biome"/>
        <family val="2"/>
      </rPr>
      <t>(PA14)</t>
    </r>
  </si>
  <si>
    <r>
      <rPr>
        <b/>
        <sz val="11"/>
        <color rgb="FF7030A0"/>
        <rFont val="Biome"/>
        <family val="2"/>
      </rPr>
      <t>Genuine Curiosity about Others</t>
    </r>
    <r>
      <rPr>
        <sz val="11"/>
        <color rgb="FF7030A0"/>
        <rFont val="Biome"/>
        <family val="2"/>
      </rPr>
      <t xml:space="preserve">
(rasa ingin tahu tulus pada orang lain)
</t>
    </r>
    <r>
      <rPr>
        <b/>
        <sz val="11"/>
        <color rgb="FF7030A0"/>
        <rFont val="Biome"/>
        <family val="2"/>
      </rPr>
      <t>(PA3)</t>
    </r>
  </si>
  <si>
    <r>
      <rPr>
        <b/>
        <sz val="11"/>
        <color rgb="FF7030A0"/>
        <rFont val="Biome"/>
        <family val="2"/>
      </rPr>
      <t>Recognizing Others' Potential</t>
    </r>
    <r>
      <rPr>
        <sz val="11"/>
        <color rgb="FF7030A0"/>
        <rFont val="Biome"/>
        <family val="2"/>
      </rPr>
      <t xml:space="preserve">
</t>
    </r>
    <r>
      <rPr>
        <i/>
        <sz val="11"/>
        <color rgb="FF7030A0"/>
        <rFont val="Biome"/>
        <family val="2"/>
      </rPr>
      <t>(mengenali potensi orang lain)</t>
    </r>
    <r>
      <rPr>
        <sz val="11"/>
        <color rgb="FF7030A0"/>
        <rFont val="Biome"/>
        <family val="2"/>
      </rPr>
      <t xml:space="preserve">
</t>
    </r>
    <r>
      <rPr>
        <b/>
        <sz val="11"/>
        <color rgb="FF7030A0"/>
        <rFont val="Biome"/>
        <family val="2"/>
      </rPr>
      <t>(PA7)</t>
    </r>
  </si>
  <si>
    <r>
      <rPr>
        <b/>
        <sz val="11"/>
        <color rgb="FF7030A0"/>
        <rFont val="Biome"/>
        <family val="2"/>
      </rPr>
      <t>Giving Developmental Feedback</t>
    </r>
    <r>
      <rPr>
        <sz val="11"/>
        <color rgb="FF7030A0"/>
        <rFont val="Biome"/>
        <family val="2"/>
      </rPr>
      <t xml:space="preserve">
(memberi umpan balik yang mengembangkan)
</t>
    </r>
    <r>
      <rPr>
        <b/>
        <sz val="11"/>
        <color rgb="FF7030A0"/>
        <rFont val="Biome"/>
        <family val="2"/>
      </rPr>
      <t>(PA11)</t>
    </r>
  </si>
  <si>
    <r>
      <rPr>
        <b/>
        <sz val="11"/>
        <color rgb="FF7030A0"/>
        <rFont val="Biome"/>
        <family val="2"/>
      </rPr>
      <t>Delegating for Growth</t>
    </r>
    <r>
      <rPr>
        <sz val="11"/>
        <color rgb="FF7030A0"/>
        <rFont val="Biome"/>
        <family val="2"/>
      </rPr>
      <t xml:space="preserve">
(mendelegasikan sebagai sarana pengembangan)
</t>
    </r>
    <r>
      <rPr>
        <b/>
        <sz val="11"/>
        <color rgb="FF7030A0"/>
        <rFont val="Biome"/>
        <family val="2"/>
      </rPr>
      <t>(PA13)</t>
    </r>
  </si>
  <si>
    <r>
      <rPr>
        <b/>
        <sz val="11"/>
        <color rgb="FF7030A0"/>
        <rFont val="Biome"/>
        <family val="2"/>
      </rPr>
      <t>Coaching &amp; Building Capability</t>
    </r>
    <r>
      <rPr>
        <sz val="11"/>
        <color rgb="FF7030A0"/>
        <rFont val="Biome"/>
        <family val="2"/>
      </rPr>
      <t xml:space="preserve">
</t>
    </r>
    <r>
      <rPr>
        <i/>
        <sz val="11"/>
        <color rgb="FF7030A0"/>
        <rFont val="Biome"/>
        <family val="2"/>
      </rPr>
      <t xml:space="preserve">(membangun kemampuan orang lain)
</t>
    </r>
    <r>
      <rPr>
        <b/>
        <i/>
        <sz val="11"/>
        <color rgb="FF7030A0"/>
        <rFont val="Biome"/>
        <family val="2"/>
      </rPr>
      <t>(PA16)</t>
    </r>
  </si>
  <si>
    <r>
      <rPr>
        <b/>
        <sz val="11"/>
        <color rgb="FF7030A0"/>
        <rFont val="Biome"/>
        <family val="2"/>
      </rPr>
      <t xml:space="preserve"> Listening for understanding</t>
    </r>
    <r>
      <rPr>
        <sz val="11"/>
        <color rgb="FF7030A0"/>
        <rFont val="Biome"/>
        <family val="2"/>
      </rPr>
      <t xml:space="preserve">
</t>
    </r>
    <r>
      <rPr>
        <i/>
        <sz val="11"/>
        <color rgb="FF7030A0"/>
        <rFont val="Biome"/>
        <family val="2"/>
      </rPr>
      <t>(mendengarkan &amp; memahami)</t>
    </r>
    <r>
      <rPr>
        <sz val="11"/>
        <color rgb="FF7030A0"/>
        <rFont val="Biome"/>
        <family val="2"/>
      </rPr>
      <t xml:space="preserve">
</t>
    </r>
    <r>
      <rPr>
        <b/>
        <sz val="11"/>
        <color rgb="FF7030A0"/>
        <rFont val="Biome"/>
        <family val="2"/>
      </rPr>
      <t>(PA1)</t>
    </r>
  </si>
  <si>
    <r>
      <rPr>
        <b/>
        <sz val="11"/>
        <color rgb="FF7030A0"/>
        <rFont val="Biome"/>
        <family val="2"/>
      </rPr>
      <t>Collaboration with Diversity</t>
    </r>
    <r>
      <rPr>
        <sz val="11"/>
        <color rgb="FF7030A0"/>
        <rFont val="Biome"/>
        <family val="2"/>
      </rPr>
      <t xml:space="preserve">
</t>
    </r>
    <r>
      <rPr>
        <i/>
        <sz val="11"/>
        <color rgb="FF7030A0"/>
        <rFont val="Biome"/>
        <family val="2"/>
      </rPr>
      <t>(Bekerja efektif dalam keberagaman)</t>
    </r>
    <r>
      <rPr>
        <sz val="11"/>
        <color rgb="FF7030A0"/>
        <rFont val="Biome"/>
        <family val="2"/>
      </rPr>
      <t xml:space="preserve">
</t>
    </r>
    <r>
      <rPr>
        <b/>
        <sz val="11"/>
        <color rgb="FF7030A0"/>
        <rFont val="Biome"/>
        <family val="2"/>
      </rPr>
      <t>(PA4)</t>
    </r>
  </si>
  <si>
    <r>
      <rPr>
        <b/>
        <sz val="11"/>
        <color rgb="FF7030A0"/>
        <rFont val="Biome"/>
        <family val="2"/>
      </rPr>
      <t>Valuing Diverse Opinions</t>
    </r>
    <r>
      <rPr>
        <sz val="11"/>
        <color rgb="FF7030A0"/>
        <rFont val="Biome"/>
        <family val="2"/>
      </rPr>
      <t xml:space="preserve">
(Menghargai opini berbeda dalam pengambilan keputusan)
</t>
    </r>
    <r>
      <rPr>
        <b/>
        <sz val="11"/>
        <color rgb="FF7030A0"/>
        <rFont val="Biome"/>
        <family val="2"/>
      </rPr>
      <t>(PA5)</t>
    </r>
  </si>
  <si>
    <t>Communication &amp; Deal with Other</t>
  </si>
  <si>
    <r>
      <rPr>
        <b/>
        <sz val="11"/>
        <color rgb="FF7030A0"/>
        <rFont val="Biome"/>
        <family val="2"/>
      </rPr>
      <t>Openness to Feedback</t>
    </r>
    <r>
      <rPr>
        <sz val="11"/>
        <color rgb="FF7030A0"/>
        <rFont val="Biome"/>
        <family val="2"/>
      </rPr>
      <t xml:space="preserve">
</t>
    </r>
    <r>
      <rPr>
        <i/>
        <sz val="11"/>
        <color rgb="FF7030A0"/>
        <rFont val="Biome"/>
        <family val="2"/>
      </rPr>
      <t>(menerima &amp; mencari masukan)</t>
    </r>
    <r>
      <rPr>
        <sz val="11"/>
        <color rgb="FF7030A0"/>
        <rFont val="Biome"/>
        <family val="2"/>
      </rPr>
      <t xml:space="preserve">
</t>
    </r>
    <r>
      <rPr>
        <b/>
        <sz val="11"/>
        <color rgb="FF7030A0"/>
        <rFont val="Biome"/>
        <family val="2"/>
      </rPr>
      <t>(PA2)</t>
    </r>
  </si>
  <si>
    <r>
      <rPr>
        <b/>
        <sz val="11"/>
        <color rgb="FF7030A0"/>
        <rFont val="Biome"/>
        <family val="2"/>
      </rPr>
      <t>Conflict Navigation</t>
    </r>
    <r>
      <rPr>
        <sz val="11"/>
        <color rgb="FF7030A0"/>
        <rFont val="Biome"/>
        <family val="2"/>
      </rPr>
      <t xml:space="preserve">
(menghadapi konflik secara konstruktif)
</t>
    </r>
    <r>
      <rPr>
        <b/>
        <sz val="11"/>
        <color rgb="FF7030A0"/>
        <rFont val="Biome"/>
        <family val="2"/>
      </rPr>
      <t>(PA10)</t>
    </r>
  </si>
  <si>
    <t>NO</t>
  </si>
  <si>
    <t>Mental Agility
(MA)</t>
  </si>
  <si>
    <t>People Agility
(PA)</t>
  </si>
  <si>
    <t>Change Agility
(CA)</t>
  </si>
  <si>
    <t>Result Agility
(RA)</t>
  </si>
  <si>
    <t>Self Awareness Agility
(SA)</t>
  </si>
  <si>
    <t>Specialist/Unit Head</t>
  </si>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</sst>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86">
    <font>
      <sz val="11"/>
      <color theme="1"/>
      <name val="Aptos Narrow"/>
      <family val="2"/>
      <scheme val="minor"/>
    </font>
    <font>
      <sz val="10"/>
      <color theme="1"/>
      <name val="Segoe UI"/>
      <family val="2"/>
    </font>
    <font>
      <sz val="11"/>
      <color theme="1"/>
      <name val="Abadi"/>
      <family val="2"/>
    </font>
    <font>
      <b/>
      <sz val="11"/>
      <color theme="1"/>
      <name val="Abadi"/>
      <family val="2"/>
    </font>
    <font>
      <b/>
      <sz val="12"/>
      <color theme="1"/>
      <name val="Abadi"/>
      <family val="2"/>
    </font>
    <font>
      <sz val="12"/>
      <color theme="1"/>
      <name val="Abadi"/>
      <family val="2"/>
    </font>
    <font>
      <b/>
      <sz val="9"/>
      <color rgb="FF0F1115"/>
      <name val="Abadi"/>
      <family val="2"/>
    </font>
    <font>
      <sz val="9"/>
      <color rgb="FF0F1115"/>
      <name val="Abadi"/>
      <family val="2"/>
    </font>
    <font>
      <sz val="10"/>
      <color theme="1"/>
      <name val="Consolas"/>
      <family val="3"/>
    </font>
    <font>
      <b/>
      <sz val="10"/>
      <color rgb="FF0F1115"/>
      <name val="Segoe UI"/>
      <family val="2"/>
    </font>
    <font>
      <sz val="10"/>
      <color theme="1"/>
      <name val="Aptos Narrow"/>
      <family val="2"/>
      <scheme val="minor"/>
    </font>
    <font>
      <sz val="10"/>
      <name val="Consolas"/>
      <family val="3"/>
    </font>
    <font>
      <b/>
      <sz val="10"/>
      <color theme="1"/>
      <name val="Segoe UI"/>
      <family val="2"/>
    </font>
    <font>
      <b/>
      <sz val="10"/>
      <color theme="1"/>
      <name val="Consolas"/>
      <family val="3"/>
    </font>
    <font>
      <sz val="9"/>
      <color rgb="FF0070C0"/>
      <name val="Abadi"/>
      <family val="2"/>
    </font>
    <font>
      <sz val="9"/>
      <name val="Abadi"/>
      <family val="2"/>
    </font>
    <font>
      <b/>
      <sz val="10"/>
      <color rgb="FF0F1115"/>
      <name val="Abadi"/>
      <family val="2"/>
    </font>
    <font>
      <sz val="10"/>
      <color theme="1"/>
      <name val="Abadi"/>
      <family val="2"/>
    </font>
    <font>
      <b/>
      <sz val="10"/>
      <color theme="1"/>
      <name val="Abadi"/>
      <family val="2"/>
    </font>
    <font>
      <b/>
      <sz val="11"/>
      <color theme="1"/>
      <name val="Aptos Narrow"/>
      <family val="2"/>
      <scheme val="minor"/>
    </font>
    <font>
      <b/>
      <sz val="10"/>
      <color theme="0"/>
      <name val="Segoe UI"/>
      <family val="2"/>
    </font>
    <font>
      <b/>
      <sz val="12"/>
      <color theme="1"/>
      <name val="Segoe UI"/>
      <family val="2"/>
    </font>
    <font>
      <b/>
      <sz val="12"/>
      <color theme="1"/>
      <name val="Consolas"/>
      <family val="3"/>
    </font>
    <font>
      <b/>
      <sz val="14"/>
      <color theme="1"/>
      <name val="Biome"/>
      <family val="2"/>
    </font>
    <font>
      <sz val="14"/>
      <color theme="1"/>
      <name val="Biome"/>
      <family val="2"/>
    </font>
    <font>
      <sz val="11"/>
      <color rgb="FF0070C0"/>
      <name val="Biome"/>
      <family val="2"/>
    </font>
    <font>
      <b/>
      <sz val="11"/>
      <color rgb="FF0070C0"/>
      <name val="Biome"/>
      <family val="2"/>
    </font>
    <font>
      <i/>
      <sz val="11"/>
      <color rgb="FF0070C0"/>
      <name val="Biome"/>
      <family val="2"/>
    </font>
    <font>
      <b/>
      <i/>
      <sz val="11"/>
      <color rgb="FF0070C0"/>
      <name val="Biome"/>
      <family val="2"/>
    </font>
    <font>
      <sz val="11"/>
      <color theme="7" tint="-0.249977111117893"/>
      <name val="Biome"/>
      <family val="2"/>
    </font>
    <font>
      <b/>
      <sz val="11"/>
      <color theme="7" tint="-0.249977111117893"/>
      <name val="Biome"/>
      <family val="2"/>
    </font>
    <font>
      <i/>
      <sz val="11"/>
      <color theme="7" tint="-0.249977111117893"/>
      <name val="Biome"/>
      <family val="2"/>
    </font>
    <font>
      <sz val="11"/>
      <color theme="5" tint="-0.499984740745262"/>
      <name val="Biome"/>
      <family val="2"/>
    </font>
    <font>
      <b/>
      <sz val="11"/>
      <color theme="5" tint="-0.499984740745262"/>
      <name val="Biome"/>
      <family val="2"/>
    </font>
    <font>
      <i/>
      <sz val="11"/>
      <color theme="5" tint="-0.499984740745262"/>
      <name val="Biome"/>
      <family val="2"/>
    </font>
    <font>
      <b/>
      <i/>
      <sz val="11"/>
      <color theme="5" tint="-0.499984740745262"/>
      <name val="Biome"/>
      <family val="2"/>
    </font>
    <font>
      <b/>
      <sz val="11"/>
      <color rgb="FF833C0C"/>
      <name val="Biome"/>
      <family val="2"/>
    </font>
    <font>
      <sz val="11"/>
      <color rgb="FF833C0C"/>
      <name val="Biome"/>
      <family val="2"/>
    </font>
    <font>
      <sz val="11"/>
      <color rgb="FF548235"/>
      <name val="Biome"/>
      <family val="2"/>
    </font>
    <font>
      <b/>
      <sz val="11"/>
      <color rgb="FF548235"/>
      <name val="Biome"/>
      <family val="2"/>
    </font>
    <font>
      <i/>
      <sz val="11"/>
      <color rgb="FF548235"/>
      <name val="Biome"/>
      <family val="2"/>
    </font>
    <font>
      <sz val="11"/>
      <color theme="9" tint="-0.249977111117893"/>
      <name val="Biome"/>
      <family val="2"/>
    </font>
    <font>
      <b/>
      <sz val="11"/>
      <color theme="9" tint="-0.249977111117893"/>
      <name val="Biome"/>
      <family val="2"/>
    </font>
    <font>
      <i/>
      <sz val="11"/>
      <color theme="9" tint="-0.249977111117893"/>
      <name val="Biome"/>
      <family val="2"/>
    </font>
    <font>
      <i/>
      <sz val="11"/>
      <color rgb="FF833C0C"/>
      <name val="Biome"/>
      <family val="2"/>
    </font>
    <font>
      <b/>
      <i/>
      <sz val="11"/>
      <color rgb="FF833C0C"/>
      <name val="Biome"/>
      <family val="2"/>
    </font>
    <font>
      <sz val="11"/>
      <color rgb="FF7030A0"/>
      <name val="Biome"/>
      <family val="2"/>
    </font>
    <font>
      <b/>
      <sz val="11"/>
      <color rgb="FF7030A0"/>
      <name val="Biome"/>
      <family val="2"/>
    </font>
    <font>
      <i/>
      <sz val="11"/>
      <color rgb="FF7030A0"/>
      <name val="Biome"/>
      <family val="2"/>
    </font>
    <font>
      <b/>
      <sz val="11"/>
      <color theme="1"/>
      <name val="Biome"/>
      <family val="2"/>
    </font>
    <font>
      <sz val="11"/>
      <color theme="1"/>
      <name val="Biome"/>
      <family val="2"/>
    </font>
    <font>
      <b/>
      <i/>
      <sz val="11"/>
      <color rgb="FF7030A0"/>
      <name val="Biome"/>
      <family val="2"/>
    </font>
    <font>
      <b/>
      <i/>
      <sz val="11"/>
      <color rgb="FF548235"/>
      <name val="Biome"/>
      <family val="2"/>
    </font>
    <font>
      <b/>
      <sz val="11"/>
      <name val="Abadi"/>
      <family val="2"/>
    </font>
    <font>
      <b/>
      <sz val="9"/>
      <color theme="1"/>
      <name val="Abadi"/>
      <family val="2"/>
    </font>
    <font>
      <b/>
      <sz val="11"/>
      <color rgb="FF0F1115"/>
      <name val="Abadi"/>
      <family val="2"/>
    </font>
    <font>
      <sz val="10"/>
      <color rgb="FF0F1115"/>
      <name val="Segoe UI"/>
      <family val="2"/>
    </font>
    <font>
      <sz val="9"/>
      <color theme="1"/>
      <name val="Segoe UI"/>
      <family val="2"/>
    </font>
    <font>
      <sz val="9"/>
      <color rgb="FF0F1115"/>
      <name val="Segoe UI"/>
      <family val="2"/>
    </font>
    <font>
      <sz val="8"/>
      <name val="Aptos Narrow"/>
      <family val="2"/>
      <scheme val="minor"/>
    </font>
    <font>
      <b/>
      <sz val="9"/>
      <color rgb="FF0F1115"/>
      <name val="Segoe UI"/>
      <family val="2"/>
    </font>
    <font>
      <sz val="11"/>
      <color theme="1"/>
      <name val="Aptos Narrow"/>
      <family val="2"/>
      <scheme val="minor"/>
    </font>
    <font>
      <sz val="10"/>
      <color theme="0"/>
      <name val="Aptos Narrow"/>
      <family val="2"/>
      <scheme val="minor"/>
    </font>
    <font>
      <sz val="11"/>
      <name val="Abadi"/>
      <family val="2"/>
    </font>
    <font>
      <sz val="11"/>
      <color theme="5"/>
      <name val="Abadi"/>
      <family val="2"/>
    </font>
    <font>
      <sz val="11"/>
      <color rgb="FF00B050"/>
      <name val="Abadi"/>
      <family val="2"/>
    </font>
    <font>
      <sz val="11"/>
      <color rgb="FF0070C0"/>
      <name val="Abadi"/>
      <family val="2"/>
    </font>
    <font>
      <sz val="11"/>
      <color rgb="FFFF2525"/>
      <name val="Abadi"/>
      <family val="2"/>
    </font>
    <font>
      <sz val="11"/>
      <color rgb="FFFF0000"/>
      <name val="Abadi"/>
      <family val="2"/>
    </font>
    <font>
      <b/>
      <sz val="14"/>
      <color rgb="FFFFFFFF"/>
      <name val="Abadi"/>
      <family val="2"/>
    </font>
    <font>
      <b/>
      <sz val="11"/>
      <color rgb="FFFFFFFF"/>
      <name val="Abadi"/>
      <family val="2"/>
    </font>
    <font>
      <b/>
      <sz val="11"/>
      <color rgb="FF1F4E78"/>
      <name val="Abadi"/>
      <family val="2"/>
    </font>
    <font>
      <b/>
      <sz val="11"/>
      <color theme="0"/>
      <name val="Abadi"/>
      <family val="2"/>
    </font>
    <font>
      <sz val="11"/>
      <color theme="4" tint="0.79998168889431442"/>
      <name val="Abadi"/>
      <family val="2"/>
    </font>
    <font>
      <sz val="10"/>
      <color rgb="FF0F1115"/>
      <name val="Abadi"/>
      <family val="2"/>
    </font>
    <font>
      <sz val="11"/>
      <color theme="0"/>
      <name val="Aptos Narrow"/>
      <family val="2"/>
      <scheme val="minor"/>
    </font>
    <font>
      <sz val="11"/>
      <color theme="4"/>
      <name val="Aptos Narrow"/>
      <family val="2"/>
      <scheme val="minor"/>
    </font>
    <font>
      <sz val="9"/>
      <name val="Arial"/>
      <family val="2"/>
    </font>
    <font>
      <sz val="11"/>
      <name val="Aptos Narrow"/>
      <family val="2"/>
      <scheme val="minor"/>
    </font>
    <font>
      <sz val="11"/>
      <color rgb="FF000000"/>
      <name val="Aptos Narrow"/>
      <family val="2"/>
    </font>
    <font>
      <sz val="11"/>
      <color theme="1"/>
      <name val="Aptos Narrow"/>
      <family val="2"/>
    </font>
    <font>
      <sz val="11"/>
      <color rgb="FF0F1115"/>
      <name val="Aptos Narrow"/>
      <family val="2"/>
    </font>
    <font>
      <sz val="11"/>
      <color rgb="FF000000"/>
      <name val="Calibri"/>
      <family val="2"/>
    </font>
    <font>
      <sz val="11"/>
      <name val="Segoe UI"/>
      <family val="2"/>
    </font>
    <font>
      <sz val="9"/>
      <name val="Segoe UI"/>
      <family val="2"/>
    </font>
    <font>
      <sz val="11"/>
      <color theme="1"/>
      <name val="Segoe UI"/>
      <family val="2"/>
    </font>
  </fonts>
  <fills count="32">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rgb="FFFF8B8B"/>
        <bgColor indexed="64"/>
      </patternFill>
    </fill>
    <fill>
      <patternFill patternType="solid">
        <fgColor rgb="FFFFC9C9"/>
        <bgColor indexed="64"/>
      </patternFill>
    </fill>
    <fill>
      <patternFill patternType="solid">
        <fgColor rgb="FFFBE4D9"/>
        <bgColor indexed="64"/>
      </patternFill>
    </fill>
    <fill>
      <patternFill patternType="solid">
        <fgColor rgb="FFB2E6A2"/>
        <bgColor indexed="64"/>
      </patternFill>
    </fill>
    <fill>
      <patternFill patternType="solid">
        <fgColor theme="3" tint="0.749992370372631"/>
        <bgColor indexed="64"/>
      </patternFill>
    </fill>
    <fill>
      <patternFill patternType="solid">
        <fgColor rgb="FFD3E4F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2CFF1"/>
        <bgColor indexed="64"/>
      </patternFill>
    </fill>
    <fill>
      <patternFill patternType="solid">
        <fgColor theme="2" tint="-9.9978637043366805E-2"/>
        <bgColor indexed="64"/>
      </patternFill>
    </fill>
    <fill>
      <patternFill patternType="solid">
        <fgColor theme="1"/>
        <bgColor indexed="64"/>
      </patternFill>
    </fill>
    <fill>
      <patternFill patternType="solid">
        <fgColor rgb="FF1F4E78"/>
      </patternFill>
    </fill>
    <fill>
      <patternFill patternType="solid">
        <fgColor rgb="FFF8FBFD"/>
      </patternFill>
    </fill>
    <fill>
      <patternFill patternType="solid">
        <fgColor rgb="FFD9EAF7"/>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rgb="FFD9E2F3"/>
      </patternFill>
    </fill>
    <fill>
      <patternFill patternType="solid">
        <fgColor theme="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9" fontId="61" fillId="0" borderId="0" applyFont="0" applyFill="0" applyBorder="0" applyAlignment="0" applyProtection="0"/>
    <xf numFmtId="43" fontId="61" fillId="0" borderId="0" applyFont="0" applyFill="0" applyBorder="0" applyAlignment="0" applyProtection="0"/>
  </cellStyleXfs>
  <cellXfs count="323">
    <xf numFmtId="0" fontId="0" fillId="0" borderId="0" xfId="0"/>
    <xf numFmtId="0" fontId="2" fillId="0" borderId="0" xfId="0" applyFont="1"/>
    <xf numFmtId="0" fontId="2" fillId="0" borderId="0" xfId="0" applyFont="1" applyAlignment="1">
      <alignment horizontal="center"/>
    </xf>
    <xf numFmtId="0" fontId="5" fillId="0" borderId="0" xfId="0" applyFont="1"/>
    <xf numFmtId="0" fontId="5" fillId="0" borderId="1" xfId="0" applyFont="1" applyBorder="1"/>
    <xf numFmtId="0" fontId="5" fillId="0" borderId="1"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right" vertical="center" wrapText="1" inden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9" fillId="0" borderId="0" xfId="0" applyFont="1" applyAlignment="1">
      <alignment vertical="center"/>
    </xf>
    <xf numFmtId="0" fontId="10" fillId="0" borderId="0" xfId="0" applyFont="1"/>
    <xf numFmtId="0" fontId="1" fillId="0" borderId="1" xfId="0" applyFont="1" applyBorder="1" applyAlignment="1">
      <alignment horizontal="right" vertical="center" wrapText="1" indent="1"/>
    </xf>
    <xf numFmtId="0" fontId="8" fillId="0" borderId="1" xfId="0" applyFont="1" applyBorder="1" applyAlignment="1">
      <alignment horizontal="right" vertical="center" wrapText="1" indent="1"/>
    </xf>
    <xf numFmtId="0" fontId="12" fillId="5"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center" wrapText="1"/>
    </xf>
    <xf numFmtId="0" fontId="4" fillId="7" borderId="1" xfId="0" applyFont="1" applyFill="1" applyBorder="1" applyAlignment="1">
      <alignment horizontal="center" vertical="center" wrapText="1"/>
    </xf>
    <xf numFmtId="0" fontId="10" fillId="0" borderId="0" xfId="0" applyFont="1" applyAlignment="1">
      <alignment vertical="top"/>
    </xf>
    <xf numFmtId="0" fontId="1" fillId="0" borderId="0" xfId="0" applyFont="1" applyAlignment="1">
      <alignment horizontal="right" vertical="top" wrapText="1"/>
    </xf>
    <xf numFmtId="0" fontId="0" fillId="0" borderId="0" xfId="0" applyAlignment="1">
      <alignment vertical="top"/>
    </xf>
    <xf numFmtId="0" fontId="14" fillId="2" borderId="1" xfId="0" applyFont="1" applyFill="1" applyBorder="1" applyAlignment="1">
      <alignment horizontal="right" vertical="center" wrapText="1" indent="1"/>
    </xf>
    <xf numFmtId="0" fontId="15"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0" xfId="0" applyFont="1"/>
    <xf numFmtId="0" fontId="16" fillId="0" borderId="0" xfId="0" applyFont="1" applyAlignment="1">
      <alignment vertical="center"/>
    </xf>
    <xf numFmtId="0" fontId="17" fillId="0" borderId="0" xfId="0" applyFont="1"/>
    <xf numFmtId="0" fontId="18" fillId="4" borderId="1" xfId="0" applyFont="1" applyFill="1" applyBorder="1" applyAlignment="1">
      <alignment horizontal="center" vertical="center" wrapText="1"/>
    </xf>
    <xf numFmtId="0" fontId="17" fillId="0" borderId="1" xfId="0" applyFont="1" applyBorder="1" applyAlignment="1">
      <alignment horizontal="right" vertical="center" wrapText="1" indent="1"/>
    </xf>
    <xf numFmtId="0" fontId="12" fillId="8" borderId="1" xfId="0" applyFont="1" applyFill="1" applyBorder="1" applyAlignment="1">
      <alignment horizontal="center" vertical="center" wrapText="1"/>
    </xf>
    <xf numFmtId="0" fontId="2" fillId="0" borderId="0" xfId="0" applyFont="1" applyAlignment="1">
      <alignment horizontal="center" wrapText="1"/>
    </xf>
    <xf numFmtId="0" fontId="17" fillId="0" borderId="1" xfId="0" applyFont="1" applyBorder="1" applyAlignment="1">
      <alignment horizontal="center" vertical="center" wrapText="1"/>
    </xf>
    <xf numFmtId="0" fontId="20"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21" fillId="5" borderId="1" xfId="0" applyFont="1" applyFill="1" applyBorder="1" applyAlignment="1">
      <alignment horizontal="right" vertical="center" wrapText="1" indent="1"/>
    </xf>
    <xf numFmtId="0" fontId="22" fillId="5" borderId="1" xfId="0" applyFont="1" applyFill="1" applyBorder="1" applyAlignment="1">
      <alignment horizontal="center" vertical="center" wrapText="1"/>
    </xf>
    <xf numFmtId="0" fontId="25" fillId="18" borderId="1" xfId="0" applyFont="1" applyFill="1" applyBorder="1" applyAlignment="1">
      <alignment vertical="center" wrapText="1"/>
    </xf>
    <xf numFmtId="0" fontId="25" fillId="18"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46" fillId="20" borderId="1" xfId="0" applyFont="1" applyFill="1" applyBorder="1" applyAlignment="1">
      <alignment horizontal="left" vertical="center" wrapText="1"/>
    </xf>
    <xf numFmtId="0" fontId="49" fillId="0" borderId="1" xfId="0" applyFont="1" applyBorder="1" applyAlignment="1">
      <alignment horizontal="center" vertical="center"/>
    </xf>
    <xf numFmtId="0" fontId="49" fillId="0" borderId="1" xfId="0" applyFont="1" applyBorder="1" applyAlignment="1">
      <alignment horizontal="center" vertical="center" wrapText="1"/>
    </xf>
    <xf numFmtId="0" fontId="49" fillId="5" borderId="1" xfId="0" applyFont="1" applyFill="1" applyBorder="1" applyAlignment="1">
      <alignment horizontal="center" vertical="center" wrapText="1"/>
    </xf>
    <xf numFmtId="0" fontId="49" fillId="20" borderId="1" xfId="0" applyFont="1" applyFill="1" applyBorder="1" applyAlignment="1">
      <alignment horizontal="center" vertical="center" wrapText="1"/>
    </xf>
    <xf numFmtId="0" fontId="49" fillId="9" borderId="1" xfId="0" applyFont="1" applyFill="1" applyBorder="1" applyAlignment="1">
      <alignment horizontal="center" vertical="center" wrapText="1"/>
    </xf>
    <xf numFmtId="0" fontId="49" fillId="18" borderId="1" xfId="0" applyFont="1" applyFill="1" applyBorder="1" applyAlignment="1">
      <alignment horizontal="center" vertical="center" wrapText="1"/>
    </xf>
    <xf numFmtId="0" fontId="50" fillId="0" borderId="1" xfId="0" applyFont="1" applyBorder="1" applyAlignment="1">
      <alignment horizontal="center" vertical="center"/>
    </xf>
    <xf numFmtId="0" fontId="41" fillId="9" borderId="1" xfId="0" applyFont="1" applyFill="1" applyBorder="1" applyAlignment="1">
      <alignment vertical="center" wrapText="1"/>
    </xf>
    <xf numFmtId="0" fontId="46" fillId="20" borderId="1" xfId="0" applyFont="1" applyFill="1" applyBorder="1" applyAlignment="1">
      <alignment vertical="center" wrapText="1"/>
    </xf>
    <xf numFmtId="0" fontId="0" fillId="0" borderId="0" xfId="0" applyAlignment="1">
      <alignment wrapText="1"/>
    </xf>
    <xf numFmtId="0" fontId="19" fillId="0" borderId="0" xfId="0" applyFont="1" applyAlignment="1">
      <alignment horizontal="center" vertical="center" wrapText="1"/>
    </xf>
    <xf numFmtId="0" fontId="0" fillId="0" borderId="0" xfId="0"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wrapText="1"/>
    </xf>
    <xf numFmtId="0" fontId="4" fillId="5" borderId="1" xfId="0" applyFont="1" applyFill="1" applyBorder="1" applyAlignment="1">
      <alignment horizontal="center" vertical="center" wrapText="1"/>
    </xf>
    <xf numFmtId="0" fontId="4" fillId="0" borderId="0" xfId="0" applyFont="1" applyAlignment="1">
      <alignment horizontal="center" vertical="center"/>
    </xf>
    <xf numFmtId="0" fontId="4" fillId="21" borderId="1" xfId="0" applyFont="1" applyFill="1" applyBorder="1" applyAlignment="1">
      <alignment horizontal="center" vertical="center"/>
    </xf>
    <xf numFmtId="0" fontId="4" fillId="21" borderId="1" xfId="0" applyFont="1" applyFill="1" applyBorder="1" applyAlignment="1">
      <alignment horizontal="center" wrapText="1"/>
    </xf>
    <xf numFmtId="0" fontId="4" fillId="21" borderId="1" xfId="0" applyFont="1" applyFill="1" applyBorder="1" applyAlignment="1">
      <alignment horizontal="center" vertical="center" wrapText="1"/>
    </xf>
    <xf numFmtId="0" fontId="5" fillId="0" borderId="0" xfId="0" applyFont="1" applyAlignment="1">
      <alignment horizontal="center" vertical="center"/>
    </xf>
    <xf numFmtId="0" fontId="4" fillId="19" borderId="1" xfId="0" applyFont="1" applyFill="1" applyBorder="1" applyAlignment="1">
      <alignment horizontal="center" vertical="center"/>
    </xf>
    <xf numFmtId="0" fontId="4" fillId="19" borderId="1" xfId="0" applyFont="1" applyFill="1" applyBorder="1" applyAlignment="1">
      <alignment horizontal="center" wrapText="1"/>
    </xf>
    <xf numFmtId="0" fontId="4" fillId="19" borderId="1" xfId="0" applyFont="1" applyFill="1" applyBorder="1" applyAlignment="1">
      <alignment horizontal="center" vertical="center" wrapText="1"/>
    </xf>
    <xf numFmtId="0" fontId="4" fillId="0" borderId="0" xfId="0" applyFont="1" applyAlignment="1">
      <alignment horizontal="center" vertical="center" wrapText="1"/>
    </xf>
    <xf numFmtId="9" fontId="0" fillId="0" borderId="0" xfId="0" applyNumberFormat="1" applyAlignment="1">
      <alignment horizontal="right" vertical="center" wrapText="1"/>
    </xf>
    <xf numFmtId="10" fontId="0" fillId="0" borderId="0" xfId="0" applyNumberFormat="1" applyAlignment="1">
      <alignment horizontal="righ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0" fillId="0" borderId="0" xfId="0"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xf>
    <xf numFmtId="0" fontId="22" fillId="5" borderId="1" xfId="0" applyFont="1" applyFill="1" applyBorder="1" applyAlignment="1">
      <alignment vertical="center" wrapText="1"/>
    </xf>
    <xf numFmtId="0" fontId="22" fillId="0" borderId="0" xfId="0" applyFont="1" applyAlignment="1">
      <alignment vertical="center" wrapText="1"/>
    </xf>
    <xf numFmtId="0" fontId="2" fillId="0" borderId="1" xfId="0" applyFont="1" applyBorder="1" applyAlignment="1">
      <alignment horizontal="left" vertical="center" wrapText="1"/>
    </xf>
    <xf numFmtId="0" fontId="53" fillId="0" borderId="1" xfId="0" applyFont="1" applyBorder="1" applyAlignment="1">
      <alignment vertical="center" wrapText="1"/>
    </xf>
    <xf numFmtId="0" fontId="14" fillId="2" borderId="1" xfId="0" applyFont="1" applyFill="1" applyBorder="1" applyAlignment="1">
      <alignment horizontal="center" vertical="center" wrapText="1"/>
    </xf>
    <xf numFmtId="0" fontId="5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2" fontId="8"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0" fontId="55" fillId="2" borderId="1" xfId="0" applyFont="1" applyFill="1" applyBorder="1" applyAlignment="1">
      <alignment horizontal="left" vertical="center" indent="1"/>
    </xf>
    <xf numFmtId="0" fontId="55" fillId="2" borderId="1" xfId="0" applyFont="1" applyFill="1" applyBorder="1" applyAlignment="1">
      <alignment horizontal="right" vertical="center" wrapText="1" indent="1"/>
    </xf>
    <xf numFmtId="2" fontId="55" fillId="2" borderId="1" xfId="0" applyNumberFormat="1" applyFont="1" applyFill="1" applyBorder="1" applyAlignment="1">
      <alignment horizontal="center" vertical="center" wrapText="1"/>
    </xf>
    <xf numFmtId="2" fontId="3" fillId="2" borderId="1" xfId="0" applyNumberFormat="1" applyFont="1" applyFill="1" applyBorder="1"/>
    <xf numFmtId="2" fontId="55" fillId="2" borderId="1" xfId="0" applyNumberFormat="1" applyFont="1" applyFill="1" applyBorder="1" applyAlignment="1">
      <alignment horizontal="right" vertical="center" wrapText="1" indent="1"/>
    </xf>
    <xf numFmtId="2" fontId="4" fillId="5"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xf>
    <xf numFmtId="0" fontId="5" fillId="0" borderId="1" xfId="0" applyFont="1" applyBorder="1" applyAlignment="1">
      <alignment vertical="center" wrapText="1"/>
    </xf>
    <xf numFmtId="2" fontId="4" fillId="21" borderId="1" xfId="0" applyNumberFormat="1" applyFont="1" applyFill="1" applyBorder="1" applyAlignment="1">
      <alignment horizontal="center" vertical="center" wrapText="1"/>
    </xf>
    <xf numFmtId="2" fontId="4" fillId="21" borderId="1" xfId="0" applyNumberFormat="1" applyFont="1" applyFill="1" applyBorder="1" applyAlignment="1">
      <alignment horizontal="center" vertical="center"/>
    </xf>
    <xf numFmtId="2" fontId="4" fillId="19" borderId="1" xfId="0" applyNumberFormat="1" applyFont="1" applyFill="1" applyBorder="1" applyAlignment="1">
      <alignment horizontal="center" vertical="center" wrapText="1"/>
    </xf>
    <xf numFmtId="2" fontId="4" fillId="19" borderId="1" xfId="0" applyNumberFormat="1" applyFont="1" applyFill="1" applyBorder="1" applyAlignment="1">
      <alignment horizontal="center" vertical="center"/>
    </xf>
    <xf numFmtId="2" fontId="5" fillId="0" borderId="1" xfId="0" applyNumberFormat="1" applyFont="1" applyBorder="1" applyAlignment="1">
      <alignment horizontal="center" wrapText="1"/>
    </xf>
    <xf numFmtId="2" fontId="17" fillId="0" borderId="1" xfId="0" applyNumberFormat="1" applyFont="1" applyBorder="1" applyAlignment="1">
      <alignment horizontal="center"/>
    </xf>
    <xf numFmtId="0" fontId="24"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xf>
    <xf numFmtId="0" fontId="3" fillId="0" borderId="1" xfId="0" applyFont="1" applyBorder="1" applyAlignment="1">
      <alignment horizontal="center" vertical="center" wrapText="1"/>
    </xf>
    <xf numFmtId="0" fontId="3" fillId="18"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19" fillId="3" borderId="1" xfId="0" applyFont="1" applyFill="1" applyBorder="1" applyAlignment="1">
      <alignment wrapText="1"/>
    </xf>
    <xf numFmtId="0" fontId="19" fillId="3" borderId="1" xfId="0" applyFont="1" applyFill="1" applyBorder="1" applyAlignment="1">
      <alignment horizontal="center" vertical="center"/>
    </xf>
    <xf numFmtId="0" fontId="19" fillId="5" borderId="1" xfId="0" applyFont="1" applyFill="1" applyBorder="1" applyAlignment="1">
      <alignment wrapText="1"/>
    </xf>
    <xf numFmtId="0" fontId="19" fillId="5" borderId="1" xfId="0" applyFont="1" applyFill="1" applyBorder="1" applyAlignment="1">
      <alignment horizontal="center" vertical="center"/>
    </xf>
    <xf numFmtId="0" fontId="19" fillId="6" borderId="1" xfId="0" applyFont="1" applyFill="1" applyBorder="1" applyAlignment="1">
      <alignment wrapText="1"/>
    </xf>
    <xf numFmtId="0" fontId="19" fillId="6" borderId="1" xfId="0" applyFont="1" applyFill="1" applyBorder="1" applyAlignment="1">
      <alignment horizontal="center" vertical="center"/>
    </xf>
    <xf numFmtId="0" fontId="19" fillId="7" borderId="1" xfId="0" applyFont="1" applyFill="1" applyBorder="1" applyAlignment="1">
      <alignment wrapText="1"/>
    </xf>
    <xf numFmtId="0" fontId="19" fillId="7" borderId="1" xfId="0" applyFont="1" applyFill="1" applyBorder="1" applyAlignment="1">
      <alignment horizontal="center" vertical="center"/>
    </xf>
    <xf numFmtId="0" fontId="19" fillId="19" borderId="1" xfId="0" applyFont="1" applyFill="1" applyBorder="1" applyAlignment="1">
      <alignment wrapText="1"/>
    </xf>
    <xf numFmtId="0" fontId="19" fillId="19" borderId="1" xfId="0" applyFont="1" applyFill="1" applyBorder="1" applyAlignment="1">
      <alignment horizontal="center" vertical="center"/>
    </xf>
    <xf numFmtId="0" fontId="57" fillId="0" borderId="0" xfId="0" applyFont="1" applyAlignment="1">
      <alignment horizontal="left" vertical="center" wrapText="1" indent="1"/>
    </xf>
    <xf numFmtId="0" fontId="56" fillId="0" borderId="0" xfId="0" applyFont="1" applyAlignment="1">
      <alignment horizontal="left" vertical="center" wrapText="1" indent="1"/>
    </xf>
    <xf numFmtId="0" fontId="58" fillId="2" borderId="1" xfId="0" applyFont="1" applyFill="1" applyBorder="1" applyAlignment="1">
      <alignment horizontal="left" vertical="center" wrapText="1" indent="1"/>
    </xf>
    <xf numFmtId="0" fontId="3" fillId="7" borderId="1" xfId="0" applyFont="1" applyFill="1" applyBorder="1" applyAlignment="1">
      <alignment horizontal="center" vertical="center" wrapText="1"/>
    </xf>
    <xf numFmtId="0" fontId="3" fillId="7" borderId="1" xfId="0" applyFont="1" applyFill="1" applyBorder="1" applyAlignment="1">
      <alignment horizontal="center" vertical="center"/>
    </xf>
    <xf numFmtId="2" fontId="2" fillId="0" borderId="1" xfId="0" applyNumberFormat="1" applyFont="1" applyBorder="1" applyAlignment="1">
      <alignment horizontal="center"/>
    </xf>
    <xf numFmtId="0" fontId="2" fillId="0" borderId="1" xfId="0" applyFont="1" applyBorder="1" applyAlignment="1">
      <alignment wrapText="1"/>
    </xf>
    <xf numFmtId="0" fontId="2" fillId="22" borderId="1" xfId="0" applyFont="1" applyFill="1" applyBorder="1"/>
    <xf numFmtId="0" fontId="18" fillId="18" borderId="1" xfId="0" applyFont="1" applyFill="1" applyBorder="1" applyAlignment="1">
      <alignment horizontal="center" vertical="center" wrapText="1"/>
    </xf>
    <xf numFmtId="2" fontId="4" fillId="18" borderId="1" xfId="0" applyNumberFormat="1" applyFont="1" applyFill="1" applyBorder="1" applyAlignment="1">
      <alignment horizontal="center" wrapText="1"/>
    </xf>
    <xf numFmtId="0" fontId="4" fillId="18" borderId="1" xfId="0" applyFont="1" applyFill="1" applyBorder="1" applyAlignment="1">
      <alignment horizontal="center" wrapText="1"/>
    </xf>
    <xf numFmtId="0" fontId="4" fillId="0" borderId="0" xfId="0" applyFont="1"/>
    <xf numFmtId="0" fontId="3" fillId="18" borderId="1" xfId="0" applyFont="1" applyFill="1" applyBorder="1"/>
    <xf numFmtId="0" fontId="3" fillId="18" borderId="1" xfId="0" applyFont="1" applyFill="1" applyBorder="1" applyAlignment="1">
      <alignment horizontal="center" vertical="center"/>
    </xf>
    <xf numFmtId="2" fontId="3" fillId="18" borderId="1" xfId="0" applyNumberFormat="1" applyFont="1" applyFill="1" applyBorder="1" applyAlignment="1">
      <alignment horizontal="center"/>
    </xf>
    <xf numFmtId="0" fontId="2" fillId="7" borderId="1" xfId="0" applyFont="1" applyFill="1" applyBorder="1" applyAlignment="1">
      <alignment vertical="center" wrapText="1"/>
    </xf>
    <xf numFmtId="0" fontId="3" fillId="0" borderId="0" xfId="0" applyFont="1" applyAlignment="1">
      <alignment vertical="center" wrapText="1"/>
    </xf>
    <xf numFmtId="0" fontId="57" fillId="0" borderId="0" xfId="0" applyFont="1" applyAlignment="1">
      <alignment horizontal="right" vertical="center" wrapText="1" indent="1"/>
    </xf>
    <xf numFmtId="0" fontId="58" fillId="2" borderId="0" xfId="0" applyFont="1" applyFill="1" applyAlignment="1">
      <alignment horizontal="right" vertical="center" wrapText="1" indent="1"/>
    </xf>
    <xf numFmtId="0" fontId="58" fillId="2" borderId="1" xfId="0" applyFont="1" applyFill="1" applyBorder="1" applyAlignment="1">
      <alignment horizontal="right" vertical="center" wrapText="1" indent="1"/>
    </xf>
    <xf numFmtId="0" fontId="62" fillId="0" borderId="0" xfId="0" applyFont="1"/>
    <xf numFmtId="0" fontId="8" fillId="15"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8" fillId="17" borderId="1" xfId="0" applyFont="1" applyFill="1" applyBorder="1" applyAlignment="1">
      <alignment horizontal="left" vertical="top" wrapText="1"/>
    </xf>
    <xf numFmtId="0" fontId="8" fillId="14" borderId="1" xfId="0" applyFont="1" applyFill="1" applyBorder="1" applyAlignment="1">
      <alignment horizontal="left" vertical="top" wrapText="1"/>
    </xf>
    <xf numFmtId="0" fontId="8" fillId="13" borderId="1" xfId="0" applyFont="1" applyFill="1" applyBorder="1" applyAlignment="1">
      <alignment horizontal="left" vertical="top" wrapText="1"/>
    </xf>
    <xf numFmtId="0" fontId="11" fillId="15"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3" fillId="0" borderId="0" xfId="0" applyFont="1" applyAlignment="1">
      <alignment horizontal="center"/>
    </xf>
    <xf numFmtId="0" fontId="3" fillId="0" borderId="0" xfId="0" applyFont="1" applyAlignment="1">
      <alignment horizontal="center" vertical="center"/>
    </xf>
    <xf numFmtId="0" fontId="64" fillId="0" borderId="1" xfId="0" applyFont="1" applyBorder="1" applyAlignment="1">
      <alignment vertical="center" wrapText="1"/>
    </xf>
    <xf numFmtId="0" fontId="65" fillId="0" borderId="1" xfId="0" applyFont="1" applyBorder="1" applyAlignment="1">
      <alignment vertical="center" wrapText="1"/>
    </xf>
    <xf numFmtId="0" fontId="66" fillId="0" borderId="1" xfId="0" applyFont="1" applyBorder="1" applyAlignment="1">
      <alignment vertical="center" wrapText="1"/>
    </xf>
    <xf numFmtId="0" fontId="67" fillId="0" borderId="1" xfId="0" applyFont="1" applyBorder="1" applyAlignment="1">
      <alignment vertical="center" wrapText="1"/>
    </xf>
    <xf numFmtId="0" fontId="68" fillId="0" borderId="1" xfId="0" applyFont="1" applyBorder="1" applyAlignment="1">
      <alignment vertical="center" wrapText="1"/>
    </xf>
    <xf numFmtId="0" fontId="63" fillId="0" borderId="0" xfId="0" applyFont="1" applyAlignment="1">
      <alignment vertical="top" wrapText="1"/>
    </xf>
    <xf numFmtId="0" fontId="63" fillId="0" borderId="0" xfId="0" applyFont="1"/>
    <xf numFmtId="0" fontId="63" fillId="24" borderId="0" xfId="0" applyFont="1" applyFill="1" applyAlignment="1">
      <alignment wrapText="1"/>
    </xf>
    <xf numFmtId="0" fontId="63" fillId="0" borderId="0" xfId="0" applyFont="1" applyAlignment="1">
      <alignment horizontal="center" vertical="center"/>
    </xf>
    <xf numFmtId="0" fontId="70" fillId="0" borderId="0" xfId="0" applyFont="1" applyAlignment="1">
      <alignment horizontal="left" vertical="center" wrapText="1"/>
    </xf>
    <xf numFmtId="0" fontId="71" fillId="25" borderId="0" xfId="0" applyFont="1" applyFill="1" applyAlignment="1">
      <alignment horizontal="center" vertical="center" wrapText="1"/>
    </xf>
    <xf numFmtId="0" fontId="63" fillId="0" borderId="0" xfId="0" applyFont="1" applyAlignment="1">
      <alignment horizontal="center" vertical="center" wrapText="1"/>
    </xf>
    <xf numFmtId="0" fontId="71" fillId="25" borderId="4" xfId="0" applyFont="1" applyFill="1" applyBorder="1" applyAlignment="1">
      <alignment horizontal="center" vertical="center" wrapText="1"/>
    </xf>
    <xf numFmtId="0" fontId="71" fillId="25" borderId="5" xfId="0" applyFont="1" applyFill="1" applyBorder="1" applyAlignment="1">
      <alignment horizontal="center" vertical="center" wrapText="1"/>
    </xf>
    <xf numFmtId="0" fontId="63" fillId="0" borderId="0" xfId="0" applyFont="1" applyAlignment="1">
      <alignment wrapText="1"/>
    </xf>
    <xf numFmtId="0" fontId="63" fillId="0" borderId="0" xfId="0" applyFont="1" applyAlignment="1">
      <alignment vertical="center" wrapText="1"/>
    </xf>
    <xf numFmtId="1" fontId="2" fillId="26" borderId="4" xfId="0" applyNumberFormat="1" applyFont="1" applyFill="1" applyBorder="1" applyAlignment="1">
      <alignment horizontal="center" vertical="center"/>
    </xf>
    <xf numFmtId="164" fontId="2" fillId="26" borderId="4" xfId="0" applyNumberFormat="1" applyFont="1" applyFill="1" applyBorder="1" applyAlignment="1">
      <alignment horizontal="center" vertical="center"/>
    </xf>
    <xf numFmtId="2" fontId="2" fillId="26" borderId="4" xfId="0" applyNumberFormat="1" applyFont="1" applyFill="1" applyBorder="1" applyAlignment="1">
      <alignment horizontal="center" vertical="center"/>
    </xf>
    <xf numFmtId="0" fontId="2" fillId="26" borderId="5" xfId="0" applyFont="1" applyFill="1" applyBorder="1" applyAlignment="1">
      <alignment vertical="center"/>
    </xf>
    <xf numFmtId="1" fontId="2" fillId="0" borderId="4" xfId="0" applyNumberFormat="1" applyFont="1" applyBorder="1" applyAlignment="1">
      <alignment horizontal="center" vertical="center"/>
    </xf>
    <xf numFmtId="164" fontId="2" fillId="0" borderId="4" xfId="0" applyNumberFormat="1" applyFont="1" applyBorder="1" applyAlignment="1">
      <alignment horizontal="center" vertical="center"/>
    </xf>
    <xf numFmtId="2" fontId="2" fillId="0" borderId="4" xfId="0" applyNumberFormat="1" applyFont="1" applyBorder="1" applyAlignment="1">
      <alignment horizontal="center" vertical="center"/>
    </xf>
    <xf numFmtId="0" fontId="2" fillId="0" borderId="5" xfId="0" applyFont="1" applyBorder="1" applyAlignment="1">
      <alignment vertical="center"/>
    </xf>
    <xf numFmtId="0" fontId="63" fillId="0" borderId="0" xfId="0" applyFont="1" applyAlignment="1">
      <alignment vertical="center"/>
    </xf>
    <xf numFmtId="0" fontId="2" fillId="0" borderId="4" xfId="0" applyFont="1" applyBorder="1" applyAlignment="1">
      <alignment horizontal="center" vertical="center"/>
    </xf>
    <xf numFmtId="0" fontId="72" fillId="27" borderId="0" xfId="0" applyFont="1" applyFill="1" applyAlignment="1">
      <alignment horizontal="center" vertical="center" wrapText="1"/>
    </xf>
    <xf numFmtId="0" fontId="73" fillId="0" borderId="0" xfId="0" applyFont="1" applyAlignment="1">
      <alignment wrapText="1"/>
    </xf>
    <xf numFmtId="0" fontId="66" fillId="0" borderId="0" xfId="0" applyFont="1"/>
    <xf numFmtId="0" fontId="14" fillId="0" borderId="1" xfId="0" applyFont="1" applyBorder="1" applyAlignment="1">
      <alignment horizontal="left" vertical="center" wrapText="1"/>
    </xf>
    <xf numFmtId="0" fontId="66" fillId="0" borderId="1" xfId="0" applyFont="1" applyBorder="1" applyAlignment="1">
      <alignment horizontal="center" vertical="center"/>
    </xf>
    <xf numFmtId="0" fontId="66" fillId="0" borderId="1" xfId="0" applyFont="1" applyBorder="1" applyAlignment="1">
      <alignment horizontal="left" vertical="center" wrapText="1"/>
    </xf>
    <xf numFmtId="0" fontId="14" fillId="2" borderId="1" xfId="0" applyFont="1" applyFill="1" applyBorder="1" applyAlignment="1">
      <alignment vertical="center" wrapText="1"/>
    </xf>
    <xf numFmtId="0" fontId="14" fillId="2" borderId="1" xfId="0" applyFont="1" applyFill="1" applyBorder="1" applyAlignment="1">
      <alignment horizontal="left" vertical="center" wrapText="1" indent="1"/>
    </xf>
    <xf numFmtId="0" fontId="15" fillId="2" borderId="1" xfId="0" applyFont="1" applyFill="1" applyBorder="1" applyAlignment="1">
      <alignment horizontal="center" vertical="center" wrapText="1"/>
    </xf>
    <xf numFmtId="0" fontId="15" fillId="2" borderId="1" xfId="0" applyFont="1" applyFill="1" applyBorder="1" applyAlignment="1">
      <alignment horizontal="right" vertical="center" wrapText="1" indent="1"/>
    </xf>
    <xf numFmtId="0" fontId="2" fillId="0" borderId="0" xfId="0" applyFont="1" applyAlignment="1">
      <alignment horizontal="center" vertical="center" wrapText="1"/>
    </xf>
    <xf numFmtId="0" fontId="63" fillId="0" borderId="1" xfId="0" applyFont="1" applyBorder="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0" fontId="17" fillId="0" borderId="0" xfId="0" applyFont="1" applyAlignment="1">
      <alignment horizontal="center" vertical="center"/>
    </xf>
    <xf numFmtId="0" fontId="62" fillId="28" borderId="0" xfId="0" applyFont="1" applyFill="1" applyAlignment="1">
      <alignment horizontal="center" vertical="center"/>
    </xf>
    <xf numFmtId="0" fontId="20" fillId="11" borderId="3"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2" fillId="16" borderId="3"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0" fillId="15"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18"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13" borderId="1" xfId="0" applyFont="1" applyFill="1" applyBorder="1" applyAlignment="1">
      <alignment horizontal="center" vertical="center"/>
    </xf>
    <xf numFmtId="9" fontId="62" fillId="29" borderId="1" xfId="1" applyFont="1" applyFill="1" applyBorder="1" applyAlignment="1">
      <alignment horizontal="center" vertical="center"/>
    </xf>
    <xf numFmtId="0" fontId="4" fillId="0" borderId="0" xfId="0" applyFont="1" applyAlignment="1">
      <alignment horizontal="center" wrapText="1"/>
    </xf>
    <xf numFmtId="2" fontId="4" fillId="6"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xf>
    <xf numFmtId="0" fontId="2" fillId="0" borderId="2" xfId="0" applyFont="1" applyBorder="1" applyAlignment="1">
      <alignment horizontal="center" vertical="center" wrapText="1"/>
    </xf>
    <xf numFmtId="0" fontId="72" fillId="27" borderId="10" xfId="0" applyFont="1" applyFill="1" applyBorder="1" applyAlignment="1">
      <alignment horizontal="center" vertical="center" wrapText="1"/>
    </xf>
    <xf numFmtId="0" fontId="66" fillId="26" borderId="1" xfId="0"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vertical="center"/>
    </xf>
    <xf numFmtId="2" fontId="0" fillId="0" borderId="1" xfId="0" applyNumberFormat="1" applyBorder="1" applyAlignment="1">
      <alignment vertical="center"/>
    </xf>
    <xf numFmtId="0" fontId="0" fillId="0" borderId="0" xfId="0" applyAlignment="1">
      <alignment vertical="center"/>
    </xf>
    <xf numFmtId="2" fontId="0" fillId="0" borderId="1" xfId="0" applyNumberFormat="1" applyBorder="1" applyAlignment="1">
      <alignment horizontal="center" vertical="center"/>
    </xf>
    <xf numFmtId="0" fontId="0" fillId="0" borderId="1" xfId="0" applyBorder="1" applyAlignment="1">
      <alignment horizontal="center" vertical="center" wrapText="1"/>
    </xf>
    <xf numFmtId="0" fontId="76" fillId="0" borderId="0" xfId="0" applyFont="1" applyAlignment="1">
      <alignment horizontal="center" vertical="center"/>
    </xf>
    <xf numFmtId="0" fontId="76" fillId="0" borderId="0" xfId="0" applyFont="1" applyAlignment="1">
      <alignment horizontal="center" vertical="center" wrapText="1"/>
    </xf>
    <xf numFmtId="0" fontId="77" fillId="0" borderId="11" xfId="0" applyFont="1" applyBorder="1" applyAlignment="1">
      <alignment horizontal="left" vertical="top" wrapText="1"/>
    </xf>
    <xf numFmtId="0" fontId="77" fillId="30" borderId="11" xfId="0" applyFont="1" applyFill="1" applyBorder="1" applyAlignment="1">
      <alignment horizontal="left" vertical="top" wrapText="1"/>
    </xf>
    <xf numFmtId="0" fontId="78" fillId="0" borderId="0" xfId="0" applyFont="1" applyAlignment="1">
      <alignment horizontal="center" vertical="center" wrapText="1"/>
    </xf>
    <xf numFmtId="0" fontId="63" fillId="0" borderId="0" xfId="0" applyFont="1" applyAlignment="1">
      <alignment horizontal="center"/>
    </xf>
    <xf numFmtId="0" fontId="63" fillId="0" borderId="0" xfId="0" applyFont="1" applyAlignment="1">
      <alignment horizontal="center" wrapText="1"/>
    </xf>
    <xf numFmtId="0" fontId="63" fillId="4"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vertical="center" wrapText="1"/>
    </xf>
    <xf numFmtId="0" fontId="2" fillId="0" borderId="7" xfId="0" applyFont="1" applyBorder="1" applyAlignment="1">
      <alignment wrapText="1"/>
    </xf>
    <xf numFmtId="0" fontId="72" fillId="27" borderId="1" xfId="0" applyFont="1" applyFill="1" applyBorder="1" applyAlignment="1">
      <alignment horizontal="center" vertical="center" wrapText="1"/>
    </xf>
    <xf numFmtId="0" fontId="2" fillId="0" borderId="1" xfId="0" applyFont="1" applyBorder="1" applyAlignment="1">
      <alignment horizontal="center" wrapText="1"/>
    </xf>
    <xf numFmtId="0" fontId="2" fillId="0" borderId="0" xfId="0" quotePrefix="1" applyFont="1"/>
    <xf numFmtId="0" fontId="63" fillId="4" borderId="1" xfId="0" applyFont="1" applyFill="1" applyBorder="1" applyAlignment="1">
      <alignment vertical="center" wrapText="1"/>
    </xf>
    <xf numFmtId="0" fontId="63" fillId="4" borderId="1" xfId="0" applyFont="1" applyFill="1" applyBorder="1" applyAlignment="1">
      <alignment horizontal="center" vertical="center" wrapText="1"/>
    </xf>
    <xf numFmtId="0" fontId="73" fillId="0" borderId="0" xfId="0" applyFont="1" applyAlignment="1">
      <alignment vertical="center" wrapText="1"/>
    </xf>
    <xf numFmtId="0" fontId="63" fillId="0" borderId="1" xfId="0" applyFont="1" applyBorder="1" applyAlignment="1">
      <alignment horizontal="left" vertical="center" wrapText="1"/>
    </xf>
    <xf numFmtId="0" fontId="19" fillId="0" borderId="1" xfId="0" applyFont="1" applyBorder="1" applyAlignment="1">
      <alignment horizontal="left" vertical="center" wrapText="1"/>
    </xf>
    <xf numFmtId="0" fontId="29" fillId="19"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49" fillId="19" borderId="1" xfId="0" applyFont="1" applyFill="1" applyBorder="1" applyAlignment="1">
      <alignment horizontal="center" vertical="center" wrapText="1"/>
    </xf>
    <xf numFmtId="0" fontId="32" fillId="5" borderId="1" xfId="0" applyFont="1" applyFill="1" applyBorder="1" applyAlignment="1">
      <alignment vertical="center" wrapText="1"/>
    </xf>
    <xf numFmtId="0" fontId="29" fillId="19" borderId="1" xfId="0" applyFont="1" applyFill="1" applyBorder="1" applyAlignment="1">
      <alignment vertical="center" wrapText="1"/>
    </xf>
    <xf numFmtId="0" fontId="75" fillId="31" borderId="0" xfId="0" applyFont="1" applyFill="1"/>
    <xf numFmtId="2" fontId="0" fillId="0" borderId="0" xfId="0" applyNumberFormat="1"/>
    <xf numFmtId="0" fontId="0" fillId="0" borderId="0" xfId="0" applyAlignment="1">
      <alignment horizontal="left"/>
    </xf>
    <xf numFmtId="0" fontId="19" fillId="0" borderId="0" xfId="0" applyFont="1"/>
    <xf numFmtId="0" fontId="19" fillId="0" borderId="0" xfId="0" applyFont="1" applyAlignment="1">
      <alignment wrapText="1"/>
    </xf>
    <xf numFmtId="0" fontId="19" fillId="0" borderId="0" xfId="0" applyFont="1" applyAlignment="1">
      <alignment vertical="center"/>
    </xf>
    <xf numFmtId="0" fontId="19" fillId="0" borderId="0" xfId="0" applyFont="1" applyAlignment="1">
      <alignment vertical="center" wrapText="1"/>
    </xf>
    <xf numFmtId="9" fontId="0" fillId="0" borderId="0" xfId="0" applyNumberFormat="1"/>
    <xf numFmtId="43" fontId="0" fillId="0" borderId="0" xfId="2" applyFont="1"/>
    <xf numFmtId="9" fontId="0" fillId="0" borderId="0" xfId="2" applyNumberFormat="1" applyFont="1"/>
    <xf numFmtId="43" fontId="0" fillId="0" borderId="0" xfId="0" applyNumberFormat="1"/>
    <xf numFmtId="43" fontId="19" fillId="0" borderId="0" xfId="0" applyNumberFormat="1" applyFont="1"/>
    <xf numFmtId="0" fontId="75" fillId="31" borderId="0" xfId="0" applyFont="1" applyFill="1" applyAlignment="1">
      <alignment wrapText="1"/>
    </xf>
    <xf numFmtId="2" fontId="19" fillId="0" borderId="0" xfId="0" applyNumberFormat="1" applyFont="1" applyAlignment="1">
      <alignment wrapText="1"/>
    </xf>
    <xf numFmtId="0" fontId="19" fillId="0" borderId="0" xfId="0" applyFont="1" applyAlignment="1">
      <alignment horizontal="center" vertical="center"/>
    </xf>
    <xf numFmtId="2" fontId="0" fillId="0" borderId="0" xfId="0" applyNumberFormat="1" applyAlignment="1">
      <alignment horizontal="center" vertical="center"/>
    </xf>
    <xf numFmtId="2" fontId="19" fillId="0" borderId="0" xfId="0" applyNumberFormat="1" applyFont="1" applyAlignment="1">
      <alignment horizontal="center" vertical="center"/>
    </xf>
    <xf numFmtId="2" fontId="0" fillId="0" borderId="0" xfId="0" applyNumberFormat="1" applyAlignment="1">
      <alignment horizontal="left"/>
    </xf>
    <xf numFmtId="0" fontId="0" fillId="0" borderId="0" xfId="0" applyAlignment="1">
      <alignment horizontal="left" vertical="center" wrapText="1"/>
    </xf>
    <xf numFmtId="0" fontId="79" fillId="0" borderId="0" xfId="0" applyFont="1" applyAlignment="1">
      <alignment horizontal="left" vertical="center" wrapText="1"/>
    </xf>
    <xf numFmtId="0" fontId="79" fillId="0" borderId="0" xfId="0" applyFont="1" applyAlignment="1">
      <alignment vertical="center" wrapText="1"/>
    </xf>
    <xf numFmtId="0" fontId="80" fillId="0" borderId="0" xfId="0" applyFont="1" applyAlignment="1">
      <alignment vertical="center" wrapText="1"/>
    </xf>
    <xf numFmtId="0" fontId="81" fillId="0" borderId="0" xfId="0" applyFont="1" applyAlignment="1">
      <alignment vertical="center" wrapText="1"/>
    </xf>
    <xf numFmtId="0" fontId="82" fillId="0" borderId="0" xfId="0" applyFont="1" applyAlignment="1">
      <alignment vertical="center" wrapText="1"/>
    </xf>
    <xf numFmtId="0" fontId="81" fillId="0" borderId="0" xfId="0" applyFont="1" applyAlignment="1">
      <alignment horizontal="left" vertical="center" wrapText="1"/>
    </xf>
    <xf numFmtId="0" fontId="79" fillId="0" borderId="0" xfId="0" applyFont="1" applyAlignment="1">
      <alignment horizontal="left" vertical="center"/>
    </xf>
    <xf numFmtId="0" fontId="83" fillId="0" borderId="0" xfId="0" applyFont="1" applyAlignment="1">
      <alignment horizontal="left" vertical="center" wrapText="1" indent="1"/>
    </xf>
    <xf numFmtId="0" fontId="84" fillId="0" borderId="0" xfId="0" applyFont="1" applyAlignment="1">
      <alignment horizontal="left" vertical="center" wrapText="1" indent="1"/>
    </xf>
    <xf numFmtId="0" fontId="80" fillId="0" borderId="0" xfId="0" applyFont="1" applyAlignment="1">
      <alignment vertical="center"/>
    </xf>
    <xf numFmtId="0" fontId="85" fillId="0" borderId="0" xfId="0" applyFont="1" applyAlignment="1">
      <alignment horizontal="left" vertical="center" wrapText="1" indent="1"/>
    </xf>
    <xf numFmtId="0" fontId="74" fillId="2" borderId="7" xfId="0" applyFont="1" applyFill="1" applyBorder="1" applyAlignment="1">
      <alignment horizontal="left" vertical="center" wrapText="1"/>
    </xf>
    <xf numFmtId="0" fontId="74" fillId="2" borderId="8" xfId="0" applyFont="1" applyFill="1" applyBorder="1" applyAlignment="1">
      <alignment horizontal="left" vertical="center" wrapText="1"/>
    </xf>
    <xf numFmtId="0" fontId="74" fillId="2" borderId="9" xfId="0" applyFont="1" applyFill="1" applyBorder="1" applyAlignment="1">
      <alignment horizontal="left" vertical="center" wrapText="1"/>
    </xf>
    <xf numFmtId="0" fontId="17"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60" fillId="7" borderId="1"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2" xfId="0" applyFont="1" applyFill="1" applyBorder="1" applyAlignment="1">
      <alignment horizontal="center" vertical="center"/>
    </xf>
    <xf numFmtId="0" fontId="2" fillId="18" borderId="3" xfId="0" applyFont="1" applyFill="1" applyBorder="1" applyAlignment="1">
      <alignment horizontal="center" vertical="center"/>
    </xf>
    <xf numFmtId="0" fontId="2" fillId="18" borderId="6" xfId="0" applyFont="1" applyFill="1" applyBorder="1" applyAlignment="1">
      <alignment horizontal="center" vertical="center"/>
    </xf>
    <xf numFmtId="0" fontId="2" fillId="18"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2" xfId="0" applyFont="1" applyFill="1" applyBorder="1" applyAlignment="1">
      <alignment horizontal="center" vertical="center"/>
    </xf>
    <xf numFmtId="0" fontId="69" fillId="23" borderId="0" xfId="0" applyFont="1" applyFill="1" applyAlignment="1">
      <alignment horizontal="center" vertical="top" wrapText="1"/>
    </xf>
    <xf numFmtId="0" fontId="75" fillId="31" borderId="0" xfId="0" applyFont="1" applyFill="1" applyAlignment="1">
      <alignment horizontal="center"/>
    </xf>
    <xf numFmtId="0" fontId="19" fillId="0" borderId="0" xfId="0" applyFont="1" applyAlignment="1">
      <alignment horizontal="center"/>
    </xf>
    <xf numFmtId="0" fontId="69" fillId="23" borderId="0" xfId="0" applyFont="1" applyFill="1" applyAlignment="1">
      <alignment horizontal="center" vertical="center" wrapText="1"/>
    </xf>
    <xf numFmtId="0" fontId="19" fillId="18" borderId="0" xfId="0" applyFont="1" applyFill="1" applyAlignment="1">
      <alignment horizontal="center" vertical="center"/>
    </xf>
    <xf numFmtId="0" fontId="50" fillId="0" borderId="1" xfId="0" applyFont="1" applyBorder="1" applyAlignment="1">
      <alignment horizontal="center" vertical="center" wrapText="1"/>
    </xf>
    <xf numFmtId="0" fontId="37" fillId="5" borderId="1" xfId="0" applyFont="1" applyFill="1" applyBorder="1" applyAlignment="1">
      <alignment vertical="center" wrapText="1"/>
    </xf>
    <xf numFmtId="0" fontId="38" fillId="9" borderId="1" xfId="0" applyFont="1" applyFill="1" applyBorder="1" applyAlignment="1">
      <alignment vertical="center" wrapText="1"/>
    </xf>
    <xf numFmtId="0" fontId="25" fillId="18" borderId="1" xfId="0" applyFont="1" applyFill="1" applyBorder="1" applyAlignment="1">
      <alignment vertical="center" wrapText="1"/>
    </xf>
    <xf numFmtId="0" fontId="29" fillId="19" borderId="1" xfId="0" applyFont="1" applyFill="1" applyBorder="1" applyAlignment="1">
      <alignment vertical="center" wrapText="1"/>
    </xf>
    <xf numFmtId="0" fontId="32" fillId="5" borderId="1" xfId="0" applyFont="1" applyFill="1" applyBorder="1" applyAlignment="1">
      <alignment vertical="center" wrapText="1"/>
    </xf>
    <xf numFmtId="0" fontId="41" fillId="9" borderId="1" xfId="0" applyFont="1" applyFill="1" applyBorder="1" applyAlignment="1">
      <alignment vertical="center" wrapText="1"/>
    </xf>
    <xf numFmtId="0" fontId="46" fillId="20" borderId="1" xfId="0" applyFont="1" applyFill="1" applyBorder="1" applyAlignment="1">
      <alignment vertical="center" wrapText="1"/>
    </xf>
    <xf numFmtId="0" fontId="25" fillId="18" borderId="1" xfId="0" applyFont="1" applyFill="1" applyBorder="1" applyAlignment="1">
      <alignment horizontal="left" vertical="center" wrapText="1"/>
    </xf>
    <xf numFmtId="0" fontId="46" fillId="20" borderId="1" xfId="0" applyFont="1" applyFill="1" applyBorder="1" applyAlignment="1">
      <alignment horizontal="left" vertical="center" wrapText="1"/>
    </xf>
    <xf numFmtId="0" fontId="29" fillId="19" borderId="1" xfId="0" applyFont="1" applyFill="1" applyBorder="1" applyAlignment="1">
      <alignment horizontal="left" vertical="center" wrapText="1"/>
    </xf>
    <xf numFmtId="0" fontId="19" fillId="0" borderId="1" xfId="0" applyFont="1" applyBorder="1" applyAlignment="1">
      <alignment horizontal="left" vertical="center" wrapText="1"/>
    </xf>
    <xf numFmtId="0" fontId="41" fillId="9" borderId="1" xfId="0" applyFont="1" applyFill="1" applyBorder="1" applyAlignment="1">
      <alignment horizontal="left" vertical="center" wrapText="1"/>
    </xf>
    <xf numFmtId="0" fontId="38" fillId="9" borderId="1" xfId="0" applyFont="1" applyFill="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cellXfs>
  <cellStyles count="3">
    <cellStyle name="Comma" xfId="2" builtinId="3"/>
    <cellStyle name="Normal" xfId="0" builtinId="0"/>
    <cellStyle name="Percent" xfId="1" builtinId="5"/>
  </cellStyles>
  <dxfs count="56">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numFmt numFmtId="1" formatCode="0"/>
    </dxf>
    <dxf>
      <numFmt numFmtId="1" formatCode="0"/>
    </dxf>
    <dxf>
      <numFmt numFmtId="1" formatCode="0"/>
    </dxf>
    <dxf>
      <numFmt numFmtId="1" formatCode="0"/>
    </dxf>
    <dxf>
      <font>
        <strike val="0"/>
        <outline val="0"/>
        <shadow val="0"/>
        <u val="none"/>
        <vertAlign val="baseline"/>
        <name val="Abadi"/>
        <family val="2"/>
        <scheme val="none"/>
      </font>
      <numFmt numFmtId="1" formatCode="0"/>
      <alignment vertical="center" textRotation="0" wrapText="0" indent="0" justifyLastLine="0" shrinkToFit="0" readingOrder="0"/>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strike val="0"/>
        <outline val="0"/>
        <shadow val="0"/>
        <u val="none"/>
        <vertAlign val="baseline"/>
        <name val="Abadi"/>
        <family val="2"/>
        <scheme val="none"/>
      </font>
    </dxf>
    <dxf>
      <font>
        <color rgb="FF9C0006"/>
      </font>
      <fill>
        <patternFill>
          <bgColor rgb="FFFFC7CE"/>
        </patternFill>
      </fill>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5"/>
      </font>
      <fill>
        <patternFill>
          <bgColor theme="5" tint="0.79998168889431442"/>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7030A0"/>
      </font>
      <fill>
        <patternFill>
          <bgColor rgb="FFFFB9D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002060"/>
      </font>
      <fill>
        <patternFill>
          <bgColor rgb="FFFFC1E0"/>
        </patternFill>
      </fill>
    </dxf>
  </dxfs>
  <tableStyles count="0" defaultTableStyle="TableStyleMedium2" defaultPivotStyle="PivotStyleLight16"/>
  <colors>
    <mruColors>
      <color rgb="FFFFB9DC"/>
      <color rgb="FFFFC9C9"/>
      <color rgb="FFB2E6A2"/>
      <color rgb="FFFF2525"/>
      <color rgb="FFFFC1E0"/>
      <color rgb="FFFF99CC"/>
      <color rgb="FFFF8B8B"/>
      <color rgb="FFFF7575"/>
      <color rgb="FFD3E4F5"/>
      <color rgb="FF8DD9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2.1606696016334144E-2"/>
          <c:y val="2.3497814333222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58034096577979"/>
          <c:y val="0.10724791008219055"/>
          <c:w val="0.58588132368311108"/>
          <c:h val="0.86693964836168425"/>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2.9658899304533842E-2"/>
                  <c:y val="5.0277258959059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F2-48FA-8620-4C4DD2F61066}"/>
                </c:ext>
              </c:extLst>
            </c:dLbl>
            <c:dLbl>
              <c:idx val="1"/>
              <c:layout>
                <c:manualLayout>
                  <c:x val="-2.9658899304533946E-2"/>
                  <c:y val="-7.681159163116867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F2-48FA-8620-4C4DD2F61066}"/>
                </c:ext>
              </c:extLst>
            </c:dLbl>
            <c:dLbl>
              <c:idx val="2"/>
              <c:layout>
                <c:manualLayout>
                  <c:x val="-2.116081922695362E-2"/>
                  <c:y val="-4.2277821882125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F2-48FA-8620-4C4DD2F61066}"/>
                </c:ext>
              </c:extLst>
            </c:dLbl>
            <c:dLbl>
              <c:idx val="3"/>
              <c:layout>
                <c:manualLayout>
                  <c:x val="1.8334260781150507E-2"/>
                  <c:y val="-2.85490178447418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F2-48FA-8620-4C4DD2F61066}"/>
                </c:ext>
              </c:extLst>
            </c:dLbl>
            <c:dLbl>
              <c:idx val="4"/>
              <c:layout>
                <c:manualLayout>
                  <c:x val="1.9772599536355896E-2"/>
                  <c:y val="8.3795431598432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F2-48FA-8620-4C4DD2F610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'Profile Summary'!$A$119:$A$123</c:f>
              <c:strCache>
                <c:ptCount val="5"/>
                <c:pt idx="0">
                  <c:v>Mental Agility</c:v>
                </c:pt>
                <c:pt idx="1">
                  <c:v>People Agility</c:v>
                </c:pt>
                <c:pt idx="2">
                  <c:v>Change Agility</c:v>
                </c:pt>
                <c:pt idx="3">
                  <c:v>Result Agility</c:v>
                </c:pt>
                <c:pt idx="4">
                  <c:v>Self Awareness</c:v>
                </c:pt>
              </c:strCache>
            </c:strRef>
          </c:cat>
          <c:val>
            <c:numRef>
              <c:f>'Profile Summary'!$B$119:$B$123</c:f>
              <c:numCache>
                <c:formatCode>0.00</c:formatCode>
                <c:ptCount val="5"/>
                <c:pt idx="0">
                  <c:v>2.5</c:v>
                </c:pt>
                <c:pt idx="1">
                  <c:v>3.1333333333333333</c:v>
                </c:pt>
                <c:pt idx="2">
                  <c:v>2.5</c:v>
                </c:pt>
                <c:pt idx="3">
                  <c:v>3.4166666666666665</c:v>
                </c:pt>
                <c:pt idx="4">
                  <c:v>3.6</c:v>
                </c:pt>
              </c:numCache>
            </c:numRef>
          </c:val>
          <c:extLst>
            <c:ext xmlns:c16="http://schemas.microsoft.com/office/drawing/2014/chart" uri="{C3380CC4-5D6E-409C-BE32-E72D297353CC}">
              <c16:uniqueId val="{00000000-D8F2-48FA-8620-4C4DD2F61066}"/>
            </c:ext>
          </c:extLst>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0F0"/>
                </a:solidFill>
                <a:latin typeface="+mn-lt"/>
                <a:ea typeface="+mn-ea"/>
                <a:cs typeface="+mn-cs"/>
              </a:defRPr>
            </a:pPr>
            <a:endParaRPr lang="en-US"/>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49584"/>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Dashboard!$A$17</c:f>
              <c:strCache>
                <c:ptCount val="1"/>
                <c:pt idx="0">
                  <c:v>Achievement Drive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Dashboard!$B$17:$E$17</c:f>
              <c:numCache>
                <c:formatCode>0.00</c:formatCode>
                <c:ptCount val="4"/>
                <c:pt idx="0">
                  <c:v>3.75</c:v>
                </c:pt>
                <c:pt idx="1">
                  <c:v>4.5</c:v>
                </c:pt>
                <c:pt idx="2">
                  <c:v>5</c:v>
                </c:pt>
                <c:pt idx="3">
                  <c:v>3.333333333333333</c:v>
                </c:pt>
              </c:numCache>
            </c:numRef>
          </c:val>
          <c:extLst>
            <c:ext xmlns:c16="http://schemas.microsoft.com/office/drawing/2014/chart" uri="{C3380CC4-5D6E-409C-BE32-E72D297353CC}">
              <c16:uniqueId val="{00000000-6CDD-4372-8D88-C2657A798D3A}"/>
            </c:ext>
          </c:extLst>
        </c:ser>
        <c:ser>
          <c:idx val="1"/>
          <c:order val="1"/>
          <c:tx>
            <c:strRef>
              <c:f>Dashboard!$A$18</c:f>
              <c:strCache>
                <c:ptCount val="1"/>
                <c:pt idx="0">
                  <c:v>Leadership</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Dashboard!$B$18:$E$18</c:f>
              <c:numCache>
                <c:formatCode>0.00</c:formatCode>
                <c:ptCount val="4"/>
                <c:pt idx="0">
                  <c:v>5</c:v>
                </c:pt>
                <c:pt idx="1">
                  <c:v>2.833333333333333</c:v>
                </c:pt>
                <c:pt idx="2">
                  <c:v>3</c:v>
                </c:pt>
                <c:pt idx="3">
                  <c:v>3.5</c:v>
                </c:pt>
              </c:numCache>
            </c:numRef>
          </c:val>
          <c:extLst>
            <c:ext xmlns:c16="http://schemas.microsoft.com/office/drawing/2014/chart" uri="{C3380CC4-5D6E-409C-BE32-E72D297353CC}">
              <c16:uniqueId val="{00000001-6CDD-4372-8D88-C2657A798D3A}"/>
            </c:ext>
          </c:extLst>
        </c:ser>
        <c:ser>
          <c:idx val="2"/>
          <c:order val="2"/>
          <c:tx>
            <c:strRef>
              <c:f>Dashboard!$A$19</c:f>
              <c:strCache>
                <c:ptCount val="1"/>
                <c:pt idx="0">
                  <c:v>Analytical Thinking</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Dashboard!$B$19:$E$19</c:f>
              <c:numCache>
                <c:formatCode>0.00</c:formatCode>
                <c:ptCount val="4"/>
                <c:pt idx="0">
                  <c:v>3.333333333333333</c:v>
                </c:pt>
                <c:pt idx="1">
                  <c:v>1.6666666666666665</c:v>
                </c:pt>
                <c:pt idx="2">
                  <c:v>5</c:v>
                </c:pt>
                <c:pt idx="3">
                  <c:v>5</c:v>
                </c:pt>
              </c:numCache>
            </c:numRef>
          </c:val>
          <c:extLst>
            <c:ext xmlns:c16="http://schemas.microsoft.com/office/drawing/2014/chart" uri="{C3380CC4-5D6E-409C-BE32-E72D297353CC}">
              <c16:uniqueId val="{00000002-6CDD-4372-8D88-C2657A798D3A}"/>
            </c:ext>
          </c:extLst>
        </c:ser>
        <c:dLbls>
          <c:showLegendKey val="0"/>
          <c:showVal val="0"/>
          <c:showCatName val="0"/>
          <c:showSerName val="0"/>
          <c:showPercent val="0"/>
          <c:showBubbleSize val="0"/>
        </c:dLbls>
        <c:gapWidth val="219"/>
        <c:overlap val="-27"/>
        <c:axId val="176839471"/>
        <c:axId val="1949614511"/>
      </c:barChart>
      <c:catAx>
        <c:axId val="17683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949614511"/>
        <c:crosses val="autoZero"/>
        <c:auto val="1"/>
        <c:lblAlgn val="ctr"/>
        <c:lblOffset val="100"/>
        <c:noMultiLvlLbl val="0"/>
      </c:catAx>
      <c:valAx>
        <c:axId val="1949614511"/>
        <c:scaling>
          <c:orientation val="minMax"/>
          <c:max val="5"/>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6839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119741</xdr:colOff>
      <xdr:row>124</xdr:row>
      <xdr:rowOff>103414</xdr:rowOff>
    </xdr:from>
    <xdr:to>
      <xdr:col>4</xdr:col>
      <xdr:colOff>326571</xdr:colOff>
      <xdr:row>156</xdr:row>
      <xdr:rowOff>141514</xdr:rowOff>
    </xdr:to>
    <xdr:graphicFrame macro="">
      <xdr:nvGraphicFramePr>
        <xdr:cNvPr id="3" name="Bagan 2">
          <a:extLst>
            <a:ext uri="{FF2B5EF4-FFF2-40B4-BE49-F238E27FC236}">
              <a16:creationId xmlns:a16="http://schemas.microsoft.com/office/drawing/2014/main" id="{DBEC4A6B-7159-E14C-ADF8-C8BC7495B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67237</xdr:colOff>
      <xdr:row>21</xdr:row>
      <xdr:rowOff>53790</xdr:rowOff>
    </xdr:from>
    <xdr:to>
      <xdr:col>6</xdr:col>
      <xdr:colOff>0</xdr:colOff>
      <xdr:row>38</xdr:row>
      <xdr:rowOff>89648</xdr:rowOff>
    </xdr:to>
    <xdr:graphicFrame macro="">
      <xdr:nvGraphicFramePr>
        <xdr:cNvPr id="2" name="Chart 1">
          <a:extLst>
            <a:ext uri="{FF2B5EF4-FFF2-40B4-BE49-F238E27FC236}">
              <a16:creationId xmlns:a16="http://schemas.microsoft.com/office/drawing/2014/main" id="{D4870385-6ED6-84C3-72E3-037C6D676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8EA26-B38A-4F11-8988-DDFF3BFD97C2}" name="FormPenilaianTable3" displayName="FormPenilaianTable3" ref="A14:P20" totalsRowShown="0" headerRowDxfId="29" dataDxfId="28" totalsRowDxfId="27">
  <tableColumns count="16">
    <tableColumn id="1" xr3:uid="{7D0A76F5-5ABD-45A5-AE0F-0FE3E32F552D}" name="No" dataDxfId="25" totalsRowDxfId="26"/>
    <tableColumn id="2" xr3:uid="{6C848F70-49B3-4719-8C6B-E5A98FFB3B7B}" name="Aspek Penilaian" dataDxfId="23" totalsRowDxfId="24"/>
    <tableColumn id="3" xr3:uid="{BC646E04-3F67-4051-9708-1800A82F004D}" name="Fokus Penilaian" dataDxfId="21" totalsRowDxfId="22"/>
    <tableColumn id="7" xr3:uid="{D6EC74B2-2FF8-4D4B-9251-DB6F6601C2FF}" name="Level 1_x000a_Belum Tampak" dataDxfId="19" totalsRowDxfId="20"/>
    <tableColumn id="8" xr3:uid="{13AA1BA1-71BB-4CEE-A77B-DEA650607651}" name="Level 2_x000a_Mulai Berkembang" dataDxfId="17" totalsRowDxfId="18"/>
    <tableColumn id="9" xr3:uid="{5D56767D-AAAB-4760-AC07-A85BF6DC9AF7}" name="Level 3_x000a_Sesuai Harapan" dataDxfId="15" totalsRowDxfId="16"/>
    <tableColumn id="10" xr3:uid="{3A7C366A-0211-493A-8E40-176EE2A4A1E2}" name="Level 4_x000a_Baik" dataDxfId="13" totalsRowDxfId="14"/>
    <tableColumn id="4" xr3:uid="{414C93CA-C08F-46C7-AD96-99C4932F4C7A}" name="Level 5_x000a_Sangat Baik" dataDxfId="11" totalsRowDxfId="12"/>
    <tableColumn id="5" xr3:uid="{13C44764-88AC-477E-B88E-4A361037FCDA}" name="Skor _x000a_Panelis 1" dataDxfId="10">
      <calculatedColumnFormula>RANDBETWEEN(1,5)</calculatedColumnFormula>
    </tableColumn>
    <tableColumn id="15" xr3:uid="{1AE738B2-E6FB-4B6A-8EF1-73E7A8ABAA01}" name="Skor _x000a_Panelis 2" dataDxfId="9">
      <calculatedColumnFormula>RANDBETWEEN(1,5)</calculatedColumnFormula>
    </tableColumn>
    <tableColumn id="14" xr3:uid="{D98309FD-3876-44F3-8CFE-4327A221708D}" name="Skor _x000a_Panelis 3" dataDxfId="8">
      <calculatedColumnFormula>RANDBETWEEN(1,5)</calculatedColumnFormula>
    </tableColumn>
    <tableColumn id="16" xr3:uid="{D441537B-3FBE-4030-9014-8C179F8276B0}" name="Skor _x000a_Panelis 4" dataDxfId="7">
      <calculatedColumnFormula>RANDBETWEEN(1,5)</calculatedColumnFormula>
    </tableColumn>
    <tableColumn id="17" xr3:uid="{0238B06D-66F9-4FFF-BB0C-6233B03FD363}" name="Rata - rata" dataDxfId="6">
      <calculatedColumnFormula>AVERAGE(FormPenilaianTable3[[#This Row],[Skor 
Panelis 1]:[Skor 
Panelis 4]])</calculatedColumnFormula>
    </tableColumn>
    <tableColumn id="6" xr3:uid="{F3E7A525-019B-42C9-930F-F77DDC3C9349}" name="Bobot Perilaku" dataDxfId="4" totalsRowDxfId="5"/>
    <tableColumn id="11" xr3:uid="{CF0EEF89-FAE2-401F-83C2-CF4390E43E49}" name="Nilai Tertimbang" dataDxfId="2" totalsRowDxfId="3"/>
    <tableColumn id="12" xr3:uid="{BFF3F767-6AE9-420A-B505-33354249006D}" name="Catatan Evaluator" dataDxfId="0"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F31B-FACD-4C4E-99F0-AD1CB4851E81}">
  <sheetPr>
    <tabColor theme="5" tint="0.59999389629810485"/>
  </sheetPr>
  <dimension ref="B2:D12"/>
  <sheetViews>
    <sheetView tabSelected="1" workbookViewId="0">
      <selection activeCell="E20" sqref="E20"/>
    </sheetView>
  </sheetViews>
  <sheetFormatPr defaultColWidth="8.85546875" defaultRowHeight="15"/>
  <cols>
    <col min="1" max="1" width="8.85546875" style="1"/>
    <col min="2" max="2" width="23.85546875" style="1" bestFit="1" customWidth="1"/>
    <col min="3" max="3" width="2.42578125" style="2" customWidth="1"/>
    <col min="4" max="4" width="39" style="1" customWidth="1"/>
    <col min="5" max="16384" width="8.85546875" style="1"/>
  </cols>
  <sheetData>
    <row r="2" spans="2:4">
      <c r="B2" s="1" t="s">
        <v>0</v>
      </c>
      <c r="C2" s="2" t="s">
        <v>1</v>
      </c>
    </row>
    <row r="3" spans="2:4">
      <c r="B3" s="1" t="s">
        <v>2</v>
      </c>
      <c r="C3" s="2" t="s">
        <v>1</v>
      </c>
    </row>
    <row r="4" spans="2:4">
      <c r="B4" s="1" t="s">
        <v>3</v>
      </c>
      <c r="C4" s="2" t="s">
        <v>1</v>
      </c>
      <c r="D4" s="1" t="s">
        <v>4</v>
      </c>
    </row>
    <row r="5" spans="2:4">
      <c r="B5" s="1" t="s">
        <v>5</v>
      </c>
      <c r="C5" s="2" t="s">
        <v>1</v>
      </c>
      <c r="D5" s="1" t="s">
        <v>6</v>
      </c>
    </row>
    <row r="6" spans="2:4">
      <c r="B6" s="1" t="s">
        <v>7</v>
      </c>
      <c r="C6" s="2" t="s">
        <v>1</v>
      </c>
    </row>
    <row r="7" spans="2:4">
      <c r="B7" s="1" t="s">
        <v>8</v>
      </c>
      <c r="C7" s="2" t="s">
        <v>1</v>
      </c>
    </row>
    <row r="8" spans="2:4">
      <c r="B8" s="1" t="s">
        <v>9</v>
      </c>
      <c r="C8" s="2" t="s">
        <v>1</v>
      </c>
    </row>
    <row r="9" spans="2:4">
      <c r="B9" s="1" t="s">
        <v>10</v>
      </c>
      <c r="C9" s="2" t="s">
        <v>1</v>
      </c>
    </row>
    <row r="10" spans="2:4">
      <c r="B10" s="1" t="s">
        <v>11</v>
      </c>
      <c r="C10" s="2" t="s">
        <v>1</v>
      </c>
    </row>
    <row r="12" spans="2:4">
      <c r="B12" s="1" t="s">
        <v>12</v>
      </c>
      <c r="C12" s="2" t="s">
        <v>1</v>
      </c>
      <c r="D12" s="1" t="s">
        <v>13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9014490-0820-4997-B03B-7CB760438B62}">
          <x14:formula1>
            <xm:f>panduan!$B$101:$B$105</xm:f>
          </x14:formula1>
          <xm:sqref>D4:D5 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A83E-64D1-43CE-86FF-F0CE41FDB5B5}">
  <sheetPr>
    <tabColor rgb="FFFFFF00"/>
  </sheetPr>
  <dimension ref="A2:P23"/>
  <sheetViews>
    <sheetView topLeftCell="F18" zoomScale="85" zoomScaleNormal="85" workbookViewId="0">
      <selection activeCell="C54" sqref="C54"/>
    </sheetView>
  </sheetViews>
  <sheetFormatPr defaultColWidth="8.85546875" defaultRowHeight="15"/>
  <cols>
    <col min="1" max="1" width="8.85546875" style="1"/>
    <col min="2" max="2" width="30.7109375" style="1" customWidth="1"/>
    <col min="3" max="8" width="40.7109375" style="1" customWidth="1"/>
    <col min="9" max="9" width="8.85546875" style="2"/>
    <col min="10" max="10" width="30.7109375" style="1" hidden="1" customWidth="1"/>
    <col min="11" max="11" width="11" style="2" customWidth="1"/>
    <col min="12" max="12" width="30.7109375" style="1" hidden="1" customWidth="1"/>
    <col min="13" max="13" width="17.28515625" style="12" customWidth="1"/>
    <col min="14" max="14" width="21.85546875" style="12" customWidth="1"/>
    <col min="15" max="15" width="46" style="80" customWidth="1"/>
    <col min="16" max="16" width="36.5703125" style="1" customWidth="1"/>
    <col min="17" max="16384" width="8.85546875" style="1"/>
  </cols>
  <sheetData>
    <row r="2" spans="1:16">
      <c r="B2" s="1" t="str">
        <f>Identitas!B2</f>
        <v xml:space="preserve">Nama </v>
      </c>
      <c r="C2" s="84">
        <f>Identitas!D2</f>
        <v>0</v>
      </c>
      <c r="I2" s="1"/>
      <c r="K2" s="1"/>
      <c r="M2" s="1"/>
      <c r="N2" s="1"/>
      <c r="O2" s="1"/>
    </row>
    <row r="3" spans="1:16">
      <c r="B3" s="1" t="str">
        <f>Identitas!B3</f>
        <v>Nama Atasan yang menilai</v>
      </c>
      <c r="C3" s="84">
        <f>Identitas!D3</f>
        <v>0</v>
      </c>
      <c r="I3" s="1"/>
      <c r="K3" s="1"/>
      <c r="M3" s="1"/>
      <c r="N3" s="1"/>
      <c r="O3" s="1"/>
    </row>
    <row r="4" spans="1:16">
      <c r="B4" s="1" t="str">
        <f>Identitas!B4</f>
        <v>Level Saat Ini</v>
      </c>
      <c r="C4" s="84" t="str">
        <f>Identitas!D4</f>
        <v>Officer</v>
      </c>
      <c r="I4" s="1"/>
      <c r="K4" s="1"/>
      <c r="M4" s="1"/>
      <c r="N4" s="1"/>
      <c r="O4" s="1"/>
    </row>
    <row r="5" spans="1:16">
      <c r="B5" s="1" t="str">
        <f>Identitas!B5</f>
        <v>Level Tujuan</v>
      </c>
      <c r="C5" s="84" t="str">
        <f>Identitas!D5</f>
        <v>Analyst</v>
      </c>
      <c r="I5" s="1"/>
      <c r="K5" s="1"/>
      <c r="M5" s="1"/>
      <c r="N5" s="1"/>
      <c r="O5" s="1"/>
    </row>
    <row r="6" spans="1:16">
      <c r="B6" s="1" t="str">
        <f>Identitas!B6</f>
        <v>Tanggal Assesment</v>
      </c>
      <c r="C6" s="84">
        <f>Identitas!D6</f>
        <v>0</v>
      </c>
      <c r="I6" s="1"/>
      <c r="K6" s="1"/>
      <c r="M6" s="1"/>
      <c r="N6" s="1"/>
      <c r="O6" s="1"/>
    </row>
    <row r="7" spans="1:16">
      <c r="B7" s="1" t="str">
        <f>Identitas!B7</f>
        <v>Unit</v>
      </c>
      <c r="C7" s="84">
        <f>Identitas!D7</f>
        <v>0</v>
      </c>
      <c r="I7" s="1"/>
      <c r="K7" s="1"/>
      <c r="M7" s="1"/>
      <c r="N7" s="1"/>
      <c r="O7" s="1"/>
    </row>
    <row r="8" spans="1:16">
      <c r="B8" s="1" t="str">
        <f>Identitas!B8</f>
        <v>Departemen</v>
      </c>
      <c r="C8" s="84">
        <f>Identitas!D8</f>
        <v>0</v>
      </c>
      <c r="I8" s="1"/>
      <c r="K8" s="1"/>
      <c r="M8" s="1"/>
      <c r="N8" s="1"/>
      <c r="O8" s="1"/>
    </row>
    <row r="9" spans="1:16">
      <c r="B9" s="1" t="str">
        <f>Identitas!B9</f>
        <v>Divisi</v>
      </c>
      <c r="C9" s="84">
        <f>Identitas!D9</f>
        <v>0</v>
      </c>
      <c r="I9" s="1"/>
      <c r="K9" s="1"/>
      <c r="M9" s="1"/>
      <c r="N9" s="1"/>
      <c r="O9" s="1"/>
    </row>
    <row r="10" spans="1:16">
      <c r="B10" s="1" t="str">
        <f>Identitas!B10</f>
        <v>Direktorat</v>
      </c>
      <c r="C10" s="84">
        <f>Identitas!D10</f>
        <v>0</v>
      </c>
      <c r="I10" s="1"/>
      <c r="K10" s="1"/>
      <c r="M10" s="1"/>
      <c r="N10" s="1"/>
      <c r="O10" s="1"/>
    </row>
    <row r="12" spans="1:16" ht="36">
      <c r="A12" s="8" t="s">
        <v>14</v>
      </c>
      <c r="B12" s="8" t="s">
        <v>15</v>
      </c>
      <c r="C12" s="8" t="s">
        <v>16</v>
      </c>
      <c r="D12" s="8" t="s">
        <v>17</v>
      </c>
      <c r="E12" s="8" t="s">
        <v>18</v>
      </c>
      <c r="F12" s="8" t="s">
        <v>19</v>
      </c>
      <c r="G12" s="8" t="s">
        <v>20</v>
      </c>
      <c r="H12" s="8" t="s">
        <v>21</v>
      </c>
      <c r="I12" s="8" t="s">
        <v>22</v>
      </c>
      <c r="J12" s="8" t="s">
        <v>23</v>
      </c>
      <c r="K12" s="8" t="s">
        <v>24</v>
      </c>
      <c r="L12" s="8" t="s">
        <v>23</v>
      </c>
      <c r="M12" s="90" t="s">
        <v>25</v>
      </c>
      <c r="N12" s="11" t="s">
        <v>26</v>
      </c>
      <c r="O12" s="11" t="s">
        <v>27</v>
      </c>
      <c r="P12" s="11" t="s">
        <v>28</v>
      </c>
    </row>
    <row r="13" spans="1:16" ht="43.9" customHeight="1">
      <c r="A13" s="10">
        <v>1</v>
      </c>
      <c r="B13" s="187" t="s">
        <v>29</v>
      </c>
      <c r="C13" s="187" t="s">
        <v>30</v>
      </c>
      <c r="D13" s="187" t="s">
        <v>31</v>
      </c>
      <c r="E13" s="187" t="s">
        <v>32</v>
      </c>
      <c r="F13" s="187" t="s">
        <v>33</v>
      </c>
      <c r="G13" s="187" t="s">
        <v>34</v>
      </c>
      <c r="H13" s="187" t="s">
        <v>35</v>
      </c>
      <c r="I13" s="10">
        <v>4</v>
      </c>
      <c r="J13" s="9"/>
      <c r="K13" s="10">
        <v>4</v>
      </c>
      <c r="L13" s="9"/>
      <c r="M13" s="13">
        <f t="shared" ref="M13:M21" si="0">I13-K13</f>
        <v>0</v>
      </c>
      <c r="N13" s="13" t="str" cm="1">
        <f t="array" ref="N13">_xlfn.IFS(
  M13&gt;=2, "Major Positive Gap",
  M13&gt;=1, "Minor Positive Gap",
  M13&gt;=0, "No Gap",
  M13&gt;=-1, "Minor Negative Gap",
  M13&lt;=-2, "Major Negative Gap"
)</f>
        <v>No Gap</v>
      </c>
      <c r="O13" s="83"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87"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spans="1:16" ht="46.9" customHeight="1">
      <c r="A14" s="10">
        <f>A13+1</f>
        <v>2</v>
      </c>
      <c r="B14" s="187" t="s">
        <v>36</v>
      </c>
      <c r="C14" s="187" t="s">
        <v>37</v>
      </c>
      <c r="D14" s="187" t="s">
        <v>38</v>
      </c>
      <c r="E14" s="187" t="s">
        <v>39</v>
      </c>
      <c r="F14" s="187" t="s">
        <v>40</v>
      </c>
      <c r="G14" s="187" t="s">
        <v>41</v>
      </c>
      <c r="H14" s="187" t="s">
        <v>42</v>
      </c>
      <c r="I14" s="10">
        <v>3</v>
      </c>
      <c r="J14" s="9"/>
      <c r="K14" s="10">
        <v>3</v>
      </c>
      <c r="L14" s="9"/>
      <c r="M14" s="13">
        <f t="shared" si="0"/>
        <v>0</v>
      </c>
      <c r="N14" s="13" t="str" cm="1">
        <f t="array" ref="N14">_xlfn.IFS(
  M14&gt;=2, "Major Positive Gap",
  M14&gt;=1, "Minor Positive Gap",
  M14&gt;=0, "No Gap",
  M14&gt;=-1, "Minor Negative Gap",
  M14&lt;=-2, "Major Negative Gap"
)</f>
        <v>No Gap</v>
      </c>
      <c r="O14" s="83"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87"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spans="1:16" ht="60.6" customHeight="1">
      <c r="A15" s="10">
        <f t="shared" ref="A15:A22" si="1">A14+1</f>
        <v>3</v>
      </c>
      <c r="B15" s="187" t="s">
        <v>43</v>
      </c>
      <c r="C15" s="187" t="s">
        <v>44</v>
      </c>
      <c r="D15" s="187" t="s">
        <v>45</v>
      </c>
      <c r="E15" s="187" t="s">
        <v>46</v>
      </c>
      <c r="F15" s="187" t="s">
        <v>47</v>
      </c>
      <c r="G15" s="187" t="s">
        <v>48</v>
      </c>
      <c r="H15" s="187" t="s">
        <v>49</v>
      </c>
      <c r="I15" s="10">
        <v>3</v>
      </c>
      <c r="J15" s="9"/>
      <c r="K15" s="10">
        <v>2</v>
      </c>
      <c r="L15" s="9"/>
      <c r="M15" s="13">
        <f t="shared" si="0"/>
        <v>1</v>
      </c>
      <c r="N15" s="13" t="str" cm="1">
        <f t="array" ref="N15">_xlfn.IFS(
  M15&gt;=2, "Major Positive Gap",
  M15&gt;=1, "Minor Positive Gap",
  M15&gt;=0, "No Gap",
  M15&gt;=-1, "Minor Negative Gap",
  M15&lt;=-2, "Major Negative Gap"
)</f>
        <v>Minor Positive Gap</v>
      </c>
      <c r="O15" s="83"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5" s="87"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6" spans="1:16" ht="46.15" customHeight="1">
      <c r="A16" s="10">
        <f t="shared" si="1"/>
        <v>4</v>
      </c>
      <c r="B16" s="187" t="s">
        <v>50</v>
      </c>
      <c r="C16" s="187" t="s">
        <v>51</v>
      </c>
      <c r="D16" s="187" t="s">
        <v>52</v>
      </c>
      <c r="E16" s="187" t="s">
        <v>53</v>
      </c>
      <c r="F16" s="187" t="s">
        <v>54</v>
      </c>
      <c r="G16" s="187" t="s">
        <v>55</v>
      </c>
      <c r="H16" s="187" t="s">
        <v>56</v>
      </c>
      <c r="I16" s="10">
        <v>3</v>
      </c>
      <c r="J16" s="9"/>
      <c r="K16" s="10">
        <v>1</v>
      </c>
      <c r="L16" s="9"/>
      <c r="M16" s="13">
        <f t="shared" si="0"/>
        <v>2</v>
      </c>
      <c r="N16" s="13" t="str" cm="1">
        <f t="array" ref="N16">_xlfn.IFS(
  M16&gt;=2, "Major Positive Gap",
  M16&gt;=1, "Minor Positive Gap",
  M16&gt;=0, "No Gap",
  M16&gt;=-1, "Minor Negative Gap",
  M16&lt;=-2, "Major Negative Gap"
)</f>
        <v>Major Positive Gap</v>
      </c>
      <c r="O16" s="83"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tinggi dari perilaku yang tampak menurut atasan</v>
      </c>
      <c r="P16" s="87"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potensi blind spot; perilaku belum terlihat sekuat persepsi diri</v>
      </c>
    </row>
    <row r="17" spans="1:16" ht="88.9" customHeight="1">
      <c r="A17" s="10">
        <f t="shared" si="1"/>
        <v>5</v>
      </c>
      <c r="B17" s="187" t="s">
        <v>57</v>
      </c>
      <c r="C17" s="187" t="s">
        <v>58</v>
      </c>
      <c r="D17" s="187" t="s">
        <v>59</v>
      </c>
      <c r="E17" s="187" t="s">
        <v>60</v>
      </c>
      <c r="F17" s="187" t="s">
        <v>61</v>
      </c>
      <c r="G17" s="187" t="s">
        <v>62</v>
      </c>
      <c r="H17" s="187" t="s">
        <v>63</v>
      </c>
      <c r="I17" s="10">
        <v>2</v>
      </c>
      <c r="J17" s="9"/>
      <c r="K17" s="10">
        <v>4</v>
      </c>
      <c r="L17" s="9"/>
      <c r="M17" s="13">
        <f t="shared" si="0"/>
        <v>-2</v>
      </c>
      <c r="N17" s="13" t="str" cm="1">
        <f t="array" ref="N17">_xlfn.IFS(
  M17&gt;=2, "Major Positive Gap",
  M17&gt;=1, "Minor Positive Gap",
  M17&gt;=0, "No Gap",
  M17&gt;=-1, "Minor Negative Gap",
  M17&lt;=-2, "Major Negative Gap"
)</f>
        <v>Major Negative Gap</v>
      </c>
      <c r="O17" s="83"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17" s="87"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18" spans="1:16" ht="102.6" customHeight="1">
      <c r="A18" s="10">
        <f t="shared" si="1"/>
        <v>6</v>
      </c>
      <c r="B18" s="187" t="s">
        <v>64</v>
      </c>
      <c r="C18" s="187" t="s">
        <v>65</v>
      </c>
      <c r="D18" s="187" t="s">
        <v>66</v>
      </c>
      <c r="E18" s="187" t="s">
        <v>67</v>
      </c>
      <c r="F18" s="187" t="s">
        <v>68</v>
      </c>
      <c r="G18" s="187" t="s">
        <v>69</v>
      </c>
      <c r="H18" s="187" t="s">
        <v>70</v>
      </c>
      <c r="I18" s="10">
        <v>3</v>
      </c>
      <c r="J18" s="9"/>
      <c r="K18" s="10">
        <v>2</v>
      </c>
      <c r="L18" s="9"/>
      <c r="M18" s="13">
        <f t="shared" si="0"/>
        <v>1</v>
      </c>
      <c r="N18" s="13" t="str" cm="1">
        <f t="array" ref="N18">_xlfn.IFS(
  M18&gt;=2, "Major Positive Gap",
  M18&gt;=1, "Minor Positive Gap",
  M18&gt;=0, "No Gap",
  M18&gt;=-1, "Minor Negative Gap",
  M18&lt;=-2, "Major Negative Gap"
)</f>
        <v>Minor Positive Gap</v>
      </c>
      <c r="O18" s="83"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8" s="87"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9" spans="1:16" ht="64.150000000000006" customHeight="1">
      <c r="A19" s="10">
        <f t="shared" si="1"/>
        <v>7</v>
      </c>
      <c r="B19" s="187" t="s">
        <v>71</v>
      </c>
      <c r="C19" s="187" t="s">
        <v>72</v>
      </c>
      <c r="D19" s="187" t="s">
        <v>73</v>
      </c>
      <c r="E19" s="187" t="s">
        <v>74</v>
      </c>
      <c r="F19" s="187" t="s">
        <v>75</v>
      </c>
      <c r="G19" s="187" t="s">
        <v>76</v>
      </c>
      <c r="H19" s="187" t="s">
        <v>77</v>
      </c>
      <c r="I19" s="10">
        <v>3</v>
      </c>
      <c r="J19" s="9"/>
      <c r="K19" s="10">
        <v>2</v>
      </c>
      <c r="L19" s="9"/>
      <c r="M19" s="13">
        <f t="shared" si="0"/>
        <v>1</v>
      </c>
      <c r="N19" s="13" t="str" cm="1">
        <f t="array" ref="N19">_xlfn.IFS(
  M19&gt;=2, "Major Positive Gap",
  M19&gt;=1, "Minor Positive Gap",
  M19&gt;=0, "No Gap",
  M19&gt;=-1, "Minor Negative Gap",
  M19&lt;=-2, "Major Negative Gap"
)</f>
        <v>Minor Positive Gap</v>
      </c>
      <c r="O19" s="83"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9" s="87"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20" spans="1:16" ht="50.45" customHeight="1">
      <c r="A20" s="10">
        <f t="shared" si="1"/>
        <v>8</v>
      </c>
      <c r="B20" s="187" t="s">
        <v>78</v>
      </c>
      <c r="C20" s="187" t="s">
        <v>79</v>
      </c>
      <c r="D20" s="187" t="s">
        <v>80</v>
      </c>
      <c r="E20" s="187" t="s">
        <v>81</v>
      </c>
      <c r="F20" s="187" t="s">
        <v>82</v>
      </c>
      <c r="G20" s="187" t="s">
        <v>83</v>
      </c>
      <c r="H20" s="187" t="s">
        <v>84</v>
      </c>
      <c r="I20" s="10">
        <v>3</v>
      </c>
      <c r="J20" s="9"/>
      <c r="K20" s="10">
        <v>4</v>
      </c>
      <c r="L20" s="9"/>
      <c r="M20" s="13">
        <f t="shared" si="0"/>
        <v>-1</v>
      </c>
      <c r="N20" s="13" t="str" cm="1">
        <f t="array" ref="N20">_xlfn.IFS(
  M20&gt;=2, "Major Positive Gap",
  M20&gt;=1, "Minor Positive Gap",
  M20&gt;=0, "No Gap",
  M20&gt;=-1, "Minor Negative Gap",
  M20&lt;=-2, "Major Negative Gap"
)</f>
        <v>Minor Negative Gap</v>
      </c>
      <c r="O20" s="83"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rendah dari superior assessment</v>
      </c>
      <c r="P20" s="87"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mungkin kurang percaya diri atau belum menyadari kekuatannya</v>
      </c>
    </row>
    <row r="21" spans="1:16" ht="51" customHeight="1">
      <c r="A21" s="10">
        <f t="shared" si="1"/>
        <v>9</v>
      </c>
      <c r="B21" s="187" t="s">
        <v>85</v>
      </c>
      <c r="C21" s="187" t="s">
        <v>86</v>
      </c>
      <c r="D21" s="187" t="s">
        <v>87</v>
      </c>
      <c r="E21" s="187" t="s">
        <v>88</v>
      </c>
      <c r="F21" s="187" t="s">
        <v>89</v>
      </c>
      <c r="G21" s="187" t="s">
        <v>90</v>
      </c>
      <c r="H21" s="187" t="s">
        <v>91</v>
      </c>
      <c r="I21" s="10">
        <v>2</v>
      </c>
      <c r="J21" s="9"/>
      <c r="K21" s="10">
        <v>1</v>
      </c>
      <c r="L21" s="9"/>
      <c r="M21" s="13">
        <f t="shared" si="0"/>
        <v>1</v>
      </c>
      <c r="N21" s="13" t="str" cm="1">
        <f t="array" ref="N21">_xlfn.IFS(
  M21&gt;=2, "Major Positive Gap",
  M21&gt;=1, "Minor Positive Gap",
  M21&gt;=0, "No Gap",
  M21&gt;=-1, "Minor Negative Gap",
  M21&lt;=-2, "Major Negative Gap"
)</f>
        <v>Minor Positive Gap</v>
      </c>
      <c r="O21" s="83"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21" s="87"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22" spans="1:16" ht="75" customHeight="1">
      <c r="A22" s="10">
        <f t="shared" si="1"/>
        <v>10</v>
      </c>
      <c r="B22" s="187" t="s">
        <v>92</v>
      </c>
      <c r="C22" s="187" t="s">
        <v>93</v>
      </c>
      <c r="D22" s="187" t="s">
        <v>94</v>
      </c>
      <c r="E22" s="187" t="s">
        <v>95</v>
      </c>
      <c r="F22" s="187" t="s">
        <v>96</v>
      </c>
      <c r="G22" s="187" t="s">
        <v>97</v>
      </c>
      <c r="H22" s="187" t="s">
        <v>98</v>
      </c>
      <c r="I22" s="10">
        <v>2</v>
      </c>
      <c r="J22" s="9"/>
      <c r="K22" s="10">
        <v>2</v>
      </c>
      <c r="L22" s="9"/>
      <c r="M22" s="13">
        <f t="shared" ref="M22" si="2">I22-K22</f>
        <v>0</v>
      </c>
      <c r="N22" s="13" t="str" cm="1">
        <f t="array" ref="N22">_xlfn.IFS(
  M22&gt;=2, "Major Positive Gap",
  M22&gt;=1, "Minor Positive Gap",
  M22&gt;=0, "No Gap",
  M22&gt;=-1, "Minor Negative Gap",
  M22&lt;=-2, "Major Negative Gap"
)</f>
        <v>No Gap</v>
      </c>
      <c r="O22" s="83"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87"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8" customFormat="1" ht="35.450000000000003" customHeight="1">
      <c r="A23" s="96" t="s">
        <v>99</v>
      </c>
      <c r="B23" s="97"/>
      <c r="C23" s="97"/>
      <c r="D23" s="97"/>
      <c r="E23" s="97"/>
      <c r="F23" s="97"/>
      <c r="G23" s="97"/>
      <c r="H23" s="97"/>
      <c r="I23" s="98">
        <f>AVERAGE(I13:J22)</f>
        <v>2.8</v>
      </c>
      <c r="J23" s="98">
        <f>AVERAGE(J13:K22)</f>
        <v>2.5</v>
      </c>
      <c r="K23" s="98">
        <f>AVERAGE(K13:L22)</f>
        <v>2.5</v>
      </c>
      <c r="L23" s="100"/>
      <c r="M23" s="95">
        <f>I23-K23</f>
        <v>0.29999999999999982</v>
      </c>
      <c r="N23" s="27" t="str" cm="1">
        <f t="array" ref="N23">_xlfn.IFS(
  VALUE(M23) &gt;= 1, "Major Positive Gap",
  VALUE(M23) &gt;= 0.5, "Minor Positive Gap",
  VALUE(M23) &gt;= -0.49, "Aligned",
  VALUE(M23) &gt;= -0.99, "Minor Negative Gap",
  VALUE(M23) &lt;= -1, "Major Negative Gap"
)</f>
        <v>Aligned</v>
      </c>
      <c r="O23" s="88" t="str" cm="1">
        <f t="array" ref="O23">_xlfn.SWITCH(N23,
"Aligned","Aligned Perception",
"Minor Positive Gap","Slight Overestimation",
"Major Positive Gap","Significant Overestimation / Potential Blind Spot",
"Minor Negative Gap","Slight Underestimation",
"Major Negative Gap","Significant Underestimation / Hidden Strength",
""
)</f>
        <v>Aligned Perception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B8B2-96E0-4B3A-A344-61E6DE2DA451}">
  <sheetPr>
    <tabColor rgb="FFFFFF00"/>
  </sheetPr>
  <dimension ref="A2:P29"/>
  <sheetViews>
    <sheetView topLeftCell="E23" zoomScale="70" zoomScaleNormal="70" workbookViewId="0">
      <selection activeCell="I49" sqref="I49"/>
    </sheetView>
  </sheetViews>
  <sheetFormatPr defaultColWidth="8.85546875" defaultRowHeight="15"/>
  <cols>
    <col min="1" max="1" width="8.85546875" style="1"/>
    <col min="2" max="2" width="30.7109375" style="1" customWidth="1"/>
    <col min="3" max="8" width="40.7109375" style="1" customWidth="1"/>
    <col min="9" max="9" width="11.28515625" style="34" customWidth="1"/>
    <col min="10" max="10" width="30.7109375" style="34" hidden="1" customWidth="1"/>
    <col min="11" max="11" width="8.85546875" style="34"/>
    <col min="12" max="12" width="30.7109375" style="34" hidden="1" customWidth="1"/>
    <col min="13" max="13" width="14" style="12" bestFit="1" customWidth="1"/>
    <col min="14" max="14" width="19.5703125" style="12" bestFit="1" customWidth="1"/>
    <col min="15" max="15" width="46" style="1" customWidth="1"/>
    <col min="16" max="16" width="36.5703125" style="1" customWidth="1"/>
    <col min="17" max="16384" width="8.85546875" style="1"/>
  </cols>
  <sheetData>
    <row r="2" spans="1:16">
      <c r="B2" s="1" t="str">
        <f>Identitas!B2</f>
        <v xml:space="preserve">Nama </v>
      </c>
      <c r="C2" s="84">
        <f>Identitas!D2</f>
        <v>0</v>
      </c>
      <c r="I2" s="1"/>
      <c r="J2" s="1"/>
      <c r="K2" s="1"/>
      <c r="L2" s="1"/>
      <c r="M2" s="1"/>
      <c r="N2" s="1"/>
    </row>
    <row r="3" spans="1:16">
      <c r="B3" s="1" t="str">
        <f>Identitas!B3</f>
        <v>Nama Atasan yang menilai</v>
      </c>
      <c r="C3" s="84">
        <f>Identitas!D3</f>
        <v>0</v>
      </c>
      <c r="I3" s="1"/>
      <c r="J3" s="1"/>
      <c r="K3" s="1"/>
      <c r="L3" s="1"/>
      <c r="M3" s="1"/>
      <c r="N3" s="1"/>
    </row>
    <row r="4" spans="1:16">
      <c r="B4" s="1" t="str">
        <f>Identitas!B4</f>
        <v>Level Saat Ini</v>
      </c>
      <c r="C4" s="84" t="str">
        <f>Identitas!D4</f>
        <v>Officer</v>
      </c>
      <c r="I4" s="1"/>
      <c r="J4" s="1"/>
      <c r="K4" s="1"/>
      <c r="L4" s="1"/>
      <c r="M4" s="1"/>
      <c r="N4" s="1"/>
    </row>
    <row r="5" spans="1:16">
      <c r="B5" s="1" t="str">
        <f>Identitas!B5</f>
        <v>Level Tujuan</v>
      </c>
      <c r="C5" s="84" t="str">
        <f>Identitas!D5</f>
        <v>Analyst</v>
      </c>
      <c r="I5" s="1"/>
      <c r="J5" s="1"/>
      <c r="K5" s="1"/>
      <c r="L5" s="1"/>
      <c r="M5" s="1"/>
      <c r="N5" s="1"/>
    </row>
    <row r="6" spans="1:16">
      <c r="B6" s="1" t="str">
        <f>Identitas!B6</f>
        <v>Tanggal Assesment</v>
      </c>
      <c r="C6" s="84">
        <f>Identitas!D6</f>
        <v>0</v>
      </c>
      <c r="I6" s="1"/>
      <c r="J6" s="1"/>
      <c r="K6" s="1"/>
      <c r="L6" s="1"/>
      <c r="M6" s="1"/>
      <c r="N6" s="1"/>
    </row>
    <row r="7" spans="1:16">
      <c r="B7" s="1" t="str">
        <f>Identitas!B7</f>
        <v>Unit</v>
      </c>
      <c r="C7" s="84">
        <f>Identitas!D7</f>
        <v>0</v>
      </c>
      <c r="I7" s="1"/>
      <c r="J7" s="1"/>
      <c r="K7" s="1"/>
      <c r="L7" s="1"/>
      <c r="M7" s="1"/>
      <c r="N7" s="1"/>
    </row>
    <row r="8" spans="1:16">
      <c r="B8" s="1" t="str">
        <f>Identitas!B8</f>
        <v>Departemen</v>
      </c>
      <c r="C8" s="84">
        <f>Identitas!D8</f>
        <v>0</v>
      </c>
      <c r="I8" s="1"/>
      <c r="J8" s="1"/>
      <c r="K8" s="1"/>
      <c r="L8" s="1"/>
      <c r="M8" s="1"/>
      <c r="N8" s="1"/>
    </row>
    <row r="9" spans="1:16">
      <c r="B9" s="1" t="str">
        <f>Identitas!B9</f>
        <v>Divisi</v>
      </c>
      <c r="C9" s="84">
        <f>Identitas!D9</f>
        <v>0</v>
      </c>
      <c r="I9" s="1"/>
      <c r="J9" s="1"/>
      <c r="K9" s="1"/>
      <c r="L9" s="1"/>
      <c r="M9" s="1"/>
      <c r="N9" s="1"/>
    </row>
    <row r="10" spans="1:16">
      <c r="B10" s="1" t="str">
        <f>Identitas!B10</f>
        <v>Direktorat</v>
      </c>
      <c r="C10" s="84">
        <f>Identitas!D10</f>
        <v>0</v>
      </c>
      <c r="I10" s="1"/>
      <c r="J10" s="1"/>
      <c r="K10" s="1"/>
      <c r="L10" s="1"/>
      <c r="M10" s="1"/>
      <c r="N10" s="1"/>
    </row>
    <row r="12" spans="1:16" ht="36">
      <c r="A12" s="8" t="s">
        <v>14</v>
      </c>
      <c r="B12" s="8" t="s">
        <v>15</v>
      </c>
      <c r="C12" s="8" t="s">
        <v>16</v>
      </c>
      <c r="D12" s="8" t="s">
        <v>17</v>
      </c>
      <c r="E12" s="8" t="s">
        <v>18</v>
      </c>
      <c r="F12" s="8" t="s">
        <v>19</v>
      </c>
      <c r="G12" s="8" t="s">
        <v>20</v>
      </c>
      <c r="H12" s="8" t="s">
        <v>21</v>
      </c>
      <c r="I12" s="8" t="s">
        <v>22</v>
      </c>
      <c r="J12" s="8" t="s">
        <v>23</v>
      </c>
      <c r="K12" s="8" t="s">
        <v>24</v>
      </c>
      <c r="L12" s="8" t="s">
        <v>23</v>
      </c>
      <c r="M12" s="90" t="s">
        <v>25</v>
      </c>
      <c r="N12" s="11" t="s">
        <v>26</v>
      </c>
      <c r="O12" s="11" t="s">
        <v>27</v>
      </c>
      <c r="P12" s="11" t="s">
        <v>28</v>
      </c>
    </row>
    <row r="13" spans="1:16" s="186" customFormat="1" ht="43.15" customHeight="1">
      <c r="A13" s="89">
        <v>1</v>
      </c>
      <c r="B13" s="187" t="s">
        <v>100</v>
      </c>
      <c r="C13" s="187" t="s">
        <v>101</v>
      </c>
      <c r="D13" s="187" t="s">
        <v>102</v>
      </c>
      <c r="E13" s="187" t="s">
        <v>103</v>
      </c>
      <c r="F13" s="187" t="s">
        <v>104</v>
      </c>
      <c r="G13" s="187" t="s">
        <v>105</v>
      </c>
      <c r="H13" s="187" t="s">
        <v>106</v>
      </c>
      <c r="I13" s="89">
        <v>2</v>
      </c>
      <c r="J13" s="89">
        <v>4</v>
      </c>
      <c r="K13" s="89">
        <v>3</v>
      </c>
      <c r="L13" s="89"/>
      <c r="M13" s="188">
        <f t="shared" ref="M13:M28" si="0">I13-K13</f>
        <v>-1</v>
      </c>
      <c r="N13" s="188" t="str" cm="1">
        <f t="array" ref="N13">_xlfn.IFS(
  M13&gt;=2, "Major Positive Gap",
  M13&gt;=1, "Minor Positive Gap",
  M13&gt;=0, "No Gap",
  M13&gt;=-1, "Minor Negative Gap",
  M13&lt;=-2, "Major Negative Gap"
)</f>
        <v>Minor Negative Gap</v>
      </c>
      <c r="O13" s="160"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rendah dari superior assessment</v>
      </c>
      <c r="P13" s="18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mungkin kurang percaya diri atau belum menyadari kekuatannya</v>
      </c>
    </row>
    <row r="14" spans="1:16" s="186" customFormat="1" ht="44.45" customHeight="1">
      <c r="A14" s="89">
        <f>A13+1</f>
        <v>2</v>
      </c>
      <c r="B14" s="187" t="s">
        <v>107</v>
      </c>
      <c r="C14" s="187" t="s">
        <v>108</v>
      </c>
      <c r="D14" s="187" t="s">
        <v>109</v>
      </c>
      <c r="E14" s="187" t="s">
        <v>110</v>
      </c>
      <c r="F14" s="187" t="s">
        <v>111</v>
      </c>
      <c r="G14" s="187" t="s">
        <v>112</v>
      </c>
      <c r="H14" s="187" t="s">
        <v>113</v>
      </c>
      <c r="I14" s="89">
        <v>3</v>
      </c>
      <c r="J14" s="89">
        <v>3</v>
      </c>
      <c r="K14" s="89">
        <v>2</v>
      </c>
      <c r="L14" s="89"/>
      <c r="M14" s="188">
        <f t="shared" si="0"/>
        <v>1</v>
      </c>
      <c r="N14" s="188" t="str" cm="1">
        <f t="array" ref="N14">_xlfn.IFS(
  M14&gt;=2, "Major Positive Gap",
  M14&gt;=1, "Minor Positive Gap",
  M14&gt;=0, "No Gap",
  M14&gt;=-1, "Minor Negative Gap",
  M14&lt;=-2, "Major Negative Gap"
)</f>
        <v>Minor Positive Gap</v>
      </c>
      <c r="O14" s="160"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4" s="18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5" spans="1:16" s="186" customFormat="1" ht="45" customHeight="1">
      <c r="A15" s="89">
        <f t="shared" ref="A15:A28" si="1">A14+1</f>
        <v>3</v>
      </c>
      <c r="B15" s="187" t="s">
        <v>114</v>
      </c>
      <c r="C15" s="187" t="s">
        <v>115</v>
      </c>
      <c r="D15" s="187" t="s">
        <v>116</v>
      </c>
      <c r="E15" s="187" t="s">
        <v>117</v>
      </c>
      <c r="F15" s="187" t="s">
        <v>118</v>
      </c>
      <c r="G15" s="187" t="s">
        <v>119</v>
      </c>
      <c r="H15" s="187" t="s">
        <v>120</v>
      </c>
      <c r="I15" s="89">
        <v>4</v>
      </c>
      <c r="J15" s="89">
        <v>1</v>
      </c>
      <c r="K15" s="89">
        <v>2</v>
      </c>
      <c r="L15" s="89"/>
      <c r="M15" s="188">
        <f t="shared" si="0"/>
        <v>2</v>
      </c>
      <c r="N15" s="188" t="str" cm="1">
        <f t="array" ref="N15">_xlfn.IFS(
  M15&gt;=2, "Major Positive Gap",
  M15&gt;=1, "Minor Positive Gap",
  M15&gt;=0, "No Gap",
  M15&gt;=-1, "Minor Negative Gap",
  M15&lt;=-2, "Major Negative Gap"
)</f>
        <v>Major Positive Gap</v>
      </c>
      <c r="O15" s="160"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tinggi dari perilaku yang tampak menurut atasan</v>
      </c>
      <c r="P15" s="18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potensi blind spot; perilaku belum terlihat sekuat persepsi diri</v>
      </c>
    </row>
    <row r="16" spans="1:16" s="186" customFormat="1" ht="52.9" customHeight="1">
      <c r="A16" s="89">
        <f t="shared" si="1"/>
        <v>4</v>
      </c>
      <c r="B16" s="187" t="s">
        <v>121</v>
      </c>
      <c r="C16" s="187" t="s">
        <v>122</v>
      </c>
      <c r="D16" s="187" t="s">
        <v>123</v>
      </c>
      <c r="E16" s="187" t="s">
        <v>124</v>
      </c>
      <c r="F16" s="187" t="s">
        <v>125</v>
      </c>
      <c r="G16" s="187" t="s">
        <v>126</v>
      </c>
      <c r="H16" s="187" t="s">
        <v>127</v>
      </c>
      <c r="I16" s="89">
        <v>1</v>
      </c>
      <c r="J16" s="89">
        <v>3</v>
      </c>
      <c r="K16" s="89">
        <v>5</v>
      </c>
      <c r="L16" s="89"/>
      <c r="M16" s="188">
        <f t="shared" si="0"/>
        <v>-4</v>
      </c>
      <c r="N16" s="188" t="str" cm="1">
        <f t="array" ref="N16">_xlfn.IFS(
  M16&gt;=2, "Major Positive Gap",
  M16&gt;=1, "Minor Positive Gap",
  M16&gt;=0, "No Gap",
  M16&gt;=-1, "Minor Negative Gap",
  M16&lt;=-2, "Major Negative Gap"
)</f>
        <v>Major Negative Gap</v>
      </c>
      <c r="O16" s="160"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16" s="18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17" spans="1:16" s="186" customFormat="1" ht="60">
      <c r="A17" s="89">
        <f t="shared" si="1"/>
        <v>5</v>
      </c>
      <c r="B17" s="187" t="s">
        <v>128</v>
      </c>
      <c r="C17" s="187" t="s">
        <v>129</v>
      </c>
      <c r="D17" s="187" t="s">
        <v>130</v>
      </c>
      <c r="E17" s="187" t="s">
        <v>131</v>
      </c>
      <c r="F17" s="187" t="s">
        <v>132</v>
      </c>
      <c r="G17" s="187" t="s">
        <v>133</v>
      </c>
      <c r="H17" s="187" t="s">
        <v>134</v>
      </c>
      <c r="I17" s="89">
        <v>5</v>
      </c>
      <c r="J17" s="89">
        <v>2</v>
      </c>
      <c r="K17" s="89">
        <v>4</v>
      </c>
      <c r="L17" s="89"/>
      <c r="M17" s="188">
        <f t="shared" si="0"/>
        <v>1</v>
      </c>
      <c r="N17" s="188" t="str" cm="1">
        <f t="array" ref="N17">_xlfn.IFS(
  M17&gt;=2, "Major Positive Gap",
  M17&gt;=1, "Minor Positive Gap",
  M17&gt;=0, "No Gap",
  M17&gt;=-1, "Minor Negative Gap",
  M17&lt;=-2, "Major Negative Gap"
)</f>
        <v>Minor Positive Gap</v>
      </c>
      <c r="O17" s="160"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7" s="18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8" spans="1:16" s="186" customFormat="1" ht="89.45" customHeight="1">
      <c r="A18" s="89">
        <f t="shared" si="1"/>
        <v>6</v>
      </c>
      <c r="B18" s="187" t="s">
        <v>135</v>
      </c>
      <c r="C18" s="187" t="s">
        <v>136</v>
      </c>
      <c r="D18" s="187" t="s">
        <v>137</v>
      </c>
      <c r="E18" s="187" t="s">
        <v>138</v>
      </c>
      <c r="F18" s="187" t="s">
        <v>139</v>
      </c>
      <c r="G18" s="187" t="s">
        <v>140</v>
      </c>
      <c r="H18" s="187" t="s">
        <v>141</v>
      </c>
      <c r="I18" s="89">
        <v>4</v>
      </c>
      <c r="J18" s="89">
        <v>2</v>
      </c>
      <c r="K18" s="89">
        <v>5</v>
      </c>
      <c r="L18" s="89"/>
      <c r="M18" s="188">
        <f t="shared" si="0"/>
        <v>-1</v>
      </c>
      <c r="N18" s="188" t="str" cm="1">
        <f t="array" ref="N18">_xlfn.IFS(
  M18&gt;=2, "Major Positive Gap",
  M18&gt;=1, "Minor Positive Gap",
  M18&gt;=0, "No Gap",
  M18&gt;=-1, "Minor Negative Gap",
  M18&lt;=-2, "Major Negative Gap"
)</f>
        <v>Minor Negative Gap</v>
      </c>
      <c r="O18" s="160"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rendah dari superior assessment</v>
      </c>
      <c r="P18" s="18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mungkin kurang percaya diri atau belum menyadari kekuatannya</v>
      </c>
    </row>
    <row r="19" spans="1:16" s="164" customFormat="1" ht="89.45" customHeight="1">
      <c r="A19" s="89">
        <f>A18+1</f>
        <v>7</v>
      </c>
      <c r="B19" s="26" t="s">
        <v>142</v>
      </c>
      <c r="C19" s="26" t="s">
        <v>143</v>
      </c>
      <c r="D19" s="26" t="s">
        <v>144</v>
      </c>
      <c r="E19" s="26" t="s">
        <v>145</v>
      </c>
      <c r="F19" s="26" t="s">
        <v>146</v>
      </c>
      <c r="G19" s="26" t="s">
        <v>147</v>
      </c>
      <c r="H19" s="26" t="s">
        <v>148</v>
      </c>
      <c r="I19" s="89">
        <v>1</v>
      </c>
      <c r="J19" s="89">
        <v>2</v>
      </c>
      <c r="K19" s="89">
        <v>3</v>
      </c>
      <c r="L19" s="192"/>
      <c r="M19" s="188">
        <f t="shared" si="0"/>
        <v>-2</v>
      </c>
      <c r="N19" s="188" t="str" cm="1">
        <f t="array" ref="N19">_xlfn.IFS(
  M19&gt;=2, "Major Positive Gap",
  M19&gt;=1, "Minor Positive Gap",
  M19&gt;=0, "No Gap",
  M19&gt;=-1, "Minor Negative Gap",
  M19&lt;=-2, "Major Negative Gap"
)</f>
        <v>Major Negative Gap</v>
      </c>
      <c r="O19" s="160"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19" s="18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20" spans="1:16" s="164" customFormat="1" ht="89.45" customHeight="1">
      <c r="A20" s="89">
        <f t="shared" si="1"/>
        <v>8</v>
      </c>
      <c r="B20" s="26" t="s">
        <v>149</v>
      </c>
      <c r="C20" s="26" t="s">
        <v>150</v>
      </c>
      <c r="D20" s="26" t="s">
        <v>151</v>
      </c>
      <c r="E20" s="26" t="s">
        <v>152</v>
      </c>
      <c r="F20" s="26" t="s">
        <v>153</v>
      </c>
      <c r="G20" s="26" t="s">
        <v>154</v>
      </c>
      <c r="H20" s="26" t="s">
        <v>155</v>
      </c>
      <c r="I20" s="89">
        <v>3</v>
      </c>
      <c r="J20" s="89">
        <v>3</v>
      </c>
      <c r="K20" s="89">
        <v>5</v>
      </c>
      <c r="L20" s="192"/>
      <c r="M20" s="188">
        <f t="shared" si="0"/>
        <v>-2</v>
      </c>
      <c r="N20" s="188" t="str" cm="1">
        <f t="array" ref="N20">_xlfn.IFS(
  M20&gt;=2, "Major Positive Gap",
  M20&gt;=1, "Minor Positive Gap",
  M20&gt;=0, "No Gap",
  M20&gt;=-1, "Minor Negative Gap",
  M20&lt;=-2, "Major Negative Gap"
)</f>
        <v>Major Negative Gap</v>
      </c>
      <c r="O20" s="160"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20" s="18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21" spans="1:16" s="186" customFormat="1" ht="60" customHeight="1">
      <c r="A21" s="89">
        <f t="shared" si="1"/>
        <v>9</v>
      </c>
      <c r="B21" s="187" t="s">
        <v>156</v>
      </c>
      <c r="C21" s="187" t="s">
        <v>157</v>
      </c>
      <c r="D21" s="187" t="s">
        <v>158</v>
      </c>
      <c r="E21" s="187" t="s">
        <v>159</v>
      </c>
      <c r="F21" s="187" t="s">
        <v>160</v>
      </c>
      <c r="G21" s="187" t="s">
        <v>161</v>
      </c>
      <c r="H21" s="187" t="s">
        <v>162</v>
      </c>
      <c r="I21" s="89">
        <v>3</v>
      </c>
      <c r="J21" s="89">
        <v>2</v>
      </c>
      <c r="K21" s="89">
        <v>2</v>
      </c>
      <c r="L21" s="89"/>
      <c r="M21" s="188">
        <f t="shared" si="0"/>
        <v>1</v>
      </c>
      <c r="N21" s="188" t="str" cm="1">
        <f t="array" ref="N21">_xlfn.IFS(
  M21&gt;=2, "Major Positive Gap",
  M21&gt;=1, "Minor Positive Gap",
  M21&gt;=0, "No Gap",
  M21&gt;=-1, "Minor Negative Gap",
  M21&lt;=-2, "Major Negative Gap"
)</f>
        <v>Minor Positive Gap</v>
      </c>
      <c r="O21" s="160"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21" s="18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22" spans="1:16" s="186" customFormat="1" ht="74.45" customHeight="1">
      <c r="A22" s="89">
        <f t="shared" si="1"/>
        <v>10</v>
      </c>
      <c r="B22" s="187" t="s">
        <v>163</v>
      </c>
      <c r="C22" s="187" t="s">
        <v>164</v>
      </c>
      <c r="D22" s="187" t="s">
        <v>165</v>
      </c>
      <c r="E22" s="187" t="s">
        <v>166</v>
      </c>
      <c r="F22" s="187" t="s">
        <v>167</v>
      </c>
      <c r="G22" s="187" t="s">
        <v>168</v>
      </c>
      <c r="H22" s="187" t="s">
        <v>169</v>
      </c>
      <c r="I22" s="89">
        <v>5</v>
      </c>
      <c r="J22" s="89">
        <v>2</v>
      </c>
      <c r="K22" s="89">
        <v>4</v>
      </c>
      <c r="L22" s="89"/>
      <c r="M22" s="188">
        <f t="shared" si="0"/>
        <v>1</v>
      </c>
      <c r="N22" s="188" t="str" cm="1">
        <f t="array" ref="N22">_xlfn.IFS(
  M22&gt;=2, "Major Positive Gap",
  M22&gt;=1, "Minor Positive Gap",
  M22&gt;=0, "No Gap",
  M22&gt;=-1, "Minor Negative Gap",
  M22&lt;=-2, "Major Negative Gap"
)</f>
        <v>Minor Positive Gap</v>
      </c>
      <c r="O22" s="160"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22" s="18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23" spans="1:16" s="164" customFormat="1" ht="74.45" customHeight="1">
      <c r="A23" s="89">
        <f t="shared" si="1"/>
        <v>11</v>
      </c>
      <c r="B23" s="26" t="s">
        <v>170</v>
      </c>
      <c r="C23" s="26" t="s">
        <v>171</v>
      </c>
      <c r="D23" s="26" t="s">
        <v>172</v>
      </c>
      <c r="E23" s="26" t="s">
        <v>173</v>
      </c>
      <c r="F23" s="26" t="s">
        <v>174</v>
      </c>
      <c r="G23" s="26" t="s">
        <v>175</v>
      </c>
      <c r="H23" s="26" t="s">
        <v>176</v>
      </c>
      <c r="I23" s="89">
        <v>1</v>
      </c>
      <c r="J23" s="89">
        <v>3</v>
      </c>
      <c r="K23" s="89">
        <v>1</v>
      </c>
      <c r="L23" s="192"/>
      <c r="M23" s="188">
        <f t="shared" si="0"/>
        <v>0</v>
      </c>
      <c r="N23" s="188" t="str" cm="1">
        <f t="array" ref="N23">_xlfn.IFS(
  M23&gt;=2, "Major Positive Gap",
  M23&gt;=1, "Minor Positive Gap",
  M23&gt;=0, "No Gap",
  M23&gt;=-1, "Minor Negative Gap",
  M23&lt;=-2, "Major Negative Gap"
)</f>
        <v>No Gap</v>
      </c>
      <c r="O23" s="160" t="str" cm="1">
        <f t="array" ref="O23">_xlfn.SWITCH(N23,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3" s="189" t="str" cm="1">
        <f t="array" ref="P23">_xlfn.SWITCH(N23,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4" spans="1:16" s="186" customFormat="1" ht="63" customHeight="1">
      <c r="A24" s="89">
        <f t="shared" si="1"/>
        <v>12</v>
      </c>
      <c r="B24" s="187" t="s">
        <v>177</v>
      </c>
      <c r="C24" s="187" t="s">
        <v>178</v>
      </c>
      <c r="D24" s="187" t="s">
        <v>179</v>
      </c>
      <c r="E24" s="187" t="s">
        <v>180</v>
      </c>
      <c r="F24" s="187" t="s">
        <v>181</v>
      </c>
      <c r="G24" s="187" t="s">
        <v>182</v>
      </c>
      <c r="H24" s="187" t="s">
        <v>183</v>
      </c>
      <c r="I24" s="89">
        <v>2</v>
      </c>
      <c r="J24" s="89">
        <v>3</v>
      </c>
      <c r="K24" s="89">
        <v>3</v>
      </c>
      <c r="L24" s="89"/>
      <c r="M24" s="188">
        <f t="shared" si="0"/>
        <v>-1</v>
      </c>
      <c r="N24" s="188" t="str" cm="1">
        <f t="array" ref="N24">_xlfn.IFS(
  M24&gt;=2, "Major Positive Gap",
  M24&gt;=1, "Minor Positive Gap",
  M24&gt;=0, "No Gap",
  M24&gt;=-1, "Minor Negative Gap",
  M24&lt;=-2, "Major Negative Gap"
)</f>
        <v>Minor Negative Gap</v>
      </c>
      <c r="O24" s="160" t="str" cm="1">
        <f t="array" ref="O24">_xlfn.SWITCH(N24,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rendah dari superior assessment</v>
      </c>
      <c r="P24" s="189" t="str" cm="1">
        <f t="array" ref="P24">_xlfn.SWITCH(N24,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mungkin kurang percaya diri atau belum menyadari kekuatannya</v>
      </c>
    </row>
    <row r="25" spans="1:16" s="164" customFormat="1" ht="63" customHeight="1">
      <c r="A25" s="89">
        <f t="shared" si="1"/>
        <v>13</v>
      </c>
      <c r="B25" s="26" t="s">
        <v>184</v>
      </c>
      <c r="C25" s="26" t="s">
        <v>185</v>
      </c>
      <c r="D25" s="26" t="s">
        <v>186</v>
      </c>
      <c r="E25" s="26" t="s">
        <v>187</v>
      </c>
      <c r="F25" s="26" t="s">
        <v>188</v>
      </c>
      <c r="G25" s="26" t="s">
        <v>189</v>
      </c>
      <c r="H25" s="26" t="s">
        <v>190</v>
      </c>
      <c r="I25" s="89">
        <v>4</v>
      </c>
      <c r="J25" s="89">
        <v>5</v>
      </c>
      <c r="K25" s="89">
        <v>4</v>
      </c>
      <c r="L25" s="192"/>
      <c r="M25" s="188">
        <f t="shared" si="0"/>
        <v>0</v>
      </c>
      <c r="N25" s="188" t="str" cm="1">
        <f t="array" ref="N25">_xlfn.IFS(
  M25&gt;=2, "Major Positive Gap",
  M25&gt;=1, "Minor Positive Gap",
  M25&gt;=0, "No Gap",
  M25&gt;=-1, "Minor Negative Gap",
  M25&lt;=-2, "Major Negative Gap"
)</f>
        <v>No Gap</v>
      </c>
      <c r="O25" s="160" t="str" cm="1">
        <f t="array" ref="O25">_xlfn.SWITCH(N25,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5" s="189" t="str" cm="1">
        <f t="array" ref="P25">_xlfn.SWITCH(N25,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6" spans="1:16" s="164" customFormat="1" ht="63" customHeight="1">
      <c r="A26" s="89">
        <f t="shared" si="1"/>
        <v>14</v>
      </c>
      <c r="B26" s="26" t="s">
        <v>191</v>
      </c>
      <c r="C26" s="26" t="s">
        <v>192</v>
      </c>
      <c r="D26" s="26" t="s">
        <v>193</v>
      </c>
      <c r="E26" s="26" t="s">
        <v>194</v>
      </c>
      <c r="F26" s="26" t="s">
        <v>195</v>
      </c>
      <c r="G26" s="26" t="s">
        <v>196</v>
      </c>
      <c r="H26" s="26" t="s">
        <v>197</v>
      </c>
      <c r="I26" s="89">
        <v>1</v>
      </c>
      <c r="J26" s="89">
        <v>4</v>
      </c>
      <c r="K26" s="89">
        <v>3</v>
      </c>
      <c r="L26" s="192"/>
      <c r="M26" s="188">
        <f t="shared" si="0"/>
        <v>-2</v>
      </c>
      <c r="N26" s="188" t="str" cm="1">
        <f t="array" ref="N26">_xlfn.IFS(
  M26&gt;=2, "Major Positive Gap",
  M26&gt;=1, "Minor Positive Gap",
  M26&gt;=0, "No Gap",
  M26&gt;=-1, "Minor Negative Gap",
  M26&lt;=-2, "Major Negative Gap"
)</f>
        <v>Major Negative Gap</v>
      </c>
      <c r="O26" s="160" t="str" cm="1">
        <f t="array" ref="O26">_xlfn.SWITCH(N26,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26" s="189" t="str" cm="1">
        <f t="array" ref="P26">_xlfn.SWITCH(N26,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27" spans="1:16" s="186" customFormat="1" ht="84" customHeight="1">
      <c r="A27" s="89">
        <f t="shared" si="1"/>
        <v>15</v>
      </c>
      <c r="B27" s="187" t="s">
        <v>198</v>
      </c>
      <c r="C27" s="187" t="s">
        <v>199</v>
      </c>
      <c r="D27" s="187" t="s">
        <v>200</v>
      </c>
      <c r="E27" s="187" t="s">
        <v>201</v>
      </c>
      <c r="F27" s="187" t="s">
        <v>202</v>
      </c>
      <c r="G27" s="187" t="s">
        <v>203</v>
      </c>
      <c r="H27" s="187" t="s">
        <v>204</v>
      </c>
      <c r="I27" s="89">
        <v>1</v>
      </c>
      <c r="J27" s="89">
        <v>5</v>
      </c>
      <c r="K27" s="89">
        <v>1</v>
      </c>
      <c r="L27" s="89"/>
      <c r="M27" s="188">
        <f t="shared" si="0"/>
        <v>0</v>
      </c>
      <c r="N27" s="188" t="str" cm="1">
        <f t="array" ref="N27">_xlfn.IFS(
  M27&gt;=2, "Major Positive Gap",
  M27&gt;=1, "Minor Positive Gap",
  M27&gt;=0, "No Gap",
  M27&gt;=-1, "Minor Negative Gap",
  M27&lt;=-2, "Major Negative Gap"
)</f>
        <v>No Gap</v>
      </c>
      <c r="O27" s="160" t="str" cm="1">
        <f t="array" ref="O27">_xlfn.SWITCH(N27,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7" s="189" t="str" cm="1">
        <f t="array" ref="P27">_xlfn.SWITCH(N27,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8" spans="1:16" s="164" customFormat="1" ht="84" customHeight="1">
      <c r="A28" s="89">
        <f t="shared" si="1"/>
        <v>16</v>
      </c>
      <c r="B28" s="26" t="s">
        <v>205</v>
      </c>
      <c r="C28" s="26" t="s">
        <v>206</v>
      </c>
      <c r="D28" s="26" t="s">
        <v>207</v>
      </c>
      <c r="E28" s="26" t="s">
        <v>208</v>
      </c>
      <c r="F28" s="26" t="s">
        <v>209</v>
      </c>
      <c r="G28" s="26" t="s">
        <v>210</v>
      </c>
      <c r="H28" s="26" t="s">
        <v>211</v>
      </c>
      <c r="I28" s="89">
        <v>3</v>
      </c>
      <c r="J28" s="89">
        <v>2</v>
      </c>
      <c r="K28" s="89">
        <v>2</v>
      </c>
      <c r="L28" s="192"/>
      <c r="M28" s="188">
        <f t="shared" si="0"/>
        <v>1</v>
      </c>
      <c r="N28" s="188" t="str" cm="1">
        <f t="array" ref="N28">_xlfn.IFS(
  M28&gt;=2, "Major Positive Gap",
  M28&gt;=1, "Minor Positive Gap",
  M28&gt;=0, "No Gap",
  M28&gt;=-1, "Minor Negative Gap",
  M28&lt;=-2, "Major Negative Gap"
)</f>
        <v>Minor Positive Gap</v>
      </c>
      <c r="O28" s="160" t="str" cm="1">
        <f t="array" ref="O28">_xlfn.SWITCH(N28,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28" s="189" t="str" cm="1">
        <f t="array" ref="P28">_xlfn.SWITCH(N28,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29" spans="1:16" s="28" customFormat="1" ht="26.45" customHeight="1">
      <c r="A29" s="96" t="s">
        <v>99</v>
      </c>
      <c r="B29" s="97"/>
      <c r="C29" s="97"/>
      <c r="D29" s="97"/>
      <c r="E29" s="97"/>
      <c r="F29" s="97"/>
      <c r="G29" s="97"/>
      <c r="H29" s="97"/>
      <c r="I29" s="98">
        <f>AVERAGE(I13:J27)</f>
        <v>2.8</v>
      </c>
      <c r="J29" s="98">
        <f>AVERAGE(J13:K27)</f>
        <v>3.0333333333333332</v>
      </c>
      <c r="K29" s="98">
        <f>AVERAGE(K13:L27)</f>
        <v>3.1333333333333333</v>
      </c>
      <c r="L29" s="98"/>
      <c r="M29" s="95">
        <f>I29-K29</f>
        <v>-0.33333333333333348</v>
      </c>
      <c r="N29" s="27" t="str" cm="1">
        <f t="array" ref="N29">_xlfn.IFS(
  VALUE(M29) &gt;= 1, "Major Positive Gap",
  VALUE(M29) &gt;= 0.5, "Minor Positive Gap",
  VALUE(M29) &gt;= -0.49, "Aligned",
  VALUE(M29) &gt;= -0.99, "Minor Negative Gap",
  VALUE(M29) &lt;= -1, "Major Negative Gap"
)</f>
        <v>Aligned</v>
      </c>
      <c r="O29" s="88" t="str" cm="1">
        <f t="array" ref="O29">_xlfn.SWITCH(N29,
"Aligned","Aligned Perception",
"Minor Positive Gap","Slight Overestimation",
"Major Positive Gap","Significant Overestimation / Potential Blind Spot",
"Minor Negative Gap","Slight Underestimation",
"Major Negative Gap","Significant Underestimation / Hidden Strength",
""
)</f>
        <v>Aligned Perception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176B-920B-4EB9-929E-1ADD3B0631C5}">
  <sheetPr>
    <tabColor rgb="FFFFFF00"/>
  </sheetPr>
  <dimension ref="A1:P23"/>
  <sheetViews>
    <sheetView topLeftCell="A20" zoomScale="70" zoomScaleNormal="70" workbookViewId="0">
      <selection activeCell="C47" sqref="C47"/>
    </sheetView>
  </sheetViews>
  <sheetFormatPr defaultColWidth="8.85546875" defaultRowHeight="15"/>
  <cols>
    <col min="1" max="1" width="8.85546875" style="1"/>
    <col min="2" max="2" width="30.7109375" style="1" customWidth="1"/>
    <col min="3" max="8" width="40.7109375" style="1" customWidth="1"/>
    <col min="9" max="9" width="10.28515625" style="2" customWidth="1"/>
    <col min="10" max="10" width="30.7109375" style="1" hidden="1" customWidth="1"/>
    <col min="11" max="11" width="8.85546875" style="2"/>
    <col min="12" max="12" width="30.7109375" style="1" hidden="1" customWidth="1"/>
    <col min="13" max="13" width="14" style="12" bestFit="1" customWidth="1"/>
    <col min="14" max="14" width="19.5703125" style="12" bestFit="1" customWidth="1"/>
    <col min="15" max="15" width="46" style="1" customWidth="1"/>
    <col min="16" max="16" width="36.5703125" style="1" customWidth="1"/>
    <col min="17" max="16384" width="8.85546875" style="1"/>
  </cols>
  <sheetData>
    <row r="1" spans="1:16">
      <c r="I1" s="34"/>
      <c r="J1" s="34"/>
      <c r="K1" s="34"/>
      <c r="L1" s="34"/>
    </row>
    <row r="2" spans="1:16">
      <c r="B2" s="1" t="str">
        <f>Identitas!B2</f>
        <v xml:space="preserve">Nama </v>
      </c>
      <c r="C2" s="84">
        <f>Identitas!D2</f>
        <v>0</v>
      </c>
      <c r="I2" s="1"/>
      <c r="K2" s="1"/>
      <c r="M2" s="1"/>
      <c r="N2" s="1"/>
    </row>
    <row r="3" spans="1:16">
      <c r="B3" s="1" t="str">
        <f>Identitas!B3</f>
        <v>Nama Atasan yang menilai</v>
      </c>
      <c r="C3" s="84">
        <f>Identitas!D3</f>
        <v>0</v>
      </c>
      <c r="I3" s="1"/>
      <c r="K3" s="1"/>
      <c r="M3" s="1"/>
      <c r="N3" s="1"/>
    </row>
    <row r="4" spans="1:16">
      <c r="B4" s="1" t="str">
        <f>Identitas!B4</f>
        <v>Level Saat Ini</v>
      </c>
      <c r="C4" s="84" t="str">
        <f>Identitas!D4</f>
        <v>Officer</v>
      </c>
      <c r="I4" s="1"/>
      <c r="K4" s="1"/>
      <c r="M4" s="1"/>
      <c r="N4" s="1"/>
    </row>
    <row r="5" spans="1:16">
      <c r="B5" s="1" t="str">
        <f>Identitas!B5</f>
        <v>Level Tujuan</v>
      </c>
      <c r="C5" s="84" t="str">
        <f>Identitas!D5</f>
        <v>Analyst</v>
      </c>
      <c r="I5" s="1"/>
      <c r="K5" s="1"/>
      <c r="M5" s="1"/>
      <c r="N5" s="1"/>
    </row>
    <row r="6" spans="1:16">
      <c r="B6" s="1" t="str">
        <f>Identitas!B6</f>
        <v>Tanggal Assesment</v>
      </c>
      <c r="C6" s="84">
        <f>Identitas!D6</f>
        <v>0</v>
      </c>
      <c r="I6" s="1"/>
      <c r="K6" s="1"/>
      <c r="M6" s="1"/>
      <c r="N6" s="1"/>
    </row>
    <row r="7" spans="1:16">
      <c r="B7" s="1" t="str">
        <f>Identitas!B7</f>
        <v>Unit</v>
      </c>
      <c r="C7" s="84">
        <f>Identitas!D7</f>
        <v>0</v>
      </c>
      <c r="I7" s="1"/>
      <c r="K7" s="1"/>
      <c r="M7" s="1"/>
      <c r="N7" s="1"/>
    </row>
    <row r="8" spans="1:16">
      <c r="B8" s="1" t="str">
        <f>Identitas!B8</f>
        <v>Departemen</v>
      </c>
      <c r="C8" s="84">
        <f>Identitas!D8</f>
        <v>0</v>
      </c>
      <c r="I8" s="1"/>
      <c r="K8" s="1"/>
      <c r="M8" s="1"/>
      <c r="N8" s="1"/>
    </row>
    <row r="9" spans="1:16">
      <c r="B9" s="1" t="str">
        <f>Identitas!B9</f>
        <v>Divisi</v>
      </c>
      <c r="C9" s="84">
        <f>Identitas!D9</f>
        <v>0</v>
      </c>
      <c r="I9" s="1"/>
      <c r="K9" s="1"/>
      <c r="M9" s="1"/>
      <c r="N9" s="1"/>
    </row>
    <row r="10" spans="1:16">
      <c r="B10" s="1" t="str">
        <f>Identitas!B10</f>
        <v>Direktorat</v>
      </c>
      <c r="C10" s="84">
        <f>Identitas!D10</f>
        <v>0</v>
      </c>
      <c r="I10" s="1"/>
      <c r="K10" s="1"/>
      <c r="M10" s="1"/>
      <c r="N10" s="1"/>
    </row>
    <row r="12" spans="1:16" ht="36">
      <c r="A12" s="8" t="s">
        <v>14</v>
      </c>
      <c r="B12" s="8" t="s">
        <v>15</v>
      </c>
      <c r="C12" s="8" t="s">
        <v>16</v>
      </c>
      <c r="D12" s="8" t="s">
        <v>17</v>
      </c>
      <c r="E12" s="8" t="s">
        <v>18</v>
      </c>
      <c r="F12" s="8" t="s">
        <v>19</v>
      </c>
      <c r="G12" s="8" t="s">
        <v>20</v>
      </c>
      <c r="H12" s="8" t="s">
        <v>21</v>
      </c>
      <c r="I12" s="8" t="s">
        <v>22</v>
      </c>
      <c r="J12" s="8" t="s">
        <v>23</v>
      </c>
      <c r="K12" s="8" t="s">
        <v>24</v>
      </c>
      <c r="L12" s="8" t="s">
        <v>23</v>
      </c>
      <c r="M12" s="90" t="s">
        <v>25</v>
      </c>
      <c r="N12" s="11" t="s">
        <v>26</v>
      </c>
      <c r="O12" s="11" t="s">
        <v>27</v>
      </c>
      <c r="P12" s="11" t="s">
        <v>28</v>
      </c>
    </row>
    <row r="13" spans="1:16" s="186" customFormat="1" ht="57.6" customHeight="1">
      <c r="A13" s="25">
        <v>1</v>
      </c>
      <c r="B13" s="187" t="s">
        <v>212</v>
      </c>
      <c r="C13" s="187" t="s">
        <v>213</v>
      </c>
      <c r="D13" s="187" t="s">
        <v>214</v>
      </c>
      <c r="E13" s="187" t="s">
        <v>215</v>
      </c>
      <c r="F13" s="187" t="s">
        <v>216</v>
      </c>
      <c r="G13" s="187" t="s">
        <v>217</v>
      </c>
      <c r="H13" s="187" t="s">
        <v>218</v>
      </c>
      <c r="I13" s="89">
        <v>3</v>
      </c>
      <c r="J13" s="25"/>
      <c r="K13" s="89">
        <v>4</v>
      </c>
      <c r="L13" s="25"/>
      <c r="M13" s="188">
        <f t="shared" ref="M13:M22" si="0">I13-K13</f>
        <v>-1</v>
      </c>
      <c r="N13" s="188" t="str" cm="1">
        <f t="array" ref="N13">_xlfn.IFS(
  M13&gt;=2, "Major Positive Gap",
  M13&gt;=1, "Minor Positive Gap",
  M13&gt;=0, "No Gap",
  M13&gt;=-1, "Minor Negative Gap",
  M13&lt;=-2, "Major Negative Gap"
)</f>
        <v>Minor Negative Gap</v>
      </c>
      <c r="O13" s="160" t="s">
        <v>219</v>
      </c>
      <c r="P13" s="189" t="s">
        <v>220</v>
      </c>
    </row>
    <row r="14" spans="1:16" s="186" customFormat="1" ht="49.9" customHeight="1">
      <c r="A14" s="25">
        <v>2</v>
      </c>
      <c r="B14" s="187" t="s">
        <v>221</v>
      </c>
      <c r="C14" s="187" t="s">
        <v>222</v>
      </c>
      <c r="D14" s="187" t="s">
        <v>223</v>
      </c>
      <c r="E14" s="187" t="s">
        <v>224</v>
      </c>
      <c r="F14" s="187" t="s">
        <v>225</v>
      </c>
      <c r="G14" s="187" t="s">
        <v>226</v>
      </c>
      <c r="H14" s="187" t="s">
        <v>227</v>
      </c>
      <c r="I14" s="89">
        <v>3</v>
      </c>
      <c r="J14" s="25"/>
      <c r="K14" s="89">
        <v>3</v>
      </c>
      <c r="L14" s="25"/>
      <c r="M14" s="188">
        <f t="shared" si="0"/>
        <v>0</v>
      </c>
      <c r="N14" s="188" t="str" cm="1">
        <f t="array" ref="N14">_xlfn.IFS(
  M14&gt;=2, "Major Positive Gap",
  M14&gt;=1, "Minor Positive Gap",
  M14&gt;=0, "No Gap",
  M14&gt;=-1, "Minor Negative Gap",
  M14&lt;=-2, "Major Negative Gap"
)</f>
        <v>No Gap</v>
      </c>
      <c r="O14" s="160" t="s">
        <v>219</v>
      </c>
      <c r="P14" s="189" t="s">
        <v>220</v>
      </c>
    </row>
    <row r="15" spans="1:16" s="186" customFormat="1" ht="84" customHeight="1">
      <c r="A15" s="25">
        <v>3</v>
      </c>
      <c r="B15" s="187" t="s">
        <v>228</v>
      </c>
      <c r="C15" s="187" t="s">
        <v>229</v>
      </c>
      <c r="D15" s="187" t="s">
        <v>230</v>
      </c>
      <c r="E15" s="187" t="s">
        <v>231</v>
      </c>
      <c r="F15" s="187" t="s">
        <v>232</v>
      </c>
      <c r="G15" s="187" t="s">
        <v>233</v>
      </c>
      <c r="H15" s="187" t="s">
        <v>234</v>
      </c>
      <c r="I15" s="89">
        <v>3</v>
      </c>
      <c r="J15" s="25"/>
      <c r="K15" s="89">
        <v>2</v>
      </c>
      <c r="L15" s="25"/>
      <c r="M15" s="188">
        <f t="shared" si="0"/>
        <v>1</v>
      </c>
      <c r="N15" s="188" t="str" cm="1">
        <f t="array" ref="N15">_xlfn.IFS(
  M15&gt;=2, "Major Positive Gap",
  M15&gt;=1, "Minor Positive Gap",
  M15&gt;=0, "No Gap",
  M15&gt;=-1, "Minor Negative Gap",
  M15&lt;=-2, "Major Negative Gap"
)</f>
        <v>Minor Positive Gap</v>
      </c>
      <c r="O15" s="160" t="s">
        <v>235</v>
      </c>
      <c r="P15" s="189" t="s">
        <v>236</v>
      </c>
    </row>
    <row r="16" spans="1:16" s="186" customFormat="1" ht="71.45" customHeight="1">
      <c r="A16" s="25">
        <v>4</v>
      </c>
      <c r="B16" s="187" t="s">
        <v>237</v>
      </c>
      <c r="C16" s="187" t="s">
        <v>238</v>
      </c>
      <c r="D16" s="187" t="s">
        <v>239</v>
      </c>
      <c r="E16" s="187" t="s">
        <v>240</v>
      </c>
      <c r="F16" s="187" t="s">
        <v>241</v>
      </c>
      <c r="G16" s="187" t="s">
        <v>242</v>
      </c>
      <c r="H16" s="187" t="s">
        <v>243</v>
      </c>
      <c r="I16" s="89">
        <v>4</v>
      </c>
      <c r="J16" s="25"/>
      <c r="K16" s="89">
        <v>3</v>
      </c>
      <c r="L16" s="25"/>
      <c r="M16" s="188">
        <f t="shared" si="0"/>
        <v>1</v>
      </c>
      <c r="N16" s="188" t="str" cm="1">
        <f t="array" ref="N16">_xlfn.IFS(
  M16&gt;=2, "Major Positive Gap",
  M16&gt;=1, "Minor Positive Gap",
  M16&gt;=0, "No Gap",
  M16&gt;=-1, "Minor Negative Gap",
  M16&lt;=-2, "Major Negative Gap"
)</f>
        <v>Minor Positive Gap</v>
      </c>
      <c r="O16" s="160" t="s">
        <v>244</v>
      </c>
      <c r="P16" s="189" t="s">
        <v>245</v>
      </c>
    </row>
    <row r="17" spans="1:16" s="186" customFormat="1" ht="60.6" customHeight="1">
      <c r="A17" s="25">
        <v>5</v>
      </c>
      <c r="B17" s="187" t="s">
        <v>246</v>
      </c>
      <c r="C17" s="187" t="s">
        <v>247</v>
      </c>
      <c r="D17" s="187" t="s">
        <v>248</v>
      </c>
      <c r="E17" s="187" t="s">
        <v>249</v>
      </c>
      <c r="F17" s="187" t="s">
        <v>250</v>
      </c>
      <c r="G17" s="187" t="s">
        <v>251</v>
      </c>
      <c r="H17" s="187" t="s">
        <v>252</v>
      </c>
      <c r="I17" s="89">
        <v>4</v>
      </c>
      <c r="J17" s="25"/>
      <c r="K17" s="89">
        <v>4</v>
      </c>
      <c r="L17" s="25"/>
      <c r="M17" s="188">
        <f t="shared" si="0"/>
        <v>0</v>
      </c>
      <c r="N17" s="188" t="str" cm="1">
        <f t="array" ref="N17">_xlfn.IFS(
  M17&gt;=2, "Major Positive Gap",
  M17&gt;=1, "Minor Positive Gap",
  M17&gt;=0, "No Gap",
  M17&gt;=-1, "Minor Negative Gap",
  M17&lt;=-2, "Major Negative Gap"
)</f>
        <v>No Gap</v>
      </c>
      <c r="O17" s="160" t="s">
        <v>244</v>
      </c>
      <c r="P17" s="189" t="s">
        <v>245</v>
      </c>
    </row>
    <row r="18" spans="1:16" s="186" customFormat="1" ht="54" customHeight="1">
      <c r="A18" s="25">
        <v>6</v>
      </c>
      <c r="B18" s="187" t="s">
        <v>253</v>
      </c>
      <c r="C18" s="187" t="s">
        <v>254</v>
      </c>
      <c r="D18" s="187" t="s">
        <v>255</v>
      </c>
      <c r="E18" s="187" t="s">
        <v>256</v>
      </c>
      <c r="F18" s="187" t="s">
        <v>257</v>
      </c>
      <c r="G18" s="187" t="s">
        <v>258</v>
      </c>
      <c r="H18" s="187" t="s">
        <v>259</v>
      </c>
      <c r="I18" s="89">
        <v>3</v>
      </c>
      <c r="J18" s="25"/>
      <c r="K18" s="89">
        <v>2</v>
      </c>
      <c r="L18" s="25"/>
      <c r="M18" s="188">
        <f t="shared" si="0"/>
        <v>1</v>
      </c>
      <c r="N18" s="188" t="str" cm="1">
        <f t="array" ref="N18">_xlfn.IFS(
  M18&gt;=2, "Major Positive Gap",
  M18&gt;=1, "Minor Positive Gap",
  M18&gt;=0, "No Gap",
  M18&gt;=-1, "Minor Negative Gap",
  M18&lt;=-2, "Major Negative Gap"
)</f>
        <v>Minor Positive Gap</v>
      </c>
      <c r="O18" s="160" t="s">
        <v>260</v>
      </c>
      <c r="P18" s="189" t="s">
        <v>261</v>
      </c>
    </row>
    <row r="19" spans="1:16" s="186" customFormat="1" ht="71.45" customHeight="1">
      <c r="A19" s="25">
        <v>7</v>
      </c>
      <c r="B19" s="187" t="s">
        <v>262</v>
      </c>
      <c r="C19" s="187" t="s">
        <v>263</v>
      </c>
      <c r="D19" s="187" t="s">
        <v>264</v>
      </c>
      <c r="E19" s="187" t="s">
        <v>265</v>
      </c>
      <c r="F19" s="187" t="s">
        <v>266</v>
      </c>
      <c r="G19" s="187" t="s">
        <v>267</v>
      </c>
      <c r="H19" s="187" t="s">
        <v>268</v>
      </c>
      <c r="I19" s="89">
        <v>3</v>
      </c>
      <c r="J19" s="25"/>
      <c r="K19" s="89">
        <v>3</v>
      </c>
      <c r="L19" s="25"/>
      <c r="M19" s="188">
        <f t="shared" si="0"/>
        <v>0</v>
      </c>
      <c r="N19" s="188" t="str" cm="1">
        <f t="array" ref="N19">_xlfn.IFS(
  M19&gt;=2, "Major Positive Gap",
  M19&gt;=1, "Minor Positive Gap",
  M19&gt;=0, "No Gap",
  M19&gt;=-1, "Minor Negative Gap",
  M19&lt;=-2, "Major Negative Gap"
)</f>
        <v>No Gap</v>
      </c>
      <c r="O19" s="160" t="s">
        <v>244</v>
      </c>
      <c r="P19" s="189" t="s">
        <v>245</v>
      </c>
    </row>
    <row r="20" spans="1:16" s="186" customFormat="1" ht="60" customHeight="1">
      <c r="A20" s="25">
        <v>8</v>
      </c>
      <c r="B20" s="187" t="s">
        <v>269</v>
      </c>
      <c r="C20" s="187" t="s">
        <v>270</v>
      </c>
      <c r="D20" s="187" t="s">
        <v>271</v>
      </c>
      <c r="E20" s="187" t="s">
        <v>272</v>
      </c>
      <c r="F20" s="187" t="s">
        <v>273</v>
      </c>
      <c r="G20" s="187" t="s">
        <v>274</v>
      </c>
      <c r="H20" s="187" t="s">
        <v>275</v>
      </c>
      <c r="I20" s="89">
        <v>2</v>
      </c>
      <c r="J20" s="25"/>
      <c r="K20" s="89">
        <v>1</v>
      </c>
      <c r="L20" s="25"/>
      <c r="M20" s="188">
        <f t="shared" si="0"/>
        <v>1</v>
      </c>
      <c r="N20" s="188" t="str" cm="1">
        <f t="array" ref="N20">_xlfn.IFS(
  M20&gt;=2, "Major Positive Gap",
  M20&gt;=1, "Minor Positive Gap",
  M20&gt;=0, "No Gap",
  M20&gt;=-1, "Minor Negative Gap",
  M20&lt;=-2, "Major Negative Gap"
)</f>
        <v>Minor Positive Gap</v>
      </c>
      <c r="O20" s="160" t="s">
        <v>260</v>
      </c>
      <c r="P20" s="189" t="s">
        <v>261</v>
      </c>
    </row>
    <row r="21" spans="1:16" s="186" customFormat="1" ht="93.6" customHeight="1">
      <c r="A21" s="25">
        <v>9</v>
      </c>
      <c r="B21" s="187" t="s">
        <v>276</v>
      </c>
      <c r="C21" s="187" t="s">
        <v>277</v>
      </c>
      <c r="D21" s="187" t="s">
        <v>278</v>
      </c>
      <c r="E21" s="187" t="s">
        <v>279</v>
      </c>
      <c r="F21" s="187" t="s">
        <v>280</v>
      </c>
      <c r="G21" s="187" t="s">
        <v>281</v>
      </c>
      <c r="H21" s="187" t="s">
        <v>282</v>
      </c>
      <c r="I21" s="89">
        <v>2</v>
      </c>
      <c r="J21" s="25"/>
      <c r="K21" s="89">
        <v>1</v>
      </c>
      <c r="L21" s="25"/>
      <c r="M21" s="188">
        <f t="shared" si="0"/>
        <v>1</v>
      </c>
      <c r="N21" s="188" t="str" cm="1">
        <f t="array" ref="N21">_xlfn.IFS(
  M21&gt;=2, "Major Positive Gap",
  M21&gt;=1, "Minor Positive Gap",
  M21&gt;=0, "No Gap",
  M21&gt;=-1, "Minor Negative Gap",
  M21&lt;=-2, "Major Negative Gap"
)</f>
        <v>Minor Positive Gap</v>
      </c>
      <c r="O21" s="160" t="s">
        <v>235</v>
      </c>
      <c r="P21" s="189" t="s">
        <v>236</v>
      </c>
    </row>
    <row r="22" spans="1:16" s="186" customFormat="1" ht="36">
      <c r="A22" s="25">
        <v>10</v>
      </c>
      <c r="B22" s="187" t="s">
        <v>283</v>
      </c>
      <c r="C22" s="187" t="s">
        <v>284</v>
      </c>
      <c r="D22" s="187" t="s">
        <v>285</v>
      </c>
      <c r="E22" s="187" t="s">
        <v>286</v>
      </c>
      <c r="F22" s="187" t="s">
        <v>287</v>
      </c>
      <c r="G22" s="187" t="s">
        <v>288</v>
      </c>
      <c r="H22" s="187" t="s">
        <v>289</v>
      </c>
      <c r="I22" s="89">
        <v>3</v>
      </c>
      <c r="J22" s="25"/>
      <c r="K22" s="89">
        <v>2</v>
      </c>
      <c r="L22" s="25"/>
      <c r="M22" s="188">
        <f t="shared" si="0"/>
        <v>1</v>
      </c>
      <c r="N22" s="188" t="str" cm="1">
        <f t="array" ref="N22">_xlfn.IFS(
  M22&gt;=2, "Major Positive Gap",
  M22&gt;=1, "Minor Positive Gap",
  M22&gt;=0, "No Gap",
  M22&gt;=-1, "Minor Negative Gap",
  M22&lt;=-2, "Major Negative Gap"
)</f>
        <v>Minor Positive Gap</v>
      </c>
      <c r="O22" s="160" t="s">
        <v>219</v>
      </c>
      <c r="P22" s="189" t="s">
        <v>220</v>
      </c>
    </row>
    <row r="23" spans="1:16" s="28" customFormat="1" ht="31.15" customHeight="1">
      <c r="A23" s="96" t="s">
        <v>99</v>
      </c>
      <c r="B23" s="97"/>
      <c r="C23" s="97"/>
      <c r="D23" s="97"/>
      <c r="E23" s="97"/>
      <c r="F23" s="97"/>
      <c r="G23" s="97"/>
      <c r="H23" s="97"/>
      <c r="I23" s="98">
        <f>AVERAGE(I13:J22)</f>
        <v>3</v>
      </c>
      <c r="J23" s="98">
        <f>AVERAGE(J13:K22)</f>
        <v>2.5</v>
      </c>
      <c r="K23" s="98">
        <f>AVERAGE(K13:L22)</f>
        <v>2.5</v>
      </c>
      <c r="L23" s="98"/>
      <c r="M23" s="95">
        <f>I23-K23</f>
        <v>0.5</v>
      </c>
      <c r="N23" s="27" t="str" cm="1">
        <f t="array" ref="N23">_xlfn.IFS(
  VALUE(M23) &gt;= 1, "Major Positive Gap",
  VALUE(M23) &gt;= 0.5, "Minor Positive Gap",
  VALUE(M23) &gt;= -0.49, "Aligned",
  VALUE(M23) &gt;= -0.99, "Minor Negative Gap",
  VALUE(M23) &lt;= -1, "Major Negative Gap"
)</f>
        <v>Minor Positive Gap</v>
      </c>
      <c r="O23" s="88" t="str" cm="1">
        <f t="array" ref="O23">_xlfn.SWITCH(N23,
"Aligned","Aligned Perception",
"Minor Positive Gap","Slight Overestimation",
"Major Positive Gap","Significant Overestimation / Potential Blind Spot",
"Minor Negative Gap","Slight Underestimation",
"Major Negative Gap","Significant Underestimation / Hidden Strength",
""
)</f>
        <v>Slight Overestimation</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05BB-6445-4D13-96FF-2CE1D5AE0A44}">
  <sheetPr>
    <tabColor rgb="FFFFFF00"/>
  </sheetPr>
  <dimension ref="A1:P40"/>
  <sheetViews>
    <sheetView topLeftCell="A21" zoomScale="70" zoomScaleNormal="70" workbookViewId="0">
      <selection activeCell="D48" sqref="D48"/>
    </sheetView>
  </sheetViews>
  <sheetFormatPr defaultColWidth="8.85546875" defaultRowHeight="15"/>
  <cols>
    <col min="1" max="1" width="8.85546875" style="1"/>
    <col min="2" max="2" width="30.7109375" style="1" customWidth="1"/>
    <col min="3" max="8" width="40.7109375" style="1" customWidth="1"/>
    <col min="9" max="9" width="8.85546875" style="2"/>
    <col min="10" max="10" width="30.7109375" style="1" hidden="1" customWidth="1"/>
    <col min="11" max="11" width="8.85546875" style="2"/>
    <col min="12" max="12" width="30.7109375" style="1" hidden="1" customWidth="1"/>
    <col min="13" max="13" width="14" style="12" bestFit="1" customWidth="1"/>
    <col min="14" max="14" width="22" style="12" customWidth="1"/>
    <col min="15" max="15" width="46" style="1" customWidth="1"/>
    <col min="16" max="16" width="36.5703125" style="1" customWidth="1"/>
    <col min="17" max="16384" width="8.85546875" style="1"/>
  </cols>
  <sheetData>
    <row r="1" spans="1:16">
      <c r="I1" s="34"/>
      <c r="J1" s="34"/>
      <c r="K1" s="34"/>
      <c r="L1" s="34"/>
    </row>
    <row r="2" spans="1:16">
      <c r="B2" s="1" t="str">
        <f>Identitas!B2</f>
        <v xml:space="preserve">Nama </v>
      </c>
      <c r="C2" s="84">
        <f>Identitas!D2</f>
        <v>0</v>
      </c>
      <c r="I2" s="1"/>
      <c r="K2" s="1"/>
      <c r="M2" s="1"/>
      <c r="N2" s="1"/>
    </row>
    <row r="3" spans="1:16">
      <c r="B3" s="1" t="str">
        <f>Identitas!B3</f>
        <v>Nama Atasan yang menilai</v>
      </c>
      <c r="C3" s="84">
        <f>Identitas!D3</f>
        <v>0</v>
      </c>
      <c r="I3" s="1"/>
      <c r="K3" s="1"/>
      <c r="M3" s="1"/>
      <c r="N3" s="1"/>
    </row>
    <row r="4" spans="1:16">
      <c r="B4" s="1" t="str">
        <f>Identitas!B4</f>
        <v>Level Saat Ini</v>
      </c>
      <c r="C4" s="84" t="str">
        <f>Identitas!D4</f>
        <v>Officer</v>
      </c>
      <c r="I4" s="1"/>
      <c r="K4" s="1"/>
      <c r="M4" s="1"/>
      <c r="N4" s="1"/>
    </row>
    <row r="5" spans="1:16">
      <c r="B5" s="1" t="str">
        <f>Identitas!B5</f>
        <v>Level Tujuan</v>
      </c>
      <c r="C5" s="84" t="str">
        <f>Identitas!D5</f>
        <v>Analyst</v>
      </c>
      <c r="I5" s="1"/>
      <c r="K5" s="1"/>
      <c r="M5" s="1"/>
      <c r="N5" s="1"/>
    </row>
    <row r="6" spans="1:16">
      <c r="B6" s="1" t="str">
        <f>Identitas!B6</f>
        <v>Tanggal Assesment</v>
      </c>
      <c r="C6" s="84">
        <f>Identitas!D6</f>
        <v>0</v>
      </c>
      <c r="I6" s="1"/>
      <c r="K6" s="1"/>
      <c r="M6" s="1"/>
      <c r="N6" s="1"/>
    </row>
    <row r="7" spans="1:16">
      <c r="B7" s="1" t="str">
        <f>Identitas!B7</f>
        <v>Unit</v>
      </c>
      <c r="C7" s="84">
        <f>Identitas!D7</f>
        <v>0</v>
      </c>
      <c r="I7" s="1"/>
      <c r="K7" s="1"/>
      <c r="M7" s="1"/>
      <c r="N7" s="1"/>
    </row>
    <row r="8" spans="1:16">
      <c r="B8" s="1" t="str">
        <f>Identitas!B8</f>
        <v>Departemen</v>
      </c>
      <c r="C8" s="84">
        <f>Identitas!D8</f>
        <v>0</v>
      </c>
      <c r="I8" s="1"/>
      <c r="K8" s="1"/>
      <c r="M8" s="1"/>
      <c r="N8" s="1"/>
    </row>
    <row r="9" spans="1:16">
      <c r="B9" s="1" t="str">
        <f>Identitas!B9</f>
        <v>Divisi</v>
      </c>
      <c r="C9" s="84">
        <f>Identitas!D9</f>
        <v>0</v>
      </c>
      <c r="I9" s="1"/>
      <c r="K9" s="1"/>
      <c r="M9" s="1"/>
      <c r="N9" s="1"/>
    </row>
    <row r="10" spans="1:16">
      <c r="B10" s="1" t="str">
        <f>Identitas!B10</f>
        <v>Direktorat</v>
      </c>
      <c r="C10" s="84">
        <f>Identitas!D10</f>
        <v>0</v>
      </c>
      <c r="I10" s="1"/>
      <c r="K10" s="1"/>
      <c r="M10" s="1"/>
      <c r="N10" s="1"/>
    </row>
    <row r="12" spans="1:16" ht="36">
      <c r="A12" s="8" t="s">
        <v>14</v>
      </c>
      <c r="B12" s="8" t="s">
        <v>15</v>
      </c>
      <c r="C12" s="8" t="s">
        <v>16</v>
      </c>
      <c r="D12" s="8" t="s">
        <v>17</v>
      </c>
      <c r="E12" s="8" t="s">
        <v>18</v>
      </c>
      <c r="F12" s="8" t="s">
        <v>19</v>
      </c>
      <c r="G12" s="8" t="s">
        <v>20</v>
      </c>
      <c r="H12" s="8" t="s">
        <v>21</v>
      </c>
      <c r="I12" s="8" t="s">
        <v>22</v>
      </c>
      <c r="J12" s="8" t="s">
        <v>23</v>
      </c>
      <c r="K12" s="8" t="s">
        <v>24</v>
      </c>
      <c r="L12" s="8" t="s">
        <v>23</v>
      </c>
      <c r="M12" s="90" t="s">
        <v>25</v>
      </c>
      <c r="N12" s="11" t="s">
        <v>26</v>
      </c>
      <c r="O12" s="11" t="s">
        <v>27</v>
      </c>
      <c r="P12" s="11" t="s">
        <v>28</v>
      </c>
    </row>
    <row r="13" spans="1:16" s="186" customFormat="1" ht="58.15" customHeight="1">
      <c r="A13" s="25">
        <v>1</v>
      </c>
      <c r="B13" s="187" t="s">
        <v>290</v>
      </c>
      <c r="C13" s="187" t="s">
        <v>291</v>
      </c>
      <c r="D13" s="187" t="s">
        <v>292</v>
      </c>
      <c r="E13" s="187" t="s">
        <v>293</v>
      </c>
      <c r="F13" s="187" t="s">
        <v>294</v>
      </c>
      <c r="G13" s="187" t="s">
        <v>295</v>
      </c>
      <c r="H13" s="187" t="s">
        <v>296</v>
      </c>
      <c r="I13" s="89">
        <v>1</v>
      </c>
      <c r="J13" s="25"/>
      <c r="K13" s="89">
        <v>2</v>
      </c>
      <c r="L13" s="25"/>
      <c r="M13" s="188">
        <f t="shared" ref="M13" si="0">I13-K13</f>
        <v>-1</v>
      </c>
      <c r="N13" s="188" t="str" cm="1">
        <f t="array" ref="N13">_xlfn.IFS(
  M13&gt;=2, "Major Positive Gap",
  M13&gt;=1, "Minor Positive Gap",
  M13&gt;=0, "No Gap",
  M13&gt;=-1, "Minor Negative Gap",
  M13&lt;=-2, "Major Negative Gap"
)</f>
        <v>Minor Negative Gap</v>
      </c>
      <c r="O13" s="160"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rendah dari superior assessment</v>
      </c>
      <c r="P13" s="18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mungkin kurang percaya diri atau belum menyadari kekuatannya</v>
      </c>
    </row>
    <row r="14" spans="1:16" s="186" customFormat="1" ht="72.599999999999994" customHeight="1">
      <c r="A14" s="25">
        <f>A13+1</f>
        <v>2</v>
      </c>
      <c r="B14" s="187" t="s">
        <v>297</v>
      </c>
      <c r="C14" s="187" t="s">
        <v>298</v>
      </c>
      <c r="D14" s="187" t="s">
        <v>299</v>
      </c>
      <c r="E14" s="187" t="s">
        <v>300</v>
      </c>
      <c r="F14" s="187" t="s">
        <v>301</v>
      </c>
      <c r="G14" s="187" t="s">
        <v>302</v>
      </c>
      <c r="H14" s="187" t="s">
        <v>303</v>
      </c>
      <c r="I14" s="89">
        <v>5</v>
      </c>
      <c r="J14" s="25"/>
      <c r="K14" s="89">
        <v>5</v>
      </c>
      <c r="L14" s="25"/>
      <c r="M14" s="188">
        <f t="shared" ref="M14:M24" si="1">I14-K14</f>
        <v>0</v>
      </c>
      <c r="N14" s="188" t="str" cm="1">
        <f t="array" ref="N14">_xlfn.IFS(
  M14&gt;=2, "Major Positive Gap",
  M14&gt;=1, "Minor Positive Gap",
  M14&gt;=0, "No Gap",
  M14&gt;=-1, "Minor Negative Gap",
  M14&lt;=-2, "Major Negative Gap"
)</f>
        <v>No Gap</v>
      </c>
      <c r="O14" s="160"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8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spans="1:16" s="186" customFormat="1" ht="58.9" customHeight="1">
      <c r="A15" s="25">
        <f t="shared" ref="A15:A24" si="2">A14+1</f>
        <v>3</v>
      </c>
      <c r="B15" s="187" t="s">
        <v>304</v>
      </c>
      <c r="C15" s="187" t="s">
        <v>305</v>
      </c>
      <c r="D15" s="187" t="s">
        <v>306</v>
      </c>
      <c r="E15" s="187" t="s">
        <v>307</v>
      </c>
      <c r="F15" s="187" t="s">
        <v>308</v>
      </c>
      <c r="G15" s="187" t="s">
        <v>309</v>
      </c>
      <c r="H15" s="187" t="s">
        <v>310</v>
      </c>
      <c r="I15" s="89">
        <v>4</v>
      </c>
      <c r="J15" s="25"/>
      <c r="K15" s="89">
        <v>4</v>
      </c>
      <c r="L15" s="25"/>
      <c r="M15" s="188">
        <f t="shared" si="1"/>
        <v>0</v>
      </c>
      <c r="N15" s="188" t="str" cm="1">
        <f t="array" ref="N15">_xlfn.IFS(
  M15&gt;=2, "Major Positive Gap",
  M15&gt;=1, "Minor Positive Gap",
  M15&gt;=0, "No Gap",
  M15&gt;=-1, "Minor Negative Gap",
  M15&lt;=-2, "Major Negative Gap"
)</f>
        <v>No Gap</v>
      </c>
      <c r="O15" s="160"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8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spans="1:16" s="186" customFormat="1" ht="72" customHeight="1">
      <c r="A16" s="25">
        <f t="shared" si="2"/>
        <v>4</v>
      </c>
      <c r="B16" s="187" t="s">
        <v>311</v>
      </c>
      <c r="C16" s="187" t="s">
        <v>312</v>
      </c>
      <c r="D16" s="187" t="s">
        <v>313</v>
      </c>
      <c r="E16" s="187" t="s">
        <v>314</v>
      </c>
      <c r="F16" s="187" t="s">
        <v>315</v>
      </c>
      <c r="G16" s="187" t="s">
        <v>316</v>
      </c>
      <c r="H16" s="187" t="s">
        <v>317</v>
      </c>
      <c r="I16" s="89">
        <v>3</v>
      </c>
      <c r="J16" s="25"/>
      <c r="K16" s="89">
        <v>5</v>
      </c>
      <c r="L16" s="25"/>
      <c r="M16" s="188">
        <f t="shared" si="1"/>
        <v>-2</v>
      </c>
      <c r="N16" s="188" t="str" cm="1">
        <f t="array" ref="N16">_xlfn.IFS(
  M16&gt;=2, "Major Positive Gap",
  M16&gt;=1, "Minor Positive Gap",
  M16&gt;=0, "No Gap",
  M16&gt;=-1, "Minor Negative Gap",
  M16&lt;=-2, "Major Negative Gap"
)</f>
        <v>Major Negative Gap</v>
      </c>
      <c r="O16" s="160"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16" s="18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17" spans="1:16" s="164" customFormat="1" ht="72" customHeight="1">
      <c r="A17" s="25">
        <f t="shared" si="2"/>
        <v>5</v>
      </c>
      <c r="B17" s="26" t="s">
        <v>318</v>
      </c>
      <c r="C17" s="26" t="s">
        <v>319</v>
      </c>
      <c r="D17" s="26" t="s">
        <v>320</v>
      </c>
      <c r="E17" s="26" t="s">
        <v>321</v>
      </c>
      <c r="F17" s="26" t="s">
        <v>322</v>
      </c>
      <c r="G17" s="26" t="s">
        <v>323</v>
      </c>
      <c r="H17" s="26" t="s">
        <v>324</v>
      </c>
      <c r="I17" s="89">
        <v>5</v>
      </c>
      <c r="J17" s="25"/>
      <c r="K17" s="89">
        <v>4</v>
      </c>
      <c r="L17" s="193"/>
      <c r="M17" s="188">
        <f t="shared" si="1"/>
        <v>1</v>
      </c>
      <c r="N17" s="188" t="str" cm="1">
        <f t="array" ref="N17">_xlfn.IFS(
  M17&gt;=2, "Major Positive Gap",
  M17&gt;=1, "Minor Positive Gap",
  M17&gt;=0, "No Gap",
  M17&gt;=-1, "Minor Negative Gap",
  M17&lt;=-2, "Major Negative Gap"
)</f>
        <v>Minor Positive Gap</v>
      </c>
      <c r="O17" s="160"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7" s="18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8" spans="1:16" s="186" customFormat="1" ht="75.599999999999994" customHeight="1">
      <c r="A18" s="25">
        <f t="shared" si="2"/>
        <v>6</v>
      </c>
      <c r="B18" s="187" t="s">
        <v>325</v>
      </c>
      <c r="C18" s="187" t="s">
        <v>326</v>
      </c>
      <c r="D18" s="187" t="s">
        <v>327</v>
      </c>
      <c r="E18" s="187" t="s">
        <v>328</v>
      </c>
      <c r="F18" s="187" t="s">
        <v>329</v>
      </c>
      <c r="G18" s="187" t="s">
        <v>330</v>
      </c>
      <c r="H18" s="187" t="s">
        <v>331</v>
      </c>
      <c r="I18" s="89">
        <v>1</v>
      </c>
      <c r="J18" s="25"/>
      <c r="K18" s="89">
        <v>4</v>
      </c>
      <c r="L18" s="25"/>
      <c r="M18" s="188">
        <f t="shared" si="1"/>
        <v>-3</v>
      </c>
      <c r="N18" s="188" t="str" cm="1">
        <f t="array" ref="N18">_xlfn.IFS(
  M18&gt;=2, "Major Positive Gap",
  M18&gt;=1, "Minor Positive Gap",
  M18&gt;=0, "No Gap",
  M18&gt;=-1, "Minor Negative Gap",
  M18&lt;=-2, "Major Negative Gap"
)</f>
        <v>Major Negative Gap</v>
      </c>
      <c r="O18" s="160"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18" s="18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19" spans="1:16" s="186" customFormat="1" ht="90.6" customHeight="1">
      <c r="A19" s="25">
        <f t="shared" si="2"/>
        <v>7</v>
      </c>
      <c r="B19" s="187" t="s">
        <v>332</v>
      </c>
      <c r="C19" s="187" t="s">
        <v>333</v>
      </c>
      <c r="D19" s="187" t="s">
        <v>334</v>
      </c>
      <c r="E19" s="187" t="s">
        <v>335</v>
      </c>
      <c r="F19" s="187" t="s">
        <v>336</v>
      </c>
      <c r="G19" s="187" t="s">
        <v>337</v>
      </c>
      <c r="H19" s="187" t="s">
        <v>338</v>
      </c>
      <c r="I19" s="89">
        <v>2</v>
      </c>
      <c r="J19" s="25"/>
      <c r="K19" s="89">
        <v>2</v>
      </c>
      <c r="L19" s="25"/>
      <c r="M19" s="188">
        <f t="shared" si="1"/>
        <v>0</v>
      </c>
      <c r="N19" s="188" t="str" cm="1">
        <f t="array" ref="N19">_xlfn.IFS(
  M19&gt;=2, "Major Positive Gap",
  M19&gt;=1, "Minor Positive Gap",
  M19&gt;=0, "No Gap",
  M19&gt;=-1, "Minor Negative Gap",
  M19&lt;=-2, "Major Negative Gap"
)</f>
        <v>No Gap</v>
      </c>
      <c r="O19" s="160"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8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spans="1:16" s="186" customFormat="1" ht="87" customHeight="1">
      <c r="A20" s="25">
        <f t="shared" si="2"/>
        <v>8</v>
      </c>
      <c r="B20" s="187" t="s">
        <v>339</v>
      </c>
      <c r="C20" s="187" t="s">
        <v>340</v>
      </c>
      <c r="D20" s="187" t="s">
        <v>341</v>
      </c>
      <c r="E20" s="187" t="s">
        <v>342</v>
      </c>
      <c r="F20" s="187" t="s">
        <v>343</v>
      </c>
      <c r="G20" s="187" t="s">
        <v>344</v>
      </c>
      <c r="H20" s="187" t="s">
        <v>345</v>
      </c>
      <c r="I20" s="89">
        <v>2</v>
      </c>
      <c r="J20" s="25"/>
      <c r="K20" s="89">
        <v>2</v>
      </c>
      <c r="L20" s="25"/>
      <c r="M20" s="188">
        <f t="shared" si="1"/>
        <v>0</v>
      </c>
      <c r="N20" s="188" t="str" cm="1">
        <f t="array" ref="N20">_xlfn.IFS(
  M20&gt;=2, "Major Positive Gap",
  M20&gt;=1, "Minor Positive Gap",
  M20&gt;=0, "No Gap",
  M20&gt;=-1, "Minor Negative Gap",
  M20&lt;=-2, "Major Negative Gap"
)</f>
        <v>No Gap</v>
      </c>
      <c r="O20" s="160"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8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spans="1:16" s="186" customFormat="1" ht="82.9" customHeight="1">
      <c r="A21" s="25">
        <f t="shared" si="2"/>
        <v>9</v>
      </c>
      <c r="B21" s="187" t="s">
        <v>346</v>
      </c>
      <c r="C21" s="187" t="s">
        <v>347</v>
      </c>
      <c r="D21" s="187" t="s">
        <v>348</v>
      </c>
      <c r="E21" s="187" t="s">
        <v>349</v>
      </c>
      <c r="F21" s="187" t="s">
        <v>350</v>
      </c>
      <c r="G21" s="187" t="s">
        <v>351</v>
      </c>
      <c r="H21" s="187" t="s">
        <v>352</v>
      </c>
      <c r="I21" s="89">
        <v>3</v>
      </c>
      <c r="J21" s="25"/>
      <c r="K21" s="89">
        <v>5</v>
      </c>
      <c r="L21" s="25"/>
      <c r="M21" s="188">
        <f t="shared" si="1"/>
        <v>-2</v>
      </c>
      <c r="N21" s="188" t="str" cm="1">
        <f t="array" ref="N21">_xlfn.IFS(
  M21&gt;=2, "Major Positive Gap",
  M21&gt;=1, "Minor Positive Gap",
  M21&gt;=0, "No Gap",
  M21&gt;=-1, "Minor Negative Gap",
  M21&lt;=-2, "Major Negative Gap"
)</f>
        <v>Major Negative Gap</v>
      </c>
      <c r="O21" s="160"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21" s="18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22" spans="1:16" s="164" customFormat="1" ht="82.9" customHeight="1">
      <c r="A22" s="25">
        <f t="shared" si="2"/>
        <v>10</v>
      </c>
      <c r="B22" s="26" t="s">
        <v>353</v>
      </c>
      <c r="C22" s="26" t="s">
        <v>354</v>
      </c>
      <c r="D22" s="26" t="s">
        <v>355</v>
      </c>
      <c r="E22" s="26" t="s">
        <v>356</v>
      </c>
      <c r="F22" s="26" t="s">
        <v>357</v>
      </c>
      <c r="G22" s="26" t="s">
        <v>358</v>
      </c>
      <c r="H22" s="26" t="s">
        <v>359</v>
      </c>
      <c r="I22" s="89">
        <v>1</v>
      </c>
      <c r="J22" s="25"/>
      <c r="K22" s="89">
        <v>4</v>
      </c>
      <c r="L22" s="193"/>
      <c r="M22" s="188">
        <f t="shared" si="1"/>
        <v>-3</v>
      </c>
      <c r="N22" s="188" t="str" cm="1">
        <f t="array" ref="N22">_xlfn.IFS(
  M22&gt;=2, "Major Positive Gap",
  M22&gt;=1, "Minor Positive Gap",
  M22&gt;=0, "No Gap",
  M22&gt;=-1, "Minor Negative Gap",
  M22&lt;=-2, "Major Negative Gap"
)</f>
        <v>Major Negative Gap</v>
      </c>
      <c r="O22" s="160"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22" s="18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23" spans="1:16" s="186" customFormat="1" ht="82.15" customHeight="1">
      <c r="A23" s="25">
        <f t="shared" si="2"/>
        <v>11</v>
      </c>
      <c r="B23" s="187" t="s">
        <v>360</v>
      </c>
      <c r="C23" s="187" t="s">
        <v>361</v>
      </c>
      <c r="D23" s="187" t="s">
        <v>362</v>
      </c>
      <c r="E23" s="187" t="s">
        <v>363</v>
      </c>
      <c r="F23" s="187" t="s">
        <v>364</v>
      </c>
      <c r="G23" s="187" t="s">
        <v>365</v>
      </c>
      <c r="H23" s="187" t="s">
        <v>366</v>
      </c>
      <c r="I23" s="89">
        <v>4</v>
      </c>
      <c r="J23" s="25"/>
      <c r="K23" s="89">
        <v>2</v>
      </c>
      <c r="L23" s="25"/>
      <c r="M23" s="188">
        <f t="shared" si="1"/>
        <v>2</v>
      </c>
      <c r="N23" s="188" t="str" cm="1">
        <f t="array" ref="N23">_xlfn.IFS(
  M23&gt;=2, "Major Positive Gap",
  M23&gt;=1, "Minor Positive Gap",
  M23&gt;=0, "No Gap",
  M23&gt;=-1, "Minor Negative Gap",
  M23&lt;=-2, "Major Negative Gap"
)</f>
        <v>Major Positive Gap</v>
      </c>
      <c r="O23" s="160" t="str" cm="1">
        <f t="array" ref="O23">_xlfn.SWITCH(N23,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tinggi dari perilaku yang tampak menurut atasan</v>
      </c>
      <c r="P23" s="189" t="str" cm="1">
        <f t="array" ref="P23">_xlfn.SWITCH(N23,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potensi blind spot; perilaku belum terlihat sekuat persepsi diri</v>
      </c>
    </row>
    <row r="24" spans="1:16" s="186" customFormat="1" ht="58.15" customHeight="1">
      <c r="A24" s="25">
        <f t="shared" si="2"/>
        <v>12</v>
      </c>
      <c r="B24" s="187" t="s">
        <v>367</v>
      </c>
      <c r="C24" s="187" t="s">
        <v>368</v>
      </c>
      <c r="D24" s="187" t="s">
        <v>369</v>
      </c>
      <c r="E24" s="187" t="s">
        <v>370</v>
      </c>
      <c r="F24" s="187" t="s">
        <v>371</v>
      </c>
      <c r="G24" s="187" t="s">
        <v>372</v>
      </c>
      <c r="H24" s="187" t="s">
        <v>373</v>
      </c>
      <c r="I24" s="89">
        <v>5</v>
      </c>
      <c r="J24" s="25"/>
      <c r="K24" s="89">
        <v>2</v>
      </c>
      <c r="L24" s="25"/>
      <c r="M24" s="188">
        <f t="shared" si="1"/>
        <v>3</v>
      </c>
      <c r="N24" s="188" t="str" cm="1">
        <f t="array" ref="N24">_xlfn.IFS(
  M24&gt;=2, "Major Positive Gap",
  M24&gt;=1, "Minor Positive Gap",
  M24&gt;=0, "No Gap",
  M24&gt;=-1, "Minor Negative Gap",
  M24&lt;=-2, "Major Negative Gap"
)</f>
        <v>Major Positive Gap</v>
      </c>
      <c r="O24" s="160" t="str" cm="1">
        <f t="array" ref="O24">_xlfn.SWITCH(N24,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tinggi dari perilaku yang tampak menurut atasan</v>
      </c>
      <c r="P24" s="189" t="str" cm="1">
        <f t="array" ref="P24">_xlfn.SWITCH(N24,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potensi blind spot; perilaku belum terlihat sekuat persepsi diri</v>
      </c>
    </row>
    <row r="25" spans="1:16" s="28" customFormat="1">
      <c r="A25" s="96" t="s">
        <v>99</v>
      </c>
      <c r="B25" s="97"/>
      <c r="C25" s="280"/>
      <c r="D25" s="281"/>
      <c r="E25" s="281"/>
      <c r="F25" s="281"/>
      <c r="G25" s="281"/>
      <c r="H25" s="282"/>
      <c r="I25" s="98">
        <f>AVERAGE(I13:J24)</f>
        <v>3</v>
      </c>
      <c r="J25" s="100">
        <f>AVERAGE(J13:K24)</f>
        <v>3.4166666666666665</v>
      </c>
      <c r="K25" s="98">
        <f>AVERAGE(K13:L24)</f>
        <v>3.4166666666666665</v>
      </c>
      <c r="L25" s="100"/>
      <c r="M25" s="95">
        <f>I25-K25</f>
        <v>-0.41666666666666652</v>
      </c>
      <c r="N25" s="27" t="str" cm="1">
        <f t="array" ref="N25">_xlfn.IFS(
  VALUE(M25) &gt;= 1, "Major Positive Gap",
  VALUE(M25) &gt;= 0.5, "Minor Positive Gap",
  VALUE(M25) &gt;= -0.49, "Aligned",
  VALUE(M25) &gt;= -0.99, "Minor Negative Gap",
  VALUE(M25) &lt;= -1, "Major Negative Gap"
)</f>
        <v>Aligned</v>
      </c>
      <c r="O25" s="88" t="str" cm="1">
        <f t="array" ref="O25">_xlfn.SWITCH(N25,
"Aligned","Aligned Perception",
"Minor Positive Gap","Slight Overestimation",
"Major Positive Gap","Significant Overestimation / Potential Blind Spot",
"Minor Negative Gap","Slight Underestimation",
"Major Negative Gap","Significant Underestimation / Hidden Strength",
""
)</f>
        <v>Aligned Perception</v>
      </c>
    </row>
    <row r="26" spans="1:16">
      <c r="B26" s="80"/>
    </row>
    <row r="29" spans="1:16" hidden="1">
      <c r="A29" s="8" t="s">
        <v>14</v>
      </c>
      <c r="B29" s="8" t="s">
        <v>15</v>
      </c>
      <c r="C29" s="8" t="s">
        <v>16</v>
      </c>
      <c r="D29" s="8" t="s">
        <v>17</v>
      </c>
      <c r="E29" s="8" t="s">
        <v>18</v>
      </c>
      <c r="F29" s="8" t="s">
        <v>19</v>
      </c>
      <c r="G29" s="8" t="s">
        <v>20</v>
      </c>
      <c r="H29" s="8" t="s">
        <v>21</v>
      </c>
    </row>
    <row r="30" spans="1:16" ht="36" hidden="1">
      <c r="A30" s="9">
        <v>1</v>
      </c>
      <c r="B30" s="26" t="s">
        <v>290</v>
      </c>
      <c r="C30" s="26" t="s">
        <v>374</v>
      </c>
      <c r="D30" s="26" t="s">
        <v>375</v>
      </c>
      <c r="E30" s="26" t="s">
        <v>376</v>
      </c>
      <c r="F30" s="26" t="s">
        <v>377</v>
      </c>
      <c r="G30" s="26" t="s">
        <v>378</v>
      </c>
      <c r="H30" s="26" t="s">
        <v>379</v>
      </c>
    </row>
    <row r="31" spans="1:16" ht="36" hidden="1">
      <c r="A31" s="9">
        <v>2</v>
      </c>
      <c r="B31" s="26" t="s">
        <v>297</v>
      </c>
      <c r="C31" s="26" t="s">
        <v>380</v>
      </c>
      <c r="D31" s="26" t="s">
        <v>381</v>
      </c>
      <c r="E31" s="26" t="s">
        <v>382</v>
      </c>
      <c r="F31" s="26" t="s">
        <v>383</v>
      </c>
      <c r="G31" s="26" t="s">
        <v>384</v>
      </c>
      <c r="H31" s="26" t="s">
        <v>385</v>
      </c>
    </row>
    <row r="32" spans="1:16" ht="36" hidden="1">
      <c r="A32" s="9">
        <v>3</v>
      </c>
      <c r="B32" s="26" t="s">
        <v>304</v>
      </c>
      <c r="C32" s="26" t="s">
        <v>386</v>
      </c>
      <c r="D32" s="26" t="s">
        <v>387</v>
      </c>
      <c r="E32" s="26" t="s">
        <v>388</v>
      </c>
      <c r="F32" s="26" t="s">
        <v>389</v>
      </c>
      <c r="G32" s="26" t="s">
        <v>390</v>
      </c>
      <c r="H32" s="26" t="s">
        <v>391</v>
      </c>
    </row>
    <row r="33" spans="1:8" ht="36" hidden="1">
      <c r="A33" s="25">
        <v>4</v>
      </c>
      <c r="B33" s="26" t="s">
        <v>311</v>
      </c>
      <c r="C33" s="26" t="s">
        <v>392</v>
      </c>
      <c r="D33" s="26" t="s">
        <v>393</v>
      </c>
      <c r="E33" s="26" t="s">
        <v>394</v>
      </c>
      <c r="F33" s="26" t="s">
        <v>315</v>
      </c>
      <c r="G33" s="26" t="s">
        <v>395</v>
      </c>
      <c r="H33" s="26" t="s">
        <v>396</v>
      </c>
    </row>
    <row r="34" spans="1:8" ht="36" hidden="1">
      <c r="A34" s="9">
        <v>5</v>
      </c>
      <c r="B34" s="26" t="s">
        <v>397</v>
      </c>
      <c r="C34" s="26" t="s">
        <v>398</v>
      </c>
      <c r="D34" s="26" t="s">
        <v>399</v>
      </c>
      <c r="E34" s="26" t="s">
        <v>400</v>
      </c>
      <c r="F34" s="26" t="s">
        <v>401</v>
      </c>
      <c r="G34" s="26" t="s">
        <v>402</v>
      </c>
      <c r="H34" s="26" t="s">
        <v>403</v>
      </c>
    </row>
    <row r="35" spans="1:8" ht="48" hidden="1">
      <c r="A35" s="9">
        <v>6</v>
      </c>
      <c r="B35" s="26" t="s">
        <v>332</v>
      </c>
      <c r="C35" s="26" t="s">
        <v>404</v>
      </c>
      <c r="D35" s="26" t="s">
        <v>405</v>
      </c>
      <c r="E35" s="26" t="s">
        <v>406</v>
      </c>
      <c r="F35" s="26" t="s">
        <v>407</v>
      </c>
      <c r="G35" s="26" t="s">
        <v>408</v>
      </c>
      <c r="H35" s="26" t="s">
        <v>409</v>
      </c>
    </row>
    <row r="36" spans="1:8" ht="36" hidden="1">
      <c r="A36" s="9">
        <v>7</v>
      </c>
      <c r="B36" s="26" t="s">
        <v>410</v>
      </c>
      <c r="C36" s="26" t="s">
        <v>411</v>
      </c>
      <c r="D36" s="26" t="s">
        <v>412</v>
      </c>
      <c r="E36" s="26" t="s">
        <v>413</v>
      </c>
      <c r="F36" s="26" t="s">
        <v>414</v>
      </c>
      <c r="G36" s="26" t="s">
        <v>344</v>
      </c>
      <c r="H36" s="26" t="s">
        <v>345</v>
      </c>
    </row>
    <row r="37" spans="1:8" ht="36" hidden="1">
      <c r="A37" s="9">
        <v>8</v>
      </c>
      <c r="B37" s="26" t="s">
        <v>346</v>
      </c>
      <c r="C37" s="26" t="s">
        <v>415</v>
      </c>
      <c r="D37" s="26" t="s">
        <v>348</v>
      </c>
      <c r="E37" s="26" t="s">
        <v>416</v>
      </c>
      <c r="F37" s="26" t="s">
        <v>417</v>
      </c>
      <c r="G37" s="26" t="s">
        <v>418</v>
      </c>
      <c r="H37" s="26" t="s">
        <v>419</v>
      </c>
    </row>
    <row r="38" spans="1:8" ht="36" hidden="1">
      <c r="A38" s="9">
        <v>9</v>
      </c>
      <c r="B38" s="26" t="s">
        <v>420</v>
      </c>
      <c r="C38" s="26" t="s">
        <v>421</v>
      </c>
      <c r="D38" s="26" t="s">
        <v>422</v>
      </c>
      <c r="E38" s="26" t="s">
        <v>423</v>
      </c>
      <c r="F38" s="26" t="s">
        <v>424</v>
      </c>
      <c r="G38" s="26" t="s">
        <v>425</v>
      </c>
      <c r="H38" s="26" t="s">
        <v>426</v>
      </c>
    </row>
    <row r="39" spans="1:8" ht="36" hidden="1">
      <c r="A39" s="25">
        <v>10</v>
      </c>
      <c r="B39" s="26" t="s">
        <v>427</v>
      </c>
      <c r="C39" s="26" t="s">
        <v>428</v>
      </c>
      <c r="D39" s="26" t="s">
        <v>429</v>
      </c>
      <c r="E39" s="26" t="s">
        <v>430</v>
      </c>
      <c r="F39" s="26" t="s">
        <v>431</v>
      </c>
      <c r="G39" s="26" t="s">
        <v>432</v>
      </c>
      <c r="H39" s="26" t="s">
        <v>433</v>
      </c>
    </row>
    <row r="40" spans="1:8" hidden="1"/>
  </sheetData>
  <mergeCells count="1">
    <mergeCell ref="C25:H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A899-DA60-43D7-814B-9F52F09A7DC1}">
  <sheetPr>
    <tabColor rgb="FFFFFF00"/>
  </sheetPr>
  <dimension ref="A1:P23"/>
  <sheetViews>
    <sheetView topLeftCell="F1" zoomScale="85" zoomScaleNormal="85" workbookViewId="0">
      <selection activeCell="I20" sqref="I20"/>
    </sheetView>
  </sheetViews>
  <sheetFormatPr defaultColWidth="8.85546875" defaultRowHeight="15"/>
  <cols>
    <col min="1" max="1" width="8.85546875" style="1"/>
    <col min="2" max="2" width="30.7109375" style="1" customWidth="1"/>
    <col min="3" max="8" width="40.7109375" style="1" customWidth="1"/>
    <col min="9" max="9" width="8.85546875" style="2"/>
    <col min="10" max="10" width="30.7109375" style="1" hidden="1" customWidth="1"/>
    <col min="11" max="11" width="8.85546875" style="2"/>
    <col min="12" max="12" width="30.7109375" style="1" hidden="1" customWidth="1"/>
    <col min="13" max="13" width="14" style="12" bestFit="1" customWidth="1"/>
    <col min="14" max="14" width="19.5703125" style="12" bestFit="1" customWidth="1"/>
    <col min="15" max="15" width="46" style="1" customWidth="1"/>
    <col min="16" max="16" width="36.5703125" style="1" customWidth="1"/>
    <col min="17" max="16384" width="8.85546875" style="1"/>
  </cols>
  <sheetData>
    <row r="1" spans="1:16">
      <c r="I1" s="34"/>
      <c r="J1" s="34"/>
      <c r="K1" s="34"/>
      <c r="L1" s="34"/>
    </row>
    <row r="2" spans="1:16">
      <c r="B2" s="1" t="str">
        <f>Identitas!B2</f>
        <v xml:space="preserve">Nama </v>
      </c>
      <c r="C2" s="84">
        <f>Identitas!D2</f>
        <v>0</v>
      </c>
      <c r="I2" s="1"/>
      <c r="K2" s="1"/>
      <c r="M2" s="1"/>
      <c r="N2" s="1"/>
    </row>
    <row r="3" spans="1:16">
      <c r="B3" s="1" t="str">
        <f>Identitas!B3</f>
        <v>Nama Atasan yang menilai</v>
      </c>
      <c r="C3" s="84">
        <f>Identitas!D3</f>
        <v>0</v>
      </c>
      <c r="I3" s="1"/>
      <c r="K3" s="1"/>
      <c r="M3" s="1"/>
      <c r="N3" s="1"/>
    </row>
    <row r="4" spans="1:16">
      <c r="B4" s="1" t="str">
        <f>Identitas!B4</f>
        <v>Level Saat Ini</v>
      </c>
      <c r="C4" s="84" t="str">
        <f>Identitas!D4</f>
        <v>Officer</v>
      </c>
      <c r="I4" s="1"/>
      <c r="K4" s="1"/>
      <c r="M4" s="1"/>
      <c r="N4" s="1"/>
    </row>
    <row r="5" spans="1:16">
      <c r="B5" s="1" t="str">
        <f>Identitas!B5</f>
        <v>Level Tujuan</v>
      </c>
      <c r="C5" s="84" t="str">
        <f>Identitas!D5</f>
        <v>Analyst</v>
      </c>
      <c r="I5" s="1"/>
      <c r="K5" s="1"/>
      <c r="M5" s="1"/>
      <c r="N5" s="1"/>
    </row>
    <row r="6" spans="1:16">
      <c r="B6" s="1" t="str">
        <f>Identitas!B6</f>
        <v>Tanggal Assesment</v>
      </c>
      <c r="C6" s="84">
        <f>Identitas!D6</f>
        <v>0</v>
      </c>
      <c r="I6" s="1"/>
      <c r="K6" s="1"/>
      <c r="M6" s="1"/>
      <c r="N6" s="1"/>
    </row>
    <row r="7" spans="1:16">
      <c r="B7" s="1" t="str">
        <f>Identitas!B7</f>
        <v>Unit</v>
      </c>
      <c r="C7" s="84">
        <f>Identitas!D7</f>
        <v>0</v>
      </c>
      <c r="I7" s="1"/>
      <c r="K7" s="1"/>
      <c r="M7" s="1"/>
      <c r="N7" s="1"/>
    </row>
    <row r="8" spans="1:16">
      <c r="B8" s="1" t="str">
        <f>Identitas!B8</f>
        <v>Departemen</v>
      </c>
      <c r="C8" s="84">
        <f>Identitas!D8</f>
        <v>0</v>
      </c>
      <c r="I8" s="1"/>
      <c r="K8" s="1"/>
      <c r="M8" s="1"/>
      <c r="N8" s="1"/>
    </row>
    <row r="9" spans="1:16">
      <c r="B9" s="1" t="str">
        <f>Identitas!B9</f>
        <v>Divisi</v>
      </c>
      <c r="C9" s="84">
        <f>Identitas!D9</f>
        <v>0</v>
      </c>
      <c r="I9" s="1"/>
      <c r="K9" s="1"/>
      <c r="M9" s="1"/>
      <c r="N9" s="1"/>
    </row>
    <row r="10" spans="1:16">
      <c r="B10" s="1" t="str">
        <f>Identitas!B10</f>
        <v>Direktorat</v>
      </c>
      <c r="C10" s="84">
        <f>Identitas!D10</f>
        <v>0</v>
      </c>
      <c r="I10" s="1"/>
      <c r="K10" s="1"/>
      <c r="M10" s="1"/>
      <c r="N10" s="1"/>
    </row>
    <row r="12" spans="1:16" ht="36">
      <c r="A12" s="8" t="s">
        <v>14</v>
      </c>
      <c r="B12" s="8" t="s">
        <v>15</v>
      </c>
      <c r="C12" s="8" t="s">
        <v>16</v>
      </c>
      <c r="D12" s="8" t="s">
        <v>17</v>
      </c>
      <c r="E12" s="8" t="s">
        <v>18</v>
      </c>
      <c r="F12" s="8" t="s">
        <v>19</v>
      </c>
      <c r="G12" s="8" t="s">
        <v>20</v>
      </c>
      <c r="H12" s="8" t="s">
        <v>21</v>
      </c>
      <c r="I12" s="8" t="s">
        <v>22</v>
      </c>
      <c r="J12" s="8" t="s">
        <v>23</v>
      </c>
      <c r="K12" s="8" t="s">
        <v>24</v>
      </c>
      <c r="L12" s="8" t="s">
        <v>23</v>
      </c>
      <c r="M12" s="90" t="s">
        <v>25</v>
      </c>
      <c r="N12" s="11" t="s">
        <v>26</v>
      </c>
      <c r="O12" s="11" t="s">
        <v>27</v>
      </c>
      <c r="P12" s="11" t="s">
        <v>28</v>
      </c>
    </row>
    <row r="13" spans="1:16" s="186" customFormat="1" ht="60">
      <c r="A13" s="25">
        <v>1</v>
      </c>
      <c r="B13" s="187" t="s">
        <v>434</v>
      </c>
      <c r="C13" s="187" t="s">
        <v>435</v>
      </c>
      <c r="D13" s="187" t="s">
        <v>436</v>
      </c>
      <c r="E13" s="187" t="s">
        <v>437</v>
      </c>
      <c r="F13" s="187" t="s">
        <v>438</v>
      </c>
      <c r="G13" s="187" t="s">
        <v>439</v>
      </c>
      <c r="H13" s="187" t="s">
        <v>440</v>
      </c>
      <c r="I13" s="89">
        <v>4</v>
      </c>
      <c r="J13" s="25"/>
      <c r="K13" s="89">
        <v>2</v>
      </c>
      <c r="L13" s="25"/>
      <c r="M13" s="188">
        <f t="shared" ref="M13:M21" si="0">I13-K13</f>
        <v>2</v>
      </c>
      <c r="N13" s="188" t="str" cm="1">
        <f t="array" ref="N13">_xlfn.IFS(
  M13&gt;=2, "Major Positive Gap",
  M13&gt;=1, "Minor Positive Gap",
  M13&gt;=0, "No Gap",
  M13&gt;=-1, "Minor Negative Gap",
  M13&lt;=-2, "Major Negative Gap"
)</f>
        <v>Major Positive Gap</v>
      </c>
      <c r="O13" s="160"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tinggi dari perilaku yang tampak menurut atasan</v>
      </c>
      <c r="P13" s="189"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potensi blind spot; perilaku belum terlihat sekuat persepsi diri</v>
      </c>
    </row>
    <row r="14" spans="1:16" s="186" customFormat="1" ht="49.15" customHeight="1">
      <c r="A14" s="25">
        <v>2</v>
      </c>
      <c r="B14" s="187" t="s">
        <v>441</v>
      </c>
      <c r="C14" s="187" t="s">
        <v>442</v>
      </c>
      <c r="D14" s="187" t="s">
        <v>443</v>
      </c>
      <c r="E14" s="187" t="s">
        <v>444</v>
      </c>
      <c r="F14" s="187" t="s">
        <v>445</v>
      </c>
      <c r="G14" s="187" t="s">
        <v>446</v>
      </c>
      <c r="H14" s="187" t="s">
        <v>447</v>
      </c>
      <c r="I14" s="89">
        <v>4</v>
      </c>
      <c r="J14" s="25"/>
      <c r="K14" s="89">
        <v>5</v>
      </c>
      <c r="L14" s="25"/>
      <c r="M14" s="188">
        <f t="shared" si="0"/>
        <v>-1</v>
      </c>
      <c r="N14" s="188" t="str" cm="1">
        <f t="array" ref="N14">_xlfn.IFS(
  M14&gt;=2, "Major Positive Gap",
  M14&gt;=1, "Minor Positive Gap",
  M14&gt;=0, "No Gap",
  M14&gt;=-1, "Minor Negative Gap",
  M14&lt;=-2, "Major Negative Gap"
)</f>
        <v>Minor Negative Gap</v>
      </c>
      <c r="O14" s="160"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rendah dari superior assessment</v>
      </c>
      <c r="P14" s="189"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mungkin kurang percaya diri atau belum menyadari kekuatannya</v>
      </c>
    </row>
    <row r="15" spans="1:16" s="186" customFormat="1" ht="60">
      <c r="A15" s="25">
        <v>3</v>
      </c>
      <c r="B15" s="187" t="s">
        <v>448</v>
      </c>
      <c r="C15" s="187" t="s">
        <v>449</v>
      </c>
      <c r="D15" s="187" t="s">
        <v>450</v>
      </c>
      <c r="E15" s="187" t="s">
        <v>451</v>
      </c>
      <c r="F15" s="187" t="s">
        <v>452</v>
      </c>
      <c r="G15" s="187" t="s">
        <v>453</v>
      </c>
      <c r="H15" s="187" t="s">
        <v>454</v>
      </c>
      <c r="I15" s="89">
        <v>4</v>
      </c>
      <c r="J15" s="25"/>
      <c r="K15" s="89">
        <v>3</v>
      </c>
      <c r="L15" s="25"/>
      <c r="M15" s="188">
        <f t="shared" si="0"/>
        <v>1</v>
      </c>
      <c r="N15" s="188" t="str" cm="1">
        <f t="array" ref="N15">_xlfn.IFS(
  M15&gt;=2, "Major Positive Gap",
  M15&gt;=1, "Minor Positive Gap",
  M15&gt;=0, "No Gap",
  M15&gt;=-1, "Minor Negative Gap",
  M15&lt;=-2, "Major Negative Gap"
)</f>
        <v>Minor Positive Gap</v>
      </c>
      <c r="O15" s="160"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5" s="189"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6" spans="1:16" s="186" customFormat="1" ht="36">
      <c r="A16" s="25">
        <v>4</v>
      </c>
      <c r="B16" s="187" t="s">
        <v>455</v>
      </c>
      <c r="C16" s="187" t="s">
        <v>456</v>
      </c>
      <c r="D16" s="187" t="s">
        <v>457</v>
      </c>
      <c r="E16" s="187" t="s">
        <v>458</v>
      </c>
      <c r="F16" s="187" t="s">
        <v>459</v>
      </c>
      <c r="G16" s="187" t="s">
        <v>460</v>
      </c>
      <c r="H16" s="187" t="s">
        <v>461</v>
      </c>
      <c r="I16" s="89">
        <v>4</v>
      </c>
      <c r="J16" s="25"/>
      <c r="K16" s="89">
        <v>3</v>
      </c>
      <c r="L16" s="25"/>
      <c r="M16" s="188">
        <f t="shared" si="0"/>
        <v>1</v>
      </c>
      <c r="N16" s="188" t="str" cm="1">
        <f t="array" ref="N16">_xlfn.IFS(
  M16&gt;=2, "Major Positive Gap",
  M16&gt;=1, "Minor Positive Gap",
  M16&gt;=0, "No Gap",
  M16&gt;=-1, "Minor Negative Gap",
  M16&lt;=-2, "Major Negative Gap"
)</f>
        <v>Minor Positive Gap</v>
      </c>
      <c r="O16" s="160"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16" s="189"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17" spans="1:16" s="186" customFormat="1" ht="36">
      <c r="A17" s="25">
        <v>5</v>
      </c>
      <c r="B17" s="187" t="s">
        <v>462</v>
      </c>
      <c r="C17" s="187" t="s">
        <v>463</v>
      </c>
      <c r="D17" s="187" t="s">
        <v>464</v>
      </c>
      <c r="E17" s="187" t="s">
        <v>465</v>
      </c>
      <c r="F17" s="187" t="s">
        <v>466</v>
      </c>
      <c r="G17" s="187" t="s">
        <v>467</v>
      </c>
      <c r="H17" s="187" t="s">
        <v>468</v>
      </c>
      <c r="I17" s="89">
        <v>5</v>
      </c>
      <c r="J17" s="25"/>
      <c r="K17" s="89">
        <v>5</v>
      </c>
      <c r="L17" s="25"/>
      <c r="M17" s="188">
        <f t="shared" si="0"/>
        <v>0</v>
      </c>
      <c r="N17" s="188" t="str" cm="1">
        <f t="array" ref="N17">_xlfn.IFS(
  M17&gt;=2, "Major Positive Gap",
  M17&gt;=1, "Minor Positive Gap",
  M17&gt;=0, "No Gap",
  M17&gt;=-1, "Minor Negative Gap",
  M17&lt;=-2, "Major Negative Gap"
)</f>
        <v>No Gap</v>
      </c>
      <c r="O17" s="160"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89"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spans="1:16" s="186" customFormat="1" ht="41.45" customHeight="1">
      <c r="A18" s="25">
        <v>6</v>
      </c>
      <c r="B18" s="187" t="s">
        <v>469</v>
      </c>
      <c r="C18" s="187" t="s">
        <v>470</v>
      </c>
      <c r="D18" s="187" t="s">
        <v>471</v>
      </c>
      <c r="E18" s="187" t="s">
        <v>472</v>
      </c>
      <c r="F18" s="187" t="s">
        <v>473</v>
      </c>
      <c r="G18" s="187" t="s">
        <v>474</v>
      </c>
      <c r="H18" s="187" t="s">
        <v>475</v>
      </c>
      <c r="I18" s="89">
        <v>3</v>
      </c>
      <c r="J18" s="25"/>
      <c r="K18" s="89">
        <v>5</v>
      </c>
      <c r="L18" s="25"/>
      <c r="M18" s="188">
        <f t="shared" si="0"/>
        <v>-2</v>
      </c>
      <c r="N18" s="188" t="str" cm="1">
        <f t="array" ref="N18">_xlfn.IFS(
  M18&gt;=2, "Major Positive Gap",
  M18&gt;=1, "Minor Positive Gap",
  M18&gt;=0, "No Gap",
  M18&gt;=-1, "Minor Negative Gap",
  M18&lt;=-2, "Major Negative Gap"
)</f>
        <v>Major Negative Gap</v>
      </c>
      <c r="O18" s="160"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rendah dari perilaku yang tampak menurut atasan</v>
      </c>
      <c r="P18" s="189"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hidden strength; individu tidak menyadari bahwa perilakunya sudah terlihat kuat</v>
      </c>
    </row>
    <row r="19" spans="1:16" s="186" customFormat="1" ht="48.6" customHeight="1">
      <c r="A19" s="25">
        <v>7</v>
      </c>
      <c r="B19" s="187" t="s">
        <v>476</v>
      </c>
      <c r="C19" s="187" t="s">
        <v>477</v>
      </c>
      <c r="D19" s="187" t="s">
        <v>478</v>
      </c>
      <c r="E19" s="187" t="s">
        <v>479</v>
      </c>
      <c r="F19" s="187" t="s">
        <v>480</v>
      </c>
      <c r="G19" s="187" t="s">
        <v>481</v>
      </c>
      <c r="H19" s="187" t="s">
        <v>482</v>
      </c>
      <c r="I19" s="89">
        <v>5</v>
      </c>
      <c r="J19" s="25"/>
      <c r="K19" s="89">
        <v>5</v>
      </c>
      <c r="L19" s="25"/>
      <c r="M19" s="188">
        <f t="shared" si="0"/>
        <v>0</v>
      </c>
      <c r="N19" s="188" t="str" cm="1">
        <f t="array" ref="N19">_xlfn.IFS(
  M19&gt;=2, "Major Positive Gap",
  M19&gt;=1, "Minor Positive Gap",
  M19&gt;=0, "No Gap",
  M19&gt;=-1, "Minor Negative Gap",
  M19&lt;=-2, "Major Negative Gap"
)</f>
        <v>No Gap</v>
      </c>
      <c r="O19" s="160"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89"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spans="1:16" s="186" customFormat="1" ht="36">
      <c r="A20" s="25">
        <v>8</v>
      </c>
      <c r="B20" s="187" t="s">
        <v>483</v>
      </c>
      <c r="C20" s="187" t="s">
        <v>484</v>
      </c>
      <c r="D20" s="187" t="s">
        <v>485</v>
      </c>
      <c r="E20" s="187" t="s">
        <v>486</v>
      </c>
      <c r="F20" s="187" t="s">
        <v>487</v>
      </c>
      <c r="G20" s="187" t="s">
        <v>488</v>
      </c>
      <c r="H20" s="187" t="s">
        <v>489</v>
      </c>
      <c r="I20" s="89">
        <v>5</v>
      </c>
      <c r="J20" s="25"/>
      <c r="K20" s="89">
        <v>2</v>
      </c>
      <c r="L20" s="25"/>
      <c r="M20" s="188">
        <f t="shared" si="0"/>
        <v>3</v>
      </c>
      <c r="N20" s="188" t="str" cm="1">
        <f t="array" ref="N20">_xlfn.IFS(
  M20&gt;=2, "Major Positive Gap",
  M20&gt;=1, "Minor Positive Gap",
  M20&gt;=0, "No Gap",
  M20&gt;=-1, "Minor Negative Gap",
  M20&lt;=-2, "Major Negative Gap"
)</f>
        <v>Major Positive Gap</v>
      </c>
      <c r="O20" s="160"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jauh lebih tinggi dari perilaku yang tampak menurut atasan</v>
      </c>
      <c r="P20" s="189"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Ada potensi blind spot; perilaku belum terlihat sekuat persepsi diri</v>
      </c>
    </row>
    <row r="21" spans="1:16" s="186" customFormat="1" ht="36">
      <c r="A21" s="25">
        <v>9</v>
      </c>
      <c r="B21" s="187" t="s">
        <v>490</v>
      </c>
      <c r="C21" s="187" t="s">
        <v>491</v>
      </c>
      <c r="D21" s="187" t="s">
        <v>492</v>
      </c>
      <c r="E21" s="187" t="s">
        <v>493</v>
      </c>
      <c r="F21" s="187" t="s">
        <v>494</v>
      </c>
      <c r="G21" s="187" t="s">
        <v>495</v>
      </c>
      <c r="H21" s="187" t="s">
        <v>496</v>
      </c>
      <c r="I21" s="89">
        <v>4</v>
      </c>
      <c r="J21" s="25"/>
      <c r="K21" s="89">
        <v>3</v>
      </c>
      <c r="L21" s="25"/>
      <c r="M21" s="188">
        <f t="shared" si="0"/>
        <v>1</v>
      </c>
      <c r="N21" s="188" t="str" cm="1">
        <f t="array" ref="N21">_xlfn.IFS(
  M21&gt;=2, "Major Positive Gap",
  M21&gt;=1, "Minor Positive Gap",
  M21&gt;=0, "No Gap",
  M21&gt;=-1, "Minor Negative Gap",
  M21&lt;=-2, "Major Negative Gap"
)</f>
        <v>Minor Positive Gap</v>
      </c>
      <c r="O21" s="160"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Self-assessment sedikit lebih tinggi dari superior assessment</v>
      </c>
      <c r="P21" s="189"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Individu merasa sudah sangat baik, tetapi atasan melihat baru cukup baik</v>
      </c>
    </row>
    <row r="22" spans="1:16" s="186" customFormat="1" ht="49.15" customHeight="1">
      <c r="A22" s="25">
        <v>10</v>
      </c>
      <c r="B22" s="187" t="s">
        <v>497</v>
      </c>
      <c r="C22" s="187" t="s">
        <v>498</v>
      </c>
      <c r="D22" s="190" t="s">
        <v>499</v>
      </c>
      <c r="E22" s="191" t="s">
        <v>500</v>
      </c>
      <c r="F22" s="191" t="s">
        <v>501</v>
      </c>
      <c r="G22" s="191" t="s">
        <v>502</v>
      </c>
      <c r="H22" s="191" t="s">
        <v>503</v>
      </c>
      <c r="I22" s="89">
        <v>3</v>
      </c>
      <c r="J22" s="25"/>
      <c r="K22" s="89">
        <v>3</v>
      </c>
      <c r="L22" s="25"/>
      <c r="M22" s="188">
        <f t="shared" ref="M22" si="1">I22-K22</f>
        <v>0</v>
      </c>
      <c r="N22" s="188" t="str" cm="1">
        <f t="array" ref="N22">_xlfn.IFS(
  M22&gt;=2, "Major Positive Gap",
  M22&gt;=1, "Minor Positive Gap",
  M22&gt;=0, "No Gap",
  M22&gt;=-1, "Minor Negative Gap",
  M22&lt;=-2, "Major Negative Gap"
)</f>
        <v>No Gap</v>
      </c>
      <c r="O22" s="160"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89"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8" customFormat="1" ht="26.45" customHeight="1">
      <c r="A23" s="96" t="s">
        <v>99</v>
      </c>
      <c r="B23" s="97"/>
      <c r="C23" s="97"/>
      <c r="D23" s="97"/>
      <c r="E23" s="97"/>
      <c r="F23" s="97"/>
      <c r="G23" s="97"/>
      <c r="H23" s="97"/>
      <c r="I23" s="98">
        <f>AVERAGE(I13:J22)</f>
        <v>4.0999999999999996</v>
      </c>
      <c r="J23" s="99">
        <f>AVERAGE(J13:K22)</f>
        <v>3.6</v>
      </c>
      <c r="K23" s="98">
        <f>AVERAGE(K13:L22)</f>
        <v>3.6</v>
      </c>
      <c r="L23" s="99"/>
      <c r="M23" s="95">
        <f>I23-K23</f>
        <v>0.49999999999999956</v>
      </c>
      <c r="N23" s="27" t="str" cm="1">
        <f t="array" ref="N23">_xlfn.IFS(
  VALUE(M23) &gt;= 1, "Major Positive Gap",
  VALUE(M23) &gt;= 0.5, "Minor Positive Gap",
  VALUE(M23) &gt;= -0.49, "Aligned",
  VALUE(M23) &gt;= -0.99, "Minor Negative Gap",
  VALUE(M23) &lt;= -1, "Major Negative Gap"
)</f>
        <v>Minor Positive Gap</v>
      </c>
      <c r="O23" s="88" t="str" cm="1">
        <f t="array" ref="O23">_xlfn.SWITCH(N23,
"Aligned","Aligned Perception",
"Minor Positive Gap","Slight Overestimation",
"Major Positive Gap","Significant Overestimation / Potential Blind Spot",
"Minor Negative Gap","Slight Underestimation",
"Major Negative Gap","Significant Underestimation / Hidden Strength",
""
)</f>
        <v>Slight Overestimation</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8E73-8D51-4A31-AF8C-C0BE565404C1}">
  <sheetPr>
    <tabColor theme="7" tint="0.39997558519241921"/>
  </sheetPr>
  <dimension ref="A2:N156"/>
  <sheetViews>
    <sheetView topLeftCell="A95" zoomScale="55" zoomScaleNormal="55" workbookViewId="0">
      <selection activeCell="D15" sqref="D15"/>
    </sheetView>
  </sheetViews>
  <sheetFormatPr defaultRowHeight="14.45"/>
  <cols>
    <col min="1" max="1" width="43" customWidth="1"/>
    <col min="2" max="2" width="20.7109375" customWidth="1"/>
    <col min="3" max="3" width="22.85546875" customWidth="1"/>
    <col min="4" max="5" width="50.7109375" customWidth="1"/>
    <col min="6" max="8" width="50.7109375" style="24" customWidth="1"/>
    <col min="9" max="13" width="15.7109375" style="197" customWidth="1"/>
  </cols>
  <sheetData>
    <row r="2" spans="1:14" s="1" customFormat="1" ht="15">
      <c r="A2" s="1" t="str">
        <f>Identitas!B2</f>
        <v xml:space="preserve">Nama </v>
      </c>
      <c r="B2" s="84">
        <f>Identitas!D2</f>
        <v>0</v>
      </c>
      <c r="I2" s="12"/>
      <c r="J2" s="12"/>
      <c r="K2" s="12"/>
      <c r="L2" s="12"/>
      <c r="M2" s="12"/>
    </row>
    <row r="3" spans="1:14" s="1" customFormat="1" ht="15">
      <c r="A3" s="1" t="str">
        <f>Identitas!B3</f>
        <v>Nama Atasan yang menilai</v>
      </c>
      <c r="B3" s="84">
        <f>Identitas!D3</f>
        <v>0</v>
      </c>
      <c r="I3" s="12"/>
      <c r="J3" s="12"/>
      <c r="K3" s="12"/>
      <c r="L3" s="12"/>
      <c r="M3" s="12"/>
    </row>
    <row r="4" spans="1:14" s="1" customFormat="1" ht="15">
      <c r="A4" s="1" t="str">
        <f>Identitas!B4</f>
        <v>Level Saat Ini</v>
      </c>
      <c r="B4" s="84" t="str">
        <f>Identitas!D4</f>
        <v>Officer</v>
      </c>
      <c r="I4" s="12"/>
      <c r="J4" s="12"/>
      <c r="K4" s="12"/>
      <c r="L4" s="12"/>
      <c r="M4" s="12"/>
    </row>
    <row r="5" spans="1:14" s="1" customFormat="1" ht="15">
      <c r="A5" s="1" t="str">
        <f>Identitas!B5</f>
        <v>Level Tujuan</v>
      </c>
      <c r="B5" s="84" t="str">
        <f>Identitas!D5</f>
        <v>Analyst</v>
      </c>
      <c r="I5" s="12"/>
      <c r="J5" s="12"/>
      <c r="K5" s="12"/>
      <c r="L5" s="12"/>
      <c r="M5" s="12"/>
    </row>
    <row r="6" spans="1:14" s="1" customFormat="1" ht="15">
      <c r="A6" s="1" t="str">
        <f>Identitas!B6</f>
        <v>Tanggal Assesment</v>
      </c>
      <c r="B6" s="84">
        <f>Identitas!D6</f>
        <v>0</v>
      </c>
      <c r="I6" s="12"/>
      <c r="J6" s="12"/>
      <c r="K6" s="12"/>
      <c r="L6" s="12"/>
      <c r="M6" s="12"/>
    </row>
    <row r="7" spans="1:14" s="1" customFormat="1" ht="15">
      <c r="A7" s="1" t="str">
        <f>Identitas!B7</f>
        <v>Unit</v>
      </c>
      <c r="B7" s="84">
        <f>Identitas!D7</f>
        <v>0</v>
      </c>
      <c r="I7" s="12"/>
      <c r="J7" s="12"/>
      <c r="K7" s="12"/>
      <c r="L7" s="12"/>
      <c r="M7" s="12"/>
    </row>
    <row r="8" spans="1:14" s="1" customFormat="1" ht="15">
      <c r="A8" s="1" t="str">
        <f>Identitas!B8</f>
        <v>Departemen</v>
      </c>
      <c r="B8" s="84">
        <f>Identitas!D8</f>
        <v>0</v>
      </c>
      <c r="I8" s="12"/>
      <c r="J8" s="12"/>
      <c r="K8" s="12"/>
      <c r="L8" s="12"/>
      <c r="M8" s="12"/>
    </row>
    <row r="9" spans="1:14" s="1" customFormat="1" ht="15">
      <c r="A9" s="1" t="str">
        <f>Identitas!B9</f>
        <v>Divisi</v>
      </c>
      <c r="B9" s="84">
        <f>Identitas!D9</f>
        <v>0</v>
      </c>
      <c r="I9" s="12"/>
      <c r="J9" s="12"/>
      <c r="K9" s="12"/>
      <c r="L9" s="12"/>
      <c r="M9" s="12"/>
    </row>
    <row r="10" spans="1:14" s="1" customFormat="1" ht="15">
      <c r="A10" s="1" t="str">
        <f>Identitas!B10</f>
        <v>Direktorat</v>
      </c>
      <c r="B10" s="84">
        <f>Identitas!D10</f>
        <v>0</v>
      </c>
      <c r="I10" s="12"/>
      <c r="J10" s="12"/>
      <c r="K10" s="12"/>
      <c r="L10" s="12"/>
      <c r="M10" s="12"/>
    </row>
    <row r="11" spans="1:14" s="1" customFormat="1" ht="15">
      <c r="C11" s="84"/>
      <c r="I11" s="12"/>
      <c r="J11" s="12"/>
      <c r="K11" s="12"/>
      <c r="L11" s="12"/>
      <c r="M11" s="12"/>
    </row>
    <row r="12" spans="1:14" s="15" customFormat="1" ht="15">
      <c r="A12" s="14" t="s">
        <v>504</v>
      </c>
      <c r="F12" s="22"/>
      <c r="G12" s="22"/>
      <c r="H12" s="22"/>
      <c r="I12" s="196"/>
      <c r="J12" s="196"/>
      <c r="K12" s="196"/>
      <c r="L12" s="196"/>
      <c r="M12" s="196"/>
    </row>
    <row r="13" spans="1:14" s="15" customFormat="1" ht="45">
      <c r="A13" s="18" t="s">
        <v>505</v>
      </c>
      <c r="B13" s="18" t="s">
        <v>506</v>
      </c>
      <c r="C13" s="18" t="s">
        <v>507</v>
      </c>
      <c r="D13" s="36" t="s">
        <v>508</v>
      </c>
      <c r="E13" s="33" t="s">
        <v>509</v>
      </c>
      <c r="F13" s="39" t="s">
        <v>510</v>
      </c>
      <c r="G13" s="38" t="s">
        <v>511</v>
      </c>
      <c r="H13" s="37" t="s">
        <v>512</v>
      </c>
      <c r="I13" s="200" t="s">
        <v>508</v>
      </c>
      <c r="J13" s="201" t="s">
        <v>509</v>
      </c>
      <c r="K13" s="202" t="s">
        <v>510</v>
      </c>
      <c r="L13" s="203" t="s">
        <v>511</v>
      </c>
      <c r="M13" s="204" t="s">
        <v>512</v>
      </c>
      <c r="N13" s="199" t="s">
        <v>513</v>
      </c>
    </row>
    <row r="14" spans="1:14" s="15" customFormat="1" ht="160.15" customHeight="1">
      <c r="A14" s="16" t="s">
        <v>514</v>
      </c>
      <c r="B14" s="94">
        <f>'mental agility'!K23</f>
        <v>2.5</v>
      </c>
      <c r="C14" s="17" t="str">
        <f>IF(B14&gt;=4.5,"Excellent",IF(B14&gt;=4,"Strong",IF(B14&gt;=3,"Meet","Needs Development")))</f>
        <v>Needs Development</v>
      </c>
      <c r="D14" s="149" t="str" cm="1">
        <f t="array" ref="D14">_xlfn.TEXTJOIN(CHAR(10),TRUE,IF('mental agility'!K13:K22=5,"• "&amp;'mental agility'!B13:B22,""))</f>
        <v/>
      </c>
      <c r="E14" s="150" t="str" cm="1">
        <f t="array" ref="E14">_xlfn.TEXTJOIN(CHAR(10),TRUE,IF('mental agility'!K13:K22=4,"• "&amp;'mental agility'!B13:B22,""))</f>
        <v>• Analytical Thinking
(memahami data &amp; fakta dasar)
• Intellectual Synthesis
(menghubungkan berbagai informasi)
• Breaking Patterned thinking
(menciptakan solusi baru)</v>
      </c>
      <c r="F14" s="151" t="str" cm="1">
        <f t="array" ref="F14">_xlfn.TEXTJOIN(CHAR(10),TRUE,IF('mental agility'!K13:K22=3,"• "&amp;'mental agility'!B13:B22,""))</f>
        <v>• Root Cause Analysis
(mencari penyebab masalah)</v>
      </c>
      <c r="G14" s="152" t="str" cm="1">
        <f t="array" ref="G14">_xlfn.TEXTJOIN(CHAR(10),TRUE,IF('mental agility'!K13:K22=2,"• "&amp;'mental agility'!B13:B22,""))</f>
        <v>• Critical Thinking &amp; Inquisitiveness
(mempertanyakan &amp; mengevaluasi)
• Integrating Diverse Perspective
(keputusan dari berbagai sudut pandang)
• Creative Exploration
(mencari pendekatan baru)
• Tolerance for Ambiguity 
(memimpin dalam uncertainty tinggi)</v>
      </c>
      <c r="H14" s="153" t="str" cm="1">
        <f t="array" ref="H14">_xlfn.TEXTJOIN(CHAR(10),TRUE,IF('mental agility'!K13:K22=1,"• "&amp;'mental agility'!B13:B22,""))</f>
        <v>• Explaining Complexity
(menjelaskan hal kompleks secara sederhana)
• Comfort with Ambiguity
(tetap efektif di situasi tidak jelas)</v>
      </c>
      <c r="I14" s="205">
        <f>LEN(D14)-LEN(SUBSTITUTE(D14,"•",""))</f>
        <v>0</v>
      </c>
      <c r="J14" s="206">
        <f>LEN(E14)-LEN(SUBSTITUTE(E14,"•",""))</f>
        <v>3</v>
      </c>
      <c r="K14" s="207">
        <f>LEN(F14)-LEN(SUBSTITUTE(F14,"•",""))</f>
        <v>1</v>
      </c>
      <c r="L14" s="208">
        <f>LEN(G14)-LEN(SUBSTITUTE(G14,"•",""))</f>
        <v>4</v>
      </c>
      <c r="M14" s="209">
        <f>LEN(H14)-LEN(SUBSTITUTE(H14,"•",""))</f>
        <v>2</v>
      </c>
      <c r="N14" s="210">
        <f>(J14+I14)/(SUM(I14:M14))</f>
        <v>0.3</v>
      </c>
    </row>
    <row r="15" spans="1:14" s="15" customFormat="1" ht="160.15" customHeight="1">
      <c r="A15" s="16" t="s">
        <v>515</v>
      </c>
      <c r="B15" s="94">
        <f>'people agility'!K29</f>
        <v>3.1333333333333333</v>
      </c>
      <c r="C15" s="17" t="str">
        <f t="shared" ref="C15:C17" si="0">IF(B15&gt;=4.5,"Excellent",IF(B15&gt;=4,"Strong",IF(B15&gt;=3,"Meet","Needs Development")))</f>
        <v>Meet</v>
      </c>
      <c r="D15" s="154" t="str" cm="1">
        <f t="array" ref="D15">_xlfn.TEXTJOIN(CHAR(10),TRUE,IF('people agility'!K13:K28=5,"• "&amp;'people agility'!B13:B28,""))</f>
        <v>• Collaboration with Diversity
(Bekerja efektif dalam keberagaman)
• Understanding Different Perspectives
(Analisis multi-sudut pandang)
• Setting Direction &amp; Expectations
(menetapkan arah &amp; ekspektasi)</v>
      </c>
      <c r="E15" s="155" t="str" cm="1">
        <f t="array" ref="E15">_xlfn.TEXTJOIN(CHAR(10),TRUE,IF('people agility'!K13:K28=4,"• "&amp;'people agility'!B13:B28,""))</f>
        <v>• Valuing Diverse Opinions
(Menghargai opini berbeda)
• Conflict Navigation
(menghadapi konflik secara konstruktif)
• Delegating for Growth (mendelegasikan sebagai sarana pengembangan)</v>
      </c>
      <c r="F15" s="151" t="str" cm="1">
        <f t="array" ref="F15">_xlfn.TEXTJOIN(CHAR(10),TRUE,IF('people agility'!K13:K28=3,"• "&amp;'people agility'!B13:B28,""))</f>
        <v>•  Listening for understanding
(mendengarkan &amp; memahami)
• Recognizing Others' Potential
(mengenali potensi orang lain)
• Managing Challenging  Stakeholder
(relasi berkelanjutan dengan pihak sulit)
• Adapting Leadership Style
(menyesuaikan gaya kepemimpinan)</v>
      </c>
      <c r="G15" s="152" t="str" cm="1">
        <f t="array" ref="G15">_xlfn.TEXTJOIN(CHAR(10),TRUE,IF('people agility'!K13:K28=2,"• "&amp;'people agility'!B13:B28,""))</f>
        <v>• Openness to Feedback
(menerima &amp; menindaklajuti masukan)
• Genuine Curiosity about Others
(rasa ingin tahu tulus pada orang lain)
• Empathy
(Merasakan &amp; memahami emosi orang lain)
• Coaching &amp; Building Capability
(membangun kemampuan orang lain)</v>
      </c>
      <c r="H15" s="153" t="str" cm="1">
        <f t="array" ref="H15">_xlfn.TEXTJOIN(CHAR(10),TRUE,IF('people agility'!K13:K28=1,"• "&amp;'people agility'!B13:B28,""))</f>
        <v>• Giving Developmental Feedback
(memberi umpan balik yang mengembangkan)
• Conflict Mediation
(menjadi penengah pihak berbeda)</v>
      </c>
      <c r="I15" s="205">
        <f t="shared" ref="I15:I18" si="1">LEN(D15)-LEN(SUBSTITUTE(D15,"•",""))</f>
        <v>3</v>
      </c>
      <c r="J15" s="206">
        <f t="shared" ref="J15:J18" si="2">LEN(E15)-LEN(SUBSTITUTE(E15,"•",""))</f>
        <v>3</v>
      </c>
      <c r="K15" s="207">
        <f t="shared" ref="K15:K18" si="3">LEN(F15)-LEN(SUBSTITUTE(F15,"•",""))</f>
        <v>4</v>
      </c>
      <c r="L15" s="208">
        <f t="shared" ref="L15:L18" si="4">LEN(G15)-LEN(SUBSTITUTE(G15,"•",""))</f>
        <v>4</v>
      </c>
      <c r="M15" s="209">
        <f t="shared" ref="M15:M18" si="5">LEN(H15)-LEN(SUBSTITUTE(H15,"•",""))</f>
        <v>2</v>
      </c>
      <c r="N15" s="210">
        <f t="shared" ref="N15:N18" si="6">(J15+I15)/(SUM(I15:M15))</f>
        <v>0.375</v>
      </c>
    </row>
    <row r="16" spans="1:14" s="15" customFormat="1" ht="160.15" customHeight="1">
      <c r="A16" s="16" t="s">
        <v>516</v>
      </c>
      <c r="B16" s="94">
        <f>'change agility'!K23</f>
        <v>2.5</v>
      </c>
      <c r="C16" s="17" t="str">
        <f t="shared" si="0"/>
        <v>Needs Development</v>
      </c>
      <c r="D16" s="149" t="str" cm="1">
        <f t="array" ref="D16">_xlfn.TEXTJOIN(CHAR(10),TRUE,IF('change agility'!K13:K22=5,"• "&amp;'change agility'!B13:B22,""))</f>
        <v/>
      </c>
      <c r="E16" s="150" t="str" cm="1">
        <f t="array" ref="E16">_xlfn.TEXTJOIN(CHAR(10),TRUE,IF('change agility'!K13:K22=4,"• "&amp;'change agility'!B13:B22,""))</f>
        <v>• Adapting to New Systems
(mengikuti perubahan sistem &amp; prosedur)
• Adaptive Learning &amp; Experimentation
(aktif belajar hal baru)</v>
      </c>
      <c r="F16" s="151" t="str" cm="1">
        <f t="array" ref="F16">_xlfn.TEXTJOIN(CHAR(10),TRUE,IF('change agility'!K13:K22=3,"• "&amp;'change agility'!B13:B22,""))</f>
        <v>• Comfort with New Ways of Working
(nyaman dengan cara kerja baru)
• Managing Resistance to Change
(pengelolaan resistensi)
• Proposing New Ideas
(menginisiasi perubahan)</v>
      </c>
      <c r="G16" s="152" t="str" cm="1">
        <f t="array" ref="G16">_xlfn.TEXTJOIN(CHAR(10),TRUE,IF('change agility'!K13:K22=2,"• "&amp;'change agility'!B13:B22,""))</f>
        <v>• Comfort with Sudden Change
(tetap bekerja saat perubahan mendadak)
• Viewing Change as Opportunity
(melihat perubahan sebagai peluang)
• Proactive in Anticipating Change
(mengantisipasi perubahan)</v>
      </c>
      <c r="H16" s="153" t="str" cm="1">
        <f t="array" ref="H16">_xlfn.TEXTJOIN(CHAR(10),TRUE,IF('change agility'!K13:K22=1,"• "&amp;'change agility'!B13:B22,""))</f>
        <v>• Risk-Taking for Innovation
(berani mencoba pendekatan baru)
• Calmness in Uncertainty
(tetap tenang di kondisi tidak pasti)</v>
      </c>
      <c r="I16" s="205">
        <f t="shared" si="1"/>
        <v>0</v>
      </c>
      <c r="J16" s="206">
        <f t="shared" si="2"/>
        <v>2</v>
      </c>
      <c r="K16" s="207">
        <f t="shared" si="3"/>
        <v>3</v>
      </c>
      <c r="L16" s="208">
        <f t="shared" si="4"/>
        <v>3</v>
      </c>
      <c r="M16" s="209">
        <f t="shared" si="5"/>
        <v>2</v>
      </c>
      <c r="N16" s="210">
        <f t="shared" si="6"/>
        <v>0.2</v>
      </c>
    </row>
    <row r="17" spans="1:14" s="15" customFormat="1" ht="210.6" customHeight="1">
      <c r="A17" s="16" t="s">
        <v>517</v>
      </c>
      <c r="B17" s="94">
        <f>'result agility'!K25</f>
        <v>3.4166666666666665</v>
      </c>
      <c r="C17" s="17" t="str">
        <f t="shared" si="0"/>
        <v>Meet</v>
      </c>
      <c r="D17" s="149" t="str" cm="1">
        <f t="array" ref="D17">_xlfn.TEXTJOIN(CHAR(10),TRUE,IF('result agility'!K13:K24=5,"• "&amp;'result agility'!B13:B24,""))</f>
        <v>• Action-Oriented &amp; Takes Initiative 
(proaktif bertindak)
• Tenacity &amp; Strategic Persistence
(menjaga komitmen di tengah tantangan)
• Adapting Strategy When Needed
(mengubah strategi untuk hasil lebih baik)</v>
      </c>
      <c r="E17" s="150" t="str" cm="1">
        <f t="array" ref="E17">_xlfn.TEXTJOIN(CHAR(10),TRUE,IF('result agility'!K13:K24=4,"• "&amp;'result agility'!B13:B24,""))</f>
        <v>• Driving for impact
(fokus pada hasil kerja)
• Prioritizing &amp; Sequencing Work
(menyusun prioritas &amp; urutan kerja)
• Learning from Outcomes
(belajar dari hasil &amp; kesalahan)
• Resource Planning &amp; Contingency
(merencanakan sumber daya &amp; rencana cadangan)</v>
      </c>
      <c r="F17" s="151" t="str" cm="1">
        <f t="array" ref="F17">_xlfn.TEXTJOIN(CHAR(10),TRUE,IF('result agility'!K13:K24=3,"• "&amp;'result agility'!B13:B24,""))</f>
        <v/>
      </c>
      <c r="G17" s="152" t="str" cm="1">
        <f t="array" ref="G17">_xlfn.TEXTJOIN(CHAR(10),TRUE,IF('result agility'!K13:K24=2,"• "&amp;'result agility'!B13:B24,""))</f>
        <v>• Task Completion Quality 
(menyelesaikan tugas dengan baik)
• Deciding with Incomplete Data
(mengambil keputusan dengan data/informasi terbatas)
• Focus Under Pressure
(tetap fokus dalam tekanan)
• Agile Problem-Solving Under Pressure
(memecahkan masalah di bawah tekanan)
• Drive for High Performance
(dorongan berkinerja tinggi)</v>
      </c>
      <c r="H17" s="153" t="str" cm="1">
        <f t="array" ref="H17">_xlfn.TEXTJOIN(CHAR(10),TRUE,IF('result agility'!K13:K24=1,"• "&amp;'result agility'!B13:B24,""))</f>
        <v/>
      </c>
      <c r="I17" s="205">
        <f t="shared" si="1"/>
        <v>3</v>
      </c>
      <c r="J17" s="206">
        <f t="shared" si="2"/>
        <v>4</v>
      </c>
      <c r="K17" s="207">
        <f t="shared" si="3"/>
        <v>0</v>
      </c>
      <c r="L17" s="208">
        <f t="shared" si="4"/>
        <v>5</v>
      </c>
      <c r="M17" s="209">
        <f t="shared" si="5"/>
        <v>0</v>
      </c>
      <c r="N17" s="210">
        <f t="shared" si="6"/>
        <v>0.58333333333333337</v>
      </c>
    </row>
    <row r="18" spans="1:14" s="15" customFormat="1" ht="196.9" customHeight="1">
      <c r="A18" s="16" t="s">
        <v>518</v>
      </c>
      <c r="B18" s="94">
        <f>'self awareness'!K23</f>
        <v>3.6</v>
      </c>
      <c r="C18" s="17" t="str">
        <f>IF(B18&gt;=4.5,"Excellent",IF(B18&gt;=4,"Strong",IF(B18&gt;=3,"Meet","Needs Development")))</f>
        <v>Meet</v>
      </c>
      <c r="D18" s="149" t="str" cm="1">
        <f t="array" ref="D18">_xlfn.TEXTJOIN(CHAR(10),TRUE,IF('self awareness'!K13:K22=5,"• "&amp;'self awareness'!B13:B22,""))</f>
        <v>• Admitting Mistakes
(mengakui kesalahan)
• Reflective Practices
(melakukan refleksi diri)
• Proactive Self-Development for Adaptation
(aktif mengembangkan diri)
• Objective Self-Assessment
(menilai diri secara objektif)</v>
      </c>
      <c r="E18" s="150" t="str" cm="1">
        <f t="array" ref="E18">_xlfn.TEXTJOIN(CHAR(10),TRUE,IF('self awareness'!K13:K22=4,"• "&amp;'self awareness'!B13:B22,""))</f>
        <v/>
      </c>
      <c r="F18" s="151" t="str" cm="1">
        <f t="array" ref="F18">_xlfn.TEXTJOIN(CHAR(10),TRUE,IF('self awareness'!K13:K22=3,"• "&amp;'self awareness'!B13:B22,""))</f>
        <v>• Seeking Feedback on Performance
(mencari feedback)
• Understanding Strengths &amp; Weaknesses
(memahami kekuatan &amp; kelemahan)
• Managing Emotions Effectively
(mengelola emosi)
• Deep Pattern Recognition &amp; Bias Awareness
(refleksi diri mendalam &amp; autentik)</v>
      </c>
      <c r="G18" s="152" t="str" cm="1">
        <f t="array" ref="G18">_xlfn.TEXTJOIN(CHAR(10),TRUE,IF('self awareness'!K13:K22=2,"• "&amp;'self awareness'!B13:B22,""))</f>
        <v>• Openness to Criticism
(menerima kritik)
• Awareness of Impact on Others
(memahami dampak perilaku)</v>
      </c>
      <c r="H18" s="153" t="str" cm="1">
        <f t="array" ref="H18">_xlfn.TEXTJOIN(CHAR(10),TRUE,IF('self awareness'!K13:K22=1,"• "&amp;'self awareness'!B13:B22,""))</f>
        <v/>
      </c>
      <c r="I18" s="205">
        <f t="shared" si="1"/>
        <v>4</v>
      </c>
      <c r="J18" s="206">
        <f t="shared" si="2"/>
        <v>0</v>
      </c>
      <c r="K18" s="207">
        <f t="shared" si="3"/>
        <v>4</v>
      </c>
      <c r="L18" s="208">
        <f t="shared" si="4"/>
        <v>2</v>
      </c>
      <c r="M18" s="209">
        <f t="shared" si="5"/>
        <v>0</v>
      </c>
      <c r="N18" s="210">
        <f t="shared" si="6"/>
        <v>0.4</v>
      </c>
    </row>
    <row r="19" spans="1:14" s="15" customFormat="1" ht="27" customHeight="1">
      <c r="A19" s="40" t="s">
        <v>519</v>
      </c>
      <c r="B19" s="41">
        <f>AVERAGE(B14:B18)</f>
        <v>3.03</v>
      </c>
      <c r="C19" s="85" t="str">
        <f>IF(B19&gt;=4.5,"Highly Agile",IF(B19&gt;=4,"Agile",IF(B19&gt;=3,"Moderately Agile","Developing")))</f>
        <v>Moderately Agile</v>
      </c>
      <c r="D19" s="148" t="s">
        <v>520</v>
      </c>
      <c r="E19" s="23"/>
      <c r="F19" s="23"/>
      <c r="G19" s="22"/>
      <c r="H19" s="22"/>
      <c r="I19" s="196"/>
      <c r="J19" s="196"/>
      <c r="K19" s="196"/>
      <c r="L19" s="196"/>
      <c r="M19" s="196"/>
    </row>
    <row r="20" spans="1:14" ht="15.6">
      <c r="D20" s="86"/>
    </row>
    <row r="22" spans="1:14" s="3" customFormat="1" ht="16.899999999999999">
      <c r="A22" s="14" t="s">
        <v>521</v>
      </c>
      <c r="B22" s="6"/>
      <c r="C22" s="6"/>
      <c r="D22" s="6"/>
      <c r="E22" s="6"/>
      <c r="I22" s="69"/>
      <c r="J22" s="69"/>
      <c r="K22" s="69"/>
      <c r="L22" s="69"/>
      <c r="M22" s="69"/>
    </row>
    <row r="23" spans="1:14" s="3" customFormat="1" ht="16.899999999999999">
      <c r="A23" s="3" t="s">
        <v>522</v>
      </c>
      <c r="B23" s="6"/>
      <c r="C23" s="6"/>
      <c r="D23" s="6"/>
      <c r="I23" s="69"/>
      <c r="J23" s="69"/>
      <c r="K23" s="69"/>
      <c r="L23" s="69"/>
      <c r="M23" s="69"/>
    </row>
    <row r="24" spans="1:14" s="3" customFormat="1" ht="33.6">
      <c r="A24" s="19" t="s">
        <v>523</v>
      </c>
      <c r="B24" s="21" t="s">
        <v>524</v>
      </c>
      <c r="C24" s="21" t="s">
        <v>525</v>
      </c>
      <c r="D24" s="20" t="s">
        <v>526</v>
      </c>
      <c r="E24" s="19" t="s">
        <v>527</v>
      </c>
      <c r="I24" s="69"/>
      <c r="J24" s="69"/>
      <c r="K24" s="69"/>
      <c r="L24" s="69"/>
      <c r="M24" s="69"/>
    </row>
    <row r="25" spans="1:14" s="3" customFormat="1" ht="33.6">
      <c r="A25" s="91" t="str">
        <f>'mental agility'!B13</f>
        <v>Analytical Thinking
(memahami data &amp; fakta dasar)</v>
      </c>
      <c r="B25" s="91">
        <f>'mental agility'!I13</f>
        <v>4</v>
      </c>
      <c r="C25" s="91">
        <f>'mental agility'!K13</f>
        <v>4</v>
      </c>
      <c r="D25" s="92">
        <f>'mental agility'!M13</f>
        <v>0</v>
      </c>
      <c r="E25" s="93" t="str">
        <f>'mental agility'!N13</f>
        <v>No Gap</v>
      </c>
      <c r="I25" s="69"/>
      <c r="J25" s="69"/>
      <c r="K25" s="69"/>
      <c r="L25" s="69"/>
      <c r="M25" s="69"/>
    </row>
    <row r="26" spans="1:14" s="3" customFormat="1" ht="33.6">
      <c r="A26" s="91" t="str">
        <f>'mental agility'!B14</f>
        <v>Root Cause Analysis
(mencari penyebab masalah)</v>
      </c>
      <c r="B26" s="91">
        <f>'mental agility'!I14</f>
        <v>3</v>
      </c>
      <c r="C26" s="91">
        <f>'mental agility'!K14</f>
        <v>3</v>
      </c>
      <c r="D26" s="92">
        <f>'mental agility'!M14</f>
        <v>0</v>
      </c>
      <c r="E26" s="93" t="str">
        <f>'mental agility'!N14</f>
        <v>No Gap</v>
      </c>
      <c r="I26" s="69"/>
      <c r="J26" s="69"/>
      <c r="K26" s="69"/>
      <c r="L26" s="69"/>
      <c r="M26" s="69"/>
    </row>
    <row r="27" spans="1:14" s="3" customFormat="1" ht="33.6">
      <c r="A27" s="91" t="str">
        <f>'mental agility'!B15</f>
        <v>Critical Thinking &amp; Inquisitiveness
(mempertanyakan &amp; mengevaluasi)</v>
      </c>
      <c r="B27" s="91">
        <f>'mental agility'!I15</f>
        <v>3</v>
      </c>
      <c r="C27" s="91">
        <f>'mental agility'!K15</f>
        <v>2</v>
      </c>
      <c r="D27" s="92">
        <f>'mental agility'!M15</f>
        <v>1</v>
      </c>
      <c r="E27" s="93" t="str">
        <f>'mental agility'!N15</f>
        <v>Minor Positive Gap</v>
      </c>
      <c r="I27" s="69"/>
      <c r="J27" s="69"/>
      <c r="K27" s="69"/>
      <c r="L27" s="69"/>
      <c r="M27" s="69"/>
    </row>
    <row r="28" spans="1:14" s="3" customFormat="1" ht="50.45">
      <c r="A28" s="91" t="str">
        <f>'mental agility'!B16</f>
        <v>Explaining Complexity
(menjelaskan hal kompleks secara sederhana)</v>
      </c>
      <c r="B28" s="91">
        <f>'mental agility'!I16</f>
        <v>3</v>
      </c>
      <c r="C28" s="91">
        <f>'mental agility'!K16</f>
        <v>1</v>
      </c>
      <c r="D28" s="92">
        <f>'mental agility'!M16</f>
        <v>2</v>
      </c>
      <c r="E28" s="93" t="str">
        <f>'mental agility'!N16</f>
        <v>Major Positive Gap</v>
      </c>
      <c r="I28" s="69"/>
      <c r="J28" s="69"/>
      <c r="K28" s="69"/>
      <c r="L28" s="69"/>
      <c r="M28" s="69"/>
    </row>
    <row r="29" spans="1:14" s="3" customFormat="1" ht="33.6">
      <c r="A29" s="91" t="str">
        <f>'mental agility'!B17</f>
        <v>Intellectual Synthesis
(menghubungkan berbagai informasi)</v>
      </c>
      <c r="B29" s="91">
        <f>'mental agility'!I17</f>
        <v>2</v>
      </c>
      <c r="C29" s="91">
        <f>'mental agility'!K17</f>
        <v>4</v>
      </c>
      <c r="D29" s="92">
        <f>'mental agility'!M17</f>
        <v>-2</v>
      </c>
      <c r="E29" s="93" t="str">
        <f>'mental agility'!N17</f>
        <v>Major Negative Gap</v>
      </c>
      <c r="I29" s="69"/>
      <c r="J29" s="69"/>
      <c r="K29" s="69"/>
      <c r="L29" s="69"/>
      <c r="M29" s="69"/>
    </row>
    <row r="30" spans="1:14" s="3" customFormat="1" ht="33.6">
      <c r="A30" s="91" t="str">
        <f>'mental agility'!B18</f>
        <v>Integrating Diverse Perspective
(keputusan dari berbagai sudut pandang)</v>
      </c>
      <c r="B30" s="91">
        <f>'mental agility'!I18</f>
        <v>3</v>
      </c>
      <c r="C30" s="91">
        <f>'mental agility'!K18</f>
        <v>2</v>
      </c>
      <c r="D30" s="92">
        <f>'mental agility'!M18</f>
        <v>1</v>
      </c>
      <c r="E30" s="93" t="str">
        <f>'mental agility'!N18</f>
        <v>Minor Positive Gap</v>
      </c>
      <c r="I30" s="69"/>
      <c r="J30" s="69"/>
      <c r="K30" s="69"/>
      <c r="L30" s="69"/>
      <c r="M30" s="69"/>
    </row>
    <row r="31" spans="1:14" s="3" customFormat="1" ht="33.6">
      <c r="A31" s="91" t="str">
        <f>'mental agility'!B19</f>
        <v>Creative Exploration
(mencari pendekatan baru)</v>
      </c>
      <c r="B31" s="91">
        <f>'mental agility'!I19</f>
        <v>3</v>
      </c>
      <c r="C31" s="91">
        <f>'mental agility'!K19</f>
        <v>2</v>
      </c>
      <c r="D31" s="92">
        <f>'mental agility'!M19</f>
        <v>1</v>
      </c>
      <c r="E31" s="93" t="str">
        <f>'mental agility'!N19</f>
        <v>Minor Positive Gap</v>
      </c>
      <c r="I31" s="69"/>
      <c r="J31" s="69"/>
      <c r="K31" s="69"/>
      <c r="L31" s="69"/>
      <c r="M31" s="69"/>
    </row>
    <row r="32" spans="1:14" s="3" customFormat="1" ht="33.6">
      <c r="A32" s="91" t="str">
        <f>'mental agility'!B20</f>
        <v>Breaking Patterned thinking
(menciptakan solusi baru)</v>
      </c>
      <c r="B32" s="91">
        <f>'mental agility'!I20</f>
        <v>3</v>
      </c>
      <c r="C32" s="91">
        <f>'mental agility'!K20</f>
        <v>4</v>
      </c>
      <c r="D32" s="92">
        <f>'mental agility'!M20</f>
        <v>-1</v>
      </c>
      <c r="E32" s="93" t="str">
        <f>'mental agility'!N20</f>
        <v>Minor Negative Gap</v>
      </c>
      <c r="I32" s="69"/>
      <c r="J32" s="69"/>
      <c r="K32" s="69"/>
      <c r="L32" s="69"/>
      <c r="M32" s="69"/>
    </row>
    <row r="33" spans="1:13" s="3" customFormat="1" ht="33.6">
      <c r="A33" s="91" t="str">
        <f>'mental agility'!B21</f>
        <v>Comfort with Ambiguity
(tetap efektif di situasi tidak jelas)</v>
      </c>
      <c r="B33" s="91">
        <f>'mental agility'!I21</f>
        <v>2</v>
      </c>
      <c r="C33" s="91">
        <f>'mental agility'!K21</f>
        <v>1</v>
      </c>
      <c r="D33" s="92">
        <f>'mental agility'!M21</f>
        <v>1</v>
      </c>
      <c r="E33" s="93" t="str">
        <f>'mental agility'!N21</f>
        <v>Minor Positive Gap</v>
      </c>
      <c r="F33" s="3" t="s">
        <v>528</v>
      </c>
      <c r="I33" s="69"/>
      <c r="J33" s="69"/>
      <c r="K33" s="69"/>
      <c r="L33" s="69"/>
      <c r="M33" s="69"/>
    </row>
    <row r="34" spans="1:13" s="3" customFormat="1" ht="33.6">
      <c r="A34" s="91" t="str">
        <f>'mental agility'!B22</f>
        <v>Tolerance for Ambiguity 
(memimpin dalam uncertainty tinggi)</v>
      </c>
      <c r="B34" s="91">
        <f>'mental agility'!I22</f>
        <v>2</v>
      </c>
      <c r="C34" s="91">
        <f>'mental agility'!K22</f>
        <v>2</v>
      </c>
      <c r="D34" s="92">
        <f>'mental agility'!M22</f>
        <v>0</v>
      </c>
      <c r="E34" s="93" t="str">
        <f>'mental agility'!N22</f>
        <v>No Gap</v>
      </c>
      <c r="I34" s="69"/>
      <c r="J34" s="69"/>
      <c r="K34" s="69"/>
      <c r="L34" s="69"/>
      <c r="M34" s="69"/>
    </row>
    <row r="35" spans="1:13" s="3" customFormat="1" ht="33.6">
      <c r="A35" s="20" t="s">
        <v>529</v>
      </c>
      <c r="B35" s="21">
        <f>'mental agility'!I23</f>
        <v>2.8</v>
      </c>
      <c r="C35" s="21">
        <f>'mental agility'!K23</f>
        <v>2.5</v>
      </c>
      <c r="D35" s="19">
        <f>'mental agility'!M23</f>
        <v>0.29999999999999982</v>
      </c>
      <c r="E35" s="19" t="str">
        <f>'mental agility'!N23</f>
        <v>Aligned</v>
      </c>
      <c r="I35" s="69"/>
      <c r="J35" s="69"/>
      <c r="K35" s="69"/>
      <c r="L35" s="69"/>
      <c r="M35" s="69"/>
    </row>
    <row r="36" spans="1:13" s="3" customFormat="1" ht="16.899999999999999">
      <c r="A36" s="211"/>
      <c r="B36" s="73"/>
      <c r="C36" s="73"/>
      <c r="D36" s="65"/>
      <c r="E36" s="65"/>
      <c r="I36" s="69"/>
      <c r="J36" s="69"/>
      <c r="K36" s="69"/>
      <c r="L36" s="69"/>
      <c r="M36" s="69"/>
    </row>
    <row r="37" spans="1:13">
      <c r="E37" s="24"/>
      <c r="H37"/>
    </row>
    <row r="38" spans="1:13" s="3" customFormat="1" ht="16.899999999999999">
      <c r="A38" s="3" t="s">
        <v>530</v>
      </c>
      <c r="C38" s="6"/>
      <c r="D38" s="6"/>
      <c r="I38" s="69"/>
      <c r="J38" s="69"/>
      <c r="K38" s="69"/>
      <c r="L38" s="69"/>
      <c r="M38" s="69"/>
    </row>
    <row r="39" spans="1:13" s="3" customFormat="1" ht="33.6">
      <c r="A39" s="59" t="s">
        <v>523</v>
      </c>
      <c r="B39" s="60" t="s">
        <v>524</v>
      </c>
      <c r="C39" s="60" t="s">
        <v>525</v>
      </c>
      <c r="D39" s="60" t="s">
        <v>526</v>
      </c>
      <c r="E39" s="59" t="s">
        <v>527</v>
      </c>
      <c r="I39" s="69"/>
      <c r="J39" s="69"/>
      <c r="K39" s="69"/>
      <c r="L39" s="69"/>
      <c r="M39" s="69"/>
    </row>
    <row r="40" spans="1:13" s="3" customFormat="1" ht="33.6">
      <c r="A40" s="91" t="str">
        <f>'people agility'!B13</f>
        <v xml:space="preserve"> Listening for understanding
(mendengarkan &amp; memahami)</v>
      </c>
      <c r="B40" s="91">
        <f>'people agility'!I13</f>
        <v>2</v>
      </c>
      <c r="C40" s="91">
        <f>'people agility'!K13</f>
        <v>3</v>
      </c>
      <c r="D40" s="92">
        <f>'people agility'!M13</f>
        <v>-1</v>
      </c>
      <c r="E40" s="93" t="str">
        <f>'people agility'!N13</f>
        <v>Minor Negative Gap</v>
      </c>
      <c r="I40" s="69"/>
      <c r="J40" s="69"/>
      <c r="K40" s="69"/>
      <c r="L40" s="69"/>
      <c r="M40" s="69"/>
    </row>
    <row r="41" spans="1:13" s="3" customFormat="1" ht="33.6">
      <c r="A41" s="91" t="str">
        <f>'people agility'!B14</f>
        <v>Openness to Feedback
(menerima &amp; menindaklajuti masukan)</v>
      </c>
      <c r="B41" s="91">
        <f>'people agility'!I14</f>
        <v>3</v>
      </c>
      <c r="C41" s="91">
        <f>'people agility'!K14</f>
        <v>2</v>
      </c>
      <c r="D41" s="92">
        <f>'people agility'!M14</f>
        <v>1</v>
      </c>
      <c r="E41" s="93" t="str">
        <f>'people agility'!N14</f>
        <v>Minor Positive Gap</v>
      </c>
      <c r="I41" s="69"/>
      <c r="J41" s="69"/>
      <c r="K41" s="69"/>
      <c r="L41" s="69"/>
      <c r="M41" s="69"/>
    </row>
    <row r="42" spans="1:13" s="3" customFormat="1" ht="33.6">
      <c r="A42" s="91" t="str">
        <f>'people agility'!B15</f>
        <v>Genuine Curiosity about Others
(rasa ingin tahu tulus pada orang lain)</v>
      </c>
      <c r="B42" s="91">
        <f>'people agility'!I15</f>
        <v>4</v>
      </c>
      <c r="C42" s="91">
        <f>'people agility'!K15</f>
        <v>2</v>
      </c>
      <c r="D42" s="92">
        <f>'people agility'!M15</f>
        <v>2</v>
      </c>
      <c r="E42" s="93" t="str">
        <f>'people agility'!N15</f>
        <v>Major Positive Gap</v>
      </c>
      <c r="I42" s="69"/>
      <c r="J42" s="69"/>
      <c r="K42" s="69"/>
      <c r="L42" s="69"/>
      <c r="M42" s="69"/>
    </row>
    <row r="43" spans="1:13" s="3" customFormat="1" ht="33.6">
      <c r="A43" s="91" t="str">
        <f>'people agility'!B16</f>
        <v>Collaboration with Diversity
(Bekerja efektif dalam keberagaman)</v>
      </c>
      <c r="B43" s="91">
        <f>'people agility'!I16</f>
        <v>1</v>
      </c>
      <c r="C43" s="91">
        <f>'people agility'!K16</f>
        <v>5</v>
      </c>
      <c r="D43" s="92">
        <f>'people agility'!M16</f>
        <v>-4</v>
      </c>
      <c r="E43" s="93" t="str">
        <f>'people agility'!N16</f>
        <v>Major Negative Gap</v>
      </c>
      <c r="I43" s="69"/>
      <c r="J43" s="69"/>
      <c r="K43" s="69"/>
      <c r="L43" s="69"/>
      <c r="M43" s="69"/>
    </row>
    <row r="44" spans="1:13" s="3" customFormat="1" ht="33.6">
      <c r="A44" s="91" t="str">
        <f>'people agility'!B17</f>
        <v>Valuing Diverse Opinions
(Menghargai opini berbeda)</v>
      </c>
      <c r="B44" s="91">
        <f>'people agility'!I17</f>
        <v>5</v>
      </c>
      <c r="C44" s="91">
        <f>'people agility'!K17</f>
        <v>4</v>
      </c>
      <c r="D44" s="92">
        <f>'people agility'!M17</f>
        <v>1</v>
      </c>
      <c r="E44" s="93" t="str">
        <f>'people agility'!N17</f>
        <v>Minor Positive Gap</v>
      </c>
      <c r="I44" s="69"/>
      <c r="J44" s="69"/>
      <c r="K44" s="69"/>
      <c r="L44" s="69"/>
      <c r="M44" s="69"/>
    </row>
    <row r="45" spans="1:13" s="3" customFormat="1" ht="33.6">
      <c r="A45" s="91" t="str">
        <f>'people agility'!B18</f>
        <v>Understanding Different Perspectives
(Analisis multi-sudut pandang)</v>
      </c>
      <c r="B45" s="91">
        <f>'people agility'!I18</f>
        <v>4</v>
      </c>
      <c r="C45" s="91">
        <f>'people agility'!K18</f>
        <v>5</v>
      </c>
      <c r="D45" s="92">
        <f>'people agility'!M18</f>
        <v>-1</v>
      </c>
      <c r="E45" s="93" t="str">
        <f>'people agility'!N18</f>
        <v>Minor Negative Gap</v>
      </c>
      <c r="I45" s="69"/>
      <c r="J45" s="69"/>
      <c r="K45" s="69"/>
      <c r="L45" s="69"/>
      <c r="M45" s="69"/>
    </row>
    <row r="46" spans="1:13" s="3" customFormat="1" ht="33.6">
      <c r="A46" s="91" t="str">
        <f>'people agility'!B19</f>
        <v>Recognizing Others' Potential
(mengenali potensi orang lain)</v>
      </c>
      <c r="B46" s="91">
        <f>'people agility'!I19</f>
        <v>1</v>
      </c>
      <c r="C46" s="91">
        <f>'people agility'!K19</f>
        <v>3</v>
      </c>
      <c r="D46" s="92">
        <f>'people agility'!M19</f>
        <v>-2</v>
      </c>
      <c r="E46" s="93" t="str">
        <f>'people agility'!N19</f>
        <v>Major Negative Gap</v>
      </c>
      <c r="I46" s="69"/>
      <c r="J46" s="69"/>
      <c r="K46" s="69"/>
      <c r="L46" s="69"/>
      <c r="M46" s="69"/>
    </row>
    <row r="47" spans="1:13" s="3" customFormat="1" ht="33.6">
      <c r="A47" s="91" t="str">
        <f>'people agility'!B20</f>
        <v>Setting Direction &amp; Expectations
(menetapkan arah &amp; ekspektasi)</v>
      </c>
      <c r="B47" s="91">
        <f>'people agility'!I20</f>
        <v>3</v>
      </c>
      <c r="C47" s="91">
        <f>'people agility'!K20</f>
        <v>5</v>
      </c>
      <c r="D47" s="92">
        <f>'people agility'!M20</f>
        <v>-2</v>
      </c>
      <c r="E47" s="93" t="str">
        <f>'people agility'!N20</f>
        <v>Major Negative Gap</v>
      </c>
      <c r="I47" s="69"/>
      <c r="J47" s="69"/>
      <c r="K47" s="69"/>
      <c r="L47" s="69"/>
      <c r="M47" s="69"/>
    </row>
    <row r="48" spans="1:13" s="3" customFormat="1" ht="50.45">
      <c r="A48" s="91" t="str">
        <f>'people agility'!B21</f>
        <v>Empathy
(Merasakan &amp; memahami emosi orang lain)</v>
      </c>
      <c r="B48" s="91">
        <f>'people agility'!I21</f>
        <v>3</v>
      </c>
      <c r="C48" s="91">
        <f>'people agility'!K21</f>
        <v>2</v>
      </c>
      <c r="D48" s="92">
        <f>'people agility'!M21</f>
        <v>1</v>
      </c>
      <c r="E48" s="93" t="str">
        <f>'people agility'!N21</f>
        <v>Minor Positive Gap</v>
      </c>
      <c r="I48" s="69"/>
      <c r="J48" s="69"/>
      <c r="K48" s="69"/>
      <c r="L48" s="69"/>
      <c r="M48" s="69"/>
    </row>
    <row r="49" spans="1:13" s="3" customFormat="1" ht="33.6">
      <c r="A49" s="91" t="str">
        <f>'people agility'!B22</f>
        <v>Conflict Navigation
(menghadapi konflik secara konstruktif)</v>
      </c>
      <c r="B49" s="91">
        <f>'people agility'!I22</f>
        <v>5</v>
      </c>
      <c r="C49" s="91">
        <f>'people agility'!K22</f>
        <v>4</v>
      </c>
      <c r="D49" s="92">
        <f>'people agility'!M22</f>
        <v>1</v>
      </c>
      <c r="E49" s="93" t="str">
        <f>'people agility'!N22</f>
        <v>Minor Positive Gap</v>
      </c>
      <c r="I49" s="69"/>
      <c r="J49" s="69"/>
      <c r="K49" s="69"/>
      <c r="L49" s="69"/>
      <c r="M49" s="69"/>
    </row>
    <row r="50" spans="1:13" s="3" customFormat="1" ht="50.45">
      <c r="A50" s="91" t="str">
        <f>'people agility'!B23</f>
        <v>Giving Developmental Feedback
(memberi umpan balik yang mengembangkan)</v>
      </c>
      <c r="B50" s="91">
        <f>'people agility'!I23</f>
        <v>1</v>
      </c>
      <c r="C50" s="91">
        <f>'people agility'!K23</f>
        <v>1</v>
      </c>
      <c r="D50" s="92">
        <f>'people agility'!M23</f>
        <v>0</v>
      </c>
      <c r="E50" s="93" t="str">
        <f>'people agility'!N23</f>
        <v>No Gap</v>
      </c>
      <c r="I50" s="69"/>
      <c r="J50" s="69"/>
      <c r="K50" s="69"/>
      <c r="L50" s="69"/>
      <c r="M50" s="69"/>
    </row>
    <row r="51" spans="1:13" s="3" customFormat="1" ht="33.6">
      <c r="A51" s="91" t="str">
        <f>'people agility'!B24</f>
        <v>Managing Challenging  Stakeholder
(relasi berkelanjutan dengan pihak sulit)</v>
      </c>
      <c r="B51" s="91">
        <f>'people agility'!I24</f>
        <v>2</v>
      </c>
      <c r="C51" s="91">
        <f>'people agility'!K24</f>
        <v>3</v>
      </c>
      <c r="D51" s="92">
        <f>'people agility'!M24</f>
        <v>-1</v>
      </c>
      <c r="E51" s="93" t="str">
        <f>'people agility'!N24</f>
        <v>Minor Negative Gap</v>
      </c>
      <c r="I51" s="69"/>
      <c r="J51" s="69"/>
      <c r="K51" s="69"/>
      <c r="L51" s="69"/>
      <c r="M51" s="69"/>
    </row>
    <row r="52" spans="1:13" s="3" customFormat="1" ht="33.6">
      <c r="A52" s="91" t="str">
        <f>'people agility'!B25</f>
        <v>Delegating for Growth (mendelegasikan sebagai sarana pengembangan)</v>
      </c>
      <c r="B52" s="91">
        <f>'people agility'!I25</f>
        <v>4</v>
      </c>
      <c r="C52" s="91">
        <f>'people agility'!K25</f>
        <v>4</v>
      </c>
      <c r="D52" s="92">
        <f>'people agility'!M25</f>
        <v>0</v>
      </c>
      <c r="E52" s="93" t="str">
        <f>'people agility'!N25</f>
        <v>No Gap</v>
      </c>
      <c r="I52" s="69"/>
      <c r="J52" s="69"/>
      <c r="K52" s="69"/>
      <c r="L52" s="69"/>
      <c r="M52" s="69"/>
    </row>
    <row r="53" spans="1:13" s="3" customFormat="1" ht="33.6">
      <c r="A53" s="91" t="str">
        <f>'people agility'!B26</f>
        <v>Adapting Leadership Style
(menyesuaikan gaya kepemimpinan)</v>
      </c>
      <c r="B53" s="91">
        <f>'people agility'!I26</f>
        <v>1</v>
      </c>
      <c r="C53" s="91">
        <f>'people agility'!K26</f>
        <v>3</v>
      </c>
      <c r="D53" s="92">
        <f>'people agility'!M26</f>
        <v>-2</v>
      </c>
      <c r="E53" s="93" t="str">
        <f>'people agility'!N26</f>
        <v>Major Negative Gap</v>
      </c>
      <c r="I53" s="69"/>
      <c r="J53" s="69"/>
      <c r="K53" s="69"/>
      <c r="L53" s="69"/>
      <c r="M53" s="69"/>
    </row>
    <row r="54" spans="1:13" s="3" customFormat="1" ht="33.6">
      <c r="A54" s="91" t="str">
        <f>'people agility'!B27</f>
        <v>Conflict Mediation
(menjadi penengah pihak berbeda)</v>
      </c>
      <c r="B54" s="91">
        <f>'people agility'!I27</f>
        <v>1</v>
      </c>
      <c r="C54" s="91">
        <f>'people agility'!K27</f>
        <v>1</v>
      </c>
      <c r="D54" s="92">
        <f>'people agility'!M27</f>
        <v>0</v>
      </c>
      <c r="E54" s="93" t="str">
        <f>'people agility'!N27</f>
        <v>No Gap</v>
      </c>
      <c r="I54" s="69"/>
      <c r="J54" s="69"/>
      <c r="K54" s="69"/>
      <c r="L54" s="69"/>
      <c r="M54" s="69"/>
    </row>
    <row r="55" spans="1:13" s="3" customFormat="1" ht="60" customHeight="1">
      <c r="A55" s="91" t="str">
        <f>'people agility'!B28</f>
        <v>Coaching &amp; Building Capability
(membangun kemampuan orang lain)</v>
      </c>
      <c r="B55" s="91">
        <f>'people agility'!I28</f>
        <v>3</v>
      </c>
      <c r="C55" s="91">
        <f>'people agility'!K28</f>
        <v>2</v>
      </c>
      <c r="D55" s="92">
        <f>'people agility'!M28</f>
        <v>1</v>
      </c>
      <c r="E55" s="93" t="str">
        <f>'people agility'!N28</f>
        <v>Minor Positive Gap</v>
      </c>
      <c r="I55" s="69"/>
      <c r="J55" s="69"/>
      <c r="K55" s="69"/>
      <c r="L55" s="69"/>
      <c r="M55" s="69"/>
    </row>
    <row r="56" spans="1:13" s="3" customFormat="1" ht="33.6">
      <c r="A56" s="61" t="s">
        <v>529</v>
      </c>
      <c r="B56" s="61">
        <f>'people agility'!I29</f>
        <v>2.8</v>
      </c>
      <c r="C56" s="212">
        <f>'people agility'!K29</f>
        <v>3.1333333333333333</v>
      </c>
      <c r="D56" s="213">
        <f>'people agility'!M29</f>
        <v>-0.33333333333333348</v>
      </c>
      <c r="E56" s="59" t="str">
        <f>'people agility'!N29</f>
        <v>Aligned</v>
      </c>
      <c r="I56" s="69"/>
      <c r="J56" s="69"/>
      <c r="K56" s="69"/>
      <c r="L56" s="69"/>
      <c r="M56" s="69"/>
    </row>
    <row r="57" spans="1:13" s="3" customFormat="1" ht="16.899999999999999">
      <c r="A57" s="73"/>
      <c r="B57" s="73"/>
      <c r="C57" s="73"/>
      <c r="D57" s="65"/>
      <c r="E57" s="65"/>
      <c r="I57" s="69"/>
      <c r="J57" s="69"/>
      <c r="K57" s="69"/>
      <c r="L57" s="69"/>
      <c r="M57" s="69"/>
    </row>
    <row r="58" spans="1:13">
      <c r="E58" s="24"/>
      <c r="H58"/>
    </row>
    <row r="59" spans="1:13" s="3" customFormat="1" ht="16.899999999999999">
      <c r="A59" s="3" t="s">
        <v>531</v>
      </c>
      <c r="C59" s="6"/>
      <c r="D59" s="6"/>
      <c r="I59" s="69"/>
      <c r="J59" s="69"/>
      <c r="K59" s="69"/>
      <c r="L59" s="69"/>
      <c r="M59" s="69"/>
    </row>
    <row r="60" spans="1:13" s="3" customFormat="1" ht="33.6">
      <c r="A60" s="62" t="s">
        <v>523</v>
      </c>
      <c r="B60" s="63" t="s">
        <v>524</v>
      </c>
      <c r="C60" s="63" t="s">
        <v>525</v>
      </c>
      <c r="D60" s="63" t="s">
        <v>526</v>
      </c>
      <c r="E60" s="62" t="s">
        <v>527</v>
      </c>
      <c r="I60" s="69"/>
      <c r="J60" s="69"/>
      <c r="K60" s="69"/>
      <c r="L60" s="69"/>
      <c r="M60" s="69"/>
    </row>
    <row r="61" spans="1:13" s="3" customFormat="1" ht="33.6">
      <c r="A61" s="7" t="str">
        <f>'change agility'!B13</f>
        <v>Adapting to New Systems
(mengikuti perubahan sistem &amp; prosedur)</v>
      </c>
      <c r="B61" s="7">
        <f>'change agility'!I13</f>
        <v>3</v>
      </c>
      <c r="C61" s="7">
        <f>'change agility'!K13</f>
        <v>4</v>
      </c>
      <c r="D61" s="5">
        <f>'change agility'!M13</f>
        <v>-1</v>
      </c>
      <c r="E61" s="4" t="str">
        <f>'change agility'!N13</f>
        <v>Minor Negative Gap</v>
      </c>
      <c r="I61" s="69"/>
      <c r="J61" s="69"/>
      <c r="K61" s="69"/>
      <c r="L61" s="69"/>
      <c r="M61" s="69"/>
    </row>
    <row r="62" spans="1:13" s="3" customFormat="1" ht="33.6">
      <c r="A62" s="7" t="str">
        <f>'change agility'!B14</f>
        <v>Comfort with New Ways of Working
(nyaman dengan cara kerja baru)</v>
      </c>
      <c r="B62" s="7">
        <f>'change agility'!I14</f>
        <v>3</v>
      </c>
      <c r="C62" s="7">
        <f>'change agility'!K14</f>
        <v>3</v>
      </c>
      <c r="D62" s="5">
        <f>'change agility'!M14</f>
        <v>0</v>
      </c>
      <c r="E62" s="4" t="str">
        <f>'change agility'!N14</f>
        <v>No Gap</v>
      </c>
      <c r="I62" s="69"/>
      <c r="J62" s="69"/>
      <c r="K62" s="69"/>
      <c r="L62" s="69"/>
      <c r="M62" s="69"/>
    </row>
    <row r="63" spans="1:13" s="3" customFormat="1" ht="33.6">
      <c r="A63" s="7" t="str">
        <f>'change agility'!B15</f>
        <v>Comfort with Sudden Change
(tetap bekerja saat perubahan mendadak)</v>
      </c>
      <c r="B63" s="7">
        <f>'change agility'!I15</f>
        <v>3</v>
      </c>
      <c r="C63" s="7">
        <f>'change agility'!K15</f>
        <v>2</v>
      </c>
      <c r="D63" s="5">
        <f>'change agility'!M15</f>
        <v>1</v>
      </c>
      <c r="E63" s="4" t="str">
        <f>'change agility'!N15</f>
        <v>Minor Positive Gap</v>
      </c>
      <c r="I63" s="69"/>
      <c r="J63" s="69"/>
      <c r="K63" s="69"/>
      <c r="L63" s="69"/>
      <c r="M63" s="69"/>
    </row>
    <row r="64" spans="1:13" s="3" customFormat="1" ht="33.6">
      <c r="A64" s="7" t="str">
        <f>'change agility'!B16</f>
        <v>Managing Resistance to Change
(pengelolaan resistensi)</v>
      </c>
      <c r="B64" s="7">
        <f>'change agility'!I16</f>
        <v>4</v>
      </c>
      <c r="C64" s="7">
        <f>'change agility'!K16</f>
        <v>3</v>
      </c>
      <c r="D64" s="5">
        <f>'change agility'!M16</f>
        <v>1</v>
      </c>
      <c r="E64" s="4" t="str">
        <f>'change agility'!N16</f>
        <v>Minor Positive Gap</v>
      </c>
      <c r="I64" s="69"/>
      <c r="J64" s="69"/>
      <c r="K64" s="69"/>
      <c r="L64" s="69"/>
      <c r="M64" s="69"/>
    </row>
    <row r="65" spans="1:13" s="3" customFormat="1" ht="33.6">
      <c r="A65" s="7" t="str">
        <f>'change agility'!B17</f>
        <v>Adaptive Learning &amp; Experimentation
(aktif belajar hal baru)</v>
      </c>
      <c r="B65" s="7">
        <f>'change agility'!I17</f>
        <v>4</v>
      </c>
      <c r="C65" s="7">
        <f>'change agility'!K17</f>
        <v>4</v>
      </c>
      <c r="D65" s="5">
        <f>'change agility'!M17</f>
        <v>0</v>
      </c>
      <c r="E65" s="4" t="str">
        <f>'change agility'!N17</f>
        <v>No Gap</v>
      </c>
      <c r="I65" s="69"/>
      <c r="J65" s="69"/>
      <c r="K65" s="69"/>
      <c r="L65" s="69"/>
      <c r="M65" s="69"/>
    </row>
    <row r="66" spans="1:13" s="3" customFormat="1" ht="33.6">
      <c r="A66" s="7" t="str">
        <f>'change agility'!B18</f>
        <v>Viewing Change as Opportunity
(melihat perubahan sebagai peluang)</v>
      </c>
      <c r="B66" s="7">
        <f>'change agility'!I18</f>
        <v>3</v>
      </c>
      <c r="C66" s="7">
        <f>'change agility'!K18</f>
        <v>2</v>
      </c>
      <c r="D66" s="5">
        <f>'change agility'!M18</f>
        <v>1</v>
      </c>
      <c r="E66" s="4" t="str">
        <f>'change agility'!N18</f>
        <v>Minor Positive Gap</v>
      </c>
      <c r="I66" s="69"/>
      <c r="J66" s="69"/>
      <c r="K66" s="69"/>
      <c r="L66" s="69"/>
      <c r="M66" s="69"/>
    </row>
    <row r="67" spans="1:13" s="3" customFormat="1" ht="33.6">
      <c r="A67" s="7" t="str">
        <f>'change agility'!B19</f>
        <v>Proposing New Ideas
(menginisiasi perubahan)</v>
      </c>
      <c r="B67" s="7">
        <f>'change agility'!I19</f>
        <v>3</v>
      </c>
      <c r="C67" s="7">
        <f>'change agility'!K19</f>
        <v>3</v>
      </c>
      <c r="D67" s="5">
        <f>'change agility'!M19</f>
        <v>0</v>
      </c>
      <c r="E67" s="4" t="str">
        <f>'change agility'!N19</f>
        <v>No Gap</v>
      </c>
      <c r="I67" s="69"/>
      <c r="J67" s="69"/>
      <c r="K67" s="69"/>
      <c r="L67" s="69"/>
      <c r="M67" s="69"/>
    </row>
    <row r="68" spans="1:13" s="3" customFormat="1" ht="33.6">
      <c r="A68" s="7" t="str">
        <f>'change agility'!B20</f>
        <v>Risk-Taking for Innovation
(berani mencoba pendekatan baru)</v>
      </c>
      <c r="B68" s="7">
        <f>'change agility'!I20</f>
        <v>2</v>
      </c>
      <c r="C68" s="7">
        <f>'change agility'!K20</f>
        <v>1</v>
      </c>
      <c r="D68" s="5">
        <f>'change agility'!M20</f>
        <v>1</v>
      </c>
      <c r="E68" s="4" t="str">
        <f>'change agility'!N20</f>
        <v>Minor Positive Gap</v>
      </c>
      <c r="I68" s="69"/>
      <c r="J68" s="69"/>
      <c r="K68" s="69"/>
      <c r="L68" s="69"/>
      <c r="M68" s="69"/>
    </row>
    <row r="69" spans="1:13" s="3" customFormat="1" ht="33.6">
      <c r="A69" s="7" t="str">
        <f>'change agility'!B21</f>
        <v>Calmness in Uncertainty
(tetap tenang di kondisi tidak pasti)</v>
      </c>
      <c r="B69" s="7">
        <f>'change agility'!I21</f>
        <v>2</v>
      </c>
      <c r="C69" s="7">
        <f>'change agility'!K21</f>
        <v>1</v>
      </c>
      <c r="D69" s="5">
        <f>'change agility'!M21</f>
        <v>1</v>
      </c>
      <c r="E69" s="4" t="str">
        <f>'change agility'!N21</f>
        <v>Minor Positive Gap</v>
      </c>
      <c r="I69" s="69"/>
      <c r="J69" s="69"/>
      <c r="K69" s="69"/>
      <c r="L69" s="69"/>
      <c r="M69" s="69"/>
    </row>
    <row r="70" spans="1:13" s="3" customFormat="1" ht="33.6">
      <c r="A70" s="7" t="str">
        <f>'change agility'!B22</f>
        <v>Proactive in Anticipating Change
(mengantisipasi perubahan)</v>
      </c>
      <c r="B70" s="7">
        <f>'change agility'!I22</f>
        <v>3</v>
      </c>
      <c r="C70" s="7">
        <f>'change agility'!K22</f>
        <v>2</v>
      </c>
      <c r="D70" s="5">
        <f>'change agility'!M22</f>
        <v>1</v>
      </c>
      <c r="E70" s="4" t="str">
        <f>'change agility'!N22</f>
        <v>Minor Positive Gap</v>
      </c>
      <c r="I70" s="69"/>
      <c r="J70" s="69"/>
      <c r="K70" s="69"/>
      <c r="L70" s="69"/>
      <c r="M70" s="69"/>
    </row>
    <row r="71" spans="1:13" s="65" customFormat="1" ht="33.6">
      <c r="A71" s="64" t="s">
        <v>529</v>
      </c>
      <c r="B71" s="101">
        <f>'change agility'!I23</f>
        <v>3</v>
      </c>
      <c r="C71" s="101">
        <f>'change agility'!K23</f>
        <v>2.5</v>
      </c>
      <c r="D71" s="102">
        <f>'change agility'!M23</f>
        <v>0.5</v>
      </c>
      <c r="E71" s="62" t="str">
        <f>'change agility'!N23</f>
        <v>Minor Positive Gap</v>
      </c>
    </row>
    <row r="72" spans="1:13" s="3" customFormat="1" ht="16.899999999999999">
      <c r="A72" s="6"/>
      <c r="B72" s="6"/>
      <c r="C72" s="6"/>
      <c r="D72" s="6"/>
      <c r="I72" s="69"/>
      <c r="J72" s="69"/>
      <c r="K72" s="69"/>
      <c r="L72" s="69"/>
      <c r="M72" s="69"/>
    </row>
    <row r="73" spans="1:13" s="3" customFormat="1" ht="16.899999999999999">
      <c r="A73" s="6"/>
      <c r="B73" s="6"/>
      <c r="C73" s="6"/>
      <c r="D73" s="6"/>
      <c r="I73" s="69"/>
      <c r="J73" s="69"/>
      <c r="K73" s="69"/>
      <c r="L73" s="69"/>
      <c r="M73" s="69"/>
    </row>
    <row r="74" spans="1:13" s="3" customFormat="1" ht="16.899999999999999">
      <c r="A74" s="3" t="s">
        <v>532</v>
      </c>
      <c r="C74" s="6"/>
      <c r="D74" s="6"/>
      <c r="I74" s="69"/>
      <c r="J74" s="69"/>
      <c r="K74" s="69"/>
      <c r="L74" s="69"/>
      <c r="M74" s="69"/>
    </row>
    <row r="75" spans="1:13" s="3" customFormat="1" ht="33.6">
      <c r="A75" s="66" t="s">
        <v>523</v>
      </c>
      <c r="B75" s="67" t="s">
        <v>524</v>
      </c>
      <c r="C75" s="67" t="s">
        <v>525</v>
      </c>
      <c r="D75" s="67" t="s">
        <v>526</v>
      </c>
      <c r="E75" s="66" t="s">
        <v>527</v>
      </c>
      <c r="I75" s="69"/>
      <c r="J75" s="69"/>
      <c r="K75" s="69"/>
      <c r="L75" s="69"/>
      <c r="M75" s="69"/>
    </row>
    <row r="76" spans="1:13" s="3" customFormat="1" ht="33.6">
      <c r="A76" s="7" t="str">
        <f>'result agility'!B13</f>
        <v>Task Completion Quality 
(menyelesaikan tugas dengan baik)</v>
      </c>
      <c r="B76" s="91">
        <f>'result agility'!I13</f>
        <v>1</v>
      </c>
      <c r="C76" s="91">
        <f>'result agility'!K13</f>
        <v>2</v>
      </c>
      <c r="D76" s="91">
        <f>'result agility'!M13</f>
        <v>-1</v>
      </c>
      <c r="E76" s="103" t="str">
        <f>'result agility'!N13</f>
        <v>Minor Negative Gap</v>
      </c>
      <c r="I76" s="69"/>
      <c r="J76" s="69"/>
      <c r="K76" s="69"/>
      <c r="L76" s="69"/>
      <c r="M76" s="69"/>
    </row>
    <row r="77" spans="1:13" s="3" customFormat="1" ht="33.6">
      <c r="A77" s="7" t="str">
        <f>'result agility'!B14</f>
        <v>Action-Oriented &amp; Takes Initiative 
(proaktif bertindak)</v>
      </c>
      <c r="B77" s="91">
        <f>'result agility'!I14</f>
        <v>5</v>
      </c>
      <c r="C77" s="91">
        <f>'result agility'!K14</f>
        <v>5</v>
      </c>
      <c r="D77" s="91">
        <f>'result agility'!M14</f>
        <v>0</v>
      </c>
      <c r="E77" s="103" t="str">
        <f>'result agility'!N14</f>
        <v>No Gap</v>
      </c>
      <c r="I77" s="69"/>
      <c r="J77" s="69"/>
      <c r="K77" s="69"/>
      <c r="L77" s="69"/>
      <c r="M77" s="69"/>
    </row>
    <row r="78" spans="1:13" s="3" customFormat="1" ht="33.6">
      <c r="A78" s="7" t="str">
        <f>'result agility'!B15</f>
        <v>Driving for impact
(fokus pada hasil kerja)</v>
      </c>
      <c r="B78" s="91">
        <f>'result agility'!I15</f>
        <v>4</v>
      </c>
      <c r="C78" s="91">
        <f>'result agility'!K15</f>
        <v>4</v>
      </c>
      <c r="D78" s="91">
        <f>'result agility'!M15</f>
        <v>0</v>
      </c>
      <c r="E78" s="103" t="str">
        <f>'result agility'!N15</f>
        <v>No Gap</v>
      </c>
      <c r="I78" s="69"/>
      <c r="J78" s="69"/>
      <c r="K78" s="69"/>
      <c r="L78" s="69"/>
      <c r="M78" s="69"/>
    </row>
    <row r="79" spans="1:13" s="3" customFormat="1" ht="33.6">
      <c r="A79" s="7" t="str">
        <f>'result agility'!B16</f>
        <v>Tenacity &amp; Strategic Persistence
(menjaga komitmen di tengah tantangan)</v>
      </c>
      <c r="B79" s="91">
        <f>'result agility'!I16</f>
        <v>3</v>
      </c>
      <c r="C79" s="91">
        <f>'result agility'!K16</f>
        <v>5</v>
      </c>
      <c r="D79" s="91">
        <f>'result agility'!M16</f>
        <v>-2</v>
      </c>
      <c r="E79" s="103" t="str">
        <f>'result agility'!N16</f>
        <v>Major Negative Gap</v>
      </c>
      <c r="I79" s="69"/>
      <c r="J79" s="69"/>
      <c r="K79" s="69"/>
      <c r="L79" s="69"/>
      <c r="M79" s="69"/>
    </row>
    <row r="80" spans="1:13" s="3" customFormat="1" ht="33.6">
      <c r="A80" s="7" t="str">
        <f>'result agility'!B17</f>
        <v>Prioritizing &amp; Sequencing Work
(menyusun prioritas &amp; urutan kerja)</v>
      </c>
      <c r="B80" s="91">
        <f>'result agility'!I17</f>
        <v>5</v>
      </c>
      <c r="C80" s="91">
        <f>'result agility'!K17</f>
        <v>4</v>
      </c>
      <c r="D80" s="91">
        <f>'result agility'!M17</f>
        <v>1</v>
      </c>
      <c r="E80" s="103" t="str">
        <f>'result agility'!N17</f>
        <v>Minor Positive Gap</v>
      </c>
      <c r="I80" s="69"/>
      <c r="J80" s="69"/>
      <c r="K80" s="69"/>
      <c r="L80" s="69"/>
      <c r="M80" s="69"/>
    </row>
    <row r="81" spans="1:13" s="3" customFormat="1" ht="33.6">
      <c r="A81" s="7" t="str">
        <f>'result agility'!B18</f>
        <v>Learning from Outcomes
(belajar dari hasil &amp; kesalahan)</v>
      </c>
      <c r="B81" s="91">
        <f>'result agility'!I18</f>
        <v>1</v>
      </c>
      <c r="C81" s="91">
        <f>'result agility'!K18</f>
        <v>4</v>
      </c>
      <c r="D81" s="91">
        <f>'result agility'!M18</f>
        <v>-3</v>
      </c>
      <c r="E81" s="103" t="str">
        <f>'result agility'!N18</f>
        <v>Major Negative Gap</v>
      </c>
      <c r="I81" s="69"/>
      <c r="J81" s="69"/>
      <c r="K81" s="69"/>
      <c r="L81" s="69"/>
      <c r="M81" s="69"/>
    </row>
    <row r="82" spans="1:13" s="3" customFormat="1" ht="50.45">
      <c r="A82" s="7" t="str">
        <f>'result agility'!B19</f>
        <v>Deciding with Incomplete Data
(mengambil keputusan dengan data/informasi terbatas)</v>
      </c>
      <c r="B82" s="91">
        <f>'result agility'!I19</f>
        <v>2</v>
      </c>
      <c r="C82" s="91">
        <f>'result agility'!K19</f>
        <v>2</v>
      </c>
      <c r="D82" s="91">
        <f>'result agility'!M19</f>
        <v>0</v>
      </c>
      <c r="E82" s="103" t="str">
        <f>'result agility'!N19</f>
        <v>No Gap</v>
      </c>
      <c r="I82" s="69"/>
      <c r="J82" s="69"/>
      <c r="K82" s="69"/>
      <c r="L82" s="69"/>
      <c r="M82" s="69"/>
    </row>
    <row r="83" spans="1:13" s="3" customFormat="1" ht="33.6">
      <c r="A83" s="7" t="str">
        <f>'result agility'!B20</f>
        <v>Focus Under Pressure
(tetap fokus dalam tekanan)</v>
      </c>
      <c r="B83" s="91">
        <f>'result agility'!I20</f>
        <v>2</v>
      </c>
      <c r="C83" s="91">
        <f>'result agility'!K20</f>
        <v>2</v>
      </c>
      <c r="D83" s="91">
        <f>'result agility'!M20</f>
        <v>0</v>
      </c>
      <c r="E83" s="103" t="str">
        <f>'result agility'!N20</f>
        <v>No Gap</v>
      </c>
      <c r="I83" s="69"/>
      <c r="J83" s="69"/>
      <c r="K83" s="69"/>
      <c r="L83" s="69"/>
      <c r="M83" s="69"/>
    </row>
    <row r="84" spans="1:13" s="3" customFormat="1" ht="33.6">
      <c r="A84" s="7" t="str">
        <f>'result agility'!B21</f>
        <v>Adapting Strategy When Needed
(mengubah strategi untuk hasil lebih baik)</v>
      </c>
      <c r="B84" s="91">
        <f>'result agility'!I21</f>
        <v>3</v>
      </c>
      <c r="C84" s="91">
        <f>'result agility'!K21</f>
        <v>5</v>
      </c>
      <c r="D84" s="91">
        <f>'result agility'!M21</f>
        <v>-2</v>
      </c>
      <c r="E84" s="103" t="str">
        <f>'result agility'!N21</f>
        <v>Major Negative Gap</v>
      </c>
      <c r="I84" s="69"/>
      <c r="J84" s="69"/>
      <c r="K84" s="69"/>
      <c r="L84" s="69"/>
      <c r="M84" s="69"/>
    </row>
    <row r="85" spans="1:13" s="3" customFormat="1" ht="50.45">
      <c r="A85" s="7" t="str">
        <f>'result agility'!B22</f>
        <v>Resource Planning &amp; Contingency
(merencanakan sumber daya &amp; rencana cadangan)</v>
      </c>
      <c r="B85" s="91">
        <f>'result agility'!I22</f>
        <v>1</v>
      </c>
      <c r="C85" s="91">
        <f>'result agility'!K22</f>
        <v>4</v>
      </c>
      <c r="D85" s="91">
        <f>'result agility'!M22</f>
        <v>-3</v>
      </c>
      <c r="E85" s="103" t="str">
        <f>'result agility'!N22</f>
        <v>Major Negative Gap</v>
      </c>
      <c r="I85" s="69"/>
      <c r="J85" s="69"/>
      <c r="K85" s="69"/>
      <c r="L85" s="69"/>
      <c r="M85" s="69"/>
    </row>
    <row r="86" spans="1:13" s="3" customFormat="1" ht="33.6">
      <c r="A86" s="7" t="str">
        <f>'result agility'!B23</f>
        <v>Agile Problem-Solving Under Pressure
(memecahkan masalah di bawah tekanan)</v>
      </c>
      <c r="B86" s="91">
        <f>'result agility'!I23</f>
        <v>4</v>
      </c>
      <c r="C86" s="91">
        <f>'result agility'!K23</f>
        <v>2</v>
      </c>
      <c r="D86" s="91">
        <f>'result agility'!M23</f>
        <v>2</v>
      </c>
      <c r="E86" s="103" t="str">
        <f>'result agility'!N23</f>
        <v>Major Positive Gap</v>
      </c>
      <c r="I86" s="69"/>
      <c r="J86" s="69"/>
      <c r="K86" s="69"/>
      <c r="L86" s="69"/>
      <c r="M86" s="69"/>
    </row>
    <row r="87" spans="1:13" s="3" customFormat="1" ht="33.6">
      <c r="A87" s="7" t="str">
        <f>'result agility'!B24</f>
        <v>Drive for High Performance
(dorongan berkinerja tinggi)</v>
      </c>
      <c r="B87" s="91">
        <f>'result agility'!I24</f>
        <v>5</v>
      </c>
      <c r="C87" s="91">
        <f>'result agility'!K24</f>
        <v>2</v>
      </c>
      <c r="D87" s="91">
        <f>'result agility'!M24</f>
        <v>3</v>
      </c>
      <c r="E87" s="103" t="str">
        <f>'result agility'!N24</f>
        <v>Major Positive Gap</v>
      </c>
      <c r="I87" s="69"/>
      <c r="J87" s="69"/>
      <c r="K87" s="69"/>
      <c r="L87" s="69"/>
      <c r="M87" s="69"/>
    </row>
    <row r="88" spans="1:13" s="69" customFormat="1" ht="33.6">
      <c r="A88" s="68" t="s">
        <v>529</v>
      </c>
      <c r="B88" s="104">
        <f>'result agility'!I25</f>
        <v>3</v>
      </c>
      <c r="C88" s="104">
        <f>'result agility'!K25</f>
        <v>3.4166666666666665</v>
      </c>
      <c r="D88" s="105">
        <f>'result agility'!M25</f>
        <v>-0.41666666666666652</v>
      </c>
      <c r="E88" s="66" t="str">
        <f>'result agility'!N25</f>
        <v>Aligned</v>
      </c>
    </row>
    <row r="89" spans="1:13" s="3" customFormat="1" ht="16.899999999999999">
      <c r="A89" s="6"/>
      <c r="B89" s="6"/>
      <c r="C89" s="6"/>
      <c r="D89" s="6"/>
      <c r="I89" s="69"/>
      <c r="J89" s="69"/>
      <c r="K89" s="69"/>
      <c r="L89" s="69"/>
      <c r="M89" s="69"/>
    </row>
    <row r="90" spans="1:13" s="3" customFormat="1" ht="16.899999999999999">
      <c r="A90" s="6"/>
      <c r="B90" s="6"/>
      <c r="C90" s="6"/>
      <c r="D90" s="6"/>
      <c r="I90" s="69"/>
      <c r="J90" s="69"/>
      <c r="K90" s="69"/>
      <c r="L90" s="69"/>
      <c r="M90" s="69"/>
    </row>
    <row r="91" spans="1:13" s="3" customFormat="1" ht="16.899999999999999">
      <c r="A91" s="3" t="s">
        <v>533</v>
      </c>
      <c r="C91" s="6"/>
      <c r="D91" s="6"/>
      <c r="I91" s="69"/>
      <c r="J91" s="69"/>
      <c r="K91" s="69"/>
      <c r="L91" s="69"/>
      <c r="M91" s="69"/>
    </row>
    <row r="92" spans="1:13" s="3" customFormat="1" ht="33.6">
      <c r="A92" s="70" t="s">
        <v>523</v>
      </c>
      <c r="B92" s="71" t="s">
        <v>524</v>
      </c>
      <c r="C92" s="71" t="s">
        <v>525</v>
      </c>
      <c r="D92" s="71" t="s">
        <v>526</v>
      </c>
      <c r="E92" s="70" t="s">
        <v>527</v>
      </c>
      <c r="I92" s="69"/>
      <c r="J92" s="69"/>
      <c r="K92" s="69"/>
      <c r="L92" s="69"/>
      <c r="M92" s="69"/>
    </row>
    <row r="93" spans="1:13" s="3" customFormat="1" ht="33.6">
      <c r="A93" s="91" t="str">
        <f>'self awareness'!B13</f>
        <v>Openness to Criticism
(menerima kritik)</v>
      </c>
      <c r="B93" s="91">
        <f>'self awareness'!I13</f>
        <v>4</v>
      </c>
      <c r="C93" s="91">
        <f>'self awareness'!K13</f>
        <v>2</v>
      </c>
      <c r="D93" s="91">
        <f>'self awareness'!M13</f>
        <v>2</v>
      </c>
      <c r="E93" s="103" t="str">
        <f>'self awareness'!N13</f>
        <v>Major Positive Gap</v>
      </c>
      <c r="I93" s="69"/>
      <c r="J93" s="69"/>
      <c r="K93" s="69"/>
      <c r="L93" s="69"/>
      <c r="M93" s="69"/>
    </row>
    <row r="94" spans="1:13" s="3" customFormat="1" ht="33.6">
      <c r="A94" s="91" t="str">
        <f>'self awareness'!B14</f>
        <v>Admitting Mistakes
(mengakui kesalahan)</v>
      </c>
      <c r="B94" s="91">
        <f>'self awareness'!I14</f>
        <v>4</v>
      </c>
      <c r="C94" s="91">
        <f>'self awareness'!K14</f>
        <v>5</v>
      </c>
      <c r="D94" s="91">
        <f>'self awareness'!M14</f>
        <v>-1</v>
      </c>
      <c r="E94" s="103" t="str">
        <f>'self awareness'!N14</f>
        <v>Minor Negative Gap</v>
      </c>
      <c r="I94" s="69"/>
      <c r="J94" s="69"/>
      <c r="K94" s="69"/>
      <c r="L94" s="69"/>
      <c r="M94" s="69"/>
    </row>
    <row r="95" spans="1:13" s="3" customFormat="1" ht="33.6">
      <c r="A95" s="91" t="str">
        <f>'self awareness'!B15</f>
        <v>Seeking Feedback on Performance
(mencari feedback)</v>
      </c>
      <c r="B95" s="91">
        <f>'self awareness'!I15</f>
        <v>4</v>
      </c>
      <c r="C95" s="91">
        <f>'self awareness'!K15</f>
        <v>3</v>
      </c>
      <c r="D95" s="91">
        <f>'self awareness'!M15</f>
        <v>1</v>
      </c>
      <c r="E95" s="103" t="str">
        <f>'self awareness'!N15</f>
        <v>Minor Positive Gap</v>
      </c>
      <c r="I95" s="69"/>
      <c r="J95" s="69"/>
      <c r="K95" s="69"/>
      <c r="L95" s="69"/>
      <c r="M95" s="69"/>
    </row>
    <row r="96" spans="1:13" s="3" customFormat="1" ht="33.6">
      <c r="A96" s="91" t="str">
        <f>'self awareness'!B16</f>
        <v>Understanding Strengths &amp; Weaknesses
(memahami kekuatan &amp; kelemahan)</v>
      </c>
      <c r="B96" s="91">
        <f>'self awareness'!I16</f>
        <v>4</v>
      </c>
      <c r="C96" s="91">
        <f>'self awareness'!K16</f>
        <v>3</v>
      </c>
      <c r="D96" s="91">
        <f>'self awareness'!M16</f>
        <v>1</v>
      </c>
      <c r="E96" s="103" t="str">
        <f>'self awareness'!N16</f>
        <v>Minor Positive Gap</v>
      </c>
      <c r="I96" s="69"/>
      <c r="J96" s="69"/>
      <c r="K96" s="69"/>
      <c r="L96" s="69"/>
      <c r="M96" s="69"/>
    </row>
    <row r="97" spans="1:13" s="3" customFormat="1" ht="33.6">
      <c r="A97" s="91" t="str">
        <f>'self awareness'!B17</f>
        <v>Reflective Practices
(melakukan refleksi diri)</v>
      </c>
      <c r="B97" s="91">
        <f>'self awareness'!I17</f>
        <v>5</v>
      </c>
      <c r="C97" s="91">
        <f>'self awareness'!K17</f>
        <v>5</v>
      </c>
      <c r="D97" s="91">
        <f>'self awareness'!M17</f>
        <v>0</v>
      </c>
      <c r="E97" s="103" t="str">
        <f>'self awareness'!N17</f>
        <v>No Gap</v>
      </c>
      <c r="I97" s="69"/>
      <c r="J97" s="69"/>
      <c r="K97" s="69"/>
      <c r="L97" s="69"/>
      <c r="M97" s="69"/>
    </row>
    <row r="98" spans="1:13" s="3" customFormat="1" ht="33.6">
      <c r="A98" s="91" t="str">
        <f>'self awareness'!B18</f>
        <v>Proactive Self-Development for Adaptation
(aktif mengembangkan diri)</v>
      </c>
      <c r="B98" s="91">
        <f>'self awareness'!I18</f>
        <v>3</v>
      </c>
      <c r="C98" s="91">
        <f>'self awareness'!K18</f>
        <v>5</v>
      </c>
      <c r="D98" s="91">
        <f>'self awareness'!M18</f>
        <v>-2</v>
      </c>
      <c r="E98" s="103" t="str">
        <f>'self awareness'!N18</f>
        <v>Major Negative Gap</v>
      </c>
      <c r="I98" s="69"/>
      <c r="J98" s="69"/>
      <c r="K98" s="69"/>
      <c r="L98" s="69"/>
      <c r="M98" s="69"/>
    </row>
    <row r="99" spans="1:13" s="3" customFormat="1" ht="33.6">
      <c r="A99" s="91" t="str">
        <f>'self awareness'!B19</f>
        <v>Objective Self-Assessment
(menilai diri secara objektif)</v>
      </c>
      <c r="B99" s="91">
        <f>'self awareness'!I19</f>
        <v>5</v>
      </c>
      <c r="C99" s="91">
        <f>'self awareness'!K19</f>
        <v>5</v>
      </c>
      <c r="D99" s="91">
        <f>'self awareness'!M19</f>
        <v>0</v>
      </c>
      <c r="E99" s="103" t="str">
        <f>'self awareness'!N19</f>
        <v>No Gap</v>
      </c>
      <c r="I99" s="69"/>
      <c r="J99" s="69"/>
      <c r="K99" s="69"/>
      <c r="L99" s="69"/>
      <c r="M99" s="69"/>
    </row>
    <row r="100" spans="1:13" s="3" customFormat="1" ht="33.6">
      <c r="A100" s="91" t="str">
        <f>'self awareness'!B20</f>
        <v>Awareness of Impact on Others
(memahami dampak perilaku)</v>
      </c>
      <c r="B100" s="91">
        <f>'self awareness'!I20</f>
        <v>5</v>
      </c>
      <c r="C100" s="91">
        <f>'self awareness'!K20</f>
        <v>2</v>
      </c>
      <c r="D100" s="91">
        <f>'self awareness'!M20</f>
        <v>3</v>
      </c>
      <c r="E100" s="103" t="str">
        <f>'self awareness'!N20</f>
        <v>Major Positive Gap</v>
      </c>
      <c r="I100" s="69"/>
      <c r="J100" s="69"/>
      <c r="K100" s="69"/>
      <c r="L100" s="69"/>
      <c r="M100" s="69"/>
    </row>
    <row r="101" spans="1:13" s="3" customFormat="1" ht="33.6">
      <c r="A101" s="91" t="str">
        <f>'self awareness'!B21</f>
        <v>Managing Emotions Effectively
(mengelola emosi)</v>
      </c>
      <c r="B101" s="91">
        <f>'self awareness'!I21</f>
        <v>4</v>
      </c>
      <c r="C101" s="91">
        <f>'self awareness'!K21</f>
        <v>3</v>
      </c>
      <c r="D101" s="91">
        <f>'self awareness'!M21</f>
        <v>1</v>
      </c>
      <c r="E101" s="103" t="str">
        <f>'self awareness'!N21</f>
        <v>Minor Positive Gap</v>
      </c>
      <c r="I101" s="69"/>
      <c r="J101" s="69"/>
      <c r="K101" s="69"/>
      <c r="L101" s="69"/>
      <c r="M101" s="69"/>
    </row>
    <row r="102" spans="1:13" s="3" customFormat="1" ht="50.45">
      <c r="A102" s="91" t="str">
        <f>'self awareness'!B22</f>
        <v>Deep Pattern Recognition &amp; Bias Awareness
(refleksi diri mendalam &amp; autentik)</v>
      </c>
      <c r="B102" s="91">
        <f>'self awareness'!I22</f>
        <v>3</v>
      </c>
      <c r="C102" s="91">
        <f>'self awareness'!K22</f>
        <v>3</v>
      </c>
      <c r="D102" s="91">
        <f>'self awareness'!M22</f>
        <v>0</v>
      </c>
      <c r="E102" s="103" t="str">
        <f>'self awareness'!N22</f>
        <v>No Gap</v>
      </c>
      <c r="I102" s="69"/>
      <c r="J102" s="69"/>
      <c r="K102" s="69"/>
      <c r="L102" s="69"/>
      <c r="M102" s="69"/>
    </row>
    <row r="103" spans="1:13" s="65" customFormat="1" ht="33.6">
      <c r="A103" s="72" t="s">
        <v>529</v>
      </c>
      <c r="B103" s="106">
        <f>'self awareness'!I23</f>
        <v>4.0999999999999996</v>
      </c>
      <c r="C103" s="106">
        <f>'self awareness'!K23</f>
        <v>3.6</v>
      </c>
      <c r="D103" s="107">
        <f>'self awareness'!M23</f>
        <v>0.49999999999999956</v>
      </c>
      <c r="E103" s="70" t="str">
        <f>'self awareness'!N23</f>
        <v>Minor Positive Gap</v>
      </c>
    </row>
    <row r="104" spans="1:13" s="65" customFormat="1" ht="16.899999999999999">
      <c r="A104" s="73"/>
      <c r="B104" s="73"/>
      <c r="C104" s="73"/>
    </row>
    <row r="105" spans="1:13" s="65" customFormat="1" ht="16.899999999999999">
      <c r="A105" s="73"/>
      <c r="B105" s="73"/>
      <c r="C105" s="73"/>
    </row>
    <row r="106" spans="1:13" s="3" customFormat="1" ht="16.899999999999999">
      <c r="A106" s="3" t="s">
        <v>534</v>
      </c>
      <c r="C106" s="6"/>
      <c r="D106" s="6"/>
      <c r="I106" s="69"/>
      <c r="J106" s="69"/>
      <c r="K106" s="69"/>
      <c r="L106" s="69"/>
      <c r="M106" s="69"/>
    </row>
    <row r="107" spans="1:13" s="3" customFormat="1" ht="33.6">
      <c r="A107" s="70" t="s">
        <v>523</v>
      </c>
      <c r="B107" s="71" t="s">
        <v>524</v>
      </c>
      <c r="C107" s="71" t="s">
        <v>525</v>
      </c>
      <c r="D107" s="71" t="s">
        <v>526</v>
      </c>
      <c r="E107" s="70" t="s">
        <v>527</v>
      </c>
      <c r="I107" s="69"/>
      <c r="J107" s="69"/>
      <c r="K107" s="69"/>
      <c r="L107" s="69"/>
      <c r="M107" s="69"/>
    </row>
    <row r="108" spans="1:13" s="3" customFormat="1" ht="16.899999999999999">
      <c r="A108" s="35" t="s">
        <v>514</v>
      </c>
      <c r="B108" s="108">
        <f>B35</f>
        <v>2.8</v>
      </c>
      <c r="C108" s="108">
        <f>C35</f>
        <v>2.5</v>
      </c>
      <c r="D108" s="108">
        <f>D35</f>
        <v>0.29999999999999982</v>
      </c>
      <c r="E108" s="7" t="str">
        <f>E35</f>
        <v>Aligned</v>
      </c>
      <c r="I108" s="69"/>
      <c r="J108" s="69"/>
      <c r="K108" s="69"/>
      <c r="L108" s="69"/>
      <c r="M108" s="69"/>
    </row>
    <row r="109" spans="1:13" s="3" customFormat="1" ht="16.899999999999999">
      <c r="A109" s="35" t="s">
        <v>515</v>
      </c>
      <c r="B109" s="108">
        <f>B56</f>
        <v>2.8</v>
      </c>
      <c r="C109" s="108">
        <f>C56</f>
        <v>3.1333333333333333</v>
      </c>
      <c r="D109" s="108">
        <f t="shared" ref="D109:E109" si="7">D56</f>
        <v>-0.33333333333333348</v>
      </c>
      <c r="E109" s="7" t="str">
        <f t="shared" si="7"/>
        <v>Aligned</v>
      </c>
      <c r="I109" s="69"/>
      <c r="J109" s="69"/>
      <c r="K109" s="69"/>
      <c r="L109" s="69"/>
      <c r="M109" s="69"/>
    </row>
    <row r="110" spans="1:13" s="3" customFormat="1" ht="16.899999999999999">
      <c r="A110" s="35" t="s">
        <v>516</v>
      </c>
      <c r="B110" s="108">
        <f>B71</f>
        <v>3</v>
      </c>
      <c r="C110" s="108">
        <f t="shared" ref="C110:E110" si="8">C71</f>
        <v>2.5</v>
      </c>
      <c r="D110" s="108">
        <f t="shared" si="8"/>
        <v>0.5</v>
      </c>
      <c r="E110" s="7" t="str">
        <f t="shared" si="8"/>
        <v>Minor Positive Gap</v>
      </c>
      <c r="I110" s="69"/>
      <c r="J110" s="69"/>
      <c r="K110" s="69"/>
      <c r="L110" s="69"/>
      <c r="M110" s="69"/>
    </row>
    <row r="111" spans="1:13" s="3" customFormat="1" ht="16.899999999999999">
      <c r="A111" s="35" t="s">
        <v>517</v>
      </c>
      <c r="B111" s="108">
        <f>B88</f>
        <v>3</v>
      </c>
      <c r="C111" s="108">
        <f t="shared" ref="C111:E111" si="9">C88</f>
        <v>3.4166666666666665</v>
      </c>
      <c r="D111" s="108">
        <f t="shared" si="9"/>
        <v>-0.41666666666666652</v>
      </c>
      <c r="E111" s="7" t="str">
        <f t="shared" si="9"/>
        <v>Aligned</v>
      </c>
      <c r="I111" s="69"/>
      <c r="J111" s="69"/>
      <c r="K111" s="69"/>
      <c r="L111" s="69"/>
      <c r="M111" s="69"/>
    </row>
    <row r="112" spans="1:13" s="3" customFormat="1" ht="16.899999999999999">
      <c r="A112" s="35" t="s">
        <v>518</v>
      </c>
      <c r="B112" s="108">
        <f>B103</f>
        <v>4.0999999999999996</v>
      </c>
      <c r="C112" s="108">
        <f t="shared" ref="C112:E112" si="10">C103</f>
        <v>3.6</v>
      </c>
      <c r="D112" s="108">
        <f t="shared" si="10"/>
        <v>0.49999999999999956</v>
      </c>
      <c r="E112" s="7" t="str">
        <f t="shared" si="10"/>
        <v>Minor Positive Gap</v>
      </c>
      <c r="I112" s="69"/>
      <c r="J112" s="69"/>
      <c r="K112" s="69"/>
      <c r="L112" s="69"/>
      <c r="M112" s="69"/>
    </row>
    <row r="113" spans="1:13" s="139" customFormat="1" ht="16.899999999999999">
      <c r="A113" s="136" t="s">
        <v>535</v>
      </c>
      <c r="B113" s="137">
        <f>AVERAGE(B108:B112)</f>
        <v>3.1399999999999997</v>
      </c>
      <c r="C113" s="137">
        <f>AVERAGE(C108:C112)</f>
        <v>3.03</v>
      </c>
      <c r="D113" s="137">
        <f>B113-C113</f>
        <v>0.10999999999999988</v>
      </c>
      <c r="E113" s="138" t="str" cm="1">
        <f t="array" ref="E113">_xlfn.IFS(
  VALUE(D113) &gt;= 1, "Major Positive Gap",
  VALUE(D113) &gt;= 0.5, "Minor Positive Gap",
  VALUE(D113) &gt;= -0.49, "Aligned",
  VALUE(D113) &gt;= -0.99, "Minor Negative Gap",
  VALUE(D113) &lt;= -1, "Major Negative Gap"
)</f>
        <v>Aligned</v>
      </c>
      <c r="I113" s="65"/>
      <c r="J113" s="65"/>
      <c r="K113" s="65"/>
      <c r="L113" s="65"/>
      <c r="M113" s="65"/>
    </row>
    <row r="116" spans="1:13" s="30" customFormat="1">
      <c r="A116" s="29" t="s">
        <v>536</v>
      </c>
      <c r="I116" s="198"/>
      <c r="J116" s="198"/>
      <c r="K116" s="198"/>
      <c r="L116" s="198"/>
      <c r="M116" s="198"/>
    </row>
    <row r="117" spans="1:13" s="30" customFormat="1">
      <c r="A117" s="29"/>
      <c r="I117" s="198"/>
      <c r="J117" s="198"/>
      <c r="K117" s="198"/>
      <c r="L117" s="198"/>
      <c r="M117" s="198"/>
    </row>
    <row r="118" spans="1:13" s="30" customFormat="1">
      <c r="A118" s="31" t="s">
        <v>505</v>
      </c>
      <c r="B118" s="31" t="s">
        <v>537</v>
      </c>
      <c r="C118" s="284" t="s">
        <v>507</v>
      </c>
      <c r="D118" s="284"/>
      <c r="I118" s="198"/>
      <c r="J118" s="198"/>
      <c r="K118" s="198"/>
      <c r="L118" s="198"/>
      <c r="M118" s="198"/>
    </row>
    <row r="119" spans="1:13" s="30" customFormat="1">
      <c r="A119" s="32" t="s">
        <v>514</v>
      </c>
      <c r="B119" s="109">
        <f>C108</f>
        <v>2.5</v>
      </c>
      <c r="C119" s="283" t="str">
        <f>'Profile Summary'!C14</f>
        <v>Needs Development</v>
      </c>
      <c r="D119" s="283"/>
      <c r="I119" s="198"/>
      <c r="J119" s="198"/>
      <c r="K119" s="198"/>
      <c r="L119" s="198"/>
      <c r="M119" s="198"/>
    </row>
    <row r="120" spans="1:13" s="30" customFormat="1">
      <c r="A120" s="32" t="s">
        <v>515</v>
      </c>
      <c r="B120" s="109">
        <f t="shared" ref="B120:B123" si="11">C109</f>
        <v>3.1333333333333333</v>
      </c>
      <c r="C120" s="283" t="str">
        <f>'Profile Summary'!C15</f>
        <v>Meet</v>
      </c>
      <c r="D120" s="283"/>
      <c r="I120" s="198"/>
      <c r="J120" s="198"/>
      <c r="K120" s="198"/>
      <c r="L120" s="198"/>
      <c r="M120" s="198"/>
    </row>
    <row r="121" spans="1:13" s="30" customFormat="1">
      <c r="A121" s="32" t="s">
        <v>516</v>
      </c>
      <c r="B121" s="109">
        <f t="shared" si="11"/>
        <v>2.5</v>
      </c>
      <c r="C121" s="283" t="str">
        <f>'Profile Summary'!C16</f>
        <v>Needs Development</v>
      </c>
      <c r="D121" s="283"/>
      <c r="I121" s="198"/>
      <c r="J121" s="198"/>
      <c r="K121" s="198"/>
      <c r="L121" s="198"/>
      <c r="M121" s="198"/>
    </row>
    <row r="122" spans="1:13" s="30" customFormat="1">
      <c r="A122" s="32" t="s">
        <v>517</v>
      </c>
      <c r="B122" s="109">
        <f t="shared" si="11"/>
        <v>3.4166666666666665</v>
      </c>
      <c r="C122" s="283" t="str">
        <f>'Profile Summary'!C17</f>
        <v>Meet</v>
      </c>
      <c r="D122" s="283"/>
      <c r="I122" s="198"/>
      <c r="J122" s="198"/>
      <c r="K122" s="198"/>
      <c r="L122" s="198"/>
      <c r="M122" s="198"/>
    </row>
    <row r="123" spans="1:13" s="30" customFormat="1">
      <c r="A123" s="32" t="s">
        <v>518</v>
      </c>
      <c r="B123" s="109">
        <f t="shared" si="11"/>
        <v>3.6</v>
      </c>
      <c r="C123" s="283" t="str">
        <f>'Profile Summary'!C18</f>
        <v>Meet</v>
      </c>
      <c r="D123" s="283"/>
      <c r="I123" s="198"/>
      <c r="J123" s="198"/>
      <c r="K123" s="198"/>
      <c r="L123" s="198"/>
      <c r="M123" s="198"/>
    </row>
    <row r="124" spans="1:13" s="1" customFormat="1" ht="15">
      <c r="I124" s="12"/>
      <c r="J124" s="12"/>
      <c r="K124" s="12"/>
      <c r="L124" s="12"/>
      <c r="M124" s="12"/>
    </row>
    <row r="125" spans="1:13" s="1" customFormat="1" ht="15">
      <c r="I125" s="12"/>
      <c r="J125" s="12"/>
      <c r="K125" s="12"/>
      <c r="L125" s="12"/>
      <c r="M125" s="12"/>
    </row>
    <row r="126" spans="1:13" s="1" customFormat="1" ht="15">
      <c r="I126" s="12"/>
      <c r="J126" s="12"/>
      <c r="K126" s="12"/>
      <c r="L126" s="12"/>
      <c r="M126" s="12"/>
    </row>
    <row r="127" spans="1:13" s="1" customFormat="1" ht="15">
      <c r="I127" s="12"/>
      <c r="J127" s="12"/>
      <c r="K127" s="12"/>
      <c r="L127" s="12"/>
      <c r="M127" s="12"/>
    </row>
    <row r="128" spans="1:13" s="1" customFormat="1" ht="15">
      <c r="I128" s="12"/>
      <c r="J128" s="12"/>
      <c r="K128" s="12"/>
      <c r="L128" s="12"/>
      <c r="M128" s="12"/>
    </row>
    <row r="129" spans="9:13" s="1" customFormat="1" ht="15">
      <c r="I129" s="12"/>
      <c r="J129" s="12"/>
      <c r="K129" s="12"/>
      <c r="L129" s="12"/>
      <c r="M129" s="12"/>
    </row>
    <row r="130" spans="9:13" s="1" customFormat="1" ht="15">
      <c r="I130" s="12"/>
      <c r="J130" s="12"/>
      <c r="K130" s="12"/>
      <c r="L130" s="12"/>
      <c r="M130" s="12"/>
    </row>
    <row r="131" spans="9:13" s="1" customFormat="1" ht="15">
      <c r="I131" s="12"/>
      <c r="J131" s="12"/>
      <c r="K131" s="12"/>
      <c r="L131" s="12"/>
      <c r="M131" s="12"/>
    </row>
    <row r="132" spans="9:13" s="1" customFormat="1" ht="15">
      <c r="I132" s="12"/>
      <c r="J132" s="12"/>
      <c r="K132" s="12"/>
      <c r="L132" s="12"/>
      <c r="M132" s="12"/>
    </row>
    <row r="133" spans="9:13" s="1" customFormat="1" ht="15">
      <c r="I133" s="12"/>
      <c r="J133" s="12"/>
      <c r="K133" s="12"/>
      <c r="L133" s="12"/>
      <c r="M133" s="12"/>
    </row>
    <row r="134" spans="9:13" s="1" customFormat="1" ht="15">
      <c r="I134" s="12"/>
      <c r="J134" s="12"/>
      <c r="K134" s="12"/>
      <c r="L134" s="12"/>
      <c r="M134" s="12"/>
    </row>
    <row r="135" spans="9:13" s="1" customFormat="1" ht="15">
      <c r="I135" s="12"/>
      <c r="J135" s="12"/>
      <c r="K135" s="12"/>
      <c r="L135" s="12"/>
      <c r="M135" s="12"/>
    </row>
    <row r="136" spans="9:13" s="1" customFormat="1" ht="15">
      <c r="I136" s="12"/>
      <c r="J136" s="12"/>
      <c r="K136" s="12"/>
      <c r="L136" s="12"/>
      <c r="M136" s="12"/>
    </row>
    <row r="137" spans="9:13" s="1" customFormat="1" ht="15">
      <c r="I137" s="12"/>
      <c r="J137" s="12"/>
      <c r="K137" s="12"/>
      <c r="L137" s="12"/>
      <c r="M137" s="12"/>
    </row>
    <row r="138" spans="9:13" s="1" customFormat="1" ht="15">
      <c r="I138" s="12"/>
      <c r="J138" s="12"/>
      <c r="K138" s="12"/>
      <c r="L138" s="12"/>
      <c r="M138" s="12"/>
    </row>
    <row r="139" spans="9:13" s="1" customFormat="1" ht="15">
      <c r="I139" s="12"/>
      <c r="J139" s="12"/>
      <c r="K139" s="12"/>
      <c r="L139" s="12"/>
      <c r="M139" s="12"/>
    </row>
    <row r="140" spans="9:13" s="1" customFormat="1" ht="15">
      <c r="I140" s="12"/>
      <c r="J140" s="12"/>
      <c r="K140" s="12"/>
      <c r="L140" s="12"/>
      <c r="M140" s="12"/>
    </row>
    <row r="141" spans="9:13" s="1" customFormat="1" ht="15">
      <c r="I141" s="12"/>
      <c r="J141" s="12"/>
      <c r="K141" s="12"/>
      <c r="L141" s="12"/>
      <c r="M141" s="12"/>
    </row>
    <row r="142" spans="9:13" s="1" customFormat="1" ht="15">
      <c r="I142" s="12"/>
      <c r="J142" s="12"/>
      <c r="K142" s="12"/>
      <c r="L142" s="12"/>
      <c r="M142" s="12"/>
    </row>
    <row r="143" spans="9:13" s="1" customFormat="1" ht="15">
      <c r="I143" s="12"/>
      <c r="J143" s="12"/>
      <c r="K143" s="12"/>
      <c r="L143" s="12"/>
      <c r="M143" s="12"/>
    </row>
    <row r="144" spans="9:13" s="1" customFormat="1" ht="15">
      <c r="I144" s="12"/>
      <c r="J144" s="12"/>
      <c r="K144" s="12"/>
      <c r="L144" s="12"/>
      <c r="M144" s="12"/>
    </row>
    <row r="145" spans="9:13" s="1" customFormat="1" ht="15">
      <c r="I145" s="12"/>
      <c r="J145" s="12"/>
      <c r="K145" s="12"/>
      <c r="L145" s="12"/>
      <c r="M145" s="12"/>
    </row>
    <row r="146" spans="9:13" s="1" customFormat="1" ht="15">
      <c r="I146" s="12"/>
      <c r="J146" s="12"/>
      <c r="K146" s="12"/>
      <c r="L146" s="12"/>
      <c r="M146" s="12"/>
    </row>
    <row r="147" spans="9:13" s="1" customFormat="1" ht="15">
      <c r="I147" s="12"/>
      <c r="J147" s="12"/>
      <c r="K147" s="12"/>
      <c r="L147" s="12"/>
      <c r="M147" s="12"/>
    </row>
    <row r="148" spans="9:13" s="1" customFormat="1" ht="15">
      <c r="I148" s="12"/>
      <c r="J148" s="12"/>
      <c r="K148" s="12"/>
      <c r="L148" s="12"/>
      <c r="M148" s="12"/>
    </row>
    <row r="149" spans="9:13" s="1" customFormat="1" ht="15">
      <c r="I149" s="12"/>
      <c r="J149" s="12"/>
      <c r="K149" s="12"/>
      <c r="L149" s="12"/>
      <c r="M149" s="12"/>
    </row>
    <row r="150" spans="9:13" s="1" customFormat="1" ht="15">
      <c r="I150" s="12"/>
      <c r="J150" s="12"/>
      <c r="K150" s="12"/>
      <c r="L150" s="12"/>
      <c r="M150" s="12"/>
    </row>
    <row r="151" spans="9:13" s="1" customFormat="1" ht="15">
      <c r="I151" s="12"/>
      <c r="J151" s="12"/>
      <c r="K151" s="12"/>
      <c r="L151" s="12"/>
      <c r="M151" s="12"/>
    </row>
    <row r="152" spans="9:13" s="1" customFormat="1" ht="15">
      <c r="I152" s="12"/>
      <c r="J152" s="12"/>
      <c r="K152" s="12"/>
      <c r="L152" s="12"/>
      <c r="M152" s="12"/>
    </row>
    <row r="153" spans="9:13" s="1" customFormat="1" ht="15">
      <c r="I153" s="12"/>
      <c r="J153" s="12"/>
      <c r="K153" s="12"/>
      <c r="L153" s="12"/>
      <c r="M153" s="12"/>
    </row>
    <row r="154" spans="9:13" s="1" customFormat="1" ht="15">
      <c r="I154" s="12"/>
      <c r="J154" s="12"/>
      <c r="K154" s="12"/>
      <c r="L154" s="12"/>
      <c r="M154" s="12"/>
    </row>
    <row r="155" spans="9:13" s="1" customFormat="1" ht="15">
      <c r="I155" s="12"/>
      <c r="J155" s="12"/>
      <c r="K155" s="12"/>
      <c r="L155" s="12"/>
      <c r="M155" s="12"/>
    </row>
    <row r="156" spans="9:13" s="1" customFormat="1" ht="15">
      <c r="I156" s="12"/>
      <c r="J156" s="12"/>
      <c r="K156" s="12"/>
      <c r="L156" s="12"/>
      <c r="M156" s="12"/>
    </row>
  </sheetData>
  <mergeCells count="6">
    <mergeCell ref="C123:D123"/>
    <mergeCell ref="C118:D118"/>
    <mergeCell ref="C119:D119"/>
    <mergeCell ref="C120:D120"/>
    <mergeCell ref="C121:D121"/>
    <mergeCell ref="C122:D122"/>
  </mergeCells>
  <conditionalFormatting sqref="E24:E103">
    <cfRule type="containsText" dxfId="55" priority="2" operator="containsText" text="Minor Positive Gap">
      <formula>NOT(ISERROR(SEARCH("Minor Positive Gap",E24)))</formula>
    </cfRule>
    <cfRule type="containsText" dxfId="54" priority="3" operator="containsText" text="Major Positive Gap">
      <formula>NOT(ISERROR(SEARCH("Major Positive Gap",E24)))</formula>
    </cfRule>
    <cfRule type="containsText" dxfId="53" priority="4" operator="containsText" text="minor negative">
      <formula>NOT(ISERROR(SEARCH("minor negative",E24)))</formula>
    </cfRule>
    <cfRule type="containsText" dxfId="52" priority="5" operator="containsText" text="major negative">
      <formula>NOT(ISERROR(SEARCH("major negative",E24)))</formula>
    </cfRule>
  </conditionalFormatting>
  <conditionalFormatting sqref="E107:E113">
    <cfRule type="containsText" dxfId="51" priority="8" operator="containsText" text="major negative">
      <formula>NOT(ISERROR(SEARCH("major negative",E107)))</formula>
    </cfRule>
  </conditionalFormatting>
  <conditionalFormatting sqref="E108:E113">
    <cfRule type="containsText" dxfId="50" priority="1" operator="containsText" text="Minor Positive">
      <formula>NOT(ISERROR(SEARCH("Minor Positive",E108)))</formula>
    </cfRule>
    <cfRule type="containsText" dxfId="49" priority="6" operator="containsText" text="Major Positive">
      <formula>NOT(ISERROR(SEARCH("Major Positive",E108)))</formula>
    </cfRule>
    <cfRule type="containsText" dxfId="48" priority="7" operator="containsText" text="minor negative">
      <formula>NOT(ISERROR(SEARCH("minor negative",E108)))</formula>
    </cfRule>
  </conditionalFormatting>
  <conditionalFormatting sqref="F22">
    <cfRule type="containsText" dxfId="47" priority="9" operator="containsText" text="Major Positive">
      <formula>NOT(ISERROR(SEARCH("Major Positive",F22)))</formula>
    </cfRule>
    <cfRule type="containsText" dxfId="46" priority="10" operator="containsText" text="minor positive">
      <formula>NOT(ISERROR(SEARCH("minor positive",F22)))</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9377-1941-4F0F-A7B1-E196BB6FA36B}">
  <sheetPr>
    <tabColor rgb="FFFFB9DC"/>
  </sheetPr>
  <dimension ref="A2:AS113"/>
  <sheetViews>
    <sheetView zoomScale="55" zoomScaleNormal="55" workbookViewId="0">
      <selection activeCell="AU72" sqref="AU72"/>
    </sheetView>
  </sheetViews>
  <sheetFormatPr defaultColWidth="8.85546875" defaultRowHeight="15"/>
  <cols>
    <col min="1" max="1" width="34.7109375" style="1" bestFit="1" customWidth="1"/>
    <col min="2" max="2" width="17.140625" style="1" customWidth="1"/>
    <col min="3" max="3" width="16.140625" style="1" customWidth="1"/>
    <col min="4" max="4" width="14.28515625" style="1" bestFit="1" customWidth="1"/>
    <col min="5" max="5" width="19.5703125" style="1" bestFit="1" customWidth="1"/>
    <col min="6" max="6" width="11.140625" style="12" customWidth="1"/>
    <col min="7" max="7" width="19.7109375" style="1" customWidth="1"/>
    <col min="8" max="8" width="39.7109375" style="80" customWidth="1"/>
    <col min="9" max="9" width="11.7109375" style="1" customWidth="1"/>
    <col min="10" max="13" width="20.7109375" style="82" customWidth="1"/>
    <col min="14" max="14" width="7.85546875" style="2" hidden="1" customWidth="1"/>
    <col min="15" max="16" width="30.7109375" style="80" hidden="1" customWidth="1"/>
    <col min="17" max="17" width="45.7109375" style="80" hidden="1" customWidth="1"/>
    <col min="18" max="21" width="30.7109375" style="80" hidden="1" customWidth="1"/>
    <col min="22" max="22" width="7.85546875" style="2" hidden="1" customWidth="1"/>
    <col min="23" max="24" width="30.7109375" style="80" hidden="1" customWidth="1"/>
    <col min="25" max="25" width="45.7109375" style="80" hidden="1" customWidth="1"/>
    <col min="26" max="29" width="30.7109375" style="80" hidden="1" customWidth="1"/>
    <col min="30" max="30" width="6.140625" style="12" hidden="1" customWidth="1"/>
    <col min="31" max="32" width="30.7109375" style="80" hidden="1" customWidth="1"/>
    <col min="33" max="33" width="45.7109375" style="80" hidden="1" customWidth="1"/>
    <col min="34" max="37" width="30.7109375" style="80" hidden="1" customWidth="1"/>
    <col min="38" max="38" width="8.85546875" style="12" hidden="1" customWidth="1"/>
    <col min="39" max="40" width="30.7109375" style="80" hidden="1" customWidth="1"/>
    <col min="41" max="41" width="45.7109375" style="80" hidden="1" customWidth="1"/>
    <col min="42" max="45" width="30.7109375" style="80" hidden="1" customWidth="1"/>
    <col min="46" max="16384" width="8.85546875" style="1"/>
  </cols>
  <sheetData>
    <row r="2" spans="1:45">
      <c r="A2" s="1" t="str">
        <f>Identitas!B2</f>
        <v xml:space="preserve">Nama </v>
      </c>
      <c r="B2" s="84">
        <f>Identitas!D2</f>
        <v>0</v>
      </c>
    </row>
    <row r="3" spans="1:45">
      <c r="A3" s="1" t="str">
        <f>Identitas!B3</f>
        <v>Nama Atasan yang menilai</v>
      </c>
      <c r="B3" s="84">
        <f>Identitas!D3</f>
        <v>0</v>
      </c>
    </row>
    <row r="4" spans="1:45">
      <c r="A4" s="1" t="str">
        <f>Identitas!B4</f>
        <v>Level Saat Ini</v>
      </c>
      <c r="B4" s="84" t="str">
        <f>Identitas!D4</f>
        <v>Officer</v>
      </c>
    </row>
    <row r="5" spans="1:45">
      <c r="A5" s="1" t="str">
        <f>Identitas!B5</f>
        <v>Level Tujuan</v>
      </c>
      <c r="B5" s="84" t="str">
        <f>Identitas!D5</f>
        <v>Analyst</v>
      </c>
    </row>
    <row r="6" spans="1:45">
      <c r="A6" s="1" t="str">
        <f>Identitas!B6</f>
        <v>Tanggal Assesment</v>
      </c>
      <c r="B6" s="84">
        <f>Identitas!D6</f>
        <v>0</v>
      </c>
    </row>
    <row r="7" spans="1:45">
      <c r="A7" s="1" t="str">
        <f>Identitas!B7</f>
        <v>Unit</v>
      </c>
      <c r="B7" s="84">
        <f>Identitas!D7</f>
        <v>0</v>
      </c>
    </row>
    <row r="8" spans="1:45">
      <c r="A8" s="1" t="str">
        <f>Identitas!B8</f>
        <v>Departemen</v>
      </c>
      <c r="B8" s="84">
        <f>Identitas!D8</f>
        <v>0</v>
      </c>
    </row>
    <row r="9" spans="1:45">
      <c r="A9" s="1" t="str">
        <f>Identitas!B9</f>
        <v>Divisi</v>
      </c>
      <c r="B9" s="84">
        <f>Identitas!D9</f>
        <v>0</v>
      </c>
    </row>
    <row r="10" spans="1:45">
      <c r="A10" s="1" t="str">
        <f>Identitas!B10</f>
        <v>Direktorat</v>
      </c>
      <c r="B10" s="84">
        <f>Identitas!D10</f>
        <v>0</v>
      </c>
    </row>
    <row r="12" spans="1:45" ht="45">
      <c r="A12" s="113" t="s">
        <v>538</v>
      </c>
      <c r="B12" s="115" t="s">
        <v>539</v>
      </c>
      <c r="C12" s="114" t="s">
        <v>540</v>
      </c>
      <c r="D12" s="11" t="s">
        <v>541</v>
      </c>
      <c r="E12" s="131" t="s">
        <v>542</v>
      </c>
      <c r="F12" s="131" t="s">
        <v>543</v>
      </c>
      <c r="G12" s="131" t="s">
        <v>544</v>
      </c>
      <c r="H12" s="131" t="s">
        <v>545</v>
      </c>
      <c r="I12" s="132" t="s">
        <v>546</v>
      </c>
      <c r="J12" s="143" t="s">
        <v>547</v>
      </c>
      <c r="K12" s="143" t="s">
        <v>548</v>
      </c>
      <c r="L12" s="143" t="s">
        <v>549</v>
      </c>
      <c r="M12" s="143" t="s">
        <v>550</v>
      </c>
      <c r="N12" s="291" t="s">
        <v>551</v>
      </c>
      <c r="O12" s="291"/>
      <c r="P12" s="291"/>
      <c r="Q12" s="291"/>
      <c r="R12" s="291"/>
      <c r="S12" s="291"/>
      <c r="T12" s="291"/>
      <c r="U12" s="291"/>
      <c r="V12" s="291" t="s">
        <v>552</v>
      </c>
      <c r="W12" s="291"/>
      <c r="X12" s="291"/>
      <c r="Y12" s="291"/>
      <c r="Z12" s="291"/>
      <c r="AA12" s="291"/>
      <c r="AB12" s="291"/>
      <c r="AC12" s="291"/>
      <c r="AD12" s="291" t="s">
        <v>553</v>
      </c>
      <c r="AE12" s="291"/>
      <c r="AF12" s="291"/>
      <c r="AG12" s="291"/>
      <c r="AH12" s="291"/>
      <c r="AI12" s="291"/>
      <c r="AJ12" s="291"/>
      <c r="AK12" s="291"/>
      <c r="AL12" s="291" t="s">
        <v>554</v>
      </c>
      <c r="AM12" s="291"/>
      <c r="AN12" s="291"/>
      <c r="AO12" s="291"/>
      <c r="AP12" s="291"/>
      <c r="AQ12" s="291"/>
      <c r="AR12" s="291"/>
      <c r="AS12" s="291"/>
    </row>
    <row r="13" spans="1:45" ht="15" customHeight="1">
      <c r="A13" s="285" t="s">
        <v>555</v>
      </c>
      <c r="B13" s="298">
        <f>IFERROR(INDEX(panduan!$C$3:$H$16,
       MATCH(TRIM(A13), panduan!$B$3:$B$16, 0),
       MATCH(TRIM($B$4), panduan!$C$2:$H$2, 0)),"")</f>
        <v>2</v>
      </c>
      <c r="C13" s="295">
        <f>IFERROR(INDEX(panduan!$C$3:$H$16,
       MATCH(TRIM(A13), panduan!$B$3:$B$16, 0),
       MATCH(TRIM($B$5), panduan!$C$2:$H$2, 0)),"")</f>
        <v>3</v>
      </c>
      <c r="D13" s="292">
        <v>1</v>
      </c>
      <c r="E13" s="288">
        <f>D13-C13</f>
        <v>-2</v>
      </c>
      <c r="F13" s="288">
        <f>IF(E13&lt;0, MIN(-E13, 4), "")</f>
        <v>2</v>
      </c>
      <c r="G13" s="288" t="str">
        <f>IFERROR(
    INDEX(panduan!$C$181:$G$185,
          MATCH($F$65,panduan!$B$181:$B$185,0),
          MATCH($F13,panduan!$C$180:$G$180,0)
    ),
"")</f>
        <v>1,2,3,4</v>
      </c>
      <c r="H13" s="285" t="str">
        <f>IF(G13="", "",
   SUBSTITUTE(
     SUBSTITUTE(
       SUBSTITUTE(
         SUBSTITUTE(G13,
           "1", "Personal Development"),
         "2", "Education-Based Development"),
       "3", "Relation-Based Development"),
     "4", "Experience-Based Development")
)</f>
        <v>Personal Development,Education-Based Development,Relation-Based Development,Experience-Based Development</v>
      </c>
      <c r="I13" s="288">
        <f>IF(E13&lt;0,_xlfn.RANK.EQ(E13,$E$13:$E$54,1)+COUNTIF($E$13:E13,E13)-1,"")</f>
        <v>1</v>
      </c>
      <c r="J13" s="285" t="str">
        <f>IF(ISNUMBER(FIND("1",$G13)), $A13&amp;"|"&amp;$B$5&amp;"|1", "")</f>
        <v>Achievement Drive|Analyst|1</v>
      </c>
      <c r="K13" s="285" t="str">
        <f>IF(ISNUMBER(FIND("2",$G13)), $A13&amp;"|"&amp;$B$5&amp;"|2", "")</f>
        <v>Achievement Drive|Analyst|2</v>
      </c>
      <c r="L13" s="285" t="str">
        <f>IF(ISNUMBER(FIND("3",$G13)), $A13&amp;"|"&amp;$B$5&amp;"|3", "")</f>
        <v>Achievement Drive|Analyst|3</v>
      </c>
      <c r="M13" s="285" t="str">
        <f>IF(ISNUMBER(FIND("4",$G13)), $A13&amp;"|"&amp;$B$5&amp;"|4", "")</f>
        <v>Achievement Drive|Analyst|4</v>
      </c>
      <c r="N13" s="13" cm="1">
        <f t="array" ref="N13:U14">_xlfn.LET(
    _xlpm.gap, $F13,
    _xlpm.key, $J13,
    _xlpm.data, _xlfn._xlws.FILTER('sheet template'!$F$2:$M$1009,
                 ('sheet template'!$A$2:$A$1009=_xlpm.key) *
                 ('sheet template'!$F$2:$F$1009&lt;=_xlpm.gap), ""),
    IF(OR(_xlpm.key="", _xlpm.gap&lt;=0, ROWS(_xlpm.data)=0), "", _xlpm.data)
)</f>
        <v>1</v>
      </c>
      <c r="O13" s="83" t="str">
        <v>Log "Target yang Menghadapi Hambatan Berulang"</v>
      </c>
      <c r="P13" s="83" t="str">
        <v>Mengukur ketekunan pada target yang sulit dan berlangsung lama.</v>
      </c>
      <c r="Q13" s="83" t="str">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R13" s="83" t="str">
        <v>Log minimal 15 hambatan pada target yang sama; rentang waktu minimal 3 bulan.</v>
      </c>
      <c r="S13" s="83" t="str">
        <v>Bulan 1–12</v>
      </c>
      <c r="T13" s="83" t="str">
        <v>Bulanan</v>
      </c>
      <c r="U13" s="83" t="str">
        <v>Minimal 15 hambatan tercatat pada target yang SAMA, berlangsung minimal 3 bulan. Target tersebut tetap dikejar sampai akhir periode logging, tidak ditinggalkan di tengah jalan. Milestone Bulan 6: 8 hambatan tercatat, target masih dikejar.</v>
      </c>
      <c r="V13" s="13" cm="1">
        <f t="array" ref="V13:AC14">_xlfn.LET(
    _xlpm.gap, $F13,
    _xlpm.key, $K13,
    _xlpm.data, _xlfn._xlws.FILTER('sheet template'!$F$2:$M$1009,
                 ('sheet template'!$A$2:$A$1009=_xlpm.key) *
                 ('sheet template'!$F$2:$F$1009&lt;=_xlpm.gap), ""),
    IF(OR(_xlpm.key="", _xlpm.gap&lt;=0, ROWS(_xlpm.data)=0), "", _xlpm.data)
)</f>
        <v>1</v>
      </c>
      <c r="W13" s="83" t="str">
        <v>Workshop "Bertahan Melewati Hambatan Berulang"</v>
      </c>
      <c r="X13" s="83" t="str">
        <v>Menguasai teknik menjaga komitmen ketika hambatan datang berulang kali.</v>
      </c>
      <c r="Y13" s="83" t="str">
        <v>Ikuti workshop tentang: mengenali tanda mulai kehilangan arah, memisahkan kegagalan taktik dari kegagalan tujuan, dan menjaga energi tanpa dukungan eksternal terus-menerus.</v>
      </c>
      <c r="Z13" s="83" t="str">
        <v>Sertifikat; 1 rencana bertahan untuk target yang sedang menghadapi hambatan berulang.</v>
      </c>
      <c r="AA13" s="83" t="str">
        <v>Bulan 1–12</v>
      </c>
      <c r="AB13" s="83" t="str">
        <v>Bulanan</v>
      </c>
      <c r="AC13" s="83" t="str">
        <v>Rencana disetujui atasan dan dipakai pada target yang dipilih peserta dalam aktivitas ini minimal 2 bulan.</v>
      </c>
      <c r="AD13" s="13" cm="1">
        <f t="array" ref="AD13:AK14">_xlfn.LET(
    _xlpm.gap, $F13,
    _xlpm.key, $L13,
    _xlpm.data, _xlfn._xlws.FILTER('sheet template'!$F$2:$M$1009,
                 ('sheet template'!$A$2:$A$1009=_xlpm.key) *
                 ('sheet template'!$F$2:$F$1009&lt;=_xlpm.gap), ""),
    IF(OR(_xlpm.key="", _xlpm.gap&lt;=0, ROWS(_xlpm.data)=0), "", _xlpm.data)
)</f>
        <v>1</v>
      </c>
      <c r="AE13" s="83" t="str">
        <v>Diskusi dengan Rekan yang Dikenal Tidak Mudah Menyerah</v>
      </c>
      <c r="AF13" s="83" t="str">
        <v>Mempelajari cara rekan menjaga komitmen di tengah hambatan berulang.</v>
      </c>
      <c r="AG13" s="83" t="str">
        <v>Diskusi dengan 1 rekan yang dikenal tidak mudah menyerah pada target sulit. Tanyakan: bagaimana ia menjaga energinya, apa yang ia lakukan saat hambatan datang berulang, dan kapan ia tahu harus mengubah cara tanpa mengubah tujuan.</v>
      </c>
      <c r="AH13" s="83" t="str">
        <v>Catatan diskusi; minimal 3 praktik yang akan diadopsi.</v>
      </c>
      <c r="AI13" s="83" t="str">
        <v>Bulan 1–12</v>
      </c>
      <c r="AJ13" s="83" t="str">
        <v>Bulanan</v>
      </c>
      <c r="AK13" s="83" t="str">
        <v>Minimal 3 praktik diidentifikasi dan minimal 2 diterapkan pada target yang dipilih peserta dalam aktivitas ini.</v>
      </c>
      <c r="AL13" s="13" cm="1">
        <f t="array" ref="AL13:AS14">_xlfn.LET(
    _xlpm.gap, $F13,
    _xlpm.key, $L13,
    _xlpm.data, _xlfn._xlws.FILTER('sheet template'!$F$2:$M$1009,
                 ('sheet template'!$A$2:$A$1009=_xlpm.key) *
                 ('sheet template'!$F$2:$F$1009&lt;=_xlpm.gap), ""),
    IF(OR(_xlpm.key="", _xlpm.gap&lt;=0, ROWS(_xlpm.data)=0), "", _xlpm.data)
)</f>
        <v>1</v>
      </c>
      <c r="AM13" s="83" t="str">
        <v>Diskusi dengan Rekan yang Dikenal Tidak Mudah Menyerah</v>
      </c>
      <c r="AN13" s="83" t="str">
        <v>Mempelajari cara rekan menjaga komitmen di tengah hambatan berulang.</v>
      </c>
      <c r="AO13" s="83" t="str">
        <v>Diskusi dengan 1 rekan yang dikenal tidak mudah menyerah pada target sulit. Tanyakan: bagaimana ia menjaga energinya, apa yang ia lakukan saat hambatan datang berulang, dan kapan ia tahu harus mengubah cara tanpa mengubah tujuan.</v>
      </c>
      <c r="AP13" s="83" t="str">
        <v>Catatan diskusi; minimal 3 praktik yang akan diadopsi.</v>
      </c>
      <c r="AQ13" s="83" t="str">
        <v>Bulan 1–12</v>
      </c>
      <c r="AR13" s="83" t="str">
        <v>Bulanan</v>
      </c>
      <c r="AS13" s="83" t="str">
        <v>Minimal 3 praktik diidentifikasi dan minimal 2 diterapkan pada target yang dipilih peserta dalam aktivitas ini.</v>
      </c>
    </row>
    <row r="14" spans="1:45" ht="90">
      <c r="A14" s="286"/>
      <c r="B14" s="299"/>
      <c r="C14" s="296"/>
      <c r="D14" s="293"/>
      <c r="E14" s="289"/>
      <c r="F14" s="289"/>
      <c r="G14" s="289"/>
      <c r="H14" s="286"/>
      <c r="I14" s="289"/>
      <c r="J14" s="286"/>
      <c r="K14" s="286"/>
      <c r="L14" s="286"/>
      <c r="M14" s="286"/>
      <c r="N14" s="13">
        <v>2</v>
      </c>
      <c r="O14" s="83" t="str">
        <v>Jurnal Energi Mingguan pada Target yang Sulit</v>
      </c>
      <c r="P14" s="83" t="str">
        <v>Memantau naik-turunnya energi dan komitmen selama mengejar target sulit.</v>
      </c>
      <c r="Q14" s="83" t="str">
        <v>Pilih 1 target sulit yang sedang dikejar. Setiap minggu, catat tingkat energi dan komitmen pada skala 1–5, beserta apa yang membuatnya naik atau turun.</v>
      </c>
      <c r="R14" s="83" t="str">
        <v>Jurnal mingguan minimal 20 minggu.</v>
      </c>
      <c r="S14" s="83" t="str">
        <v>Bulan 1–12</v>
      </c>
      <c r="T14" s="83" t="str">
        <v>Bulanan</v>
      </c>
      <c r="U14" s="83" t="str">
        <v>Minimal 20 entri mingguan. Meski energi tercatat turun pada sebagian minggu, target tetap dikejar tanpa terputus lebih dari 2 minggu berturut-turut.</v>
      </c>
      <c r="V14" s="13">
        <v>2</v>
      </c>
      <c r="W14" s="83" t="str">
        <v>Studi Kasus Orang yang Bertahan Melewati Kegagalan Berulang</v>
      </c>
      <c r="X14" s="83" t="str">
        <v>Belajar dari pola nyata orang yang tidak menyerah pada hambatan berulang.</v>
      </c>
      <c r="Y14" s="83" t="str">
        <v>Pilih 1 tokoh (internal atau publik) yang dikenal bertahan melewati kegagalan berulang mencapai targetnya. Pelajari: berapa lama ia bertahan, apa yang membuatnya tidak menyerah, dan kapan ia mengubah taktik tanpa mengubah tujuan.</v>
      </c>
      <c r="Z14" s="83" t="str">
        <v>Catatan 3 pola ketekunan yang dipelajari.</v>
      </c>
      <c r="AA14" s="83" t="str">
        <v>Bulan 1–12</v>
      </c>
      <c r="AB14" s="83" t="str">
        <v>Bulanan</v>
      </c>
      <c r="AC14" s="83" t="str">
        <v>Minimal 3 pola ketekunan diidentifikasi dan minimal 1 diterapkan pada target sendiri.</v>
      </c>
      <c r="AD14" s="13">
        <v>2</v>
      </c>
      <c r="AE14" s="83" t="str">
        <v>Coaching Berkala dengan Atasan saat Menghadapi Hambatan Berulang</v>
      </c>
      <c r="AF14" s="83" t="str">
        <v>Mendapatkan dukungan yang menjaga komitmen tanpa menggantikan kemandirian.</v>
      </c>
      <c r="AG14" s="83" t="str">
        <v>Lakukan sesi coaching dengan atasan setiap kali menghadapi hambatan pada target sulit yang dipilih peserta, minimal 4 kali sepanjang program. Diskusikan apakah akan melanjutkan, mengubah taktik, atau butuh dukungan tambahan.</v>
      </c>
      <c r="AH14" s="83" t="str">
        <v>4 catatan coaching.</v>
      </c>
      <c r="AI14" s="83" t="str">
        <v>Bulan 1–12</v>
      </c>
      <c r="AJ14" s="83" t="str">
        <v>Bulanan</v>
      </c>
      <c r="AK14" s="83" t="str">
        <v>4 sesi terlaksana. Target tetap dikejar setelah setiap sesi, dan pada sesi-sesi terakhir peserta menunjukkan lebih sedikit kebutuhan didorong dibanding sesi awal.</v>
      </c>
      <c r="AL14" s="13">
        <v>2</v>
      </c>
      <c r="AM14" s="83" t="str">
        <v>Coaching Berkala dengan Atasan saat Menghadapi Hambatan Berulang</v>
      </c>
      <c r="AN14" s="83" t="str">
        <v>Mendapatkan dukungan yang menjaga komitmen tanpa menggantikan kemandirian.</v>
      </c>
      <c r="AO14" s="83" t="str">
        <v>Lakukan sesi coaching dengan atasan setiap kali menghadapi hambatan pada target sulit yang dipilih peserta, minimal 4 kali sepanjang program. Diskusikan apakah akan melanjutkan, mengubah taktik, atau butuh dukungan tambahan.</v>
      </c>
      <c r="AP14" s="83" t="str">
        <v>4 catatan coaching.</v>
      </c>
      <c r="AQ14" s="83" t="str">
        <v>Bulan 1–12</v>
      </c>
      <c r="AR14" s="83" t="str">
        <v>Bulanan</v>
      </c>
      <c r="AS14" s="83" t="str">
        <v>4 sesi terlaksana. Target tetap dikejar setelah setiap sesi, dan pada sesi-sesi terakhir peserta menunjukkan lebih sedikit kebutuhan didorong dibanding sesi awal.</v>
      </c>
    </row>
    <row r="15" spans="1:45">
      <c r="A15" s="287"/>
      <c r="B15" s="300"/>
      <c r="C15" s="297"/>
      <c r="D15" s="294"/>
      <c r="E15" s="290"/>
      <c r="F15" s="290"/>
      <c r="G15" s="290"/>
      <c r="H15" s="287"/>
      <c r="I15" s="290"/>
      <c r="J15" s="287"/>
      <c r="K15" s="287"/>
      <c r="L15" s="287"/>
      <c r="M15" s="287"/>
      <c r="N15" s="13"/>
      <c r="O15" s="83"/>
      <c r="P15" s="83"/>
      <c r="Q15" s="83"/>
      <c r="R15" s="83"/>
      <c r="S15" s="83"/>
      <c r="T15" s="83"/>
      <c r="U15" s="83"/>
      <c r="V15" s="13"/>
      <c r="W15" s="83"/>
      <c r="X15" s="83"/>
      <c r="Y15" s="83"/>
      <c r="Z15" s="83"/>
      <c r="AA15" s="83"/>
      <c r="AB15" s="83"/>
      <c r="AC15" s="83"/>
      <c r="AD15" s="13"/>
      <c r="AE15" s="83"/>
      <c r="AF15" s="83"/>
      <c r="AG15" s="83"/>
      <c r="AH15" s="83"/>
      <c r="AI15" s="83"/>
      <c r="AJ15" s="83"/>
      <c r="AK15" s="83"/>
      <c r="AL15" s="13"/>
      <c r="AM15" s="83"/>
      <c r="AN15" s="83"/>
      <c r="AO15" s="83"/>
      <c r="AP15" s="83"/>
      <c r="AQ15" s="83"/>
      <c r="AR15" s="83"/>
      <c r="AS15" s="83"/>
    </row>
    <row r="16" spans="1:45" ht="15" customHeight="1">
      <c r="A16" s="285" t="s">
        <v>556</v>
      </c>
      <c r="B16" s="298">
        <f>IFERROR(INDEX(panduan!$C$3:$H$16,
       MATCH(TRIM(A16), panduan!$B$3:$B$16, 0),
       MATCH(TRIM($B$4), panduan!$C$2:$H$2, 0)),"")</f>
        <v>1</v>
      </c>
      <c r="C16" s="295">
        <f>IFERROR(INDEX(panduan!$C$3:$H$16,
       MATCH(TRIM(A16), panduan!$B$3:$B$16, 0),
       MATCH(TRIM($B$5), panduan!$C$2:$H$2, 0)),"")</f>
        <v>2</v>
      </c>
      <c r="D16" s="292">
        <v>2</v>
      </c>
      <c r="E16" s="288">
        <f t="shared" ref="E16:E49" si="0">D16-C16</f>
        <v>0</v>
      </c>
      <c r="F16" s="288" t="str">
        <f t="shared" ref="F16:F49" si="1">IF(E16&lt;0, MIN(-E16, 4), "")</f>
        <v/>
      </c>
      <c r="G16" s="288" t="str">
        <f>IFERROR(
    INDEX(panduan!$C$181:$G$185,
          MATCH($F$65,panduan!$B$181:$B$185,0),
          MATCH($F16,panduan!$C$180:$G$180,0)
    ),
"")</f>
        <v/>
      </c>
      <c r="H16" s="285" t="str">
        <f t="shared" ref="H16:H49" si="2">IF(G16="", "",
   SUBSTITUTE(
     SUBSTITUTE(
       SUBSTITUTE(
         SUBSTITUTE(G16,
           "1", "Personal Development"),
         "2", "Education-Based Development"),
       "3", "Relation-Based Development"),
     "4", "Experience-Based Development")
)</f>
        <v/>
      </c>
      <c r="I16" s="288" t="str">
        <f>IF(E16&lt;0,_xlfn.RANK.EQ(E16,$E$13:$E$54,1)+COUNTIF($E$13:E18,E16)-1,"")</f>
        <v/>
      </c>
      <c r="J16" s="285" t="str">
        <f t="shared" ref="J16:J49" si="3">IF(ISNUMBER(FIND("1",$G16)), $A16&amp;"|"&amp;$B$5&amp;"|1", "")</f>
        <v/>
      </c>
      <c r="K16" s="285" t="str">
        <f t="shared" ref="K16:K49" si="4">IF(ISNUMBER(FIND("2",$G16)), $A16&amp;"|"&amp;$B$5&amp;"|2", "")</f>
        <v/>
      </c>
      <c r="L16" s="285" t="str">
        <f t="shared" ref="L16:L49" si="5">IF(ISNUMBER(FIND("3",$G16)), $A16&amp;"|"&amp;$B$5&amp;"|3", "")</f>
        <v/>
      </c>
      <c r="M16" s="285" t="str">
        <f t="shared" ref="M16:M49" si="6">IF(ISNUMBER(FIND("4",$G16)), $A16&amp;"|"&amp;$B$5&amp;"|4", "")</f>
        <v/>
      </c>
      <c r="N16" s="13" t="str" cm="1">
        <f t="array" ref="N16">_xlfn.LET(
    _xlpm.gap, $F16,
    _xlpm.key, $J16,
    _xlpm.data, _xlfn._xlws.FILTER('sheet template'!$F$2:$M$1009,
                 ('sheet template'!$A$2:$A$1009=_xlpm.key) *
                 ('sheet template'!$F$2:$F$1009&lt;=_xlpm.gap), ""),
    IF(OR(_xlpm.key="", _xlpm.gap&lt;=0, ROWS(_xlpm.data)=0), "", _xlpm.data)
)</f>
        <v/>
      </c>
      <c r="O16" s="83"/>
      <c r="P16" s="83"/>
      <c r="Q16" s="83"/>
      <c r="R16" s="83"/>
      <c r="S16" s="83"/>
      <c r="T16" s="83"/>
      <c r="U16" s="83"/>
      <c r="V16" s="13" t="str" cm="1">
        <f t="array" ref="V16">_xlfn.LET(
    _xlpm.gap, $F16,
    _xlpm.key, $K16,
    _xlpm.data, _xlfn._xlws.FILTER('sheet template'!$F$2:$M$1009,
                 ('sheet template'!$A$2:$A$1009=_xlpm.key) *
                 ('sheet template'!$F$2:$F$1009&lt;=_xlpm.gap), ""),
    IF(OR(_xlpm.key="", _xlpm.gap&lt;=0, ROWS(_xlpm.data)=0), "", _xlpm.data)
)</f>
        <v/>
      </c>
      <c r="W16" s="83"/>
      <c r="X16" s="83"/>
      <c r="Y16" s="83"/>
      <c r="Z16" s="83"/>
      <c r="AA16" s="83"/>
      <c r="AB16" s="83"/>
      <c r="AC16" s="83"/>
      <c r="AD16" s="13" t="str" cm="1">
        <f t="array" ref="AD16">_xlfn.LET(
    _xlpm.gap, $F16,
    _xlpm.key, $L16,
    _xlpm.data, _xlfn._xlws.FILTER('sheet template'!$F$2:$M$1009,
                 ('sheet template'!$A$2:$A$1009=_xlpm.key) *
                 ('sheet template'!$F$2:$F$1009&lt;=_xlpm.gap), ""),
    IF(OR(_xlpm.key="", _xlpm.gap&lt;=0, ROWS(_xlpm.data)=0), "", _xlpm.data)
)</f>
        <v/>
      </c>
      <c r="AE16" s="83"/>
      <c r="AF16" s="83"/>
      <c r="AG16" s="83"/>
      <c r="AH16" s="83"/>
      <c r="AI16" s="83"/>
      <c r="AJ16" s="83"/>
      <c r="AK16" s="83"/>
      <c r="AL16" s="13" t="str" cm="1">
        <f t="array" ref="AL16">_xlfn.LET(
    _xlpm.gap, $F16,
    _xlpm.key, $L16,
    _xlpm.data, _xlfn._xlws.FILTER('sheet template'!$F$2:$M$1009,
                 ('sheet template'!$A$2:$A$1009=_xlpm.key) *
                 ('sheet template'!$F$2:$F$1009&lt;=_xlpm.gap), ""),
    IF(OR(_xlpm.key="", _xlpm.gap&lt;=0, ROWS(_xlpm.data)=0), "", _xlpm.data)
)</f>
        <v/>
      </c>
      <c r="AM16" s="83"/>
      <c r="AN16" s="83"/>
      <c r="AO16" s="83"/>
      <c r="AP16" s="83"/>
      <c r="AQ16" s="83"/>
      <c r="AR16" s="83"/>
      <c r="AS16" s="83"/>
    </row>
    <row r="17" spans="1:45">
      <c r="A17" s="286"/>
      <c r="B17" s="299"/>
      <c r="C17" s="296"/>
      <c r="D17" s="293"/>
      <c r="E17" s="289"/>
      <c r="F17" s="289"/>
      <c r="G17" s="289"/>
      <c r="H17" s="286"/>
      <c r="I17" s="289"/>
      <c r="J17" s="286"/>
      <c r="K17" s="286"/>
      <c r="L17" s="286"/>
      <c r="M17" s="286"/>
      <c r="N17" s="13"/>
      <c r="O17" s="83"/>
      <c r="P17" s="83"/>
      <c r="Q17" s="83"/>
      <c r="R17" s="83"/>
      <c r="S17" s="83"/>
      <c r="T17" s="83"/>
      <c r="U17" s="83"/>
      <c r="V17" s="13"/>
      <c r="W17" s="83"/>
      <c r="X17" s="83"/>
      <c r="Y17" s="83"/>
      <c r="Z17" s="83"/>
      <c r="AA17" s="83"/>
      <c r="AB17" s="83"/>
      <c r="AC17" s="83"/>
      <c r="AD17" s="13"/>
      <c r="AE17" s="83"/>
      <c r="AF17" s="83"/>
      <c r="AG17" s="83"/>
      <c r="AH17" s="83"/>
      <c r="AI17" s="83"/>
      <c r="AJ17" s="83"/>
      <c r="AK17" s="83"/>
      <c r="AL17" s="13"/>
      <c r="AM17" s="83"/>
      <c r="AN17" s="83"/>
      <c r="AO17" s="83"/>
      <c r="AP17" s="83"/>
      <c r="AQ17" s="83"/>
      <c r="AR17" s="83"/>
      <c r="AS17" s="83"/>
    </row>
    <row r="18" spans="1:45">
      <c r="A18" s="287"/>
      <c r="B18" s="300"/>
      <c r="C18" s="297"/>
      <c r="D18" s="294"/>
      <c r="E18" s="290"/>
      <c r="F18" s="290"/>
      <c r="G18" s="290"/>
      <c r="H18" s="287"/>
      <c r="I18" s="290"/>
      <c r="J18" s="287"/>
      <c r="K18" s="287"/>
      <c r="L18" s="287"/>
      <c r="M18" s="287"/>
      <c r="N18" s="13"/>
      <c r="O18" s="83"/>
      <c r="P18" s="83"/>
      <c r="Q18" s="83"/>
      <c r="R18" s="83"/>
      <c r="S18" s="83"/>
      <c r="T18" s="83"/>
      <c r="U18" s="83"/>
      <c r="V18" s="13"/>
      <c r="W18" s="83"/>
      <c r="X18" s="83"/>
      <c r="Y18" s="83"/>
      <c r="Z18" s="83"/>
      <c r="AA18" s="83"/>
      <c r="AB18" s="83"/>
      <c r="AC18" s="83"/>
      <c r="AD18" s="13"/>
      <c r="AE18" s="83"/>
      <c r="AF18" s="83"/>
      <c r="AG18" s="83"/>
      <c r="AH18" s="83"/>
      <c r="AI18" s="83"/>
      <c r="AJ18" s="83"/>
      <c r="AK18" s="83"/>
      <c r="AL18" s="13"/>
      <c r="AM18" s="83"/>
      <c r="AN18" s="83"/>
      <c r="AO18" s="83"/>
      <c r="AP18" s="83"/>
      <c r="AQ18" s="83"/>
      <c r="AR18" s="83"/>
      <c r="AS18" s="83"/>
    </row>
    <row r="19" spans="1:45" ht="15" customHeight="1">
      <c r="A19" s="285" t="s">
        <v>557</v>
      </c>
      <c r="B19" s="298">
        <f>IFERROR(INDEX(panduan!$C$3:$H$16,
       MATCH(TRIM(A19), panduan!$B$3:$B$16, 0),
       MATCH(TRIM($B$4), panduan!$C$2:$H$2, 0)),"")</f>
        <v>1</v>
      </c>
      <c r="C19" s="295">
        <f>IFERROR(INDEX(panduan!$C$3:$H$16,
       MATCH(TRIM(A19), panduan!$B$3:$B$16, 0),
       MATCH(TRIM($B$5), panduan!$C$2:$H$2, 0)),"")</f>
        <v>2</v>
      </c>
      <c r="D19" s="292">
        <v>2</v>
      </c>
      <c r="E19" s="288">
        <f t="shared" si="0"/>
        <v>0</v>
      </c>
      <c r="F19" s="288" t="str">
        <f t="shared" si="1"/>
        <v/>
      </c>
      <c r="G19" s="288" t="str">
        <f>IFERROR(
    INDEX(panduan!$C$181:$G$185,
          MATCH($F$65,panduan!$B$181:$B$185,0),
          MATCH($F19,panduan!$C$180:$G$180,0)
    ),
"")</f>
        <v/>
      </c>
      <c r="H19" s="285" t="str">
        <f t="shared" si="2"/>
        <v/>
      </c>
      <c r="I19" s="288" t="str">
        <f>IF(E19&lt;0,_xlfn.RANK.EQ(E19,$E$13:$E$54,1)+COUNTIF($E$13:E21,E19)-1,"")</f>
        <v/>
      </c>
      <c r="J19" s="285" t="str">
        <f t="shared" si="3"/>
        <v/>
      </c>
      <c r="K19" s="285" t="str">
        <f t="shared" si="4"/>
        <v/>
      </c>
      <c r="L19" s="285" t="str">
        <f t="shared" si="5"/>
        <v/>
      </c>
      <c r="M19" s="285" t="str">
        <f t="shared" si="6"/>
        <v/>
      </c>
      <c r="N19" s="13" t="str" cm="1">
        <f t="array" ref="N19">_xlfn.LET(
    _xlpm.gap, $F19,
    _xlpm.key, $J19,
    _xlpm.data, _xlfn._xlws.FILTER('sheet template'!$F$2:$M$1009,
                 ('sheet template'!$A$2:$A$1009=_xlpm.key) *
                 ('sheet template'!$F$2:$F$1009&lt;=_xlpm.gap), ""),
    IF(OR(_xlpm.key="", _xlpm.gap&lt;=0, ROWS(_xlpm.data)=0), "", _xlpm.data)
)</f>
        <v/>
      </c>
      <c r="O19" s="83"/>
      <c r="P19" s="83"/>
      <c r="Q19" s="83"/>
      <c r="R19" s="83"/>
      <c r="S19" s="83"/>
      <c r="T19" s="83"/>
      <c r="U19" s="83"/>
      <c r="V19" s="13" t="str" cm="1">
        <f t="array" ref="V19">_xlfn.LET(
    _xlpm.gap, $F19,
    _xlpm.key, $K19,
    _xlpm.data, _xlfn._xlws.FILTER('sheet template'!$F$2:$M$1009,
                 ('sheet template'!$A$2:$A$1009=_xlpm.key) *
                 ('sheet template'!$F$2:$F$1009&lt;=_xlpm.gap), ""),
    IF(OR(_xlpm.key="", _xlpm.gap&lt;=0, ROWS(_xlpm.data)=0), "", _xlpm.data)
)</f>
        <v/>
      </c>
      <c r="W19" s="83"/>
      <c r="X19" s="83"/>
      <c r="Y19" s="83"/>
      <c r="Z19" s="83"/>
      <c r="AA19" s="83"/>
      <c r="AB19" s="83"/>
      <c r="AC19" s="83"/>
      <c r="AD19" s="13" t="str" cm="1">
        <f t="array" ref="AD19">_xlfn.LET(
    _xlpm.gap, $F19,
    _xlpm.key, $L19,
    _xlpm.data, _xlfn._xlws.FILTER('sheet template'!$F$2:$M$1009,
                 ('sheet template'!$A$2:$A$1009=_xlpm.key) *
                 ('sheet template'!$F$2:$F$1009&lt;=_xlpm.gap), ""),
    IF(OR(_xlpm.key="", _xlpm.gap&lt;=0, ROWS(_xlpm.data)=0), "", _xlpm.data)
)</f>
        <v/>
      </c>
      <c r="AE19" s="83"/>
      <c r="AF19" s="83"/>
      <c r="AG19" s="83"/>
      <c r="AH19" s="83"/>
      <c r="AI19" s="83"/>
      <c r="AJ19" s="83"/>
      <c r="AK19" s="83"/>
      <c r="AL19" s="13" t="str" cm="1">
        <f t="array" ref="AL19">_xlfn.LET(
    _xlpm.gap, $F19,
    _xlpm.key, $L19,
    _xlpm.data, _xlfn._xlws.FILTER('sheet template'!$F$2:$M$1009,
                 ('sheet template'!$A$2:$A$1009=_xlpm.key) *
                 ('sheet template'!$F$2:$F$1009&lt;=_xlpm.gap), ""),
    IF(OR(_xlpm.key="", _xlpm.gap&lt;=0, ROWS(_xlpm.data)=0), "", _xlpm.data)
)</f>
        <v/>
      </c>
      <c r="AM19" s="83"/>
      <c r="AN19" s="83"/>
      <c r="AO19" s="83"/>
      <c r="AP19" s="83"/>
      <c r="AQ19" s="83"/>
      <c r="AR19" s="83"/>
      <c r="AS19" s="83"/>
    </row>
    <row r="20" spans="1:45">
      <c r="A20" s="286"/>
      <c r="B20" s="299"/>
      <c r="C20" s="296"/>
      <c r="D20" s="293"/>
      <c r="E20" s="289"/>
      <c r="F20" s="289"/>
      <c r="G20" s="289"/>
      <c r="H20" s="286"/>
      <c r="I20" s="289"/>
      <c r="J20" s="286"/>
      <c r="K20" s="286"/>
      <c r="L20" s="286"/>
      <c r="M20" s="286"/>
      <c r="N20" s="13"/>
      <c r="O20" s="83"/>
      <c r="P20" s="83"/>
      <c r="Q20" s="83"/>
      <c r="R20" s="83"/>
      <c r="S20" s="83"/>
      <c r="T20" s="83"/>
      <c r="U20" s="83"/>
      <c r="V20" s="13"/>
      <c r="W20" s="83"/>
      <c r="X20" s="83"/>
      <c r="Y20" s="83"/>
      <c r="Z20" s="83"/>
      <c r="AA20" s="83"/>
      <c r="AB20" s="83"/>
      <c r="AC20" s="83"/>
      <c r="AD20" s="13"/>
      <c r="AE20" s="83"/>
      <c r="AF20" s="83"/>
      <c r="AG20" s="83"/>
      <c r="AH20" s="83"/>
      <c r="AI20" s="83"/>
      <c r="AJ20" s="83"/>
      <c r="AK20" s="83"/>
      <c r="AL20" s="13"/>
      <c r="AM20" s="83"/>
      <c r="AN20" s="83"/>
      <c r="AO20" s="83"/>
      <c r="AP20" s="83"/>
      <c r="AQ20" s="83"/>
      <c r="AR20" s="83"/>
      <c r="AS20" s="83"/>
    </row>
    <row r="21" spans="1:45">
      <c r="A21" s="287"/>
      <c r="B21" s="300"/>
      <c r="C21" s="297"/>
      <c r="D21" s="294"/>
      <c r="E21" s="290"/>
      <c r="F21" s="290"/>
      <c r="G21" s="290"/>
      <c r="H21" s="287"/>
      <c r="I21" s="290"/>
      <c r="J21" s="287"/>
      <c r="K21" s="287"/>
      <c r="L21" s="287"/>
      <c r="M21" s="287"/>
      <c r="N21" s="13"/>
      <c r="O21" s="83"/>
      <c r="P21" s="83"/>
      <c r="Q21" s="83"/>
      <c r="R21" s="83"/>
      <c r="S21" s="83"/>
      <c r="T21" s="83"/>
      <c r="U21" s="83"/>
      <c r="V21" s="13"/>
      <c r="W21" s="83"/>
      <c r="X21" s="83"/>
      <c r="Y21" s="83"/>
      <c r="Z21" s="83"/>
      <c r="AA21" s="83"/>
      <c r="AB21" s="83"/>
      <c r="AC21" s="83"/>
      <c r="AD21" s="13"/>
      <c r="AE21" s="83"/>
      <c r="AF21" s="83"/>
      <c r="AG21" s="83"/>
      <c r="AH21" s="83"/>
      <c r="AI21" s="83"/>
      <c r="AJ21" s="83"/>
      <c r="AK21" s="83"/>
      <c r="AL21" s="13"/>
      <c r="AM21" s="83"/>
      <c r="AN21" s="83"/>
      <c r="AO21" s="83"/>
      <c r="AP21" s="83"/>
      <c r="AQ21" s="83"/>
      <c r="AR21" s="83"/>
      <c r="AS21" s="83"/>
    </row>
    <row r="22" spans="1:45">
      <c r="A22" s="285" t="s">
        <v>558</v>
      </c>
      <c r="B22" s="298">
        <f>IFERROR(INDEX(panduan!$C$3:$H$16,
       MATCH(TRIM(A22), panduan!$B$3:$B$16, 0),
       MATCH(TRIM($B$4), panduan!$C$2:$H$2, 0)),"")</f>
        <v>1</v>
      </c>
      <c r="C22" s="295">
        <f>IFERROR(INDEX(panduan!$C$3:$H$16,
       MATCH(TRIM(A22), panduan!$B$3:$B$16, 0),
       MATCH(TRIM($B$5), panduan!$C$2:$H$2, 0)),"")</f>
        <v>2</v>
      </c>
      <c r="D22" s="292">
        <v>2</v>
      </c>
      <c r="E22" s="288">
        <f t="shared" si="0"/>
        <v>0</v>
      </c>
      <c r="F22" s="288" t="str">
        <f t="shared" si="1"/>
        <v/>
      </c>
      <c r="G22" s="288" t="str">
        <f>IFERROR(
    INDEX(panduan!$C$181:$G$185,
          MATCH($F$65,panduan!$B$181:$B$185,0),
          MATCH($F22,panduan!$C$180:$G$180,0)
    ),
"")</f>
        <v/>
      </c>
      <c r="H22" s="285" t="str">
        <f t="shared" si="2"/>
        <v/>
      </c>
      <c r="I22" s="288" t="str">
        <f>IF(E22&lt;0,_xlfn.RANK.EQ(E22,$E$13:$E$54,1)+COUNTIF($E$13:E24,E22)-1,"")</f>
        <v/>
      </c>
      <c r="J22" s="285" t="str">
        <f t="shared" si="3"/>
        <v/>
      </c>
      <c r="K22" s="285" t="str">
        <f t="shared" si="4"/>
        <v/>
      </c>
      <c r="L22" s="285" t="str">
        <f t="shared" si="5"/>
        <v/>
      </c>
      <c r="M22" s="285" t="str">
        <f t="shared" si="6"/>
        <v/>
      </c>
      <c r="N22" s="13" t="str" cm="1">
        <f t="array" ref="N22">_xlfn.LET(
    _xlpm.gap, $F22,
    _xlpm.key, $J22,
    _xlpm.data, _xlfn._xlws.FILTER('sheet template'!$F$2:$M$1009,
                 ('sheet template'!$A$2:$A$1009=_xlpm.key) *
                 ('sheet template'!$F$2:$F$1009&lt;=_xlpm.gap), ""),
    IF(OR(_xlpm.key="", _xlpm.gap&lt;=0, ROWS(_xlpm.data)=0), "", _xlpm.data)
)</f>
        <v/>
      </c>
      <c r="O22" s="83"/>
      <c r="P22" s="83"/>
      <c r="Q22" s="83"/>
      <c r="R22" s="83"/>
      <c r="S22" s="83"/>
      <c r="T22" s="83"/>
      <c r="U22" s="83"/>
      <c r="V22" s="13" t="str" cm="1">
        <f t="array" ref="V22">_xlfn.LET(
    _xlpm.gap, $F22,
    _xlpm.key, $K22,
    _xlpm.data, _xlfn._xlws.FILTER('sheet template'!$F$2:$M$1009,
                 ('sheet template'!$A$2:$A$1009=_xlpm.key) *
                 ('sheet template'!$F$2:$F$1009&lt;=_xlpm.gap), ""),
    IF(OR(_xlpm.key="", _xlpm.gap&lt;=0, ROWS(_xlpm.data)=0), "", _xlpm.data)
)</f>
        <v/>
      </c>
      <c r="W22" s="83"/>
      <c r="X22" s="83"/>
      <c r="Y22" s="83"/>
      <c r="Z22" s="83"/>
      <c r="AA22" s="83"/>
      <c r="AB22" s="83"/>
      <c r="AC22" s="83"/>
      <c r="AD22" s="13" t="str" cm="1">
        <f t="array" ref="AD22">_xlfn.LET(
    _xlpm.gap, $F22,
    _xlpm.key, $L22,
    _xlpm.data, _xlfn._xlws.FILTER('sheet template'!$F$2:$M$1009,
                 ('sheet template'!$A$2:$A$1009=_xlpm.key) *
                 ('sheet template'!$F$2:$F$1009&lt;=_xlpm.gap), ""),
    IF(OR(_xlpm.key="", _xlpm.gap&lt;=0, ROWS(_xlpm.data)=0), "", _xlpm.data)
)</f>
        <v/>
      </c>
      <c r="AE22" s="83"/>
      <c r="AF22" s="83"/>
      <c r="AG22" s="83"/>
      <c r="AH22" s="83"/>
      <c r="AI22" s="83"/>
      <c r="AJ22" s="83"/>
      <c r="AK22" s="83"/>
      <c r="AL22" s="13" t="str" cm="1">
        <f t="array" ref="AL22">_xlfn.LET(
    _xlpm.gap, $F22,
    _xlpm.key, $L22,
    _xlpm.data, _xlfn._xlws.FILTER('sheet template'!$F$2:$M$1009,
                 ('sheet template'!$A$2:$A$1009=_xlpm.key) *
                 ('sheet template'!$F$2:$F$1009&lt;=_xlpm.gap), ""),
    IF(OR(_xlpm.key="", _xlpm.gap&lt;=0, ROWS(_xlpm.data)=0), "", _xlpm.data)
)</f>
        <v/>
      </c>
      <c r="AM22" s="83"/>
      <c r="AN22" s="83"/>
      <c r="AO22" s="83"/>
      <c r="AP22" s="83"/>
      <c r="AQ22" s="83"/>
      <c r="AR22" s="83"/>
      <c r="AS22" s="83"/>
    </row>
    <row r="23" spans="1:45">
      <c r="A23" s="286"/>
      <c r="B23" s="299"/>
      <c r="C23" s="296"/>
      <c r="D23" s="293"/>
      <c r="E23" s="289"/>
      <c r="F23" s="289"/>
      <c r="G23" s="289"/>
      <c r="H23" s="286"/>
      <c r="I23" s="289"/>
      <c r="J23" s="286"/>
      <c r="K23" s="286"/>
      <c r="L23" s="286"/>
      <c r="M23" s="286"/>
      <c r="N23" s="13"/>
      <c r="O23" s="83"/>
      <c r="P23" s="83"/>
      <c r="Q23" s="83"/>
      <c r="R23" s="83"/>
      <c r="S23" s="83"/>
      <c r="T23" s="83"/>
      <c r="U23" s="83"/>
      <c r="V23" s="13"/>
      <c r="W23" s="83"/>
      <c r="X23" s="83"/>
      <c r="Y23" s="83"/>
      <c r="Z23" s="83"/>
      <c r="AA23" s="83"/>
      <c r="AB23" s="83"/>
      <c r="AC23" s="83"/>
      <c r="AD23" s="13"/>
      <c r="AE23" s="83"/>
      <c r="AF23" s="83"/>
      <c r="AG23" s="83"/>
      <c r="AH23" s="83"/>
      <c r="AI23" s="83"/>
      <c r="AJ23" s="83"/>
      <c r="AK23" s="83"/>
      <c r="AL23" s="13"/>
      <c r="AM23" s="83"/>
      <c r="AN23" s="83"/>
      <c r="AO23" s="83"/>
      <c r="AP23" s="83"/>
      <c r="AQ23" s="83"/>
      <c r="AR23" s="83"/>
      <c r="AS23" s="83"/>
    </row>
    <row r="24" spans="1:45">
      <c r="A24" s="287"/>
      <c r="B24" s="300"/>
      <c r="C24" s="297"/>
      <c r="D24" s="294"/>
      <c r="E24" s="290"/>
      <c r="F24" s="290"/>
      <c r="G24" s="290"/>
      <c r="H24" s="287"/>
      <c r="I24" s="290"/>
      <c r="J24" s="287"/>
      <c r="K24" s="287"/>
      <c r="L24" s="287"/>
      <c r="M24" s="287"/>
      <c r="N24" s="13"/>
      <c r="O24" s="83"/>
      <c r="P24" s="83"/>
      <c r="Q24" s="83"/>
      <c r="R24" s="83"/>
      <c r="S24" s="83"/>
      <c r="T24" s="83"/>
      <c r="U24" s="83"/>
      <c r="V24" s="13"/>
      <c r="W24" s="83"/>
      <c r="X24" s="83"/>
      <c r="Y24" s="83"/>
      <c r="Z24" s="83"/>
      <c r="AA24" s="83"/>
      <c r="AB24" s="83"/>
      <c r="AC24" s="83"/>
      <c r="AD24" s="13"/>
      <c r="AE24" s="83"/>
      <c r="AF24" s="83"/>
      <c r="AG24" s="83"/>
      <c r="AH24" s="83"/>
      <c r="AI24" s="83"/>
      <c r="AJ24" s="83"/>
      <c r="AK24" s="83"/>
      <c r="AL24" s="13"/>
      <c r="AM24" s="83"/>
      <c r="AN24" s="83"/>
      <c r="AO24" s="83"/>
      <c r="AP24" s="83"/>
      <c r="AQ24" s="83"/>
      <c r="AR24" s="83"/>
      <c r="AS24" s="83"/>
    </row>
    <row r="25" spans="1:45">
      <c r="A25" s="285" t="s">
        <v>559</v>
      </c>
      <c r="B25" s="298">
        <f>IFERROR(INDEX(panduan!$C$3:$H$16,
       MATCH(TRIM(A25), panduan!$B$3:$B$16, 0),
       MATCH(TRIM($B$4), panduan!$C$2:$H$2, 0)),"")</f>
        <v>2</v>
      </c>
      <c r="C25" s="295">
        <f>IFERROR(INDEX(panduan!$C$3:$H$16,
       MATCH(TRIM(A25), panduan!$B$3:$B$16, 0),
       MATCH(TRIM($B$5), panduan!$C$2:$H$2, 0)),"")</f>
        <v>3</v>
      </c>
      <c r="D25" s="292">
        <v>3</v>
      </c>
      <c r="E25" s="288">
        <f t="shared" si="0"/>
        <v>0</v>
      </c>
      <c r="F25" s="288" t="str">
        <f t="shared" si="1"/>
        <v/>
      </c>
      <c r="G25" s="288" t="str">
        <f>IFERROR(
    INDEX(panduan!$C$181:$G$185,
          MATCH($F$65,panduan!$B$181:$B$185,0),
          MATCH($F25,panduan!$C$180:$G$180,0)
    ),
"")</f>
        <v/>
      </c>
      <c r="H25" s="285" t="str">
        <f t="shared" si="2"/>
        <v/>
      </c>
      <c r="I25" s="288" t="str">
        <f>IF(E25&lt;0,_xlfn.RANK.EQ(E25,$E$13:$E$54,1)+COUNTIF($E$13:E27,E25)-1,"")</f>
        <v/>
      </c>
      <c r="J25" s="285" t="str">
        <f t="shared" si="3"/>
        <v/>
      </c>
      <c r="K25" s="285" t="str">
        <f t="shared" si="4"/>
        <v/>
      </c>
      <c r="L25" s="285" t="str">
        <f t="shared" si="5"/>
        <v/>
      </c>
      <c r="M25" s="285" t="str">
        <f t="shared" si="6"/>
        <v/>
      </c>
      <c r="N25" s="13" t="str" cm="1">
        <f t="array" ref="N25">_xlfn.LET(
    _xlpm.gap, $F25,
    _xlpm.key, $J25,
    _xlpm.data, _xlfn._xlws.FILTER('sheet template'!$F$2:$M$1009,
                 ('sheet template'!$A$2:$A$1009=_xlpm.key) *
                 ('sheet template'!$F$2:$F$1009&lt;=_xlpm.gap), ""),
    IF(OR(_xlpm.key="", _xlpm.gap&lt;=0, ROWS(_xlpm.data)=0), "", _xlpm.data)
)</f>
        <v/>
      </c>
      <c r="O25" s="83"/>
      <c r="P25" s="83"/>
      <c r="Q25" s="83"/>
      <c r="R25" s="83"/>
      <c r="S25" s="83"/>
      <c r="T25" s="83"/>
      <c r="U25" s="83"/>
      <c r="V25" s="13" t="str" cm="1">
        <f t="array" ref="V25">_xlfn.LET(
    _xlpm.gap, $F25,
    _xlpm.key, $K25,
    _xlpm.data, _xlfn._xlws.FILTER('sheet template'!$F$2:$M$1009,
                 ('sheet template'!$A$2:$A$1009=_xlpm.key) *
                 ('sheet template'!$F$2:$F$1009&lt;=_xlpm.gap), ""),
    IF(OR(_xlpm.key="", _xlpm.gap&lt;=0, ROWS(_xlpm.data)=0), "", _xlpm.data)
)</f>
        <v/>
      </c>
      <c r="W25" s="83"/>
      <c r="X25" s="83"/>
      <c r="Y25" s="83"/>
      <c r="Z25" s="83"/>
      <c r="AA25" s="83"/>
      <c r="AB25" s="83"/>
      <c r="AC25" s="83"/>
      <c r="AD25" s="13" t="str" cm="1">
        <f t="array" ref="AD25">_xlfn.LET(
    _xlpm.gap, $F25,
    _xlpm.key, $L25,
    _xlpm.data, _xlfn._xlws.FILTER('sheet template'!$F$2:$M$1009,
                 ('sheet template'!$A$2:$A$1009=_xlpm.key) *
                 ('sheet template'!$F$2:$F$1009&lt;=_xlpm.gap), ""),
    IF(OR(_xlpm.key="", _xlpm.gap&lt;=0, ROWS(_xlpm.data)=0), "", _xlpm.data)
)</f>
        <v/>
      </c>
      <c r="AE25" s="83"/>
      <c r="AF25" s="83"/>
      <c r="AG25" s="83"/>
      <c r="AH25" s="83"/>
      <c r="AI25" s="83"/>
      <c r="AJ25" s="83"/>
      <c r="AK25" s="83"/>
      <c r="AL25" s="13" t="str" cm="1">
        <f t="array" ref="AL25">_xlfn.LET(
    _xlpm.gap, $F25,
    _xlpm.key, $L25,
    _xlpm.data, _xlfn._xlws.FILTER('sheet template'!$F$2:$M$1009,
                 ('sheet template'!$A$2:$A$1009=_xlpm.key) *
                 ('sheet template'!$F$2:$F$1009&lt;=_xlpm.gap), ""),
    IF(OR(_xlpm.key="", _xlpm.gap&lt;=0, ROWS(_xlpm.data)=0), "", _xlpm.data)
)</f>
        <v/>
      </c>
      <c r="AM25" s="83"/>
      <c r="AN25" s="83"/>
      <c r="AO25" s="83"/>
      <c r="AP25" s="83"/>
      <c r="AQ25" s="83"/>
      <c r="AR25" s="83"/>
      <c r="AS25" s="83"/>
    </row>
    <row r="26" spans="1:45">
      <c r="A26" s="286"/>
      <c r="B26" s="299"/>
      <c r="C26" s="296"/>
      <c r="D26" s="293"/>
      <c r="E26" s="289"/>
      <c r="F26" s="289"/>
      <c r="G26" s="289"/>
      <c r="H26" s="286"/>
      <c r="I26" s="289"/>
      <c r="J26" s="286"/>
      <c r="K26" s="286"/>
      <c r="L26" s="286"/>
      <c r="M26" s="286"/>
      <c r="N26" s="13"/>
      <c r="O26" s="83"/>
      <c r="P26" s="83"/>
      <c r="Q26" s="83"/>
      <c r="R26" s="83"/>
      <c r="S26" s="83"/>
      <c r="T26" s="83"/>
      <c r="U26" s="83"/>
      <c r="V26" s="13"/>
      <c r="W26" s="83"/>
      <c r="X26" s="83"/>
      <c r="Y26" s="83"/>
      <c r="Z26" s="83"/>
      <c r="AA26" s="83"/>
      <c r="AB26" s="83"/>
      <c r="AC26" s="83"/>
      <c r="AD26" s="13"/>
      <c r="AE26" s="83"/>
      <c r="AF26" s="83"/>
      <c r="AG26" s="83"/>
      <c r="AH26" s="83"/>
      <c r="AI26" s="83"/>
      <c r="AJ26" s="83"/>
      <c r="AK26" s="83"/>
      <c r="AL26" s="13"/>
      <c r="AM26" s="83"/>
      <c r="AN26" s="83"/>
      <c r="AO26" s="83"/>
      <c r="AP26" s="83"/>
      <c r="AQ26" s="83"/>
      <c r="AR26" s="83"/>
      <c r="AS26" s="83"/>
    </row>
    <row r="27" spans="1:45">
      <c r="A27" s="287"/>
      <c r="B27" s="300"/>
      <c r="C27" s="297"/>
      <c r="D27" s="294"/>
      <c r="E27" s="290"/>
      <c r="F27" s="290"/>
      <c r="G27" s="290"/>
      <c r="H27" s="287"/>
      <c r="I27" s="290"/>
      <c r="J27" s="287"/>
      <c r="K27" s="287"/>
      <c r="L27" s="287"/>
      <c r="M27" s="287"/>
      <c r="N27" s="13"/>
      <c r="O27" s="83"/>
      <c r="P27" s="83"/>
      <c r="Q27" s="83"/>
      <c r="R27" s="83"/>
      <c r="S27" s="83"/>
      <c r="T27" s="83"/>
      <c r="U27" s="83"/>
      <c r="V27" s="13"/>
      <c r="W27" s="83"/>
      <c r="X27" s="83"/>
      <c r="Y27" s="83"/>
      <c r="Z27" s="83"/>
      <c r="AA27" s="83"/>
      <c r="AB27" s="83"/>
      <c r="AC27" s="83"/>
      <c r="AD27" s="13"/>
      <c r="AE27" s="83"/>
      <c r="AF27" s="83"/>
      <c r="AG27" s="83"/>
      <c r="AH27" s="83"/>
      <c r="AI27" s="83"/>
      <c r="AJ27" s="83"/>
      <c r="AK27" s="83"/>
      <c r="AL27" s="13"/>
      <c r="AM27" s="83"/>
      <c r="AN27" s="83"/>
      <c r="AO27" s="83"/>
      <c r="AP27" s="83"/>
      <c r="AQ27" s="83"/>
      <c r="AR27" s="83"/>
      <c r="AS27" s="83"/>
    </row>
    <row r="28" spans="1:45" ht="60" customHeight="1">
      <c r="A28" s="285" t="s">
        <v>560</v>
      </c>
      <c r="B28" s="298">
        <f>IFERROR(INDEX(panduan!$C$3:$H$16,
       MATCH(TRIM(A28), panduan!$B$3:$B$16, 0),
       MATCH(TRIM($B$4), panduan!$C$2:$H$2, 0)),"")</f>
        <v>1</v>
      </c>
      <c r="C28" s="295">
        <f>IFERROR(INDEX(panduan!$C$3:$H$16,
       MATCH(TRIM(A28), panduan!$B$3:$B$16, 0),
       MATCH(TRIM($B$5), panduan!$C$2:$H$2, 0)),"")</f>
        <v>2</v>
      </c>
      <c r="D28" s="292">
        <v>1</v>
      </c>
      <c r="E28" s="288">
        <f t="shared" si="0"/>
        <v>-1</v>
      </c>
      <c r="F28" s="288">
        <f t="shared" si="1"/>
        <v>1</v>
      </c>
      <c r="G28" s="288" t="str">
        <f>IFERROR(
    INDEX(panduan!$C$181:$G$185,
          MATCH($F$65,panduan!$B$181:$B$185,0),
          MATCH($F28,panduan!$C$180:$G$180,0)
    ),
"")</f>
        <v>1,2,3,4</v>
      </c>
      <c r="H28" s="285" t="str">
        <f t="shared" si="2"/>
        <v>Personal Development,Education-Based Development,Relation-Based Development,Experience-Based Development</v>
      </c>
      <c r="I28" s="288">
        <f>IF(E28&lt;0,_xlfn.RANK.EQ(E28,$E$13:$E$54,1)+COUNTIF($E$13:E30,E28)-1,"")</f>
        <v>3</v>
      </c>
      <c r="J28" s="285" t="str">
        <f t="shared" si="3"/>
        <v>Analytical Thinking|Analyst|1</v>
      </c>
      <c r="K28" s="285" t="str">
        <f t="shared" si="4"/>
        <v>Analytical Thinking|Analyst|2</v>
      </c>
      <c r="L28" s="285" t="str">
        <f t="shared" si="5"/>
        <v>Analytical Thinking|Analyst|3</v>
      </c>
      <c r="M28" s="285" t="str">
        <f t="shared" si="6"/>
        <v>Analytical Thinking|Analyst|4</v>
      </c>
      <c r="N28" s="13" cm="1">
        <f t="array" ref="N28:U28">_xlfn.LET(
    _xlpm.gap, $F28,
    _xlpm.key, $J28,
    _xlpm.data, _xlfn._xlws.FILTER('sheet template'!$F$2:$M$1009,
                 ('sheet template'!$A$2:$A$1009=_xlpm.key) *
                 ('sheet template'!$F$2:$F$1009&lt;=_xlpm.gap), ""),
    IF(OR(_xlpm.key="", _xlpm.gap&lt;=0, ROWS(_xlpm.data)=0), "", _xlpm.data)
)</f>
        <v>1</v>
      </c>
      <c r="O28" s="83" t="str">
        <v>Log "Yang Saya Terima Begitu Saja"</v>
      </c>
      <c r="P28" s="83" t="str">
        <v>Menyadari seberapa sering informasi dan arahan diterima tanpa diperiksa.</v>
      </c>
      <c r="Q28" s="83" t="str">
        <v>Setiap arahan, laporan, atau usulan yang peserta terima, catat: apa premis atau klaim di dalamnya, apakah peserta mempertanyakannya, dan bila tidak — mengapa. Beri tanda khusus pada yang tidak dipertanyakan karena sungkan atau karena yang menyampaikan lebih senior.</v>
      </c>
      <c r="R28" s="83" t="str">
        <v>Log minimal 40 entri; rekap triwulanan proporsi yang dipertanyakan, dan proporsi yang tidak dipertanyakan karena sungkan. Termasuk rekap triwulanan.</v>
      </c>
      <c r="S28" s="83" t="str">
        <v>Bulan 1–12</v>
      </c>
      <c r="T28" s="83" t="str">
        <v>Bulanan</v>
      </c>
      <c r="U28" s="83" t="str">
        <v>Minimal 40 entri. Proporsi yang dipertanyakan naik dari baseline triwulan 1 menjadi ≥60% pada triwulan 4, DAN proporsi yang tidak dipertanyakan karena sungkan turun menjadi ≤15%. Milestone Bulan 6: 20 entri dan baseline terbentuk.</v>
      </c>
      <c r="V28" s="13" cm="1">
        <f t="array" ref="V28:AC28">_xlfn.LET(
    _xlpm.gap, $F28,
    _xlpm.key, $K28,
    _xlpm.data, _xlfn._xlws.FILTER('sheet template'!$F$2:$M$1009,
                 ('sheet template'!$A$2:$A$1009=_xlpm.key) *
                 ('sheet template'!$F$2:$F$1009&lt;=_xlpm.gap), ""),
    IF(OR(_xlpm.key="", _xlpm.gap&lt;=0, ROWS(_xlpm.data)=0), "", _xlpm.data)
)</f>
        <v>1</v>
      </c>
      <c r="W28" s="83" t="str">
        <v>Workshop "Critical Thinking: Menguji Klaim dan Bukti"</v>
      </c>
      <c r="X28" s="83" t="str">
        <v>Menguasai cara memeriksa apakah sebuah klaim benar-benar didukung buktinya.</v>
      </c>
      <c r="Y28" s="83" t="str">
        <v>Pelatihan 2 hari: struktur argumen, membedakan klaim dari bukti, mengenali korelasi yang disalahartikan sebagai sebab, bias konfirmasi, ukuran sampel dan keterwakilan, serta cara menantang sebuah klaim tanpa menyerang orangnya. Peserta membawa 3 klaim kerja nyata sebagai bahan.</v>
      </c>
      <c r="Z28" s="83" t="str">
        <v>Sertifikat; 3 klaim kerja nyata yang diuji beserta hasilnya.</v>
      </c>
      <c r="AA28" s="83" t="str">
        <v>Bulan 1–12</v>
      </c>
      <c r="AB28" s="83" t="str">
        <v>Bulanan</v>
      </c>
      <c r="AC28" s="83" t="str">
        <v>Lulus studi kasus dengan skor ≥80. Ketiga klaim kerja nyata diuji dan hasilnya dilaporkan kepada pihak yang menyampaikan klaim tersebut.</v>
      </c>
      <c r="AD28" s="13" cm="1">
        <f t="array" ref="AD28:AK28">_xlfn.LET(
    _xlpm.gap, $F28,
    _xlpm.key, $L28,
    _xlpm.data, _xlfn._xlws.FILTER('sheet template'!$F$2:$M$1009,
                 ('sheet template'!$A$2:$A$1009=_xlpm.key) *
                 ('sheet template'!$F$2:$F$1009&lt;=_xlpm.gap), ""),
    IF(OR(_xlpm.key="", _xlpm.gap&lt;=0, ROWS(_xlpm.data)=0), "", _xlpm.data)
)</f>
        <v>1</v>
      </c>
      <c r="AE28" s="83" t="str">
        <v>"Challenge Circle" — Peer Officer + Mentor Analyst</v>
      </c>
      <c r="AF28" s="83" t="str">
        <v>Menemukan cacat penalaran sebelum kesimpulan dipakai.</v>
      </c>
      <c r="AG28" s="83" t="str">
        <v>Bentuk forum 3–4 peer setingkat ditambah 1 mentor berjenjang Analyst. Setiap bulan, satu peserta membawa 1 kesimpulan kerja yang ia buat. Peserta lain BERTUGAS mencari cacat dalam penalarannya: bukti yang kurang, asumsi yang belum diuji, atau sumber yang terlalu sepihak.</v>
      </c>
      <c r="AH28" s="83" t="str">
        <v>10 sesi (minimal 3 sebagai pemapar); catatan cacat penalaran yang ditemukan. Termasuk review catatan pada Bulan ke-6 dan ke-12 oleh mentor.</v>
      </c>
      <c r="AI28" s="83" t="str">
        <v>Bulan 1–12</v>
      </c>
      <c r="AJ28" s="83" t="str">
        <v>Bulanan</v>
      </c>
      <c r="AK28" s="83" t="str">
        <v>Minimal 8 dari 10 sesi terlaksana. Pada 3 pemaparan sendiri, jumlah cacat penalaran yang ditemukan rekan turun ≥50% dari pemaparan pertama ke ketiga. Milestone Bulan 6: 4 sesi, minimal 1 sebagai pemapar.</v>
      </c>
      <c r="AL28" s="13" cm="1">
        <f t="array" ref="AL28:AS28">_xlfn.LET(
    _xlpm.gap, $F28,
    _xlpm.key, $L28,
    _xlpm.data, _xlfn._xlws.FILTER('sheet template'!$F$2:$M$1009,
                 ('sheet template'!$A$2:$A$1009=_xlpm.key) *
                 ('sheet template'!$F$2:$F$1009&lt;=_xlpm.gap), ""),
    IF(OR(_xlpm.key="", _xlpm.gap&lt;=0, ROWS(_xlpm.data)=0), "", _xlpm.data)
)</f>
        <v>1</v>
      </c>
      <c r="AM28" s="83" t="str">
        <v>"Challenge Circle" — Peer Officer + Mentor Analyst</v>
      </c>
      <c r="AN28" s="83" t="str">
        <v>Menemukan cacat penalaran sebelum kesimpulan dipakai.</v>
      </c>
      <c r="AO28" s="83" t="str">
        <v>Bentuk forum 3–4 peer setingkat ditambah 1 mentor berjenjang Analyst. Setiap bulan, satu peserta membawa 1 kesimpulan kerja yang ia buat. Peserta lain BERTUGAS mencari cacat dalam penalarannya: bukti yang kurang, asumsi yang belum diuji, atau sumber yang terlalu sepihak.</v>
      </c>
      <c r="AP28" s="83" t="str">
        <v>10 sesi (minimal 3 sebagai pemapar); catatan cacat penalaran yang ditemukan. Termasuk review catatan pada Bulan ke-6 dan ke-12 oleh mentor.</v>
      </c>
      <c r="AQ28" s="83" t="str">
        <v>Bulan 1–12</v>
      </c>
      <c r="AR28" s="83" t="str">
        <v>Bulanan</v>
      </c>
      <c r="AS28" s="83" t="str">
        <v>Minimal 8 dari 10 sesi terlaksana. Pada 3 pemaparan sendiri, jumlah cacat penalaran yang ditemukan rekan turun ≥50% dari pemaparan pertama ke ketiga. Milestone Bulan 6: 4 sesi, minimal 1 sebagai pemapar.</v>
      </c>
    </row>
    <row r="29" spans="1:45">
      <c r="A29" s="286"/>
      <c r="B29" s="299"/>
      <c r="C29" s="296"/>
      <c r="D29" s="293"/>
      <c r="E29" s="289"/>
      <c r="F29" s="289"/>
      <c r="G29" s="289"/>
      <c r="H29" s="286"/>
      <c r="I29" s="289"/>
      <c r="J29" s="286"/>
      <c r="K29" s="286"/>
      <c r="L29" s="286"/>
      <c r="M29" s="286"/>
      <c r="N29" s="13"/>
      <c r="O29" s="83"/>
      <c r="P29" s="83"/>
      <c r="Q29" s="83"/>
      <c r="R29" s="83"/>
      <c r="S29" s="83"/>
      <c r="T29" s="83"/>
      <c r="U29" s="83"/>
      <c r="V29" s="13"/>
      <c r="W29" s="83"/>
      <c r="X29" s="83"/>
      <c r="Y29" s="83"/>
      <c r="Z29" s="83"/>
      <c r="AA29" s="83"/>
      <c r="AB29" s="83"/>
      <c r="AC29" s="83"/>
      <c r="AD29" s="13"/>
      <c r="AE29" s="83"/>
      <c r="AF29" s="83"/>
      <c r="AG29" s="83"/>
      <c r="AH29" s="83"/>
      <c r="AI29" s="83"/>
      <c r="AJ29" s="83"/>
      <c r="AK29" s="83"/>
      <c r="AL29" s="13"/>
      <c r="AM29" s="83"/>
      <c r="AN29" s="83"/>
      <c r="AO29" s="83"/>
      <c r="AP29" s="83"/>
      <c r="AQ29" s="83"/>
      <c r="AR29" s="83"/>
      <c r="AS29" s="83"/>
    </row>
    <row r="30" spans="1:45">
      <c r="A30" s="287"/>
      <c r="B30" s="300"/>
      <c r="C30" s="297"/>
      <c r="D30" s="294"/>
      <c r="E30" s="290"/>
      <c r="F30" s="290"/>
      <c r="G30" s="290"/>
      <c r="H30" s="287"/>
      <c r="I30" s="290"/>
      <c r="J30" s="287"/>
      <c r="K30" s="287"/>
      <c r="L30" s="287"/>
      <c r="M30" s="287"/>
      <c r="N30" s="13"/>
      <c r="O30" s="83"/>
      <c r="P30" s="83"/>
      <c r="Q30" s="83"/>
      <c r="R30" s="83"/>
      <c r="S30" s="83"/>
      <c r="T30" s="83"/>
      <c r="U30" s="83"/>
      <c r="V30" s="13"/>
      <c r="W30" s="83"/>
      <c r="X30" s="83"/>
      <c r="Y30" s="83"/>
      <c r="Z30" s="83"/>
      <c r="AA30" s="83"/>
      <c r="AB30" s="83"/>
      <c r="AC30" s="83"/>
      <c r="AD30" s="13"/>
      <c r="AE30" s="83"/>
      <c r="AF30" s="83"/>
      <c r="AG30" s="83"/>
      <c r="AH30" s="83"/>
      <c r="AI30" s="83"/>
      <c r="AJ30" s="83"/>
      <c r="AK30" s="83"/>
      <c r="AL30" s="13"/>
      <c r="AM30" s="83"/>
      <c r="AN30" s="83"/>
      <c r="AO30" s="83"/>
      <c r="AP30" s="83"/>
      <c r="AQ30" s="83"/>
      <c r="AR30" s="83"/>
      <c r="AS30" s="83"/>
    </row>
    <row r="31" spans="1:45" ht="60" customHeight="1">
      <c r="A31" s="285" t="s">
        <v>561</v>
      </c>
      <c r="B31" s="298">
        <f>IFERROR(INDEX(panduan!$C$3:$H$16,
       MATCH(TRIM(A31), panduan!$B$3:$B$16, 0),
       MATCH(TRIM($B$4), panduan!$C$2:$H$2, 0)),"")</f>
        <v>1</v>
      </c>
      <c r="C31" s="295">
        <f>IFERROR(INDEX(panduan!$C$3:$H$16,
       MATCH(TRIM(A31), panduan!$B$3:$B$16, 0),
       MATCH(TRIM($B$5), panduan!$C$2:$H$2, 0)),"")</f>
        <v>2</v>
      </c>
      <c r="D31" s="292">
        <v>1</v>
      </c>
      <c r="E31" s="288">
        <f t="shared" si="0"/>
        <v>-1</v>
      </c>
      <c r="F31" s="288">
        <f t="shared" si="1"/>
        <v>1</v>
      </c>
      <c r="G31" s="288" t="str">
        <f>IFERROR(
    INDEX(panduan!$C$181:$G$185,
          MATCH($F$65,panduan!$B$181:$B$185,0),
          MATCH($F31,panduan!$C$180:$G$180,0)
    ),
"")</f>
        <v>1,2,3,4</v>
      </c>
      <c r="H31" s="285" t="str">
        <f t="shared" si="2"/>
        <v>Personal Development,Education-Based Development,Relation-Based Development,Experience-Based Development</v>
      </c>
      <c r="I31" s="288">
        <f>IF(E31&lt;0,_xlfn.RANK.EQ(E31,$E$13:$E$54,1)+COUNTIF($E$13:E331,E31)-1,"")</f>
        <v>8</v>
      </c>
      <c r="J31" s="285" t="str">
        <f t="shared" si="3"/>
        <v>Managing Change|Analyst|1</v>
      </c>
      <c r="K31" s="285" t="str">
        <f t="shared" si="4"/>
        <v>Managing Change|Analyst|2</v>
      </c>
      <c r="L31" s="285" t="str">
        <f t="shared" si="5"/>
        <v>Managing Change|Analyst|3</v>
      </c>
      <c r="M31" s="285" t="str">
        <f t="shared" si="6"/>
        <v>Managing Change|Analyst|4</v>
      </c>
      <c r="N31" s="13" cm="1">
        <f t="array" ref="N31:U31">_xlfn.LET(
    _xlpm.gap, $F31,
    _xlpm.key, $J31,
    _xlpm.data, _xlfn._xlws.FILTER('sheet template'!$F$2:$M$1009,
                 ('sheet template'!$A$2:$A$1009=_xlpm.key) *
                 ('sheet template'!$F$2:$F$1009&lt;=_xlpm.gap), ""),
    IF(OR(_xlpm.key="", _xlpm.gap&lt;=0, ROWS(_xlpm.data)=0), "", _xlpm.data)
)</f>
        <v>1</v>
      </c>
      <c r="O31" s="83" t="str">
        <v>Log "Perubahan Mendadak"</v>
      </c>
      <c r="P31" s="83" t="str">
        <v>Mengukur berapa lama peserta kembali produktif setelah perubahan datang tanpa persiapan.</v>
      </c>
      <c r="Q31" s="83" t="str">
        <v>Setiap kali arahan, target, prioritas, atau situasi kerja berubah MENDADAK — tanpa pemberitahuan sebelumnya — catat: apa yang berubah, kapan peserta diberi tahu, apa yang peserta lakukan pada jam-jam pertama, dan kapan peserta kembali bekerja dengan produktivitas normal. Perubahan yang sudah diumumkan jauh hari TIDAK dicatat di sini.</v>
      </c>
      <c r="R31" s="83" t="str">
        <v>Log minimal 20 perubahan mendadak; rekap triwulanan rata-rata waktu pemulihan produktivitas. Termasuk review rekap triwulanan.</v>
      </c>
      <c r="S31" s="83" t="str">
        <v>Bulan 1–12</v>
      </c>
      <c r="T31" s="83" t="str">
        <v>Bulanan</v>
      </c>
      <c r="U31" s="83" t="str">
        <v>Minimal 20 kejadian tercatat. Rata-rata waktu pemulihan turun ≥50% dari baseline triwulan 1 pada triwulan 4. Milestone bulan ke-6: 10 kejadian dan baseline terbentuk.</v>
      </c>
      <c r="V31" s="13" cm="1">
        <f t="array" ref="V31:AC31">_xlfn.LET(
    _xlpm.gap, $F31,
    _xlpm.key, $K31,
    _xlpm.data, _xlfn._xlws.FILTER('sheet template'!$F$2:$M$1009,
                 ('sheet template'!$A$2:$A$1009=_xlpm.key) *
                 ('sheet template'!$F$2:$F$1009&lt;=_xlpm.gap), ""),
    IF(OR(_xlpm.key="", _xlpm.gap&lt;=0, ROWS(_xlpm.data)=0), "", _xlpm.data)
)</f>
        <v>1</v>
      </c>
      <c r="W31" s="83" t="str">
        <v>Workshop "Bekerja Saat Prioritas Berubah Mendadak" (1 hari)</v>
      </c>
      <c r="X31" s="83" t="str">
        <v>Menguasai langkah yang mempercepat kembali produktif setelah perubahan mendadak.</v>
      </c>
      <c r="Y31" s="83" t="str">
        <v>Pelatihan 1 hari: menyusun ulang prioritas dengan cepat, memutuskan pekerjaan mana yang dihentikan dan mana yang diteruskan, menegosiasikan ulang komitmen yang terdampak, serta apa yang harus dikerjakan pada jam-jam pertama setelah perubahan datang.</v>
      </c>
      <c r="Z31" s="83" t="str">
        <v>Sertifikat; 1 daftar langkah pribadi untuk jam-jam pertama setelah perubahan mendadak.</v>
      </c>
      <c r="AA31" s="83" t="str">
        <v>Bulan 1–12</v>
      </c>
      <c r="AB31" s="83" t="str">
        <v>Bulanan</v>
      </c>
      <c r="AC31" s="83" t="str">
        <v>Lulus simulasi dengan skor ≥80 (skala 0–100). Daftar langkah dipakai pada minimal 5 kejadian nyata dan tercatat dalam dokumentasi peserta, dengan waktu pemulihan turun ≥20% dibanding kejadian sebelum pelatihan.</v>
      </c>
      <c r="AD31" s="13" cm="1">
        <f t="array" ref="AD31:AK31">_xlfn.LET(
    _xlpm.gap, $F31,
    _xlpm.key, $L31,
    _xlpm.data, _xlfn._xlws.FILTER('sheet template'!$F$2:$M$1009,
                 ('sheet template'!$A$2:$A$1009=_xlpm.key) *
                 ('sheet template'!$F$2:$F$1009&lt;=_xlpm.gap), ""),
    IF(OR(_xlpm.key="", _xlpm.gap&lt;=0, ROWS(_xlpm.data)=0), "", _xlpm.data)
)</f>
        <v>1</v>
      </c>
      <c r="AE31" s="83" t="str">
        <v>Shadowing Atasan saat Menerima Perubahan Mendadak</v>
      </c>
      <c r="AF31" s="83" t="str">
        <v>Mempelajari apa yang dilakukan senior pada 24 jam pertama setelah perubahan datang.</v>
      </c>
      <c r="AG31" s="83" t="str">
        <v>Minta izin mengamati 3 kesempatan di mana atasan menerima perubahan arahan atau prioritas secara mendadak. Catat: apa yang ia lakukan lebih dulu, pekerjaan apa yang ia hentikan, siapa yang ia hubungi dan dalam urutan apa, dan berapa lama sampai unit kembali bekerja normal.</v>
      </c>
      <c r="AH31" s="83" t="str">
        <v>3 laporan observasi; daftar 4 langkah yang akan diadopsi.</v>
      </c>
      <c r="AI31" s="83" t="str">
        <v>Bulan 1–12</v>
      </c>
      <c r="AJ31" s="83" t="str">
        <v>Bulanan</v>
      </c>
      <c r="AK31" s="83" t="str">
        <v>Minimal 3 langkah diterapkan pada kejadian nyata peserta; waktu pemulihan terkait turun ≥20% dari baseline. Divalidasi Atasan ≥4 (skala 1–5).</v>
      </c>
      <c r="AL31" s="13" cm="1">
        <f t="array" ref="AL31:AS31">_xlfn.LET(
    _xlpm.gap, $F31,
    _xlpm.key, $L31,
    _xlpm.data, _xlfn._xlws.FILTER('sheet template'!$F$2:$M$1009,
                 ('sheet template'!$A$2:$A$1009=_xlpm.key) *
                 ('sheet template'!$F$2:$F$1009&lt;=_xlpm.gap), ""),
    IF(OR(_xlpm.key="", _xlpm.gap&lt;=0, ROWS(_xlpm.data)=0), "", _xlpm.data)
)</f>
        <v>1</v>
      </c>
      <c r="AM31" s="83" t="str">
        <v>Shadowing Atasan saat Menerima Perubahan Mendadak</v>
      </c>
      <c r="AN31" s="83" t="str">
        <v>Mempelajari apa yang dilakukan senior pada 24 jam pertama setelah perubahan datang.</v>
      </c>
      <c r="AO31" s="83" t="str">
        <v>Minta izin mengamati 3 kesempatan di mana atasan menerima perubahan arahan atau prioritas secara mendadak. Catat: apa yang ia lakukan lebih dulu, pekerjaan apa yang ia hentikan, siapa yang ia hubungi dan dalam urutan apa, dan berapa lama sampai unit kembali bekerja normal.</v>
      </c>
      <c r="AP31" s="83" t="str">
        <v>3 laporan observasi; daftar 4 langkah yang akan diadopsi.</v>
      </c>
      <c r="AQ31" s="83" t="str">
        <v>Bulan 1–12</v>
      </c>
      <c r="AR31" s="83" t="str">
        <v>Bulanan</v>
      </c>
      <c r="AS31" s="83" t="str">
        <v>Minimal 3 langkah diterapkan pada kejadian nyata peserta; waktu pemulihan terkait turun ≥20% dari baseline. Divalidasi Atasan ≥4 (skala 1–5).</v>
      </c>
    </row>
    <row r="32" spans="1:45">
      <c r="A32" s="286"/>
      <c r="B32" s="299"/>
      <c r="C32" s="296"/>
      <c r="D32" s="293"/>
      <c r="E32" s="289"/>
      <c r="F32" s="289"/>
      <c r="G32" s="289"/>
      <c r="H32" s="286"/>
      <c r="I32" s="289"/>
      <c r="J32" s="286"/>
      <c r="K32" s="286"/>
      <c r="L32" s="286"/>
      <c r="M32" s="286"/>
      <c r="N32" s="13"/>
      <c r="O32" s="83"/>
      <c r="P32" s="83"/>
      <c r="Q32" s="83"/>
      <c r="R32" s="83"/>
      <c r="S32" s="83"/>
      <c r="T32" s="83"/>
      <c r="U32" s="83"/>
      <c r="V32" s="13"/>
      <c r="W32" s="83"/>
      <c r="X32" s="83"/>
      <c r="Y32" s="83"/>
      <c r="Z32" s="83"/>
      <c r="AA32" s="83"/>
      <c r="AB32" s="83"/>
      <c r="AC32" s="83"/>
      <c r="AD32" s="13"/>
      <c r="AE32" s="83"/>
      <c r="AF32" s="83"/>
      <c r="AG32" s="83"/>
      <c r="AH32" s="83"/>
      <c r="AI32" s="83"/>
      <c r="AJ32" s="83"/>
      <c r="AK32" s="83"/>
      <c r="AL32" s="13"/>
      <c r="AM32" s="83"/>
      <c r="AN32" s="83"/>
      <c r="AO32" s="83"/>
      <c r="AP32" s="83"/>
      <c r="AQ32" s="83"/>
      <c r="AR32" s="83"/>
      <c r="AS32" s="83"/>
    </row>
    <row r="33" spans="1:45">
      <c r="A33" s="287"/>
      <c r="B33" s="300"/>
      <c r="C33" s="297"/>
      <c r="D33" s="294"/>
      <c r="E33" s="290"/>
      <c r="F33" s="290"/>
      <c r="G33" s="290"/>
      <c r="H33" s="214"/>
      <c r="I33" s="290"/>
      <c r="J33" s="287"/>
      <c r="K33" s="287"/>
      <c r="L33" s="287"/>
      <c r="M33" s="287"/>
      <c r="N33" s="13"/>
      <c r="O33" s="83"/>
      <c r="P33" s="83"/>
      <c r="Q33" s="83"/>
      <c r="R33" s="83"/>
      <c r="S33" s="83"/>
      <c r="T33" s="83"/>
      <c r="U33" s="83"/>
      <c r="V33" s="13"/>
      <c r="W33" s="83"/>
      <c r="X33" s="83"/>
      <c r="Y33" s="83"/>
      <c r="Z33" s="83"/>
      <c r="AA33" s="83"/>
      <c r="AB33" s="83"/>
      <c r="AC33" s="83"/>
      <c r="AD33" s="13"/>
      <c r="AE33" s="83"/>
      <c r="AF33" s="83"/>
      <c r="AG33" s="83"/>
      <c r="AH33" s="83"/>
      <c r="AI33" s="83"/>
      <c r="AJ33" s="83"/>
      <c r="AK33" s="83"/>
      <c r="AL33" s="13"/>
      <c r="AM33" s="83"/>
      <c r="AN33" s="83"/>
      <c r="AO33" s="83"/>
      <c r="AP33" s="83"/>
      <c r="AQ33" s="83"/>
      <c r="AR33" s="83"/>
      <c r="AS33" s="83"/>
    </row>
    <row r="34" spans="1:45" ht="60" customHeight="1">
      <c r="A34" s="285" t="s">
        <v>562</v>
      </c>
      <c r="B34" s="298">
        <f>IFERROR(INDEX(panduan!$C$3:$H$16,
       MATCH(TRIM(A34), panduan!$B$3:$B$16, 0),
       MATCH(TRIM($B$4), panduan!$C$2:$H$2, 0)),"")</f>
        <v>1</v>
      </c>
      <c r="C34" s="295">
        <f>IFERROR(INDEX(panduan!$C$3:$H$16,
       MATCH(TRIM(A34), panduan!$B$3:$B$16, 0),
       MATCH(TRIM($B$5), panduan!$C$2:$H$2, 0)),"")</f>
        <v>2</v>
      </c>
      <c r="D34" s="292">
        <v>1</v>
      </c>
      <c r="E34" s="288">
        <f t="shared" si="0"/>
        <v>-1</v>
      </c>
      <c r="F34" s="288">
        <f t="shared" si="1"/>
        <v>1</v>
      </c>
      <c r="G34" s="288" t="str">
        <f>IFERROR(
    INDEX(panduan!$C$181:$G$185,
          MATCH($F$65,panduan!$B$181:$B$185,0),
          MATCH($F34,panduan!$C$180:$G$180,0)
    ),
"")</f>
        <v>1,2,3,4</v>
      </c>
      <c r="H34" s="285" t="str">
        <f t="shared" si="2"/>
        <v>Personal Development,Education-Based Development,Relation-Based Development,Experience-Based Development</v>
      </c>
      <c r="I34" s="288">
        <f>IF(E34&lt;0,_xlfn.RANK.EQ(E34,$E$13:$E$54,1)+COUNTIF($E$13:E36,E34)-1,"")</f>
        <v>5</v>
      </c>
      <c r="J34" s="285" t="str">
        <f t="shared" si="3"/>
        <v>Strategic Thinking|Analyst|1</v>
      </c>
      <c r="K34" s="285" t="str">
        <f t="shared" si="4"/>
        <v>Strategic Thinking|Analyst|2</v>
      </c>
      <c r="L34" s="285" t="str">
        <f t="shared" si="5"/>
        <v>Strategic Thinking|Analyst|3</v>
      </c>
      <c r="M34" s="285" t="str">
        <f t="shared" si="6"/>
        <v>Strategic Thinking|Analyst|4</v>
      </c>
      <c r="N34" s="13" cm="1">
        <f t="array" ref="N34:U34">_xlfn.LET(
    _xlpm.gap, $F34,
    _xlpm.key, $J34,
    _xlpm.data, _xlfn._xlws.FILTER('sheet template'!$F$2:$M$1009,
                 ('sheet template'!$A$2:$A$1009=_xlpm.key) *
                 ('sheet template'!$F$2:$F$1009&lt;=_xlpm.gap), ""),
    IF(OR(_xlpm.key="", _xlpm.gap&lt;=0, ROWS(_xlpm.data)=0), "", _xlpm.data)
)</f>
        <v>1</v>
      </c>
      <c r="O34" s="83" t="str">
        <v>Latihan "Satu Analisis, Tiga Audiens"</v>
      </c>
      <c r="P34" s="83" t="str">
        <v>Menyesuaikan bentuk penjelasan analisis tanpa mengubah kesimpulannya.</v>
      </c>
      <c r="Q34" s="83" t="str">
        <v>Setiap 2 minggu, ambil 1 analisis bisnis yang peserta buat — kondisi internal, pembanding pesaing, atau faktor eksternal. Tulis 3 versi: untuk atasan (keputusan apa yang peserta minta), untuk rekan pelaksana (apa yang harus dikerjakan), dan untuk pihak di luar unit yang tidak menguasai istilahnya. Catat apa yang dibuang dan apa yang wajib dipertahankan.</v>
      </c>
      <c r="R34" s="83" t="str">
        <v>24 set latihan (72 versi); daftar istilah bisnis beserta padanan awamnya. Termasuk review bulan ke-6 dan ke-12 oleh Mentor.</v>
      </c>
      <c r="S34" s="83" t="str">
        <v>Bulan 1–12</v>
      </c>
      <c r="T34" s="83" t="str">
        <v>Bulanan</v>
      </c>
      <c r="U34" s="83" t="str">
        <v>Minimal 20 dari 24 set lengkap. Mentor menilai ≥4 (skala 1–5) pada aspek "kesimpulan tetap sama di ketiga versi" — versi yang lebih sederhana tidak boleh mengubah arah kesimpulannya. Milestone bulan ke-6: 10 set.</v>
      </c>
      <c r="V34" s="13" cm="1">
        <f t="array" ref="V34:AC34">_xlfn.LET(
    _xlpm.gap, $F34,
    _xlpm.key, $K34,
    _xlpm.data, _xlfn._xlws.FILTER('sheet template'!$F$2:$M$1009,
                 ('sheet template'!$A$2:$A$1009=_xlpm.key) *
                 ('sheet template'!$F$2:$F$1009&lt;=_xlpm.gap), ""),
    IF(OR(_xlpm.key="", _xlpm.gap&lt;=0, ROWS(_xlpm.data)=0), "", _xlpm.data)
)</f>
        <v>1</v>
      </c>
      <c r="W34" s="83" t="str">
        <v>Workshop "Structured Business Communication: Pyramid Principle &amp; SCQA" (2 hari)</v>
      </c>
      <c r="X34" s="83" t="str">
        <v>Menguasai kerangka menyusun penjelasan analisis yang runtut.</v>
      </c>
      <c r="Y34" s="83" t="str">
        <v>Pelatihan 2 hari: Pyramid Principle (kesimpulan di depan, pengelompokan alasan secara MECE), kerangka SCQA untuk membingkai persoalan bisnis, menurunkan tingkat abstraksi, dan menyesuaikan kedalaman per audiens. Peserta membawa 1 analisis bisnis nyata.</v>
      </c>
      <c r="Z34" s="83" t="str">
        <v>Sertifikat; 1 analisis bisnis nyata yang disusun ulang dengan kerangka piramida — versi sebelum dan sesudah.</v>
      </c>
      <c r="AA34" s="83" t="str">
        <v>Bulan 1–12</v>
      </c>
      <c r="AB34" s="83" t="str">
        <v>Bulanan</v>
      </c>
      <c r="AC34" s="83" t="str">
        <v>Lulus studi kasus dengan skor ≥80 (skala 0–100). Atasan menilai versi sesudah ≥4 (skala 1–5) pada kejelasan struktur dibanding versi sebelum.</v>
      </c>
      <c r="AD34" s="13" cm="1">
        <f t="array" ref="AD34:AK34">_xlfn.LET(
    _xlpm.gap, $F34,
    _xlpm.key, $L34,
    _xlpm.data, _xlfn._xlws.FILTER('sheet template'!$F$2:$M$1009,
                 ('sheet template'!$A$2:$A$1009=_xlpm.key) *
                 ('sheet template'!$F$2:$F$1009&lt;=_xlpm.gap), ""),
    IF(OR(_xlpm.key="", _xlpm.gap&lt;=0, ROWS(_xlpm.data)=0), "", _xlpm.data)
)</f>
        <v>1</v>
      </c>
      <c r="AE34" s="83" t="str">
        <v>"Clarity Circle" — Uji Penjelasan Analisis ke Rekan Lintas Fungsi</v>
      </c>
      <c r="AF34" s="83" t="str">
        <v>Menguji apakah analisis dipahami oleh orang yang tidak menguasai konteksnya.</v>
      </c>
      <c r="AG34" s="83" t="str">
        <v>Bentuk forum 4 orang dari fungsi berbeda. Setiap bulan, satu peserta menjelaskan 1 analisis bisnis selama 5 menit. Pendengar WAJIB menjelaskan ulang isinya dengan bahasa sendiri; pemapar mencatat bagian mana yang maknanya bergeser, lalu memperbaiki penjelasannya.</v>
      </c>
      <c r="AH34" s="83" t="str">
        <v>10 sesi (minimal 3 sebagai pemapar); catatan pergeseran makna dan perbaikannya.</v>
      </c>
      <c r="AI34" s="83" t="str">
        <v>Bulan 1–12</v>
      </c>
      <c r="AJ34" s="83" t="str">
        <v>Bulanan</v>
      </c>
      <c r="AK34" s="83" t="str">
        <v>Minimal 8 dari 10 sesi terlaksana. Pada 3 pemaparan sendiri, ketepatan penjelasan-ulang pendengar naik ≥20% dari pemaparan pertama ke ketiga. Milestone bulan ke-6: 4 sesi, minimal 1 sebagai pemapar.</v>
      </c>
      <c r="AL34" s="13" cm="1">
        <f t="array" ref="AL34:AS34">_xlfn.LET(
    _xlpm.gap, $F34,
    _xlpm.key, $L34,
    _xlpm.data, _xlfn._xlws.FILTER('sheet template'!$F$2:$M$1009,
                 ('sheet template'!$A$2:$A$1009=_xlpm.key) *
                 ('sheet template'!$F$2:$F$1009&lt;=_xlpm.gap), ""),
    IF(OR(_xlpm.key="", _xlpm.gap&lt;=0, ROWS(_xlpm.data)=0), "", _xlpm.data)
)</f>
        <v>1</v>
      </c>
      <c r="AM34" s="83" t="str">
        <v>"Clarity Circle" — Uji Penjelasan Analisis ke Rekan Lintas Fungsi</v>
      </c>
      <c r="AN34" s="83" t="str">
        <v>Menguji apakah analisis dipahami oleh orang yang tidak menguasai konteksnya.</v>
      </c>
      <c r="AO34" s="83" t="str">
        <v>Bentuk forum 4 orang dari fungsi berbeda. Setiap bulan, satu peserta menjelaskan 1 analisis bisnis selama 5 menit. Pendengar WAJIB menjelaskan ulang isinya dengan bahasa sendiri; pemapar mencatat bagian mana yang maknanya bergeser, lalu memperbaiki penjelasannya.</v>
      </c>
      <c r="AP34" s="83" t="str">
        <v>10 sesi (minimal 3 sebagai pemapar); catatan pergeseran makna dan perbaikannya.</v>
      </c>
      <c r="AQ34" s="83" t="str">
        <v>Bulan 1–12</v>
      </c>
      <c r="AR34" s="83" t="str">
        <v>Bulanan</v>
      </c>
      <c r="AS34" s="83" t="str">
        <v>Minimal 8 dari 10 sesi terlaksana. Pada 3 pemaparan sendiri, ketepatan penjelasan-ulang pendengar naik ≥20% dari pemaparan pertama ke ketiga. Milestone bulan ke-6: 4 sesi, minimal 1 sebagai pemapar.</v>
      </c>
    </row>
    <row r="35" spans="1:45">
      <c r="A35" s="286"/>
      <c r="B35" s="299"/>
      <c r="C35" s="296"/>
      <c r="D35" s="293"/>
      <c r="E35" s="289"/>
      <c r="F35" s="289"/>
      <c r="G35" s="289"/>
      <c r="H35" s="286"/>
      <c r="I35" s="289"/>
      <c r="J35" s="286"/>
      <c r="K35" s="286"/>
      <c r="L35" s="286"/>
      <c r="M35" s="286"/>
      <c r="N35" s="13"/>
      <c r="O35" s="83"/>
      <c r="P35" s="83"/>
      <c r="Q35" s="83"/>
      <c r="R35" s="83"/>
      <c r="S35" s="83"/>
      <c r="T35" s="83"/>
      <c r="U35" s="83"/>
      <c r="V35" s="13"/>
      <c r="W35" s="83"/>
      <c r="X35" s="83"/>
      <c r="Y35" s="83"/>
      <c r="Z35" s="83"/>
      <c r="AA35" s="83"/>
      <c r="AB35" s="83"/>
      <c r="AC35" s="83"/>
      <c r="AD35" s="13"/>
      <c r="AE35" s="83"/>
      <c r="AF35" s="83"/>
      <c r="AG35" s="83"/>
      <c r="AH35" s="83"/>
      <c r="AI35" s="83"/>
      <c r="AJ35" s="83"/>
      <c r="AK35" s="83"/>
      <c r="AL35" s="13"/>
      <c r="AM35" s="83"/>
      <c r="AN35" s="83"/>
      <c r="AO35" s="83"/>
      <c r="AP35" s="83"/>
      <c r="AQ35" s="83"/>
      <c r="AR35" s="83"/>
      <c r="AS35" s="83"/>
    </row>
    <row r="36" spans="1:45">
      <c r="A36" s="287"/>
      <c r="B36" s="300"/>
      <c r="C36" s="297"/>
      <c r="D36" s="294"/>
      <c r="E36" s="290"/>
      <c r="F36" s="290"/>
      <c r="G36" s="290"/>
      <c r="H36" s="287"/>
      <c r="I36" s="290"/>
      <c r="J36" s="287"/>
      <c r="K36" s="287"/>
      <c r="L36" s="287"/>
      <c r="M36" s="287"/>
      <c r="N36" s="13"/>
      <c r="O36" s="83"/>
      <c r="P36" s="83"/>
      <c r="Q36" s="83"/>
      <c r="R36" s="83"/>
      <c r="S36" s="83"/>
      <c r="T36" s="83"/>
      <c r="U36" s="83"/>
      <c r="V36" s="13"/>
      <c r="W36" s="83"/>
      <c r="X36" s="83"/>
      <c r="Y36" s="83"/>
      <c r="Z36" s="83"/>
      <c r="AA36" s="83"/>
      <c r="AB36" s="83"/>
      <c r="AC36" s="83"/>
      <c r="AD36" s="13"/>
      <c r="AE36" s="83"/>
      <c r="AF36" s="83"/>
      <c r="AG36" s="83"/>
      <c r="AH36" s="83"/>
      <c r="AI36" s="83"/>
      <c r="AJ36" s="83"/>
      <c r="AK36" s="83"/>
      <c r="AL36" s="13"/>
      <c r="AM36" s="83"/>
      <c r="AN36" s="83"/>
      <c r="AO36" s="83"/>
      <c r="AP36" s="83"/>
      <c r="AQ36" s="83"/>
      <c r="AR36" s="83"/>
      <c r="AS36" s="83"/>
    </row>
    <row r="37" spans="1:45" ht="15" customHeight="1">
      <c r="A37" s="285" t="s">
        <v>563</v>
      </c>
      <c r="B37" s="298">
        <f>IFERROR(INDEX(panduan!$C$3:$H$16,
       MATCH(TRIM(A37), panduan!$B$3:$B$16, 0),
       MATCH(TRIM($B$4), panduan!$C$2:$H$2, 0)),"")</f>
        <v>1</v>
      </c>
      <c r="C37" s="295">
        <f>IFERROR(INDEX(panduan!$C$3:$H$16,
       MATCH(TRIM(A37), panduan!$B$3:$B$16, 0),
       MATCH(TRIM($B$5), panduan!$C$2:$H$2, 0)),"")</f>
        <v>2</v>
      </c>
      <c r="D37" s="292">
        <v>2</v>
      </c>
      <c r="E37" s="288">
        <f t="shared" si="0"/>
        <v>0</v>
      </c>
      <c r="F37" s="288" t="str">
        <f t="shared" si="1"/>
        <v/>
      </c>
      <c r="G37" s="288" t="str">
        <f>IFERROR(
    INDEX(panduan!$C$181:$G$185,
          MATCH($F$65,panduan!$B$181:$B$185,0),
          MATCH($F37,panduan!$C$180:$G$180,0)
    ),
"")</f>
        <v/>
      </c>
      <c r="H37" s="285" t="str">
        <f t="shared" si="2"/>
        <v/>
      </c>
      <c r="I37" s="288" t="str">
        <f>IF(E37&lt;0,_xlfn.RANK.EQ(E37,$E$13:$E$54,1)+COUNTIF($E$13:E39,E37)-1,"")</f>
        <v/>
      </c>
      <c r="J37" s="285" t="str">
        <f t="shared" si="3"/>
        <v/>
      </c>
      <c r="K37" s="285" t="str">
        <f t="shared" si="4"/>
        <v/>
      </c>
      <c r="L37" s="285" t="str">
        <f t="shared" si="5"/>
        <v/>
      </c>
      <c r="M37" s="285" t="str">
        <f t="shared" si="6"/>
        <v/>
      </c>
      <c r="N37" s="13" t="str" cm="1">
        <f t="array" ref="N37">_xlfn.LET(
    _xlpm.gap, $F37,
    _xlpm.key, $J37,
    _xlpm.data, _xlfn._xlws.FILTER('sheet template'!$F$2:$M$1009,
                 ('sheet template'!$A$2:$A$1009=_xlpm.key) *
                 ('sheet template'!$F$2:$F$1009&lt;=_xlpm.gap), ""),
    IF(OR(_xlpm.key="", _xlpm.gap&lt;=0, ROWS(_xlpm.data)=0), "", _xlpm.data)
)</f>
        <v/>
      </c>
      <c r="O37" s="83"/>
      <c r="P37" s="83"/>
      <c r="Q37" s="83"/>
      <c r="R37" s="83"/>
      <c r="S37" s="83"/>
      <c r="T37" s="83"/>
      <c r="U37" s="83"/>
      <c r="V37" s="13" t="str" cm="1">
        <f t="array" ref="V37">_xlfn.LET(
    _xlpm.gap, $F37,
    _xlpm.key, $K37,
    _xlpm.data, _xlfn._xlws.FILTER('sheet template'!$F$2:$M$1009,
                 ('sheet template'!$A$2:$A$1009=_xlpm.key) *
                 ('sheet template'!$F$2:$F$1009&lt;=_xlpm.gap), ""),
    IF(OR(_xlpm.key="", _xlpm.gap&lt;=0, ROWS(_xlpm.data)=0), "", _xlpm.data)
)</f>
        <v/>
      </c>
      <c r="W37" s="83"/>
      <c r="X37" s="83"/>
      <c r="Y37" s="83"/>
      <c r="Z37" s="83"/>
      <c r="AA37" s="83"/>
      <c r="AB37" s="83"/>
      <c r="AC37" s="83"/>
      <c r="AD37" s="13" t="str" cm="1">
        <f t="array" ref="AD37">_xlfn.LET(
    _xlpm.gap, $F37,
    _xlpm.key, $L37,
    _xlpm.data, _xlfn._xlws.FILTER('sheet template'!$F$2:$M$1009,
                 ('sheet template'!$A$2:$A$1009=_xlpm.key) *
                 ('sheet template'!$F$2:$F$1009&lt;=_xlpm.gap), ""),
    IF(OR(_xlpm.key="", _xlpm.gap&lt;=0, ROWS(_xlpm.data)=0), "", _xlpm.data)
)</f>
        <v/>
      </c>
      <c r="AE37" s="83"/>
      <c r="AF37" s="83"/>
      <c r="AG37" s="83"/>
      <c r="AH37" s="83"/>
      <c r="AI37" s="83"/>
      <c r="AJ37" s="83"/>
      <c r="AK37" s="83"/>
      <c r="AL37" s="13" t="str" cm="1">
        <f t="array" ref="AL37">_xlfn.LET(
    _xlpm.gap, $F37,
    _xlpm.key, $L37,
    _xlpm.data, _xlfn._xlws.FILTER('sheet template'!$F$2:$M$1009,
                 ('sheet template'!$A$2:$A$1009=_xlpm.key) *
                 ('sheet template'!$F$2:$F$1009&lt;=_xlpm.gap), ""),
    IF(OR(_xlpm.key="", _xlpm.gap&lt;=0, ROWS(_xlpm.data)=0), "", _xlpm.data)
)</f>
        <v/>
      </c>
      <c r="AM37" s="83"/>
      <c r="AN37" s="83"/>
      <c r="AO37" s="83"/>
      <c r="AP37" s="83"/>
      <c r="AQ37" s="83"/>
      <c r="AR37" s="83"/>
      <c r="AS37" s="83"/>
    </row>
    <row r="38" spans="1:45">
      <c r="A38" s="286"/>
      <c r="B38" s="299"/>
      <c r="C38" s="296"/>
      <c r="D38" s="293"/>
      <c r="E38" s="289"/>
      <c r="F38" s="289"/>
      <c r="G38" s="289"/>
      <c r="H38" s="286"/>
      <c r="I38" s="289"/>
      <c r="J38" s="286"/>
      <c r="K38" s="286"/>
      <c r="L38" s="286"/>
      <c r="M38" s="286"/>
      <c r="N38" s="13"/>
      <c r="O38" s="83"/>
      <c r="P38" s="83"/>
      <c r="Q38" s="83"/>
      <c r="R38" s="83"/>
      <c r="S38" s="83"/>
      <c r="T38" s="83"/>
      <c r="U38" s="83"/>
      <c r="V38" s="13"/>
      <c r="W38" s="83"/>
      <c r="X38" s="83"/>
      <c r="Y38" s="83"/>
      <c r="Z38" s="83"/>
      <c r="AA38" s="83"/>
      <c r="AB38" s="83"/>
      <c r="AC38" s="83"/>
      <c r="AD38" s="13"/>
      <c r="AE38" s="83"/>
      <c r="AF38" s="83"/>
      <c r="AG38" s="83"/>
      <c r="AH38" s="83"/>
      <c r="AI38" s="83"/>
      <c r="AJ38" s="83"/>
      <c r="AK38" s="83"/>
      <c r="AL38" s="13"/>
      <c r="AM38" s="83"/>
      <c r="AN38" s="83"/>
      <c r="AO38" s="83"/>
      <c r="AP38" s="83"/>
      <c r="AQ38" s="83"/>
      <c r="AR38" s="83"/>
      <c r="AS38" s="83"/>
    </row>
    <row r="39" spans="1:45">
      <c r="A39" s="287"/>
      <c r="B39" s="300"/>
      <c r="C39" s="297"/>
      <c r="D39" s="294"/>
      <c r="E39" s="290"/>
      <c r="F39" s="290"/>
      <c r="G39" s="290"/>
      <c r="H39" s="287"/>
      <c r="I39" s="290"/>
      <c r="J39" s="287"/>
      <c r="K39" s="287"/>
      <c r="L39" s="287"/>
      <c r="M39" s="287"/>
      <c r="N39" s="13"/>
      <c r="O39" s="83"/>
      <c r="P39" s="83"/>
      <c r="Q39" s="83"/>
      <c r="R39" s="83"/>
      <c r="S39" s="83"/>
      <c r="T39" s="83"/>
      <c r="U39" s="83"/>
      <c r="V39" s="13"/>
      <c r="W39" s="83"/>
      <c r="X39" s="83"/>
      <c r="Y39" s="83"/>
      <c r="Z39" s="83"/>
      <c r="AA39" s="83"/>
      <c r="AB39" s="83"/>
      <c r="AC39" s="83"/>
      <c r="AD39" s="13"/>
      <c r="AE39" s="83"/>
      <c r="AF39" s="83"/>
      <c r="AG39" s="83"/>
      <c r="AH39" s="83"/>
      <c r="AI39" s="83"/>
      <c r="AJ39" s="83"/>
      <c r="AK39" s="83"/>
      <c r="AL39" s="13"/>
      <c r="AM39" s="83"/>
      <c r="AN39" s="83"/>
      <c r="AO39" s="83"/>
      <c r="AP39" s="83"/>
      <c r="AQ39" s="83"/>
      <c r="AR39" s="83"/>
      <c r="AS39" s="83"/>
    </row>
    <row r="40" spans="1:45">
      <c r="A40" s="285" t="s">
        <v>564</v>
      </c>
      <c r="B40" s="298">
        <f>IFERROR(INDEX(panduan!$C$3:$H$16,
       MATCH(TRIM(A40), panduan!$B$3:$B$16, 0),
       MATCH(TRIM($B$4), panduan!$C$2:$H$2, 0)),"")</f>
        <v>2</v>
      </c>
      <c r="C40" s="295">
        <f>IFERROR(INDEX(panduan!$C$3:$H$16,
       MATCH(TRIM(A40), panduan!$B$3:$B$16, 0),
       MATCH(TRIM($B$5), panduan!$C$2:$H$2, 0)),"")</f>
        <v>3</v>
      </c>
      <c r="D40" s="292">
        <v>1</v>
      </c>
      <c r="E40" s="288">
        <f t="shared" si="0"/>
        <v>-2</v>
      </c>
      <c r="F40" s="288">
        <f t="shared" si="1"/>
        <v>2</v>
      </c>
      <c r="G40" s="288" t="str">
        <f>IFERROR(
    INDEX(panduan!$C$181:$G$185,
          MATCH($F$65,panduan!$B$181:$B$185,0),
          MATCH($F40,panduan!$C$180:$G$180,0)
    ),
"")</f>
        <v>1,2,3,4</v>
      </c>
      <c r="H40" s="285" t="str">
        <f t="shared" si="2"/>
        <v>Personal Development,Education-Based Development,Relation-Based Development,Experience-Based Development</v>
      </c>
      <c r="I40" s="288">
        <f>IF(E40&lt;0,_xlfn.RANK.EQ(E40,$E$13:$E$54,1)+COUNTIF($E$13:E42,E40)-1,"")</f>
        <v>2</v>
      </c>
      <c r="J40" s="285" t="str">
        <f t="shared" si="3"/>
        <v>Leadership|Analyst|1</v>
      </c>
      <c r="K40" s="285" t="str">
        <f t="shared" si="4"/>
        <v>Leadership|Analyst|2</v>
      </c>
      <c r="L40" s="285" t="str">
        <f t="shared" si="5"/>
        <v>Leadership|Analyst|3</v>
      </c>
      <c r="M40" s="285" t="str">
        <f t="shared" si="6"/>
        <v>Leadership|Analyst|4</v>
      </c>
      <c r="N40" s="13" cm="1">
        <f t="array" ref="N40:U41">_xlfn.LET(
    _xlpm.gap, $F40,
    _xlpm.key, $J40,
    _xlpm.data, _xlfn._xlws.FILTER('sheet template'!$F$2:$M$1009,
                 ('sheet template'!$A$2:$A$1009=_xlpm.key) *
                 ('sheet template'!$F$2:$F$1009&lt;=_xlpm.gap), ""),
    IF(OR(_xlpm.key="", _xlpm.gap&lt;=0, ROWS(_xlpm.data)=0), "", _xlpm.data)
)</f>
        <v>1</v>
      </c>
      <c r="O40" s="83" t="str">
        <v>Log "Dasar Saya Mengurutkan Pekerjaan Tim"</v>
      </c>
      <c r="P40" s="83" t="str">
        <v>Mengukur dasar yang dipakai untuk mengurutkan pekerjaan tim yang bersaing.</v>
      </c>
      <c r="Q40" s="83" t="str">
        <v>Setiap kali menghadapi lebih dari 2 tugas tim yang bersaing memperebutkan waktu, catat: tugas apa saja, urutan yang peserta tetapkan, dan dasar sebenarnya.</v>
      </c>
      <c r="R40" s="83" t="str">
        <v>Log minimal 24 situasi. Termasuk rekap triwulanan.</v>
      </c>
      <c r="S40" s="83" t="str">
        <v>Bulan 1–12</v>
      </c>
      <c r="T40" s="83" t="str">
        <v>Bulanan</v>
      </c>
      <c r="U40" s="83" t="str">
        <v>Minimal 24 situasi tercatat. Proporsi berdasar dampak naik menjadi ≥50% pada triwulan 4. Milestone bulan ke-6: 12 situasi.</v>
      </c>
      <c r="V40" s="13" cm="1">
        <f t="array" ref="V40:AC41">_xlfn.LET(
    _xlpm.gap, $F40,
    _xlpm.key, $K40,
    _xlpm.data, _xlfn._xlws.FILTER('sheet template'!$F$2:$M$1009,
                 ('sheet template'!$A$2:$A$1009=_xlpm.key) *
                 ('sheet template'!$F$2:$F$1009&lt;=_xlpm.gap), ""),
    IF(OR(_xlpm.key="", _xlpm.gap&lt;=0, ROWS(_xlpm.data)=0), "", _xlpm.data)
)</f>
        <v>1</v>
      </c>
      <c r="W40" s="83" t="str">
        <v>Workshop "Mengurutkan dan Mengomunikasikan Prioritas Tim Berdasarkan Dampak"</v>
      </c>
      <c r="X40" s="83" t="str">
        <v>Menguasai kerangka mengurutkan berdasarkan dampak dan mengomunikasikannya kepada tim.</v>
      </c>
      <c r="Y40" s="83" t="str">
        <v>Ikuti workshop tentang urgent-important matrix, keterkaitan antar tugas, dan cara mengomunikasikan prioritas agar tim memahami tanpa perlu terus bertanya.</v>
      </c>
      <c r="Z40" s="83" t="str">
        <v>1 kerangka pengurutan yang dipakai peserta dalam aktivitas ini. Termasuk persetujuan Atasan.</v>
      </c>
      <c r="AA40" s="83" t="str">
        <v>Bulan 1–12</v>
      </c>
      <c r="AB40" s="83" t="str">
        <v>Bulanan</v>
      </c>
      <c r="AC40" s="83" t="str">
        <v>Kerangka disetujui Atasan dan dipakai pada minimal 10 situasi.</v>
      </c>
      <c r="AD40" s="13" cm="1">
        <f t="array" ref="AD40:AK41">_xlfn.LET(
    _xlpm.gap, $F40,
    _xlpm.key, $L40,
    _xlpm.data, _xlfn._xlws.FILTER('sheet template'!$F$2:$M$1009,
                 ('sheet template'!$A$2:$A$1009=_xlpm.key) *
                 ('sheet template'!$F$2:$F$1009&lt;=_xlpm.gap), ""),
    IF(OR(_xlpm.key="", _xlpm.gap&lt;=0, ROWS(_xlpm.data)=0), "", _xlpm.data)
)</f>
        <v>1</v>
      </c>
      <c r="AE40" s="83" t="str">
        <v>Diskusi dengan Rekan Senior tentang Mengurutkan Pekerjaan Tim</v>
      </c>
      <c r="AF40" s="83" t="str">
        <v>Mempelajari dasar pengurutan yang dipakai senior untuk tim mereka.</v>
      </c>
      <c r="AG40" s="83" t="str">
        <v>Diskusi dengan rekan senior tentang bagaimana mereka mengurutkan pekerjaan tim yang bersaing dan mengomunikasikannya.</v>
      </c>
      <c r="AH40" s="83" t="str">
        <v>Catatan diskusi; dasar yang diadopsi.</v>
      </c>
      <c r="AI40" s="83" t="str">
        <v>Bulan 1–12</v>
      </c>
      <c r="AJ40" s="83" t="str">
        <v>Bulanan</v>
      </c>
      <c r="AK40" s="83" t="str">
        <v>Minimal 3 dasar pengurutan diadopsi dan diterapkan pada log peserta dalam aktivitas ini.</v>
      </c>
      <c r="AL40" s="13" cm="1">
        <f t="array" ref="AL40:AS41">_xlfn.LET(
    _xlpm.gap, $F40,
    _xlpm.key, $L40,
    _xlpm.data, _xlfn._xlws.FILTER('sheet template'!$F$2:$M$1009,
                 ('sheet template'!$A$2:$A$1009=_xlpm.key) *
                 ('sheet template'!$F$2:$F$1009&lt;=_xlpm.gap), ""),
    IF(OR(_xlpm.key="", _xlpm.gap&lt;=0, ROWS(_xlpm.data)=0), "", _xlpm.data)
)</f>
        <v>1</v>
      </c>
      <c r="AM40" s="83" t="str">
        <v>Diskusi dengan Rekan Senior tentang Mengurutkan Pekerjaan Tim</v>
      </c>
      <c r="AN40" s="83" t="str">
        <v>Mempelajari dasar pengurutan yang dipakai senior untuk tim mereka.</v>
      </c>
      <c r="AO40" s="83" t="str">
        <v>Diskusi dengan rekan senior tentang bagaimana mereka mengurutkan pekerjaan tim yang bersaing dan mengomunikasikannya.</v>
      </c>
      <c r="AP40" s="83" t="str">
        <v>Catatan diskusi; dasar yang diadopsi.</v>
      </c>
      <c r="AQ40" s="83" t="str">
        <v>Bulan 1–12</v>
      </c>
      <c r="AR40" s="83" t="str">
        <v>Bulanan</v>
      </c>
      <c r="AS40" s="83" t="str">
        <v>Minimal 3 dasar pengurutan diadopsi dan diterapkan pada log peserta dalam aktivitas ini.</v>
      </c>
    </row>
    <row r="41" spans="1:45" ht="15" customHeight="1">
      <c r="A41" s="286"/>
      <c r="B41" s="299"/>
      <c r="C41" s="296"/>
      <c r="D41" s="293"/>
      <c r="E41" s="289"/>
      <c r="F41" s="289"/>
      <c r="G41" s="289"/>
      <c r="H41" s="286"/>
      <c r="I41" s="289"/>
      <c r="J41" s="286"/>
      <c r="K41" s="286"/>
      <c r="L41" s="286"/>
      <c r="M41" s="286"/>
      <c r="N41" s="13">
        <v>2</v>
      </c>
      <c r="O41" s="83" t="str">
        <v>Latihan "Mengomunikasikan Prioritas kepada Tim"</v>
      </c>
      <c r="P41" s="83" t="str">
        <v>Melatih menjelaskan dasar urutan prioritas kepada tim, bukan hanya menetapkannya sendiri.</v>
      </c>
      <c r="Q41" s="83" t="str">
        <v>Setiap kali menetapkan urutan prioritas untuk tugas tim, jelaskan kepada anggota tim dasarnya — mengapa tugas ini lebih dulu daripada yang lain.</v>
      </c>
      <c r="R41" s="83" t="str">
        <v>Log 20 komunikasi prioritas. Termasuk konfirmasi anggota tim.</v>
      </c>
      <c r="S41" s="83" t="str">
        <v>Bulan 1–12</v>
      </c>
      <c r="T41" s="83" t="str">
        <v>Bulanan</v>
      </c>
      <c r="U41" s="83" t="str">
        <v>Minimal 20 komunikasi tercatat. Minimal 15 dikonfirmasi anggota tim sebagai jelas dan masuk akal.</v>
      </c>
      <c r="V41" s="13">
        <v>2</v>
      </c>
      <c r="W41" s="83" t="str">
        <v>Kursus Online "Leading Teams Through Competing Priorities"</v>
      </c>
      <c r="X41" s="83" t="str">
        <v>Mempelajari cara memimpin tim yang menghadapi banyak tugas bersaing.</v>
      </c>
      <c r="Y41" s="83" t="str">
        <v>Selesaikan kursus tentang mengelola beban kerja tim yang majemuk dan mengomunikasikan perubahan prioritas.</v>
      </c>
      <c r="Z41" s="83" t="str">
        <v>1 rencana penerapan pada tim sendiri. Termasuk konfirmasi Atasan.</v>
      </c>
      <c r="AA41" s="83" t="str">
        <v>Bulan 1–12</v>
      </c>
      <c r="AB41" s="83" t="str">
        <v>Bulanan</v>
      </c>
      <c r="AC41" s="83" t="str">
        <v>Rencana diterapkan dan dikonfirmasi Atasan sebagai efektif mengurangi kebingungan prioritas tim.</v>
      </c>
      <c r="AD41" s="13">
        <v>2</v>
      </c>
      <c r="AE41" s="83" t="str">
        <v>Meminta Anggota Tim Menantang Urutan Prioritas yang Ditetapkan</v>
      </c>
      <c r="AF41" s="83" t="str">
        <v>Menguji apakah urutan yang ditetapkan benar-benar berdasar dampak.</v>
      </c>
      <c r="AG41" s="83" t="str">
        <v>Setiap bulan, tunjukkan urutan prioritas tim kepada 1 anggota. Minta mereka menantang apakah urutan itu berdasar dampak atau kemudahan.</v>
      </c>
      <c r="AH41" s="83" t="str">
        <v>Catatan tantangan; revisi urutan.</v>
      </c>
      <c r="AI41" s="83" t="str">
        <v>Bulan 1–12</v>
      </c>
      <c r="AJ41" s="83" t="str">
        <v>Bulanan</v>
      </c>
      <c r="AK41" s="83" t="str">
        <v>Minimal 6 sesi terlaksana. Minimal 3 urutan direvisi setelah ditantang.</v>
      </c>
      <c r="AL41" s="13">
        <v>2</v>
      </c>
      <c r="AM41" s="83" t="str">
        <v>Meminta Anggota Tim Menantang Urutan Prioritas yang Ditetapkan</v>
      </c>
      <c r="AN41" s="83" t="str">
        <v>Menguji apakah urutan yang ditetapkan benar-benar berdasar dampak.</v>
      </c>
      <c r="AO41" s="83" t="str">
        <v>Setiap bulan, tunjukkan urutan prioritas tim kepada 1 anggota. Minta mereka menantang apakah urutan itu berdasar dampak atau kemudahan.</v>
      </c>
      <c r="AP41" s="83" t="str">
        <v>Catatan tantangan; revisi urutan.</v>
      </c>
      <c r="AQ41" s="83" t="str">
        <v>Bulan 1–12</v>
      </c>
      <c r="AR41" s="83" t="str">
        <v>Bulanan</v>
      </c>
      <c r="AS41" s="83" t="str">
        <v>Minimal 6 sesi terlaksana. Minimal 3 urutan direvisi setelah ditantang.</v>
      </c>
    </row>
    <row r="42" spans="1:45" ht="15" customHeight="1">
      <c r="A42" s="287"/>
      <c r="B42" s="300"/>
      <c r="C42" s="297"/>
      <c r="D42" s="294"/>
      <c r="E42" s="290"/>
      <c r="F42" s="290"/>
      <c r="G42" s="290"/>
      <c r="H42" s="287"/>
      <c r="I42" s="290"/>
      <c r="J42" s="287"/>
      <c r="K42" s="287"/>
      <c r="L42" s="287"/>
      <c r="M42" s="287"/>
      <c r="N42" s="13"/>
      <c r="O42" s="83"/>
      <c r="P42" s="83"/>
      <c r="Q42" s="83"/>
      <c r="R42" s="83"/>
      <c r="S42" s="83"/>
      <c r="T42" s="83"/>
      <c r="U42" s="83"/>
      <c r="V42" s="13"/>
      <c r="W42" s="83"/>
      <c r="X42" s="83"/>
      <c r="Y42" s="83"/>
      <c r="Z42" s="83"/>
      <c r="AA42" s="83"/>
      <c r="AB42" s="83"/>
      <c r="AC42" s="83"/>
      <c r="AD42" s="13"/>
      <c r="AE42" s="83"/>
      <c r="AF42" s="83"/>
      <c r="AG42" s="83"/>
      <c r="AH42" s="83"/>
      <c r="AI42" s="83"/>
      <c r="AJ42" s="83"/>
      <c r="AK42" s="83"/>
      <c r="AL42" s="13"/>
      <c r="AM42" s="83"/>
      <c r="AN42" s="83"/>
      <c r="AO42" s="83"/>
      <c r="AP42" s="83"/>
      <c r="AQ42" s="83"/>
      <c r="AR42" s="83"/>
      <c r="AS42" s="83"/>
    </row>
    <row r="43" spans="1:45">
      <c r="A43" s="285" t="s">
        <v>565</v>
      </c>
      <c r="B43" s="298">
        <f>IFERROR(INDEX(panduan!$C$3:$H$16,
       MATCH(TRIM(A43), panduan!$B$3:$B$16, 0),
       MATCH(TRIM($B$4), panduan!$C$2:$H$2, 0)),"")</f>
        <v>1</v>
      </c>
      <c r="C43" s="295">
        <f>IFERROR(INDEX(panduan!$C$3:$H$16,
       MATCH(TRIM(A43), panduan!$B$3:$B$16, 0),
       MATCH(TRIM($B$5), panduan!$C$2:$H$2, 0)),"")</f>
        <v>2</v>
      </c>
      <c r="D43" s="292">
        <v>3</v>
      </c>
      <c r="E43" s="288">
        <f t="shared" si="0"/>
        <v>1</v>
      </c>
      <c r="F43" s="288" t="str">
        <f t="shared" si="1"/>
        <v/>
      </c>
      <c r="G43" s="288" t="str">
        <f>IFERROR(
    INDEX(panduan!$C$181:$G$185,
          MATCH($F$65,panduan!$B$181:$B$185,0),
          MATCH($F43,panduan!$C$180:$G$180,0)
    ),
"")</f>
        <v/>
      </c>
      <c r="H43" s="285" t="str">
        <f t="shared" si="2"/>
        <v/>
      </c>
      <c r="I43" s="288" t="str">
        <f>IF(E43&lt;0,_xlfn.RANK.EQ(E43,$E$13:$E$54,1)+COUNTIF($E$13:E45,E43)-1,"")</f>
        <v/>
      </c>
      <c r="J43" s="285" t="str">
        <f t="shared" si="3"/>
        <v/>
      </c>
      <c r="K43" s="285" t="str">
        <f t="shared" si="4"/>
        <v/>
      </c>
      <c r="L43" s="285" t="str">
        <f t="shared" si="5"/>
        <v/>
      </c>
      <c r="M43" s="285" t="str">
        <f t="shared" si="6"/>
        <v/>
      </c>
      <c r="N43" s="13" t="str" cm="1">
        <f t="array" ref="N43">_xlfn.LET(
    _xlpm.gap, $F43,
    _xlpm.key, $J43,
    _xlpm.data, _xlfn._xlws.FILTER('sheet template'!$F$2:$M$1009,
                 ('sheet template'!$A$2:$A$1009=_xlpm.key) *
                 ('sheet template'!$F$2:$F$1009&lt;=_xlpm.gap), ""),
    IF(OR(_xlpm.key="", _xlpm.gap&lt;=0, ROWS(_xlpm.data)=0), "", _xlpm.data)
)</f>
        <v/>
      </c>
      <c r="O43" s="83"/>
      <c r="P43" s="83"/>
      <c r="Q43" s="83"/>
      <c r="R43" s="83"/>
      <c r="S43" s="83"/>
      <c r="T43" s="83"/>
      <c r="U43" s="83"/>
      <c r="V43" s="13" t="str" cm="1">
        <f t="array" ref="V43">_xlfn.LET(
    _xlpm.gap, $F43,
    _xlpm.key, $K43,
    _xlpm.data, _xlfn._xlws.FILTER('sheet template'!$F$2:$M$1009,
                 ('sheet template'!$A$2:$A$1009=_xlpm.key) *
                 ('sheet template'!$F$2:$F$1009&lt;=_xlpm.gap), ""),
    IF(OR(_xlpm.key="", _xlpm.gap&lt;=0, ROWS(_xlpm.data)=0), "", _xlpm.data)
)</f>
        <v/>
      </c>
      <c r="W43" s="83"/>
      <c r="X43" s="83"/>
      <c r="Y43" s="83"/>
      <c r="Z43" s="83"/>
      <c r="AA43" s="83"/>
      <c r="AB43" s="83"/>
      <c r="AC43" s="83"/>
      <c r="AD43" s="13" t="str" cm="1">
        <f t="array" ref="AD43">_xlfn.LET(
    _xlpm.gap, $F43,
    _xlpm.key, $L43,
    _xlpm.data, _xlfn._xlws.FILTER('sheet template'!$F$2:$M$1009,
                 ('sheet template'!$A$2:$A$1009=_xlpm.key) *
                 ('sheet template'!$F$2:$F$1009&lt;=_xlpm.gap), ""),
    IF(OR(_xlpm.key="", _xlpm.gap&lt;=0, ROWS(_xlpm.data)=0), "", _xlpm.data)
)</f>
        <v/>
      </c>
      <c r="AE43" s="83"/>
      <c r="AF43" s="83"/>
      <c r="AG43" s="83"/>
      <c r="AH43" s="83"/>
      <c r="AI43" s="83"/>
      <c r="AJ43" s="83"/>
      <c r="AK43" s="83"/>
      <c r="AL43" s="13" t="str" cm="1">
        <f t="array" ref="AL43">_xlfn.LET(
    _xlpm.gap, $F43,
    _xlpm.key, $L43,
    _xlpm.data, _xlfn._xlws.FILTER('sheet template'!$F$2:$M$1009,
                 ('sheet template'!$A$2:$A$1009=_xlpm.key) *
                 ('sheet template'!$F$2:$F$1009&lt;=_xlpm.gap), ""),
    IF(OR(_xlpm.key="", _xlpm.gap&lt;=0, ROWS(_xlpm.data)=0), "", _xlpm.data)
)</f>
        <v/>
      </c>
      <c r="AM43" s="83"/>
      <c r="AN43" s="83"/>
      <c r="AO43" s="83"/>
      <c r="AP43" s="83"/>
      <c r="AQ43" s="83"/>
      <c r="AR43" s="83"/>
      <c r="AS43" s="83"/>
    </row>
    <row r="44" spans="1:45">
      <c r="A44" s="286"/>
      <c r="B44" s="299"/>
      <c r="C44" s="296"/>
      <c r="D44" s="293"/>
      <c r="E44" s="289"/>
      <c r="F44" s="289"/>
      <c r="G44" s="289"/>
      <c r="H44" s="286"/>
      <c r="I44" s="289"/>
      <c r="J44" s="286"/>
      <c r="K44" s="286"/>
      <c r="L44" s="286"/>
      <c r="M44" s="286"/>
      <c r="N44" s="13"/>
      <c r="O44" s="83"/>
      <c r="P44" s="83"/>
      <c r="Q44" s="83"/>
      <c r="R44" s="83"/>
      <c r="S44" s="83"/>
      <c r="T44" s="83"/>
      <c r="U44" s="83"/>
      <c r="V44" s="13"/>
      <c r="W44" s="83"/>
      <c r="X44" s="83"/>
      <c r="Y44" s="83"/>
      <c r="Z44" s="83"/>
      <c r="AA44" s="83"/>
      <c r="AB44" s="83"/>
      <c r="AC44" s="83"/>
      <c r="AD44" s="13"/>
      <c r="AE44" s="83"/>
      <c r="AF44" s="83"/>
      <c r="AG44" s="83"/>
      <c r="AH44" s="83"/>
      <c r="AI44" s="83"/>
      <c r="AJ44" s="83"/>
      <c r="AK44" s="83"/>
      <c r="AL44" s="13"/>
      <c r="AM44" s="83"/>
      <c r="AN44" s="83"/>
      <c r="AO44" s="83"/>
      <c r="AP44" s="83"/>
      <c r="AQ44" s="83"/>
      <c r="AR44" s="83"/>
      <c r="AS44" s="83"/>
    </row>
    <row r="45" spans="1:45">
      <c r="A45" s="287"/>
      <c r="B45" s="300"/>
      <c r="C45" s="297"/>
      <c r="D45" s="294"/>
      <c r="E45" s="290"/>
      <c r="F45" s="290"/>
      <c r="G45" s="290"/>
      <c r="H45" s="287"/>
      <c r="I45" s="290"/>
      <c r="J45" s="287"/>
      <c r="K45" s="287"/>
      <c r="L45" s="287"/>
      <c r="M45" s="287"/>
      <c r="N45" s="13"/>
      <c r="O45" s="83"/>
      <c r="P45" s="83"/>
      <c r="Q45" s="83"/>
      <c r="R45" s="83"/>
      <c r="S45" s="83"/>
      <c r="T45" s="83"/>
      <c r="U45" s="83"/>
      <c r="V45" s="13"/>
      <c r="W45" s="83"/>
      <c r="X45" s="83"/>
      <c r="Y45" s="83"/>
      <c r="Z45" s="83"/>
      <c r="AA45" s="83"/>
      <c r="AB45" s="83"/>
      <c r="AC45" s="83"/>
      <c r="AD45" s="13"/>
      <c r="AE45" s="83"/>
      <c r="AF45" s="83"/>
      <c r="AG45" s="83"/>
      <c r="AH45" s="83"/>
      <c r="AI45" s="83"/>
      <c r="AJ45" s="83"/>
      <c r="AK45" s="83"/>
      <c r="AL45" s="13"/>
      <c r="AM45" s="83"/>
      <c r="AN45" s="83"/>
      <c r="AO45" s="83"/>
      <c r="AP45" s="83"/>
      <c r="AQ45" s="83"/>
      <c r="AR45" s="83"/>
      <c r="AS45" s="83"/>
    </row>
    <row r="46" spans="1:45">
      <c r="A46" s="285" t="s">
        <v>566</v>
      </c>
      <c r="B46" s="298">
        <f>IFERROR(INDEX(panduan!$C$3:$H$16,
       MATCH(TRIM(A46), panduan!$B$3:$B$16, 0),
       MATCH(TRIM($B$4), panduan!$C$2:$H$2, 0)),"")</f>
        <v>2</v>
      </c>
      <c r="C46" s="295">
        <f>IFERROR(INDEX(panduan!$C$3:$H$16,
       MATCH(TRIM(A46), panduan!$B$3:$B$16, 0),
       MATCH(TRIM($B$5), panduan!$C$2:$H$2, 0)),"")</f>
        <v>3</v>
      </c>
      <c r="D46" s="292">
        <v>4</v>
      </c>
      <c r="E46" s="288">
        <f t="shared" si="0"/>
        <v>1</v>
      </c>
      <c r="F46" s="288" t="str">
        <f t="shared" si="1"/>
        <v/>
      </c>
      <c r="G46" s="288" t="str">
        <f>IFERROR(
    INDEX(panduan!$C$181:$G$185,
          MATCH($F$65,panduan!$B$181:$B$185,0),
          MATCH($F46,panduan!$C$180:$G$180,0)
    ),
"")</f>
        <v/>
      </c>
      <c r="H46" s="285" t="str">
        <f t="shared" si="2"/>
        <v/>
      </c>
      <c r="I46" s="288" t="str">
        <f>IF(E46&lt;0,_xlfn.RANK.EQ(E46,$E$13:$E$54,1)+COUNTIF($E$13:E48,E46)-1,"")</f>
        <v/>
      </c>
      <c r="J46" s="285" t="str">
        <f t="shared" si="3"/>
        <v/>
      </c>
      <c r="K46" s="285" t="str">
        <f t="shared" si="4"/>
        <v/>
      </c>
      <c r="L46" s="285" t="str">
        <f t="shared" si="5"/>
        <v/>
      </c>
      <c r="M46" s="285" t="str">
        <f t="shared" si="6"/>
        <v/>
      </c>
      <c r="N46" s="13" t="str" cm="1">
        <f t="array" ref="N46">_xlfn.LET(
    _xlpm.gap, $F46,
    _xlpm.key, $J46,
    _xlpm.data, _xlfn._xlws.FILTER('sheet template'!$F$2:$M$1009,
                 ('sheet template'!$A$2:$A$1009=_xlpm.key) *
                 ('sheet template'!$F$2:$F$1009&lt;=_xlpm.gap), ""),
    IF(OR(_xlpm.key="", _xlpm.gap&lt;=0, ROWS(_xlpm.data)=0), "", _xlpm.data)
)</f>
        <v/>
      </c>
      <c r="O46" s="83"/>
      <c r="P46" s="83"/>
      <c r="Q46" s="83"/>
      <c r="R46" s="83"/>
      <c r="S46" s="83"/>
      <c r="T46" s="83"/>
      <c r="U46" s="83"/>
      <c r="V46" s="13" t="str" cm="1">
        <f t="array" ref="V46">_xlfn.LET(
    _xlpm.gap, $F46,
    _xlpm.key, $K46,
    _xlpm.data, _xlfn._xlws.FILTER('sheet template'!$F$2:$M$1009,
                 ('sheet template'!$A$2:$A$1009=_xlpm.key) *
                 ('sheet template'!$F$2:$F$1009&lt;=_xlpm.gap), ""),
    IF(OR(_xlpm.key="", _xlpm.gap&lt;=0, ROWS(_xlpm.data)=0), "", _xlpm.data)
)</f>
        <v/>
      </c>
      <c r="W46" s="83"/>
      <c r="X46" s="83"/>
      <c r="Y46" s="83"/>
      <c r="Z46" s="83"/>
      <c r="AA46" s="83"/>
      <c r="AB46" s="83"/>
      <c r="AC46" s="83"/>
      <c r="AD46" s="13" t="str" cm="1">
        <f t="array" ref="AD46">_xlfn.LET(
    _xlpm.gap, $F46,
    _xlpm.key, $L46,
    _xlpm.data, _xlfn._xlws.FILTER('sheet template'!$F$2:$M$1009,
                 ('sheet template'!$A$2:$A$1009=_xlpm.key) *
                 ('sheet template'!$F$2:$F$1009&lt;=_xlpm.gap), ""),
    IF(OR(_xlpm.key="", _xlpm.gap&lt;=0, ROWS(_xlpm.data)=0), "", _xlpm.data)
)</f>
        <v/>
      </c>
      <c r="AE46" s="83"/>
      <c r="AF46" s="83"/>
      <c r="AG46" s="83"/>
      <c r="AH46" s="83"/>
      <c r="AI46" s="83"/>
      <c r="AJ46" s="83"/>
      <c r="AK46" s="83"/>
      <c r="AL46" s="13" t="str" cm="1">
        <f t="array" ref="AL46">_xlfn.LET(
    _xlpm.gap, $F46,
    _xlpm.key, $L46,
    _xlpm.data, _xlfn._xlws.FILTER('sheet template'!$F$2:$M$1009,
                 ('sheet template'!$A$2:$A$1009=_xlpm.key) *
                 ('sheet template'!$F$2:$F$1009&lt;=_xlpm.gap), ""),
    IF(OR(_xlpm.key="", _xlpm.gap&lt;=0, ROWS(_xlpm.data)=0), "", _xlpm.data)
)</f>
        <v/>
      </c>
      <c r="AM46" s="83"/>
      <c r="AN46" s="83"/>
      <c r="AO46" s="83"/>
      <c r="AP46" s="83"/>
      <c r="AQ46" s="83"/>
      <c r="AR46" s="83"/>
      <c r="AS46" s="83"/>
    </row>
    <row r="47" spans="1:45">
      <c r="A47" s="286"/>
      <c r="B47" s="299"/>
      <c r="C47" s="296"/>
      <c r="D47" s="293"/>
      <c r="E47" s="289"/>
      <c r="F47" s="289"/>
      <c r="G47" s="289"/>
      <c r="H47" s="286"/>
      <c r="I47" s="289"/>
      <c r="J47" s="286"/>
      <c r="K47" s="286"/>
      <c r="L47" s="286"/>
      <c r="M47" s="286"/>
      <c r="N47" s="13"/>
      <c r="O47" s="83"/>
      <c r="P47" s="83"/>
      <c r="Q47" s="83"/>
      <c r="R47" s="83"/>
      <c r="S47" s="83"/>
      <c r="T47" s="83"/>
      <c r="U47" s="83"/>
      <c r="V47" s="13"/>
      <c r="W47" s="83"/>
      <c r="X47" s="83"/>
      <c r="Y47" s="83"/>
      <c r="Z47" s="83"/>
      <c r="AA47" s="83"/>
      <c r="AB47" s="83"/>
      <c r="AC47" s="83"/>
      <c r="AD47" s="13"/>
      <c r="AE47" s="83"/>
      <c r="AF47" s="83"/>
      <c r="AG47" s="83"/>
      <c r="AH47" s="83"/>
      <c r="AI47" s="83"/>
      <c r="AJ47" s="83"/>
      <c r="AK47" s="83"/>
      <c r="AL47" s="13"/>
      <c r="AM47" s="83"/>
      <c r="AN47" s="83"/>
      <c r="AO47" s="83"/>
      <c r="AP47" s="83"/>
      <c r="AQ47" s="83"/>
      <c r="AR47" s="83"/>
      <c r="AS47" s="83"/>
    </row>
    <row r="48" spans="1:45">
      <c r="A48" s="287"/>
      <c r="B48" s="300"/>
      <c r="C48" s="297"/>
      <c r="D48" s="294"/>
      <c r="E48" s="290"/>
      <c r="F48" s="290"/>
      <c r="G48" s="290"/>
      <c r="H48" s="287"/>
      <c r="I48" s="290"/>
      <c r="J48" s="287"/>
      <c r="K48" s="287"/>
      <c r="L48" s="287"/>
      <c r="M48" s="287"/>
      <c r="N48" s="13"/>
      <c r="O48" s="83"/>
      <c r="P48" s="83"/>
      <c r="Q48" s="83"/>
      <c r="R48" s="83"/>
      <c r="S48" s="83"/>
      <c r="T48" s="83"/>
      <c r="U48" s="83"/>
      <c r="V48" s="13"/>
      <c r="W48" s="83"/>
      <c r="X48" s="83"/>
      <c r="Y48" s="83"/>
      <c r="Z48" s="83"/>
      <c r="AA48" s="83"/>
      <c r="AB48" s="83"/>
      <c r="AC48" s="83"/>
      <c r="AD48" s="13"/>
      <c r="AE48" s="83"/>
      <c r="AF48" s="83"/>
      <c r="AG48" s="83"/>
      <c r="AH48" s="83"/>
      <c r="AI48" s="83"/>
      <c r="AJ48" s="83"/>
      <c r="AK48" s="83"/>
      <c r="AL48" s="13"/>
      <c r="AM48" s="83"/>
      <c r="AN48" s="83"/>
      <c r="AO48" s="83"/>
      <c r="AP48" s="83"/>
      <c r="AQ48" s="83"/>
      <c r="AR48" s="83"/>
      <c r="AS48" s="83"/>
    </row>
    <row r="49" spans="1:45">
      <c r="A49" s="285" t="s">
        <v>567</v>
      </c>
      <c r="B49" s="298">
        <f>IFERROR(INDEX(panduan!$C$3:$H$16,
       MATCH(TRIM(A49), panduan!$B$3:$B$16, 0),
       MATCH(TRIM($B$4), panduan!$C$2:$H$2, 0)),"")</f>
        <v>1</v>
      </c>
      <c r="C49" s="295">
        <f>IFERROR(INDEX(panduan!$C$3:$H$16,
       MATCH(TRIM(A49), panduan!$B$3:$B$16, 0),
       MATCH(TRIM($B$5), panduan!$C$2:$H$2, 0)),"")</f>
        <v>2</v>
      </c>
      <c r="D49" s="292">
        <v>4</v>
      </c>
      <c r="E49" s="288">
        <f t="shared" si="0"/>
        <v>2</v>
      </c>
      <c r="F49" s="288" t="str">
        <f t="shared" si="1"/>
        <v/>
      </c>
      <c r="G49" s="288" t="str">
        <f>IFERROR(
    INDEX(panduan!$C$181:$G$185,
          MATCH($F$65,panduan!$B$181:$B$185,0),
          MATCH($F49,panduan!$C$180:$G$180,0)
    ),
"")</f>
        <v/>
      </c>
      <c r="H49" s="285" t="str">
        <f t="shared" si="2"/>
        <v/>
      </c>
      <c r="I49" s="288" t="str">
        <f>IF(E49&lt;0,_xlfn.RANK.EQ(E49,$E$13:$E$54,1)+COUNTIF($E$13:E51,E49)-1,"")</f>
        <v/>
      </c>
      <c r="J49" s="285" t="str">
        <f t="shared" si="3"/>
        <v/>
      </c>
      <c r="K49" s="285" t="str">
        <f t="shared" si="4"/>
        <v/>
      </c>
      <c r="L49" s="285" t="str">
        <f t="shared" si="5"/>
        <v/>
      </c>
      <c r="M49" s="285" t="str">
        <f t="shared" si="6"/>
        <v/>
      </c>
      <c r="N49" s="13" t="str" cm="1">
        <f t="array" ref="N49">_xlfn.LET(
    _xlpm.gap, $F49,
    _xlpm.key, $J49,
    _xlpm.data, _xlfn._xlws.FILTER('sheet template'!$F$2:$M$1009,
                 ('sheet template'!$A$2:$A$1009=_xlpm.key) *
                 ('sheet template'!$F$2:$F$1009&lt;=_xlpm.gap), ""),
    IF(OR(_xlpm.key="", _xlpm.gap&lt;=0, ROWS(_xlpm.data)=0), "", _xlpm.data)
)</f>
        <v/>
      </c>
      <c r="O49" s="83"/>
      <c r="P49" s="83"/>
      <c r="Q49" s="83"/>
      <c r="R49" s="83"/>
      <c r="S49" s="83"/>
      <c r="T49" s="83"/>
      <c r="U49" s="83"/>
      <c r="V49" s="13" t="str" cm="1">
        <f t="array" ref="V49">_xlfn.LET(
    _xlpm.gap, $F49,
    _xlpm.key, $K49,
    _xlpm.data, _xlfn._xlws.FILTER('sheet template'!$F$2:$M$1009,
                 ('sheet template'!$A$2:$A$1009=_xlpm.key) *
                 ('sheet template'!$F$2:$F$1009&lt;=_xlpm.gap), ""),
    IF(OR(_xlpm.key="", _xlpm.gap&lt;=0, ROWS(_xlpm.data)=0), "", _xlpm.data)
)</f>
        <v/>
      </c>
      <c r="W49" s="83"/>
      <c r="X49" s="83"/>
      <c r="Y49" s="83"/>
      <c r="Z49" s="83"/>
      <c r="AA49" s="83"/>
      <c r="AB49" s="83"/>
      <c r="AC49" s="83"/>
      <c r="AD49" s="13" t="str" cm="1">
        <f t="array" ref="AD49">_xlfn.LET(
    _xlpm.gap, $F49,
    _xlpm.key, $L49,
    _xlpm.data, _xlfn._xlws.FILTER('sheet template'!$F$2:$M$1009,
                 ('sheet template'!$A$2:$A$1009=_xlpm.key) *
                 ('sheet template'!$F$2:$F$1009&lt;=_xlpm.gap), ""),
    IF(OR(_xlpm.key="", _xlpm.gap&lt;=0, ROWS(_xlpm.data)=0), "", _xlpm.data)
)</f>
        <v/>
      </c>
      <c r="AE49" s="83"/>
      <c r="AF49" s="83"/>
      <c r="AG49" s="83"/>
      <c r="AH49" s="83"/>
      <c r="AI49" s="83"/>
      <c r="AJ49" s="83"/>
      <c r="AK49" s="83"/>
      <c r="AL49" s="13" t="str" cm="1">
        <f t="array" ref="AL49">_xlfn.LET(
    _xlpm.gap, $F49,
    _xlpm.key, $L49,
    _xlpm.data, _xlfn._xlws.FILTER('sheet template'!$F$2:$M$1009,
                 ('sheet template'!$A$2:$A$1009=_xlpm.key) *
                 ('sheet template'!$F$2:$F$1009&lt;=_xlpm.gap), ""),
    IF(OR(_xlpm.key="", _xlpm.gap&lt;=0, ROWS(_xlpm.data)=0), "", _xlpm.data)
)</f>
        <v/>
      </c>
      <c r="AM49" s="83"/>
      <c r="AN49" s="83"/>
      <c r="AO49" s="83"/>
      <c r="AP49" s="83"/>
      <c r="AQ49" s="83"/>
      <c r="AR49" s="83"/>
      <c r="AS49" s="83"/>
    </row>
    <row r="50" spans="1:45">
      <c r="A50" s="286"/>
      <c r="B50" s="299"/>
      <c r="C50" s="296"/>
      <c r="D50" s="293"/>
      <c r="E50" s="289"/>
      <c r="F50" s="289"/>
      <c r="G50" s="289"/>
      <c r="H50" s="286"/>
      <c r="I50" s="289"/>
      <c r="J50" s="286"/>
      <c r="K50" s="286"/>
      <c r="L50" s="286"/>
      <c r="M50" s="286"/>
      <c r="N50" s="13"/>
      <c r="O50" s="83"/>
      <c r="P50" s="83"/>
      <c r="Q50" s="83"/>
      <c r="R50" s="83"/>
      <c r="S50" s="83"/>
      <c r="T50" s="83"/>
      <c r="U50" s="83"/>
      <c r="V50" s="13"/>
      <c r="W50" s="83"/>
      <c r="X50" s="83"/>
      <c r="Y50" s="83"/>
      <c r="Z50" s="83"/>
      <c r="AA50" s="83"/>
      <c r="AB50" s="83"/>
      <c r="AC50" s="83"/>
      <c r="AD50" s="13"/>
      <c r="AE50" s="83"/>
      <c r="AF50" s="83"/>
      <c r="AG50" s="83"/>
      <c r="AH50" s="83"/>
      <c r="AI50" s="83"/>
      <c r="AJ50" s="83"/>
      <c r="AK50" s="83"/>
      <c r="AL50" s="13"/>
      <c r="AM50" s="83"/>
      <c r="AN50" s="83"/>
      <c r="AO50" s="83"/>
      <c r="AP50" s="83"/>
      <c r="AQ50" s="83"/>
      <c r="AR50" s="83"/>
      <c r="AS50" s="83"/>
    </row>
    <row r="51" spans="1:45">
      <c r="A51" s="287"/>
      <c r="B51" s="300"/>
      <c r="C51" s="297"/>
      <c r="D51" s="294"/>
      <c r="E51" s="290"/>
      <c r="F51" s="290"/>
      <c r="G51" s="290"/>
      <c r="H51" s="287"/>
      <c r="I51" s="290"/>
      <c r="J51" s="287"/>
      <c r="K51" s="287"/>
      <c r="L51" s="287"/>
      <c r="M51" s="287"/>
      <c r="N51" s="13"/>
      <c r="O51" s="83"/>
      <c r="P51" s="83"/>
      <c r="Q51" s="83"/>
      <c r="R51" s="83"/>
      <c r="S51" s="83"/>
      <c r="T51" s="83"/>
      <c r="U51" s="83"/>
      <c r="V51" s="13"/>
      <c r="W51" s="83"/>
      <c r="X51" s="83"/>
      <c r="Y51" s="83"/>
      <c r="Z51" s="83"/>
      <c r="AA51" s="83"/>
      <c r="AB51" s="83"/>
      <c r="AC51" s="83"/>
      <c r="AD51" s="13"/>
      <c r="AE51" s="83"/>
      <c r="AF51" s="83"/>
      <c r="AG51" s="83"/>
      <c r="AH51" s="83"/>
      <c r="AI51" s="83"/>
      <c r="AJ51" s="83"/>
      <c r="AK51" s="83"/>
      <c r="AL51" s="13"/>
      <c r="AM51" s="83"/>
      <c r="AN51" s="83"/>
      <c r="AO51" s="83"/>
      <c r="AP51" s="83"/>
      <c r="AQ51" s="83"/>
      <c r="AR51" s="83"/>
      <c r="AS51" s="83"/>
    </row>
    <row r="52" spans="1:45">
      <c r="A52" s="285" t="s">
        <v>568</v>
      </c>
      <c r="B52" s="298">
        <f>IFERROR(INDEX(panduan!$C$3:$H$16,
       MATCH(TRIM(A52), panduan!$B$3:$B$16, 0),
       MATCH(TRIM($B$4), panduan!$C$2:$H$2, 0)),"")</f>
        <v>1</v>
      </c>
      <c r="C52" s="295">
        <f>IFERROR(INDEX(panduan!$C$3:$H$16,
       MATCH(TRIM(A52), panduan!$B$3:$B$16, 0),
       MATCH(TRIM($B$5), panduan!$C$2:$H$2, 0)),"")</f>
        <v>2</v>
      </c>
      <c r="D52" s="292">
        <v>4</v>
      </c>
      <c r="E52" s="288">
        <f>D52-C52</f>
        <v>2</v>
      </c>
      <c r="F52" s="288" t="str">
        <f>IF(E52&lt;0, MIN(-E52, 4), "")</f>
        <v/>
      </c>
      <c r="G52" s="288" t="str">
        <f>IFERROR(
    INDEX(panduan!$C$181:$G$185,
          MATCH($F$65,panduan!$B$181:$B$185,0),
          MATCH($F52,panduan!$C$180:$G$180,0)
    ),
"")</f>
        <v/>
      </c>
      <c r="H52" s="285" t="str">
        <f>IF(G52="", "",
   SUBSTITUTE(
     SUBSTITUTE(
       SUBSTITUTE(
         SUBSTITUTE(G52,
           "1", "Personal Development"),
         "2", "Education-Based Development"),
       "3", "Relation-Based Development"),
     "4", "Experience-Based Development")
)</f>
        <v/>
      </c>
      <c r="I52" s="288" t="str">
        <f>IF(E52&lt;0,_xlfn.RANK.EQ(E52,$E$13:$E$54,1)+COUNTIF($E$13:E54,E52)-1,"")</f>
        <v/>
      </c>
      <c r="J52" s="285" t="str">
        <f>IF(ISNUMBER(FIND("1",$G52)), $A52&amp;"|"&amp;$B$5&amp;"|1", "")</f>
        <v/>
      </c>
      <c r="K52" s="285" t="str">
        <f>IF(ISNUMBER(FIND("2",$G52)), $A52&amp;"|"&amp;$B$5&amp;"|2", "")</f>
        <v/>
      </c>
      <c r="L52" s="285" t="str">
        <f>IF(ISNUMBER(FIND("3",$G52)), $A52&amp;"|"&amp;$B$5&amp;"|3", "")</f>
        <v/>
      </c>
      <c r="M52" s="285" t="str">
        <f>IF(ISNUMBER(FIND("4",$G52)), $A52&amp;"|"&amp;$B$5&amp;"|4", "")</f>
        <v/>
      </c>
      <c r="N52" s="13" t="str" cm="1">
        <f t="array" ref="N52">_xlfn.LET(
    _xlpm.gap, $F52,
    _xlpm.key, $J52,
    _xlpm.data, _xlfn._xlws.FILTER('sheet template'!$F$2:$M$1009,
                 ('sheet template'!$A$2:$A$1009=_xlpm.key) *
                 ('sheet template'!$F$2:$F$1009&lt;=_xlpm.gap), ""),
    IF(OR(_xlpm.key="", _xlpm.gap&lt;=0, ROWS(_xlpm.data)=0), "", _xlpm.data)
)</f>
        <v/>
      </c>
      <c r="O52" s="83"/>
      <c r="P52" s="83"/>
      <c r="Q52" s="83"/>
      <c r="R52" s="83"/>
      <c r="S52" s="83"/>
      <c r="T52" s="83"/>
      <c r="U52" s="83"/>
      <c r="V52" s="13" t="str" cm="1">
        <f t="array" ref="V52">_xlfn.LET(
    _xlpm.gap, $F52,
    _xlpm.key, $K52,
    _xlpm.data, _xlfn._xlws.FILTER('sheet template'!$F$2:$M$1009,
                 ('sheet template'!$A$2:$A$1009=_xlpm.key) *
                 ('sheet template'!$F$2:$F$1009&lt;=_xlpm.gap), ""),
    IF(OR(_xlpm.key="", _xlpm.gap&lt;=0, ROWS(_xlpm.data)=0), "", _xlpm.data)
)</f>
        <v/>
      </c>
      <c r="W52" s="83"/>
      <c r="X52" s="83"/>
      <c r="Y52" s="83"/>
      <c r="Z52" s="83"/>
      <c r="AA52" s="83"/>
      <c r="AB52" s="83"/>
      <c r="AC52" s="83"/>
      <c r="AD52" s="13" t="str" cm="1">
        <f t="array" ref="AD52">_xlfn.LET(
    _xlpm.gap, $F52,
    _xlpm.key, $L52,
    _xlpm.data, _xlfn._xlws.FILTER('sheet template'!$F$2:$M$1009,
                 ('sheet template'!$A$2:$A$1009=_xlpm.key) *
                 ('sheet template'!$F$2:$F$1009&lt;=_xlpm.gap), ""),
    IF(OR(_xlpm.key="", _xlpm.gap&lt;=0, ROWS(_xlpm.data)=0), "", _xlpm.data)
)</f>
        <v/>
      </c>
      <c r="AE52" s="83"/>
      <c r="AF52" s="83"/>
      <c r="AG52" s="83"/>
      <c r="AH52" s="83"/>
      <c r="AI52" s="83"/>
      <c r="AJ52" s="83"/>
      <c r="AK52" s="83"/>
      <c r="AL52" s="13" t="str" cm="1">
        <f t="array" ref="AL52">_xlfn.LET(
    _xlpm.gap, $F52,
    _xlpm.key, $L52,
    _xlpm.data, _xlfn._xlws.FILTER('sheet template'!$F$2:$M$1009,
                 ('sheet template'!$A$2:$A$1009=_xlpm.key) *
                 ('sheet template'!$F$2:$F$1009&lt;=_xlpm.gap), ""),
    IF(OR(_xlpm.key="", _xlpm.gap&lt;=0, ROWS(_xlpm.data)=0), "", _xlpm.data)
)</f>
        <v/>
      </c>
      <c r="AM52" s="83"/>
      <c r="AN52" s="83"/>
      <c r="AO52" s="83"/>
      <c r="AP52" s="83"/>
      <c r="AQ52" s="83"/>
      <c r="AR52" s="83"/>
      <c r="AS52" s="83"/>
    </row>
    <row r="53" spans="1:45">
      <c r="A53" s="286"/>
      <c r="B53" s="299"/>
      <c r="C53" s="296"/>
      <c r="D53" s="293"/>
      <c r="E53" s="289"/>
      <c r="F53" s="289"/>
      <c r="G53" s="289"/>
      <c r="H53" s="286"/>
      <c r="I53" s="289"/>
      <c r="J53" s="286"/>
      <c r="K53" s="286"/>
      <c r="L53" s="286"/>
      <c r="M53" s="286"/>
      <c r="N53" s="13"/>
      <c r="O53" s="83"/>
      <c r="P53" s="83"/>
      <c r="Q53" s="83"/>
      <c r="R53" s="83"/>
      <c r="S53" s="83"/>
      <c r="T53" s="83"/>
      <c r="U53" s="83"/>
      <c r="V53" s="13"/>
      <c r="W53" s="83"/>
      <c r="X53" s="83"/>
      <c r="Y53" s="83"/>
      <c r="Z53" s="83"/>
      <c r="AA53" s="83"/>
      <c r="AB53" s="83"/>
      <c r="AC53" s="83"/>
      <c r="AD53" s="13"/>
      <c r="AE53" s="83"/>
      <c r="AF53" s="83"/>
      <c r="AG53" s="83"/>
      <c r="AH53" s="83"/>
      <c r="AI53" s="83"/>
      <c r="AJ53" s="83"/>
      <c r="AK53" s="83"/>
      <c r="AL53" s="13"/>
      <c r="AM53" s="83"/>
      <c r="AN53" s="83"/>
      <c r="AO53" s="83"/>
      <c r="AP53" s="83"/>
      <c r="AQ53" s="83"/>
      <c r="AR53" s="83"/>
      <c r="AS53" s="83"/>
    </row>
    <row r="54" spans="1:45">
      <c r="A54" s="287"/>
      <c r="B54" s="300"/>
      <c r="C54" s="297"/>
      <c r="D54" s="294"/>
      <c r="E54" s="290"/>
      <c r="F54" s="290"/>
      <c r="G54" s="290"/>
      <c r="H54" s="287"/>
      <c r="I54" s="290"/>
      <c r="J54" s="287"/>
      <c r="K54" s="287"/>
      <c r="L54" s="287"/>
      <c r="M54" s="287"/>
      <c r="N54" s="13" t="str" cm="1">
        <f t="array" aca="1" ref="N54" ca="1">_xlfn.LET(
    _xlpm.key, J52,
    _xlpm.data, _xlfn._xlws.FILTER('sheet template'!$F$2:$M$1009, 'sheet template'!$A$2:$A$1009=_xlpm.key, ""),
    _xlpm.jmlBaris, ROWS(_xlpm.data),
    IF(OR(_xlpm.key="", _xlpm.jmlBaris=0), "", INDEX(_xlpm.data, RANDBETWEEN(1, _xlpm.jmlBaris), 0))
)</f>
        <v/>
      </c>
      <c r="O54" s="83"/>
      <c r="P54" s="83"/>
      <c r="Q54" s="83"/>
      <c r="R54" s="83"/>
      <c r="S54" s="83"/>
      <c r="T54" s="83"/>
      <c r="U54" s="83"/>
      <c r="V54" s="13" t="str" cm="1">
        <f t="array" aca="1" ref="V54" ca="1">IF(K52="", "", INDEX(_xlfn._xlws.FILTER('sheet template'!$F$2:$M$1009, 'sheet template'!$A$2:$A$1009=K52), RANDBETWEEN(1,3), 0))</f>
        <v/>
      </c>
      <c r="W54" s="83"/>
      <c r="X54" s="83"/>
      <c r="Y54" s="83"/>
      <c r="Z54" s="83"/>
      <c r="AA54" s="83"/>
      <c r="AB54" s="83"/>
      <c r="AC54" s="83"/>
      <c r="AD54" s="13" t="str" cm="1">
        <f t="array" aca="1" ref="AD54" ca="1">IF(L52="", "", INDEX(_xlfn._xlws.FILTER('sheet template'!$F$2:$M$1009, 'sheet template'!$A$2:$A$1009=L52), RANDBETWEEN(1,3), 0))</f>
        <v/>
      </c>
      <c r="AE54" s="83"/>
      <c r="AF54" s="83"/>
      <c r="AG54" s="83"/>
      <c r="AH54" s="83"/>
      <c r="AI54" s="83"/>
      <c r="AJ54" s="83"/>
      <c r="AK54" s="83"/>
      <c r="AL54" s="13" t="str" cm="1">
        <f t="array" aca="1" ref="AL54" ca="1">IF(M52="", "", INDEX(_xlfn._xlws.FILTER('sheet template'!$F$2:$M$1009, 'sheet template'!$A$2:$A$1009=M52), RANDBETWEEN(1,3), 0))</f>
        <v/>
      </c>
      <c r="AM54" s="83"/>
      <c r="AN54" s="83"/>
      <c r="AO54" s="83"/>
      <c r="AP54" s="83"/>
      <c r="AQ54" s="83"/>
      <c r="AR54" s="83"/>
      <c r="AS54" s="83"/>
    </row>
    <row r="57" spans="1:45" hidden="1"/>
    <row r="58" spans="1:45" hidden="1"/>
    <row r="59" spans="1:45" ht="33.6" hidden="1">
      <c r="A59" s="114" t="s">
        <v>569</v>
      </c>
      <c r="B59" s="72" t="s">
        <v>524</v>
      </c>
      <c r="C59" s="72" t="s">
        <v>525</v>
      </c>
      <c r="D59" s="72" t="s">
        <v>570</v>
      </c>
      <c r="E59" s="70" t="s">
        <v>527</v>
      </c>
      <c r="F59" s="72" t="s">
        <v>571</v>
      </c>
    </row>
    <row r="60" spans="1:45" hidden="1">
      <c r="A60" s="87" t="str">
        <f>'Profile Summary'!A108</f>
        <v>Mental Agility</v>
      </c>
      <c r="B60" s="133">
        <f>'Profile Summary'!B108</f>
        <v>2.8</v>
      </c>
      <c r="C60" s="133">
        <f>'Profile Summary'!C108</f>
        <v>2.5</v>
      </c>
      <c r="D60" s="133">
        <f>'Profile Summary'!D108</f>
        <v>0.29999999999999982</v>
      </c>
      <c r="E60" s="133" t="str">
        <f>'Profile Summary'!E108</f>
        <v>Aligned</v>
      </c>
      <c r="F60" s="13"/>
    </row>
    <row r="61" spans="1:45" hidden="1">
      <c r="A61" s="87" t="str">
        <f>'Profile Summary'!A109</f>
        <v>People Agility</v>
      </c>
      <c r="B61" s="133">
        <f>'Profile Summary'!B109</f>
        <v>2.8</v>
      </c>
      <c r="C61" s="133">
        <f>'Profile Summary'!C109</f>
        <v>3.1333333333333333</v>
      </c>
      <c r="D61" s="133">
        <f>'Profile Summary'!D109</f>
        <v>-0.33333333333333348</v>
      </c>
      <c r="E61" s="133" t="str">
        <f>'Profile Summary'!E109</f>
        <v>Aligned</v>
      </c>
      <c r="F61" s="13"/>
    </row>
    <row r="62" spans="1:45" hidden="1">
      <c r="A62" s="87" t="str">
        <f>'Profile Summary'!A110</f>
        <v>Change Agility</v>
      </c>
      <c r="B62" s="133">
        <f>'Profile Summary'!B110</f>
        <v>3</v>
      </c>
      <c r="C62" s="133">
        <f>'Profile Summary'!C110</f>
        <v>2.5</v>
      </c>
      <c r="D62" s="133">
        <f>'Profile Summary'!D110</f>
        <v>0.5</v>
      </c>
      <c r="E62" s="133" t="str">
        <f>'Profile Summary'!E110</f>
        <v>Minor Positive Gap</v>
      </c>
      <c r="F62" s="13"/>
    </row>
    <row r="63" spans="1:45" hidden="1">
      <c r="A63" s="87" t="str">
        <f>'Profile Summary'!A111</f>
        <v>Result Agility</v>
      </c>
      <c r="B63" s="133">
        <f>'Profile Summary'!B111</f>
        <v>3</v>
      </c>
      <c r="C63" s="133">
        <f>'Profile Summary'!C111</f>
        <v>3.4166666666666665</v>
      </c>
      <c r="D63" s="133">
        <f>'Profile Summary'!D111</f>
        <v>-0.41666666666666652</v>
      </c>
      <c r="E63" s="133" t="str">
        <f>'Profile Summary'!E111</f>
        <v>Aligned</v>
      </c>
      <c r="F63" s="13"/>
    </row>
    <row r="64" spans="1:45" hidden="1">
      <c r="A64" s="87" t="str">
        <f>'Profile Summary'!A112</f>
        <v>Self Awareness</v>
      </c>
      <c r="B64" s="133">
        <f>'Profile Summary'!B112</f>
        <v>4.0999999999999996</v>
      </c>
      <c r="C64" s="133">
        <f>'Profile Summary'!C112</f>
        <v>3.6</v>
      </c>
      <c r="D64" s="133">
        <f>'Profile Summary'!D112</f>
        <v>0.49999999999999956</v>
      </c>
      <c r="E64" s="133" t="str">
        <f>'Profile Summary'!E112</f>
        <v>Minor Positive Gap</v>
      </c>
      <c r="F64" s="13"/>
    </row>
    <row r="65" spans="1:45" s="28" customFormat="1" hidden="1">
      <c r="A65" s="140"/>
      <c r="B65" s="142">
        <f>'Profile Summary'!B113</f>
        <v>3.1399999999999997</v>
      </c>
      <c r="C65" s="142">
        <f>'Profile Summary'!C113</f>
        <v>3.03</v>
      </c>
      <c r="D65" s="142">
        <f>'Profile Summary'!D113</f>
        <v>0.10999999999999988</v>
      </c>
      <c r="E65" s="142" t="str">
        <f>'Profile Summary'!E113</f>
        <v>Aligned</v>
      </c>
      <c r="F65" s="141" cm="1">
        <f t="array" ref="F65">_xlfn.IFS(
  D65&gt;=1, 0,
  D65&gt;=0.5, 1,
  D65&gt;=-0.49, 2,
  D65&gt;=-0.99, 3,
  D65&lt;=-1, 4
)</f>
        <v>2</v>
      </c>
      <c r="H65" s="81"/>
      <c r="J65" s="144"/>
      <c r="K65" s="144"/>
      <c r="L65" s="144"/>
      <c r="M65" s="144"/>
      <c r="N65" s="156"/>
      <c r="O65" s="81"/>
      <c r="P65" s="81"/>
      <c r="Q65" s="81"/>
      <c r="R65" s="81"/>
      <c r="S65" s="81"/>
      <c r="T65" s="81"/>
      <c r="U65" s="81"/>
      <c r="V65" s="156"/>
      <c r="W65" s="81"/>
      <c r="X65" s="81"/>
      <c r="Y65" s="81"/>
      <c r="Z65" s="81"/>
      <c r="AA65" s="81"/>
      <c r="AB65" s="81"/>
      <c r="AC65" s="81"/>
      <c r="AD65" s="157"/>
      <c r="AE65" s="81"/>
      <c r="AF65" s="81"/>
      <c r="AG65" s="81"/>
      <c r="AH65" s="81"/>
      <c r="AI65" s="81"/>
      <c r="AJ65" s="81"/>
      <c r="AK65" s="81"/>
      <c r="AL65" s="157"/>
      <c r="AM65" s="81"/>
      <c r="AN65" s="81"/>
      <c r="AO65" s="81"/>
      <c r="AP65" s="81"/>
      <c r="AQ65" s="81"/>
      <c r="AR65" s="81"/>
      <c r="AS65" s="81"/>
    </row>
    <row r="66" spans="1:45" hidden="1"/>
    <row r="67" spans="1:45" hidden="1"/>
    <row r="69" spans="1:45">
      <c r="A69" s="1" t="s">
        <v>12</v>
      </c>
      <c r="B69" s="1" t="str">
        <f>Identitas!D12</f>
        <v>Unit Head/Specialist</v>
      </c>
    </row>
    <row r="70" spans="1:45">
      <c r="I70" s="239" t="s">
        <v>572</v>
      </c>
    </row>
    <row r="71" spans="1:45" ht="45">
      <c r="A71" s="113" t="s">
        <v>538</v>
      </c>
      <c r="B71" s="115" t="s">
        <v>539</v>
      </c>
      <c r="C71" s="114" t="s">
        <v>540</v>
      </c>
      <c r="D71" s="11" t="s">
        <v>541</v>
      </c>
      <c r="E71" s="131" t="s">
        <v>542</v>
      </c>
      <c r="F71" s="131" t="s">
        <v>543</v>
      </c>
      <c r="G71" s="131" t="s">
        <v>544</v>
      </c>
      <c r="H71" s="131" t="s">
        <v>545</v>
      </c>
      <c r="I71" s="132" t="s">
        <v>546</v>
      </c>
      <c r="J71" s="143" t="s">
        <v>547</v>
      </c>
      <c r="K71" s="143" t="s">
        <v>548</v>
      </c>
      <c r="L71" s="143" t="s">
        <v>549</v>
      </c>
      <c r="M71" s="143" t="s">
        <v>550</v>
      </c>
      <c r="N71" s="291" t="s">
        <v>551</v>
      </c>
      <c r="O71" s="291"/>
      <c r="P71" s="291"/>
      <c r="Q71" s="291"/>
      <c r="R71" s="291"/>
      <c r="S71" s="291"/>
      <c r="T71" s="291"/>
      <c r="U71" s="291"/>
      <c r="V71" s="291" t="s">
        <v>552</v>
      </c>
      <c r="W71" s="291"/>
      <c r="X71" s="291"/>
      <c r="Y71" s="291"/>
      <c r="Z71" s="291"/>
      <c r="AA71" s="291"/>
      <c r="AB71" s="291"/>
      <c r="AC71" s="291"/>
      <c r="AD71" s="291" t="s">
        <v>553</v>
      </c>
      <c r="AE71" s="291"/>
      <c r="AF71" s="291"/>
      <c r="AG71" s="291"/>
      <c r="AH71" s="291"/>
      <c r="AI71" s="291"/>
      <c r="AJ71" s="291"/>
      <c r="AK71" s="291"/>
      <c r="AL71" s="291" t="s">
        <v>554</v>
      </c>
      <c r="AM71" s="291"/>
      <c r="AN71" s="291"/>
      <c r="AO71" s="291"/>
      <c r="AP71" s="291"/>
      <c r="AQ71" s="291"/>
      <c r="AR71" s="291"/>
      <c r="AS71" s="291"/>
    </row>
    <row r="72" spans="1:45">
      <c r="A72" s="285" t="s">
        <v>555</v>
      </c>
      <c r="B72" s="298">
        <f>IFERROR(INDEX(panduan!$C$3:$H$16,
       MATCH(TRIM(A72), panduan!$B$3:$B$16, 0),
       MATCH(TRIM($B$4), panduan!$C$2:$H$2, 0)),"")</f>
        <v>2</v>
      </c>
      <c r="C72" s="295">
        <f>IFERROR(INDEX(panduan!$C$3:$H$16,
       MATCH(TRIM(A72), panduan!$B$3:$B$16, 0),
       MATCH(TRIM($B$69), panduan!$C$2:$H$2, 0)),"")</f>
        <v>3</v>
      </c>
      <c r="D72" s="292">
        <v>1</v>
      </c>
      <c r="E72" s="288">
        <f>D72-C72</f>
        <v>-2</v>
      </c>
      <c r="F72" s="288">
        <f>IF(E72&lt;0, MIN(-E72, 4), "")</f>
        <v>2</v>
      </c>
      <c r="G72" s="288" t="str">
        <f>IFERROR(
    INDEX(panduan!$C$181:$G$185,
          MATCH($F$65,panduan!$B$181:$B$185,0),
          MATCH($F72,panduan!$C$180:$G$180,0)
    ),
"")</f>
        <v>1,2,3,4</v>
      </c>
      <c r="H72" s="285" t="str">
        <f>IF(G72="", "",
   SUBSTITUTE(
     SUBSTITUTE(
       SUBSTITUTE(
         SUBSTITUTE(G72,
           "1", "Personal Development"),
         "2", "Education-Based Development"),
       "3", "Relation-Based Development"),
     "4", "Experience-Based Development")
)</f>
        <v>Personal Development,Education-Based Development,Relation-Based Development,Experience-Based Development</v>
      </c>
      <c r="I72" s="288">
        <f>IF(E72&lt;0,_xlfn.RANK.EQ(E72,$E$72:$E$113,1)+COUNTIF($E$72:E74,E72)-1,"")</f>
        <v>2</v>
      </c>
      <c r="J72" s="285" t="str">
        <f>IF(ISNUMBER(FIND("1",$G72)), $A72&amp;"|"&amp;$B$5&amp;"|1", "")</f>
        <v>Achievement Drive|Analyst|1</v>
      </c>
      <c r="K72" s="285" t="str">
        <f>IF(ISNUMBER(FIND("2",$G72)), $A72&amp;"|"&amp;$B$5&amp;"|2", "")</f>
        <v>Achievement Drive|Analyst|2</v>
      </c>
      <c r="L72" s="285" t="str">
        <f>IF(ISNUMBER(FIND("3",$G72)), $A72&amp;"|"&amp;$B$5&amp;"|3", "")</f>
        <v>Achievement Drive|Analyst|3</v>
      </c>
      <c r="M72" s="285" t="str">
        <f>IF(ISNUMBER(FIND("4",$G72)), $A72&amp;"|"&amp;$B$5&amp;"|4", "")</f>
        <v>Achievement Drive|Analyst|4</v>
      </c>
      <c r="N72" s="13" cm="1">
        <f t="array" ref="N72:U73">_xlfn.LET(
    _xlpm.gap, $F72,
    _xlpm.key, $J72,
    _xlpm.data, _xlfn._xlws.FILTER('sheet template'!$F$2:$M$1009,
                 ('sheet template'!$A$2:$A$1009=_xlpm.key) *
                 ('sheet template'!$F$2:$F$1009&lt;=_xlpm.gap), ""),
    IF(OR(_xlpm.key="", _xlpm.gap&lt;=0, ROWS(_xlpm.data)=0), "", _xlpm.data)
)</f>
        <v>1</v>
      </c>
      <c r="O72" s="83" t="str">
        <v>Log "Target yang Menghadapi Hambatan Berulang"</v>
      </c>
      <c r="P72" s="83" t="str">
        <v>Mengukur ketekunan pada target yang sulit dan berlangsung lama.</v>
      </c>
      <c r="Q72" s="83" t="str">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R72" s="83" t="str">
        <v>Log minimal 15 hambatan pada target yang sama; rentang waktu minimal 3 bulan.</v>
      </c>
      <c r="S72" s="83" t="str">
        <v>Bulan 1–12</v>
      </c>
      <c r="T72" s="83" t="str">
        <v>Bulanan</v>
      </c>
      <c r="U72" s="83" t="str">
        <v>Minimal 15 hambatan tercatat pada target yang SAMA, berlangsung minimal 3 bulan. Target tersebut tetap dikejar sampai akhir periode logging, tidak ditinggalkan di tengah jalan. Milestone Bulan 6: 8 hambatan tercatat, target masih dikejar.</v>
      </c>
      <c r="V72" s="13" cm="1">
        <f t="array" ref="V72:AC73">_xlfn.LET(
    _xlpm.gap, $F72,
    _xlpm.key, $K72,
    _xlpm.data, _xlfn._xlws.FILTER('sheet template'!$F$2:$M$1009,
                 ('sheet template'!$A$2:$A$1009=_xlpm.key) *
                 ('sheet template'!$F$2:$F$1009&lt;=_xlpm.gap), ""),
    IF(OR(_xlpm.key="", _xlpm.gap&lt;=0, ROWS(_xlpm.data)=0), "", _xlpm.data)
)</f>
        <v>1</v>
      </c>
      <c r="W72" s="83" t="str">
        <v>Workshop "Bertahan Melewati Hambatan Berulang"</v>
      </c>
      <c r="X72" s="83" t="str">
        <v>Menguasai teknik menjaga komitmen ketika hambatan datang berulang kali.</v>
      </c>
      <c r="Y72" s="83" t="str">
        <v>Ikuti workshop tentang: mengenali tanda mulai kehilangan arah, memisahkan kegagalan taktik dari kegagalan tujuan, dan menjaga energi tanpa dukungan eksternal terus-menerus.</v>
      </c>
      <c r="Z72" s="83" t="str">
        <v>Sertifikat; 1 rencana bertahan untuk target yang sedang menghadapi hambatan berulang.</v>
      </c>
      <c r="AA72" s="83" t="str">
        <v>Bulan 1–12</v>
      </c>
      <c r="AB72" s="83" t="str">
        <v>Bulanan</v>
      </c>
      <c r="AC72" s="83" t="str">
        <v>Rencana disetujui atasan dan dipakai pada target yang dipilih peserta dalam aktivitas ini minimal 2 bulan.</v>
      </c>
      <c r="AD72" s="13" cm="1">
        <f t="array" ref="AD72:AK73">_xlfn.LET(
    _xlpm.gap, $F72,
    _xlpm.key, $L72,
    _xlpm.data, _xlfn._xlws.FILTER('sheet template'!$F$2:$M$1009,
                 ('sheet template'!$A$2:$A$1009=_xlpm.key) *
                 ('sheet template'!$F$2:$F$1009&lt;=_xlpm.gap), ""),
    IF(OR(_xlpm.key="", _xlpm.gap&lt;=0, ROWS(_xlpm.data)=0), "", _xlpm.data)
)</f>
        <v>1</v>
      </c>
      <c r="AE72" s="83" t="str">
        <v>Diskusi dengan Rekan yang Dikenal Tidak Mudah Menyerah</v>
      </c>
      <c r="AF72" s="83" t="str">
        <v>Mempelajari cara rekan menjaga komitmen di tengah hambatan berulang.</v>
      </c>
      <c r="AG72" s="83" t="str">
        <v>Diskusi dengan 1 rekan yang dikenal tidak mudah menyerah pada target sulit. Tanyakan: bagaimana ia menjaga energinya, apa yang ia lakukan saat hambatan datang berulang, dan kapan ia tahu harus mengubah cara tanpa mengubah tujuan.</v>
      </c>
      <c r="AH72" s="83" t="str">
        <v>Catatan diskusi; minimal 3 praktik yang akan diadopsi.</v>
      </c>
      <c r="AI72" s="83" t="str">
        <v>Bulan 1–12</v>
      </c>
      <c r="AJ72" s="83" t="str">
        <v>Bulanan</v>
      </c>
      <c r="AK72" s="83" t="str">
        <v>Minimal 3 praktik diidentifikasi dan minimal 2 diterapkan pada target yang dipilih peserta dalam aktivitas ini.</v>
      </c>
      <c r="AL72" s="13" cm="1">
        <f t="array" ref="AL72:AS73">_xlfn.LET(
    _xlpm.gap, $F72,
    _xlpm.key, $L72,
    _xlpm.data, _xlfn._xlws.FILTER('sheet template'!$F$2:$M$1009,
                 ('sheet template'!$A$2:$A$1009=_xlpm.key) *
                 ('sheet template'!$F$2:$F$1009&lt;=_xlpm.gap), ""),
    IF(OR(_xlpm.key="", _xlpm.gap&lt;=0, ROWS(_xlpm.data)=0), "", _xlpm.data)
)</f>
        <v>1</v>
      </c>
      <c r="AM72" s="83" t="str">
        <v>Diskusi dengan Rekan yang Dikenal Tidak Mudah Menyerah</v>
      </c>
      <c r="AN72" s="83" t="str">
        <v>Mempelajari cara rekan menjaga komitmen di tengah hambatan berulang.</v>
      </c>
      <c r="AO72" s="83" t="str">
        <v>Diskusi dengan 1 rekan yang dikenal tidak mudah menyerah pada target sulit. Tanyakan: bagaimana ia menjaga energinya, apa yang ia lakukan saat hambatan datang berulang, dan kapan ia tahu harus mengubah cara tanpa mengubah tujuan.</v>
      </c>
      <c r="AP72" s="83" t="str">
        <v>Catatan diskusi; minimal 3 praktik yang akan diadopsi.</v>
      </c>
      <c r="AQ72" s="83" t="str">
        <v>Bulan 1–12</v>
      </c>
      <c r="AR72" s="83" t="str">
        <v>Bulanan</v>
      </c>
      <c r="AS72" s="83" t="str">
        <v>Minimal 3 praktik diidentifikasi dan minimal 2 diterapkan pada target yang dipilih peserta dalam aktivitas ini.</v>
      </c>
    </row>
    <row r="73" spans="1:45">
      <c r="A73" s="286"/>
      <c r="B73" s="299"/>
      <c r="C73" s="296"/>
      <c r="D73" s="293"/>
      <c r="E73" s="289"/>
      <c r="F73" s="289"/>
      <c r="G73" s="289"/>
      <c r="H73" s="286"/>
      <c r="I73" s="289"/>
      <c r="J73" s="286"/>
      <c r="K73" s="286"/>
      <c r="L73" s="286"/>
      <c r="M73" s="286"/>
      <c r="N73" s="13">
        <v>2</v>
      </c>
      <c r="O73" s="83" t="str">
        <v>Jurnal Energi Mingguan pada Target yang Sulit</v>
      </c>
      <c r="P73" s="83" t="str">
        <v>Memantau naik-turunnya energi dan komitmen selama mengejar target sulit.</v>
      </c>
      <c r="Q73" s="83" t="str">
        <v>Pilih 1 target sulit yang sedang dikejar. Setiap minggu, catat tingkat energi dan komitmen pada skala 1–5, beserta apa yang membuatnya naik atau turun.</v>
      </c>
      <c r="R73" s="83" t="str">
        <v>Jurnal mingguan minimal 20 minggu.</v>
      </c>
      <c r="S73" s="83" t="str">
        <v>Bulan 1–12</v>
      </c>
      <c r="T73" s="83" t="str">
        <v>Bulanan</v>
      </c>
      <c r="U73" s="83" t="str">
        <v>Minimal 20 entri mingguan. Meski energi tercatat turun pada sebagian minggu, target tetap dikejar tanpa terputus lebih dari 2 minggu berturut-turut.</v>
      </c>
      <c r="V73" s="13">
        <v>2</v>
      </c>
      <c r="W73" s="83" t="str">
        <v>Studi Kasus Orang yang Bertahan Melewati Kegagalan Berulang</v>
      </c>
      <c r="X73" s="83" t="str">
        <v>Belajar dari pola nyata orang yang tidak menyerah pada hambatan berulang.</v>
      </c>
      <c r="Y73" s="83" t="str">
        <v>Pilih 1 tokoh (internal atau publik) yang dikenal bertahan melewati kegagalan berulang mencapai targetnya. Pelajari: berapa lama ia bertahan, apa yang membuatnya tidak menyerah, dan kapan ia mengubah taktik tanpa mengubah tujuan.</v>
      </c>
      <c r="Z73" s="83" t="str">
        <v>Catatan 3 pola ketekunan yang dipelajari.</v>
      </c>
      <c r="AA73" s="83" t="str">
        <v>Bulan 1–12</v>
      </c>
      <c r="AB73" s="83" t="str">
        <v>Bulanan</v>
      </c>
      <c r="AC73" s="83" t="str">
        <v>Minimal 3 pola ketekunan diidentifikasi dan minimal 1 diterapkan pada target sendiri.</v>
      </c>
      <c r="AD73" s="13">
        <v>2</v>
      </c>
      <c r="AE73" s="83" t="str">
        <v>Coaching Berkala dengan Atasan saat Menghadapi Hambatan Berulang</v>
      </c>
      <c r="AF73" s="83" t="str">
        <v>Mendapatkan dukungan yang menjaga komitmen tanpa menggantikan kemandirian.</v>
      </c>
      <c r="AG73" s="83" t="str">
        <v>Lakukan sesi coaching dengan atasan setiap kali menghadapi hambatan pada target sulit yang dipilih peserta, minimal 4 kali sepanjang program. Diskusikan apakah akan melanjutkan, mengubah taktik, atau butuh dukungan tambahan.</v>
      </c>
      <c r="AH73" s="83" t="str">
        <v>4 catatan coaching.</v>
      </c>
      <c r="AI73" s="83" t="str">
        <v>Bulan 1–12</v>
      </c>
      <c r="AJ73" s="83" t="str">
        <v>Bulanan</v>
      </c>
      <c r="AK73" s="83" t="str">
        <v>4 sesi terlaksana. Target tetap dikejar setelah setiap sesi, dan pada sesi-sesi terakhir peserta menunjukkan lebih sedikit kebutuhan didorong dibanding sesi awal.</v>
      </c>
      <c r="AL73" s="13">
        <v>2</v>
      </c>
      <c r="AM73" s="83" t="str">
        <v>Coaching Berkala dengan Atasan saat Menghadapi Hambatan Berulang</v>
      </c>
      <c r="AN73" s="83" t="str">
        <v>Mendapatkan dukungan yang menjaga komitmen tanpa menggantikan kemandirian.</v>
      </c>
      <c r="AO73" s="83" t="str">
        <v>Lakukan sesi coaching dengan atasan setiap kali menghadapi hambatan pada target sulit yang dipilih peserta, minimal 4 kali sepanjang program. Diskusikan apakah akan melanjutkan, mengubah taktik, atau butuh dukungan tambahan.</v>
      </c>
      <c r="AP73" s="83" t="str">
        <v>4 catatan coaching.</v>
      </c>
      <c r="AQ73" s="83" t="str">
        <v>Bulan 1–12</v>
      </c>
      <c r="AR73" s="83" t="str">
        <v>Bulanan</v>
      </c>
      <c r="AS73" s="83" t="str">
        <v>4 sesi terlaksana. Target tetap dikejar setelah setiap sesi, dan pada sesi-sesi terakhir peserta menunjukkan lebih sedikit kebutuhan didorong dibanding sesi awal.</v>
      </c>
    </row>
    <row r="74" spans="1:45">
      <c r="A74" s="287"/>
      <c r="B74" s="300"/>
      <c r="C74" s="297"/>
      <c r="D74" s="294"/>
      <c r="E74" s="290"/>
      <c r="F74" s="290"/>
      <c r="G74" s="290"/>
      <c r="H74" s="287"/>
      <c r="I74" s="290"/>
      <c r="J74" s="287"/>
      <c r="K74" s="287"/>
      <c r="L74" s="287"/>
      <c r="M74" s="287"/>
      <c r="N74" s="13"/>
      <c r="O74" s="83"/>
      <c r="P74" s="83"/>
      <c r="Q74" s="83"/>
      <c r="R74" s="83"/>
      <c r="S74" s="83"/>
      <c r="T74" s="83"/>
      <c r="U74" s="83"/>
      <c r="V74" s="13"/>
      <c r="W74" s="83"/>
      <c r="X74" s="83"/>
      <c r="Y74" s="83"/>
      <c r="Z74" s="83"/>
      <c r="AA74" s="83"/>
      <c r="AB74" s="83"/>
      <c r="AC74" s="83"/>
      <c r="AD74" s="13"/>
      <c r="AE74" s="83"/>
      <c r="AF74" s="83"/>
      <c r="AG74" s="83"/>
      <c r="AH74" s="83"/>
      <c r="AI74" s="83"/>
      <c r="AJ74" s="83"/>
      <c r="AK74" s="83"/>
      <c r="AL74" s="13"/>
      <c r="AM74" s="83"/>
      <c r="AN74" s="83"/>
      <c r="AO74" s="83"/>
      <c r="AP74" s="83"/>
      <c r="AQ74" s="83"/>
      <c r="AR74" s="83"/>
      <c r="AS74" s="83"/>
    </row>
    <row r="75" spans="1:45">
      <c r="A75" s="285" t="s">
        <v>556</v>
      </c>
      <c r="B75" s="298">
        <f>IFERROR(INDEX(panduan!$C$3:$H$16,
       MATCH(TRIM(A75), panduan!$B$3:$B$16, 0),
       MATCH(TRIM($B$4), panduan!$C$2:$H$2, 0)),"")</f>
        <v>1</v>
      </c>
      <c r="C75" s="295">
        <f>IFERROR(INDEX(panduan!$C$3:$H$16,
       MATCH(TRIM(A75), panduan!$B$3:$B$16, 0),
       MATCH(TRIM($B$69), panduan!$C$2:$H$2, 0)),"")</f>
        <v>3</v>
      </c>
      <c r="D75" s="292">
        <v>2</v>
      </c>
      <c r="E75" s="288">
        <f t="shared" ref="E75" si="7">D75-C75</f>
        <v>-1</v>
      </c>
      <c r="F75" s="288">
        <f t="shared" ref="F75" si="8">IF(E75&lt;0, MIN(-E75, 4), "")</f>
        <v>1</v>
      </c>
      <c r="G75" s="288" t="str">
        <f>IFERROR(
    INDEX(panduan!$C$181:$G$185,
          MATCH($F$65,panduan!$B$181:$B$185,0),
          MATCH($F75,panduan!$C$180:$G$180,0)
    ),
"")</f>
        <v>1,2,3,4</v>
      </c>
      <c r="H75" s="285" t="str">
        <f t="shared" ref="H75" si="9">IF(G75="", "",
   SUBSTITUTE(
     SUBSTITUTE(
       SUBSTITUTE(
         SUBSTITUTE(G75,
           "1", "Personal Development"),
         "2", "Education-Based Development"),
       "3", "Relation-Based Development"),
     "4", "Experience-Based Development")
)</f>
        <v>Personal Development,Education-Based Development,Relation-Based Development,Experience-Based Development</v>
      </c>
      <c r="I75" s="288">
        <f>IF(E75&lt;0,_xlfn.RANK.EQ(E75,$E$72:$E$113,1)+COUNTIF($E$72:E77,E75)-1,"")</f>
        <v>7</v>
      </c>
      <c r="J75" s="285" t="str">
        <f t="shared" ref="J75" si="10">IF(ISNUMBER(FIND("1",$G75)), $A75&amp;"|"&amp;$B$5&amp;"|1", "")</f>
        <v>Developing Oneself|Analyst|1</v>
      </c>
      <c r="K75" s="285" t="str">
        <f t="shared" ref="K75" si="11">IF(ISNUMBER(FIND("2",$G75)), $A75&amp;"|"&amp;$B$5&amp;"|2", "")</f>
        <v>Developing Oneself|Analyst|2</v>
      </c>
      <c r="L75" s="285" t="str">
        <f t="shared" ref="L75" si="12">IF(ISNUMBER(FIND("3",$G75)), $A75&amp;"|"&amp;$B$5&amp;"|3", "")</f>
        <v>Developing Oneself|Analyst|3</v>
      </c>
      <c r="M75" s="285" t="str">
        <f t="shared" ref="M75" si="13">IF(ISNUMBER(FIND("4",$G75)), $A75&amp;"|"&amp;$B$5&amp;"|4", "")</f>
        <v>Developing Oneself|Analyst|4</v>
      </c>
      <c r="N75" s="13" t="str" cm="1">
        <f t="array" ref="N75">_xlfn.LET(
    _xlpm.gap, $F75,
    _xlpm.key, $J75,
    _xlpm.data, _xlfn._xlws.FILTER('sheet template'!$F$2:$M$1009,
                 ('sheet template'!$A$2:$A$1009=_xlpm.key) *
                 ('sheet template'!$F$2:$F$1009&lt;=_xlpm.gap), ""),
    IF(OR(_xlpm.key="", _xlpm.gap&lt;=0, ROWS(_xlpm.data)=0), "", _xlpm.data)
)</f>
        <v/>
      </c>
      <c r="O75" s="83"/>
      <c r="P75" s="83"/>
      <c r="Q75" s="83"/>
      <c r="R75" s="83"/>
      <c r="S75" s="83"/>
      <c r="T75" s="83"/>
      <c r="U75" s="83"/>
      <c r="V75" s="13" t="str" cm="1">
        <f t="array" ref="V75">_xlfn.LET(
    _xlpm.gap, $F75,
    _xlpm.key, $K75,
    _xlpm.data, _xlfn._xlws.FILTER('sheet template'!$F$2:$M$1009,
                 ('sheet template'!$A$2:$A$1009=_xlpm.key) *
                 ('sheet template'!$F$2:$F$1009&lt;=_xlpm.gap), ""),
    IF(OR(_xlpm.key="", _xlpm.gap&lt;=0, ROWS(_xlpm.data)=0), "", _xlpm.data)
)</f>
        <v/>
      </c>
      <c r="W75" s="83"/>
      <c r="X75" s="83"/>
      <c r="Y75" s="83"/>
      <c r="Z75" s="83"/>
      <c r="AA75" s="83"/>
      <c r="AB75" s="83"/>
      <c r="AC75" s="83"/>
      <c r="AD75" s="13" t="str" cm="1">
        <f t="array" ref="AD75">_xlfn.LET(
    _xlpm.gap, $F75,
    _xlpm.key, $L75,
    _xlpm.data, _xlfn._xlws.FILTER('sheet template'!$F$2:$M$1009,
                 ('sheet template'!$A$2:$A$1009=_xlpm.key) *
                 ('sheet template'!$F$2:$F$1009&lt;=_xlpm.gap), ""),
    IF(OR(_xlpm.key="", _xlpm.gap&lt;=0, ROWS(_xlpm.data)=0), "", _xlpm.data)
)</f>
        <v/>
      </c>
      <c r="AE75" s="83"/>
      <c r="AF75" s="83"/>
      <c r="AG75" s="83"/>
      <c r="AH75" s="83"/>
      <c r="AI75" s="83"/>
      <c r="AJ75" s="83"/>
      <c r="AK75" s="83"/>
      <c r="AL75" s="13" t="str" cm="1">
        <f t="array" ref="AL75">_xlfn.LET(
    _xlpm.gap, $F75,
    _xlpm.key, $L75,
    _xlpm.data, _xlfn._xlws.FILTER('sheet template'!$F$2:$M$1009,
                 ('sheet template'!$A$2:$A$1009=_xlpm.key) *
                 ('sheet template'!$F$2:$F$1009&lt;=_xlpm.gap), ""),
    IF(OR(_xlpm.key="", _xlpm.gap&lt;=0, ROWS(_xlpm.data)=0), "", _xlpm.data)
)</f>
        <v/>
      </c>
      <c r="AM75" s="83"/>
      <c r="AN75" s="83"/>
      <c r="AO75" s="83"/>
      <c r="AP75" s="83"/>
      <c r="AQ75" s="83"/>
      <c r="AR75" s="83"/>
      <c r="AS75" s="83"/>
    </row>
    <row r="76" spans="1:45" ht="15" customHeight="1">
      <c r="A76" s="286"/>
      <c r="B76" s="299"/>
      <c r="C76" s="296"/>
      <c r="D76" s="293"/>
      <c r="E76" s="289"/>
      <c r="F76" s="289"/>
      <c r="G76" s="289"/>
      <c r="H76" s="286"/>
      <c r="I76" s="289"/>
      <c r="J76" s="286"/>
      <c r="K76" s="286"/>
      <c r="L76" s="286"/>
      <c r="M76" s="286"/>
      <c r="N76" s="13"/>
      <c r="O76" s="83"/>
      <c r="P76" s="83"/>
      <c r="Q76" s="83"/>
      <c r="R76" s="83"/>
      <c r="S76" s="83"/>
      <c r="T76" s="83"/>
      <c r="U76" s="83"/>
      <c r="V76" s="13"/>
      <c r="W76" s="83"/>
      <c r="X76" s="83"/>
      <c r="Y76" s="83"/>
      <c r="Z76" s="83"/>
      <c r="AA76" s="83"/>
      <c r="AB76" s="83"/>
      <c r="AC76" s="83"/>
      <c r="AD76" s="13"/>
      <c r="AE76" s="83"/>
      <c r="AF76" s="83"/>
      <c r="AG76" s="83"/>
      <c r="AH76" s="83"/>
      <c r="AI76" s="83"/>
      <c r="AJ76" s="83"/>
      <c r="AK76" s="83"/>
      <c r="AL76" s="13"/>
      <c r="AM76" s="83"/>
      <c r="AN76" s="83"/>
      <c r="AO76" s="83"/>
      <c r="AP76" s="83"/>
      <c r="AQ76" s="83"/>
      <c r="AR76" s="83"/>
      <c r="AS76" s="83"/>
    </row>
    <row r="77" spans="1:45">
      <c r="A77" s="287"/>
      <c r="B77" s="300"/>
      <c r="C77" s="297"/>
      <c r="D77" s="294"/>
      <c r="E77" s="290"/>
      <c r="F77" s="290"/>
      <c r="G77" s="290"/>
      <c r="H77" s="287"/>
      <c r="I77" s="290"/>
      <c r="J77" s="287"/>
      <c r="K77" s="287"/>
      <c r="L77" s="287"/>
      <c r="M77" s="287"/>
      <c r="N77" s="13"/>
      <c r="O77" s="83"/>
      <c r="P77" s="83"/>
      <c r="Q77" s="83"/>
      <c r="R77" s="83"/>
      <c r="S77" s="83"/>
      <c r="T77" s="83"/>
      <c r="U77" s="83"/>
      <c r="V77" s="13"/>
      <c r="W77" s="83"/>
      <c r="X77" s="83"/>
      <c r="Y77" s="83"/>
      <c r="Z77" s="83"/>
      <c r="AA77" s="83"/>
      <c r="AB77" s="83"/>
      <c r="AC77" s="83"/>
      <c r="AD77" s="13"/>
      <c r="AE77" s="83"/>
      <c r="AF77" s="83"/>
      <c r="AG77" s="83"/>
      <c r="AH77" s="83"/>
      <c r="AI77" s="83"/>
      <c r="AJ77" s="83"/>
      <c r="AK77" s="83"/>
      <c r="AL77" s="13"/>
      <c r="AM77" s="83"/>
      <c r="AN77" s="83"/>
      <c r="AO77" s="83"/>
      <c r="AP77" s="83"/>
      <c r="AQ77" s="83"/>
      <c r="AR77" s="83"/>
      <c r="AS77" s="83"/>
    </row>
    <row r="78" spans="1:45">
      <c r="A78" s="285" t="s">
        <v>557</v>
      </c>
      <c r="B78" s="298">
        <f>IFERROR(INDEX(panduan!$C$3:$H$16,
       MATCH(TRIM(A78), panduan!$B$3:$B$16, 0),
       MATCH(TRIM($B$4), panduan!$C$2:$H$2, 0)),"")</f>
        <v>1</v>
      </c>
      <c r="C78" s="295">
        <f>IFERROR(INDEX(panduan!$C$3:$H$16,
       MATCH(TRIM(A78), panduan!$B$3:$B$16, 0),
       MATCH(TRIM($B$69), panduan!$C$2:$H$2, 0)),"")</f>
        <v>3</v>
      </c>
      <c r="D78" s="292">
        <v>2</v>
      </c>
      <c r="E78" s="288">
        <f t="shared" ref="E78" si="14">D78-C78</f>
        <v>-1</v>
      </c>
      <c r="F78" s="288">
        <f t="shared" ref="F78" si="15">IF(E78&lt;0, MIN(-E78, 4), "")</f>
        <v>1</v>
      </c>
      <c r="G78" s="288" t="str">
        <f>IFERROR(
    INDEX(panduan!$C$181:$G$185,
          MATCH($F$65,panduan!$B$181:$B$185,0),
          MATCH($F78,panduan!$C$180:$G$180,0)
    ),
"")</f>
        <v>1,2,3,4</v>
      </c>
      <c r="H78" s="285" t="str">
        <f t="shared" ref="H78" si="16">IF(G78="", "",
   SUBSTITUTE(
     SUBSTITUTE(
       SUBSTITUTE(
         SUBSTITUTE(G78,
           "1", "Personal Development"),
         "2", "Education-Based Development"),
       "3", "Relation-Based Development"),
     "4", "Experience-Based Development")
)</f>
        <v>Personal Development,Education-Based Development,Relation-Based Development,Experience-Based Development</v>
      </c>
      <c r="I78" s="288">
        <f>IF(E78&lt;0,_xlfn.RANK.EQ(E78,$E$72:$E$113,1)+COUNTIF($E$72:E80,E78)-1,"")</f>
        <v>8</v>
      </c>
      <c r="J78" s="285" t="str">
        <f t="shared" ref="J78" si="17">IF(ISNUMBER(FIND("1",$G78)), $A78&amp;"|"&amp;$B$5&amp;"|1", "")</f>
        <v>Planning &amp; Organizing|Analyst|1</v>
      </c>
      <c r="K78" s="285" t="str">
        <f t="shared" ref="K78" si="18">IF(ISNUMBER(FIND("2",$G78)), $A78&amp;"|"&amp;$B$5&amp;"|2", "")</f>
        <v>Planning &amp; Organizing|Analyst|2</v>
      </c>
      <c r="L78" s="285" t="str">
        <f t="shared" ref="L78" si="19">IF(ISNUMBER(FIND("3",$G78)), $A78&amp;"|"&amp;$B$5&amp;"|3", "")</f>
        <v>Planning &amp; Organizing|Analyst|3</v>
      </c>
      <c r="M78" s="285" t="str">
        <f t="shared" ref="M78" si="20">IF(ISNUMBER(FIND("4",$G78)), $A78&amp;"|"&amp;$B$5&amp;"|4", "")</f>
        <v>Planning &amp; Organizing|Analyst|4</v>
      </c>
      <c r="N78" s="13" cm="1">
        <f t="array" ref="N78:U78">_xlfn.LET(
    _xlpm.gap, $F78,
    _xlpm.key, $J78,
    _xlpm.data, _xlfn._xlws.FILTER('sheet template'!$F$2:$M$1009,
                 ('sheet template'!$A$2:$A$1009=_xlpm.key) *
                 ('sheet template'!$F$2:$F$1009&lt;=_xlpm.gap), ""),
    IF(OR(_xlpm.key="", _xlpm.gap&lt;=0, ROWS(_xlpm.data)=0), "", _xlpm.data)
)</f>
        <v>1</v>
      </c>
      <c r="O78" s="83" t="str">
        <v>Log "Dasar Saya Mengurutkan Pekerjaan"</v>
      </c>
      <c r="P78" s="83" t="str">
        <v>Mengukur dasar yang benar-benar dipakai untuk mengurutkan pekerjaan yang bersaing.</v>
      </c>
      <c r="Q78" s="83" t="str">
        <v>Setiap kali menghadapi lebih dari 2 tugas yang bersaing memperebutkan waktu, catat: tugas apa saja, urutan yang peserta pilih, dan dasar sebenarnya — kedatangan, kemudahan, tenggat, atau dampak terhadap tujuan yang lebih besar.</v>
      </c>
      <c r="R78" s="83" t="str">
        <v>Log minimal 24 situasi; rekap triwulanan proporsi dasar "dampak" vs dasar yang lebih rendah. Termasuk review rekap triwulanan oleh Mentor.</v>
      </c>
      <c r="S78" s="83" t="str">
        <v>Bulan 1–12</v>
      </c>
      <c r="T78" s="83" t="str">
        <v>Bulanan</v>
      </c>
      <c r="U78" s="83" t="str">
        <v>Minimal 24 situasi tercatat. Proporsi yang diurutkan berdasar DAMPAK naik dari baseline triwulan 1 menjadi ≥50% pada triwulan 4. Milestone bulan ke-6: 12 situasi.</v>
      </c>
      <c r="V78" s="13" cm="1">
        <f t="array" ref="V78:AC78">_xlfn.LET(
    _xlpm.gap, $F78,
    _xlpm.key, $K78,
    _xlpm.data, _xlfn._xlws.FILTER('sheet template'!$F$2:$M$1009,
                 ('sheet template'!$A$2:$A$1009=_xlpm.key) *
                 ('sheet template'!$F$2:$F$1009&lt;=_xlpm.gap), ""),
    IF(OR(_xlpm.key="", _xlpm.gap&lt;=0, ROWS(_xlpm.data)=0), "", _xlpm.data)
)</f>
        <v>1</v>
      </c>
      <c r="W78" s="83" t="str">
        <v>Pelatihan Critical Thinking &amp; Questioning Technique</v>
      </c>
      <c r="X78" s="83" t="str">
        <v>Menguasai teknik bertanya yang menembus permukaan sebuah rencana kerja.</v>
      </c>
      <c r="Y78" s="83" t="str">
        <v>Ikuti pelatihan critical thinking, terapkan pada studi kasus rencana kerja unit sendiri.</v>
      </c>
      <c r="Z78" s="83" t="str">
        <v>Sertifikat; 10 pertanyaan kritis diterapkan pada 1 rencana kerja nyata.</v>
      </c>
      <c r="AA78" s="83" t="str">
        <v>Bulan 1–12</v>
      </c>
      <c r="AB78" s="83" t="str">
        <v>Bulanan</v>
      </c>
      <c r="AC78" s="83" t="str">
        <v>Kesepuluh pertanyaan diterapkan dan minimal 3 mengungkap asumsi yang sebelumnya tidak disadari.</v>
      </c>
      <c r="AD78" s="13" cm="1">
        <f t="array" ref="AD78:AK78">_xlfn.LET(
    _xlpm.gap, $F78,
    _xlpm.key, $L78,
    _xlpm.data, _xlfn._xlws.FILTER('sheet template'!$F$2:$M$1009,
                 ('sheet template'!$A$2:$A$1009=_xlpm.key) *
                 ('sheet template'!$F$2:$F$1009&lt;=_xlpm.gap), ""),
    IF(OR(_xlpm.key="", _xlpm.gap&lt;=0, ROWS(_xlpm.data)=0), "", _xlpm.data)
)</f>
        <v>1</v>
      </c>
      <c r="AE78" s="83" t="str">
        <v>Diskusi dengan Rekan Senior tentang Cara Mengurutkan Pekerjaan</v>
      </c>
      <c r="AF78" s="83" t="str">
        <v>Mempelajari dasar yang dipakai senior untuk mengurutkan pekerjaan yang bersaing.</v>
      </c>
      <c r="AG78" s="83" t="str">
        <v>Diskusi dengan rekan senior. Tanyakan: bagaimana mereka memutuskan mana yang dikerjakan lebih dulu ketika banyak tugas bersaing, dan apa dasar yang mereka pakai.</v>
      </c>
      <c r="AH78" s="83" t="str">
        <v>Catatan diskusi; dasar pengurutan yang akan diadopsi.</v>
      </c>
      <c r="AI78" s="83" t="str">
        <v>Bulan 1–12</v>
      </c>
      <c r="AJ78" s="83" t="str">
        <v>Bulanan</v>
      </c>
      <c r="AK78" s="83" t="str">
        <v>Minimal 3 dasar pengurutan dipelajari dan diterapkan pada log peserta dalam aktivitas ini.</v>
      </c>
      <c r="AL78" s="13" cm="1">
        <f t="array" ref="AL78:AS78">_xlfn.LET(
    _xlpm.gap, $F78,
    _xlpm.key, $L78,
    _xlpm.data, _xlfn._xlws.FILTER('sheet template'!$F$2:$M$1009,
                 ('sheet template'!$A$2:$A$1009=_xlpm.key) *
                 ('sheet template'!$F$2:$F$1009&lt;=_xlpm.gap), ""),
    IF(OR(_xlpm.key="", _xlpm.gap&lt;=0, ROWS(_xlpm.data)=0), "", _xlpm.data)
)</f>
        <v>1</v>
      </c>
      <c r="AM78" s="83" t="str">
        <v>Diskusi dengan Rekan Senior tentang Cara Mengurutkan Pekerjaan</v>
      </c>
      <c r="AN78" s="83" t="str">
        <v>Mempelajari dasar yang dipakai senior untuk mengurutkan pekerjaan yang bersaing.</v>
      </c>
      <c r="AO78" s="83" t="str">
        <v>Diskusi dengan rekan senior. Tanyakan: bagaimana mereka memutuskan mana yang dikerjakan lebih dulu ketika banyak tugas bersaing, dan apa dasar yang mereka pakai.</v>
      </c>
      <c r="AP78" s="83" t="str">
        <v>Catatan diskusi; dasar pengurutan yang akan diadopsi.</v>
      </c>
      <c r="AQ78" s="83" t="str">
        <v>Bulan 1–12</v>
      </c>
      <c r="AR78" s="83" t="str">
        <v>Bulanan</v>
      </c>
      <c r="AS78" s="83" t="str">
        <v>Minimal 3 dasar pengurutan dipelajari dan diterapkan pada log peserta dalam aktivitas ini.</v>
      </c>
    </row>
    <row r="79" spans="1:45">
      <c r="A79" s="286"/>
      <c r="B79" s="299"/>
      <c r="C79" s="296"/>
      <c r="D79" s="293"/>
      <c r="E79" s="289"/>
      <c r="F79" s="289"/>
      <c r="G79" s="289"/>
      <c r="H79" s="286"/>
      <c r="I79" s="289"/>
      <c r="J79" s="286"/>
      <c r="K79" s="286"/>
      <c r="L79" s="286"/>
      <c r="M79" s="286"/>
      <c r="N79" s="13"/>
      <c r="O79" s="83"/>
      <c r="P79" s="83"/>
      <c r="Q79" s="83"/>
      <c r="R79" s="83"/>
      <c r="S79" s="83"/>
      <c r="T79" s="83"/>
      <c r="U79" s="83"/>
      <c r="V79" s="13"/>
      <c r="W79" s="83"/>
      <c r="X79" s="83"/>
      <c r="Y79" s="83"/>
      <c r="Z79" s="83"/>
      <c r="AA79" s="83"/>
      <c r="AB79" s="83"/>
      <c r="AC79" s="83"/>
      <c r="AD79" s="13"/>
      <c r="AE79" s="83"/>
      <c r="AF79" s="83"/>
      <c r="AG79" s="83"/>
      <c r="AH79" s="83"/>
      <c r="AI79" s="83"/>
      <c r="AJ79" s="83"/>
      <c r="AK79" s="83"/>
      <c r="AL79" s="13"/>
      <c r="AM79" s="83"/>
      <c r="AN79" s="83"/>
      <c r="AO79" s="83"/>
      <c r="AP79" s="83"/>
      <c r="AQ79" s="83"/>
      <c r="AR79" s="83"/>
      <c r="AS79" s="83"/>
    </row>
    <row r="80" spans="1:45">
      <c r="A80" s="287"/>
      <c r="B80" s="300"/>
      <c r="C80" s="297"/>
      <c r="D80" s="294"/>
      <c r="E80" s="290"/>
      <c r="F80" s="290"/>
      <c r="G80" s="290"/>
      <c r="H80" s="287"/>
      <c r="I80" s="290"/>
      <c r="J80" s="287"/>
      <c r="K80" s="287"/>
      <c r="L80" s="287"/>
      <c r="M80" s="287"/>
      <c r="N80" s="13"/>
      <c r="O80" s="83"/>
      <c r="P80" s="83"/>
      <c r="Q80" s="83"/>
      <c r="R80" s="83"/>
      <c r="S80" s="83"/>
      <c r="T80" s="83"/>
      <c r="U80" s="83"/>
      <c r="V80" s="13"/>
      <c r="W80" s="83"/>
      <c r="X80" s="83"/>
      <c r="Y80" s="83"/>
      <c r="Z80" s="83"/>
      <c r="AA80" s="83"/>
      <c r="AB80" s="83"/>
      <c r="AC80" s="83"/>
      <c r="AD80" s="13"/>
      <c r="AE80" s="83"/>
      <c r="AF80" s="83"/>
      <c r="AG80" s="83"/>
      <c r="AH80" s="83"/>
      <c r="AI80" s="83"/>
      <c r="AJ80" s="83"/>
      <c r="AK80" s="83"/>
      <c r="AL80" s="13"/>
      <c r="AM80" s="83"/>
      <c r="AN80" s="83"/>
      <c r="AO80" s="83"/>
      <c r="AP80" s="83"/>
      <c r="AQ80" s="83"/>
      <c r="AR80" s="83"/>
      <c r="AS80" s="83"/>
    </row>
    <row r="81" spans="1:45" ht="90" customHeight="1">
      <c r="A81" s="285" t="s">
        <v>558</v>
      </c>
      <c r="B81" s="298">
        <f>IFERROR(INDEX(panduan!$C$3:$H$16,
       MATCH(TRIM(A81), panduan!$B$3:$B$16, 0),
       MATCH(TRIM($B$4), panduan!$C$2:$H$2, 0)),"")</f>
        <v>1</v>
      </c>
      <c r="C81" s="295">
        <f>IFERROR(INDEX(panduan!$C$3:$H$16,
       MATCH(TRIM(A81), panduan!$B$3:$B$16, 0),
       MATCH(TRIM($B$69), panduan!$C$2:$H$2, 0)),"")</f>
        <v>4</v>
      </c>
      <c r="D81" s="292">
        <v>2</v>
      </c>
      <c r="E81" s="288">
        <f t="shared" ref="E81" si="21">D81-C81</f>
        <v>-2</v>
      </c>
      <c r="F81" s="288">
        <f t="shared" ref="F81" si="22">IF(E81&lt;0, MIN(-E81, 4), "")</f>
        <v>2</v>
      </c>
      <c r="G81" s="288" t="str">
        <f>IFERROR(
    INDEX(panduan!$C$181:$G$185,
          MATCH($F$65,panduan!$B$181:$B$185,0),
          MATCH($F81,panduan!$C$180:$G$180,0)
    ),
"")</f>
        <v>1,2,3,4</v>
      </c>
      <c r="H81" s="285" t="str">
        <f t="shared" ref="H81" si="23">IF(G81="", "",
   SUBSTITUTE(
     SUBSTITUTE(
       SUBSTITUTE(
         SUBSTITUTE(G81,
           "1", "Personal Development"),
         "2", "Education-Based Development"),
       "3", "Relation-Based Development"),
     "4", "Experience-Based Development")
)</f>
        <v>Personal Development,Education-Based Development,Relation-Based Development,Experience-Based Development</v>
      </c>
      <c r="I81" s="288">
        <f>IF(E81&lt;0,_xlfn.RANK.EQ(E81,$E$72:$E$113,1)+COUNTIF($E$72:E83,E81)-1,"")</f>
        <v>3</v>
      </c>
      <c r="J81" s="285" t="str">
        <f t="shared" ref="J81" si="24">IF(ISNUMBER(FIND("1",$G81)), $A81&amp;"|"&amp;$B$5&amp;"|1", "")</f>
        <v>Problem Solving &amp; Decision Making|Analyst|1</v>
      </c>
      <c r="K81" s="285" t="str">
        <f t="shared" ref="K81" si="25">IF(ISNUMBER(FIND("2",$G81)), $A81&amp;"|"&amp;$B$5&amp;"|2", "")</f>
        <v>Problem Solving &amp; Decision Making|Analyst|2</v>
      </c>
      <c r="L81" s="285" t="str">
        <f t="shared" ref="L81" si="26">IF(ISNUMBER(FIND("3",$G81)), $A81&amp;"|"&amp;$B$5&amp;"|3", "")</f>
        <v>Problem Solving &amp; Decision Making|Analyst|3</v>
      </c>
      <c r="M81" s="285" t="str">
        <f t="shared" ref="M81" si="27">IF(ISNUMBER(FIND("4",$G81)), $A81&amp;"|"&amp;$B$5&amp;"|4", "")</f>
        <v>Problem Solving &amp; Decision Making|Analyst|4</v>
      </c>
      <c r="N81" s="13" cm="1">
        <f t="array" ref="N81:U82">_xlfn.LET(
    _xlpm.gap, $F81,
    _xlpm.key, $J81,
    _xlpm.data, _xlfn._xlws.FILTER('sheet template'!$F$2:$M$1009,
                 ('sheet template'!$A$2:$A$1009=_xlpm.key) *
                 ('sheet template'!$F$2:$F$1009&lt;=_xlpm.gap), ""),
    IF(OR(_xlpm.key="", _xlpm.gap&lt;=0, ROWS(_xlpm.data)=0), "", _xlpm.data)
)</f>
        <v>1</v>
      </c>
      <c r="O81" s="83" t="str">
        <v>Log "Keputusan dari Pengalaman vs Keputusan yang Diuji"</v>
      </c>
      <c r="P81" s="83" t="str">
        <v>Mengukur seberapa sering keputusan berbasis pengalaman semata diuji lebih dulu.</v>
      </c>
      <c r="Q81" s="83" t="str">
        <v>Setiap keputusan kerja yang biasanya peserta ambil berdasarkan pengalaman — cara troubleshooting, metode kerja, penilaian cepat — catat: apa pengalaman yang mendasarinya, pertanyaan apa yang peserta ajukan untuk mengujinya, dan apakah keputusan berubah setelah diuji.</v>
      </c>
      <c r="R81" s="83" t="str">
        <v>Log minimal 30 keputusan; rekap triwulanan proporsi yang diuji sebelum diputuskan. Termasuk review rekap triwulanan oleh Mentor.</v>
      </c>
      <c r="S81" s="83" t="str">
        <v>Bulan 1–12</v>
      </c>
      <c r="T81" s="83" t="str">
        <v>Bulanan</v>
      </c>
      <c r="U81" s="83" t="str">
        <v>Minimal 30 keputusan tercatat. Proporsi yang diuji naik dari baseline triwulan 1 menjadi ≥60% pada triwulan 4. Milestone bulan ke-6: 15 keputusan dan baseline terbentuk.</v>
      </c>
      <c r="V81" s="13" cm="1">
        <f t="array" ref="V81:AC82">_xlfn.LET(
    _xlpm.gap, $F81,
    _xlpm.key, $K81,
    _xlpm.data, _xlfn._xlws.FILTER('sheet template'!$F$2:$M$1009,
                 ('sheet template'!$A$2:$A$1009=_xlpm.key) *
                 ('sheet template'!$F$2:$F$1009&lt;=_xlpm.gap), ""),
    IF(OR(_xlpm.key="", _xlpm.gap&lt;=0, ROWS(_xlpm.data)=0), "", _xlpm.data)
)</f>
        <v>1</v>
      </c>
      <c r="W81" s="83" t="str">
        <v>Pelatihan Critical Thinking &amp; Questioning Technique</v>
      </c>
      <c r="X81" s="83" t="str">
        <v>Menguasai teknik bertanya yang menembus permukaan sebuah pernyataan.</v>
      </c>
      <c r="Y81" s="83" t="str">
        <v>Mengikuti pelatihan critical thinking, mempelajari teknik menyusun pertanyaan eksploratif, dan menerapkannya pada studi kasus nyata dari pekerjaan sendiri.</v>
      </c>
      <c r="Z81" s="83" t="str">
        <v>Sertifikat; 10 pertanyaan kritis yang diterapkan pada 1 keputusan kerja nyata beserta hasilnya. Termasuk konfirmasi Atasan.</v>
      </c>
      <c r="AA81" s="83" t="str">
        <v>Bulan 1–12</v>
      </c>
      <c r="AB81" s="83" t="str">
        <v>Bulanan</v>
      </c>
      <c r="AC81" s="83" t="str">
        <v>Kesepuluh pertanyaan diterapkan dan minimal 3 mengungkap asumsi yang sebelumnya tidak disadari, dikonfirmasi Atasan.</v>
      </c>
      <c r="AD81" s="13" cm="1">
        <f t="array" ref="AD81:AK82">_xlfn.LET(
    _xlpm.gap, $F81,
    _xlpm.key, $L81,
    _xlpm.data, _xlfn._xlws.FILTER('sheet template'!$F$2:$M$1009,
                 ('sheet template'!$A$2:$A$1009=_xlpm.key) *
                 ('sheet template'!$F$2:$F$1009&lt;=_xlpm.gap), ""),
    IF(OR(_xlpm.key="", _xlpm.gap&lt;=0, ROWS(_xlpm.data)=0), "", _xlpm.data)
)</f>
        <v>1</v>
      </c>
      <c r="AE81" s="83" t="str">
        <v>"Challenge Circle" — Peer Officer + Mentor Analyst</v>
      </c>
      <c r="AF81" s="83" t="str">
        <v>Menemukan cacat penalaran dalam keputusan berbasis pengalaman sebelum dijalankan.</v>
      </c>
      <c r="AG81" s="83" t="str">
        <v>Bentuk forum 3–4 peer SETINGKAT ditambah 1 mentor berjenjang Analyst. Setiap bulan, satu peserta membawa 1 keputusan yang akan diambil berdasarkan pengalaman. Peserta lain bertugas mencari asumsi yang belum diuji.</v>
      </c>
      <c r="AH81" s="83" t="str">
        <v>8 sesi (minimal 2 sebagai pembawa kasus); catatan asumsi yang ditemukan.</v>
      </c>
      <c r="AI81" s="83" t="str">
        <v>Bulan 1–12</v>
      </c>
      <c r="AJ81" s="83" t="str">
        <v>Bulanan</v>
      </c>
      <c r="AK81" s="83" t="str">
        <v>Minimal 6 dari 8 sesi terlaksana. Pada 2 kasus sendiri, minimal 1 asumsi yang ditemukan forum mengubah keputusan akhir.</v>
      </c>
      <c r="AL81" s="13" cm="1">
        <f t="array" ref="AL81:AS82">_xlfn.LET(
    _xlpm.gap, $F81,
    _xlpm.key, $L81,
    _xlpm.data, _xlfn._xlws.FILTER('sheet template'!$F$2:$M$1009,
                 ('sheet template'!$A$2:$A$1009=_xlpm.key) *
                 ('sheet template'!$F$2:$F$1009&lt;=_xlpm.gap), ""),
    IF(OR(_xlpm.key="", _xlpm.gap&lt;=0, ROWS(_xlpm.data)=0), "", _xlpm.data)
)</f>
        <v>1</v>
      </c>
      <c r="AM81" s="83" t="str">
        <v>"Challenge Circle" — Peer Officer + Mentor Analyst</v>
      </c>
      <c r="AN81" s="83" t="str">
        <v>Menemukan cacat penalaran dalam keputusan berbasis pengalaman sebelum dijalankan.</v>
      </c>
      <c r="AO81" s="83" t="str">
        <v>Bentuk forum 3–4 peer SETINGKAT ditambah 1 mentor berjenjang Analyst. Setiap bulan, satu peserta membawa 1 keputusan yang akan diambil berdasarkan pengalaman. Peserta lain bertugas mencari asumsi yang belum diuji.</v>
      </c>
      <c r="AP81" s="83" t="str">
        <v>8 sesi (minimal 2 sebagai pembawa kasus); catatan asumsi yang ditemukan.</v>
      </c>
      <c r="AQ81" s="83" t="str">
        <v>Bulan 1–12</v>
      </c>
      <c r="AR81" s="83" t="str">
        <v>Bulanan</v>
      </c>
      <c r="AS81" s="83" t="str">
        <v>Minimal 6 dari 8 sesi terlaksana. Pada 2 kasus sendiri, minimal 1 asumsi yang ditemukan forum mengubah keputusan akhir.</v>
      </c>
    </row>
    <row r="82" spans="1:45" ht="15" customHeight="1">
      <c r="A82" s="286"/>
      <c r="B82" s="299"/>
      <c r="C82" s="296"/>
      <c r="D82" s="293"/>
      <c r="E82" s="289"/>
      <c r="F82" s="289"/>
      <c r="G82" s="289"/>
      <c r="H82" s="286"/>
      <c r="I82" s="289"/>
      <c r="J82" s="286"/>
      <c r="K82" s="286"/>
      <c r="L82" s="286"/>
      <c r="M82" s="286"/>
      <c r="N82" s="13">
        <v>2</v>
      </c>
      <c r="O82" s="83" t="str">
        <v>Latihan "Tiga Pertanyaan Sebelum Memutuskan dari Pengalaman"</v>
      </c>
      <c r="P82" s="83" t="str">
        <v>Menguji asumsi di balik keputusan berbasis pengalaman sebelum menjalankannya.</v>
      </c>
      <c r="Q82" s="83" t="str">
        <v>Sebelum memutuskan sesuatu berdasarkan pengalaman, ajukan 3 pertanyaan: "apa yang membuat pengalaman itu relevan untuk situasi ini?", "apa yang berbeda dari situasi sebelumnya?", dan "apa yang terjadi bila asumsi ini salah?" Catat jawabannya dan apakah keputusan akhirnya berubah.</v>
      </c>
      <c r="R82" s="83" t="str">
        <v>24 catatan latihan; daftar keputusan yang berubah setelah pertanyaan itu diajukan.</v>
      </c>
      <c r="S82" s="83" t="str">
        <v>Bulan 1–12</v>
      </c>
      <c r="T82" s="83" t="str">
        <v>Bulanan</v>
      </c>
      <c r="U82" s="83" t="str">
        <v>Minimal 20 dari 24 latihan dilakukan. Pada minimal 12, jawaban atas pertanyaan itu mengubah atau mempertajam keputusan. Milestone bulan ke-6: 10 latihan.</v>
      </c>
      <c r="V82" s="13">
        <v>2</v>
      </c>
      <c r="W82" s="83" t="str">
        <v>Kursus Root Cause Analysis dan Logical Fallacy</v>
      </c>
      <c r="X82" s="83" t="str">
        <v>Mengenali kesalahan berpikir yang membuat sebuah kesimpulan tampak benar padahal tidak.</v>
      </c>
      <c r="Y82" s="83" t="str">
        <v>Belajar minimal 5 jenis logical fallacy dan menerapkan metode 5 Why pada 1 kasus. Identifikasi logical fallacy yang muncul dalam alasan yang biasa dipakai untuk keputusan berbasis pengalaman.</v>
      </c>
      <c r="Z82" s="83" t="str">
        <v>Dokumen analisis; daftar logical fallacy yang ditemukan dalam alasan kerja sendiri.</v>
      </c>
      <c r="AA82" s="83" t="str">
        <v>Bulan 1–12</v>
      </c>
      <c r="AB82" s="83" t="str">
        <v>Bulanan</v>
      </c>
      <c r="AC82" s="83" t="str">
        <v>Minimal 3 logical fallacy diidentifikasi dari alasan keputusan peserta sendiri, bukan dari contoh generik.</v>
      </c>
      <c r="AD82" s="13">
        <v>2</v>
      </c>
      <c r="AE82" s="83" t="str">
        <v>Mentoring Analisis Permasalahan dengan Pertanyaan Mendalam</v>
      </c>
      <c r="AF82" s="83" t="str">
        <v>Mempelajari pertanyaan seperti apa yang diajukan orang yang lebih berpengalaman.</v>
      </c>
      <c r="AG82" s="83" t="str">
        <v>Lakukan minimal 2 sesi mentoring. Minta mentor menunjukkan pertanyaan yang ia ajukan untuk menguji keputusan berbasis pengalamannya sendiri, bukan hanya memberi jawaban.</v>
      </c>
      <c r="AH82" s="83" t="str">
        <v>Catatan mentoring; daftar pertanyaan mentor yang akan diadopsi.</v>
      </c>
      <c r="AI82" s="83" t="str">
        <v>Bulan 1–12</v>
      </c>
      <c r="AJ82" s="83" t="str">
        <v>Bulanan</v>
      </c>
      <c r="AK82" s="83" t="str">
        <v>Minimal 3 pertanyaan yang dipelajari dari mentor diterapkan pada keputusan peserta sendiri dan tercatat di log.</v>
      </c>
      <c r="AL82" s="13">
        <v>2</v>
      </c>
      <c r="AM82" s="83" t="str">
        <v>Mentoring Analisis Permasalahan dengan Pertanyaan Mendalam</v>
      </c>
      <c r="AN82" s="83" t="str">
        <v>Mempelajari pertanyaan seperti apa yang diajukan orang yang lebih berpengalaman.</v>
      </c>
      <c r="AO82" s="83" t="str">
        <v>Lakukan minimal 2 sesi mentoring. Minta mentor menunjukkan pertanyaan yang ia ajukan untuk menguji keputusan berbasis pengalamannya sendiri, bukan hanya memberi jawaban.</v>
      </c>
      <c r="AP82" s="83" t="str">
        <v>Catatan mentoring; daftar pertanyaan mentor yang akan diadopsi.</v>
      </c>
      <c r="AQ82" s="83" t="str">
        <v>Bulan 1–12</v>
      </c>
      <c r="AR82" s="83" t="str">
        <v>Bulanan</v>
      </c>
      <c r="AS82" s="83" t="str">
        <v>Minimal 3 pertanyaan yang dipelajari dari mentor diterapkan pada keputusan peserta sendiri dan tercatat di log.</v>
      </c>
    </row>
    <row r="83" spans="1:45">
      <c r="A83" s="287"/>
      <c r="B83" s="300"/>
      <c r="C83" s="297"/>
      <c r="D83" s="294"/>
      <c r="E83" s="290"/>
      <c r="F83" s="290"/>
      <c r="G83" s="290"/>
      <c r="H83" s="287"/>
      <c r="I83" s="290"/>
      <c r="J83" s="287"/>
      <c r="K83" s="287"/>
      <c r="L83" s="287"/>
      <c r="M83" s="287"/>
      <c r="N83" s="13"/>
      <c r="O83" s="83"/>
      <c r="P83" s="83"/>
      <c r="Q83" s="83"/>
      <c r="R83" s="83"/>
      <c r="S83" s="83"/>
      <c r="T83" s="83"/>
      <c r="U83" s="83"/>
      <c r="V83" s="13"/>
      <c r="W83" s="83"/>
      <c r="X83" s="83"/>
      <c r="Y83" s="83"/>
      <c r="Z83" s="83"/>
      <c r="AA83" s="83"/>
      <c r="AB83" s="83"/>
      <c r="AC83" s="83"/>
      <c r="AD83" s="13"/>
      <c r="AE83" s="83"/>
      <c r="AF83" s="83"/>
      <c r="AG83" s="83"/>
      <c r="AH83" s="83"/>
      <c r="AI83" s="83"/>
      <c r="AJ83" s="83"/>
      <c r="AK83" s="83"/>
      <c r="AL83" s="13"/>
      <c r="AM83" s="83"/>
      <c r="AN83" s="83"/>
      <c r="AO83" s="83"/>
      <c r="AP83" s="83"/>
      <c r="AQ83" s="83"/>
      <c r="AR83" s="83"/>
      <c r="AS83" s="83"/>
    </row>
    <row r="84" spans="1:45">
      <c r="A84" s="285" t="s">
        <v>559</v>
      </c>
      <c r="B84" s="298">
        <f>IFERROR(INDEX(panduan!$C$3:$H$16,
       MATCH(TRIM(A84), panduan!$B$3:$B$16, 0),
       MATCH(TRIM($B$4), panduan!$C$2:$H$2, 0)),"")</f>
        <v>2</v>
      </c>
      <c r="C84" s="295">
        <f>IFERROR(INDEX(panduan!$C$3:$H$16,
       MATCH(TRIM(A84), panduan!$B$3:$B$16, 0),
       MATCH(TRIM($B$69), panduan!$C$2:$H$2, 0)),"")</f>
        <v>3</v>
      </c>
      <c r="D84" s="292">
        <v>3</v>
      </c>
      <c r="E84" s="288">
        <f t="shared" ref="E84" si="28">D84-C84</f>
        <v>0</v>
      </c>
      <c r="F84" s="288" t="str">
        <f t="shared" ref="F84" si="29">IF(E84&lt;0, MIN(-E84, 4), "")</f>
        <v/>
      </c>
      <c r="G84" s="288" t="str">
        <f>IFERROR(
    INDEX(panduan!$C$181:$G$185,
          MATCH($F$65,panduan!$B$181:$B$185,0),
          MATCH($F84,panduan!$C$180:$G$180,0)
    ),
"")</f>
        <v/>
      </c>
      <c r="H84" s="285" t="str">
        <f t="shared" ref="H84" si="30">IF(G84="", "",
   SUBSTITUTE(
     SUBSTITUTE(
       SUBSTITUTE(
         SUBSTITUTE(G84,
           "1", "Personal Development"),
         "2", "Education-Based Development"),
       "3", "Relation-Based Development"),
     "4", "Experience-Based Development")
)</f>
        <v/>
      </c>
      <c r="I84" s="288" t="str">
        <f>IF(E84&lt;0,_xlfn.RANK.EQ(E84,$E$72:$E$113,1)+COUNTIF($E$72:E86,E84)-1,"")</f>
        <v/>
      </c>
      <c r="J84" s="285" t="str">
        <f t="shared" ref="J84" si="31">IF(ISNUMBER(FIND("1",$G84)), $A84&amp;"|"&amp;$B$5&amp;"|1", "")</f>
        <v/>
      </c>
      <c r="K84" s="285" t="str">
        <f t="shared" ref="K84" si="32">IF(ISNUMBER(FIND("2",$G84)), $A84&amp;"|"&amp;$B$5&amp;"|2", "")</f>
        <v/>
      </c>
      <c r="L84" s="285" t="str">
        <f t="shared" ref="L84" si="33">IF(ISNUMBER(FIND("3",$G84)), $A84&amp;"|"&amp;$B$5&amp;"|3", "")</f>
        <v/>
      </c>
      <c r="M84" s="285" t="str">
        <f t="shared" ref="M84" si="34">IF(ISNUMBER(FIND("4",$G84)), $A84&amp;"|"&amp;$B$5&amp;"|4", "")</f>
        <v/>
      </c>
      <c r="N84" s="13" t="str" cm="1">
        <f t="array" ref="N84">_xlfn.LET(
    _xlpm.gap, $F84,
    _xlpm.key, $J84,
    _xlpm.data, _xlfn._xlws.FILTER('sheet template'!$F$2:$M$1009,
                 ('sheet template'!$A$2:$A$1009=_xlpm.key) *
                 ('sheet template'!$F$2:$F$1009&lt;=_xlpm.gap), ""),
    IF(OR(_xlpm.key="", _xlpm.gap&lt;=0, ROWS(_xlpm.data)=0), "", _xlpm.data)
)</f>
        <v/>
      </c>
      <c r="O84" s="83"/>
      <c r="P84" s="83"/>
      <c r="Q84" s="83"/>
      <c r="R84" s="83"/>
      <c r="S84" s="83"/>
      <c r="T84" s="83"/>
      <c r="U84" s="83"/>
      <c r="V84" s="13" t="str" cm="1">
        <f t="array" ref="V84">_xlfn.LET(
    _xlpm.gap, $F84,
    _xlpm.key, $K84,
    _xlpm.data, _xlfn._xlws.FILTER('sheet template'!$F$2:$M$1009,
                 ('sheet template'!$A$2:$A$1009=_xlpm.key) *
                 ('sheet template'!$F$2:$F$1009&lt;=_xlpm.gap), ""),
    IF(OR(_xlpm.key="", _xlpm.gap&lt;=0, ROWS(_xlpm.data)=0), "", _xlpm.data)
)</f>
        <v/>
      </c>
      <c r="W84" s="83"/>
      <c r="X84" s="83"/>
      <c r="Y84" s="83"/>
      <c r="Z84" s="83"/>
      <c r="AA84" s="83"/>
      <c r="AB84" s="83"/>
      <c r="AC84" s="83"/>
      <c r="AD84" s="13" t="str" cm="1">
        <f t="array" ref="AD84">_xlfn.LET(
    _xlpm.gap, $F84,
    _xlpm.key, $L84,
    _xlpm.data, _xlfn._xlws.FILTER('sheet template'!$F$2:$M$1009,
                 ('sheet template'!$A$2:$A$1009=_xlpm.key) *
                 ('sheet template'!$F$2:$F$1009&lt;=_xlpm.gap), ""),
    IF(OR(_xlpm.key="", _xlpm.gap&lt;=0, ROWS(_xlpm.data)=0), "", _xlpm.data)
)</f>
        <v/>
      </c>
      <c r="AE84" s="83"/>
      <c r="AF84" s="83"/>
      <c r="AG84" s="83"/>
      <c r="AH84" s="83"/>
      <c r="AI84" s="83"/>
      <c r="AJ84" s="83"/>
      <c r="AK84" s="83"/>
      <c r="AL84" s="13" t="str" cm="1">
        <f t="array" ref="AL84">_xlfn.LET(
    _xlpm.gap, $F84,
    _xlpm.key, $L84,
    _xlpm.data, _xlfn._xlws.FILTER('sheet template'!$F$2:$M$1009,
                 ('sheet template'!$A$2:$A$1009=_xlpm.key) *
                 ('sheet template'!$F$2:$F$1009&lt;=_xlpm.gap), ""),
    IF(OR(_xlpm.key="", _xlpm.gap&lt;=0, ROWS(_xlpm.data)=0), "", _xlpm.data)
)</f>
        <v/>
      </c>
      <c r="AM84" s="83"/>
      <c r="AN84" s="83"/>
      <c r="AO84" s="83"/>
      <c r="AP84" s="83"/>
      <c r="AQ84" s="83"/>
      <c r="AR84" s="83"/>
      <c r="AS84" s="83"/>
    </row>
    <row r="85" spans="1:45">
      <c r="A85" s="286"/>
      <c r="B85" s="299"/>
      <c r="C85" s="296"/>
      <c r="D85" s="293"/>
      <c r="E85" s="289"/>
      <c r="F85" s="289"/>
      <c r="G85" s="289"/>
      <c r="H85" s="286"/>
      <c r="I85" s="289"/>
      <c r="J85" s="286"/>
      <c r="K85" s="286"/>
      <c r="L85" s="286"/>
      <c r="M85" s="286"/>
      <c r="N85" s="13"/>
      <c r="O85" s="83"/>
      <c r="P85" s="83"/>
      <c r="Q85" s="83"/>
      <c r="R85" s="83"/>
      <c r="S85" s="83"/>
      <c r="T85" s="83"/>
      <c r="U85" s="83"/>
      <c r="V85" s="13"/>
      <c r="W85" s="83"/>
      <c r="X85" s="83"/>
      <c r="Y85" s="83"/>
      <c r="Z85" s="83"/>
      <c r="AA85" s="83"/>
      <c r="AB85" s="83"/>
      <c r="AC85" s="83"/>
      <c r="AD85" s="13"/>
      <c r="AE85" s="83"/>
      <c r="AF85" s="83"/>
      <c r="AG85" s="83"/>
      <c r="AH85" s="83"/>
      <c r="AI85" s="83"/>
      <c r="AJ85" s="83"/>
      <c r="AK85" s="83"/>
      <c r="AL85" s="13"/>
      <c r="AM85" s="83"/>
      <c r="AN85" s="83"/>
      <c r="AO85" s="83"/>
      <c r="AP85" s="83"/>
      <c r="AQ85" s="83"/>
      <c r="AR85" s="83"/>
      <c r="AS85" s="83"/>
    </row>
    <row r="86" spans="1:45">
      <c r="A86" s="287"/>
      <c r="B86" s="300"/>
      <c r="C86" s="297"/>
      <c r="D86" s="294"/>
      <c r="E86" s="290"/>
      <c r="F86" s="290"/>
      <c r="G86" s="290"/>
      <c r="H86" s="287"/>
      <c r="I86" s="290"/>
      <c r="J86" s="287"/>
      <c r="K86" s="287"/>
      <c r="L86" s="287"/>
      <c r="M86" s="287"/>
      <c r="N86" s="13"/>
      <c r="O86" s="83"/>
      <c r="P86" s="83"/>
      <c r="Q86" s="83"/>
      <c r="R86" s="83"/>
      <c r="S86" s="83"/>
      <c r="T86" s="83"/>
      <c r="U86" s="83"/>
      <c r="V86" s="13"/>
      <c r="W86" s="83"/>
      <c r="X86" s="83"/>
      <c r="Y86" s="83"/>
      <c r="Z86" s="83"/>
      <c r="AA86" s="83"/>
      <c r="AB86" s="83"/>
      <c r="AC86" s="83"/>
      <c r="AD86" s="13"/>
      <c r="AE86" s="83"/>
      <c r="AF86" s="83"/>
      <c r="AG86" s="83"/>
      <c r="AH86" s="83"/>
      <c r="AI86" s="83"/>
      <c r="AJ86" s="83"/>
      <c r="AK86" s="83"/>
      <c r="AL86" s="13"/>
      <c r="AM86" s="83"/>
      <c r="AN86" s="83"/>
      <c r="AO86" s="83"/>
      <c r="AP86" s="83"/>
      <c r="AQ86" s="83"/>
      <c r="AR86" s="83"/>
      <c r="AS86" s="83"/>
    </row>
    <row r="87" spans="1:45" ht="15" customHeight="1">
      <c r="A87" s="285" t="s">
        <v>560</v>
      </c>
      <c r="B87" s="298">
        <f>IFERROR(INDEX(panduan!$C$3:$H$16,
       MATCH(TRIM(A87), panduan!$B$3:$B$16, 0),
       MATCH(TRIM($B$4), panduan!$C$2:$H$2, 0)),"")</f>
        <v>1</v>
      </c>
      <c r="C87" s="295">
        <f>IFERROR(INDEX(panduan!$C$3:$H$16,
       MATCH(TRIM(A87), panduan!$B$3:$B$16, 0),
       MATCH(TRIM($B$69), panduan!$C$2:$H$2, 0)),"")</f>
        <v>3</v>
      </c>
      <c r="D87" s="292">
        <v>1</v>
      </c>
      <c r="E87" s="288">
        <f t="shared" ref="E87" si="35">D87-C87</f>
        <v>-2</v>
      </c>
      <c r="F87" s="288">
        <f t="shared" ref="F87" si="36">IF(E87&lt;0, MIN(-E87, 4), "")</f>
        <v>2</v>
      </c>
      <c r="G87" s="288" t="str">
        <f>IFERROR(
    INDEX(panduan!$C$181:$G$185,
          MATCH($F$65,panduan!$B$181:$B$185,0),
          MATCH($F87,panduan!$C$180:$G$180,0)
    ),
"")</f>
        <v>1,2,3,4</v>
      </c>
      <c r="H87" s="285" t="str">
        <f t="shared" ref="H87" si="37">IF(G87="", "",
   SUBSTITUTE(
     SUBSTITUTE(
       SUBSTITUTE(
         SUBSTITUTE(G87,
           "1", "Personal Development"),
         "2", "Education-Based Development"),
       "3", "Relation-Based Development"),
     "4", "Experience-Based Development")
)</f>
        <v>Personal Development,Education-Based Development,Relation-Based Development,Experience-Based Development</v>
      </c>
      <c r="I87" s="288">
        <f>IF(E87&lt;0,_xlfn.RANK.EQ(E87,$E$72:$E$113,1)+COUNTIF($E$72:E89,E87)-1,"")</f>
        <v>4</v>
      </c>
      <c r="J87" s="285" t="str">
        <f t="shared" ref="J87" si="38">IF(ISNUMBER(FIND("1",$G87)), $A87&amp;"|"&amp;$B$5&amp;"|1", "")</f>
        <v>Analytical Thinking|Analyst|1</v>
      </c>
      <c r="K87" s="285" t="str">
        <f t="shared" ref="K87" si="39">IF(ISNUMBER(FIND("2",$G87)), $A87&amp;"|"&amp;$B$5&amp;"|2", "")</f>
        <v>Analytical Thinking|Analyst|2</v>
      </c>
      <c r="L87" s="285" t="str">
        <f t="shared" ref="L87" si="40">IF(ISNUMBER(FIND("3",$G87)), $A87&amp;"|"&amp;$B$5&amp;"|3", "")</f>
        <v>Analytical Thinking|Analyst|3</v>
      </c>
      <c r="M87" s="285" t="str">
        <f t="shared" ref="M87" si="41">IF(ISNUMBER(FIND("4",$G87)), $A87&amp;"|"&amp;$B$5&amp;"|4", "")</f>
        <v>Analytical Thinking|Analyst|4</v>
      </c>
      <c r="N87" s="13" cm="1">
        <f t="array" ref="N87:U88">_xlfn.LET(
    _xlpm.gap, $F87,
    _xlpm.key, $J87,
    _xlpm.data, _xlfn._xlws.FILTER('sheet template'!$F$2:$M$1009,
                 ('sheet template'!$A$2:$A$1009=_xlpm.key) *
                 ('sheet template'!$F$2:$F$1009&lt;=_xlpm.gap), ""),
    IF(OR(_xlpm.key="", _xlpm.gap&lt;=0, ROWS(_xlpm.data)=0), "", _xlpm.data)
)</f>
        <v>1</v>
      </c>
      <c r="O87" s="83" t="str">
        <v>Log "Yang Saya Terima Begitu Saja"</v>
      </c>
      <c r="P87" s="83" t="str">
        <v>Menyadari seberapa sering informasi dan arahan diterima tanpa diperiksa.</v>
      </c>
      <c r="Q87" s="83" t="str">
        <v>Setiap arahan, laporan, atau usulan yang peserta terima, catat: apa premis atau klaim di dalamnya, apakah peserta mempertanyakannya, dan bila tidak — mengapa. Beri tanda khusus pada yang tidak dipertanyakan karena sungkan atau karena yang menyampaikan lebih senior.</v>
      </c>
      <c r="R87" s="83" t="str">
        <v>Log minimal 40 entri; rekap triwulanan proporsi yang dipertanyakan, dan proporsi yang tidak dipertanyakan karena sungkan. Termasuk rekap triwulanan.</v>
      </c>
      <c r="S87" s="83" t="str">
        <v>Bulan 1–12</v>
      </c>
      <c r="T87" s="83" t="str">
        <v>Bulanan</v>
      </c>
      <c r="U87" s="83" t="str">
        <v>Minimal 40 entri. Proporsi yang dipertanyakan naik dari baseline triwulan 1 menjadi ≥60% pada triwulan 4, DAN proporsi yang tidak dipertanyakan karena sungkan turun menjadi ≤15%. Milestone Bulan 6: 20 entri dan baseline terbentuk.</v>
      </c>
      <c r="V87" s="13" cm="1">
        <f t="array" ref="V87:AC88">_xlfn.LET(
    _xlpm.gap, $F87,
    _xlpm.key, $K87,
    _xlpm.data, _xlfn._xlws.FILTER('sheet template'!$F$2:$M$1009,
                 ('sheet template'!$A$2:$A$1009=_xlpm.key) *
                 ('sheet template'!$F$2:$F$1009&lt;=_xlpm.gap), ""),
    IF(OR(_xlpm.key="", _xlpm.gap&lt;=0, ROWS(_xlpm.data)=0), "", _xlpm.data)
)</f>
        <v>1</v>
      </c>
      <c r="W87" s="83" t="str">
        <v>Workshop "Critical Thinking: Menguji Klaim dan Bukti"</v>
      </c>
      <c r="X87" s="83" t="str">
        <v>Menguasai cara memeriksa apakah sebuah klaim benar-benar didukung buktinya.</v>
      </c>
      <c r="Y87" s="83" t="str">
        <v>Pelatihan 2 hari: struktur argumen, membedakan klaim dari bukti, mengenali korelasi yang disalahartikan sebagai sebab, bias konfirmasi, ukuran sampel dan keterwakilan, serta cara menantang sebuah klaim tanpa menyerang orangnya. Peserta membawa 3 klaim kerja nyata sebagai bahan.</v>
      </c>
      <c r="Z87" s="83" t="str">
        <v>Sertifikat; 3 klaim kerja nyata yang diuji beserta hasilnya.</v>
      </c>
      <c r="AA87" s="83" t="str">
        <v>Bulan 1–12</v>
      </c>
      <c r="AB87" s="83" t="str">
        <v>Bulanan</v>
      </c>
      <c r="AC87" s="83" t="str">
        <v>Lulus studi kasus dengan skor ≥80. Ketiga klaim kerja nyata diuji dan hasilnya dilaporkan kepada pihak yang menyampaikan klaim tersebut.</v>
      </c>
      <c r="AD87" s="13" cm="1">
        <f t="array" ref="AD87:AK88">_xlfn.LET(
    _xlpm.gap, $F87,
    _xlpm.key, $L87,
    _xlpm.data, _xlfn._xlws.FILTER('sheet template'!$F$2:$M$1009,
                 ('sheet template'!$A$2:$A$1009=_xlpm.key) *
                 ('sheet template'!$F$2:$F$1009&lt;=_xlpm.gap), ""),
    IF(OR(_xlpm.key="", _xlpm.gap&lt;=0, ROWS(_xlpm.data)=0), "", _xlpm.data)
)</f>
        <v>1</v>
      </c>
      <c r="AE87" s="83" t="str">
        <v>"Challenge Circle" — Peer Officer + Mentor Analyst</v>
      </c>
      <c r="AF87" s="83" t="str">
        <v>Menemukan cacat penalaran sebelum kesimpulan dipakai.</v>
      </c>
      <c r="AG87" s="83" t="str">
        <v>Bentuk forum 3–4 peer setingkat ditambah 1 mentor berjenjang Analyst. Setiap bulan, satu peserta membawa 1 kesimpulan kerja yang ia buat. Peserta lain BERTUGAS mencari cacat dalam penalarannya: bukti yang kurang, asumsi yang belum diuji, atau sumber yang terlalu sepihak.</v>
      </c>
      <c r="AH87" s="83" t="str">
        <v>10 sesi (minimal 3 sebagai pemapar); catatan cacat penalaran yang ditemukan. Termasuk review catatan pada Bulan ke-6 dan ke-12 oleh mentor.</v>
      </c>
      <c r="AI87" s="83" t="str">
        <v>Bulan 1–12</v>
      </c>
      <c r="AJ87" s="83" t="str">
        <v>Bulanan</v>
      </c>
      <c r="AK87" s="83" t="str">
        <v>Minimal 8 dari 10 sesi terlaksana. Pada 3 pemaparan sendiri, jumlah cacat penalaran yang ditemukan rekan turun ≥50% dari pemaparan pertama ke ketiga. Milestone Bulan 6: 4 sesi, minimal 1 sebagai pemapar.</v>
      </c>
      <c r="AL87" s="13" cm="1">
        <f t="array" ref="AL87:AS88">_xlfn.LET(
    _xlpm.gap, $F87,
    _xlpm.key, $L87,
    _xlpm.data, _xlfn._xlws.FILTER('sheet template'!$F$2:$M$1009,
                 ('sheet template'!$A$2:$A$1009=_xlpm.key) *
                 ('sheet template'!$F$2:$F$1009&lt;=_xlpm.gap), ""),
    IF(OR(_xlpm.key="", _xlpm.gap&lt;=0, ROWS(_xlpm.data)=0), "", _xlpm.data)
)</f>
        <v>1</v>
      </c>
      <c r="AM87" s="83" t="str">
        <v>"Challenge Circle" — Peer Officer + Mentor Analyst</v>
      </c>
      <c r="AN87" s="83" t="str">
        <v>Menemukan cacat penalaran sebelum kesimpulan dipakai.</v>
      </c>
      <c r="AO87" s="83" t="str">
        <v>Bentuk forum 3–4 peer setingkat ditambah 1 mentor berjenjang Analyst. Setiap bulan, satu peserta membawa 1 kesimpulan kerja yang ia buat. Peserta lain BERTUGAS mencari cacat dalam penalarannya: bukti yang kurang, asumsi yang belum diuji, atau sumber yang terlalu sepihak.</v>
      </c>
      <c r="AP87" s="83" t="str">
        <v>10 sesi (minimal 3 sebagai pemapar); catatan cacat penalaran yang ditemukan. Termasuk review catatan pada Bulan ke-6 dan ke-12 oleh mentor.</v>
      </c>
      <c r="AQ87" s="83" t="str">
        <v>Bulan 1–12</v>
      </c>
      <c r="AR87" s="83" t="str">
        <v>Bulanan</v>
      </c>
      <c r="AS87" s="83" t="str">
        <v>Minimal 8 dari 10 sesi terlaksana. Pada 3 pemaparan sendiri, jumlah cacat penalaran yang ditemukan rekan turun ≥50% dari pemaparan pertama ke ketiga. Milestone Bulan 6: 4 sesi, minimal 1 sebagai pemapar.</v>
      </c>
    </row>
    <row r="88" spans="1:45" ht="15" customHeight="1">
      <c r="A88" s="286"/>
      <c r="B88" s="299"/>
      <c r="C88" s="296"/>
      <c r="D88" s="293"/>
      <c r="E88" s="289"/>
      <c r="F88" s="289"/>
      <c r="G88" s="289"/>
      <c r="H88" s="286"/>
      <c r="I88" s="289"/>
      <c r="J88" s="286"/>
      <c r="K88" s="286"/>
      <c r="L88" s="286"/>
      <c r="M88" s="286"/>
      <c r="N88" s="13">
        <v>2</v>
      </c>
      <c r="O88" s="83" t="str">
        <v>Latihan "Tiga Mengapa dan Satu Pembanding"</v>
      </c>
      <c r="P88" s="83" t="str">
        <v>Menguji kesimpulan sendiri sebelum disampaikan kepada orang lain.</v>
      </c>
      <c r="Q88" s="83" t="str">
        <v>Untuk setiap kesimpulan yang akan peserta sampaikan, ajukan 3 pertanyaan "mengapa" kepada diri sendiri, lalu cari 1 sumber pembanding yang BERPOTENSI MEMBANTAH kesimpulan itu — bukan yang menguatkannya. Catat apa yang berubah setelah pembanding itu diperiksa.</v>
      </c>
      <c r="R88" s="83" t="str">
        <v>24 catatan latihan; daftar kesimpulan yang berubah atau dipertajam karena pembanding.</v>
      </c>
      <c r="S88" s="83" t="str">
        <v>Bulan 1–12</v>
      </c>
      <c r="T88" s="83" t="str">
        <v>Bulanan</v>
      </c>
      <c r="U88" s="83" t="str">
        <v>Minimal 20 dari 24 latihan dilakukan. Pada minimal 15, pembanding yang dicari mengubah atau mempertajam kesimpulan. Milestone Bulan 6: 10 latihan, minimal 6 mengubah kesimpulan.</v>
      </c>
      <c r="V88" s="13">
        <v>2</v>
      </c>
      <c r="W88" s="83" t="str">
        <v>Kursus Online "Mencari Pembanding &amp; Menilai Sumber"</v>
      </c>
      <c r="X88" s="83" t="str">
        <v>Memilih sumber yang berpotensi membantah, bukan yang mengukuhkan.</v>
      </c>
      <c r="Y88" s="83" t="str">
        <v>Selesaikan kursus online 6 jam: memetakan sumber informasi yang tersedia, menilai keandalan dan kepentingan di balik sebuah sumber, memilih pembanding yang berpotensi memberi jawaban berbeda, dan menangani informasi yang saling bertentangan.</v>
      </c>
      <c r="Z88" s="83" t="str">
        <v>Sertifikat; 3 perbandingan sumber pada masalah kerja nyata, masing-masing memuat minimal 1 sumber yang berpotensi membantah.</v>
      </c>
      <c r="AA88" s="83" t="str">
        <v>Bulan 1–12</v>
      </c>
      <c r="AB88" s="83" t="str">
        <v>Bulanan</v>
      </c>
      <c r="AC88" s="83" t="str">
        <v>Ketiga perbandingan memuat sumber yang berpotensi membantah, dan peserta mampu menjelaskan mengapa sumber itu dipilih. Dinilai atasan ≥4 (skala 1–5).</v>
      </c>
      <c r="AD88" s="13">
        <v>2</v>
      </c>
      <c r="AE88" s="83" t="str">
        <v>Shadowing Atasan saat Mempertanyakan Usulan</v>
      </c>
      <c r="AF88" s="83" t="str">
        <v>Mempelajari pertanyaan apa yang diajukan senior sebelum menerima sesuatu.</v>
      </c>
      <c r="AG88" s="83" t="str">
        <v>Minta izin mengamati 3 forum di mana atasan menerima usulan, laporan, atau permintaan. Catat: pertanyaan apa yang ia ajukan sebelum menerimanya, bagian mana dari usulan yang ia periksa lebih dulu, apa yang membuatnya meminta bukti tambahan, dan bagaimana ia menyampaikannya.</v>
      </c>
      <c r="AH88" s="83" t="str">
        <v>3 laporan observasi; daftar 6 pertanyaan penguji yang akan diadopsi.</v>
      </c>
      <c r="AI88" s="83" t="str">
        <v>Bulan 1–12</v>
      </c>
      <c r="AJ88" s="83" t="str">
        <v>Bulanan</v>
      </c>
      <c r="AK88" s="83" t="str">
        <v>Minimal 4 pertanyaan penguji hasil observasi dipakai pada situasi nyata dan tercatat dalam log yang dipilih peserta dalam aktivitas ini. Divalidasi atasan ≥4 (skala 1–5).</v>
      </c>
      <c r="AL88" s="13">
        <v>2</v>
      </c>
      <c r="AM88" s="83" t="str">
        <v>Shadowing Atasan saat Mempertanyakan Usulan</v>
      </c>
      <c r="AN88" s="83" t="str">
        <v>Mempelajari pertanyaan apa yang diajukan senior sebelum menerima sesuatu.</v>
      </c>
      <c r="AO88" s="83" t="str">
        <v>Minta izin mengamati 3 forum di mana atasan menerima usulan, laporan, atau permintaan. Catat: pertanyaan apa yang ia ajukan sebelum menerimanya, bagian mana dari usulan yang ia periksa lebih dulu, apa yang membuatnya meminta bukti tambahan, dan bagaimana ia menyampaikannya.</v>
      </c>
      <c r="AP88" s="83" t="str">
        <v>3 laporan observasi; daftar 6 pertanyaan penguji yang akan diadopsi.</v>
      </c>
      <c r="AQ88" s="83" t="str">
        <v>Bulan 1–12</v>
      </c>
      <c r="AR88" s="83" t="str">
        <v>Bulanan</v>
      </c>
      <c r="AS88" s="83" t="str">
        <v>Minimal 4 pertanyaan penguji hasil observasi dipakai pada situasi nyata dan tercatat dalam log yang dipilih peserta dalam aktivitas ini. Divalidasi atasan ≥4 (skala 1–5).</v>
      </c>
    </row>
    <row r="89" spans="1:45">
      <c r="A89" s="287"/>
      <c r="B89" s="300"/>
      <c r="C89" s="297"/>
      <c r="D89" s="294"/>
      <c r="E89" s="290"/>
      <c r="F89" s="290"/>
      <c r="G89" s="290"/>
      <c r="H89" s="287"/>
      <c r="I89" s="290"/>
      <c r="J89" s="287"/>
      <c r="K89" s="287"/>
      <c r="L89" s="287"/>
      <c r="M89" s="287"/>
      <c r="N89" s="13"/>
      <c r="O89" s="83"/>
      <c r="P89" s="83"/>
      <c r="Q89" s="83"/>
      <c r="R89" s="83"/>
      <c r="S89" s="83"/>
      <c r="T89" s="83"/>
      <c r="U89" s="83"/>
      <c r="V89" s="13"/>
      <c r="W89" s="83"/>
      <c r="X89" s="83"/>
      <c r="Y89" s="83"/>
      <c r="Z89" s="83"/>
      <c r="AA89" s="83"/>
      <c r="AB89" s="83"/>
      <c r="AC89" s="83"/>
      <c r="AD89" s="13"/>
      <c r="AE89" s="83"/>
      <c r="AF89" s="83"/>
      <c r="AG89" s="83"/>
      <c r="AH89" s="83"/>
      <c r="AI89" s="83"/>
      <c r="AJ89" s="83"/>
      <c r="AK89" s="83"/>
      <c r="AL89" s="13"/>
      <c r="AM89" s="83"/>
      <c r="AN89" s="83"/>
      <c r="AO89" s="83"/>
      <c r="AP89" s="83"/>
      <c r="AQ89" s="83"/>
      <c r="AR89" s="83"/>
      <c r="AS89" s="83"/>
    </row>
    <row r="90" spans="1:45">
      <c r="A90" s="285" t="s">
        <v>561</v>
      </c>
      <c r="B90" s="298">
        <f>IFERROR(INDEX(panduan!$C$3:$H$16,
       MATCH(TRIM(A90), panduan!$B$3:$B$16, 0),
       MATCH(TRIM($B$4), panduan!$C$2:$H$2, 0)),"")</f>
        <v>1</v>
      </c>
      <c r="C90" s="295">
        <f>IFERROR(INDEX(panduan!$C$3:$H$16,
       MATCH(TRIM(A90), panduan!$B$3:$B$16, 0),
       MATCH(TRIM($B$69), panduan!$C$2:$H$2, 0)),"")</f>
        <v>3</v>
      </c>
      <c r="D90" s="292">
        <v>1</v>
      </c>
      <c r="E90" s="288">
        <f t="shared" ref="E90" si="42">D90-C90</f>
        <v>-2</v>
      </c>
      <c r="F90" s="288">
        <f t="shared" ref="F90" si="43">IF(E90&lt;0, MIN(-E90, 4), "")</f>
        <v>2</v>
      </c>
      <c r="G90" s="288" t="str">
        <f>IFERROR(
    INDEX(panduan!$C$181:$G$185,
          MATCH($F$65,panduan!$B$181:$B$185,0),
          MATCH($F90,panduan!$C$180:$G$180,0)
    ),
"")</f>
        <v>1,2,3,4</v>
      </c>
      <c r="H90" s="285" t="str">
        <f t="shared" ref="H90" si="44">IF(G90="", "",
   SUBSTITUTE(
     SUBSTITUTE(
       SUBSTITUTE(
         SUBSTITUTE(G90,
           "1", "Personal Development"),
         "2", "Education-Based Development"),
       "3", "Relation-Based Development"),
     "4", "Experience-Based Development")
)</f>
        <v>Personal Development,Education-Based Development,Relation-Based Development,Experience-Based Development</v>
      </c>
      <c r="I90" s="288">
        <f>IF(E90&lt;0,_xlfn.RANK.EQ(E90,$E$72:$E$113,1)+COUNTIF($E$72:E92,E90)-1,"")</f>
        <v>5</v>
      </c>
      <c r="J90" s="285" t="str">
        <f t="shared" ref="J90" si="45">IF(ISNUMBER(FIND("1",$G90)), $A90&amp;"|"&amp;$B$5&amp;"|1", "")</f>
        <v>Managing Change|Analyst|1</v>
      </c>
      <c r="K90" s="285" t="str">
        <f t="shared" ref="K90" si="46">IF(ISNUMBER(FIND("2",$G90)), $A90&amp;"|"&amp;$B$5&amp;"|2", "")</f>
        <v>Managing Change|Analyst|2</v>
      </c>
      <c r="L90" s="285" t="str">
        <f t="shared" ref="L90" si="47">IF(ISNUMBER(FIND("3",$G90)), $A90&amp;"|"&amp;$B$5&amp;"|3", "")</f>
        <v>Managing Change|Analyst|3</v>
      </c>
      <c r="M90" s="285" t="str">
        <f t="shared" ref="M90" si="48">IF(ISNUMBER(FIND("4",$G90)), $A90&amp;"|"&amp;$B$5&amp;"|4", "")</f>
        <v>Managing Change|Analyst|4</v>
      </c>
      <c r="N90" s="13" cm="1">
        <f t="array" ref="N90:U91">_xlfn.LET(
    _xlpm.gap, $F90,
    _xlpm.key, $J90,
    _xlpm.data, _xlfn._xlws.FILTER('sheet template'!$F$2:$M$1009,
                 ('sheet template'!$A$2:$A$1009=_xlpm.key) *
                 ('sheet template'!$F$2:$F$1009&lt;=_xlpm.gap), ""),
    IF(OR(_xlpm.key="", _xlpm.gap&lt;=0, ROWS(_xlpm.data)=0), "", _xlpm.data)
)</f>
        <v>1</v>
      </c>
      <c r="O90" s="83" t="str">
        <v>Log "Perubahan Mendadak"</v>
      </c>
      <c r="P90" s="83" t="str">
        <v>Mengukur berapa lama peserta kembali produktif setelah perubahan datang tanpa persiapan.</v>
      </c>
      <c r="Q90" s="83" t="str">
        <v>Setiap kali arahan, target, prioritas, atau situasi kerja berubah MENDADAK — tanpa pemberitahuan sebelumnya — catat: apa yang berubah, kapan peserta diberi tahu, apa yang peserta lakukan pada jam-jam pertama, dan kapan peserta kembali bekerja dengan produktivitas normal. Perubahan yang sudah diumumkan jauh hari TIDAK dicatat di sini.</v>
      </c>
      <c r="R90" s="83" t="str">
        <v>Log minimal 20 perubahan mendadak; rekap triwulanan rata-rata waktu pemulihan produktivitas. Termasuk review rekap triwulanan.</v>
      </c>
      <c r="S90" s="83" t="str">
        <v>Bulan 1–12</v>
      </c>
      <c r="T90" s="83" t="str">
        <v>Bulanan</v>
      </c>
      <c r="U90" s="83" t="str">
        <v>Minimal 20 kejadian tercatat. Rata-rata waktu pemulihan turun ≥50% dari baseline triwulan 1 pada triwulan 4. Milestone bulan ke-6: 10 kejadian dan baseline terbentuk.</v>
      </c>
      <c r="V90" s="13" cm="1">
        <f t="array" ref="V90:AC91">_xlfn.LET(
    _xlpm.gap, $F90,
    _xlpm.key, $K90,
    _xlpm.data, _xlfn._xlws.FILTER('sheet template'!$F$2:$M$1009,
                 ('sheet template'!$A$2:$A$1009=_xlpm.key) *
                 ('sheet template'!$F$2:$F$1009&lt;=_xlpm.gap), ""),
    IF(OR(_xlpm.key="", _xlpm.gap&lt;=0, ROWS(_xlpm.data)=0), "", _xlpm.data)
)</f>
        <v>1</v>
      </c>
      <c r="W90" s="83" t="str">
        <v>Workshop "Bekerja Saat Prioritas Berubah Mendadak" (1 hari)</v>
      </c>
      <c r="X90" s="83" t="str">
        <v>Menguasai langkah yang mempercepat kembali produktif setelah perubahan mendadak.</v>
      </c>
      <c r="Y90" s="83" t="str">
        <v>Pelatihan 1 hari: menyusun ulang prioritas dengan cepat, memutuskan pekerjaan mana yang dihentikan dan mana yang diteruskan, menegosiasikan ulang komitmen yang terdampak, serta apa yang harus dikerjakan pada jam-jam pertama setelah perubahan datang.</v>
      </c>
      <c r="Z90" s="83" t="str">
        <v>Sertifikat; 1 daftar langkah pribadi untuk jam-jam pertama setelah perubahan mendadak.</v>
      </c>
      <c r="AA90" s="83" t="str">
        <v>Bulan 1–12</v>
      </c>
      <c r="AB90" s="83" t="str">
        <v>Bulanan</v>
      </c>
      <c r="AC90" s="83" t="str">
        <v>Lulus simulasi dengan skor ≥80 (skala 0–100). Daftar langkah dipakai pada minimal 5 kejadian nyata dan tercatat dalam dokumentasi peserta, dengan waktu pemulihan turun ≥20% dibanding kejadian sebelum pelatihan.</v>
      </c>
      <c r="AD90" s="13" cm="1">
        <f t="array" ref="AD90:AK91">_xlfn.LET(
    _xlpm.gap, $F90,
    _xlpm.key, $L90,
    _xlpm.data, _xlfn._xlws.FILTER('sheet template'!$F$2:$M$1009,
                 ('sheet template'!$A$2:$A$1009=_xlpm.key) *
                 ('sheet template'!$F$2:$F$1009&lt;=_xlpm.gap), ""),
    IF(OR(_xlpm.key="", _xlpm.gap&lt;=0, ROWS(_xlpm.data)=0), "", _xlpm.data)
)</f>
        <v>1</v>
      </c>
      <c r="AE90" s="83" t="str">
        <v>Shadowing Atasan saat Menerima Perubahan Mendadak</v>
      </c>
      <c r="AF90" s="83" t="str">
        <v>Mempelajari apa yang dilakukan senior pada 24 jam pertama setelah perubahan datang.</v>
      </c>
      <c r="AG90" s="83" t="str">
        <v>Minta izin mengamati 3 kesempatan di mana atasan menerima perubahan arahan atau prioritas secara mendadak. Catat: apa yang ia lakukan lebih dulu, pekerjaan apa yang ia hentikan, siapa yang ia hubungi dan dalam urutan apa, dan berapa lama sampai unit kembali bekerja normal.</v>
      </c>
      <c r="AH90" s="83" t="str">
        <v>3 laporan observasi; daftar 4 langkah yang akan diadopsi.</v>
      </c>
      <c r="AI90" s="83" t="str">
        <v>Bulan 1–12</v>
      </c>
      <c r="AJ90" s="83" t="str">
        <v>Bulanan</v>
      </c>
      <c r="AK90" s="83" t="str">
        <v>Minimal 3 langkah diterapkan pada kejadian nyata peserta; waktu pemulihan terkait turun ≥20% dari baseline. Divalidasi Atasan ≥4 (skala 1–5).</v>
      </c>
      <c r="AL90" s="13" cm="1">
        <f t="array" ref="AL90:AS91">_xlfn.LET(
    _xlpm.gap, $F90,
    _xlpm.key, $L90,
    _xlpm.data, _xlfn._xlws.FILTER('sheet template'!$F$2:$M$1009,
                 ('sheet template'!$A$2:$A$1009=_xlpm.key) *
                 ('sheet template'!$F$2:$F$1009&lt;=_xlpm.gap), ""),
    IF(OR(_xlpm.key="", _xlpm.gap&lt;=0, ROWS(_xlpm.data)=0), "", _xlpm.data)
)</f>
        <v>1</v>
      </c>
      <c r="AM90" s="83" t="str">
        <v>Shadowing Atasan saat Menerima Perubahan Mendadak</v>
      </c>
      <c r="AN90" s="83" t="str">
        <v>Mempelajari apa yang dilakukan senior pada 24 jam pertama setelah perubahan datang.</v>
      </c>
      <c r="AO90" s="83" t="str">
        <v>Minta izin mengamati 3 kesempatan di mana atasan menerima perubahan arahan atau prioritas secara mendadak. Catat: apa yang ia lakukan lebih dulu, pekerjaan apa yang ia hentikan, siapa yang ia hubungi dan dalam urutan apa, dan berapa lama sampai unit kembali bekerja normal.</v>
      </c>
      <c r="AP90" s="83" t="str">
        <v>3 laporan observasi; daftar 4 langkah yang akan diadopsi.</v>
      </c>
      <c r="AQ90" s="83" t="str">
        <v>Bulan 1–12</v>
      </c>
      <c r="AR90" s="83" t="str">
        <v>Bulanan</v>
      </c>
      <c r="AS90" s="83" t="str">
        <v>Minimal 3 langkah diterapkan pada kejadian nyata peserta; waktu pemulihan terkait turun ≥20% dari baseline. Divalidasi Atasan ≥4 (skala 1–5).</v>
      </c>
    </row>
    <row r="91" spans="1:45">
      <c r="A91" s="286"/>
      <c r="B91" s="299"/>
      <c r="C91" s="296"/>
      <c r="D91" s="293"/>
      <c r="E91" s="289"/>
      <c r="F91" s="289"/>
      <c r="G91" s="289"/>
      <c r="H91" s="286"/>
      <c r="I91" s="289"/>
      <c r="J91" s="286"/>
      <c r="K91" s="286"/>
      <c r="L91" s="286"/>
      <c r="M91" s="286"/>
      <c r="N91" s="13">
        <v>2</v>
      </c>
      <c r="O91" s="83" t="str">
        <v>Jurnal "Penolakan Saya Sendiri"</v>
      </c>
      <c r="P91" s="83" t="str">
        <v>Mengenali bentuk penolakan diri yang biasanya tidak disadari.</v>
      </c>
      <c r="Q91" s="83" t="str">
        <v>Setiap kali peserta menolak, menunda, mencari alasan, atau diam-diam tidak menjalankan sebuah perubahan, catat: apa perubahannya, bentuk penolakan peserta, apa yang SEBENARNYA peserta khawatirkan di baliknya, dan apa yang akhirnya peserta lakukan. Beri tanda: disadari saat kejadian, atau baru disadari belakangan.</v>
      </c>
      <c r="R91" s="83" t="str">
        <v>Log minimal 24 kejadian; rekap triwulanan proporsi yang disadari saat kejadian.</v>
      </c>
      <c r="S91" s="83" t="str">
        <v>Bulan 1–12</v>
      </c>
      <c r="T91" s="83" t="str">
        <v>Bulanan</v>
      </c>
      <c r="U91" s="83" t="str">
        <v>Minimal 24 kejadian tercatat. Proporsi penolakan yang disadari SAAT KEJADIAN naik dari baseline triwulan 1 menjadi ≥60% pada triwulan 4. Milestone bulan ke-6: 12 kejadian dan baseline terbentuk.</v>
      </c>
      <c r="V91" s="13">
        <v>2</v>
      </c>
      <c r="W91" s="83" t="str">
        <v>Kursus Online "Mengenali Resistensi Diri"</v>
      </c>
      <c r="X91" s="83" t="str">
        <v>Mengenali bentuk penolakan diri yang menyamar sebagai alasan yang masuk akal.</v>
      </c>
      <c r="Y91" s="83" t="str">
        <v>Selesaikan kursus online: bentuk-bentuk penolakan yang tidak terlihat seperti penolakan — menunda, meminta data tambahan terus-menerus, menyoroti risiko secara berlebihan, atau mengalihkan ke prioritas lain; membedakan keberatan yang berdasar dari penolakan yang bersumber dari ketidaknyamanan.</v>
      </c>
      <c r="Z91" s="83" t="str">
        <v>Sertifikat; daftar 6 bentuk penolakan pribadi yang paling sering peserta pakai.</v>
      </c>
      <c r="AA91" s="83" t="str">
        <v>Bulan 1–12</v>
      </c>
      <c r="AB91" s="83" t="str">
        <v>Bulanan</v>
      </c>
      <c r="AC91" s="83" t="str">
        <v>Peserta mampu menunjukkan minimal 4 dari 6 bentuk itu pada catatan reflektif peserta, dinilai Mentor ≥4 (skala 1–5). Daftar yang hanya berisi bentuk umum tanpa contoh dari catatan reflektif peserta tidak memenuhi.</v>
      </c>
      <c r="AD91" s="13">
        <v>2</v>
      </c>
      <c r="AE91" s="83" t="str">
        <v>Meminta Atasan dan 2 Rekan Menandai Tanda Penolakan Peserta</v>
      </c>
      <c r="AF91" s="83" t="str">
        <v>Menemukan bentuk penolakan yang terlihat orang lain tetapi tidak disadari peserta.</v>
      </c>
      <c r="AG91" s="83" t="str">
        <v>Minta atasan dan 2 rekan menandai — pada saat kejadian — ketika mereka melihat tanda peserta menolak sebuah perubahan: menunda, mempertanyakan berlebihan, atau tidak menjalankan. Bandingkan dengan jurnal peserta sendiri, dan catat bentuk mana yang sama sekali tidak peserta sadari.</v>
      </c>
      <c r="AH91" s="83" t="str">
        <v>Catatan dari 3 pengamat selama minimal 6 bulan; perbandingan dengan jurnal pribadi. Termasuk rekap bulanan.</v>
      </c>
      <c r="AI91" s="83" t="str">
        <v>Bulan 1–12</v>
      </c>
      <c r="AJ91" s="83" t="str">
        <v>Bulanan</v>
      </c>
      <c r="AK91" s="83" t="str">
        <v>Selisih antara yang dicatat pengamat dan yang dicatat peserta turun ≥50% dari bulan pertama ke bulan terakhir. Peserta mampu menyebutkan minimal 2 bentuk penolakan yang semula tidak disadari.</v>
      </c>
      <c r="AL91" s="13">
        <v>2</v>
      </c>
      <c r="AM91" s="83" t="str">
        <v>Meminta Atasan dan 2 Rekan Menandai Tanda Penolakan Peserta</v>
      </c>
      <c r="AN91" s="83" t="str">
        <v>Menemukan bentuk penolakan yang terlihat orang lain tetapi tidak disadari peserta.</v>
      </c>
      <c r="AO91" s="83" t="str">
        <v>Minta atasan dan 2 rekan menandai — pada saat kejadian — ketika mereka melihat tanda peserta menolak sebuah perubahan: menunda, mempertanyakan berlebihan, atau tidak menjalankan. Bandingkan dengan jurnal peserta sendiri, dan catat bentuk mana yang sama sekali tidak peserta sadari.</v>
      </c>
      <c r="AP91" s="83" t="str">
        <v>Catatan dari 3 pengamat selama minimal 6 bulan; perbandingan dengan jurnal pribadi. Termasuk rekap bulanan.</v>
      </c>
      <c r="AQ91" s="83" t="str">
        <v>Bulan 1–12</v>
      </c>
      <c r="AR91" s="83" t="str">
        <v>Bulanan</v>
      </c>
      <c r="AS91" s="83" t="str">
        <v>Selisih antara yang dicatat pengamat dan yang dicatat peserta turun ≥50% dari bulan pertama ke bulan terakhir. Peserta mampu menyebutkan minimal 2 bentuk penolakan yang semula tidak disadari.</v>
      </c>
    </row>
    <row r="92" spans="1:45">
      <c r="A92" s="287"/>
      <c r="B92" s="300"/>
      <c r="C92" s="297"/>
      <c r="D92" s="294"/>
      <c r="E92" s="290"/>
      <c r="F92" s="290"/>
      <c r="G92" s="290"/>
      <c r="H92" s="287"/>
      <c r="I92" s="290"/>
      <c r="J92" s="287"/>
      <c r="K92" s="287"/>
      <c r="L92" s="287"/>
      <c r="M92" s="287"/>
      <c r="N92" s="13"/>
      <c r="O92" s="83"/>
      <c r="P92" s="83"/>
      <c r="Q92" s="83"/>
      <c r="R92" s="83"/>
      <c r="S92" s="83"/>
      <c r="T92" s="83"/>
      <c r="U92" s="83"/>
      <c r="V92" s="13"/>
      <c r="W92" s="83"/>
      <c r="X92" s="83"/>
      <c r="Y92" s="83"/>
      <c r="Z92" s="83"/>
      <c r="AA92" s="83"/>
      <c r="AB92" s="83"/>
      <c r="AC92" s="83"/>
      <c r="AD92" s="13"/>
      <c r="AE92" s="83"/>
      <c r="AF92" s="83"/>
      <c r="AG92" s="83"/>
      <c r="AH92" s="83"/>
      <c r="AI92" s="83"/>
      <c r="AJ92" s="83"/>
      <c r="AK92" s="83"/>
      <c r="AL92" s="13"/>
      <c r="AM92" s="83"/>
      <c r="AN92" s="83"/>
      <c r="AO92" s="83"/>
      <c r="AP92" s="83"/>
      <c r="AQ92" s="83"/>
      <c r="AR92" s="83"/>
      <c r="AS92" s="83"/>
    </row>
    <row r="93" spans="1:45">
      <c r="A93" s="285" t="s">
        <v>562</v>
      </c>
      <c r="B93" s="298">
        <f>IFERROR(INDEX(panduan!$C$3:$H$16,
       MATCH(TRIM(A93), panduan!$B$3:$B$16, 0),
       MATCH(TRIM($B$4), panduan!$C$2:$H$2, 0)),"")</f>
        <v>1</v>
      </c>
      <c r="C93" s="295">
        <f>IFERROR(INDEX(panduan!$C$3:$H$16,
       MATCH(TRIM(A93), panduan!$B$3:$B$16, 0),
       MATCH(TRIM($B$69), panduan!$C$2:$H$2, 0)),"")</f>
        <v>3</v>
      </c>
      <c r="D93" s="292">
        <v>1</v>
      </c>
      <c r="E93" s="288">
        <f t="shared" ref="E93" si="49">D93-C93</f>
        <v>-2</v>
      </c>
      <c r="F93" s="288">
        <f t="shared" ref="F93" si="50">IF(E93&lt;0, MIN(-E93, 4), "")</f>
        <v>2</v>
      </c>
      <c r="G93" s="288" t="str">
        <f>IFERROR(
    INDEX(panduan!$C$181:$G$185,
          MATCH($F$65,panduan!$B$181:$B$185,0),
          MATCH($F93,panduan!$C$180:$G$180,0)
    ),
"")</f>
        <v>1,2,3,4</v>
      </c>
      <c r="H93" s="285" t="str">
        <f t="shared" ref="H93" si="51">IF(G93="", "",
   SUBSTITUTE(
     SUBSTITUTE(
       SUBSTITUTE(
         SUBSTITUTE(G93,
           "1", "Personal Development"),
         "2", "Education-Based Development"),
       "3", "Relation-Based Development"),
     "4", "Experience-Based Development")
)</f>
        <v>Personal Development,Education-Based Development,Relation-Based Development,Experience-Based Development</v>
      </c>
      <c r="I93" s="288">
        <f>IF(E93&lt;0,_xlfn.RANK.EQ(E93,$E$72:$E$113,1)+COUNTIF($E$72:E95,E93)-1,"")</f>
        <v>6</v>
      </c>
      <c r="J93" s="285" t="str">
        <f t="shared" ref="J93" si="52">IF(ISNUMBER(FIND("1",$G93)), $A93&amp;"|"&amp;$B$5&amp;"|1", "")</f>
        <v>Strategic Thinking|Analyst|1</v>
      </c>
      <c r="K93" s="285" t="str">
        <f t="shared" ref="K93" si="53">IF(ISNUMBER(FIND("2",$G93)), $A93&amp;"|"&amp;$B$5&amp;"|2", "")</f>
        <v>Strategic Thinking|Analyst|2</v>
      </c>
      <c r="L93" s="285" t="str">
        <f t="shared" ref="L93" si="54">IF(ISNUMBER(FIND("3",$G93)), $A93&amp;"|"&amp;$B$5&amp;"|3", "")</f>
        <v>Strategic Thinking|Analyst|3</v>
      </c>
      <c r="M93" s="285" t="str">
        <f t="shared" ref="M93" si="55">IF(ISNUMBER(FIND("4",$G93)), $A93&amp;"|"&amp;$B$5&amp;"|4", "")</f>
        <v>Strategic Thinking|Analyst|4</v>
      </c>
      <c r="N93" s="13" cm="1">
        <f t="array" ref="N93:U94">_xlfn.LET(
    _xlpm.gap, $F93,
    _xlpm.key, $J93,
    _xlpm.data, _xlfn._xlws.FILTER('sheet template'!$F$2:$M$1009,
                 ('sheet template'!$A$2:$A$1009=_xlpm.key) *
                 ('sheet template'!$F$2:$F$1009&lt;=_xlpm.gap), ""),
    IF(OR(_xlpm.key="", _xlpm.gap&lt;=0, ROWS(_xlpm.data)=0), "", _xlpm.data)
)</f>
        <v>1</v>
      </c>
      <c r="O93" s="83" t="str">
        <v>Latihan "Satu Analisis, Tiga Audiens"</v>
      </c>
      <c r="P93" s="83" t="str">
        <v>Menyesuaikan bentuk penjelasan analisis tanpa mengubah kesimpulannya.</v>
      </c>
      <c r="Q93" s="83" t="str">
        <v>Setiap 2 minggu, ambil 1 analisis bisnis yang peserta buat — kondisi internal, pembanding pesaing, atau faktor eksternal. Tulis 3 versi: untuk atasan (keputusan apa yang peserta minta), untuk rekan pelaksana (apa yang harus dikerjakan), dan untuk pihak di luar unit yang tidak menguasai istilahnya. Catat apa yang dibuang dan apa yang wajib dipertahankan.</v>
      </c>
      <c r="R93" s="83" t="str">
        <v>24 set latihan (72 versi); daftar istilah bisnis beserta padanan awamnya. Termasuk review bulan ke-6 dan ke-12 oleh Mentor.</v>
      </c>
      <c r="S93" s="83" t="str">
        <v>Bulan 1–12</v>
      </c>
      <c r="T93" s="83" t="str">
        <v>Bulanan</v>
      </c>
      <c r="U93" s="83" t="str">
        <v>Minimal 20 dari 24 set lengkap. Mentor menilai ≥4 (skala 1–5) pada aspek "kesimpulan tetap sama di ketiga versi" — versi yang lebih sederhana tidak boleh mengubah arah kesimpulannya. Milestone bulan ke-6: 10 set.</v>
      </c>
      <c r="V93" s="13" cm="1">
        <f t="array" ref="V93:AC94">_xlfn.LET(
    _xlpm.gap, $F93,
    _xlpm.key, $K93,
    _xlpm.data, _xlfn._xlws.FILTER('sheet template'!$F$2:$M$1009,
                 ('sheet template'!$A$2:$A$1009=_xlpm.key) *
                 ('sheet template'!$F$2:$F$1009&lt;=_xlpm.gap), ""),
    IF(OR(_xlpm.key="", _xlpm.gap&lt;=0, ROWS(_xlpm.data)=0), "", _xlpm.data)
)</f>
        <v>1</v>
      </c>
      <c r="W93" s="83" t="str">
        <v>Workshop "Structured Business Communication: Pyramid Principle &amp; SCQA" (2 hari)</v>
      </c>
      <c r="X93" s="83" t="str">
        <v>Menguasai kerangka menyusun penjelasan analisis yang runtut.</v>
      </c>
      <c r="Y93" s="83" t="str">
        <v>Pelatihan 2 hari: Pyramid Principle (kesimpulan di depan, pengelompokan alasan secara MECE), kerangka SCQA untuk membingkai persoalan bisnis, menurunkan tingkat abstraksi, dan menyesuaikan kedalaman per audiens. Peserta membawa 1 analisis bisnis nyata.</v>
      </c>
      <c r="Z93" s="83" t="str">
        <v>Sertifikat; 1 analisis bisnis nyata yang disusun ulang dengan kerangka piramida — versi sebelum dan sesudah.</v>
      </c>
      <c r="AA93" s="83" t="str">
        <v>Bulan 1–12</v>
      </c>
      <c r="AB93" s="83" t="str">
        <v>Bulanan</v>
      </c>
      <c r="AC93" s="83" t="str">
        <v>Lulus studi kasus dengan skor ≥80 (skala 0–100). Atasan menilai versi sesudah ≥4 (skala 1–5) pada kejelasan struktur dibanding versi sebelum.</v>
      </c>
      <c r="AD93" s="13" cm="1">
        <f t="array" ref="AD93:AK94">_xlfn.LET(
    _xlpm.gap, $F93,
    _xlpm.key, $L93,
    _xlpm.data, _xlfn._xlws.FILTER('sheet template'!$F$2:$M$1009,
                 ('sheet template'!$A$2:$A$1009=_xlpm.key) *
                 ('sheet template'!$F$2:$F$1009&lt;=_xlpm.gap), ""),
    IF(OR(_xlpm.key="", _xlpm.gap&lt;=0, ROWS(_xlpm.data)=0), "", _xlpm.data)
)</f>
        <v>1</v>
      </c>
      <c r="AE93" s="83" t="str">
        <v>"Clarity Circle" — Uji Penjelasan Analisis ke Rekan Lintas Fungsi</v>
      </c>
      <c r="AF93" s="83" t="str">
        <v>Menguji apakah analisis dipahami oleh orang yang tidak menguasai konteksnya.</v>
      </c>
      <c r="AG93" s="83" t="str">
        <v>Bentuk forum 4 orang dari fungsi berbeda. Setiap bulan, satu peserta menjelaskan 1 analisis bisnis selama 5 menit. Pendengar WAJIB menjelaskan ulang isinya dengan bahasa sendiri; pemapar mencatat bagian mana yang maknanya bergeser, lalu memperbaiki penjelasannya.</v>
      </c>
      <c r="AH93" s="83" t="str">
        <v>10 sesi (minimal 3 sebagai pemapar); catatan pergeseran makna dan perbaikannya.</v>
      </c>
      <c r="AI93" s="83" t="str">
        <v>Bulan 1–12</v>
      </c>
      <c r="AJ93" s="83" t="str">
        <v>Bulanan</v>
      </c>
      <c r="AK93" s="83" t="str">
        <v>Minimal 8 dari 10 sesi terlaksana. Pada 3 pemaparan sendiri, ketepatan penjelasan-ulang pendengar naik ≥20% dari pemaparan pertama ke ketiga. Milestone bulan ke-6: 4 sesi, minimal 1 sebagai pemapar.</v>
      </c>
      <c r="AL93" s="13" cm="1">
        <f t="array" ref="AL93:AS94">_xlfn.LET(
    _xlpm.gap, $F93,
    _xlpm.key, $L93,
    _xlpm.data, _xlfn._xlws.FILTER('sheet template'!$F$2:$M$1009,
                 ('sheet template'!$A$2:$A$1009=_xlpm.key) *
                 ('sheet template'!$F$2:$F$1009&lt;=_xlpm.gap), ""),
    IF(OR(_xlpm.key="", _xlpm.gap&lt;=0, ROWS(_xlpm.data)=0), "", _xlpm.data)
)</f>
        <v>1</v>
      </c>
      <c r="AM93" s="83" t="str">
        <v>"Clarity Circle" — Uji Penjelasan Analisis ke Rekan Lintas Fungsi</v>
      </c>
      <c r="AN93" s="83" t="str">
        <v>Menguji apakah analisis dipahami oleh orang yang tidak menguasai konteksnya.</v>
      </c>
      <c r="AO93" s="83" t="str">
        <v>Bentuk forum 4 orang dari fungsi berbeda. Setiap bulan, satu peserta menjelaskan 1 analisis bisnis selama 5 menit. Pendengar WAJIB menjelaskan ulang isinya dengan bahasa sendiri; pemapar mencatat bagian mana yang maknanya bergeser, lalu memperbaiki penjelasannya.</v>
      </c>
      <c r="AP93" s="83" t="str">
        <v>10 sesi (minimal 3 sebagai pemapar); catatan pergeseran makna dan perbaikannya.</v>
      </c>
      <c r="AQ93" s="83" t="str">
        <v>Bulan 1–12</v>
      </c>
      <c r="AR93" s="83" t="str">
        <v>Bulanan</v>
      </c>
      <c r="AS93" s="83" t="str">
        <v>Minimal 8 dari 10 sesi terlaksana. Pada 3 pemaparan sendiri, ketepatan penjelasan-ulang pendengar naik ≥20% dari pemaparan pertama ke ketiga. Milestone bulan ke-6: 4 sesi, minimal 1 sebagai pemapar.</v>
      </c>
    </row>
    <row r="94" spans="1:45">
      <c r="A94" s="286"/>
      <c r="B94" s="299"/>
      <c r="C94" s="296"/>
      <c r="D94" s="293"/>
      <c r="E94" s="289"/>
      <c r="F94" s="289"/>
      <c r="G94" s="289"/>
      <c r="H94" s="286"/>
      <c r="I94" s="289"/>
      <c r="J94" s="286"/>
      <c r="K94" s="286"/>
      <c r="L94" s="286"/>
      <c r="M94" s="286"/>
      <c r="N94" s="13">
        <v>2</v>
      </c>
      <c r="O94" s="83" t="str">
        <v>Jurnal "Pertanyaan Setelah Saya Menjelaskan Analisis"</v>
      </c>
      <c r="P94" s="83" t="str">
        <v>Mengukur apakah analisis benar-benar dipahami, bukan sekadar terdengar meyakinkan.</v>
      </c>
      <c r="Q94" s="83" t="str">
        <v>Setiap kali menjelaskan analisis bisnis, catat pertanyaan balik yang muncul dan kelompokkan: pertanyaan pendalaman (tanda penjelasan berhasil) atau pertanyaan pengulangan dan salah tangkap (tanda penjelasan gagal). Tulis bagian mana dari penjelasan peserta yang menyebabkannya.</v>
      </c>
      <c r="R94" s="83" t="str">
        <v>Log minimal 30 kejadian; rekap triwulanan proporsi pertanyaan salah-tangkap.</v>
      </c>
      <c r="S94" s="83" t="str">
        <v>Bulan 1–12</v>
      </c>
      <c r="T94" s="83" t="str">
        <v>Bulanan</v>
      </c>
      <c r="U94" s="83" t="str">
        <v>Proporsi pertanyaan salah-tangkap turun dari baseline triwulan 1 menjadi ≤20% pada triwulan 4. Milestone bulan ke-6: 15 kejadian dan baseline terbentuk.</v>
      </c>
      <c r="V94" s="13">
        <v>2</v>
      </c>
      <c r="W94" s="83" t="str">
        <v>Kursus Online "Menyajikan Analisis Bisnis untuk Non-Analis"</v>
      </c>
      <c r="X94" s="83" t="str">
        <v>Menerjemahkan analisis dan angka menjadi penjelasan yang dipahami pihak non-teknis.</v>
      </c>
      <c r="Y94" s="83" t="str">
        <v>Selesaikan kursus: memilih satu pesan utama dari sekumpulan analisis, memilih bentuk visual yang tepat, menghindari grafik yang menyesatkan, dan menyusun alur dari temuan menuju tindakan.</v>
      </c>
      <c r="Z94" s="83" t="str">
        <v>Sertifikat; 1 analisis bisnis yang diubah menjadi penjelasan 5 menit untuk audiens non-analis. Termasuk penilaian oleh Atasan dan Rekan Kerja.</v>
      </c>
      <c r="AA94" s="83" t="str">
        <v>Bulan 1–12</v>
      </c>
      <c r="AB94" s="83" t="str">
        <v>Bulanan</v>
      </c>
      <c r="AC94" s="83" t="str">
        <v>Diuji ke minimal 3 pendengar non-analis: seluruhnya mampu menyebutkan pesan utama dengan benar setelah satu kali mendengar. Atasan menilai ≥4 (skala 1–5).</v>
      </c>
      <c r="AD94" s="13">
        <v>2</v>
      </c>
      <c r="AE94" s="83" t="str">
        <v>Shadowing Atasan saat Menjelaskan Analisis ke Audiens Berbeda</v>
      </c>
      <c r="AF94" s="83" t="str">
        <v>Mempelajari cara senior menyesuaikan penjelasan analisis yang sama untuk audiens berbeda.</v>
      </c>
      <c r="AG94" s="83" t="str">
        <v>Minta izin mengamati 3 forum di mana atasan menjelaskan analisis atau angka bisnis kepada audiens dengan tingkat pemahaman berbeda. Catat: urutan penyampaian, apa yang sengaja dibuang, analogi yang dipakai, dan bagaimana ia mengubah kedalaman ketika audiens terlihat tidak mengikuti.</v>
      </c>
      <c r="AH94" s="83" t="str">
        <v>3 laporan observasi; daftar 4 teknik yang akan diadopsi.</v>
      </c>
      <c r="AI94" s="83" t="str">
        <v>Bulan 1–12</v>
      </c>
      <c r="AJ94" s="83" t="str">
        <v>Bulanan</v>
      </c>
      <c r="AK94" s="83" t="str">
        <v>Minimal 3 teknik diterapkan pada penjelasan sendiri dan divalidasi Atasan ≥4 (skala 1–5).</v>
      </c>
      <c r="AL94" s="13">
        <v>2</v>
      </c>
      <c r="AM94" s="83" t="str">
        <v>Shadowing Atasan saat Menjelaskan Analisis ke Audiens Berbeda</v>
      </c>
      <c r="AN94" s="83" t="str">
        <v>Mempelajari cara senior menyesuaikan penjelasan analisis yang sama untuk audiens berbeda.</v>
      </c>
      <c r="AO94" s="83" t="str">
        <v>Minta izin mengamati 3 forum di mana atasan menjelaskan analisis atau angka bisnis kepada audiens dengan tingkat pemahaman berbeda. Catat: urutan penyampaian, apa yang sengaja dibuang, analogi yang dipakai, dan bagaimana ia mengubah kedalaman ketika audiens terlihat tidak mengikuti.</v>
      </c>
      <c r="AP94" s="83" t="str">
        <v>3 laporan observasi; daftar 4 teknik yang akan diadopsi.</v>
      </c>
      <c r="AQ94" s="83" t="str">
        <v>Bulan 1–12</v>
      </c>
      <c r="AR94" s="83" t="str">
        <v>Bulanan</v>
      </c>
      <c r="AS94" s="83" t="str">
        <v>Minimal 3 teknik diterapkan pada penjelasan sendiri dan divalidasi Atasan ≥4 (skala 1–5).</v>
      </c>
    </row>
    <row r="95" spans="1:45">
      <c r="A95" s="287"/>
      <c r="B95" s="300"/>
      <c r="C95" s="297"/>
      <c r="D95" s="294"/>
      <c r="E95" s="290"/>
      <c r="F95" s="290"/>
      <c r="G95" s="290"/>
      <c r="H95" s="287"/>
      <c r="I95" s="290"/>
      <c r="J95" s="287"/>
      <c r="K95" s="287"/>
      <c r="L95" s="287"/>
      <c r="M95" s="287"/>
      <c r="N95" s="13"/>
      <c r="O95" s="83"/>
      <c r="P95" s="83"/>
      <c r="Q95" s="83"/>
      <c r="R95" s="83"/>
      <c r="S95" s="83"/>
      <c r="T95" s="83"/>
      <c r="U95" s="83"/>
      <c r="V95" s="13"/>
      <c r="W95" s="83"/>
      <c r="X95" s="83"/>
      <c r="Y95" s="83"/>
      <c r="Z95" s="83"/>
      <c r="AA95" s="83"/>
      <c r="AB95" s="83"/>
      <c r="AC95" s="83"/>
      <c r="AD95" s="13"/>
      <c r="AE95" s="83"/>
      <c r="AF95" s="83"/>
      <c r="AG95" s="83"/>
      <c r="AH95" s="83"/>
      <c r="AI95" s="83"/>
      <c r="AJ95" s="83"/>
      <c r="AK95" s="83"/>
      <c r="AL95" s="13"/>
      <c r="AM95" s="83"/>
      <c r="AN95" s="83"/>
      <c r="AO95" s="83"/>
      <c r="AP95" s="83"/>
      <c r="AQ95" s="83"/>
      <c r="AR95" s="83"/>
      <c r="AS95" s="83"/>
    </row>
    <row r="96" spans="1:45" ht="15" customHeight="1">
      <c r="A96" s="285" t="s">
        <v>563</v>
      </c>
      <c r="B96" s="298">
        <f>IFERROR(INDEX(panduan!$C$3:$H$16,
       MATCH(TRIM(A96), panduan!$B$3:$B$16, 0),
       MATCH(TRIM($B$4), panduan!$C$2:$H$2, 0)),"")</f>
        <v>1</v>
      </c>
      <c r="C96" s="295">
        <f>IFERROR(INDEX(panduan!$C$3:$H$16,
       MATCH(TRIM(A96), panduan!$B$3:$B$16, 0),
       MATCH(TRIM($B$69), panduan!$C$2:$H$2, 0)),"")</f>
        <v>3</v>
      </c>
      <c r="D96" s="292">
        <v>2</v>
      </c>
      <c r="E96" s="288">
        <f t="shared" ref="E96" si="56">D96-C96</f>
        <v>-1</v>
      </c>
      <c r="F96" s="288">
        <f t="shared" ref="F96" si="57">IF(E96&lt;0, MIN(-E96, 4), "")</f>
        <v>1</v>
      </c>
      <c r="G96" s="288" t="str">
        <f>IFERROR(
    INDEX(panduan!$C$181:$G$185,
          MATCH($F$65,panduan!$B$181:$B$185,0),
          MATCH($F96,panduan!$C$180:$G$180,0)
    ),
"")</f>
        <v>1,2,3,4</v>
      </c>
      <c r="H96" s="285" t="str">
        <f t="shared" ref="H96" si="58">IF(G96="", "",
   SUBSTITUTE(
     SUBSTITUTE(
       SUBSTITUTE(
         SUBSTITUTE(G96,
           "1", "Personal Development"),
         "2", "Education-Based Development"),
       "3", "Relation-Based Development"),
     "4", "Experience-Based Development")
)</f>
        <v>Personal Development,Education-Based Development,Relation-Based Development,Experience-Based Development</v>
      </c>
      <c r="I96" s="288">
        <f>IF(E96&lt;0,_xlfn.RANK.EQ(E96,$E$72:$E$113,1)+COUNTIF($E$72:E98,E96)-1,"")</f>
        <v>9</v>
      </c>
      <c r="J96" s="285" t="str">
        <f t="shared" ref="J96" si="59">IF(ISNUMBER(FIND("1",$G96)), $A96&amp;"|"&amp;$B$5&amp;"|1", "")</f>
        <v>Conceptual Thinking|Analyst|1</v>
      </c>
      <c r="K96" s="285" t="str">
        <f t="shared" ref="K96" si="60">IF(ISNUMBER(FIND("2",$G96)), $A96&amp;"|"&amp;$B$5&amp;"|2", "")</f>
        <v>Conceptual Thinking|Analyst|2</v>
      </c>
      <c r="L96" s="285" t="str">
        <f t="shared" ref="L96" si="61">IF(ISNUMBER(FIND("3",$G96)), $A96&amp;"|"&amp;$B$5&amp;"|3", "")</f>
        <v>Conceptual Thinking|Analyst|3</v>
      </c>
      <c r="M96" s="285" t="str">
        <f t="shared" ref="M96" si="62">IF(ISNUMBER(FIND("4",$G96)), $A96&amp;"|"&amp;$B$5&amp;"|4", "")</f>
        <v>Conceptual Thinking|Analyst|4</v>
      </c>
      <c r="N96" s="13" cm="1">
        <f t="array" ref="N96:U96">_xlfn.LET(
    _xlpm.gap, $F96,
    _xlpm.key, $J96,
    _xlpm.data, _xlfn._xlws.FILTER('sheet template'!$F$2:$M$1009,
                 ('sheet template'!$A$2:$A$1009=_xlpm.key) *
                 ('sheet template'!$F$2:$F$1009&lt;=_xlpm.gap), ""),
    IF(OR(_xlpm.key="", _xlpm.gap&lt;=0, ROWS(_xlpm.data)=0), "", _xlpm.data)
)</f>
        <v>1</v>
      </c>
      <c r="O96" s="83" t="str">
        <v>Log "Informasi Ambigu yang Saya Perjelas"</v>
      </c>
      <c r="P96" s="83" t="str">
        <v>Melatih mengenali dan memperjelas informasi yang berpotensi disalahpahami.</v>
      </c>
      <c r="Q96" s="83" t="str">
        <v>Setiap kali menerima atau menyampaikan informasi yang ambigu — dapat ditafsirkan lebih dari satu cara — catat: apa ambiguitasnya, bagaimana peserta memperjelasnya, dan kepada siapa. Verifikasi apakah penjelasan itu dipahami sesuai maksud.</v>
      </c>
      <c r="R96" s="83" t="str">
        <v>Log minimal 30 kasus; rekap triwulanan persentase yang dipahami sesuai maksud saat diverifikasi.</v>
      </c>
      <c r="S96" s="83" t="str">
        <v>Bulan 1–12</v>
      </c>
      <c r="T96" s="83" t="str">
        <v>Bulanan</v>
      </c>
      <c r="U96" s="83" t="str">
        <v>Minimal 30 kasus tercatat. Persentase yang dipahami sesuai maksud naik dari baseline triwulan 1 menjadi ≥75% pada triwulan 4. Milestone Bulan 6: 15 kasus.</v>
      </c>
      <c r="V96" s="13" cm="1">
        <f t="array" ref="V96:AC96">_xlfn.LET(
    _xlpm.gap, $F96,
    _xlpm.key, $K96,
    _xlpm.data, _xlfn._xlws.FILTER('sheet template'!$F$2:$M$1009,
                 ('sheet template'!$A$2:$A$1009=_xlpm.key) *
                 ('sheet template'!$F$2:$F$1009&lt;=_xlpm.gap), ""),
    IF(OR(_xlpm.key="", _xlpm.gap&lt;=0, ROWS(_xlpm.data)=0), "", _xlpm.data)
)</f>
        <v>1</v>
      </c>
      <c r="W96" s="83" t="str">
        <v>Pelatihan Dasar Analytical Thinking</v>
      </c>
      <c r="X96" s="83" t="str">
        <v>Memperkuat kemampuan analisis sebagai bahan yang akan dijelaskan.</v>
      </c>
      <c r="Y96" s="83" t="str">
        <v>Mengikuti pelatihan dan menyelesaikan studi kasus sederhana sebagai bahan latihan menjelaskan.</v>
      </c>
      <c r="Z96" s="83" t="str">
        <v>Hasil studi kasus.</v>
      </c>
      <c r="AA96" s="83" t="str">
        <v>Bulan 1–12</v>
      </c>
      <c r="AB96" s="83" t="str">
        <v>Bulanan</v>
      </c>
      <c r="AC96" s="83" t="str">
        <v>Studi kasus selesai dan menjadi bahan latihan penjelasan dalam aktivitas ini.</v>
      </c>
      <c r="AD96" s="13" cm="1">
        <f t="array" ref="AD96:AK96">_xlfn.LET(
    _xlpm.gap, $F96,
    _xlpm.key, $L96,
    _xlpm.data, _xlfn._xlws.FILTER('sheet template'!$F$2:$M$1009,
                 ('sheet template'!$A$2:$A$1009=_xlpm.key) *
                 ('sheet template'!$F$2:$F$1009&lt;=_xlpm.gap), ""),
    IF(OR(_xlpm.key="", _xlpm.gap&lt;=0, ROWS(_xlpm.data)=0), "", _xlpm.data)
)</f>
        <v>1</v>
      </c>
      <c r="AE96" s="83" t="str">
        <v>Diskusi dengan Rekan Senior mengenai Cara Memperjelas Masalah</v>
      </c>
      <c r="AF96" s="83" t="str">
        <v>Mempelajari cara senior memperjelas informasi yang ambigu.</v>
      </c>
      <c r="AG96" s="83" t="str">
        <v>Melakukan minimal 3 sesi diskusi dengan rekan senior mengenai cara mereka memperjelas informasi yang berpotensi disalahpahami dalam pekerjaan.</v>
      </c>
      <c r="AH96" s="83" t="str">
        <v>3 catatan diskusi; insight utama.</v>
      </c>
      <c r="AI96" s="83" t="str">
        <v>Bulan 1–12</v>
      </c>
      <c r="AJ96" s="83" t="str">
        <v>Bulanan</v>
      </c>
      <c r="AK96" s="83" t="str">
        <v>3 sesi terlaksana. Minimal 5 insight didokumentasikan dan minimal 2 teknik diterapkan serta tercatat dalam log yang dipilih peserta dalam aktivitas ini.</v>
      </c>
      <c r="AL96" s="13" cm="1">
        <f t="array" ref="AL96:AS96">_xlfn.LET(
    _xlpm.gap, $F96,
    _xlpm.key, $L96,
    _xlpm.data, _xlfn._xlws.FILTER('sheet template'!$F$2:$M$1009,
                 ('sheet template'!$A$2:$A$1009=_xlpm.key) *
                 ('sheet template'!$F$2:$F$1009&lt;=_xlpm.gap), ""),
    IF(OR(_xlpm.key="", _xlpm.gap&lt;=0, ROWS(_xlpm.data)=0), "", _xlpm.data)
)</f>
        <v>1</v>
      </c>
      <c r="AM96" s="83" t="str">
        <v>Diskusi dengan Rekan Senior mengenai Cara Memperjelas Masalah</v>
      </c>
      <c r="AN96" s="83" t="str">
        <v>Mempelajari cara senior memperjelas informasi yang ambigu.</v>
      </c>
      <c r="AO96" s="83" t="str">
        <v>Melakukan minimal 3 sesi diskusi dengan rekan senior mengenai cara mereka memperjelas informasi yang berpotensi disalahpahami dalam pekerjaan.</v>
      </c>
      <c r="AP96" s="83" t="str">
        <v>3 catatan diskusi; insight utama.</v>
      </c>
      <c r="AQ96" s="83" t="str">
        <v>Bulan 1–12</v>
      </c>
      <c r="AR96" s="83" t="str">
        <v>Bulanan</v>
      </c>
      <c r="AS96" s="83" t="str">
        <v>3 sesi terlaksana. Minimal 5 insight didokumentasikan dan minimal 2 teknik diterapkan serta tercatat dalam log yang dipilih peserta dalam aktivitas ini.</v>
      </c>
    </row>
    <row r="97" spans="1:45">
      <c r="A97" s="286"/>
      <c r="B97" s="299"/>
      <c r="C97" s="296"/>
      <c r="D97" s="293"/>
      <c r="E97" s="289"/>
      <c r="F97" s="289"/>
      <c r="G97" s="289"/>
      <c r="H97" s="286"/>
      <c r="I97" s="289"/>
      <c r="J97" s="286"/>
      <c r="K97" s="286"/>
      <c r="L97" s="286"/>
      <c r="M97" s="286"/>
      <c r="N97" s="13"/>
      <c r="O97" s="83"/>
      <c r="P97" s="83"/>
      <c r="Q97" s="83"/>
      <c r="R97" s="83"/>
      <c r="S97" s="83"/>
      <c r="T97" s="83"/>
      <c r="U97" s="83"/>
      <c r="V97" s="13"/>
      <c r="W97" s="83"/>
      <c r="X97" s="83"/>
      <c r="Y97" s="83"/>
      <c r="Z97" s="83"/>
      <c r="AA97" s="83"/>
      <c r="AB97" s="83"/>
      <c r="AC97" s="83"/>
      <c r="AD97" s="13"/>
      <c r="AE97" s="83"/>
      <c r="AF97" s="83"/>
      <c r="AG97" s="83"/>
      <c r="AH97" s="83"/>
      <c r="AI97" s="83"/>
      <c r="AJ97" s="83"/>
      <c r="AK97" s="83"/>
      <c r="AL97" s="13"/>
      <c r="AM97" s="83"/>
      <c r="AN97" s="83"/>
      <c r="AO97" s="83"/>
      <c r="AP97" s="83"/>
      <c r="AQ97" s="83"/>
      <c r="AR97" s="83"/>
      <c r="AS97" s="83"/>
    </row>
    <row r="98" spans="1:45">
      <c r="A98" s="287"/>
      <c r="B98" s="300"/>
      <c r="C98" s="297"/>
      <c r="D98" s="294"/>
      <c r="E98" s="290"/>
      <c r="F98" s="290"/>
      <c r="G98" s="290"/>
      <c r="H98" s="287"/>
      <c r="I98" s="290"/>
      <c r="J98" s="287"/>
      <c r="K98" s="287"/>
      <c r="L98" s="287"/>
      <c r="M98" s="287"/>
      <c r="N98" s="13"/>
      <c r="O98" s="83"/>
      <c r="P98" s="83"/>
      <c r="Q98" s="83"/>
      <c r="R98" s="83"/>
      <c r="S98" s="83"/>
      <c r="T98" s="83"/>
      <c r="U98" s="83"/>
      <c r="V98" s="13"/>
      <c r="W98" s="83"/>
      <c r="X98" s="83"/>
      <c r="Y98" s="83"/>
      <c r="Z98" s="83"/>
      <c r="AA98" s="83"/>
      <c r="AB98" s="83"/>
      <c r="AC98" s="83"/>
      <c r="AD98" s="13"/>
      <c r="AE98" s="83"/>
      <c r="AF98" s="83"/>
      <c r="AG98" s="83"/>
      <c r="AH98" s="83"/>
      <c r="AI98" s="83"/>
      <c r="AJ98" s="83"/>
      <c r="AK98" s="83"/>
      <c r="AL98" s="13"/>
      <c r="AM98" s="83"/>
      <c r="AN98" s="83"/>
      <c r="AO98" s="83"/>
      <c r="AP98" s="83"/>
      <c r="AQ98" s="83"/>
      <c r="AR98" s="83"/>
      <c r="AS98" s="83"/>
    </row>
    <row r="99" spans="1:45" ht="90" customHeight="1">
      <c r="A99" s="285" t="s">
        <v>564</v>
      </c>
      <c r="B99" s="298">
        <f>IFERROR(INDEX(panduan!$C$3:$H$16,
       MATCH(TRIM(A99), panduan!$B$3:$B$16, 0),
       MATCH(TRIM($B$4), panduan!$C$2:$H$2, 0)),"")</f>
        <v>2</v>
      </c>
      <c r="C99" s="295">
        <f>IFERROR(INDEX(panduan!$C$3:$H$16,
       MATCH(TRIM(A99), panduan!$B$3:$B$16, 0),
       MATCH(TRIM($B$69), panduan!$C$2:$H$2, 0)),"")</f>
        <v>4</v>
      </c>
      <c r="D99" s="292">
        <v>1</v>
      </c>
      <c r="E99" s="288">
        <f t="shared" ref="E99" si="63">D99-C99</f>
        <v>-3</v>
      </c>
      <c r="F99" s="288">
        <f t="shared" ref="F99" si="64">IF(E99&lt;0, MIN(-E99, 4), "")</f>
        <v>3</v>
      </c>
      <c r="G99" s="288" t="str">
        <f>IFERROR(
    INDEX(panduan!$C$181:$G$185,
          MATCH($F$65,panduan!$B$181:$B$185,0),
          MATCH($F99,panduan!$C$180:$G$180,0)
    ),
"")</f>
        <v>1,2,3,4</v>
      </c>
      <c r="H99" s="285" t="str">
        <f t="shared" ref="H99" si="65">IF(G99="", "",
   SUBSTITUTE(
     SUBSTITUTE(
       SUBSTITUTE(
         SUBSTITUTE(G99,
           "1", "Personal Development"),
         "2", "Education-Based Development"),
       "3", "Relation-Based Development"),
     "4", "Experience-Based Development")
)</f>
        <v>Personal Development,Education-Based Development,Relation-Based Development,Experience-Based Development</v>
      </c>
      <c r="I99" s="288">
        <f>IF(E99&lt;0,_xlfn.RANK.EQ(E99,$E$72:$E$113,1)+COUNTIF($E$72:E101,E99)-1,"")</f>
        <v>1</v>
      </c>
      <c r="J99" s="285" t="str">
        <f t="shared" ref="J99" si="66">IF(ISNUMBER(FIND("1",$G99)), $A99&amp;"|"&amp;$B$5&amp;"|1", "")</f>
        <v>Leadership|Analyst|1</v>
      </c>
      <c r="K99" s="285" t="str">
        <f t="shared" ref="K99" si="67">IF(ISNUMBER(FIND("2",$G99)), $A99&amp;"|"&amp;$B$5&amp;"|2", "")</f>
        <v>Leadership|Analyst|2</v>
      </c>
      <c r="L99" s="285" t="str">
        <f t="shared" ref="L99" si="68">IF(ISNUMBER(FIND("3",$G99)), $A99&amp;"|"&amp;$B$5&amp;"|3", "")</f>
        <v>Leadership|Analyst|3</v>
      </c>
      <c r="M99" s="285" t="str">
        <f t="shared" ref="M99" si="69">IF(ISNUMBER(FIND("4",$G99)), $A99&amp;"|"&amp;$B$5&amp;"|4", "")</f>
        <v>Leadership|Analyst|4</v>
      </c>
      <c r="N99" s="13" cm="1">
        <f t="array" ref="N99:U101">_xlfn.LET(
    _xlpm.gap, $F99,
    _xlpm.key, $J99,
    _xlpm.data, _xlfn._xlws.FILTER('sheet template'!$F$2:$M$1009,
                 ('sheet template'!$A$2:$A$1009=_xlpm.key) *
                 ('sheet template'!$F$2:$F$1009&lt;=_xlpm.gap), ""),
    IF(OR(_xlpm.key="", _xlpm.gap&lt;=0, ROWS(_xlpm.data)=0), "", _xlpm.data)
)</f>
        <v>1</v>
      </c>
      <c r="O99" s="83" t="str">
        <v>Log "Dasar Saya Mengurutkan Pekerjaan Tim"</v>
      </c>
      <c r="P99" s="83" t="str">
        <v>Mengukur dasar yang dipakai untuk mengurutkan pekerjaan tim yang bersaing.</v>
      </c>
      <c r="Q99" s="83" t="str">
        <v>Setiap kali menghadapi lebih dari 2 tugas tim yang bersaing memperebutkan waktu, catat: tugas apa saja, urutan yang peserta tetapkan, dan dasar sebenarnya.</v>
      </c>
      <c r="R99" s="83" t="str">
        <v>Log minimal 24 situasi. Termasuk rekap triwulanan.</v>
      </c>
      <c r="S99" s="83" t="str">
        <v>Bulan 1–12</v>
      </c>
      <c r="T99" s="83" t="str">
        <v>Bulanan</v>
      </c>
      <c r="U99" s="83" t="str">
        <v>Minimal 24 situasi tercatat. Proporsi berdasar dampak naik menjadi ≥50% pada triwulan 4. Milestone bulan ke-6: 12 situasi.</v>
      </c>
      <c r="V99" s="13" cm="1">
        <f t="array" ref="V99:AC101">_xlfn.LET(
    _xlpm.gap, $F99,
    _xlpm.key, $K99,
    _xlpm.data, _xlfn._xlws.FILTER('sheet template'!$F$2:$M$1009,
                 ('sheet template'!$A$2:$A$1009=_xlpm.key) *
                 ('sheet template'!$F$2:$F$1009&lt;=_xlpm.gap), ""),
    IF(OR(_xlpm.key="", _xlpm.gap&lt;=0, ROWS(_xlpm.data)=0), "", _xlpm.data)
)</f>
        <v>1</v>
      </c>
      <c r="W99" s="83" t="str">
        <v>Workshop "Mengurutkan dan Mengomunikasikan Prioritas Tim Berdasarkan Dampak"</v>
      </c>
      <c r="X99" s="83" t="str">
        <v>Menguasai kerangka mengurutkan berdasarkan dampak dan mengomunikasikannya kepada tim.</v>
      </c>
      <c r="Y99" s="83" t="str">
        <v>Ikuti workshop tentang urgent-important matrix, keterkaitan antar tugas, dan cara mengomunikasikan prioritas agar tim memahami tanpa perlu terus bertanya.</v>
      </c>
      <c r="Z99" s="83" t="str">
        <v>1 kerangka pengurutan yang dipakai peserta dalam aktivitas ini. Termasuk persetujuan Atasan.</v>
      </c>
      <c r="AA99" s="83" t="str">
        <v>Bulan 1–12</v>
      </c>
      <c r="AB99" s="83" t="str">
        <v>Bulanan</v>
      </c>
      <c r="AC99" s="83" t="str">
        <v>Kerangka disetujui Atasan dan dipakai pada minimal 10 situasi.</v>
      </c>
      <c r="AD99" s="13" cm="1">
        <f t="array" ref="AD99:AK101">_xlfn.LET(
    _xlpm.gap, $F99,
    _xlpm.key, $L99,
    _xlpm.data, _xlfn._xlws.FILTER('sheet template'!$F$2:$M$1009,
                 ('sheet template'!$A$2:$A$1009=_xlpm.key) *
                 ('sheet template'!$F$2:$F$1009&lt;=_xlpm.gap), ""),
    IF(OR(_xlpm.key="", _xlpm.gap&lt;=0, ROWS(_xlpm.data)=0), "", _xlpm.data)
)</f>
        <v>1</v>
      </c>
      <c r="AE99" s="83" t="str">
        <v>Diskusi dengan Rekan Senior tentang Mengurutkan Pekerjaan Tim</v>
      </c>
      <c r="AF99" s="83" t="str">
        <v>Mempelajari dasar pengurutan yang dipakai senior untuk tim mereka.</v>
      </c>
      <c r="AG99" s="83" t="str">
        <v>Diskusi dengan rekan senior tentang bagaimana mereka mengurutkan pekerjaan tim yang bersaing dan mengomunikasikannya.</v>
      </c>
      <c r="AH99" s="83" t="str">
        <v>Catatan diskusi; dasar yang diadopsi.</v>
      </c>
      <c r="AI99" s="83" t="str">
        <v>Bulan 1–12</v>
      </c>
      <c r="AJ99" s="83" t="str">
        <v>Bulanan</v>
      </c>
      <c r="AK99" s="83" t="str">
        <v>Minimal 3 dasar pengurutan diadopsi dan diterapkan pada log peserta dalam aktivitas ini.</v>
      </c>
      <c r="AL99" s="13" cm="1">
        <f t="array" ref="AL99:AS101">_xlfn.LET(
    _xlpm.gap, $F99,
    _xlpm.key, $L99,
    _xlpm.data, _xlfn._xlws.FILTER('sheet template'!$F$2:$M$1009,
                 ('sheet template'!$A$2:$A$1009=_xlpm.key) *
                 ('sheet template'!$F$2:$F$1009&lt;=_xlpm.gap), ""),
    IF(OR(_xlpm.key="", _xlpm.gap&lt;=0, ROWS(_xlpm.data)=0), "", _xlpm.data)
)</f>
        <v>1</v>
      </c>
      <c r="AM99" s="83" t="str">
        <v>Diskusi dengan Rekan Senior tentang Mengurutkan Pekerjaan Tim</v>
      </c>
      <c r="AN99" s="83" t="str">
        <v>Mempelajari dasar pengurutan yang dipakai senior untuk tim mereka.</v>
      </c>
      <c r="AO99" s="83" t="str">
        <v>Diskusi dengan rekan senior tentang bagaimana mereka mengurutkan pekerjaan tim yang bersaing dan mengomunikasikannya.</v>
      </c>
      <c r="AP99" s="83" t="str">
        <v>Catatan diskusi; dasar yang diadopsi.</v>
      </c>
      <c r="AQ99" s="83" t="str">
        <v>Bulan 1–12</v>
      </c>
      <c r="AR99" s="83" t="str">
        <v>Bulanan</v>
      </c>
      <c r="AS99" s="83" t="str">
        <v>Minimal 3 dasar pengurutan diadopsi dan diterapkan pada log peserta dalam aktivitas ini.</v>
      </c>
    </row>
    <row r="100" spans="1:45" ht="90" customHeight="1">
      <c r="A100" s="286"/>
      <c r="B100" s="299"/>
      <c r="C100" s="296"/>
      <c r="D100" s="293"/>
      <c r="E100" s="289"/>
      <c r="F100" s="289"/>
      <c r="G100" s="289"/>
      <c r="H100" s="286"/>
      <c r="I100" s="289"/>
      <c r="J100" s="286"/>
      <c r="K100" s="286"/>
      <c r="L100" s="286"/>
      <c r="M100" s="286"/>
      <c r="N100" s="13">
        <v>2</v>
      </c>
      <c r="O100" s="83" t="str">
        <v>Latihan "Mengomunikasikan Prioritas kepada Tim"</v>
      </c>
      <c r="P100" s="83" t="str">
        <v>Melatih menjelaskan dasar urutan prioritas kepada tim, bukan hanya menetapkannya sendiri.</v>
      </c>
      <c r="Q100" s="83" t="str">
        <v>Setiap kali menetapkan urutan prioritas untuk tugas tim, jelaskan kepada anggota tim dasarnya — mengapa tugas ini lebih dulu daripada yang lain.</v>
      </c>
      <c r="R100" s="83" t="str">
        <v>Log 20 komunikasi prioritas. Termasuk konfirmasi anggota tim.</v>
      </c>
      <c r="S100" s="83" t="str">
        <v>Bulan 1–12</v>
      </c>
      <c r="T100" s="83" t="str">
        <v>Bulanan</v>
      </c>
      <c r="U100" s="83" t="str">
        <v>Minimal 20 komunikasi tercatat. Minimal 15 dikonfirmasi anggota tim sebagai jelas dan masuk akal.</v>
      </c>
      <c r="V100" s="13">
        <v>2</v>
      </c>
      <c r="W100" s="83" t="str">
        <v>Kursus Online "Leading Teams Through Competing Priorities"</v>
      </c>
      <c r="X100" s="83" t="str">
        <v>Mempelajari cara memimpin tim yang menghadapi banyak tugas bersaing.</v>
      </c>
      <c r="Y100" s="83" t="str">
        <v>Selesaikan kursus tentang mengelola beban kerja tim yang majemuk dan mengomunikasikan perubahan prioritas.</v>
      </c>
      <c r="Z100" s="83" t="str">
        <v>1 rencana penerapan pada tim sendiri. Termasuk konfirmasi Atasan.</v>
      </c>
      <c r="AA100" s="83" t="str">
        <v>Bulan 1–12</v>
      </c>
      <c r="AB100" s="83" t="str">
        <v>Bulanan</v>
      </c>
      <c r="AC100" s="83" t="str">
        <v>Rencana diterapkan dan dikonfirmasi Atasan sebagai efektif mengurangi kebingungan prioritas tim.</v>
      </c>
      <c r="AD100" s="13">
        <v>2</v>
      </c>
      <c r="AE100" s="83" t="str">
        <v>Meminta Anggota Tim Menantang Urutan Prioritas yang Ditetapkan</v>
      </c>
      <c r="AF100" s="83" t="str">
        <v>Menguji apakah urutan yang ditetapkan benar-benar berdasar dampak.</v>
      </c>
      <c r="AG100" s="83" t="str">
        <v>Setiap bulan, tunjukkan urutan prioritas tim kepada 1 anggota. Minta mereka menantang apakah urutan itu berdasar dampak atau kemudahan.</v>
      </c>
      <c r="AH100" s="83" t="str">
        <v>Catatan tantangan; revisi urutan.</v>
      </c>
      <c r="AI100" s="83" t="str">
        <v>Bulan 1–12</v>
      </c>
      <c r="AJ100" s="83" t="str">
        <v>Bulanan</v>
      </c>
      <c r="AK100" s="83" t="str">
        <v>Minimal 6 sesi terlaksana. Minimal 3 urutan direvisi setelah ditantang.</v>
      </c>
      <c r="AL100" s="13">
        <v>2</v>
      </c>
      <c r="AM100" s="83" t="str">
        <v>Meminta Anggota Tim Menantang Urutan Prioritas yang Ditetapkan</v>
      </c>
      <c r="AN100" s="83" t="str">
        <v>Menguji apakah urutan yang ditetapkan benar-benar berdasar dampak.</v>
      </c>
      <c r="AO100" s="83" t="str">
        <v>Setiap bulan, tunjukkan urutan prioritas tim kepada 1 anggota. Minta mereka menantang apakah urutan itu berdasar dampak atau kemudahan.</v>
      </c>
      <c r="AP100" s="83" t="str">
        <v>Catatan tantangan; revisi urutan.</v>
      </c>
      <c r="AQ100" s="83" t="str">
        <v>Bulan 1–12</v>
      </c>
      <c r="AR100" s="83" t="str">
        <v>Bulanan</v>
      </c>
      <c r="AS100" s="83" t="str">
        <v>Minimal 6 sesi terlaksana. Minimal 3 urutan direvisi setelah ditantang.</v>
      </c>
    </row>
    <row r="101" spans="1:45" ht="75" customHeight="1">
      <c r="A101" s="287"/>
      <c r="B101" s="300"/>
      <c r="C101" s="297"/>
      <c r="D101" s="294"/>
      <c r="E101" s="290"/>
      <c r="F101" s="290"/>
      <c r="G101" s="290"/>
      <c r="H101" s="287"/>
      <c r="I101" s="290"/>
      <c r="J101" s="287"/>
      <c r="K101" s="287"/>
      <c r="L101" s="287"/>
      <c r="M101" s="287"/>
      <c r="N101" s="13">
        <v>3</v>
      </c>
      <c r="O101" s="83" t="str">
        <v>Refleksi "Keterkaitan Antar Tugas yang Terlewat"</v>
      </c>
      <c r="P101" s="83" t="str">
        <v>Menemukan ketergantungan antar tugas yang terlewat saat mengurutkan.</v>
      </c>
      <c r="Q101" s="83" t="str">
        <v>Setiap bulan, ambil 1 situasi ketika urutan yang ditetapkan mengabaikan ketergantungan pada tugas atau pihak lain. Telusuri apa yang terlewat.</v>
      </c>
      <c r="R101" s="83" t="str">
        <v>12 refleksi bulanan.</v>
      </c>
      <c r="S101" s="83" t="str">
        <v>Bulan 1–12</v>
      </c>
      <c r="T101" s="83" t="str">
        <v>Bulanan</v>
      </c>
      <c r="U101" s="83" t="str">
        <v>Minimal 10 dari 12 refleksi selesai. Minimal 6 pola ketergantungan teridentifikasi.</v>
      </c>
      <c r="V101" s="13">
        <v>3</v>
      </c>
      <c r="W101" s="83" t="str">
        <v>Micro-learning "Mengenali Keterkaitan Antar Tugas"</v>
      </c>
      <c r="X101" s="83" t="str">
        <v>Melatih mengenali ketergantungan antar tugas sebelum menetapkan urutan.</v>
      </c>
      <c r="Y101" s="83" t="str">
        <v>Selesaikan modul tentang memetakan ketergantungan antar tugas dan pihak sebelum menetapkan urutan prioritas.</v>
      </c>
      <c r="Z101" s="83" t="str">
        <v>Sertifikat; 1 pemetaan ketergantungan untuk tugas tim yang sedang berjalan. Termasuk konfirmasi Atasan.</v>
      </c>
      <c r="AA101" s="83" t="str">
        <v>Bulan 1–12</v>
      </c>
      <c r="AB101" s="83" t="str">
        <v>Bulanan</v>
      </c>
      <c r="AC101" s="83" t="str">
        <v>Pemetaan dikonfirmasi Atasan sebagai akurat dan dipakai untuk menyesuaikan urutan yang sudah ditetapkan.</v>
      </c>
      <c r="AD101" s="13">
        <v>3</v>
      </c>
      <c r="AE101" s="83" t="str">
        <v>Umpan Balik 360° "Kejelasan Prioritas dari Pemimpin Saya"</v>
      </c>
      <c r="AF101" s="83" t="str">
        <v>Mengukur persepsi tim atas kejelasan prioritas yang dikomunikasikan.</v>
      </c>
      <c r="AG101" s="83" t="str">
        <v>Kuesioner pre (bulan 1) dan post (bulan 11) kepada minimal 5 anggota tim. Butir RA5: "Saya tahu mengapa tugas tertentu diprioritaskan lebih dulu"; "Prioritas yang ditetapkan mempertimbangkan dampak, bukan sekadar urutan datang".</v>
      </c>
      <c r="AH101" s="83" t="str">
        <v>2 laporan (pre dan post).</v>
      </c>
      <c r="AI101" s="83" t="str">
        <v>Bulan 1–12</v>
      </c>
      <c r="AJ101" s="83" t="str">
        <v>Bulanan</v>
      </c>
      <c r="AK101" s="83" t="str">
        <v>Kenaikan rata-rata ≥1 poin (skala 1–5).</v>
      </c>
      <c r="AL101" s="13">
        <v>3</v>
      </c>
      <c r="AM101" s="83" t="str">
        <v>Umpan Balik 360° "Kejelasan Prioritas dari Pemimpin Saya"</v>
      </c>
      <c r="AN101" s="83" t="str">
        <v>Mengukur persepsi tim atas kejelasan prioritas yang dikomunikasikan.</v>
      </c>
      <c r="AO101" s="83" t="str">
        <v>Kuesioner pre (bulan 1) dan post (bulan 11) kepada minimal 5 anggota tim. Butir RA5: "Saya tahu mengapa tugas tertentu diprioritaskan lebih dulu"; "Prioritas yang ditetapkan mempertimbangkan dampak, bukan sekadar urutan datang".</v>
      </c>
      <c r="AP101" s="83" t="str">
        <v>2 laporan (pre dan post).</v>
      </c>
      <c r="AQ101" s="83" t="str">
        <v>Bulan 1–12</v>
      </c>
      <c r="AR101" s="83" t="str">
        <v>Bulanan</v>
      </c>
      <c r="AS101" s="83" t="str">
        <v>Kenaikan rata-rata ≥1 poin (skala 1–5).</v>
      </c>
    </row>
    <row r="102" spans="1:45">
      <c r="A102" s="285" t="s">
        <v>565</v>
      </c>
      <c r="B102" s="298">
        <f>IFERROR(INDEX(panduan!$C$3:$H$16,
       MATCH(TRIM(A102), panduan!$B$3:$B$16, 0),
       MATCH(TRIM($B$4), panduan!$C$2:$H$2, 0)),"")</f>
        <v>1</v>
      </c>
      <c r="C102" s="295">
        <f>IFERROR(INDEX(panduan!$C$3:$H$16,
       MATCH(TRIM(A102), panduan!$B$3:$B$16, 0),
       MATCH(TRIM($B$69), panduan!$C$2:$H$2, 0)),"")</f>
        <v>3</v>
      </c>
      <c r="D102" s="292">
        <v>3</v>
      </c>
      <c r="E102" s="288">
        <f t="shared" ref="E102" si="70">D102-C102</f>
        <v>0</v>
      </c>
      <c r="F102" s="288" t="str">
        <f t="shared" ref="F102" si="71">IF(E102&lt;0, MIN(-E102, 4), "")</f>
        <v/>
      </c>
      <c r="G102" s="288" t="str">
        <f>IFERROR(
    INDEX(panduan!$C$181:$G$185,
          MATCH($F$65,panduan!$B$181:$B$185,0),
          MATCH($F102,panduan!$C$180:$G$180,0)
    ),
"")</f>
        <v/>
      </c>
      <c r="H102" s="285" t="str">
        <f t="shared" ref="H102" si="72">IF(G102="", "",
   SUBSTITUTE(
     SUBSTITUTE(
       SUBSTITUTE(
         SUBSTITUTE(G102,
           "1", "Personal Development"),
         "2", "Education-Based Development"),
       "3", "Relation-Based Development"),
     "4", "Experience-Based Development")
)</f>
        <v/>
      </c>
      <c r="I102" s="288" t="str">
        <f>IF(E102&lt;0,_xlfn.RANK.EQ(E102,$E$72:$E$113,1)+COUNTIF($E$72:E104,E102)-1,"")</f>
        <v/>
      </c>
      <c r="J102" s="285" t="str">
        <f t="shared" ref="J102" si="73">IF(ISNUMBER(FIND("1",$G102)), $A102&amp;"|"&amp;$B$5&amp;"|1", "")</f>
        <v/>
      </c>
      <c r="K102" s="285" t="str">
        <f t="shared" ref="K102" si="74">IF(ISNUMBER(FIND("2",$G102)), $A102&amp;"|"&amp;$B$5&amp;"|2", "")</f>
        <v/>
      </c>
      <c r="L102" s="285" t="str">
        <f t="shared" ref="L102" si="75">IF(ISNUMBER(FIND("3",$G102)), $A102&amp;"|"&amp;$B$5&amp;"|3", "")</f>
        <v/>
      </c>
      <c r="M102" s="285" t="str">
        <f t="shared" ref="M102" si="76">IF(ISNUMBER(FIND("4",$G102)), $A102&amp;"|"&amp;$B$5&amp;"|4", "")</f>
        <v/>
      </c>
      <c r="N102" s="13" t="str" cm="1">
        <f t="array" ref="N102">_xlfn.LET(
    _xlpm.gap, $F102,
    _xlpm.key, $J102,
    _xlpm.data, _xlfn._xlws.FILTER('sheet template'!$F$2:$M$1009,
                 ('sheet template'!$A$2:$A$1009=_xlpm.key) *
                 ('sheet template'!$F$2:$F$1009&lt;=_xlpm.gap), ""),
    IF(OR(_xlpm.key="", _xlpm.gap&lt;=0, ROWS(_xlpm.data)=0), "", _xlpm.data)
)</f>
        <v/>
      </c>
      <c r="O102" s="83"/>
      <c r="P102" s="83"/>
      <c r="Q102" s="83"/>
      <c r="R102" s="83"/>
      <c r="S102" s="83"/>
      <c r="T102" s="83"/>
      <c r="U102" s="83"/>
      <c r="V102" s="13" t="str" cm="1">
        <f t="array" ref="V102">_xlfn.LET(
    _xlpm.gap, $F102,
    _xlpm.key, $K102,
    _xlpm.data, _xlfn._xlws.FILTER('sheet template'!$F$2:$M$1009,
                 ('sheet template'!$A$2:$A$1009=_xlpm.key) *
                 ('sheet template'!$F$2:$F$1009&lt;=_xlpm.gap), ""),
    IF(OR(_xlpm.key="", _xlpm.gap&lt;=0, ROWS(_xlpm.data)=0), "", _xlpm.data)
)</f>
        <v/>
      </c>
      <c r="W102" s="83"/>
      <c r="X102" s="83"/>
      <c r="Y102" s="83"/>
      <c r="Z102" s="83"/>
      <c r="AA102" s="83"/>
      <c r="AB102" s="83"/>
      <c r="AC102" s="83"/>
      <c r="AD102" s="13" t="str" cm="1">
        <f t="array" ref="AD102">_xlfn.LET(
    _xlpm.gap, $F102,
    _xlpm.key, $L102,
    _xlpm.data, _xlfn._xlws.FILTER('sheet template'!$F$2:$M$1009,
                 ('sheet template'!$A$2:$A$1009=_xlpm.key) *
                 ('sheet template'!$F$2:$F$1009&lt;=_xlpm.gap), ""),
    IF(OR(_xlpm.key="", _xlpm.gap&lt;=0, ROWS(_xlpm.data)=0), "", _xlpm.data)
)</f>
        <v/>
      </c>
      <c r="AE102" s="83"/>
      <c r="AF102" s="83"/>
      <c r="AG102" s="83"/>
      <c r="AH102" s="83"/>
      <c r="AI102" s="83"/>
      <c r="AJ102" s="83"/>
      <c r="AK102" s="83"/>
      <c r="AL102" s="13" t="str" cm="1">
        <f t="array" ref="AL102">_xlfn.LET(
    _xlpm.gap, $F102,
    _xlpm.key, $L102,
    _xlpm.data, _xlfn._xlws.FILTER('sheet template'!$F$2:$M$1009,
                 ('sheet template'!$A$2:$A$1009=_xlpm.key) *
                 ('sheet template'!$F$2:$F$1009&lt;=_xlpm.gap), ""),
    IF(OR(_xlpm.key="", _xlpm.gap&lt;=0, ROWS(_xlpm.data)=0), "", _xlpm.data)
)</f>
        <v/>
      </c>
      <c r="AM102" s="83"/>
      <c r="AN102" s="83"/>
      <c r="AO102" s="83"/>
      <c r="AP102" s="83"/>
      <c r="AQ102" s="83"/>
      <c r="AR102" s="83"/>
      <c r="AS102" s="83"/>
    </row>
    <row r="103" spans="1:45">
      <c r="A103" s="286"/>
      <c r="B103" s="299"/>
      <c r="C103" s="296"/>
      <c r="D103" s="293"/>
      <c r="E103" s="289"/>
      <c r="F103" s="289"/>
      <c r="G103" s="289"/>
      <c r="H103" s="286"/>
      <c r="I103" s="289"/>
      <c r="J103" s="286"/>
      <c r="K103" s="286"/>
      <c r="L103" s="286"/>
      <c r="M103" s="286"/>
      <c r="N103" s="13"/>
      <c r="O103" s="83"/>
      <c r="P103" s="83"/>
      <c r="Q103" s="83"/>
      <c r="R103" s="83"/>
      <c r="S103" s="83"/>
      <c r="T103" s="83"/>
      <c r="U103" s="83"/>
      <c r="V103" s="13"/>
      <c r="W103" s="83"/>
      <c r="X103" s="83"/>
      <c r="Y103" s="83"/>
      <c r="Z103" s="83"/>
      <c r="AA103" s="83"/>
      <c r="AB103" s="83"/>
      <c r="AC103" s="83"/>
      <c r="AD103" s="13"/>
      <c r="AE103" s="83"/>
      <c r="AF103" s="83"/>
      <c r="AG103" s="83"/>
      <c r="AH103" s="83"/>
      <c r="AI103" s="83"/>
      <c r="AJ103" s="83"/>
      <c r="AK103" s="83"/>
      <c r="AL103" s="13"/>
      <c r="AM103" s="83"/>
      <c r="AN103" s="83"/>
      <c r="AO103" s="83"/>
      <c r="AP103" s="83"/>
      <c r="AQ103" s="83"/>
      <c r="AR103" s="83"/>
      <c r="AS103" s="83"/>
    </row>
    <row r="104" spans="1:45">
      <c r="A104" s="287"/>
      <c r="B104" s="300"/>
      <c r="C104" s="297"/>
      <c r="D104" s="294"/>
      <c r="E104" s="290"/>
      <c r="F104" s="290"/>
      <c r="G104" s="290"/>
      <c r="H104" s="287"/>
      <c r="I104" s="290"/>
      <c r="J104" s="287"/>
      <c r="K104" s="287"/>
      <c r="L104" s="287"/>
      <c r="M104" s="287"/>
      <c r="N104" s="13"/>
      <c r="O104" s="83"/>
      <c r="P104" s="83"/>
      <c r="Q104" s="83"/>
      <c r="R104" s="83"/>
      <c r="S104" s="83"/>
      <c r="T104" s="83"/>
      <c r="U104" s="83"/>
      <c r="V104" s="13"/>
      <c r="W104" s="83"/>
      <c r="X104" s="83"/>
      <c r="Y104" s="83"/>
      <c r="Z104" s="83"/>
      <c r="AA104" s="83"/>
      <c r="AB104" s="83"/>
      <c r="AC104" s="83"/>
      <c r="AD104" s="13"/>
      <c r="AE104" s="83"/>
      <c r="AF104" s="83"/>
      <c r="AG104" s="83"/>
      <c r="AH104" s="83"/>
      <c r="AI104" s="83"/>
      <c r="AJ104" s="83"/>
      <c r="AK104" s="83"/>
      <c r="AL104" s="13"/>
      <c r="AM104" s="83"/>
      <c r="AN104" s="83"/>
      <c r="AO104" s="83"/>
      <c r="AP104" s="83"/>
      <c r="AQ104" s="83"/>
      <c r="AR104" s="83"/>
      <c r="AS104" s="83"/>
    </row>
    <row r="105" spans="1:45">
      <c r="A105" s="285" t="s">
        <v>566</v>
      </c>
      <c r="B105" s="298">
        <f>IFERROR(INDEX(panduan!$C$3:$H$16,
       MATCH(TRIM(A105), panduan!$B$3:$B$16, 0),
       MATCH(TRIM($B$4), panduan!$C$2:$H$2, 0)),"")</f>
        <v>2</v>
      </c>
      <c r="C105" s="295">
        <f>IFERROR(INDEX(panduan!$C$3:$H$16,
       MATCH(TRIM(A105), panduan!$B$3:$B$16, 0),
       MATCH(TRIM($B$69), panduan!$C$2:$H$2, 0)),"")</f>
        <v>3</v>
      </c>
      <c r="D105" s="292">
        <v>4</v>
      </c>
      <c r="E105" s="288">
        <f t="shared" ref="E105" si="77">D105-C105</f>
        <v>1</v>
      </c>
      <c r="F105" s="288" t="str">
        <f t="shared" ref="F105" si="78">IF(E105&lt;0, MIN(-E105, 4), "")</f>
        <v/>
      </c>
      <c r="G105" s="288" t="str">
        <f>IFERROR(
    INDEX(panduan!$C$181:$G$185,
          MATCH($F$65,panduan!$B$181:$B$185,0),
          MATCH($F105,panduan!$C$180:$G$180,0)
    ),
"")</f>
        <v/>
      </c>
      <c r="H105" s="285" t="str">
        <f t="shared" ref="H105" si="79">IF(G105="", "",
   SUBSTITUTE(
     SUBSTITUTE(
       SUBSTITUTE(
         SUBSTITUTE(G105,
           "1", "Personal Development"),
         "2", "Education-Based Development"),
       "3", "Relation-Based Development"),
     "4", "Experience-Based Development")
)</f>
        <v/>
      </c>
      <c r="I105" s="288" t="str">
        <f>IF(E105&lt;0,_xlfn.RANK.EQ(E105,$E$72:$E$113,1)+COUNTIF($E$72:E107,E105)-1,"")</f>
        <v/>
      </c>
      <c r="J105" s="285" t="str">
        <f t="shared" ref="J105" si="80">IF(ISNUMBER(FIND("1",$G105)), $A105&amp;"|"&amp;$B$5&amp;"|1", "")</f>
        <v/>
      </c>
      <c r="K105" s="285" t="str">
        <f t="shared" ref="K105" si="81">IF(ISNUMBER(FIND("2",$G105)), $A105&amp;"|"&amp;$B$5&amp;"|2", "")</f>
        <v/>
      </c>
      <c r="L105" s="285" t="str">
        <f t="shared" ref="L105" si="82">IF(ISNUMBER(FIND("3",$G105)), $A105&amp;"|"&amp;$B$5&amp;"|3", "")</f>
        <v/>
      </c>
      <c r="M105" s="285" t="str">
        <f t="shared" ref="M105" si="83">IF(ISNUMBER(FIND("4",$G105)), $A105&amp;"|"&amp;$B$5&amp;"|4", "")</f>
        <v/>
      </c>
      <c r="N105" s="13" t="str" cm="1">
        <f t="array" ref="N105">_xlfn.LET(
    _xlpm.gap, $F105,
    _xlpm.key, $J105,
    _xlpm.data, _xlfn._xlws.FILTER('sheet template'!$F$2:$M$1009,
                 ('sheet template'!$A$2:$A$1009=_xlpm.key) *
                 ('sheet template'!$F$2:$F$1009&lt;=_xlpm.gap), ""),
    IF(OR(_xlpm.key="", _xlpm.gap&lt;=0, ROWS(_xlpm.data)=0), "", _xlpm.data)
)</f>
        <v/>
      </c>
      <c r="O105" s="83"/>
      <c r="P105" s="83"/>
      <c r="Q105" s="83"/>
      <c r="R105" s="83"/>
      <c r="S105" s="83"/>
      <c r="T105" s="83"/>
      <c r="U105" s="83"/>
      <c r="V105" s="13" t="str" cm="1">
        <f t="array" ref="V105">_xlfn.LET(
    _xlpm.gap, $F105,
    _xlpm.key, $K105,
    _xlpm.data, _xlfn._xlws.FILTER('sheet template'!$F$2:$M$1009,
                 ('sheet template'!$A$2:$A$1009=_xlpm.key) *
                 ('sheet template'!$F$2:$F$1009&lt;=_xlpm.gap), ""),
    IF(OR(_xlpm.key="", _xlpm.gap&lt;=0, ROWS(_xlpm.data)=0), "", _xlpm.data)
)</f>
        <v/>
      </c>
      <c r="W105" s="83"/>
      <c r="X105" s="83"/>
      <c r="Y105" s="83"/>
      <c r="Z105" s="83"/>
      <c r="AA105" s="83"/>
      <c r="AB105" s="83"/>
      <c r="AC105" s="83"/>
      <c r="AD105" s="13" t="str" cm="1">
        <f t="array" ref="AD105">_xlfn.LET(
    _xlpm.gap, $F105,
    _xlpm.key, $L105,
    _xlpm.data, _xlfn._xlws.FILTER('sheet template'!$F$2:$M$1009,
                 ('sheet template'!$A$2:$A$1009=_xlpm.key) *
                 ('sheet template'!$F$2:$F$1009&lt;=_xlpm.gap), ""),
    IF(OR(_xlpm.key="", _xlpm.gap&lt;=0, ROWS(_xlpm.data)=0), "", _xlpm.data)
)</f>
        <v/>
      </c>
      <c r="AE105" s="83"/>
      <c r="AF105" s="83"/>
      <c r="AG105" s="83"/>
      <c r="AH105" s="83"/>
      <c r="AI105" s="83"/>
      <c r="AJ105" s="83"/>
      <c r="AK105" s="83"/>
      <c r="AL105" s="13" t="str" cm="1">
        <f t="array" ref="AL105">_xlfn.LET(
    _xlpm.gap, $F105,
    _xlpm.key, $L105,
    _xlpm.data, _xlfn._xlws.FILTER('sheet template'!$F$2:$M$1009,
                 ('sheet template'!$A$2:$A$1009=_xlpm.key) *
                 ('sheet template'!$F$2:$F$1009&lt;=_xlpm.gap), ""),
    IF(OR(_xlpm.key="", _xlpm.gap&lt;=0, ROWS(_xlpm.data)=0), "", _xlpm.data)
)</f>
        <v/>
      </c>
      <c r="AM105" s="83"/>
      <c r="AN105" s="83"/>
      <c r="AO105" s="83"/>
      <c r="AP105" s="83"/>
      <c r="AQ105" s="83"/>
      <c r="AR105" s="83"/>
      <c r="AS105" s="83"/>
    </row>
    <row r="106" spans="1:45">
      <c r="A106" s="286"/>
      <c r="B106" s="299"/>
      <c r="C106" s="296"/>
      <c r="D106" s="293"/>
      <c r="E106" s="289"/>
      <c r="F106" s="289"/>
      <c r="G106" s="289"/>
      <c r="H106" s="286"/>
      <c r="I106" s="289"/>
      <c r="J106" s="286"/>
      <c r="K106" s="286"/>
      <c r="L106" s="286"/>
      <c r="M106" s="286"/>
      <c r="N106" s="13"/>
      <c r="O106" s="83"/>
      <c r="P106" s="83"/>
      <c r="Q106" s="83"/>
      <c r="R106" s="83"/>
      <c r="S106" s="83"/>
      <c r="T106" s="83"/>
      <c r="U106" s="83"/>
      <c r="V106" s="13"/>
      <c r="W106" s="83"/>
      <c r="X106" s="83"/>
      <c r="Y106" s="83"/>
      <c r="Z106" s="83"/>
      <c r="AA106" s="83"/>
      <c r="AB106" s="83"/>
      <c r="AC106" s="83"/>
      <c r="AD106" s="13"/>
      <c r="AE106" s="83"/>
      <c r="AF106" s="83"/>
      <c r="AG106" s="83"/>
      <c r="AH106" s="83"/>
      <c r="AI106" s="83"/>
      <c r="AJ106" s="83"/>
      <c r="AK106" s="83"/>
      <c r="AL106" s="13"/>
      <c r="AM106" s="83"/>
      <c r="AN106" s="83"/>
      <c r="AO106" s="83"/>
      <c r="AP106" s="83"/>
      <c r="AQ106" s="83"/>
      <c r="AR106" s="83"/>
      <c r="AS106" s="83"/>
    </row>
    <row r="107" spans="1:45">
      <c r="A107" s="287"/>
      <c r="B107" s="300"/>
      <c r="C107" s="297"/>
      <c r="D107" s="294"/>
      <c r="E107" s="290"/>
      <c r="F107" s="290"/>
      <c r="G107" s="290"/>
      <c r="H107" s="287"/>
      <c r="I107" s="290"/>
      <c r="J107" s="287"/>
      <c r="K107" s="287"/>
      <c r="L107" s="287"/>
      <c r="M107" s="287"/>
      <c r="N107" s="13"/>
      <c r="O107" s="83"/>
      <c r="P107" s="83"/>
      <c r="Q107" s="83"/>
      <c r="R107" s="83"/>
      <c r="S107" s="83"/>
      <c r="T107" s="83"/>
      <c r="U107" s="83"/>
      <c r="V107" s="13"/>
      <c r="W107" s="83"/>
      <c r="X107" s="83"/>
      <c r="Y107" s="83"/>
      <c r="Z107" s="83"/>
      <c r="AA107" s="83"/>
      <c r="AB107" s="83"/>
      <c r="AC107" s="83"/>
      <c r="AD107" s="13"/>
      <c r="AE107" s="83"/>
      <c r="AF107" s="83"/>
      <c r="AG107" s="83"/>
      <c r="AH107" s="83"/>
      <c r="AI107" s="83"/>
      <c r="AJ107" s="83"/>
      <c r="AK107" s="83"/>
      <c r="AL107" s="13"/>
      <c r="AM107" s="83"/>
      <c r="AN107" s="83"/>
      <c r="AO107" s="83"/>
      <c r="AP107" s="83"/>
      <c r="AQ107" s="83"/>
      <c r="AR107" s="83"/>
      <c r="AS107" s="83"/>
    </row>
    <row r="108" spans="1:45">
      <c r="A108" s="285" t="s">
        <v>567</v>
      </c>
      <c r="B108" s="298">
        <f>IFERROR(INDEX(panduan!$C$3:$H$16,
       MATCH(TRIM(A108), panduan!$B$3:$B$16, 0),
       MATCH(TRIM($B$4), panduan!$C$2:$H$2, 0)),"")</f>
        <v>1</v>
      </c>
      <c r="C108" s="295">
        <f>IFERROR(INDEX(panduan!$C$3:$H$16,
       MATCH(TRIM(A108), panduan!$B$3:$B$16, 0),
       MATCH(TRIM($B$69), panduan!$C$2:$H$2, 0)),"")</f>
        <v>3</v>
      </c>
      <c r="D108" s="292">
        <v>4</v>
      </c>
      <c r="E108" s="288">
        <f t="shared" ref="E108" si="84">D108-C108</f>
        <v>1</v>
      </c>
      <c r="F108" s="288" t="str">
        <f t="shared" ref="F108" si="85">IF(E108&lt;0, MIN(-E108, 4), "")</f>
        <v/>
      </c>
      <c r="G108" s="288" t="str">
        <f>IFERROR(
    INDEX(panduan!$C$181:$G$185,
          MATCH($F$65,panduan!$B$181:$B$185,0),
          MATCH($F108,panduan!$C$180:$G$180,0)
    ),
"")</f>
        <v/>
      </c>
      <c r="H108" s="285" t="str">
        <f t="shared" ref="H108" si="86">IF(G108="", "",
   SUBSTITUTE(
     SUBSTITUTE(
       SUBSTITUTE(
         SUBSTITUTE(G108,
           "1", "Personal Development"),
         "2", "Education-Based Development"),
       "3", "Relation-Based Development"),
     "4", "Experience-Based Development")
)</f>
        <v/>
      </c>
      <c r="I108" s="288" t="str">
        <f>IF(E108&lt;0,_xlfn.RANK.EQ(E108,$E$72:$E$113,1)+COUNTIF($E$72:E110,E108)-1,"")</f>
        <v/>
      </c>
      <c r="J108" s="285" t="str">
        <f t="shared" ref="J108" si="87">IF(ISNUMBER(FIND("1",$G108)), $A108&amp;"|"&amp;$B$5&amp;"|1", "")</f>
        <v/>
      </c>
      <c r="K108" s="285" t="str">
        <f t="shared" ref="K108" si="88">IF(ISNUMBER(FIND("2",$G108)), $A108&amp;"|"&amp;$B$5&amp;"|2", "")</f>
        <v/>
      </c>
      <c r="L108" s="285" t="str">
        <f t="shared" ref="L108" si="89">IF(ISNUMBER(FIND("3",$G108)), $A108&amp;"|"&amp;$B$5&amp;"|3", "")</f>
        <v/>
      </c>
      <c r="M108" s="285" t="str">
        <f t="shared" ref="M108" si="90">IF(ISNUMBER(FIND("4",$G108)), $A108&amp;"|"&amp;$B$5&amp;"|4", "")</f>
        <v/>
      </c>
      <c r="N108" s="13" t="str" cm="1">
        <f t="array" ref="N108">_xlfn.LET(
    _xlpm.gap, $F108,
    _xlpm.key, $J108,
    _xlpm.data, _xlfn._xlws.FILTER('sheet template'!$F$2:$M$1009,
                 ('sheet template'!$A$2:$A$1009=_xlpm.key) *
                 ('sheet template'!$F$2:$F$1009&lt;=_xlpm.gap), ""),
    IF(OR(_xlpm.key="", _xlpm.gap&lt;=0, ROWS(_xlpm.data)=0), "", _xlpm.data)
)</f>
        <v/>
      </c>
      <c r="O108" s="83"/>
      <c r="P108" s="83"/>
      <c r="Q108" s="83"/>
      <c r="R108" s="83"/>
      <c r="S108" s="83"/>
      <c r="T108" s="83"/>
      <c r="U108" s="83"/>
      <c r="V108" s="13" t="str" cm="1">
        <f t="array" ref="V108">_xlfn.LET(
    _xlpm.gap, $F108,
    _xlpm.key, $K108,
    _xlpm.data, _xlfn._xlws.FILTER('sheet template'!$F$2:$M$1009,
                 ('sheet template'!$A$2:$A$1009=_xlpm.key) *
                 ('sheet template'!$F$2:$F$1009&lt;=_xlpm.gap), ""),
    IF(OR(_xlpm.key="", _xlpm.gap&lt;=0, ROWS(_xlpm.data)=0), "", _xlpm.data)
)</f>
        <v/>
      </c>
      <c r="W108" s="83"/>
      <c r="X108" s="83"/>
      <c r="Y108" s="83"/>
      <c r="Z108" s="83"/>
      <c r="AA108" s="83"/>
      <c r="AB108" s="83"/>
      <c r="AC108" s="83"/>
      <c r="AD108" s="13" t="str" cm="1">
        <f t="array" ref="AD108">_xlfn.LET(
    _xlpm.gap, $F108,
    _xlpm.key, $L108,
    _xlpm.data, _xlfn._xlws.FILTER('sheet template'!$F$2:$M$1009,
                 ('sheet template'!$A$2:$A$1009=_xlpm.key) *
                 ('sheet template'!$F$2:$F$1009&lt;=_xlpm.gap), ""),
    IF(OR(_xlpm.key="", _xlpm.gap&lt;=0, ROWS(_xlpm.data)=0), "", _xlpm.data)
)</f>
        <v/>
      </c>
      <c r="AE108" s="83"/>
      <c r="AF108" s="83"/>
      <c r="AG108" s="83"/>
      <c r="AH108" s="83"/>
      <c r="AI108" s="83"/>
      <c r="AJ108" s="83"/>
      <c r="AK108" s="83"/>
      <c r="AL108" s="13" t="str" cm="1">
        <f t="array" ref="AL108">_xlfn.LET(
    _xlpm.gap, $F108,
    _xlpm.key, $L108,
    _xlpm.data, _xlfn._xlws.FILTER('sheet template'!$F$2:$M$1009,
                 ('sheet template'!$A$2:$A$1009=_xlpm.key) *
                 ('sheet template'!$F$2:$F$1009&lt;=_xlpm.gap), ""),
    IF(OR(_xlpm.key="", _xlpm.gap&lt;=0, ROWS(_xlpm.data)=0), "", _xlpm.data)
)</f>
        <v/>
      </c>
      <c r="AM108" s="83"/>
      <c r="AN108" s="83"/>
      <c r="AO108" s="83"/>
      <c r="AP108" s="83"/>
      <c r="AQ108" s="83"/>
      <c r="AR108" s="83"/>
      <c r="AS108" s="83"/>
    </row>
    <row r="109" spans="1:45">
      <c r="A109" s="286"/>
      <c r="B109" s="299"/>
      <c r="C109" s="296"/>
      <c r="D109" s="293"/>
      <c r="E109" s="289"/>
      <c r="F109" s="289"/>
      <c r="G109" s="289"/>
      <c r="H109" s="286"/>
      <c r="I109" s="289"/>
      <c r="J109" s="286"/>
      <c r="K109" s="286"/>
      <c r="L109" s="286"/>
      <c r="M109" s="286"/>
      <c r="N109" s="13"/>
      <c r="O109" s="83"/>
      <c r="P109" s="83"/>
      <c r="Q109" s="83"/>
      <c r="R109" s="83"/>
      <c r="S109" s="83"/>
      <c r="T109" s="83"/>
      <c r="U109" s="83"/>
      <c r="V109" s="13"/>
      <c r="W109" s="83"/>
      <c r="X109" s="83"/>
      <c r="Y109" s="83"/>
      <c r="Z109" s="83"/>
      <c r="AA109" s="83"/>
      <c r="AB109" s="83"/>
      <c r="AC109" s="83"/>
      <c r="AD109" s="13"/>
      <c r="AE109" s="83"/>
      <c r="AF109" s="83"/>
      <c r="AG109" s="83"/>
      <c r="AH109" s="83"/>
      <c r="AI109" s="83"/>
      <c r="AJ109" s="83"/>
      <c r="AK109" s="83"/>
      <c r="AL109" s="13"/>
      <c r="AM109" s="83"/>
      <c r="AN109" s="83"/>
      <c r="AO109" s="83"/>
      <c r="AP109" s="83"/>
      <c r="AQ109" s="83"/>
      <c r="AR109" s="83"/>
      <c r="AS109" s="83"/>
    </row>
    <row r="110" spans="1:45">
      <c r="A110" s="287"/>
      <c r="B110" s="300"/>
      <c r="C110" s="297"/>
      <c r="D110" s="294"/>
      <c r="E110" s="290"/>
      <c r="F110" s="290"/>
      <c r="G110" s="290"/>
      <c r="H110" s="287"/>
      <c r="I110" s="290"/>
      <c r="J110" s="287"/>
      <c r="K110" s="287"/>
      <c r="L110" s="287"/>
      <c r="M110" s="287"/>
      <c r="N110" s="13"/>
      <c r="O110" s="83"/>
      <c r="P110" s="83"/>
      <c r="Q110" s="83"/>
      <c r="R110" s="83"/>
      <c r="S110" s="83"/>
      <c r="T110" s="83"/>
      <c r="U110" s="83"/>
      <c r="V110" s="13"/>
      <c r="W110" s="83"/>
      <c r="X110" s="83"/>
      <c r="Y110" s="83"/>
      <c r="Z110" s="83"/>
      <c r="AA110" s="83"/>
      <c r="AB110" s="83"/>
      <c r="AC110" s="83"/>
      <c r="AD110" s="13"/>
      <c r="AE110" s="83"/>
      <c r="AF110" s="83"/>
      <c r="AG110" s="83"/>
      <c r="AH110" s="83"/>
      <c r="AI110" s="83"/>
      <c r="AJ110" s="83"/>
      <c r="AK110" s="83"/>
      <c r="AL110" s="13"/>
      <c r="AM110" s="83"/>
      <c r="AN110" s="83"/>
      <c r="AO110" s="83"/>
      <c r="AP110" s="83"/>
      <c r="AQ110" s="83"/>
      <c r="AR110" s="83"/>
      <c r="AS110" s="83"/>
    </row>
    <row r="111" spans="1:45">
      <c r="A111" s="285" t="s">
        <v>568</v>
      </c>
      <c r="B111" s="298">
        <f>IFERROR(INDEX(panduan!$C$3:$H$16,
       MATCH(TRIM(A111), panduan!$B$3:$B$16, 0),
       MATCH(TRIM($B$4), panduan!$C$2:$H$2, 0)),"")</f>
        <v>1</v>
      </c>
      <c r="C111" s="295">
        <f>IFERROR(INDEX(panduan!$C$3:$H$16,
       MATCH(TRIM(A111), panduan!$B$3:$B$16, 0),
       MATCH(TRIM($B$69), panduan!$C$2:$H$2, 0)),"")</f>
        <v>3</v>
      </c>
      <c r="D111" s="292">
        <v>4</v>
      </c>
      <c r="E111" s="288">
        <f>D111-C111</f>
        <v>1</v>
      </c>
      <c r="F111" s="288" t="str">
        <f>IF(E111&lt;0, MIN(-E111, 4), "")</f>
        <v/>
      </c>
      <c r="G111" s="288" t="str">
        <f>IFERROR(
    INDEX(panduan!$C$181:$G$185,
          MATCH($F$65,panduan!$B$181:$B$185,0),
          MATCH($F111,panduan!$C$180:$G$180,0)
    ),
"")</f>
        <v/>
      </c>
      <c r="H111" s="285" t="str">
        <f>IF(G111="", "",
   SUBSTITUTE(
     SUBSTITUTE(
       SUBSTITUTE(
         SUBSTITUTE(G111,
           "1", "Personal Development"),
         "2", "Education-Based Development"),
       "3", "Relation-Based Development"),
     "4", "Experience-Based Development")
)</f>
        <v/>
      </c>
      <c r="I111" s="288" t="str">
        <f>IF(E111&lt;0,_xlfn.RANK.EQ(E111,$E$72:$E$113,1)+COUNTIF($E$72:E113,E111)-1,"")</f>
        <v/>
      </c>
      <c r="J111" s="285" t="str">
        <f>IF(ISNUMBER(FIND("1",$G111)), $A111&amp;"|"&amp;$B$5&amp;"|1", "")</f>
        <v/>
      </c>
      <c r="K111" s="285" t="str">
        <f>IF(ISNUMBER(FIND("2",$G111)), $A111&amp;"|"&amp;$B$5&amp;"|2", "")</f>
        <v/>
      </c>
      <c r="L111" s="285" t="str">
        <f>IF(ISNUMBER(FIND("3",$G111)), $A111&amp;"|"&amp;$B$5&amp;"|3", "")</f>
        <v/>
      </c>
      <c r="M111" s="285" t="str">
        <f>IF(ISNUMBER(FIND("4",$G111)), $A111&amp;"|"&amp;$B$5&amp;"|4", "")</f>
        <v/>
      </c>
      <c r="N111" s="13" t="str" cm="1">
        <f t="array" ref="N111">_xlfn.LET(
    _xlpm.gap, $F111,
    _xlpm.key, $J111,
    _xlpm.data, _xlfn._xlws.FILTER('sheet template'!$F$2:$M$1009,
                 ('sheet template'!$A$2:$A$1009=_xlpm.key) *
                 ('sheet template'!$F$2:$F$1009&lt;=_xlpm.gap), ""),
    IF(OR(_xlpm.key="", _xlpm.gap&lt;=0, ROWS(_xlpm.data)=0), "", _xlpm.data)
)</f>
        <v/>
      </c>
      <c r="O111" s="83"/>
      <c r="P111" s="83"/>
      <c r="Q111" s="83"/>
      <c r="R111" s="83"/>
      <c r="S111" s="83"/>
      <c r="T111" s="83"/>
      <c r="U111" s="83"/>
      <c r="V111" s="13" t="str" cm="1">
        <f t="array" ref="V111">_xlfn.LET(
    _xlpm.gap, $F111,
    _xlpm.key, $K111,
    _xlpm.data, _xlfn._xlws.FILTER('sheet template'!$F$2:$M$1009,
                 ('sheet template'!$A$2:$A$1009=_xlpm.key) *
                 ('sheet template'!$F$2:$F$1009&lt;=_xlpm.gap), ""),
    IF(OR(_xlpm.key="", _xlpm.gap&lt;=0, ROWS(_xlpm.data)=0), "", _xlpm.data)
)</f>
        <v/>
      </c>
      <c r="W111" s="83"/>
      <c r="X111" s="83"/>
      <c r="Y111" s="83"/>
      <c r="Z111" s="83"/>
      <c r="AA111" s="83"/>
      <c r="AB111" s="83"/>
      <c r="AC111" s="83"/>
      <c r="AD111" s="13" t="str" cm="1">
        <f t="array" ref="AD111">_xlfn.LET(
    _xlpm.gap, $F111,
    _xlpm.key, $L111,
    _xlpm.data, _xlfn._xlws.FILTER('sheet template'!$F$2:$M$1009,
                 ('sheet template'!$A$2:$A$1009=_xlpm.key) *
                 ('sheet template'!$F$2:$F$1009&lt;=_xlpm.gap), ""),
    IF(OR(_xlpm.key="", _xlpm.gap&lt;=0, ROWS(_xlpm.data)=0), "", _xlpm.data)
)</f>
        <v/>
      </c>
      <c r="AE111" s="83"/>
      <c r="AF111" s="83"/>
      <c r="AG111" s="83"/>
      <c r="AH111" s="83"/>
      <c r="AI111" s="83"/>
      <c r="AJ111" s="83"/>
      <c r="AK111" s="83"/>
      <c r="AL111" s="13" t="str" cm="1">
        <f t="array" ref="AL111">_xlfn.LET(
    _xlpm.gap, $F111,
    _xlpm.key, $L111,
    _xlpm.data, _xlfn._xlws.FILTER('sheet template'!$F$2:$M$1009,
                 ('sheet template'!$A$2:$A$1009=_xlpm.key) *
                 ('sheet template'!$F$2:$F$1009&lt;=_xlpm.gap), ""),
    IF(OR(_xlpm.key="", _xlpm.gap&lt;=0, ROWS(_xlpm.data)=0), "", _xlpm.data)
)</f>
        <v/>
      </c>
      <c r="AM111" s="83"/>
      <c r="AN111" s="83"/>
      <c r="AO111" s="83"/>
      <c r="AP111" s="83"/>
      <c r="AQ111" s="83"/>
      <c r="AR111" s="83"/>
      <c r="AS111" s="83"/>
    </row>
    <row r="112" spans="1:45">
      <c r="A112" s="286"/>
      <c r="B112" s="299"/>
      <c r="C112" s="296"/>
      <c r="D112" s="293"/>
      <c r="E112" s="289"/>
      <c r="F112" s="289"/>
      <c r="G112" s="289"/>
      <c r="H112" s="286"/>
      <c r="I112" s="289"/>
      <c r="J112" s="286"/>
      <c r="K112" s="286"/>
      <c r="L112" s="286"/>
      <c r="M112" s="286"/>
      <c r="N112" s="13"/>
      <c r="O112" s="83"/>
      <c r="P112" s="83"/>
      <c r="Q112" s="83"/>
      <c r="R112" s="83"/>
      <c r="S112" s="83"/>
      <c r="T112" s="83"/>
      <c r="U112" s="83"/>
      <c r="V112" s="13"/>
      <c r="W112" s="83"/>
      <c r="X112" s="83"/>
      <c r="Y112" s="83"/>
      <c r="Z112" s="83"/>
      <c r="AA112" s="83"/>
      <c r="AB112" s="83"/>
      <c r="AC112" s="83"/>
      <c r="AD112" s="13"/>
      <c r="AE112" s="83"/>
      <c r="AF112" s="83"/>
      <c r="AG112" s="83"/>
      <c r="AH112" s="83"/>
      <c r="AI112" s="83"/>
      <c r="AJ112" s="83"/>
      <c r="AK112" s="83"/>
      <c r="AL112" s="13"/>
      <c r="AM112" s="83"/>
      <c r="AN112" s="83"/>
      <c r="AO112" s="83"/>
      <c r="AP112" s="83"/>
      <c r="AQ112" s="83"/>
      <c r="AR112" s="83"/>
      <c r="AS112" s="83"/>
    </row>
    <row r="113" spans="1:45">
      <c r="A113" s="287"/>
      <c r="B113" s="300"/>
      <c r="C113" s="297"/>
      <c r="D113" s="294"/>
      <c r="E113" s="290"/>
      <c r="F113" s="290"/>
      <c r="G113" s="290"/>
      <c r="H113" s="287"/>
      <c r="I113" s="290"/>
      <c r="J113" s="287"/>
      <c r="K113" s="287"/>
      <c r="L113" s="287"/>
      <c r="M113" s="287"/>
      <c r="N113" s="13" t="str" cm="1">
        <f t="array" aca="1" ref="N113" ca="1">_xlfn.LET(
    _xlpm.key, J111,
    _xlpm.data, _xlfn._xlws.FILTER('sheet template'!$F$2:$M$1009, 'sheet template'!$A$2:$A$1009=_xlpm.key, ""),
    _xlpm.jmlBaris, ROWS(_xlpm.data),
    IF(OR(_xlpm.key="", _xlpm.jmlBaris=0), "", INDEX(_xlpm.data, RANDBETWEEN(1, _xlpm.jmlBaris), 0))
)</f>
        <v/>
      </c>
      <c r="O113" s="83"/>
      <c r="P113" s="83"/>
      <c r="Q113" s="83"/>
      <c r="R113" s="83"/>
      <c r="S113" s="83"/>
      <c r="T113" s="83"/>
      <c r="U113" s="83"/>
      <c r="V113" s="13" t="str" cm="1">
        <f t="array" aca="1" ref="V113" ca="1">IF(K111="", "", INDEX(_xlfn._xlws.FILTER('sheet template'!$F$2:$M$1009, 'sheet template'!$A$2:$A$1009=K111), RANDBETWEEN(1,3), 0))</f>
        <v/>
      </c>
      <c r="W113" s="83"/>
      <c r="X113" s="83"/>
      <c r="Y113" s="83"/>
      <c r="Z113" s="83"/>
      <c r="AA113" s="83"/>
      <c r="AB113" s="83"/>
      <c r="AC113" s="83"/>
      <c r="AD113" s="13" t="str" cm="1">
        <f t="array" aca="1" ref="AD113" ca="1">IF(L111="", "", INDEX(_xlfn._xlws.FILTER('sheet template'!$F$2:$M$1009, 'sheet template'!$A$2:$A$1009=L111), RANDBETWEEN(1,3), 0))</f>
        <v/>
      </c>
      <c r="AE113" s="83"/>
      <c r="AF113" s="83"/>
      <c r="AG113" s="83"/>
      <c r="AH113" s="83"/>
      <c r="AI113" s="83"/>
      <c r="AJ113" s="83"/>
      <c r="AK113" s="83"/>
      <c r="AL113" s="13" t="str" cm="1">
        <f t="array" aca="1" ref="AL113" ca="1">IF(M111="", "", INDEX(_xlfn._xlws.FILTER('sheet template'!$F$2:$M$1009, 'sheet template'!$A$2:$A$1009=M111), RANDBETWEEN(1,3), 0))</f>
        <v/>
      </c>
      <c r="AM113" s="83"/>
      <c r="AN113" s="83"/>
      <c r="AO113" s="83"/>
      <c r="AP113" s="83"/>
      <c r="AQ113" s="83"/>
      <c r="AR113" s="83"/>
      <c r="AS113" s="83"/>
    </row>
  </sheetData>
  <mergeCells count="372">
    <mergeCell ref="J111:J113"/>
    <mergeCell ref="K111:K113"/>
    <mergeCell ref="L111:L113"/>
    <mergeCell ref="M111:M113"/>
    <mergeCell ref="A108:A110"/>
    <mergeCell ref="E111:E113"/>
    <mergeCell ref="F111:F113"/>
    <mergeCell ref="G111:G113"/>
    <mergeCell ref="H111:H113"/>
    <mergeCell ref="I111:I113"/>
    <mergeCell ref="A111:A113"/>
    <mergeCell ref="B111:B113"/>
    <mergeCell ref="C111:C113"/>
    <mergeCell ref="D111:D113"/>
    <mergeCell ref="B108:B110"/>
    <mergeCell ref="C108:C110"/>
    <mergeCell ref="D108:D110"/>
    <mergeCell ref="E108:E110"/>
    <mergeCell ref="F108:F110"/>
    <mergeCell ref="G108:G110"/>
    <mergeCell ref="H108:H110"/>
    <mergeCell ref="I108:I110"/>
    <mergeCell ref="J108:J110"/>
    <mergeCell ref="K108:K110"/>
    <mergeCell ref="L108:L110"/>
    <mergeCell ref="M108:M110"/>
    <mergeCell ref="F105:F107"/>
    <mergeCell ref="G105:G107"/>
    <mergeCell ref="H105:H107"/>
    <mergeCell ref="I105:I107"/>
    <mergeCell ref="J105:J107"/>
    <mergeCell ref="K105:K107"/>
    <mergeCell ref="L105:L107"/>
    <mergeCell ref="M105:M107"/>
    <mergeCell ref="A105:A107"/>
    <mergeCell ref="B105:B107"/>
    <mergeCell ref="C105:C107"/>
    <mergeCell ref="D105:D107"/>
    <mergeCell ref="E105:E107"/>
    <mergeCell ref="K99:K101"/>
    <mergeCell ref="L99:L101"/>
    <mergeCell ref="M99:M101"/>
    <mergeCell ref="A102:A104"/>
    <mergeCell ref="B102:B104"/>
    <mergeCell ref="C102:C104"/>
    <mergeCell ref="D102:D104"/>
    <mergeCell ref="E102:E104"/>
    <mergeCell ref="F102:F104"/>
    <mergeCell ref="G102:G104"/>
    <mergeCell ref="H102:H104"/>
    <mergeCell ref="I102:I104"/>
    <mergeCell ref="J102:J104"/>
    <mergeCell ref="K102:K104"/>
    <mergeCell ref="L102:L104"/>
    <mergeCell ref="M102:M104"/>
    <mergeCell ref="F99:F101"/>
    <mergeCell ref="G99:G101"/>
    <mergeCell ref="H99:H101"/>
    <mergeCell ref="I99:I101"/>
    <mergeCell ref="J99:J101"/>
    <mergeCell ref="A99:A101"/>
    <mergeCell ref="B99:B101"/>
    <mergeCell ref="C99:C101"/>
    <mergeCell ref="D99:D101"/>
    <mergeCell ref="E99:E101"/>
    <mergeCell ref="K93:K95"/>
    <mergeCell ref="L93:L95"/>
    <mergeCell ref="M93:M95"/>
    <mergeCell ref="A96:A98"/>
    <mergeCell ref="B96:B98"/>
    <mergeCell ref="C96:C98"/>
    <mergeCell ref="D96:D98"/>
    <mergeCell ref="E96:E98"/>
    <mergeCell ref="F96:F98"/>
    <mergeCell ref="G96:G98"/>
    <mergeCell ref="H96:H98"/>
    <mergeCell ref="I96:I98"/>
    <mergeCell ref="J96:J98"/>
    <mergeCell ref="K96:K98"/>
    <mergeCell ref="L96:L98"/>
    <mergeCell ref="M96:M98"/>
    <mergeCell ref="F93:F95"/>
    <mergeCell ref="G93:G95"/>
    <mergeCell ref="H93:H95"/>
    <mergeCell ref="I93:I95"/>
    <mergeCell ref="J93:J95"/>
    <mergeCell ref="A93:A95"/>
    <mergeCell ref="B93:B95"/>
    <mergeCell ref="C93:C95"/>
    <mergeCell ref="D93:D95"/>
    <mergeCell ref="E93:E95"/>
    <mergeCell ref="K87:K89"/>
    <mergeCell ref="L87:L89"/>
    <mergeCell ref="M87:M89"/>
    <mergeCell ref="A90:A92"/>
    <mergeCell ref="B90:B92"/>
    <mergeCell ref="C90:C92"/>
    <mergeCell ref="D90:D92"/>
    <mergeCell ref="E90:E92"/>
    <mergeCell ref="F90:F92"/>
    <mergeCell ref="G90:G92"/>
    <mergeCell ref="H90:H92"/>
    <mergeCell ref="I90:I92"/>
    <mergeCell ref="J90:J92"/>
    <mergeCell ref="K90:K92"/>
    <mergeCell ref="L90:L92"/>
    <mergeCell ref="M90:M92"/>
    <mergeCell ref="F87:F89"/>
    <mergeCell ref="G87:G89"/>
    <mergeCell ref="H87:H89"/>
    <mergeCell ref="I87:I89"/>
    <mergeCell ref="J87:J89"/>
    <mergeCell ref="A87:A89"/>
    <mergeCell ref="B87:B89"/>
    <mergeCell ref="C87:C89"/>
    <mergeCell ref="D87:D89"/>
    <mergeCell ref="E87:E89"/>
    <mergeCell ref="K81:K83"/>
    <mergeCell ref="L81:L83"/>
    <mergeCell ref="M81:M83"/>
    <mergeCell ref="A84:A86"/>
    <mergeCell ref="B84:B86"/>
    <mergeCell ref="C84:C86"/>
    <mergeCell ref="D84:D86"/>
    <mergeCell ref="E84:E86"/>
    <mergeCell ref="F84:F86"/>
    <mergeCell ref="G84:G86"/>
    <mergeCell ref="H84:H86"/>
    <mergeCell ref="I84:I86"/>
    <mergeCell ref="J84:J86"/>
    <mergeCell ref="K84:K86"/>
    <mergeCell ref="L84:L86"/>
    <mergeCell ref="M84:M86"/>
    <mergeCell ref="F81:F83"/>
    <mergeCell ref="G81:G83"/>
    <mergeCell ref="H81:H83"/>
    <mergeCell ref="I81:I83"/>
    <mergeCell ref="J81:J83"/>
    <mergeCell ref="A81:A83"/>
    <mergeCell ref="B81:B83"/>
    <mergeCell ref="C81:C83"/>
    <mergeCell ref="D81:D83"/>
    <mergeCell ref="E81:E83"/>
    <mergeCell ref="K75:K77"/>
    <mergeCell ref="L75:L77"/>
    <mergeCell ref="M75:M77"/>
    <mergeCell ref="A78:A80"/>
    <mergeCell ref="B78:B80"/>
    <mergeCell ref="C78:C80"/>
    <mergeCell ref="D78:D80"/>
    <mergeCell ref="E78:E80"/>
    <mergeCell ref="F78:F80"/>
    <mergeCell ref="G78:G80"/>
    <mergeCell ref="H78:H80"/>
    <mergeCell ref="I78:I80"/>
    <mergeCell ref="J78:J80"/>
    <mergeCell ref="K78:K80"/>
    <mergeCell ref="L78:L80"/>
    <mergeCell ref="M78:M80"/>
    <mergeCell ref="F75:F77"/>
    <mergeCell ref="G75:G77"/>
    <mergeCell ref="H75:H77"/>
    <mergeCell ref="I75:I77"/>
    <mergeCell ref="J75:J77"/>
    <mergeCell ref="A75:A77"/>
    <mergeCell ref="B75:B77"/>
    <mergeCell ref="C75:C77"/>
    <mergeCell ref="D75:D77"/>
    <mergeCell ref="E75:E77"/>
    <mergeCell ref="I72:I74"/>
    <mergeCell ref="J72:J74"/>
    <mergeCell ref="K72:K74"/>
    <mergeCell ref="L72:L74"/>
    <mergeCell ref="M72:M74"/>
    <mergeCell ref="D72:D74"/>
    <mergeCell ref="E72:E74"/>
    <mergeCell ref="F72:F74"/>
    <mergeCell ref="G72:G74"/>
    <mergeCell ref="H72:H74"/>
    <mergeCell ref="C52:C54"/>
    <mergeCell ref="B52:B54"/>
    <mergeCell ref="A52:A54"/>
    <mergeCell ref="A72:A74"/>
    <mergeCell ref="B72:B74"/>
    <mergeCell ref="C72:C74"/>
    <mergeCell ref="F52:F54"/>
    <mergeCell ref="E52:E54"/>
    <mergeCell ref="D52:D54"/>
    <mergeCell ref="C46:C48"/>
    <mergeCell ref="B46:B48"/>
    <mergeCell ref="A46:A48"/>
    <mergeCell ref="F49:F51"/>
    <mergeCell ref="E49:E51"/>
    <mergeCell ref="D49:D51"/>
    <mergeCell ref="C49:C51"/>
    <mergeCell ref="B49:B51"/>
    <mergeCell ref="F46:F48"/>
    <mergeCell ref="E46:E48"/>
    <mergeCell ref="D46:D48"/>
    <mergeCell ref="A49:A51"/>
    <mergeCell ref="C40:C42"/>
    <mergeCell ref="B40:B42"/>
    <mergeCell ref="A40:A42"/>
    <mergeCell ref="F43:F45"/>
    <mergeCell ref="E43:E45"/>
    <mergeCell ref="D43:D45"/>
    <mergeCell ref="C43:C45"/>
    <mergeCell ref="B43:B45"/>
    <mergeCell ref="A43:A45"/>
    <mergeCell ref="F40:F42"/>
    <mergeCell ref="E40:E42"/>
    <mergeCell ref="D40:D42"/>
    <mergeCell ref="F37:F39"/>
    <mergeCell ref="E37:E39"/>
    <mergeCell ref="D37:D39"/>
    <mergeCell ref="C37:C39"/>
    <mergeCell ref="B37:B39"/>
    <mergeCell ref="A37:A39"/>
    <mergeCell ref="C31:C33"/>
    <mergeCell ref="B31:B33"/>
    <mergeCell ref="A31:A33"/>
    <mergeCell ref="F34:F36"/>
    <mergeCell ref="E34:E36"/>
    <mergeCell ref="D34:D36"/>
    <mergeCell ref="C34:C36"/>
    <mergeCell ref="B34:B36"/>
    <mergeCell ref="F31:F33"/>
    <mergeCell ref="D31:D33"/>
    <mergeCell ref="E31:E33"/>
    <mergeCell ref="A34:A36"/>
    <mergeCell ref="C25:C27"/>
    <mergeCell ref="B25:B27"/>
    <mergeCell ref="A25:A27"/>
    <mergeCell ref="E28:E30"/>
    <mergeCell ref="D28:D30"/>
    <mergeCell ref="C28:C30"/>
    <mergeCell ref="B28:B30"/>
    <mergeCell ref="A28:A30"/>
    <mergeCell ref="F25:F27"/>
    <mergeCell ref="E25:E27"/>
    <mergeCell ref="D25:D27"/>
    <mergeCell ref="F28:F30"/>
    <mergeCell ref="C19:C21"/>
    <mergeCell ref="B19:B21"/>
    <mergeCell ref="A19:A21"/>
    <mergeCell ref="F22:F24"/>
    <mergeCell ref="E22:E24"/>
    <mergeCell ref="D22:D24"/>
    <mergeCell ref="C22:C24"/>
    <mergeCell ref="B22:B24"/>
    <mergeCell ref="A22:A24"/>
    <mergeCell ref="F19:F21"/>
    <mergeCell ref="E19:E21"/>
    <mergeCell ref="D19:D21"/>
    <mergeCell ref="E16:E18"/>
    <mergeCell ref="D16:D18"/>
    <mergeCell ref="C16:C18"/>
    <mergeCell ref="B16:B18"/>
    <mergeCell ref="A16:A18"/>
    <mergeCell ref="F16:F18"/>
    <mergeCell ref="F13:F15"/>
    <mergeCell ref="A13:A15"/>
    <mergeCell ref="B13:B15"/>
    <mergeCell ref="C13:C15"/>
    <mergeCell ref="D13:D15"/>
    <mergeCell ref="E13:E15"/>
    <mergeCell ref="N12:U12"/>
    <mergeCell ref="V12:AC12"/>
    <mergeCell ref="AD12:AK12"/>
    <mergeCell ref="AL12:AS12"/>
    <mergeCell ref="N71:U71"/>
    <mergeCell ref="V71:AC71"/>
    <mergeCell ref="AD71:AK71"/>
    <mergeCell ref="AL71:AS71"/>
    <mergeCell ref="M13:M15"/>
    <mergeCell ref="M19:M21"/>
    <mergeCell ref="M25:M27"/>
    <mergeCell ref="M31:M33"/>
    <mergeCell ref="M37:M39"/>
    <mergeCell ref="M43:M45"/>
    <mergeCell ref="M49:M51"/>
    <mergeCell ref="L13:L15"/>
    <mergeCell ref="K13:K15"/>
    <mergeCell ref="J13:J15"/>
    <mergeCell ref="I13:I15"/>
    <mergeCell ref="H13:H15"/>
    <mergeCell ref="G13:G15"/>
    <mergeCell ref="M16:M18"/>
    <mergeCell ref="L16:L18"/>
    <mergeCell ref="K16:K18"/>
    <mergeCell ref="J16:J18"/>
    <mergeCell ref="I16:I18"/>
    <mergeCell ref="H16:H18"/>
    <mergeCell ref="G16:G18"/>
    <mergeCell ref="L19:L21"/>
    <mergeCell ref="K19:K21"/>
    <mergeCell ref="J19:J21"/>
    <mergeCell ref="I19:I21"/>
    <mergeCell ref="H19:H21"/>
    <mergeCell ref="G19:G21"/>
    <mergeCell ref="M22:M24"/>
    <mergeCell ref="L22:L24"/>
    <mergeCell ref="K22:K24"/>
    <mergeCell ref="J22:J24"/>
    <mergeCell ref="I22:I24"/>
    <mergeCell ref="H22:H24"/>
    <mergeCell ref="G22:G24"/>
    <mergeCell ref="L25:L27"/>
    <mergeCell ref="K25:K27"/>
    <mergeCell ref="J25:J27"/>
    <mergeCell ref="I25:I27"/>
    <mergeCell ref="H25:H27"/>
    <mergeCell ref="G25:G27"/>
    <mergeCell ref="M28:M30"/>
    <mergeCell ref="L28:L30"/>
    <mergeCell ref="K28:K30"/>
    <mergeCell ref="J28:J30"/>
    <mergeCell ref="I28:I30"/>
    <mergeCell ref="H28:H30"/>
    <mergeCell ref="G28:G30"/>
    <mergeCell ref="L31:L33"/>
    <mergeCell ref="K31:K33"/>
    <mergeCell ref="J31:J33"/>
    <mergeCell ref="I31:I33"/>
    <mergeCell ref="H31:H32"/>
    <mergeCell ref="G31:G33"/>
    <mergeCell ref="M34:M36"/>
    <mergeCell ref="L34:L36"/>
    <mergeCell ref="K34:K36"/>
    <mergeCell ref="J34:J36"/>
    <mergeCell ref="I34:I36"/>
    <mergeCell ref="H34:H36"/>
    <mergeCell ref="G34:G36"/>
    <mergeCell ref="L37:L39"/>
    <mergeCell ref="K37:K39"/>
    <mergeCell ref="J37:J39"/>
    <mergeCell ref="I37:I39"/>
    <mergeCell ref="H37:H39"/>
    <mergeCell ref="G37:G39"/>
    <mergeCell ref="M40:M42"/>
    <mergeCell ref="L40:L42"/>
    <mergeCell ref="K40:K42"/>
    <mergeCell ref="J40:J42"/>
    <mergeCell ref="I40:I42"/>
    <mergeCell ref="H40:H42"/>
    <mergeCell ref="G40:G42"/>
    <mergeCell ref="L43:L45"/>
    <mergeCell ref="K43:K45"/>
    <mergeCell ref="J43:J45"/>
    <mergeCell ref="I43:I45"/>
    <mergeCell ref="H43:H45"/>
    <mergeCell ref="G43:G45"/>
    <mergeCell ref="M46:M48"/>
    <mergeCell ref="L46:L48"/>
    <mergeCell ref="K46:K48"/>
    <mergeCell ref="J46:J48"/>
    <mergeCell ref="I46:I48"/>
    <mergeCell ref="H46:H48"/>
    <mergeCell ref="G46:G48"/>
    <mergeCell ref="L49:L51"/>
    <mergeCell ref="K49:K51"/>
    <mergeCell ref="J49:J51"/>
    <mergeCell ref="I49:I51"/>
    <mergeCell ref="H49:H51"/>
    <mergeCell ref="G49:G51"/>
    <mergeCell ref="M52:M54"/>
    <mergeCell ref="L52:L54"/>
    <mergeCell ref="K52:K54"/>
    <mergeCell ref="J52:J54"/>
    <mergeCell ref="I52:I54"/>
    <mergeCell ref="H52:H54"/>
    <mergeCell ref="G52:G54"/>
  </mergeCells>
  <phoneticPr fontId="59" type="noConversion"/>
  <conditionalFormatting sqref="E12:E13 E16 E19 E22 E25 E28 E31 E34 E37 E40 E43 E46 E49 E52">
    <cfRule type="cellIs" dxfId="45" priority="22" operator="lessThan">
      <formula>0</formula>
    </cfRule>
  </conditionalFormatting>
  <conditionalFormatting sqref="E13 E16 E19 E22 E25 E28 E31 E34 E37 E40 E43 E46 E49 E52">
    <cfRule type="cellIs" dxfId="44" priority="20" operator="equal">
      <formula>0</formula>
    </cfRule>
    <cfRule type="cellIs" dxfId="43" priority="21" operator="greaterThan">
      <formula>0</formula>
    </cfRule>
  </conditionalFormatting>
  <conditionalFormatting sqref="E71:E72 E75 E78 E81 E84 E87 E90 E93 E96 E99 E102 E105 E108 E111">
    <cfRule type="cellIs" dxfId="42" priority="7" operator="lessThan">
      <formula>0</formula>
    </cfRule>
  </conditionalFormatting>
  <conditionalFormatting sqref="E72 E75 E78 E81 E84 E87 E90 E93 E96 E99 E102 E105 E108 E111">
    <cfRule type="cellIs" dxfId="41" priority="5" operator="equal">
      <formula>0</formula>
    </cfRule>
    <cfRule type="cellIs" dxfId="40" priority="6" operator="greaterThan">
      <formula>0</formula>
    </cfRule>
  </conditionalFormatting>
  <conditionalFormatting sqref="E59:F59">
    <cfRule type="containsText" dxfId="39" priority="15" operator="containsText" text="major negativ">
      <formula>NOT(ISERROR(SEARCH("major negativ",E59)))</formula>
    </cfRule>
  </conditionalFormatting>
  <conditionalFormatting sqref="F13 F16 F19 F22 F25 F28 F31 F34 F37 F40 F43 F46 F49 F52">
    <cfRule type="containsText" dxfId="38" priority="16" operator="containsText" text="4">
      <formula>NOT(ISERROR(SEARCH("4",F13)))</formula>
    </cfRule>
    <cfRule type="containsText" dxfId="37" priority="17" operator="containsText" text="3">
      <formula>NOT(ISERROR(SEARCH("3",F13)))</formula>
    </cfRule>
    <cfRule type="containsText" dxfId="36" priority="18" operator="containsText" text="2">
      <formula>NOT(ISERROR(SEARCH("2",F13)))</formula>
    </cfRule>
    <cfRule type="containsText" dxfId="35" priority="19" operator="containsText" text="1">
      <formula>NOT(ISERROR(SEARCH("1",F13)))</formula>
    </cfRule>
  </conditionalFormatting>
  <conditionalFormatting sqref="F72 F75 F78 F81 F84 F87 F90 F93 F96 F99 F102 F105 F108 F111">
    <cfRule type="containsText" dxfId="34" priority="1" operator="containsText" text="4">
      <formula>NOT(ISERROR(SEARCH("4",F72)))</formula>
    </cfRule>
    <cfRule type="containsText" dxfId="33" priority="2" operator="containsText" text="3">
      <formula>NOT(ISERROR(SEARCH("3",F72)))</formula>
    </cfRule>
    <cfRule type="containsText" dxfId="32" priority="3" operator="containsText" text="2">
      <formula>NOT(ISERROR(SEARCH("2",F72)))</formula>
    </cfRule>
    <cfRule type="containsText" dxfId="31" priority="4" operator="containsText" text="1">
      <formula>NOT(ISERROR(SEARCH("1",F72)))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CDB6-9741-4CAA-9B67-9B0A7F6FE058}">
  <dimension ref="A1"/>
  <sheetViews>
    <sheetView workbookViewId="0">
      <selection activeCell="P23" sqref="P23"/>
    </sheetView>
  </sheetViews>
  <sheetFormatPr defaultRowHeight="14.4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58CA-2C9E-4460-AE3A-61D86825A769}">
  <sheetPr>
    <tabColor rgb="FF00B0F0"/>
  </sheetPr>
  <dimension ref="A1:O1009"/>
  <sheetViews>
    <sheetView topLeftCell="A9" zoomScale="55" zoomScaleNormal="55" workbookViewId="0">
      <selection activeCell="I20" sqref="I20"/>
    </sheetView>
  </sheetViews>
  <sheetFormatPr defaultColWidth="8.85546875" defaultRowHeight="14.45"/>
  <cols>
    <col min="1" max="1" width="34.5703125" style="268" customWidth="1"/>
    <col min="2" max="2" width="34.42578125" style="223" bestFit="1" customWidth="1"/>
    <col min="3" max="3" width="17.140625" style="197" customWidth="1"/>
    <col min="4" max="4" width="8.85546875" style="197"/>
    <col min="5" max="5" width="17.28515625" style="223" customWidth="1"/>
    <col min="6" max="6" width="8.85546875" style="223"/>
    <col min="7" max="7" width="32.42578125" style="223" customWidth="1"/>
    <col min="8" max="8" width="41.42578125" style="223" customWidth="1"/>
    <col min="9" max="9" width="63.42578125" style="223" customWidth="1"/>
    <col min="10" max="10" width="37.28515625" style="223" customWidth="1"/>
    <col min="11" max="11" width="12" style="223" bestFit="1" customWidth="1"/>
    <col min="12" max="12" width="11.5703125" style="223" customWidth="1"/>
    <col min="13" max="13" width="65.28515625" style="223" customWidth="1"/>
    <col min="14" max="14" width="19.85546875" style="223" customWidth="1"/>
    <col min="15" max="16384" width="8.85546875" style="58"/>
  </cols>
  <sheetData>
    <row r="1" spans="1:14" ht="28.9">
      <c r="A1" s="268" t="s">
        <v>573</v>
      </c>
      <c r="B1" s="58" t="s">
        <v>538</v>
      </c>
      <c r="C1" s="79" t="s">
        <v>574</v>
      </c>
      <c r="D1" s="79" t="s">
        <v>575</v>
      </c>
      <c r="E1" s="79" t="s">
        <v>576</v>
      </c>
      <c r="F1" s="79" t="s">
        <v>577</v>
      </c>
      <c r="G1" s="58" t="s">
        <v>578</v>
      </c>
      <c r="H1" s="58" t="s">
        <v>579</v>
      </c>
      <c r="I1" s="58" t="s">
        <v>580</v>
      </c>
      <c r="J1" s="58" t="s">
        <v>581</v>
      </c>
      <c r="K1" s="58" t="s">
        <v>582</v>
      </c>
      <c r="L1" s="58" t="s">
        <v>583</v>
      </c>
      <c r="M1" s="58" t="s">
        <v>584</v>
      </c>
      <c r="N1" s="58" t="s">
        <v>585</v>
      </c>
    </row>
    <row r="2" spans="1:14" ht="57.6">
      <c r="A2" s="268" t="str">
        <f>B2 &amp; "|" &amp; C2 &amp; "|" &amp; D2</f>
        <v>Achievement Drive|Officer|1</v>
      </c>
      <c r="B2" s="223" t="s">
        <v>555</v>
      </c>
      <c r="C2" s="197" t="s">
        <v>4</v>
      </c>
      <c r="D2" s="197">
        <v>1</v>
      </c>
      <c r="E2" s="79" t="s">
        <v>586</v>
      </c>
      <c r="F2" s="79">
        <v>1</v>
      </c>
      <c r="G2" s="269" t="s">
        <v>587</v>
      </c>
      <c r="H2" s="270" t="s">
        <v>588</v>
      </c>
      <c r="I2" s="270" t="s">
        <v>589</v>
      </c>
      <c r="J2" s="270" t="s">
        <v>590</v>
      </c>
      <c r="K2" s="271" t="s">
        <v>591</v>
      </c>
      <c r="L2" s="270" t="s">
        <v>592</v>
      </c>
      <c r="M2" s="270" t="s">
        <v>593</v>
      </c>
      <c r="N2" s="270" t="s">
        <v>594</v>
      </c>
    </row>
    <row r="3" spans="1:14" ht="43.15">
      <c r="A3" s="268" t="str">
        <f t="shared" ref="A3:A66" si="0">B3 &amp; "|" &amp; C3 &amp; "|" &amp; D3</f>
        <v>Achievement Drive|Officer|1</v>
      </c>
      <c r="B3" s="223" t="s">
        <v>555</v>
      </c>
      <c r="C3" s="197" t="s">
        <v>4</v>
      </c>
      <c r="D3" s="197">
        <v>1</v>
      </c>
      <c r="E3" s="79" t="s">
        <v>586</v>
      </c>
      <c r="F3" s="79">
        <v>2</v>
      </c>
      <c r="G3" s="269" t="s">
        <v>595</v>
      </c>
      <c r="H3" s="270" t="s">
        <v>596</v>
      </c>
      <c r="I3" s="270" t="s">
        <v>597</v>
      </c>
      <c r="J3" s="270" t="s">
        <v>598</v>
      </c>
      <c r="K3" s="271" t="s">
        <v>591</v>
      </c>
      <c r="L3" s="270" t="s">
        <v>592</v>
      </c>
      <c r="M3" s="270" t="s">
        <v>599</v>
      </c>
      <c r="N3" s="270" t="s">
        <v>594</v>
      </c>
    </row>
    <row r="4" spans="1:14" ht="43.15">
      <c r="A4" s="268" t="str">
        <f t="shared" si="0"/>
        <v>Achievement Drive|Officer|1</v>
      </c>
      <c r="B4" s="223" t="s">
        <v>555</v>
      </c>
      <c r="C4" s="197" t="s">
        <v>4</v>
      </c>
      <c r="D4" s="197">
        <v>1</v>
      </c>
      <c r="E4" s="79" t="s">
        <v>586</v>
      </c>
      <c r="F4" s="79">
        <v>3</v>
      </c>
      <c r="G4" s="269" t="s">
        <v>600</v>
      </c>
      <c r="H4" s="272" t="s">
        <v>601</v>
      </c>
      <c r="I4" s="270" t="s">
        <v>602</v>
      </c>
      <c r="J4" s="270" t="s">
        <v>603</v>
      </c>
      <c r="K4" s="271" t="s">
        <v>591</v>
      </c>
      <c r="L4" s="270" t="s">
        <v>592</v>
      </c>
      <c r="M4" s="270" t="s">
        <v>604</v>
      </c>
      <c r="N4" s="270" t="s">
        <v>594</v>
      </c>
    </row>
    <row r="5" spans="1:14" ht="43.15">
      <c r="A5" s="268" t="str">
        <f t="shared" si="0"/>
        <v>Achievement Drive|Officer|2</v>
      </c>
      <c r="B5" s="223" t="s">
        <v>555</v>
      </c>
      <c r="C5" s="197" t="s">
        <v>4</v>
      </c>
      <c r="D5" s="79">
        <v>2</v>
      </c>
      <c r="E5" s="79" t="s">
        <v>605</v>
      </c>
      <c r="F5" s="79">
        <v>1</v>
      </c>
      <c r="G5" s="269" t="s">
        <v>606</v>
      </c>
      <c r="H5" s="270" t="s">
        <v>607</v>
      </c>
      <c r="I5" s="270" t="s">
        <v>608</v>
      </c>
      <c r="J5" s="270" t="s">
        <v>609</v>
      </c>
      <c r="K5" s="271" t="s">
        <v>591</v>
      </c>
      <c r="L5" s="270" t="s">
        <v>592</v>
      </c>
      <c r="M5" s="270" t="s">
        <v>610</v>
      </c>
      <c r="N5" s="270" t="s">
        <v>611</v>
      </c>
    </row>
    <row r="6" spans="1:14" ht="43.15">
      <c r="A6" s="268" t="str">
        <f t="shared" si="0"/>
        <v>Achievement Drive|Officer|2</v>
      </c>
      <c r="B6" s="223" t="s">
        <v>555</v>
      </c>
      <c r="C6" s="197" t="s">
        <v>4</v>
      </c>
      <c r="D6" s="79">
        <v>2</v>
      </c>
      <c r="E6" s="79" t="s">
        <v>605</v>
      </c>
      <c r="F6" s="79">
        <v>2</v>
      </c>
      <c r="G6" s="269" t="s">
        <v>612</v>
      </c>
      <c r="H6" s="270" t="s">
        <v>613</v>
      </c>
      <c r="I6" s="270" t="s">
        <v>614</v>
      </c>
      <c r="J6" s="270" t="s">
        <v>615</v>
      </c>
      <c r="K6" s="271" t="s">
        <v>591</v>
      </c>
      <c r="L6" s="270" t="s">
        <v>592</v>
      </c>
      <c r="M6" s="270" t="s">
        <v>616</v>
      </c>
      <c r="N6" s="270" t="s">
        <v>594</v>
      </c>
    </row>
    <row r="7" spans="1:14" ht="57.6">
      <c r="A7" s="268" t="str">
        <f t="shared" si="0"/>
        <v>Achievement Drive|Officer|2</v>
      </c>
      <c r="B7" s="223" t="s">
        <v>555</v>
      </c>
      <c r="C7" s="197" t="s">
        <v>4</v>
      </c>
      <c r="D7" s="79">
        <v>2</v>
      </c>
      <c r="E7" s="79" t="s">
        <v>605</v>
      </c>
      <c r="F7" s="79">
        <v>3</v>
      </c>
      <c r="G7" s="269" t="s">
        <v>617</v>
      </c>
      <c r="H7" s="270" t="s">
        <v>618</v>
      </c>
      <c r="I7" s="270" t="s">
        <v>619</v>
      </c>
      <c r="J7" s="270" t="s">
        <v>620</v>
      </c>
      <c r="K7" s="271" t="s">
        <v>591</v>
      </c>
      <c r="L7" s="270" t="s">
        <v>592</v>
      </c>
      <c r="M7" s="270" t="s">
        <v>621</v>
      </c>
      <c r="N7" s="270" t="s">
        <v>622</v>
      </c>
    </row>
    <row r="8" spans="1:14" ht="43.15">
      <c r="A8" s="268" t="str">
        <f t="shared" si="0"/>
        <v>Achievement Drive|Officer|3</v>
      </c>
      <c r="B8" s="223" t="s">
        <v>555</v>
      </c>
      <c r="C8" s="197" t="s">
        <v>4</v>
      </c>
      <c r="D8" s="79">
        <v>3</v>
      </c>
      <c r="E8" s="79" t="s">
        <v>623</v>
      </c>
      <c r="F8" s="79">
        <v>1</v>
      </c>
      <c r="G8" s="269" t="s">
        <v>624</v>
      </c>
      <c r="H8" s="270" t="s">
        <v>625</v>
      </c>
      <c r="I8" s="270" t="s">
        <v>626</v>
      </c>
      <c r="J8" s="270" t="s">
        <v>627</v>
      </c>
      <c r="K8" s="271" t="s">
        <v>591</v>
      </c>
      <c r="L8" s="270" t="s">
        <v>592</v>
      </c>
      <c r="M8" s="270" t="s">
        <v>628</v>
      </c>
      <c r="N8" s="270" t="s">
        <v>629</v>
      </c>
    </row>
    <row r="9" spans="1:14" ht="43.15">
      <c r="A9" s="268" t="str">
        <f t="shared" si="0"/>
        <v>Achievement Drive|Officer|3</v>
      </c>
      <c r="B9" s="223" t="s">
        <v>555</v>
      </c>
      <c r="C9" s="197" t="s">
        <v>4</v>
      </c>
      <c r="D9" s="79">
        <v>3</v>
      </c>
      <c r="E9" s="79" t="s">
        <v>623</v>
      </c>
      <c r="F9" s="79">
        <v>2</v>
      </c>
      <c r="G9" s="269" t="s">
        <v>630</v>
      </c>
      <c r="H9" s="270" t="s">
        <v>631</v>
      </c>
      <c r="I9" s="270" t="s">
        <v>632</v>
      </c>
      <c r="J9" s="270" t="s">
        <v>633</v>
      </c>
      <c r="K9" s="271" t="s">
        <v>591</v>
      </c>
      <c r="L9" s="270" t="s">
        <v>592</v>
      </c>
      <c r="M9" s="270" t="s">
        <v>634</v>
      </c>
      <c r="N9" s="270" t="s">
        <v>622</v>
      </c>
    </row>
    <row r="10" spans="1:14" ht="57.6">
      <c r="A10" s="268" t="str">
        <f t="shared" si="0"/>
        <v>Achievement Drive|Officer|3</v>
      </c>
      <c r="B10" s="223" t="s">
        <v>555</v>
      </c>
      <c r="C10" s="197" t="s">
        <v>4</v>
      </c>
      <c r="D10" s="79">
        <v>3</v>
      </c>
      <c r="E10" s="79" t="s">
        <v>623</v>
      </c>
      <c r="F10" s="79">
        <v>3</v>
      </c>
      <c r="G10" s="269" t="s">
        <v>635</v>
      </c>
      <c r="H10" s="270" t="s">
        <v>636</v>
      </c>
      <c r="I10" s="273" t="s">
        <v>637</v>
      </c>
      <c r="J10" s="270" t="s">
        <v>638</v>
      </c>
      <c r="K10" s="271" t="s">
        <v>591</v>
      </c>
      <c r="L10" s="270" t="s">
        <v>592</v>
      </c>
      <c r="M10" s="270" t="s">
        <v>639</v>
      </c>
      <c r="N10" s="270" t="s">
        <v>640</v>
      </c>
    </row>
    <row r="11" spans="1:14" ht="43.15">
      <c r="A11" s="268" t="str">
        <f t="shared" si="0"/>
        <v>Achievement Drive|Officer|4</v>
      </c>
      <c r="B11" s="223" t="s">
        <v>555</v>
      </c>
      <c r="C11" s="197" t="s">
        <v>4</v>
      </c>
      <c r="D11" s="79">
        <v>4</v>
      </c>
      <c r="E11" s="79" t="s">
        <v>641</v>
      </c>
      <c r="F11" s="79">
        <v>1</v>
      </c>
      <c r="G11" s="269" t="s">
        <v>642</v>
      </c>
      <c r="H11" s="270" t="s">
        <v>643</v>
      </c>
      <c r="I11" s="270" t="s">
        <v>644</v>
      </c>
      <c r="J11" s="270" t="s">
        <v>645</v>
      </c>
      <c r="K11" s="271" t="s">
        <v>591</v>
      </c>
      <c r="L11" s="270" t="s">
        <v>592</v>
      </c>
      <c r="M11" s="270" t="s">
        <v>646</v>
      </c>
      <c r="N11" s="270" t="s">
        <v>622</v>
      </c>
    </row>
    <row r="12" spans="1:14" ht="43.15">
      <c r="A12" s="268" t="str">
        <f t="shared" si="0"/>
        <v>Achievement Drive|Officer|4</v>
      </c>
      <c r="B12" s="223" t="s">
        <v>555</v>
      </c>
      <c r="C12" s="197" t="s">
        <v>4</v>
      </c>
      <c r="D12" s="79">
        <v>4</v>
      </c>
      <c r="E12" s="79" t="s">
        <v>641</v>
      </c>
      <c r="F12" s="79">
        <v>2</v>
      </c>
      <c r="G12" s="269" t="s">
        <v>647</v>
      </c>
      <c r="H12" s="270" t="s">
        <v>648</v>
      </c>
      <c r="I12" s="270" t="s">
        <v>649</v>
      </c>
      <c r="J12" s="270" t="s">
        <v>650</v>
      </c>
      <c r="K12" s="271" t="s">
        <v>591</v>
      </c>
      <c r="L12" s="270" t="s">
        <v>592</v>
      </c>
      <c r="M12" s="270" t="s">
        <v>651</v>
      </c>
      <c r="N12" s="270" t="s">
        <v>622</v>
      </c>
    </row>
    <row r="13" spans="1:14" ht="43.15">
      <c r="A13" s="268" t="str">
        <f t="shared" si="0"/>
        <v>Achievement Drive|Officer|4</v>
      </c>
      <c r="B13" s="223" t="s">
        <v>555</v>
      </c>
      <c r="C13" s="197" t="s">
        <v>4</v>
      </c>
      <c r="D13" s="79">
        <v>4</v>
      </c>
      <c r="E13" s="79" t="s">
        <v>641</v>
      </c>
      <c r="F13" s="79">
        <v>3</v>
      </c>
      <c r="G13" s="269" t="s">
        <v>652</v>
      </c>
      <c r="H13" s="270" t="s">
        <v>653</v>
      </c>
      <c r="I13" s="270" t="s">
        <v>654</v>
      </c>
      <c r="J13" s="270" t="s">
        <v>655</v>
      </c>
      <c r="K13" s="271" t="s">
        <v>591</v>
      </c>
      <c r="L13" s="270" t="s">
        <v>592</v>
      </c>
      <c r="M13" s="270" t="s">
        <v>656</v>
      </c>
      <c r="N13" s="270" t="s">
        <v>657</v>
      </c>
    </row>
    <row r="14" spans="1:14" ht="72">
      <c r="A14" s="268" t="str">
        <f t="shared" si="0"/>
        <v>Achievement Drive|Analyst|1</v>
      </c>
      <c r="B14" s="223" t="s">
        <v>555</v>
      </c>
      <c r="C14" s="197" t="s">
        <v>6</v>
      </c>
      <c r="D14" s="197">
        <v>1</v>
      </c>
      <c r="E14" s="79" t="s">
        <v>586</v>
      </c>
      <c r="F14" s="79">
        <v>1</v>
      </c>
      <c r="G14" s="269" t="s">
        <v>658</v>
      </c>
      <c r="H14" s="269" t="s">
        <v>659</v>
      </c>
      <c r="I14" s="269" t="s">
        <v>660</v>
      </c>
      <c r="J14" s="269" t="s">
        <v>661</v>
      </c>
      <c r="K14" s="271" t="s">
        <v>591</v>
      </c>
      <c r="L14" s="269" t="s">
        <v>592</v>
      </c>
      <c r="M14" s="269" t="s">
        <v>662</v>
      </c>
      <c r="N14" s="269" t="s">
        <v>594</v>
      </c>
    </row>
    <row r="15" spans="1:14" ht="28.9">
      <c r="A15" s="268" t="str">
        <f t="shared" si="0"/>
        <v>Achievement Drive|Analyst|1</v>
      </c>
      <c r="B15" s="223" t="s">
        <v>555</v>
      </c>
      <c r="C15" s="197" t="s">
        <v>6</v>
      </c>
      <c r="D15" s="197">
        <v>1</v>
      </c>
      <c r="E15" s="79" t="s">
        <v>586</v>
      </c>
      <c r="F15" s="79">
        <v>2</v>
      </c>
      <c r="G15" s="269" t="s">
        <v>663</v>
      </c>
      <c r="H15" s="269" t="s">
        <v>664</v>
      </c>
      <c r="I15" s="269" t="s">
        <v>665</v>
      </c>
      <c r="J15" s="269" t="s">
        <v>666</v>
      </c>
      <c r="K15" s="271" t="s">
        <v>591</v>
      </c>
      <c r="L15" s="269" t="s">
        <v>592</v>
      </c>
      <c r="M15" s="269" t="s">
        <v>667</v>
      </c>
      <c r="N15" s="269" t="s">
        <v>594</v>
      </c>
    </row>
    <row r="16" spans="1:14" ht="43.15">
      <c r="A16" s="268" t="str">
        <f t="shared" si="0"/>
        <v>Achievement Drive|Analyst|1</v>
      </c>
      <c r="B16" s="223" t="s">
        <v>555</v>
      </c>
      <c r="C16" s="197" t="s">
        <v>6</v>
      </c>
      <c r="D16" s="197">
        <v>1</v>
      </c>
      <c r="E16" s="79" t="s">
        <v>586</v>
      </c>
      <c r="F16" s="79">
        <v>3</v>
      </c>
      <c r="G16" s="269" t="s">
        <v>668</v>
      </c>
      <c r="H16" s="274" t="s">
        <v>669</v>
      </c>
      <c r="I16" s="269" t="s">
        <v>670</v>
      </c>
      <c r="J16" s="269" t="s">
        <v>671</v>
      </c>
      <c r="K16" s="271" t="s">
        <v>591</v>
      </c>
      <c r="L16" s="269" t="s">
        <v>592</v>
      </c>
      <c r="M16" s="269" t="s">
        <v>672</v>
      </c>
      <c r="N16" s="269" t="s">
        <v>594</v>
      </c>
    </row>
    <row r="17" spans="1:14" ht="43.15">
      <c r="A17" s="268" t="str">
        <f t="shared" si="0"/>
        <v>Achievement Drive|Analyst|2</v>
      </c>
      <c r="B17" s="223" t="s">
        <v>555</v>
      </c>
      <c r="C17" s="197" t="s">
        <v>6</v>
      </c>
      <c r="D17" s="79">
        <v>2</v>
      </c>
      <c r="E17" s="79" t="s">
        <v>605</v>
      </c>
      <c r="F17" s="79">
        <v>1</v>
      </c>
      <c r="G17" s="269" t="s">
        <v>673</v>
      </c>
      <c r="H17" s="269" t="s">
        <v>674</v>
      </c>
      <c r="I17" s="269" t="s">
        <v>675</v>
      </c>
      <c r="J17" s="269" t="s">
        <v>676</v>
      </c>
      <c r="K17" s="271" t="s">
        <v>591</v>
      </c>
      <c r="L17" s="269" t="s">
        <v>592</v>
      </c>
      <c r="M17" s="269" t="s">
        <v>677</v>
      </c>
      <c r="N17" s="269" t="s">
        <v>611</v>
      </c>
    </row>
    <row r="18" spans="1:14" ht="57.6">
      <c r="A18" s="268" t="str">
        <f t="shared" si="0"/>
        <v>Achievement Drive|Analyst|2</v>
      </c>
      <c r="B18" s="223" t="s">
        <v>555</v>
      </c>
      <c r="C18" s="197" t="s">
        <v>6</v>
      </c>
      <c r="D18" s="79">
        <v>2</v>
      </c>
      <c r="E18" s="79" t="s">
        <v>605</v>
      </c>
      <c r="F18" s="79">
        <v>2</v>
      </c>
      <c r="G18" s="269" t="s">
        <v>678</v>
      </c>
      <c r="H18" s="269" t="s">
        <v>679</v>
      </c>
      <c r="I18" s="269" t="s">
        <v>680</v>
      </c>
      <c r="J18" s="269" t="s">
        <v>681</v>
      </c>
      <c r="K18" s="271" t="s">
        <v>591</v>
      </c>
      <c r="L18" s="269" t="s">
        <v>592</v>
      </c>
      <c r="M18" s="269" t="s">
        <v>682</v>
      </c>
      <c r="N18" s="269" t="s">
        <v>594</v>
      </c>
    </row>
    <row r="19" spans="1:14" ht="57.6">
      <c r="A19" s="268" t="str">
        <f t="shared" si="0"/>
        <v>Achievement Drive|Analyst|2</v>
      </c>
      <c r="B19" s="223" t="s">
        <v>555</v>
      </c>
      <c r="C19" s="197" t="s">
        <v>6</v>
      </c>
      <c r="D19" s="79">
        <v>2</v>
      </c>
      <c r="E19" s="79" t="s">
        <v>605</v>
      </c>
      <c r="F19" s="79">
        <v>3</v>
      </c>
      <c r="G19" s="269" t="s">
        <v>683</v>
      </c>
      <c r="H19" s="274" t="s">
        <v>684</v>
      </c>
      <c r="I19" s="269" t="s">
        <v>685</v>
      </c>
      <c r="J19" s="269" t="s">
        <v>686</v>
      </c>
      <c r="K19" s="271" t="s">
        <v>591</v>
      </c>
      <c r="L19" s="269" t="s">
        <v>592</v>
      </c>
      <c r="M19" s="269" t="s">
        <v>687</v>
      </c>
      <c r="N19" s="269" t="s">
        <v>594</v>
      </c>
    </row>
    <row r="20" spans="1:14" ht="57.6">
      <c r="A20" s="268" t="str">
        <f t="shared" si="0"/>
        <v>Achievement Drive|Analyst|3</v>
      </c>
      <c r="B20" s="223" t="s">
        <v>555</v>
      </c>
      <c r="C20" s="197" t="s">
        <v>6</v>
      </c>
      <c r="D20" s="79">
        <v>3</v>
      </c>
      <c r="E20" s="79" t="s">
        <v>623</v>
      </c>
      <c r="F20" s="79">
        <v>1</v>
      </c>
      <c r="G20" s="269" t="s">
        <v>688</v>
      </c>
      <c r="H20" s="269" t="s">
        <v>689</v>
      </c>
      <c r="I20" s="269" t="s">
        <v>690</v>
      </c>
      <c r="J20" s="269" t="s">
        <v>691</v>
      </c>
      <c r="K20" s="271" t="s">
        <v>591</v>
      </c>
      <c r="L20" s="269" t="s">
        <v>592</v>
      </c>
      <c r="M20" s="269" t="s">
        <v>692</v>
      </c>
      <c r="N20" s="269" t="s">
        <v>693</v>
      </c>
    </row>
    <row r="21" spans="1:14" ht="57.6">
      <c r="A21" s="268" t="str">
        <f t="shared" si="0"/>
        <v>Achievement Drive|Analyst|3</v>
      </c>
      <c r="B21" s="223" t="s">
        <v>555</v>
      </c>
      <c r="C21" s="197" t="s">
        <v>6</v>
      </c>
      <c r="D21" s="79">
        <v>3</v>
      </c>
      <c r="E21" s="79" t="s">
        <v>623</v>
      </c>
      <c r="F21" s="79">
        <v>2</v>
      </c>
      <c r="G21" s="269" t="s">
        <v>694</v>
      </c>
      <c r="H21" s="269" t="s">
        <v>695</v>
      </c>
      <c r="I21" s="269" t="s">
        <v>696</v>
      </c>
      <c r="J21" s="269" t="s">
        <v>697</v>
      </c>
      <c r="K21" s="271" t="s">
        <v>591</v>
      </c>
      <c r="L21" s="269" t="s">
        <v>592</v>
      </c>
      <c r="M21" s="269" t="s">
        <v>698</v>
      </c>
      <c r="N21" s="269" t="s">
        <v>622</v>
      </c>
    </row>
    <row r="22" spans="1:14" ht="57.6">
      <c r="A22" s="268" t="str">
        <f t="shared" si="0"/>
        <v>Achievement Drive|Analyst|3</v>
      </c>
      <c r="B22" s="223" t="s">
        <v>555</v>
      </c>
      <c r="C22" s="197" t="s">
        <v>6</v>
      </c>
      <c r="D22" s="79">
        <v>3</v>
      </c>
      <c r="E22" s="79" t="s">
        <v>623</v>
      </c>
      <c r="F22" s="79">
        <v>3</v>
      </c>
      <c r="G22" s="269" t="s">
        <v>699</v>
      </c>
      <c r="H22" s="269" t="s">
        <v>700</v>
      </c>
      <c r="I22" s="269" t="s">
        <v>701</v>
      </c>
      <c r="J22" s="269" t="s">
        <v>638</v>
      </c>
      <c r="K22" s="271" t="s">
        <v>591</v>
      </c>
      <c r="L22" s="269" t="s">
        <v>592</v>
      </c>
      <c r="M22" s="269" t="s">
        <v>702</v>
      </c>
      <c r="N22" s="269" t="s">
        <v>640</v>
      </c>
    </row>
    <row r="23" spans="1:14" ht="57.6">
      <c r="A23" s="268" t="str">
        <f t="shared" si="0"/>
        <v>Achievement Drive|Analyst|4</v>
      </c>
      <c r="B23" s="223" t="s">
        <v>555</v>
      </c>
      <c r="C23" s="197" t="s">
        <v>6</v>
      </c>
      <c r="D23" s="79">
        <v>4</v>
      </c>
      <c r="E23" s="79" t="s">
        <v>641</v>
      </c>
      <c r="F23" s="79">
        <v>1</v>
      </c>
      <c r="G23" s="275" t="s">
        <v>703</v>
      </c>
      <c r="H23" s="269" t="s">
        <v>704</v>
      </c>
      <c r="I23" s="269" t="s">
        <v>705</v>
      </c>
      <c r="J23" s="269" t="s">
        <v>706</v>
      </c>
      <c r="K23" s="271" t="s">
        <v>591</v>
      </c>
      <c r="L23" s="269" t="s">
        <v>592</v>
      </c>
      <c r="M23" s="269" t="s">
        <v>707</v>
      </c>
      <c r="N23" s="269" t="s">
        <v>622</v>
      </c>
    </row>
    <row r="24" spans="1:14" ht="43.15">
      <c r="A24" s="268" t="str">
        <f t="shared" si="0"/>
        <v>Achievement Drive|Analyst|4</v>
      </c>
      <c r="B24" s="223" t="s">
        <v>555</v>
      </c>
      <c r="C24" s="197" t="s">
        <v>6</v>
      </c>
      <c r="D24" s="79">
        <v>4</v>
      </c>
      <c r="E24" s="79" t="s">
        <v>641</v>
      </c>
      <c r="F24" s="79">
        <v>2</v>
      </c>
      <c r="G24" s="275" t="s">
        <v>708</v>
      </c>
      <c r="H24" s="269" t="s">
        <v>709</v>
      </c>
      <c r="I24" s="269" t="s">
        <v>710</v>
      </c>
      <c r="J24" s="269" t="s">
        <v>711</v>
      </c>
      <c r="K24" s="271" t="s">
        <v>591</v>
      </c>
      <c r="L24" s="269" t="s">
        <v>592</v>
      </c>
      <c r="M24" s="269" t="s">
        <v>712</v>
      </c>
      <c r="N24" s="269" t="s">
        <v>622</v>
      </c>
    </row>
    <row r="25" spans="1:14" ht="28.9">
      <c r="A25" s="268" t="str">
        <f t="shared" si="0"/>
        <v>Achievement Drive|Analyst|4</v>
      </c>
      <c r="B25" s="223" t="s">
        <v>555</v>
      </c>
      <c r="C25" s="197" t="s">
        <v>6</v>
      </c>
      <c r="D25" s="79">
        <v>4</v>
      </c>
      <c r="E25" s="79" t="s">
        <v>641</v>
      </c>
      <c r="F25" s="79">
        <v>3</v>
      </c>
      <c r="G25" s="275" t="s">
        <v>713</v>
      </c>
      <c r="H25" s="269" t="s">
        <v>714</v>
      </c>
      <c r="I25" s="269" t="s">
        <v>715</v>
      </c>
      <c r="J25" s="269" t="s">
        <v>716</v>
      </c>
      <c r="K25" s="271" t="s">
        <v>591</v>
      </c>
      <c r="L25" s="269" t="s">
        <v>592</v>
      </c>
      <c r="M25" s="269" t="s">
        <v>717</v>
      </c>
      <c r="N25" s="269" t="s">
        <v>657</v>
      </c>
    </row>
    <row r="26" spans="1:14" ht="57.6">
      <c r="A26" s="268" t="str">
        <f t="shared" si="0"/>
        <v>Achievement Drive|Unit Head/Specialist|1</v>
      </c>
      <c r="B26" s="223" t="s">
        <v>555</v>
      </c>
      <c r="C26" s="79" t="s">
        <v>13</v>
      </c>
      <c r="D26" s="197">
        <v>1</v>
      </c>
      <c r="E26" s="79" t="s">
        <v>586</v>
      </c>
      <c r="F26" s="79">
        <v>1</v>
      </c>
      <c r="G26" s="269" t="s">
        <v>718</v>
      </c>
      <c r="H26" s="269" t="s">
        <v>719</v>
      </c>
      <c r="I26" s="269" t="s">
        <v>720</v>
      </c>
      <c r="J26" s="269" t="s">
        <v>721</v>
      </c>
      <c r="K26" s="271" t="s">
        <v>591</v>
      </c>
      <c r="L26" s="269" t="s">
        <v>592</v>
      </c>
      <c r="M26" s="269" t="s">
        <v>722</v>
      </c>
      <c r="N26" s="269" t="s">
        <v>594</v>
      </c>
    </row>
    <row r="27" spans="1:14" ht="28.9">
      <c r="A27" s="268" t="str">
        <f t="shared" si="0"/>
        <v>Achievement Drive|Unit Head/Specialist|1</v>
      </c>
      <c r="B27" s="223" t="s">
        <v>555</v>
      </c>
      <c r="C27" s="79" t="s">
        <v>13</v>
      </c>
      <c r="D27" s="197">
        <v>1</v>
      </c>
      <c r="E27" s="79" t="s">
        <v>586</v>
      </c>
      <c r="F27" s="79">
        <v>2</v>
      </c>
      <c r="G27" s="269" t="s">
        <v>723</v>
      </c>
      <c r="H27" s="269" t="s">
        <v>724</v>
      </c>
      <c r="I27" s="269" t="s">
        <v>725</v>
      </c>
      <c r="J27" s="269" t="s">
        <v>666</v>
      </c>
      <c r="K27" s="271" t="s">
        <v>591</v>
      </c>
      <c r="L27" s="269" t="s">
        <v>592</v>
      </c>
      <c r="M27" s="269" t="s">
        <v>726</v>
      </c>
      <c r="N27" s="269" t="s">
        <v>594</v>
      </c>
    </row>
    <row r="28" spans="1:14" ht="43.15">
      <c r="A28" s="268" t="str">
        <f t="shared" si="0"/>
        <v>Achievement Drive|Unit Head/Specialist|1</v>
      </c>
      <c r="B28" s="223" t="s">
        <v>555</v>
      </c>
      <c r="C28" s="79" t="s">
        <v>13</v>
      </c>
      <c r="D28" s="197">
        <v>1</v>
      </c>
      <c r="E28" s="79" t="s">
        <v>586</v>
      </c>
      <c r="F28" s="79">
        <v>3</v>
      </c>
      <c r="G28" s="269" t="s">
        <v>727</v>
      </c>
      <c r="H28" s="274" t="s">
        <v>728</v>
      </c>
      <c r="I28" s="269" t="s">
        <v>729</v>
      </c>
      <c r="J28" s="269" t="s">
        <v>730</v>
      </c>
      <c r="K28" s="271" t="s">
        <v>591</v>
      </c>
      <c r="L28" s="269" t="s">
        <v>592</v>
      </c>
      <c r="M28" s="269" t="s">
        <v>731</v>
      </c>
      <c r="N28" s="269" t="s">
        <v>622</v>
      </c>
    </row>
    <row r="29" spans="1:14" ht="43.15">
      <c r="A29" s="268" t="str">
        <f t="shared" si="0"/>
        <v>Achievement Drive|Unit Head/Specialist|2</v>
      </c>
      <c r="B29" s="223" t="s">
        <v>555</v>
      </c>
      <c r="C29" s="79" t="s">
        <v>13</v>
      </c>
      <c r="D29" s="79">
        <v>2</v>
      </c>
      <c r="E29" s="79" t="s">
        <v>605</v>
      </c>
      <c r="F29" s="79">
        <v>1</v>
      </c>
      <c r="G29" s="269" t="s">
        <v>732</v>
      </c>
      <c r="H29" s="269" t="s">
        <v>733</v>
      </c>
      <c r="I29" s="269" t="s">
        <v>734</v>
      </c>
      <c r="J29" s="269" t="s">
        <v>735</v>
      </c>
      <c r="K29" s="271" t="s">
        <v>591</v>
      </c>
      <c r="L29" s="269" t="s">
        <v>592</v>
      </c>
      <c r="M29" s="269" t="s">
        <v>736</v>
      </c>
      <c r="N29" s="269" t="s">
        <v>737</v>
      </c>
    </row>
    <row r="30" spans="1:14" ht="43.15">
      <c r="A30" s="268" t="str">
        <f t="shared" si="0"/>
        <v>Achievement Drive|Unit Head/Specialist|2</v>
      </c>
      <c r="B30" s="223" t="s">
        <v>555</v>
      </c>
      <c r="C30" s="79" t="s">
        <v>13</v>
      </c>
      <c r="D30" s="79">
        <v>2</v>
      </c>
      <c r="E30" s="79" t="s">
        <v>605</v>
      </c>
      <c r="F30" s="79">
        <v>2</v>
      </c>
      <c r="G30" s="269" t="s">
        <v>738</v>
      </c>
      <c r="H30" s="269" t="s">
        <v>739</v>
      </c>
      <c r="I30" s="269" t="s">
        <v>740</v>
      </c>
      <c r="J30" s="269" t="s">
        <v>741</v>
      </c>
      <c r="K30" s="271" t="s">
        <v>591</v>
      </c>
      <c r="L30" s="269" t="s">
        <v>592</v>
      </c>
      <c r="M30" s="269" t="s">
        <v>742</v>
      </c>
      <c r="N30" s="269" t="s">
        <v>622</v>
      </c>
    </row>
    <row r="31" spans="1:14" ht="28.9">
      <c r="A31" s="268" t="str">
        <f t="shared" si="0"/>
        <v>Achievement Drive|Unit Head/Specialist|2</v>
      </c>
      <c r="B31" s="223" t="s">
        <v>555</v>
      </c>
      <c r="C31" s="79" t="s">
        <v>13</v>
      </c>
      <c r="D31" s="79">
        <v>2</v>
      </c>
      <c r="E31" s="79" t="s">
        <v>605</v>
      </c>
      <c r="F31" s="79">
        <v>3</v>
      </c>
      <c r="G31" s="269" t="s">
        <v>743</v>
      </c>
      <c r="H31" s="269" t="s">
        <v>744</v>
      </c>
      <c r="I31" s="269" t="s">
        <v>745</v>
      </c>
      <c r="J31" s="269" t="s">
        <v>746</v>
      </c>
      <c r="K31" s="271" t="s">
        <v>591</v>
      </c>
      <c r="L31" s="269" t="s">
        <v>592</v>
      </c>
      <c r="M31" s="269" t="s">
        <v>747</v>
      </c>
      <c r="N31" s="269" t="s">
        <v>594</v>
      </c>
    </row>
    <row r="32" spans="1:14" ht="43.15">
      <c r="A32" s="268" t="str">
        <f t="shared" si="0"/>
        <v>Achievement Drive|Unit Head/Specialist|3</v>
      </c>
      <c r="B32" s="223" t="s">
        <v>555</v>
      </c>
      <c r="C32" s="79" t="s">
        <v>13</v>
      </c>
      <c r="D32" s="79">
        <v>3</v>
      </c>
      <c r="E32" s="79" t="s">
        <v>623</v>
      </c>
      <c r="F32" s="79">
        <v>1</v>
      </c>
      <c r="G32" s="269" t="s">
        <v>748</v>
      </c>
      <c r="H32" s="269" t="s">
        <v>749</v>
      </c>
      <c r="I32" s="269" t="s">
        <v>750</v>
      </c>
      <c r="J32" s="269" t="s">
        <v>751</v>
      </c>
      <c r="K32" s="271" t="s">
        <v>591</v>
      </c>
      <c r="L32" s="269" t="s">
        <v>592</v>
      </c>
      <c r="M32" s="269" t="s">
        <v>752</v>
      </c>
      <c r="N32" s="269" t="s">
        <v>622</v>
      </c>
    </row>
    <row r="33" spans="1:14" ht="57.6">
      <c r="A33" s="268" t="str">
        <f t="shared" si="0"/>
        <v>Achievement Drive|Unit Head/Specialist|3</v>
      </c>
      <c r="B33" s="223" t="s">
        <v>555</v>
      </c>
      <c r="C33" s="79" t="s">
        <v>13</v>
      </c>
      <c r="D33" s="79">
        <v>3</v>
      </c>
      <c r="E33" s="79" t="s">
        <v>623</v>
      </c>
      <c r="F33" s="79">
        <v>2</v>
      </c>
      <c r="G33" s="269" t="s">
        <v>753</v>
      </c>
      <c r="H33" s="269" t="s">
        <v>754</v>
      </c>
      <c r="I33" s="269" t="s">
        <v>755</v>
      </c>
      <c r="J33" s="269" t="s">
        <v>756</v>
      </c>
      <c r="K33" s="271" t="s">
        <v>591</v>
      </c>
      <c r="L33" s="269" t="s">
        <v>592</v>
      </c>
      <c r="M33" s="269" t="s">
        <v>757</v>
      </c>
      <c r="N33" s="269" t="s">
        <v>758</v>
      </c>
    </row>
    <row r="34" spans="1:14" ht="57.6">
      <c r="A34" s="268" t="str">
        <f t="shared" si="0"/>
        <v>Achievement Drive|Unit Head/Specialist|3</v>
      </c>
      <c r="B34" s="223" t="s">
        <v>555</v>
      </c>
      <c r="C34" s="79" t="s">
        <v>13</v>
      </c>
      <c r="D34" s="79">
        <v>3</v>
      </c>
      <c r="E34" s="79" t="s">
        <v>623</v>
      </c>
      <c r="F34" s="79">
        <v>3</v>
      </c>
      <c r="G34" s="269" t="s">
        <v>759</v>
      </c>
      <c r="H34" s="269" t="s">
        <v>760</v>
      </c>
      <c r="I34" s="269" t="s">
        <v>761</v>
      </c>
      <c r="J34" s="269" t="s">
        <v>638</v>
      </c>
      <c r="K34" s="271" t="s">
        <v>591</v>
      </c>
      <c r="L34" s="269" t="s">
        <v>592</v>
      </c>
      <c r="M34" s="269" t="s">
        <v>762</v>
      </c>
      <c r="N34" s="269" t="s">
        <v>640</v>
      </c>
    </row>
    <row r="35" spans="1:14" ht="43.15">
      <c r="A35" s="268" t="str">
        <f t="shared" si="0"/>
        <v>Achievement Drive|Unit Head/Specialist|4</v>
      </c>
      <c r="B35" s="223" t="s">
        <v>555</v>
      </c>
      <c r="C35" s="79" t="s">
        <v>13</v>
      </c>
      <c r="D35" s="79">
        <v>4</v>
      </c>
      <c r="E35" s="79" t="s">
        <v>641</v>
      </c>
      <c r="F35" s="79">
        <v>1</v>
      </c>
      <c r="G35" s="269" t="s">
        <v>763</v>
      </c>
      <c r="H35" s="269" t="s">
        <v>764</v>
      </c>
      <c r="I35" s="269" t="s">
        <v>765</v>
      </c>
      <c r="J35" s="269" t="s">
        <v>766</v>
      </c>
      <c r="K35" s="271" t="s">
        <v>591</v>
      </c>
      <c r="L35" s="269" t="s">
        <v>592</v>
      </c>
      <c r="M35" s="269" t="s">
        <v>767</v>
      </c>
      <c r="N35" s="269" t="s">
        <v>622</v>
      </c>
    </row>
    <row r="36" spans="1:14" ht="43.15">
      <c r="A36" s="268" t="str">
        <f t="shared" si="0"/>
        <v>Achievement Drive|Unit Head/Specialist|4</v>
      </c>
      <c r="B36" s="223" t="s">
        <v>555</v>
      </c>
      <c r="C36" s="79" t="s">
        <v>13</v>
      </c>
      <c r="D36" s="79">
        <v>4</v>
      </c>
      <c r="E36" s="79" t="s">
        <v>641</v>
      </c>
      <c r="F36" s="79">
        <v>2</v>
      </c>
      <c r="G36" s="269" t="s">
        <v>768</v>
      </c>
      <c r="H36" s="269" t="s">
        <v>769</v>
      </c>
      <c r="I36" s="269" t="s">
        <v>770</v>
      </c>
      <c r="J36" s="269" t="s">
        <v>771</v>
      </c>
      <c r="K36" s="271" t="s">
        <v>591</v>
      </c>
      <c r="L36" s="269" t="s">
        <v>592</v>
      </c>
      <c r="M36" s="269" t="s">
        <v>772</v>
      </c>
      <c r="N36" s="269" t="s">
        <v>773</v>
      </c>
    </row>
    <row r="37" spans="1:14" ht="43.15">
      <c r="A37" s="268" t="str">
        <f t="shared" si="0"/>
        <v>Achievement Drive|Unit Head/Specialist|4</v>
      </c>
      <c r="B37" s="223" t="s">
        <v>555</v>
      </c>
      <c r="C37" s="79" t="s">
        <v>13</v>
      </c>
      <c r="D37" s="79">
        <v>4</v>
      </c>
      <c r="E37" s="79" t="s">
        <v>641</v>
      </c>
      <c r="F37" s="79">
        <v>3</v>
      </c>
      <c r="G37" s="269" t="s">
        <v>774</v>
      </c>
      <c r="H37" s="269" t="s">
        <v>775</v>
      </c>
      <c r="I37" s="269" t="s">
        <v>776</v>
      </c>
      <c r="J37" s="269" t="s">
        <v>777</v>
      </c>
      <c r="K37" s="271" t="s">
        <v>591</v>
      </c>
      <c r="L37" s="269" t="s">
        <v>592</v>
      </c>
      <c r="M37" s="269" t="s">
        <v>778</v>
      </c>
      <c r="N37" s="269" t="s">
        <v>773</v>
      </c>
    </row>
    <row r="38" spans="1:14" ht="57.6">
      <c r="A38" s="268" t="str">
        <f t="shared" si="0"/>
        <v>Achievement Drive|Department Head|1</v>
      </c>
      <c r="B38" s="223" t="s">
        <v>555</v>
      </c>
      <c r="C38" s="79" t="s">
        <v>779</v>
      </c>
      <c r="D38" s="197">
        <v>1</v>
      </c>
      <c r="E38" s="79" t="s">
        <v>586</v>
      </c>
      <c r="F38" s="79">
        <v>1</v>
      </c>
      <c r="G38" s="269" t="s">
        <v>780</v>
      </c>
      <c r="H38" s="269" t="s">
        <v>781</v>
      </c>
      <c r="I38" s="269" t="s">
        <v>782</v>
      </c>
      <c r="J38" s="269" t="s">
        <v>783</v>
      </c>
      <c r="K38" s="271" t="s">
        <v>591</v>
      </c>
      <c r="L38" s="269" t="s">
        <v>592</v>
      </c>
      <c r="M38" s="269" t="s">
        <v>784</v>
      </c>
      <c r="N38" s="269" t="s">
        <v>594</v>
      </c>
    </row>
    <row r="39" spans="1:14" ht="43.15">
      <c r="A39" s="268" t="str">
        <f t="shared" si="0"/>
        <v>Achievement Drive|Department Head|1</v>
      </c>
      <c r="B39" s="223" t="s">
        <v>555</v>
      </c>
      <c r="C39" s="79" t="s">
        <v>779</v>
      </c>
      <c r="D39" s="197">
        <v>1</v>
      </c>
      <c r="E39" s="79" t="s">
        <v>586</v>
      </c>
      <c r="F39" s="79">
        <v>2</v>
      </c>
      <c r="G39" s="269" t="s">
        <v>785</v>
      </c>
      <c r="H39" s="269" t="s">
        <v>786</v>
      </c>
      <c r="I39" s="269" t="s">
        <v>787</v>
      </c>
      <c r="J39" s="269" t="s">
        <v>788</v>
      </c>
      <c r="K39" s="271" t="s">
        <v>591</v>
      </c>
      <c r="L39" s="269" t="s">
        <v>592</v>
      </c>
      <c r="M39" s="269" t="s">
        <v>789</v>
      </c>
      <c r="N39" s="269" t="s">
        <v>594</v>
      </c>
    </row>
    <row r="40" spans="1:14" ht="43.15">
      <c r="A40" s="268" t="str">
        <f t="shared" si="0"/>
        <v>Achievement Drive|Department Head|1</v>
      </c>
      <c r="B40" s="223" t="s">
        <v>555</v>
      </c>
      <c r="C40" s="79" t="s">
        <v>779</v>
      </c>
      <c r="D40" s="197">
        <v>1</v>
      </c>
      <c r="E40" s="79" t="s">
        <v>586</v>
      </c>
      <c r="F40" s="79">
        <v>3</v>
      </c>
      <c r="G40" s="269" t="s">
        <v>790</v>
      </c>
      <c r="H40" s="274" t="s">
        <v>791</v>
      </c>
      <c r="I40" s="269" t="s">
        <v>792</v>
      </c>
      <c r="J40" s="269" t="s">
        <v>671</v>
      </c>
      <c r="K40" s="271" t="s">
        <v>591</v>
      </c>
      <c r="L40" s="269" t="s">
        <v>592</v>
      </c>
      <c r="M40" s="269" t="s">
        <v>793</v>
      </c>
      <c r="N40" s="269" t="s">
        <v>594</v>
      </c>
    </row>
    <row r="41" spans="1:14" ht="57.6">
      <c r="A41" s="268" t="str">
        <f t="shared" si="0"/>
        <v>Achievement Drive|Department Head|2</v>
      </c>
      <c r="B41" s="223" t="s">
        <v>555</v>
      </c>
      <c r="C41" s="79" t="s">
        <v>779</v>
      </c>
      <c r="D41" s="79">
        <v>2</v>
      </c>
      <c r="E41" s="79" t="s">
        <v>605</v>
      </c>
      <c r="F41" s="79">
        <v>1</v>
      </c>
      <c r="G41" s="269" t="s">
        <v>794</v>
      </c>
      <c r="H41" s="269" t="s">
        <v>795</v>
      </c>
      <c r="I41" s="269" t="s">
        <v>796</v>
      </c>
      <c r="J41" s="269" t="s">
        <v>797</v>
      </c>
      <c r="K41" s="271" t="s">
        <v>591</v>
      </c>
      <c r="L41" s="269" t="s">
        <v>592</v>
      </c>
      <c r="M41" s="269" t="s">
        <v>798</v>
      </c>
      <c r="N41" s="269" t="s">
        <v>611</v>
      </c>
    </row>
    <row r="42" spans="1:14" ht="43.15">
      <c r="A42" s="268" t="str">
        <f t="shared" si="0"/>
        <v>Achievement Drive|Department Head|2</v>
      </c>
      <c r="B42" s="223" t="s">
        <v>555</v>
      </c>
      <c r="C42" s="79" t="s">
        <v>779</v>
      </c>
      <c r="D42" s="79">
        <v>2</v>
      </c>
      <c r="E42" s="79" t="s">
        <v>605</v>
      </c>
      <c r="F42" s="79">
        <v>2</v>
      </c>
      <c r="G42" s="269" t="s">
        <v>799</v>
      </c>
      <c r="H42" s="269" t="s">
        <v>800</v>
      </c>
      <c r="I42" s="269" t="s">
        <v>801</v>
      </c>
      <c r="J42" s="269" t="s">
        <v>802</v>
      </c>
      <c r="K42" s="271" t="s">
        <v>591</v>
      </c>
      <c r="L42" s="269" t="s">
        <v>592</v>
      </c>
      <c r="M42" s="269" t="s">
        <v>803</v>
      </c>
      <c r="N42" s="269" t="s">
        <v>622</v>
      </c>
    </row>
    <row r="43" spans="1:14" ht="43.15">
      <c r="A43" s="268" t="str">
        <f t="shared" si="0"/>
        <v>Achievement Drive|Department Head|2</v>
      </c>
      <c r="B43" s="223" t="s">
        <v>555</v>
      </c>
      <c r="C43" s="79" t="s">
        <v>779</v>
      </c>
      <c r="D43" s="79">
        <v>2</v>
      </c>
      <c r="E43" s="79" t="s">
        <v>605</v>
      </c>
      <c r="F43" s="79">
        <v>3</v>
      </c>
      <c r="G43" s="269" t="s">
        <v>804</v>
      </c>
      <c r="H43" s="269" t="s">
        <v>805</v>
      </c>
      <c r="I43" s="269" t="s">
        <v>806</v>
      </c>
      <c r="J43" s="269" t="s">
        <v>807</v>
      </c>
      <c r="K43" s="271" t="s">
        <v>591</v>
      </c>
      <c r="L43" s="269" t="s">
        <v>592</v>
      </c>
      <c r="M43" s="269" t="s">
        <v>808</v>
      </c>
      <c r="N43" s="269" t="s">
        <v>622</v>
      </c>
    </row>
    <row r="44" spans="1:14" ht="57.6">
      <c r="A44" s="268" t="str">
        <f t="shared" si="0"/>
        <v>Achievement Drive|Department Head|3</v>
      </c>
      <c r="B44" s="223" t="s">
        <v>555</v>
      </c>
      <c r="C44" s="79" t="s">
        <v>779</v>
      </c>
      <c r="D44" s="79">
        <v>3</v>
      </c>
      <c r="E44" s="79" t="s">
        <v>623</v>
      </c>
      <c r="F44" s="79">
        <v>1</v>
      </c>
      <c r="G44" s="269" t="s">
        <v>809</v>
      </c>
      <c r="H44" s="269" t="s">
        <v>810</v>
      </c>
      <c r="I44" s="269" t="s">
        <v>811</v>
      </c>
      <c r="J44" s="269" t="s">
        <v>812</v>
      </c>
      <c r="K44" s="271" t="s">
        <v>591</v>
      </c>
      <c r="L44" s="269" t="s">
        <v>592</v>
      </c>
      <c r="M44" s="269" t="s">
        <v>813</v>
      </c>
      <c r="N44" s="269" t="s">
        <v>594</v>
      </c>
    </row>
    <row r="45" spans="1:14" ht="43.15">
      <c r="A45" s="268" t="str">
        <f t="shared" si="0"/>
        <v>Achievement Drive|Department Head|3</v>
      </c>
      <c r="B45" s="223" t="s">
        <v>555</v>
      </c>
      <c r="C45" s="79" t="s">
        <v>779</v>
      </c>
      <c r="D45" s="79">
        <v>3</v>
      </c>
      <c r="E45" s="79" t="s">
        <v>623</v>
      </c>
      <c r="F45" s="79">
        <v>2</v>
      </c>
      <c r="G45" s="269" t="s">
        <v>814</v>
      </c>
      <c r="H45" s="269" t="s">
        <v>815</v>
      </c>
      <c r="I45" s="269" t="s">
        <v>816</v>
      </c>
      <c r="J45" s="269" t="s">
        <v>817</v>
      </c>
      <c r="K45" s="271" t="s">
        <v>591</v>
      </c>
      <c r="L45" s="269" t="s">
        <v>592</v>
      </c>
      <c r="M45" s="269" t="s">
        <v>818</v>
      </c>
      <c r="N45" s="269" t="s">
        <v>622</v>
      </c>
    </row>
    <row r="46" spans="1:14" ht="57.6">
      <c r="A46" s="268" t="str">
        <f t="shared" si="0"/>
        <v>Achievement Drive|Department Head|3</v>
      </c>
      <c r="B46" s="223" t="s">
        <v>555</v>
      </c>
      <c r="C46" s="79" t="s">
        <v>779</v>
      </c>
      <c r="D46" s="79">
        <v>3</v>
      </c>
      <c r="E46" s="79" t="s">
        <v>623</v>
      </c>
      <c r="F46" s="79">
        <v>3</v>
      </c>
      <c r="G46" s="269" t="s">
        <v>819</v>
      </c>
      <c r="H46" s="269" t="s">
        <v>820</v>
      </c>
      <c r="I46" s="269" t="s">
        <v>821</v>
      </c>
      <c r="J46" s="269" t="s">
        <v>638</v>
      </c>
      <c r="K46" s="271" t="s">
        <v>591</v>
      </c>
      <c r="L46" s="269" t="s">
        <v>592</v>
      </c>
      <c r="M46" s="269" t="s">
        <v>822</v>
      </c>
      <c r="N46" s="269" t="s">
        <v>640</v>
      </c>
    </row>
    <row r="47" spans="1:14" ht="43.15">
      <c r="A47" s="268" t="str">
        <f t="shared" si="0"/>
        <v>Achievement Drive|Department Head|4</v>
      </c>
      <c r="B47" s="223" t="s">
        <v>555</v>
      </c>
      <c r="C47" s="79" t="s">
        <v>779</v>
      </c>
      <c r="D47" s="79">
        <v>4</v>
      </c>
      <c r="E47" s="79" t="s">
        <v>641</v>
      </c>
      <c r="F47" s="79">
        <v>1</v>
      </c>
      <c r="G47" s="275" t="s">
        <v>823</v>
      </c>
      <c r="H47" s="269" t="s">
        <v>824</v>
      </c>
      <c r="I47" s="269" t="s">
        <v>825</v>
      </c>
      <c r="J47" s="269" t="s">
        <v>826</v>
      </c>
      <c r="K47" s="271" t="s">
        <v>591</v>
      </c>
      <c r="L47" s="269" t="s">
        <v>592</v>
      </c>
      <c r="M47" s="269" t="s">
        <v>827</v>
      </c>
      <c r="N47" s="269" t="s">
        <v>622</v>
      </c>
    </row>
    <row r="48" spans="1:14" ht="43.15">
      <c r="A48" s="268" t="str">
        <f t="shared" si="0"/>
        <v>Achievement Drive|Department Head|4</v>
      </c>
      <c r="B48" s="223" t="s">
        <v>555</v>
      </c>
      <c r="C48" s="79" t="s">
        <v>779</v>
      </c>
      <c r="D48" s="79">
        <v>4</v>
      </c>
      <c r="E48" s="79" t="s">
        <v>641</v>
      </c>
      <c r="F48" s="79">
        <v>2</v>
      </c>
      <c r="G48" s="275" t="s">
        <v>828</v>
      </c>
      <c r="H48" s="269" t="s">
        <v>829</v>
      </c>
      <c r="I48" s="269" t="s">
        <v>830</v>
      </c>
      <c r="J48" s="269" t="s">
        <v>831</v>
      </c>
      <c r="K48" s="271" t="s">
        <v>591</v>
      </c>
      <c r="L48" s="269" t="s">
        <v>592</v>
      </c>
      <c r="M48" s="269" t="s">
        <v>832</v>
      </c>
      <c r="N48" s="269" t="s">
        <v>622</v>
      </c>
    </row>
    <row r="49" spans="1:14" ht="43.15">
      <c r="A49" s="268" t="str">
        <f t="shared" si="0"/>
        <v>Achievement Drive|Department Head|4</v>
      </c>
      <c r="B49" s="223" t="s">
        <v>555</v>
      </c>
      <c r="C49" s="79" t="s">
        <v>779</v>
      </c>
      <c r="D49" s="79">
        <v>4</v>
      </c>
      <c r="E49" s="79" t="s">
        <v>641</v>
      </c>
      <c r="F49" s="79">
        <v>3</v>
      </c>
      <c r="G49" s="275" t="s">
        <v>833</v>
      </c>
      <c r="H49" s="269" t="s">
        <v>834</v>
      </c>
      <c r="I49" s="269" t="s">
        <v>835</v>
      </c>
      <c r="J49" s="269" t="s">
        <v>836</v>
      </c>
      <c r="K49" s="271" t="s">
        <v>591</v>
      </c>
      <c r="L49" s="269" t="s">
        <v>592</v>
      </c>
      <c r="M49" s="269" t="s">
        <v>837</v>
      </c>
      <c r="N49" s="269" t="s">
        <v>773</v>
      </c>
    </row>
    <row r="50" spans="1:14" ht="57.6">
      <c r="A50" s="268" t="str">
        <f t="shared" si="0"/>
        <v>Achievement Drive|Division Head|1</v>
      </c>
      <c r="B50" s="223" t="s">
        <v>555</v>
      </c>
      <c r="C50" s="79" t="s">
        <v>838</v>
      </c>
      <c r="D50" s="197">
        <v>1</v>
      </c>
      <c r="E50" s="79" t="s">
        <v>586</v>
      </c>
      <c r="F50" s="79">
        <v>1</v>
      </c>
      <c r="G50" s="269" t="s">
        <v>839</v>
      </c>
      <c r="H50" s="269" t="s">
        <v>840</v>
      </c>
      <c r="I50" s="269" t="s">
        <v>841</v>
      </c>
      <c r="J50" s="269" t="s">
        <v>842</v>
      </c>
      <c r="K50" s="271" t="s">
        <v>591</v>
      </c>
      <c r="L50" s="269" t="s">
        <v>592</v>
      </c>
      <c r="M50" s="269" t="s">
        <v>843</v>
      </c>
      <c r="N50" s="269" t="s">
        <v>594</v>
      </c>
    </row>
    <row r="51" spans="1:14" ht="43.15">
      <c r="A51" s="268" t="str">
        <f t="shared" si="0"/>
        <v>Achievement Drive|Division Head|1</v>
      </c>
      <c r="B51" s="223" t="s">
        <v>555</v>
      </c>
      <c r="C51" s="79" t="s">
        <v>838</v>
      </c>
      <c r="D51" s="197">
        <v>1</v>
      </c>
      <c r="E51" s="79" t="s">
        <v>586</v>
      </c>
      <c r="F51" s="79">
        <v>2</v>
      </c>
      <c r="G51" s="269" t="s">
        <v>844</v>
      </c>
      <c r="H51" s="269" t="s">
        <v>845</v>
      </c>
      <c r="I51" s="269" t="s">
        <v>846</v>
      </c>
      <c r="J51" s="269" t="s">
        <v>847</v>
      </c>
      <c r="K51" s="271" t="s">
        <v>591</v>
      </c>
      <c r="L51" s="269" t="s">
        <v>592</v>
      </c>
      <c r="M51" s="269" t="s">
        <v>848</v>
      </c>
      <c r="N51" s="269" t="s">
        <v>622</v>
      </c>
    </row>
    <row r="52" spans="1:14" ht="43.15">
      <c r="A52" s="268" t="str">
        <f t="shared" si="0"/>
        <v>Achievement Drive|Division Head|1</v>
      </c>
      <c r="B52" s="223" t="s">
        <v>555</v>
      </c>
      <c r="C52" s="79" t="s">
        <v>838</v>
      </c>
      <c r="D52" s="197">
        <v>1</v>
      </c>
      <c r="E52" s="79" t="s">
        <v>586</v>
      </c>
      <c r="F52" s="79">
        <v>3</v>
      </c>
      <c r="G52" s="269" t="s">
        <v>849</v>
      </c>
      <c r="H52" s="274" t="s">
        <v>850</v>
      </c>
      <c r="I52" s="269" t="s">
        <v>851</v>
      </c>
      <c r="J52" s="269" t="s">
        <v>852</v>
      </c>
      <c r="K52" s="271" t="s">
        <v>591</v>
      </c>
      <c r="L52" s="269" t="s">
        <v>592</v>
      </c>
      <c r="M52" s="269" t="s">
        <v>853</v>
      </c>
      <c r="N52" s="269" t="s">
        <v>622</v>
      </c>
    </row>
    <row r="53" spans="1:14" ht="43.15">
      <c r="A53" s="268" t="str">
        <f t="shared" si="0"/>
        <v>Achievement Drive|Division Head|2</v>
      </c>
      <c r="B53" s="223" t="s">
        <v>555</v>
      </c>
      <c r="C53" s="79" t="s">
        <v>838</v>
      </c>
      <c r="D53" s="79">
        <v>2</v>
      </c>
      <c r="E53" s="79" t="s">
        <v>605</v>
      </c>
      <c r="F53" s="79">
        <v>1</v>
      </c>
      <c r="G53" s="269" t="s">
        <v>854</v>
      </c>
      <c r="H53" s="269" t="s">
        <v>855</v>
      </c>
      <c r="I53" s="269" t="s">
        <v>856</v>
      </c>
      <c r="J53" s="269" t="s">
        <v>857</v>
      </c>
      <c r="K53" s="271" t="s">
        <v>591</v>
      </c>
      <c r="L53" s="269" t="s">
        <v>592</v>
      </c>
      <c r="M53" s="269" t="s">
        <v>858</v>
      </c>
      <c r="N53" s="269" t="s">
        <v>611</v>
      </c>
    </row>
    <row r="54" spans="1:14" ht="43.15">
      <c r="A54" s="268" t="str">
        <f t="shared" si="0"/>
        <v>Achievement Drive|Division Head|2</v>
      </c>
      <c r="B54" s="223" t="s">
        <v>555</v>
      </c>
      <c r="C54" s="79" t="s">
        <v>838</v>
      </c>
      <c r="D54" s="79">
        <v>2</v>
      </c>
      <c r="E54" s="79" t="s">
        <v>605</v>
      </c>
      <c r="F54" s="79">
        <v>2</v>
      </c>
      <c r="G54" s="269" t="s">
        <v>859</v>
      </c>
      <c r="H54" s="269" t="s">
        <v>860</v>
      </c>
      <c r="I54" s="269" t="s">
        <v>861</v>
      </c>
      <c r="J54" s="269" t="s">
        <v>862</v>
      </c>
      <c r="K54" s="271" t="s">
        <v>591</v>
      </c>
      <c r="L54" s="269" t="s">
        <v>592</v>
      </c>
      <c r="M54" s="269" t="s">
        <v>863</v>
      </c>
      <c r="N54" s="269" t="s">
        <v>622</v>
      </c>
    </row>
    <row r="55" spans="1:14" ht="43.15">
      <c r="A55" s="268" t="str">
        <f t="shared" si="0"/>
        <v>Achievement Drive|Division Head|2</v>
      </c>
      <c r="B55" s="223" t="s">
        <v>555</v>
      </c>
      <c r="C55" s="79" t="s">
        <v>838</v>
      </c>
      <c r="D55" s="79">
        <v>2</v>
      </c>
      <c r="E55" s="79" t="s">
        <v>605</v>
      </c>
      <c r="F55" s="79">
        <v>3</v>
      </c>
      <c r="G55" s="269" t="s">
        <v>864</v>
      </c>
      <c r="H55" s="269" t="s">
        <v>865</v>
      </c>
      <c r="I55" s="269" t="s">
        <v>866</v>
      </c>
      <c r="J55" s="269" t="s">
        <v>867</v>
      </c>
      <c r="K55" s="271" t="s">
        <v>591</v>
      </c>
      <c r="L55" s="269" t="s">
        <v>592</v>
      </c>
      <c r="M55" s="269" t="s">
        <v>868</v>
      </c>
      <c r="N55" s="269" t="s">
        <v>594</v>
      </c>
    </row>
    <row r="56" spans="1:14" ht="57.6">
      <c r="A56" s="268" t="str">
        <f t="shared" si="0"/>
        <v>Achievement Drive|Division Head|3</v>
      </c>
      <c r="B56" s="223" t="s">
        <v>555</v>
      </c>
      <c r="C56" s="79" t="s">
        <v>838</v>
      </c>
      <c r="D56" s="79">
        <v>3</v>
      </c>
      <c r="E56" s="79" t="s">
        <v>623</v>
      </c>
      <c r="F56" s="79">
        <v>1</v>
      </c>
      <c r="G56" s="269" t="s">
        <v>869</v>
      </c>
      <c r="H56" s="269" t="s">
        <v>870</v>
      </c>
      <c r="I56" s="269" t="s">
        <v>871</v>
      </c>
      <c r="J56" s="269" t="s">
        <v>872</v>
      </c>
      <c r="K56" s="271" t="s">
        <v>591</v>
      </c>
      <c r="L56" s="269" t="s">
        <v>592</v>
      </c>
      <c r="M56" s="269" t="s">
        <v>873</v>
      </c>
      <c r="N56" s="269" t="s">
        <v>594</v>
      </c>
    </row>
    <row r="57" spans="1:14" ht="43.15">
      <c r="A57" s="268" t="str">
        <f t="shared" si="0"/>
        <v>Achievement Drive|Division Head|3</v>
      </c>
      <c r="B57" s="223" t="s">
        <v>555</v>
      </c>
      <c r="C57" s="79" t="s">
        <v>838</v>
      </c>
      <c r="D57" s="79">
        <v>3</v>
      </c>
      <c r="E57" s="79" t="s">
        <v>623</v>
      </c>
      <c r="F57" s="79">
        <v>2</v>
      </c>
      <c r="G57" s="269" t="s">
        <v>874</v>
      </c>
      <c r="H57" s="269" t="s">
        <v>875</v>
      </c>
      <c r="I57" s="269" t="s">
        <v>876</v>
      </c>
      <c r="J57" s="269" t="s">
        <v>877</v>
      </c>
      <c r="K57" s="271" t="s">
        <v>591</v>
      </c>
      <c r="L57" s="269" t="s">
        <v>592</v>
      </c>
      <c r="M57" s="269" t="s">
        <v>878</v>
      </c>
      <c r="N57" s="269" t="s">
        <v>622</v>
      </c>
    </row>
    <row r="58" spans="1:14" ht="57.6">
      <c r="A58" s="268" t="str">
        <f t="shared" si="0"/>
        <v>Achievement Drive|Division Head|3</v>
      </c>
      <c r="B58" s="223" t="s">
        <v>555</v>
      </c>
      <c r="C58" s="79" t="s">
        <v>838</v>
      </c>
      <c r="D58" s="79">
        <v>3</v>
      </c>
      <c r="E58" s="79" t="s">
        <v>623</v>
      </c>
      <c r="F58" s="79">
        <v>3</v>
      </c>
      <c r="G58" s="269" t="s">
        <v>879</v>
      </c>
      <c r="H58" s="269" t="s">
        <v>880</v>
      </c>
      <c r="I58" s="269" t="s">
        <v>881</v>
      </c>
      <c r="J58" s="269" t="s">
        <v>638</v>
      </c>
      <c r="K58" s="271" t="s">
        <v>591</v>
      </c>
      <c r="L58" s="269" t="s">
        <v>592</v>
      </c>
      <c r="M58" s="269" t="s">
        <v>882</v>
      </c>
      <c r="N58" s="269" t="s">
        <v>640</v>
      </c>
    </row>
    <row r="59" spans="1:14" ht="57.6">
      <c r="A59" s="268" t="str">
        <f t="shared" si="0"/>
        <v>Achievement Drive|Division Head|4</v>
      </c>
      <c r="B59" s="223" t="s">
        <v>555</v>
      </c>
      <c r="C59" s="79" t="s">
        <v>838</v>
      </c>
      <c r="D59" s="79">
        <v>4</v>
      </c>
      <c r="E59" s="79" t="s">
        <v>641</v>
      </c>
      <c r="F59" s="79">
        <v>1</v>
      </c>
      <c r="G59" s="269" t="s">
        <v>883</v>
      </c>
      <c r="H59" s="269" t="s">
        <v>884</v>
      </c>
      <c r="I59" s="269" t="s">
        <v>885</v>
      </c>
      <c r="J59" s="269" t="s">
        <v>886</v>
      </c>
      <c r="K59" s="271" t="s">
        <v>591</v>
      </c>
      <c r="L59" s="269" t="s">
        <v>592</v>
      </c>
      <c r="M59" s="269" t="s">
        <v>887</v>
      </c>
      <c r="N59" s="269" t="s">
        <v>622</v>
      </c>
    </row>
    <row r="60" spans="1:14" ht="43.15">
      <c r="A60" s="268" t="str">
        <f t="shared" si="0"/>
        <v>Achievement Drive|Division Head|4</v>
      </c>
      <c r="B60" s="223" t="s">
        <v>555</v>
      </c>
      <c r="C60" s="79" t="s">
        <v>838</v>
      </c>
      <c r="D60" s="79">
        <v>4</v>
      </c>
      <c r="E60" s="79" t="s">
        <v>641</v>
      </c>
      <c r="F60" s="79">
        <v>2</v>
      </c>
      <c r="G60" s="269" t="s">
        <v>888</v>
      </c>
      <c r="H60" s="269" t="s">
        <v>889</v>
      </c>
      <c r="I60" s="269" t="s">
        <v>890</v>
      </c>
      <c r="J60" s="269" t="s">
        <v>891</v>
      </c>
      <c r="K60" s="271" t="s">
        <v>591</v>
      </c>
      <c r="L60" s="269" t="s">
        <v>592</v>
      </c>
      <c r="M60" s="269" t="s">
        <v>892</v>
      </c>
      <c r="N60" s="269" t="s">
        <v>622</v>
      </c>
    </row>
    <row r="61" spans="1:14" ht="57.6">
      <c r="A61" s="268" t="str">
        <f t="shared" si="0"/>
        <v>Achievement Drive|Division Head|4</v>
      </c>
      <c r="B61" s="223" t="s">
        <v>555</v>
      </c>
      <c r="C61" s="79" t="s">
        <v>838</v>
      </c>
      <c r="D61" s="79">
        <v>4</v>
      </c>
      <c r="E61" s="79" t="s">
        <v>641</v>
      </c>
      <c r="F61" s="79">
        <v>3</v>
      </c>
      <c r="G61" s="269" t="s">
        <v>893</v>
      </c>
      <c r="H61" s="269" t="s">
        <v>894</v>
      </c>
      <c r="I61" s="269" t="s">
        <v>895</v>
      </c>
      <c r="J61" s="269" t="s">
        <v>896</v>
      </c>
      <c r="K61" s="271" t="s">
        <v>591</v>
      </c>
      <c r="L61" s="269" t="s">
        <v>592</v>
      </c>
      <c r="M61" s="269" t="s">
        <v>897</v>
      </c>
      <c r="N61" s="269" t="s">
        <v>622</v>
      </c>
    </row>
    <row r="62" spans="1:14" ht="43.15">
      <c r="A62" s="268" t="str">
        <f t="shared" si="0"/>
        <v>Achievement Drive|Director|1</v>
      </c>
      <c r="B62" s="223" t="s">
        <v>555</v>
      </c>
      <c r="C62" s="79" t="s">
        <v>898</v>
      </c>
      <c r="D62" s="197">
        <v>1</v>
      </c>
      <c r="E62" s="79" t="s">
        <v>586</v>
      </c>
      <c r="F62" s="79">
        <v>1</v>
      </c>
      <c r="G62" s="269" t="s">
        <v>899</v>
      </c>
      <c r="H62" s="269" t="s">
        <v>900</v>
      </c>
      <c r="I62" s="269" t="s">
        <v>901</v>
      </c>
      <c r="J62" s="269" t="s">
        <v>902</v>
      </c>
      <c r="K62" s="271" t="s">
        <v>591</v>
      </c>
      <c r="L62" s="269" t="s">
        <v>592</v>
      </c>
      <c r="M62" s="269" t="s">
        <v>903</v>
      </c>
      <c r="N62" s="269" t="s">
        <v>904</v>
      </c>
    </row>
    <row r="63" spans="1:14" ht="43.15">
      <c r="A63" s="268" t="str">
        <f t="shared" si="0"/>
        <v>Achievement Drive|Director|1</v>
      </c>
      <c r="B63" s="223" t="s">
        <v>555</v>
      </c>
      <c r="C63" s="79" t="s">
        <v>898</v>
      </c>
      <c r="D63" s="197">
        <v>1</v>
      </c>
      <c r="E63" s="79" t="s">
        <v>586</v>
      </c>
      <c r="F63" s="79">
        <v>2</v>
      </c>
      <c r="G63" s="269" t="s">
        <v>905</v>
      </c>
      <c r="H63" s="269" t="s">
        <v>906</v>
      </c>
      <c r="I63" s="269" t="s">
        <v>907</v>
      </c>
      <c r="J63" s="269" t="s">
        <v>908</v>
      </c>
      <c r="K63" s="271" t="s">
        <v>591</v>
      </c>
      <c r="L63" s="269" t="s">
        <v>592</v>
      </c>
      <c r="M63" s="269" t="s">
        <v>909</v>
      </c>
      <c r="N63" s="269" t="s">
        <v>910</v>
      </c>
    </row>
    <row r="64" spans="1:14" ht="28.9">
      <c r="A64" s="268" t="str">
        <f t="shared" si="0"/>
        <v>Achievement Drive|Director|1</v>
      </c>
      <c r="B64" s="223" t="s">
        <v>555</v>
      </c>
      <c r="C64" s="79" t="s">
        <v>898</v>
      </c>
      <c r="D64" s="197">
        <v>1</v>
      </c>
      <c r="E64" s="79" t="s">
        <v>586</v>
      </c>
      <c r="F64" s="79">
        <v>3</v>
      </c>
      <c r="G64" s="269" t="s">
        <v>911</v>
      </c>
      <c r="H64" s="274" t="s">
        <v>912</v>
      </c>
      <c r="I64" s="269" t="s">
        <v>913</v>
      </c>
      <c r="J64" s="269" t="s">
        <v>914</v>
      </c>
      <c r="K64" s="271" t="s">
        <v>591</v>
      </c>
      <c r="L64" s="269" t="s">
        <v>592</v>
      </c>
      <c r="M64" s="269" t="s">
        <v>915</v>
      </c>
      <c r="N64" s="269" t="s">
        <v>916</v>
      </c>
    </row>
    <row r="65" spans="1:14" ht="43.15">
      <c r="A65" s="268" t="str">
        <f t="shared" si="0"/>
        <v>Achievement Drive|Director|2</v>
      </c>
      <c r="B65" s="223" t="s">
        <v>555</v>
      </c>
      <c r="C65" s="79" t="s">
        <v>898</v>
      </c>
      <c r="D65" s="79">
        <v>2</v>
      </c>
      <c r="E65" s="79" t="s">
        <v>605</v>
      </c>
      <c r="F65" s="79">
        <v>1</v>
      </c>
      <c r="G65" s="269" t="s">
        <v>917</v>
      </c>
      <c r="H65" s="269" t="s">
        <v>918</v>
      </c>
      <c r="I65" s="269" t="s">
        <v>919</v>
      </c>
      <c r="J65" s="269" t="s">
        <v>920</v>
      </c>
      <c r="K65" s="271" t="s">
        <v>591</v>
      </c>
      <c r="L65" s="269" t="s">
        <v>592</v>
      </c>
      <c r="M65" s="269" t="s">
        <v>921</v>
      </c>
      <c r="N65" s="269" t="s">
        <v>922</v>
      </c>
    </row>
    <row r="66" spans="1:14" ht="43.15">
      <c r="A66" s="268" t="str">
        <f t="shared" si="0"/>
        <v>Achievement Drive|Director|2</v>
      </c>
      <c r="B66" s="223" t="s">
        <v>555</v>
      </c>
      <c r="C66" s="79" t="s">
        <v>898</v>
      </c>
      <c r="D66" s="79">
        <v>2</v>
      </c>
      <c r="E66" s="79" t="s">
        <v>605</v>
      </c>
      <c r="F66" s="79">
        <v>2</v>
      </c>
      <c r="G66" s="269" t="s">
        <v>923</v>
      </c>
      <c r="H66" s="269" t="s">
        <v>924</v>
      </c>
      <c r="I66" s="269" t="s">
        <v>925</v>
      </c>
      <c r="J66" s="269" t="s">
        <v>926</v>
      </c>
      <c r="K66" s="271" t="s">
        <v>591</v>
      </c>
      <c r="L66" s="269" t="s">
        <v>592</v>
      </c>
      <c r="M66" s="269" t="s">
        <v>927</v>
      </c>
      <c r="N66" s="269" t="s">
        <v>916</v>
      </c>
    </row>
    <row r="67" spans="1:14" ht="43.15">
      <c r="A67" s="268" t="str">
        <f t="shared" ref="A67:A130" si="1">B67 &amp; "|" &amp; C67 &amp; "|" &amp; D67</f>
        <v>Achievement Drive|Director|2</v>
      </c>
      <c r="B67" s="223" t="s">
        <v>555</v>
      </c>
      <c r="C67" s="79" t="s">
        <v>898</v>
      </c>
      <c r="D67" s="79">
        <v>2</v>
      </c>
      <c r="E67" s="79" t="s">
        <v>605</v>
      </c>
      <c r="F67" s="79">
        <v>3</v>
      </c>
      <c r="G67" s="269" t="s">
        <v>928</v>
      </c>
      <c r="H67" s="269" t="s">
        <v>929</v>
      </c>
      <c r="I67" s="269" t="s">
        <v>930</v>
      </c>
      <c r="J67" s="269" t="s">
        <v>931</v>
      </c>
      <c r="K67" s="271" t="s">
        <v>591</v>
      </c>
      <c r="L67" s="269" t="s">
        <v>592</v>
      </c>
      <c r="M67" s="269" t="s">
        <v>932</v>
      </c>
      <c r="N67" s="269" t="s">
        <v>916</v>
      </c>
    </row>
    <row r="68" spans="1:14" ht="43.15">
      <c r="A68" s="268" t="str">
        <f t="shared" si="1"/>
        <v>Achievement Drive|Director|3</v>
      </c>
      <c r="B68" s="223" t="s">
        <v>555</v>
      </c>
      <c r="C68" s="79" t="s">
        <v>898</v>
      </c>
      <c r="D68" s="79">
        <v>3</v>
      </c>
      <c r="E68" s="79" t="s">
        <v>623</v>
      </c>
      <c r="F68" s="79">
        <v>1</v>
      </c>
      <c r="G68" s="269" t="s">
        <v>933</v>
      </c>
      <c r="H68" s="269" t="s">
        <v>934</v>
      </c>
      <c r="I68" s="269" t="s">
        <v>935</v>
      </c>
      <c r="J68" s="269" t="s">
        <v>936</v>
      </c>
      <c r="K68" s="271" t="s">
        <v>591</v>
      </c>
      <c r="L68" s="269" t="s">
        <v>592</v>
      </c>
      <c r="M68" s="269" t="s">
        <v>873</v>
      </c>
      <c r="N68" s="269" t="s">
        <v>594</v>
      </c>
    </row>
    <row r="69" spans="1:14" ht="43.15">
      <c r="A69" s="268" t="str">
        <f t="shared" si="1"/>
        <v>Achievement Drive|Director|3</v>
      </c>
      <c r="B69" s="223" t="s">
        <v>555</v>
      </c>
      <c r="C69" s="79" t="s">
        <v>898</v>
      </c>
      <c r="D69" s="79">
        <v>3</v>
      </c>
      <c r="E69" s="79" t="s">
        <v>623</v>
      </c>
      <c r="F69" s="79">
        <v>2</v>
      </c>
      <c r="G69" s="269" t="s">
        <v>937</v>
      </c>
      <c r="H69" s="269" t="s">
        <v>938</v>
      </c>
      <c r="I69" s="269" t="s">
        <v>939</v>
      </c>
      <c r="J69" s="269" t="s">
        <v>940</v>
      </c>
      <c r="K69" s="271" t="s">
        <v>591</v>
      </c>
      <c r="L69" s="269" t="s">
        <v>592</v>
      </c>
      <c r="M69" s="269" t="s">
        <v>941</v>
      </c>
      <c r="N69" s="269" t="s">
        <v>942</v>
      </c>
    </row>
    <row r="70" spans="1:14" ht="57.6">
      <c r="A70" s="268" t="str">
        <f t="shared" si="1"/>
        <v>Achievement Drive|Director|3</v>
      </c>
      <c r="B70" s="223" t="s">
        <v>555</v>
      </c>
      <c r="C70" s="79" t="s">
        <v>898</v>
      </c>
      <c r="D70" s="79">
        <v>3</v>
      </c>
      <c r="E70" s="79" t="s">
        <v>623</v>
      </c>
      <c r="F70" s="79">
        <v>3</v>
      </c>
      <c r="G70" s="269" t="s">
        <v>943</v>
      </c>
      <c r="H70" s="269" t="s">
        <v>944</v>
      </c>
      <c r="I70" s="269" t="s">
        <v>945</v>
      </c>
      <c r="J70" s="269" t="s">
        <v>638</v>
      </c>
      <c r="K70" s="271" t="s">
        <v>591</v>
      </c>
      <c r="L70" s="269" t="s">
        <v>592</v>
      </c>
      <c r="M70" s="269" t="s">
        <v>946</v>
      </c>
      <c r="N70" s="269" t="s">
        <v>640</v>
      </c>
    </row>
    <row r="71" spans="1:14" ht="57.6">
      <c r="A71" s="268" t="str">
        <f t="shared" si="1"/>
        <v>Achievement Drive|Director|4</v>
      </c>
      <c r="B71" s="223" t="s">
        <v>555</v>
      </c>
      <c r="C71" s="79" t="s">
        <v>898</v>
      </c>
      <c r="D71" s="79">
        <v>4</v>
      </c>
      <c r="E71" s="79" t="s">
        <v>641</v>
      </c>
      <c r="F71" s="79">
        <v>1</v>
      </c>
      <c r="G71" s="269" t="s">
        <v>947</v>
      </c>
      <c r="H71" s="269" t="s">
        <v>948</v>
      </c>
      <c r="I71" s="269" t="s">
        <v>949</v>
      </c>
      <c r="J71" s="269" t="s">
        <v>950</v>
      </c>
      <c r="K71" s="271" t="s">
        <v>591</v>
      </c>
      <c r="L71" s="269" t="s">
        <v>592</v>
      </c>
      <c r="M71" s="269" t="s">
        <v>951</v>
      </c>
      <c r="N71" s="269" t="s">
        <v>952</v>
      </c>
    </row>
    <row r="72" spans="1:14" ht="57.6">
      <c r="A72" s="268" t="str">
        <f t="shared" si="1"/>
        <v>Achievement Drive|Director|4</v>
      </c>
      <c r="B72" s="223" t="s">
        <v>555</v>
      </c>
      <c r="C72" s="79" t="s">
        <v>898</v>
      </c>
      <c r="D72" s="79">
        <v>4</v>
      </c>
      <c r="E72" s="79" t="s">
        <v>641</v>
      </c>
      <c r="F72" s="79">
        <v>2</v>
      </c>
      <c r="G72" s="269" t="s">
        <v>953</v>
      </c>
      <c r="H72" s="269" t="s">
        <v>954</v>
      </c>
      <c r="I72" s="269" t="s">
        <v>955</v>
      </c>
      <c r="J72" s="269" t="s">
        <v>956</v>
      </c>
      <c r="K72" s="271" t="s">
        <v>591</v>
      </c>
      <c r="L72" s="269" t="s">
        <v>592</v>
      </c>
      <c r="M72" s="269" t="s">
        <v>957</v>
      </c>
      <c r="N72" s="269" t="s">
        <v>916</v>
      </c>
    </row>
    <row r="73" spans="1:14" ht="57.6">
      <c r="A73" s="268" t="str">
        <f t="shared" si="1"/>
        <v>Achievement Drive|Director|4</v>
      </c>
      <c r="B73" s="223" t="s">
        <v>555</v>
      </c>
      <c r="C73" s="79" t="s">
        <v>898</v>
      </c>
      <c r="D73" s="79">
        <v>4</v>
      </c>
      <c r="E73" s="79" t="s">
        <v>641</v>
      </c>
      <c r="F73" s="79">
        <v>3</v>
      </c>
      <c r="G73" s="269" t="s">
        <v>958</v>
      </c>
      <c r="H73" s="269" t="s">
        <v>959</v>
      </c>
      <c r="I73" s="269" t="s">
        <v>960</v>
      </c>
      <c r="J73" s="269" t="s">
        <v>961</v>
      </c>
      <c r="K73" s="271" t="s">
        <v>591</v>
      </c>
      <c r="L73" s="269" t="s">
        <v>592</v>
      </c>
      <c r="M73" s="269" t="s">
        <v>962</v>
      </c>
      <c r="N73" s="269" t="s">
        <v>916</v>
      </c>
    </row>
    <row r="74" spans="1:14" ht="84">
      <c r="A74" s="268" t="str">
        <f t="shared" si="1"/>
        <v>Analytical Thinking|Officer|1</v>
      </c>
      <c r="B74" s="223" t="s">
        <v>560</v>
      </c>
      <c r="C74" s="226" t="s">
        <v>4</v>
      </c>
      <c r="D74" s="226">
        <v>1</v>
      </c>
      <c r="E74" s="227" t="s">
        <v>586</v>
      </c>
      <c r="F74" s="227">
        <v>1</v>
      </c>
      <c r="G74" s="276" t="s">
        <v>963</v>
      </c>
      <c r="H74" s="276" t="s">
        <v>964</v>
      </c>
      <c r="I74" s="276" t="s">
        <v>965</v>
      </c>
      <c r="J74" s="276" t="s">
        <v>966</v>
      </c>
      <c r="K74" s="276" t="s">
        <v>591</v>
      </c>
      <c r="L74" s="276" t="s">
        <v>592</v>
      </c>
      <c r="M74" s="276" t="s">
        <v>967</v>
      </c>
      <c r="N74" s="276" t="s">
        <v>594</v>
      </c>
    </row>
    <row r="75" spans="1:14" ht="67.150000000000006">
      <c r="A75" s="268" t="str">
        <f t="shared" si="1"/>
        <v>Analytical Thinking|Officer|1</v>
      </c>
      <c r="B75" s="223" t="s">
        <v>560</v>
      </c>
      <c r="C75" s="226" t="s">
        <v>4</v>
      </c>
      <c r="D75" s="226">
        <v>1</v>
      </c>
      <c r="E75" s="227" t="s">
        <v>586</v>
      </c>
      <c r="F75" s="227">
        <v>2</v>
      </c>
      <c r="G75" s="276" t="s">
        <v>968</v>
      </c>
      <c r="H75" s="276" t="s">
        <v>969</v>
      </c>
      <c r="I75" s="276" t="s">
        <v>970</v>
      </c>
      <c r="J75" s="276" t="s">
        <v>971</v>
      </c>
      <c r="K75" s="276" t="s">
        <v>591</v>
      </c>
      <c r="L75" s="276" t="s">
        <v>592</v>
      </c>
      <c r="M75" s="276" t="s">
        <v>972</v>
      </c>
      <c r="N75" s="276" t="s">
        <v>973</v>
      </c>
    </row>
    <row r="76" spans="1:14" ht="67.150000000000006">
      <c r="A76" s="268" t="str">
        <f t="shared" si="1"/>
        <v>Analytical Thinking|Officer|1</v>
      </c>
      <c r="B76" s="223" t="s">
        <v>560</v>
      </c>
      <c r="C76" s="226" t="s">
        <v>4</v>
      </c>
      <c r="D76" s="226">
        <v>1</v>
      </c>
      <c r="E76" s="227" t="s">
        <v>586</v>
      </c>
      <c r="F76" s="227">
        <v>3</v>
      </c>
      <c r="G76" s="276" t="s">
        <v>974</v>
      </c>
      <c r="H76" s="276" t="s">
        <v>975</v>
      </c>
      <c r="I76" s="276" t="s">
        <v>976</v>
      </c>
      <c r="J76" s="276" t="s">
        <v>977</v>
      </c>
      <c r="K76" s="276" t="s">
        <v>591</v>
      </c>
      <c r="L76" s="276" t="s">
        <v>592</v>
      </c>
      <c r="M76" s="276" t="s">
        <v>978</v>
      </c>
      <c r="N76" s="276" t="s">
        <v>594</v>
      </c>
    </row>
    <row r="77" spans="1:14" ht="84">
      <c r="A77" s="268" t="str">
        <f t="shared" si="1"/>
        <v>Analytical Thinking|Officer|2</v>
      </c>
      <c r="B77" s="223" t="s">
        <v>560</v>
      </c>
      <c r="C77" s="226" t="s">
        <v>4</v>
      </c>
      <c r="D77" s="227">
        <v>2</v>
      </c>
      <c r="E77" s="227" t="s">
        <v>605</v>
      </c>
      <c r="F77" s="227">
        <v>1</v>
      </c>
      <c r="G77" s="276" t="s">
        <v>979</v>
      </c>
      <c r="H77" s="276" t="s">
        <v>980</v>
      </c>
      <c r="I77" s="276" t="s">
        <v>981</v>
      </c>
      <c r="J77" s="276" t="s">
        <v>982</v>
      </c>
      <c r="K77" s="276" t="s">
        <v>591</v>
      </c>
      <c r="L77" s="276" t="s">
        <v>592</v>
      </c>
      <c r="M77" s="276" t="s">
        <v>983</v>
      </c>
      <c r="N77" s="276" t="s">
        <v>984</v>
      </c>
    </row>
    <row r="78" spans="1:14" ht="67.150000000000006">
      <c r="A78" s="268" t="str">
        <f t="shared" si="1"/>
        <v>Analytical Thinking|Officer|2</v>
      </c>
      <c r="B78" s="223" t="s">
        <v>560</v>
      </c>
      <c r="C78" s="226" t="s">
        <v>4</v>
      </c>
      <c r="D78" s="227">
        <v>2</v>
      </c>
      <c r="E78" s="227" t="s">
        <v>605</v>
      </c>
      <c r="F78" s="227">
        <v>2</v>
      </c>
      <c r="G78" s="276" t="s">
        <v>985</v>
      </c>
      <c r="H78" s="276" t="s">
        <v>986</v>
      </c>
      <c r="I78" s="276" t="s">
        <v>987</v>
      </c>
      <c r="J78" s="276" t="s">
        <v>988</v>
      </c>
      <c r="K78" s="276" t="s">
        <v>591</v>
      </c>
      <c r="L78" s="276" t="s">
        <v>592</v>
      </c>
      <c r="M78" s="276" t="s">
        <v>989</v>
      </c>
      <c r="N78" s="276" t="s">
        <v>622</v>
      </c>
    </row>
    <row r="79" spans="1:14" ht="50.45">
      <c r="A79" s="268" t="str">
        <f t="shared" si="1"/>
        <v>Analytical Thinking|Officer|2</v>
      </c>
      <c r="B79" s="223" t="s">
        <v>560</v>
      </c>
      <c r="C79" s="226" t="s">
        <v>4</v>
      </c>
      <c r="D79" s="227">
        <v>2</v>
      </c>
      <c r="E79" s="227" t="s">
        <v>605</v>
      </c>
      <c r="F79" s="227">
        <v>3</v>
      </c>
      <c r="G79" s="276" t="s">
        <v>990</v>
      </c>
      <c r="H79" s="276" t="s">
        <v>991</v>
      </c>
      <c r="I79" s="276" t="s">
        <v>992</v>
      </c>
      <c r="J79" s="276" t="s">
        <v>993</v>
      </c>
      <c r="K79" s="276" t="s">
        <v>591</v>
      </c>
      <c r="L79" s="276" t="s">
        <v>592</v>
      </c>
      <c r="M79" s="276" t="s">
        <v>994</v>
      </c>
      <c r="N79" s="276" t="s">
        <v>594</v>
      </c>
    </row>
    <row r="80" spans="1:14" ht="67.150000000000006">
      <c r="A80" s="268" t="str">
        <f t="shared" si="1"/>
        <v>Analytical Thinking|Officer|3</v>
      </c>
      <c r="B80" s="223" t="s">
        <v>560</v>
      </c>
      <c r="C80" s="226" t="s">
        <v>4</v>
      </c>
      <c r="D80" s="227">
        <v>3</v>
      </c>
      <c r="E80" s="227" t="s">
        <v>623</v>
      </c>
      <c r="F80" s="227">
        <v>1</v>
      </c>
      <c r="G80" s="276" t="s">
        <v>995</v>
      </c>
      <c r="H80" s="276" t="s">
        <v>996</v>
      </c>
      <c r="I80" s="276" t="s">
        <v>997</v>
      </c>
      <c r="J80" s="276" t="s">
        <v>998</v>
      </c>
      <c r="K80" s="276" t="s">
        <v>591</v>
      </c>
      <c r="L80" s="276" t="s">
        <v>592</v>
      </c>
      <c r="M80" s="276" t="s">
        <v>999</v>
      </c>
      <c r="N80" s="276" t="s">
        <v>622</v>
      </c>
    </row>
    <row r="81" spans="1:14" ht="67.150000000000006">
      <c r="A81" s="268" t="str">
        <f t="shared" si="1"/>
        <v>Analytical Thinking|Officer|3</v>
      </c>
      <c r="B81" s="223" t="s">
        <v>560</v>
      </c>
      <c r="C81" s="226" t="s">
        <v>4</v>
      </c>
      <c r="D81" s="227">
        <v>3</v>
      </c>
      <c r="E81" s="227" t="s">
        <v>623</v>
      </c>
      <c r="F81" s="227">
        <v>2</v>
      </c>
      <c r="G81" s="276" t="s">
        <v>1000</v>
      </c>
      <c r="H81" s="276" t="s">
        <v>1001</v>
      </c>
      <c r="I81" s="276" t="s">
        <v>1002</v>
      </c>
      <c r="J81" s="276" t="s">
        <v>1003</v>
      </c>
      <c r="K81" s="276" t="s">
        <v>591</v>
      </c>
      <c r="L81" s="276" t="s">
        <v>592</v>
      </c>
      <c r="M81" s="276" t="s">
        <v>1004</v>
      </c>
      <c r="N81" s="276" t="s">
        <v>594</v>
      </c>
    </row>
    <row r="82" spans="1:14" ht="100.9">
      <c r="A82" s="268" t="str">
        <f t="shared" si="1"/>
        <v>Analytical Thinking|Officer|3</v>
      </c>
      <c r="B82" s="223" t="s">
        <v>560</v>
      </c>
      <c r="C82" s="226" t="s">
        <v>4</v>
      </c>
      <c r="D82" s="227">
        <v>3</v>
      </c>
      <c r="E82" s="227" t="s">
        <v>623</v>
      </c>
      <c r="F82" s="227">
        <v>3</v>
      </c>
      <c r="G82" s="276" t="s">
        <v>1005</v>
      </c>
      <c r="H82" s="276" t="s">
        <v>1006</v>
      </c>
      <c r="I82" s="276" t="s">
        <v>1007</v>
      </c>
      <c r="J82" s="276" t="s">
        <v>1008</v>
      </c>
      <c r="K82" s="276" t="s">
        <v>591</v>
      </c>
      <c r="L82" s="276" t="s">
        <v>592</v>
      </c>
      <c r="M82" s="276" t="s">
        <v>1009</v>
      </c>
      <c r="N82" s="276" t="s">
        <v>640</v>
      </c>
    </row>
    <row r="83" spans="1:14" ht="84">
      <c r="A83" s="268" t="str">
        <f t="shared" si="1"/>
        <v>Analytical Thinking|Officer|4</v>
      </c>
      <c r="B83" s="223" t="s">
        <v>560</v>
      </c>
      <c r="C83" s="226" t="s">
        <v>4</v>
      </c>
      <c r="D83" s="227">
        <v>4</v>
      </c>
      <c r="E83" s="227" t="s">
        <v>641</v>
      </c>
      <c r="F83" s="227">
        <v>1</v>
      </c>
      <c r="G83" s="276" t="s">
        <v>1010</v>
      </c>
      <c r="H83" s="276" t="s">
        <v>1011</v>
      </c>
      <c r="I83" s="276" t="s">
        <v>1012</v>
      </c>
      <c r="J83" s="276" t="s">
        <v>1013</v>
      </c>
      <c r="K83" s="276" t="s">
        <v>591</v>
      </c>
      <c r="L83" s="276" t="s">
        <v>592</v>
      </c>
      <c r="M83" s="276" t="s">
        <v>1014</v>
      </c>
      <c r="N83" s="276" t="s">
        <v>622</v>
      </c>
    </row>
    <row r="84" spans="1:14" ht="84">
      <c r="A84" s="268" t="str">
        <f t="shared" si="1"/>
        <v>Analytical Thinking|Officer|4</v>
      </c>
      <c r="B84" s="223" t="s">
        <v>560</v>
      </c>
      <c r="C84" s="226" t="s">
        <v>4</v>
      </c>
      <c r="D84" s="227">
        <v>4</v>
      </c>
      <c r="E84" s="227" t="s">
        <v>641</v>
      </c>
      <c r="F84" s="227">
        <v>2</v>
      </c>
      <c r="G84" s="276" t="s">
        <v>1015</v>
      </c>
      <c r="H84" s="276" t="s">
        <v>1016</v>
      </c>
      <c r="I84" s="276" t="s">
        <v>1017</v>
      </c>
      <c r="J84" s="276" t="s">
        <v>1018</v>
      </c>
      <c r="K84" s="276" t="s">
        <v>591</v>
      </c>
      <c r="L84" s="276" t="s">
        <v>592</v>
      </c>
      <c r="M84" s="276" t="s">
        <v>1019</v>
      </c>
      <c r="N84" s="276" t="s">
        <v>622</v>
      </c>
    </row>
    <row r="85" spans="1:14" ht="84">
      <c r="A85" s="268" t="str">
        <f t="shared" si="1"/>
        <v>Analytical Thinking|Officer|4</v>
      </c>
      <c r="B85" s="223" t="s">
        <v>560</v>
      </c>
      <c r="C85" s="226" t="s">
        <v>4</v>
      </c>
      <c r="D85" s="227">
        <v>4</v>
      </c>
      <c r="E85" s="227" t="s">
        <v>641</v>
      </c>
      <c r="F85" s="227">
        <v>3</v>
      </c>
      <c r="G85" s="276" t="s">
        <v>1020</v>
      </c>
      <c r="H85" s="276" t="s">
        <v>1021</v>
      </c>
      <c r="I85" s="276" t="s">
        <v>1022</v>
      </c>
      <c r="J85" s="276" t="s">
        <v>1023</v>
      </c>
      <c r="K85" s="276" t="s">
        <v>591</v>
      </c>
      <c r="L85" s="276" t="s">
        <v>592</v>
      </c>
      <c r="M85" s="276" t="s">
        <v>1024</v>
      </c>
      <c r="N85" s="276" t="s">
        <v>1025</v>
      </c>
    </row>
    <row r="86" spans="1:14" ht="84">
      <c r="A86" s="268" t="str">
        <f t="shared" si="1"/>
        <v>Analytical Thinking|Analyst|1</v>
      </c>
      <c r="B86" s="223" t="s">
        <v>560</v>
      </c>
      <c r="C86" s="226" t="s">
        <v>6</v>
      </c>
      <c r="D86" s="226">
        <v>1</v>
      </c>
      <c r="E86" s="227" t="s">
        <v>586</v>
      </c>
      <c r="F86" s="227">
        <v>1</v>
      </c>
      <c r="G86" s="276" t="s">
        <v>1026</v>
      </c>
      <c r="H86" s="276" t="s">
        <v>1027</v>
      </c>
      <c r="I86" s="276" t="s">
        <v>1028</v>
      </c>
      <c r="J86" s="276" t="s">
        <v>1029</v>
      </c>
      <c r="K86" s="276" t="s">
        <v>591</v>
      </c>
      <c r="L86" s="276" t="s">
        <v>592</v>
      </c>
      <c r="M86" s="276" t="s">
        <v>1030</v>
      </c>
      <c r="N86" s="276" t="s">
        <v>594</v>
      </c>
    </row>
    <row r="87" spans="1:14" ht="84">
      <c r="A87" s="268" t="str">
        <f t="shared" si="1"/>
        <v>Analytical Thinking|Analyst|1</v>
      </c>
      <c r="B87" s="223" t="s">
        <v>560</v>
      </c>
      <c r="C87" s="226" t="s">
        <v>6</v>
      </c>
      <c r="D87" s="226">
        <v>1</v>
      </c>
      <c r="E87" s="227" t="s">
        <v>586</v>
      </c>
      <c r="F87" s="227">
        <v>2</v>
      </c>
      <c r="G87" s="276" t="s">
        <v>1031</v>
      </c>
      <c r="H87" s="276" t="s">
        <v>1032</v>
      </c>
      <c r="I87" s="276" t="s">
        <v>1033</v>
      </c>
      <c r="J87" s="276" t="s">
        <v>1034</v>
      </c>
      <c r="K87" s="276" t="s">
        <v>591</v>
      </c>
      <c r="L87" s="276" t="s">
        <v>592</v>
      </c>
      <c r="M87" s="276" t="s">
        <v>1035</v>
      </c>
      <c r="N87" s="276" t="s">
        <v>594</v>
      </c>
    </row>
    <row r="88" spans="1:14" ht="67.150000000000006">
      <c r="A88" s="268" t="str">
        <f t="shared" si="1"/>
        <v>Analytical Thinking|Analyst|1</v>
      </c>
      <c r="B88" s="223" t="s">
        <v>560</v>
      </c>
      <c r="C88" s="226" t="s">
        <v>6</v>
      </c>
      <c r="D88" s="226">
        <v>1</v>
      </c>
      <c r="E88" s="227" t="s">
        <v>586</v>
      </c>
      <c r="F88" s="227">
        <v>3</v>
      </c>
      <c r="G88" s="276" t="s">
        <v>1036</v>
      </c>
      <c r="H88" s="276" t="s">
        <v>1037</v>
      </c>
      <c r="I88" s="276" t="s">
        <v>1038</v>
      </c>
      <c r="J88" s="276" t="s">
        <v>1039</v>
      </c>
      <c r="K88" s="276" t="s">
        <v>591</v>
      </c>
      <c r="L88" s="276" t="s">
        <v>592</v>
      </c>
      <c r="M88" s="276" t="s">
        <v>1040</v>
      </c>
      <c r="N88" s="276" t="s">
        <v>594</v>
      </c>
    </row>
    <row r="89" spans="1:14" ht="84">
      <c r="A89" s="268" t="str">
        <f t="shared" si="1"/>
        <v>Analytical Thinking|Analyst|2</v>
      </c>
      <c r="B89" s="223" t="s">
        <v>560</v>
      </c>
      <c r="C89" s="226" t="s">
        <v>6</v>
      </c>
      <c r="D89" s="227">
        <v>2</v>
      </c>
      <c r="E89" s="227" t="s">
        <v>605</v>
      </c>
      <c r="F89" s="227">
        <v>1</v>
      </c>
      <c r="G89" s="276" t="s">
        <v>1041</v>
      </c>
      <c r="H89" s="276" t="s">
        <v>1042</v>
      </c>
      <c r="I89" s="276" t="s">
        <v>1043</v>
      </c>
      <c r="J89" s="276" t="s">
        <v>1044</v>
      </c>
      <c r="K89" s="276" t="s">
        <v>591</v>
      </c>
      <c r="L89" s="276" t="s">
        <v>592</v>
      </c>
      <c r="M89" s="276" t="s">
        <v>1045</v>
      </c>
      <c r="N89" s="276" t="s">
        <v>611</v>
      </c>
    </row>
    <row r="90" spans="1:14" ht="67.150000000000006">
      <c r="A90" s="268" t="str">
        <f t="shared" si="1"/>
        <v>Analytical Thinking|Analyst|2</v>
      </c>
      <c r="B90" s="223" t="s">
        <v>560</v>
      </c>
      <c r="C90" s="226" t="s">
        <v>6</v>
      </c>
      <c r="D90" s="227">
        <v>2</v>
      </c>
      <c r="E90" s="227" t="s">
        <v>605</v>
      </c>
      <c r="F90" s="227">
        <v>2</v>
      </c>
      <c r="G90" s="276" t="s">
        <v>1046</v>
      </c>
      <c r="H90" s="276" t="s">
        <v>1047</v>
      </c>
      <c r="I90" s="276" t="s">
        <v>1048</v>
      </c>
      <c r="J90" s="276" t="s">
        <v>1049</v>
      </c>
      <c r="K90" s="276" t="s">
        <v>591</v>
      </c>
      <c r="L90" s="276" t="s">
        <v>592</v>
      </c>
      <c r="M90" s="276" t="s">
        <v>1050</v>
      </c>
      <c r="N90" s="276" t="s">
        <v>622</v>
      </c>
    </row>
    <row r="91" spans="1:14" ht="67.150000000000006">
      <c r="A91" s="268" t="str">
        <f t="shared" si="1"/>
        <v>Analytical Thinking|Analyst|2</v>
      </c>
      <c r="B91" s="223" t="s">
        <v>560</v>
      </c>
      <c r="C91" s="226" t="s">
        <v>6</v>
      </c>
      <c r="D91" s="227">
        <v>2</v>
      </c>
      <c r="E91" s="227" t="s">
        <v>605</v>
      </c>
      <c r="F91" s="227">
        <v>3</v>
      </c>
      <c r="G91" s="276" t="s">
        <v>1051</v>
      </c>
      <c r="H91" s="276" t="s">
        <v>1052</v>
      </c>
      <c r="I91" s="276" t="s">
        <v>1053</v>
      </c>
      <c r="J91" s="276" t="s">
        <v>1054</v>
      </c>
      <c r="K91" s="276" t="s">
        <v>591</v>
      </c>
      <c r="L91" s="276" t="s">
        <v>592</v>
      </c>
      <c r="M91" s="276" t="s">
        <v>1055</v>
      </c>
      <c r="N91" s="276" t="s">
        <v>622</v>
      </c>
    </row>
    <row r="92" spans="1:14" ht="84">
      <c r="A92" s="268" t="str">
        <f t="shared" si="1"/>
        <v>Analytical Thinking|Analyst|3</v>
      </c>
      <c r="B92" s="223" t="s">
        <v>560</v>
      </c>
      <c r="C92" s="226" t="s">
        <v>6</v>
      </c>
      <c r="D92" s="227">
        <v>3</v>
      </c>
      <c r="E92" s="227" t="s">
        <v>623</v>
      </c>
      <c r="F92" s="227">
        <v>1</v>
      </c>
      <c r="G92" s="276" t="s">
        <v>1056</v>
      </c>
      <c r="H92" s="276" t="s">
        <v>1057</v>
      </c>
      <c r="I92" s="276" t="s">
        <v>1058</v>
      </c>
      <c r="J92" s="276" t="s">
        <v>1059</v>
      </c>
      <c r="K92" s="276" t="s">
        <v>591</v>
      </c>
      <c r="L92" s="276" t="s">
        <v>592</v>
      </c>
      <c r="M92" s="276" t="s">
        <v>1060</v>
      </c>
      <c r="N92" s="276" t="s">
        <v>594</v>
      </c>
    </row>
    <row r="93" spans="1:14" ht="84">
      <c r="A93" s="268" t="str">
        <f t="shared" si="1"/>
        <v>Analytical Thinking|Analyst|3</v>
      </c>
      <c r="B93" s="223" t="s">
        <v>560</v>
      </c>
      <c r="C93" s="226" t="s">
        <v>6</v>
      </c>
      <c r="D93" s="227">
        <v>3</v>
      </c>
      <c r="E93" s="227" t="s">
        <v>623</v>
      </c>
      <c r="F93" s="227">
        <v>2</v>
      </c>
      <c r="G93" s="276" t="s">
        <v>1061</v>
      </c>
      <c r="H93" s="276" t="s">
        <v>1062</v>
      </c>
      <c r="I93" s="276" t="s">
        <v>1063</v>
      </c>
      <c r="J93" s="276" t="s">
        <v>1064</v>
      </c>
      <c r="K93" s="276" t="s">
        <v>591</v>
      </c>
      <c r="L93" s="276" t="s">
        <v>592</v>
      </c>
      <c r="M93" s="276" t="s">
        <v>1065</v>
      </c>
      <c r="N93" s="276" t="s">
        <v>622</v>
      </c>
    </row>
    <row r="94" spans="1:14" ht="117.6">
      <c r="A94" s="268" t="str">
        <f t="shared" si="1"/>
        <v>Analytical Thinking|Analyst|3</v>
      </c>
      <c r="B94" s="223" t="s">
        <v>560</v>
      </c>
      <c r="C94" s="226" t="s">
        <v>6</v>
      </c>
      <c r="D94" s="227">
        <v>3</v>
      </c>
      <c r="E94" s="227" t="s">
        <v>623</v>
      </c>
      <c r="F94" s="227">
        <v>3</v>
      </c>
      <c r="G94" s="276" t="s">
        <v>1066</v>
      </c>
      <c r="H94" s="276" t="s">
        <v>1067</v>
      </c>
      <c r="I94" s="276" t="s">
        <v>1068</v>
      </c>
      <c r="J94" s="276" t="s">
        <v>1008</v>
      </c>
      <c r="K94" s="276" t="s">
        <v>591</v>
      </c>
      <c r="L94" s="276" t="s">
        <v>592</v>
      </c>
      <c r="M94" s="276" t="s">
        <v>1069</v>
      </c>
      <c r="N94" s="276" t="s">
        <v>640</v>
      </c>
    </row>
    <row r="95" spans="1:14" ht="84">
      <c r="A95" s="268" t="str">
        <f t="shared" si="1"/>
        <v>Analytical Thinking|Analyst|4</v>
      </c>
      <c r="B95" s="223" t="s">
        <v>560</v>
      </c>
      <c r="C95" s="226" t="s">
        <v>6</v>
      </c>
      <c r="D95" s="227">
        <v>4</v>
      </c>
      <c r="E95" s="227" t="s">
        <v>641</v>
      </c>
      <c r="F95" s="227">
        <v>1</v>
      </c>
      <c r="G95" s="276" t="s">
        <v>1070</v>
      </c>
      <c r="H95" s="276" t="s">
        <v>1071</v>
      </c>
      <c r="I95" s="276" t="s">
        <v>1072</v>
      </c>
      <c r="J95" s="276" t="s">
        <v>1073</v>
      </c>
      <c r="K95" s="276" t="s">
        <v>591</v>
      </c>
      <c r="L95" s="276" t="s">
        <v>592</v>
      </c>
      <c r="M95" s="276" t="s">
        <v>1074</v>
      </c>
      <c r="N95" s="276" t="s">
        <v>622</v>
      </c>
    </row>
    <row r="96" spans="1:14" ht="84">
      <c r="A96" s="268" t="str">
        <f t="shared" si="1"/>
        <v>Analytical Thinking|Analyst|4</v>
      </c>
      <c r="B96" s="223" t="s">
        <v>560</v>
      </c>
      <c r="C96" s="226" t="s">
        <v>6</v>
      </c>
      <c r="D96" s="227">
        <v>4</v>
      </c>
      <c r="E96" s="227" t="s">
        <v>641</v>
      </c>
      <c r="F96" s="227">
        <v>2</v>
      </c>
      <c r="G96" s="276" t="s">
        <v>1075</v>
      </c>
      <c r="H96" s="276" t="s">
        <v>1076</v>
      </c>
      <c r="I96" s="276" t="s">
        <v>1077</v>
      </c>
      <c r="J96" s="276" t="s">
        <v>1078</v>
      </c>
      <c r="K96" s="276" t="s">
        <v>591</v>
      </c>
      <c r="L96" s="276" t="s">
        <v>592</v>
      </c>
      <c r="M96" s="276" t="s">
        <v>1079</v>
      </c>
      <c r="N96" s="276" t="s">
        <v>622</v>
      </c>
    </row>
    <row r="97" spans="1:14" ht="100.9">
      <c r="A97" s="268" t="str">
        <f t="shared" si="1"/>
        <v>Analytical Thinking|Analyst|4</v>
      </c>
      <c r="B97" s="223" t="s">
        <v>560</v>
      </c>
      <c r="C97" s="226" t="s">
        <v>6</v>
      </c>
      <c r="D97" s="227">
        <v>4</v>
      </c>
      <c r="E97" s="227" t="s">
        <v>641</v>
      </c>
      <c r="F97" s="227">
        <v>3</v>
      </c>
      <c r="G97" s="276" t="s">
        <v>1080</v>
      </c>
      <c r="H97" s="276" t="s">
        <v>1081</v>
      </c>
      <c r="I97" s="276" t="s">
        <v>1082</v>
      </c>
      <c r="J97" s="276" t="s">
        <v>1083</v>
      </c>
      <c r="K97" s="276" t="s">
        <v>591</v>
      </c>
      <c r="L97" s="276" t="s">
        <v>592</v>
      </c>
      <c r="M97" s="276" t="s">
        <v>1084</v>
      </c>
      <c r="N97" s="276" t="s">
        <v>622</v>
      </c>
    </row>
    <row r="98" spans="1:14" ht="84">
      <c r="A98" s="268" t="str">
        <f t="shared" si="1"/>
        <v>Analytical Thinking|Unit Head/Specialist|1</v>
      </c>
      <c r="B98" s="223" t="s">
        <v>560</v>
      </c>
      <c r="C98" s="227" t="s">
        <v>13</v>
      </c>
      <c r="D98" s="226">
        <v>1</v>
      </c>
      <c r="E98" s="227" t="s">
        <v>586</v>
      </c>
      <c r="F98" s="227">
        <v>1</v>
      </c>
      <c r="G98" s="276" t="s">
        <v>1085</v>
      </c>
      <c r="H98" s="276" t="s">
        <v>1086</v>
      </c>
      <c r="I98" s="276" t="s">
        <v>1087</v>
      </c>
      <c r="J98" s="276" t="s">
        <v>1088</v>
      </c>
      <c r="K98" s="276" t="s">
        <v>591</v>
      </c>
      <c r="L98" s="276" t="s">
        <v>592</v>
      </c>
      <c r="M98" s="276" t="s">
        <v>1089</v>
      </c>
      <c r="N98" s="276" t="s">
        <v>594</v>
      </c>
    </row>
    <row r="99" spans="1:14" ht="67.150000000000006">
      <c r="A99" s="268" t="str">
        <f t="shared" si="1"/>
        <v>Analytical Thinking|Unit Head/Specialist|1</v>
      </c>
      <c r="B99" s="223" t="s">
        <v>560</v>
      </c>
      <c r="C99" s="227" t="s">
        <v>13</v>
      </c>
      <c r="D99" s="226">
        <v>1</v>
      </c>
      <c r="E99" s="227" t="s">
        <v>586</v>
      </c>
      <c r="F99" s="227">
        <v>2</v>
      </c>
      <c r="G99" s="276" t="s">
        <v>1090</v>
      </c>
      <c r="H99" s="276" t="s">
        <v>1091</v>
      </c>
      <c r="I99" s="276" t="s">
        <v>1092</v>
      </c>
      <c r="J99" s="276" t="s">
        <v>1093</v>
      </c>
      <c r="K99" s="276" t="s">
        <v>591</v>
      </c>
      <c r="L99" s="276" t="s">
        <v>592</v>
      </c>
      <c r="M99" s="276" t="s">
        <v>1094</v>
      </c>
      <c r="N99" s="276" t="s">
        <v>594</v>
      </c>
    </row>
    <row r="100" spans="1:14" ht="84">
      <c r="A100" s="268" t="str">
        <f t="shared" si="1"/>
        <v>Analytical Thinking|Unit Head/Specialist|1</v>
      </c>
      <c r="B100" s="223" t="s">
        <v>560</v>
      </c>
      <c r="C100" s="227" t="s">
        <v>13</v>
      </c>
      <c r="D100" s="226">
        <v>1</v>
      </c>
      <c r="E100" s="227" t="s">
        <v>586</v>
      </c>
      <c r="F100" s="227">
        <v>3</v>
      </c>
      <c r="G100" s="276" t="s">
        <v>1095</v>
      </c>
      <c r="H100" s="276" t="s">
        <v>1096</v>
      </c>
      <c r="I100" s="276" t="s">
        <v>1097</v>
      </c>
      <c r="J100" s="276" t="s">
        <v>1098</v>
      </c>
      <c r="K100" s="276" t="s">
        <v>591</v>
      </c>
      <c r="L100" s="276" t="s">
        <v>592</v>
      </c>
      <c r="M100" s="276" t="s">
        <v>1099</v>
      </c>
      <c r="N100" s="276" t="s">
        <v>594</v>
      </c>
    </row>
    <row r="101" spans="1:14" ht="100.9">
      <c r="A101" s="268" t="str">
        <f t="shared" si="1"/>
        <v>Analytical Thinking|Unit Head/Specialist|2</v>
      </c>
      <c r="B101" s="223" t="s">
        <v>560</v>
      </c>
      <c r="C101" s="227" t="s">
        <v>13</v>
      </c>
      <c r="D101" s="227">
        <v>2</v>
      </c>
      <c r="E101" s="227" t="s">
        <v>605</v>
      </c>
      <c r="F101" s="227">
        <v>1</v>
      </c>
      <c r="G101" s="276" t="s">
        <v>1100</v>
      </c>
      <c r="H101" s="276" t="s">
        <v>1101</v>
      </c>
      <c r="I101" s="276" t="s">
        <v>1102</v>
      </c>
      <c r="J101" s="276" t="s">
        <v>1103</v>
      </c>
      <c r="K101" s="276" t="s">
        <v>591</v>
      </c>
      <c r="L101" s="276" t="s">
        <v>592</v>
      </c>
      <c r="M101" s="276" t="s">
        <v>1104</v>
      </c>
      <c r="N101" s="276" t="s">
        <v>611</v>
      </c>
    </row>
    <row r="102" spans="1:14" ht="67.150000000000006">
      <c r="A102" s="268" t="str">
        <f t="shared" si="1"/>
        <v>Analytical Thinking|Unit Head/Specialist|2</v>
      </c>
      <c r="B102" s="223" t="s">
        <v>560</v>
      </c>
      <c r="C102" s="227" t="s">
        <v>13</v>
      </c>
      <c r="D102" s="227">
        <v>2</v>
      </c>
      <c r="E102" s="227" t="s">
        <v>605</v>
      </c>
      <c r="F102" s="227">
        <v>2</v>
      </c>
      <c r="G102" s="276" t="s">
        <v>1105</v>
      </c>
      <c r="H102" s="276" t="s">
        <v>1106</v>
      </c>
      <c r="I102" s="276" t="s">
        <v>1107</v>
      </c>
      <c r="J102" s="276" t="s">
        <v>1108</v>
      </c>
      <c r="K102" s="276" t="s">
        <v>591</v>
      </c>
      <c r="L102" s="276" t="s">
        <v>592</v>
      </c>
      <c r="M102" s="276" t="s">
        <v>1109</v>
      </c>
      <c r="N102" s="276" t="s">
        <v>1110</v>
      </c>
    </row>
    <row r="103" spans="1:14" ht="84">
      <c r="A103" s="268" t="str">
        <f t="shared" si="1"/>
        <v>Analytical Thinking|Unit Head/Specialist|2</v>
      </c>
      <c r="B103" s="223" t="s">
        <v>560</v>
      </c>
      <c r="C103" s="227" t="s">
        <v>13</v>
      </c>
      <c r="D103" s="227">
        <v>2</v>
      </c>
      <c r="E103" s="227" t="s">
        <v>605</v>
      </c>
      <c r="F103" s="227">
        <v>3</v>
      </c>
      <c r="G103" s="276" t="s">
        <v>1111</v>
      </c>
      <c r="H103" s="276" t="s">
        <v>1112</v>
      </c>
      <c r="I103" s="276" t="s">
        <v>1113</v>
      </c>
      <c r="J103" s="276" t="s">
        <v>1114</v>
      </c>
      <c r="K103" s="276" t="s">
        <v>591</v>
      </c>
      <c r="L103" s="276" t="s">
        <v>592</v>
      </c>
      <c r="M103" s="276" t="s">
        <v>1115</v>
      </c>
      <c r="N103" s="276" t="s">
        <v>594</v>
      </c>
    </row>
    <row r="104" spans="1:14" ht="84">
      <c r="A104" s="268" t="str">
        <f t="shared" si="1"/>
        <v>Analytical Thinking|Unit Head/Specialist|3</v>
      </c>
      <c r="B104" s="223" t="s">
        <v>560</v>
      </c>
      <c r="C104" s="227" t="s">
        <v>13</v>
      </c>
      <c r="D104" s="227">
        <v>3</v>
      </c>
      <c r="E104" s="227" t="s">
        <v>623</v>
      </c>
      <c r="F104" s="227">
        <v>1</v>
      </c>
      <c r="G104" s="276" t="s">
        <v>1116</v>
      </c>
      <c r="H104" s="276" t="s">
        <v>1117</v>
      </c>
      <c r="I104" s="276" t="s">
        <v>1118</v>
      </c>
      <c r="J104" s="276" t="s">
        <v>1119</v>
      </c>
      <c r="K104" s="276" t="s">
        <v>591</v>
      </c>
      <c r="L104" s="276" t="s">
        <v>592</v>
      </c>
      <c r="M104" s="276" t="s">
        <v>1120</v>
      </c>
      <c r="N104" s="276" t="s">
        <v>594</v>
      </c>
    </row>
    <row r="105" spans="1:14" ht="117.6">
      <c r="A105" s="268" t="str">
        <f t="shared" si="1"/>
        <v>Analytical Thinking|Unit Head/Specialist|3</v>
      </c>
      <c r="B105" s="223" t="s">
        <v>560</v>
      </c>
      <c r="C105" s="227" t="s">
        <v>13</v>
      </c>
      <c r="D105" s="227">
        <v>3</v>
      </c>
      <c r="E105" s="227" t="s">
        <v>623</v>
      </c>
      <c r="F105" s="227">
        <v>2</v>
      </c>
      <c r="G105" s="276" t="s">
        <v>1121</v>
      </c>
      <c r="H105" s="276" t="s">
        <v>1122</v>
      </c>
      <c r="I105" s="276" t="s">
        <v>1123</v>
      </c>
      <c r="J105" s="276" t="s">
        <v>1124</v>
      </c>
      <c r="K105" s="276" t="s">
        <v>591</v>
      </c>
      <c r="L105" s="276" t="s">
        <v>592</v>
      </c>
      <c r="M105" s="276" t="s">
        <v>1125</v>
      </c>
      <c r="N105" s="276" t="s">
        <v>622</v>
      </c>
    </row>
    <row r="106" spans="1:14" ht="134.44999999999999">
      <c r="A106" s="268" t="str">
        <f t="shared" si="1"/>
        <v>Analytical Thinking|Unit Head/Specialist|3</v>
      </c>
      <c r="B106" s="223" t="s">
        <v>560</v>
      </c>
      <c r="C106" s="227" t="s">
        <v>13</v>
      </c>
      <c r="D106" s="227">
        <v>3</v>
      </c>
      <c r="E106" s="227" t="s">
        <v>623</v>
      </c>
      <c r="F106" s="227">
        <v>3</v>
      </c>
      <c r="G106" s="276" t="s">
        <v>1126</v>
      </c>
      <c r="H106" s="276" t="s">
        <v>1127</v>
      </c>
      <c r="I106" s="276" t="s">
        <v>1128</v>
      </c>
      <c r="J106" s="276" t="s">
        <v>1008</v>
      </c>
      <c r="K106" s="276" t="s">
        <v>591</v>
      </c>
      <c r="L106" s="276" t="s">
        <v>592</v>
      </c>
      <c r="M106" s="276" t="s">
        <v>1129</v>
      </c>
      <c r="N106" s="276" t="s">
        <v>640</v>
      </c>
    </row>
    <row r="107" spans="1:14" ht="117.6">
      <c r="A107" s="268" t="str">
        <f t="shared" si="1"/>
        <v>Analytical Thinking|Unit Head/Specialist|4</v>
      </c>
      <c r="B107" s="223" t="s">
        <v>560</v>
      </c>
      <c r="C107" s="227" t="s">
        <v>13</v>
      </c>
      <c r="D107" s="227">
        <v>4</v>
      </c>
      <c r="E107" s="227" t="s">
        <v>641</v>
      </c>
      <c r="F107" s="227">
        <v>1</v>
      </c>
      <c r="G107" s="276" t="s">
        <v>1130</v>
      </c>
      <c r="H107" s="276" t="s">
        <v>1131</v>
      </c>
      <c r="I107" s="276" t="s">
        <v>1132</v>
      </c>
      <c r="J107" s="276" t="s">
        <v>1133</v>
      </c>
      <c r="K107" s="276" t="s">
        <v>591</v>
      </c>
      <c r="L107" s="276" t="s">
        <v>592</v>
      </c>
      <c r="M107" s="276" t="s">
        <v>1134</v>
      </c>
      <c r="N107" s="276" t="s">
        <v>622</v>
      </c>
    </row>
    <row r="108" spans="1:14" ht="84">
      <c r="A108" s="268" t="str">
        <f t="shared" si="1"/>
        <v>Analytical Thinking|Unit Head/Specialist|4</v>
      </c>
      <c r="B108" s="223" t="s">
        <v>560</v>
      </c>
      <c r="C108" s="227" t="s">
        <v>13</v>
      </c>
      <c r="D108" s="227">
        <v>4</v>
      </c>
      <c r="E108" s="227" t="s">
        <v>641</v>
      </c>
      <c r="F108" s="227">
        <v>2</v>
      </c>
      <c r="G108" s="276" t="s">
        <v>1135</v>
      </c>
      <c r="H108" s="276" t="s">
        <v>1136</v>
      </c>
      <c r="I108" s="276" t="s">
        <v>1137</v>
      </c>
      <c r="J108" s="276" t="s">
        <v>1138</v>
      </c>
      <c r="K108" s="276" t="s">
        <v>591</v>
      </c>
      <c r="L108" s="276" t="s">
        <v>592</v>
      </c>
      <c r="M108" s="276" t="s">
        <v>1139</v>
      </c>
      <c r="N108" s="276" t="s">
        <v>1110</v>
      </c>
    </row>
    <row r="109" spans="1:14" ht="84">
      <c r="A109" s="268" t="str">
        <f t="shared" si="1"/>
        <v>Analytical Thinking|Unit Head/Specialist|4</v>
      </c>
      <c r="B109" s="223" t="s">
        <v>560</v>
      </c>
      <c r="C109" s="227" t="s">
        <v>13</v>
      </c>
      <c r="D109" s="227">
        <v>4</v>
      </c>
      <c r="E109" s="227" t="s">
        <v>641</v>
      </c>
      <c r="F109" s="227">
        <v>3</v>
      </c>
      <c r="G109" s="276" t="s">
        <v>1140</v>
      </c>
      <c r="H109" s="276" t="s">
        <v>1141</v>
      </c>
      <c r="I109" s="276" t="s">
        <v>1142</v>
      </c>
      <c r="J109" s="276" t="s">
        <v>1143</v>
      </c>
      <c r="K109" s="276" t="s">
        <v>591</v>
      </c>
      <c r="L109" s="276" t="s">
        <v>592</v>
      </c>
      <c r="M109" s="276" t="s">
        <v>1144</v>
      </c>
      <c r="N109" s="276" t="s">
        <v>1145</v>
      </c>
    </row>
    <row r="110" spans="1:14" ht="84">
      <c r="A110" s="268" t="str">
        <f t="shared" si="1"/>
        <v>Analytical Thinking|Department Head|1</v>
      </c>
      <c r="B110" s="223" t="s">
        <v>560</v>
      </c>
      <c r="C110" s="227" t="s">
        <v>779</v>
      </c>
      <c r="D110" s="226">
        <v>1</v>
      </c>
      <c r="E110" s="227" t="s">
        <v>586</v>
      </c>
      <c r="F110" s="227">
        <v>1</v>
      </c>
      <c r="G110" s="276" t="s">
        <v>1146</v>
      </c>
      <c r="H110" s="276" t="s">
        <v>1147</v>
      </c>
      <c r="I110" s="276" t="s">
        <v>1148</v>
      </c>
      <c r="J110" s="276" t="s">
        <v>1149</v>
      </c>
      <c r="K110" s="276" t="s">
        <v>591</v>
      </c>
      <c r="L110" s="276" t="s">
        <v>592</v>
      </c>
      <c r="M110" s="276" t="s">
        <v>1150</v>
      </c>
      <c r="N110" s="276" t="s">
        <v>594</v>
      </c>
    </row>
    <row r="111" spans="1:14" ht="67.150000000000006">
      <c r="A111" s="268" t="str">
        <f t="shared" si="1"/>
        <v>Analytical Thinking|Department Head|1</v>
      </c>
      <c r="B111" s="223" t="s">
        <v>560</v>
      </c>
      <c r="C111" s="227" t="s">
        <v>779</v>
      </c>
      <c r="D111" s="226">
        <v>1</v>
      </c>
      <c r="E111" s="227" t="s">
        <v>586</v>
      </c>
      <c r="F111" s="227">
        <v>2</v>
      </c>
      <c r="G111" s="276" t="s">
        <v>1151</v>
      </c>
      <c r="H111" s="276" t="s">
        <v>1152</v>
      </c>
      <c r="I111" s="276" t="s">
        <v>1153</v>
      </c>
      <c r="J111" s="276" t="s">
        <v>1154</v>
      </c>
      <c r="K111" s="276" t="s">
        <v>591</v>
      </c>
      <c r="L111" s="276" t="s">
        <v>592</v>
      </c>
      <c r="M111" s="276" t="s">
        <v>1155</v>
      </c>
      <c r="N111" s="276" t="s">
        <v>594</v>
      </c>
    </row>
    <row r="112" spans="1:14" ht="84">
      <c r="A112" s="268" t="str">
        <f t="shared" si="1"/>
        <v>Analytical Thinking|Department Head|1</v>
      </c>
      <c r="B112" s="223" t="s">
        <v>560</v>
      </c>
      <c r="C112" s="227" t="s">
        <v>779</v>
      </c>
      <c r="D112" s="226">
        <v>1</v>
      </c>
      <c r="E112" s="227" t="s">
        <v>586</v>
      </c>
      <c r="F112" s="227">
        <v>3</v>
      </c>
      <c r="G112" s="276" t="s">
        <v>1156</v>
      </c>
      <c r="H112" s="276" t="s">
        <v>1157</v>
      </c>
      <c r="I112" s="276" t="s">
        <v>1158</v>
      </c>
      <c r="J112" s="276" t="s">
        <v>1159</v>
      </c>
      <c r="K112" s="276" t="s">
        <v>591</v>
      </c>
      <c r="L112" s="276" t="s">
        <v>592</v>
      </c>
      <c r="M112" s="276" t="s">
        <v>1160</v>
      </c>
      <c r="N112" s="276" t="s">
        <v>622</v>
      </c>
    </row>
    <row r="113" spans="1:14" ht="84">
      <c r="A113" s="268" t="str">
        <f t="shared" si="1"/>
        <v>Analytical Thinking|Department Head|2</v>
      </c>
      <c r="B113" s="223" t="s">
        <v>560</v>
      </c>
      <c r="C113" s="227" t="s">
        <v>779</v>
      </c>
      <c r="D113" s="227">
        <v>2</v>
      </c>
      <c r="E113" s="227" t="s">
        <v>605</v>
      </c>
      <c r="F113" s="227">
        <v>1</v>
      </c>
      <c r="G113" s="276" t="s">
        <v>1161</v>
      </c>
      <c r="H113" s="276" t="s">
        <v>1162</v>
      </c>
      <c r="I113" s="276" t="s">
        <v>1163</v>
      </c>
      <c r="J113" s="276" t="s">
        <v>1164</v>
      </c>
      <c r="K113" s="276" t="s">
        <v>591</v>
      </c>
      <c r="L113" s="276" t="s">
        <v>592</v>
      </c>
      <c r="M113" s="276" t="s">
        <v>1165</v>
      </c>
      <c r="N113" s="276" t="s">
        <v>611</v>
      </c>
    </row>
    <row r="114" spans="1:14" ht="67.150000000000006">
      <c r="A114" s="268" t="str">
        <f t="shared" si="1"/>
        <v>Analytical Thinking|Department Head|2</v>
      </c>
      <c r="B114" s="223" t="s">
        <v>560</v>
      </c>
      <c r="C114" s="227" t="s">
        <v>779</v>
      </c>
      <c r="D114" s="227">
        <v>2</v>
      </c>
      <c r="E114" s="227" t="s">
        <v>605</v>
      </c>
      <c r="F114" s="227">
        <v>2</v>
      </c>
      <c r="G114" s="276" t="s">
        <v>1166</v>
      </c>
      <c r="H114" s="276" t="s">
        <v>1167</v>
      </c>
      <c r="I114" s="276" t="s">
        <v>1168</v>
      </c>
      <c r="J114" s="276" t="s">
        <v>1169</v>
      </c>
      <c r="K114" s="276" t="s">
        <v>591</v>
      </c>
      <c r="L114" s="276" t="s">
        <v>592</v>
      </c>
      <c r="M114" s="276" t="s">
        <v>1170</v>
      </c>
      <c r="N114" s="276" t="s">
        <v>622</v>
      </c>
    </row>
    <row r="115" spans="1:14" ht="50.45">
      <c r="A115" s="268" t="str">
        <f t="shared" si="1"/>
        <v>Analytical Thinking|Department Head|2</v>
      </c>
      <c r="B115" s="223" t="s">
        <v>560</v>
      </c>
      <c r="C115" s="227" t="s">
        <v>779</v>
      </c>
      <c r="D115" s="227">
        <v>2</v>
      </c>
      <c r="E115" s="227" t="s">
        <v>605</v>
      </c>
      <c r="F115" s="227">
        <v>3</v>
      </c>
      <c r="G115" s="276" t="s">
        <v>1171</v>
      </c>
      <c r="H115" s="276" t="s">
        <v>1172</v>
      </c>
      <c r="I115" s="276" t="s">
        <v>1173</v>
      </c>
      <c r="J115" s="276" t="s">
        <v>1174</v>
      </c>
      <c r="K115" s="276" t="s">
        <v>591</v>
      </c>
      <c r="L115" s="276" t="s">
        <v>592</v>
      </c>
      <c r="M115" s="276" t="s">
        <v>1175</v>
      </c>
      <c r="N115" s="276" t="s">
        <v>594</v>
      </c>
    </row>
    <row r="116" spans="1:14" ht="84">
      <c r="A116" s="268" t="str">
        <f t="shared" si="1"/>
        <v>Analytical Thinking|Department Head|3</v>
      </c>
      <c r="B116" s="223" t="s">
        <v>560</v>
      </c>
      <c r="C116" s="227" t="s">
        <v>779</v>
      </c>
      <c r="D116" s="227">
        <v>3</v>
      </c>
      <c r="E116" s="227" t="s">
        <v>623</v>
      </c>
      <c r="F116" s="227">
        <v>1</v>
      </c>
      <c r="G116" s="276" t="s">
        <v>1176</v>
      </c>
      <c r="H116" s="276" t="s">
        <v>1177</v>
      </c>
      <c r="I116" s="276" t="s">
        <v>1178</v>
      </c>
      <c r="J116" s="276" t="s">
        <v>1179</v>
      </c>
      <c r="K116" s="276" t="s">
        <v>591</v>
      </c>
      <c r="L116" s="276" t="s">
        <v>592</v>
      </c>
      <c r="M116" s="276" t="s">
        <v>1180</v>
      </c>
      <c r="N116" s="276" t="s">
        <v>594</v>
      </c>
    </row>
    <row r="117" spans="1:14" ht="100.9">
      <c r="A117" s="268" t="str">
        <f t="shared" si="1"/>
        <v>Analytical Thinking|Department Head|3</v>
      </c>
      <c r="B117" s="223" t="s">
        <v>560</v>
      </c>
      <c r="C117" s="227" t="s">
        <v>779</v>
      </c>
      <c r="D117" s="227">
        <v>3</v>
      </c>
      <c r="E117" s="227" t="s">
        <v>623</v>
      </c>
      <c r="F117" s="227">
        <v>2</v>
      </c>
      <c r="G117" s="276" t="s">
        <v>1181</v>
      </c>
      <c r="H117" s="276" t="s">
        <v>1182</v>
      </c>
      <c r="I117" s="276" t="s">
        <v>1183</v>
      </c>
      <c r="J117" s="276" t="s">
        <v>817</v>
      </c>
      <c r="K117" s="276" t="s">
        <v>591</v>
      </c>
      <c r="L117" s="276" t="s">
        <v>592</v>
      </c>
      <c r="M117" s="276" t="s">
        <v>1184</v>
      </c>
      <c r="N117" s="276" t="s">
        <v>622</v>
      </c>
    </row>
    <row r="118" spans="1:14" ht="117.6">
      <c r="A118" s="268" t="str">
        <f t="shared" si="1"/>
        <v>Analytical Thinking|Department Head|3</v>
      </c>
      <c r="B118" s="223" t="s">
        <v>560</v>
      </c>
      <c r="C118" s="227" t="s">
        <v>779</v>
      </c>
      <c r="D118" s="227">
        <v>3</v>
      </c>
      <c r="E118" s="227" t="s">
        <v>623</v>
      </c>
      <c r="F118" s="227">
        <v>3</v>
      </c>
      <c r="G118" s="276" t="s">
        <v>1185</v>
      </c>
      <c r="H118" s="276" t="s">
        <v>1186</v>
      </c>
      <c r="I118" s="276" t="s">
        <v>1187</v>
      </c>
      <c r="J118" s="276" t="s">
        <v>1008</v>
      </c>
      <c r="K118" s="276" t="s">
        <v>591</v>
      </c>
      <c r="L118" s="276" t="s">
        <v>592</v>
      </c>
      <c r="M118" s="276" t="s">
        <v>1188</v>
      </c>
      <c r="N118" s="276" t="s">
        <v>640</v>
      </c>
    </row>
    <row r="119" spans="1:14" ht="100.9">
      <c r="A119" s="268" t="str">
        <f t="shared" si="1"/>
        <v>Analytical Thinking|Department Head|4</v>
      </c>
      <c r="B119" s="223" t="s">
        <v>560</v>
      </c>
      <c r="C119" s="227" t="s">
        <v>779</v>
      </c>
      <c r="D119" s="227">
        <v>4</v>
      </c>
      <c r="E119" s="227" t="s">
        <v>641</v>
      </c>
      <c r="F119" s="227">
        <v>1</v>
      </c>
      <c r="G119" s="276" t="s">
        <v>1189</v>
      </c>
      <c r="H119" s="276" t="s">
        <v>1190</v>
      </c>
      <c r="I119" s="276" t="s">
        <v>1191</v>
      </c>
      <c r="J119" s="276" t="s">
        <v>1192</v>
      </c>
      <c r="K119" s="276" t="s">
        <v>591</v>
      </c>
      <c r="L119" s="276" t="s">
        <v>592</v>
      </c>
      <c r="M119" s="276" t="s">
        <v>1193</v>
      </c>
      <c r="N119" s="276" t="s">
        <v>622</v>
      </c>
    </row>
    <row r="120" spans="1:14" ht="84">
      <c r="A120" s="268" t="str">
        <f t="shared" si="1"/>
        <v>Analytical Thinking|Department Head|4</v>
      </c>
      <c r="B120" s="223" t="s">
        <v>560</v>
      </c>
      <c r="C120" s="227" t="s">
        <v>779</v>
      </c>
      <c r="D120" s="227">
        <v>4</v>
      </c>
      <c r="E120" s="227" t="s">
        <v>641</v>
      </c>
      <c r="F120" s="227">
        <v>2</v>
      </c>
      <c r="G120" s="276" t="s">
        <v>1194</v>
      </c>
      <c r="H120" s="276" t="s">
        <v>1195</v>
      </c>
      <c r="I120" s="276" t="s">
        <v>1196</v>
      </c>
      <c r="J120" s="276" t="s">
        <v>1197</v>
      </c>
      <c r="K120" s="276" t="s">
        <v>591</v>
      </c>
      <c r="L120" s="276" t="s">
        <v>592</v>
      </c>
      <c r="M120" s="276" t="s">
        <v>1198</v>
      </c>
      <c r="N120" s="276" t="s">
        <v>622</v>
      </c>
    </row>
    <row r="121" spans="1:14" ht="67.150000000000006">
      <c r="A121" s="268" t="str">
        <f t="shared" si="1"/>
        <v>Analytical Thinking|Department Head|4</v>
      </c>
      <c r="B121" s="223" t="s">
        <v>560</v>
      </c>
      <c r="C121" s="227" t="s">
        <v>779</v>
      </c>
      <c r="D121" s="227">
        <v>4</v>
      </c>
      <c r="E121" s="227" t="s">
        <v>641</v>
      </c>
      <c r="F121" s="227">
        <v>3</v>
      </c>
      <c r="G121" s="276" t="s">
        <v>1199</v>
      </c>
      <c r="H121" s="276" t="s">
        <v>1200</v>
      </c>
      <c r="I121" s="276" t="s">
        <v>1201</v>
      </c>
      <c r="J121" s="276" t="s">
        <v>1202</v>
      </c>
      <c r="K121" s="276" t="s">
        <v>591</v>
      </c>
      <c r="L121" s="276" t="s">
        <v>592</v>
      </c>
      <c r="M121" s="276" t="s">
        <v>1203</v>
      </c>
      <c r="N121" s="276" t="s">
        <v>622</v>
      </c>
    </row>
    <row r="122" spans="1:14" ht="100.9">
      <c r="A122" s="268" t="str">
        <f t="shared" si="1"/>
        <v>Analytical Thinking|Division Head|1</v>
      </c>
      <c r="B122" s="223" t="s">
        <v>560</v>
      </c>
      <c r="C122" s="227" t="s">
        <v>838</v>
      </c>
      <c r="D122" s="226">
        <v>1</v>
      </c>
      <c r="E122" s="227" t="s">
        <v>586</v>
      </c>
      <c r="F122" s="227">
        <v>1</v>
      </c>
      <c r="G122" s="276" t="s">
        <v>1204</v>
      </c>
      <c r="H122" s="276" t="s">
        <v>1205</v>
      </c>
      <c r="I122" s="276" t="s">
        <v>1206</v>
      </c>
      <c r="J122" s="276" t="s">
        <v>1207</v>
      </c>
      <c r="K122" s="276" t="s">
        <v>591</v>
      </c>
      <c r="L122" s="276" t="s">
        <v>592</v>
      </c>
      <c r="M122" s="276" t="s">
        <v>1208</v>
      </c>
      <c r="N122" s="276" t="s">
        <v>594</v>
      </c>
    </row>
    <row r="123" spans="1:14" ht="84">
      <c r="A123" s="268" t="str">
        <f t="shared" si="1"/>
        <v>Analytical Thinking|Division Head|1</v>
      </c>
      <c r="B123" s="223" t="s">
        <v>560</v>
      </c>
      <c r="C123" s="227" t="s">
        <v>838</v>
      </c>
      <c r="D123" s="226">
        <v>1</v>
      </c>
      <c r="E123" s="227" t="s">
        <v>586</v>
      </c>
      <c r="F123" s="227">
        <v>2</v>
      </c>
      <c r="G123" s="276" t="s">
        <v>1209</v>
      </c>
      <c r="H123" s="276" t="s">
        <v>1210</v>
      </c>
      <c r="I123" s="276" t="s">
        <v>1211</v>
      </c>
      <c r="J123" s="276" t="s">
        <v>1212</v>
      </c>
      <c r="K123" s="276" t="s">
        <v>591</v>
      </c>
      <c r="L123" s="276" t="s">
        <v>592</v>
      </c>
      <c r="M123" s="276" t="s">
        <v>1213</v>
      </c>
      <c r="N123" s="276" t="s">
        <v>594</v>
      </c>
    </row>
    <row r="124" spans="1:14" ht="84">
      <c r="A124" s="268" t="str">
        <f t="shared" si="1"/>
        <v>Analytical Thinking|Division Head|1</v>
      </c>
      <c r="B124" s="223" t="s">
        <v>560</v>
      </c>
      <c r="C124" s="227" t="s">
        <v>838</v>
      </c>
      <c r="D124" s="226">
        <v>1</v>
      </c>
      <c r="E124" s="227" t="s">
        <v>586</v>
      </c>
      <c r="F124" s="227">
        <v>3</v>
      </c>
      <c r="G124" s="276" t="s">
        <v>1214</v>
      </c>
      <c r="H124" s="276" t="s">
        <v>1215</v>
      </c>
      <c r="I124" s="276" t="s">
        <v>1216</v>
      </c>
      <c r="J124" s="276" t="s">
        <v>1217</v>
      </c>
      <c r="K124" s="276" t="s">
        <v>591</v>
      </c>
      <c r="L124" s="276" t="s">
        <v>592</v>
      </c>
      <c r="M124" s="276" t="s">
        <v>1218</v>
      </c>
      <c r="N124" s="276" t="s">
        <v>916</v>
      </c>
    </row>
    <row r="125" spans="1:14" ht="84">
      <c r="A125" s="268" t="str">
        <f t="shared" si="1"/>
        <v>Analytical Thinking|Division Head|2</v>
      </c>
      <c r="B125" s="223" t="s">
        <v>560</v>
      </c>
      <c r="C125" s="227" t="s">
        <v>838</v>
      </c>
      <c r="D125" s="227">
        <v>2</v>
      </c>
      <c r="E125" s="227" t="s">
        <v>605</v>
      </c>
      <c r="F125" s="227">
        <v>1</v>
      </c>
      <c r="G125" s="276" t="s">
        <v>1219</v>
      </c>
      <c r="H125" s="276" t="s">
        <v>1220</v>
      </c>
      <c r="I125" s="276" t="s">
        <v>1221</v>
      </c>
      <c r="J125" s="276" t="s">
        <v>1222</v>
      </c>
      <c r="K125" s="276" t="s">
        <v>591</v>
      </c>
      <c r="L125" s="276" t="s">
        <v>592</v>
      </c>
      <c r="M125" s="276" t="s">
        <v>1223</v>
      </c>
      <c r="N125" s="276" t="s">
        <v>922</v>
      </c>
    </row>
    <row r="126" spans="1:14" ht="67.150000000000006">
      <c r="A126" s="268" t="str">
        <f t="shared" si="1"/>
        <v>Analytical Thinking|Division Head|2</v>
      </c>
      <c r="B126" s="223" t="s">
        <v>560</v>
      </c>
      <c r="C126" s="227" t="s">
        <v>838</v>
      </c>
      <c r="D126" s="227">
        <v>2</v>
      </c>
      <c r="E126" s="227" t="s">
        <v>605</v>
      </c>
      <c r="F126" s="227">
        <v>2</v>
      </c>
      <c r="G126" s="276" t="s">
        <v>1224</v>
      </c>
      <c r="H126" s="276" t="s">
        <v>1225</v>
      </c>
      <c r="I126" s="276" t="s">
        <v>1226</v>
      </c>
      <c r="J126" s="276" t="s">
        <v>1227</v>
      </c>
      <c r="K126" s="276" t="s">
        <v>591</v>
      </c>
      <c r="L126" s="276" t="s">
        <v>592</v>
      </c>
      <c r="M126" s="276" t="s">
        <v>1228</v>
      </c>
      <c r="N126" s="276" t="s">
        <v>1229</v>
      </c>
    </row>
    <row r="127" spans="1:14" ht="84">
      <c r="A127" s="268" t="str">
        <f t="shared" si="1"/>
        <v>Analytical Thinking|Division Head|2</v>
      </c>
      <c r="B127" s="223" t="s">
        <v>560</v>
      </c>
      <c r="C127" s="227" t="s">
        <v>838</v>
      </c>
      <c r="D127" s="227">
        <v>2</v>
      </c>
      <c r="E127" s="227" t="s">
        <v>605</v>
      </c>
      <c r="F127" s="227">
        <v>3</v>
      </c>
      <c r="G127" s="276" t="s">
        <v>1230</v>
      </c>
      <c r="H127" s="276" t="s">
        <v>1231</v>
      </c>
      <c r="I127" s="276" t="s">
        <v>1232</v>
      </c>
      <c r="J127" s="276" t="s">
        <v>1233</v>
      </c>
      <c r="K127" s="276" t="s">
        <v>591</v>
      </c>
      <c r="L127" s="276" t="s">
        <v>592</v>
      </c>
      <c r="M127" s="276" t="s">
        <v>1234</v>
      </c>
      <c r="N127" s="276" t="s">
        <v>916</v>
      </c>
    </row>
    <row r="128" spans="1:14" ht="100.9">
      <c r="A128" s="268" t="str">
        <f t="shared" si="1"/>
        <v>Analytical Thinking|Division Head|3</v>
      </c>
      <c r="B128" s="223" t="s">
        <v>560</v>
      </c>
      <c r="C128" s="227" t="s">
        <v>838</v>
      </c>
      <c r="D128" s="227">
        <v>3</v>
      </c>
      <c r="E128" s="227" t="s">
        <v>623</v>
      </c>
      <c r="F128" s="227">
        <v>1</v>
      </c>
      <c r="G128" s="276" t="s">
        <v>1235</v>
      </c>
      <c r="H128" s="276" t="s">
        <v>1236</v>
      </c>
      <c r="I128" s="276" t="s">
        <v>1237</v>
      </c>
      <c r="J128" s="276" t="s">
        <v>1238</v>
      </c>
      <c r="K128" s="276" t="s">
        <v>591</v>
      </c>
      <c r="L128" s="276" t="s">
        <v>592</v>
      </c>
      <c r="M128" s="276" t="s">
        <v>1239</v>
      </c>
      <c r="N128" s="276" t="s">
        <v>594</v>
      </c>
    </row>
    <row r="129" spans="1:14" ht="100.9">
      <c r="A129" s="268" t="str">
        <f t="shared" si="1"/>
        <v>Analytical Thinking|Division Head|3</v>
      </c>
      <c r="B129" s="223" t="s">
        <v>560</v>
      </c>
      <c r="C129" s="227" t="s">
        <v>838</v>
      </c>
      <c r="D129" s="227">
        <v>3</v>
      </c>
      <c r="E129" s="227" t="s">
        <v>623</v>
      </c>
      <c r="F129" s="227">
        <v>2</v>
      </c>
      <c r="G129" s="276" t="s">
        <v>1240</v>
      </c>
      <c r="H129" s="276" t="s">
        <v>1241</v>
      </c>
      <c r="I129" s="276" t="s">
        <v>1242</v>
      </c>
      <c r="J129" s="276" t="s">
        <v>1243</v>
      </c>
      <c r="K129" s="276" t="s">
        <v>591</v>
      </c>
      <c r="L129" s="276" t="s">
        <v>592</v>
      </c>
      <c r="M129" s="276" t="s">
        <v>1244</v>
      </c>
      <c r="N129" s="276" t="s">
        <v>1245</v>
      </c>
    </row>
    <row r="130" spans="1:14" ht="134.44999999999999">
      <c r="A130" s="268" t="str">
        <f t="shared" si="1"/>
        <v>Analytical Thinking|Division Head|3</v>
      </c>
      <c r="B130" s="223" t="s">
        <v>560</v>
      </c>
      <c r="C130" s="227" t="s">
        <v>838</v>
      </c>
      <c r="D130" s="227">
        <v>3</v>
      </c>
      <c r="E130" s="227" t="s">
        <v>623</v>
      </c>
      <c r="F130" s="227">
        <v>3</v>
      </c>
      <c r="G130" s="276" t="s">
        <v>1246</v>
      </c>
      <c r="H130" s="276" t="s">
        <v>1247</v>
      </c>
      <c r="I130" s="276" t="s">
        <v>1248</v>
      </c>
      <c r="J130" s="276" t="s">
        <v>1249</v>
      </c>
      <c r="K130" s="276" t="s">
        <v>591</v>
      </c>
      <c r="L130" s="276" t="s">
        <v>592</v>
      </c>
      <c r="M130" s="276" t="s">
        <v>1250</v>
      </c>
      <c r="N130" s="276" t="s">
        <v>640</v>
      </c>
    </row>
    <row r="131" spans="1:14" ht="100.9">
      <c r="A131" s="268" t="str">
        <f t="shared" ref="A131:A194" si="2">B131 &amp; "|" &amp; C131 &amp; "|" &amp; D131</f>
        <v>Analytical Thinking|Division Head|4</v>
      </c>
      <c r="B131" s="223" t="s">
        <v>560</v>
      </c>
      <c r="C131" s="227" t="s">
        <v>838</v>
      </c>
      <c r="D131" s="227">
        <v>4</v>
      </c>
      <c r="E131" s="227" t="s">
        <v>641</v>
      </c>
      <c r="F131" s="227">
        <v>1</v>
      </c>
      <c r="G131" s="276" t="s">
        <v>1251</v>
      </c>
      <c r="H131" s="276" t="s">
        <v>1252</v>
      </c>
      <c r="I131" s="276" t="s">
        <v>1253</v>
      </c>
      <c r="J131" s="276" t="s">
        <v>1254</v>
      </c>
      <c r="K131" s="276" t="s">
        <v>591</v>
      </c>
      <c r="L131" s="276" t="s">
        <v>592</v>
      </c>
      <c r="M131" s="276" t="s">
        <v>1255</v>
      </c>
      <c r="N131" s="276" t="s">
        <v>1256</v>
      </c>
    </row>
    <row r="132" spans="1:14" ht="84">
      <c r="A132" s="268" t="str">
        <f t="shared" si="2"/>
        <v>Analytical Thinking|Division Head|4</v>
      </c>
      <c r="B132" s="223" t="s">
        <v>560</v>
      </c>
      <c r="C132" s="227" t="s">
        <v>838</v>
      </c>
      <c r="D132" s="227">
        <v>4</v>
      </c>
      <c r="E132" s="227" t="s">
        <v>641</v>
      </c>
      <c r="F132" s="227">
        <v>2</v>
      </c>
      <c r="G132" s="276" t="s">
        <v>1257</v>
      </c>
      <c r="H132" s="276" t="s">
        <v>1258</v>
      </c>
      <c r="I132" s="276" t="s">
        <v>1259</v>
      </c>
      <c r="J132" s="276" t="s">
        <v>1260</v>
      </c>
      <c r="K132" s="276" t="s">
        <v>591</v>
      </c>
      <c r="L132" s="276" t="s">
        <v>592</v>
      </c>
      <c r="M132" s="276" t="s">
        <v>1261</v>
      </c>
      <c r="N132" s="276" t="s">
        <v>1229</v>
      </c>
    </row>
    <row r="133" spans="1:14" ht="100.9">
      <c r="A133" s="268" t="str">
        <f t="shared" si="2"/>
        <v>Analytical Thinking|Division Head|4</v>
      </c>
      <c r="B133" s="223" t="s">
        <v>560</v>
      </c>
      <c r="C133" s="227" t="s">
        <v>838</v>
      </c>
      <c r="D133" s="227">
        <v>4</v>
      </c>
      <c r="E133" s="227" t="s">
        <v>641</v>
      </c>
      <c r="F133" s="227">
        <v>3</v>
      </c>
      <c r="G133" s="276" t="s">
        <v>1262</v>
      </c>
      <c r="H133" s="276" t="s">
        <v>1263</v>
      </c>
      <c r="I133" s="276" t="s">
        <v>1264</v>
      </c>
      <c r="J133" s="276" t="s">
        <v>1265</v>
      </c>
      <c r="K133" s="276" t="s">
        <v>591</v>
      </c>
      <c r="L133" s="276" t="s">
        <v>592</v>
      </c>
      <c r="M133" s="276" t="s">
        <v>1266</v>
      </c>
      <c r="N133" s="276" t="s">
        <v>916</v>
      </c>
    </row>
    <row r="134" spans="1:14" ht="100.9">
      <c r="A134" s="268" t="str">
        <f t="shared" si="2"/>
        <v>Analytical Thinking|Director|1</v>
      </c>
      <c r="B134" s="223" t="s">
        <v>560</v>
      </c>
      <c r="C134" s="227" t="s">
        <v>898</v>
      </c>
      <c r="D134" s="226">
        <v>1</v>
      </c>
      <c r="E134" s="227" t="s">
        <v>586</v>
      </c>
      <c r="F134" s="227">
        <v>1</v>
      </c>
      <c r="G134" s="276" t="s">
        <v>1204</v>
      </c>
      <c r="H134" s="276" t="s">
        <v>1205</v>
      </c>
      <c r="I134" s="276" t="s">
        <v>1206</v>
      </c>
      <c r="J134" s="276" t="s">
        <v>1207</v>
      </c>
      <c r="K134" s="276" t="s">
        <v>591</v>
      </c>
      <c r="L134" s="276" t="s">
        <v>592</v>
      </c>
      <c r="M134" s="276" t="s">
        <v>1208</v>
      </c>
      <c r="N134" s="276" t="s">
        <v>594</v>
      </c>
    </row>
    <row r="135" spans="1:14" ht="84">
      <c r="A135" s="268" t="str">
        <f t="shared" si="2"/>
        <v>Analytical Thinking|Director|1</v>
      </c>
      <c r="B135" s="223" t="s">
        <v>560</v>
      </c>
      <c r="C135" s="227" t="s">
        <v>898</v>
      </c>
      <c r="D135" s="226">
        <v>1</v>
      </c>
      <c r="E135" s="227" t="s">
        <v>586</v>
      </c>
      <c r="F135" s="227">
        <v>2</v>
      </c>
      <c r="G135" s="276" t="s">
        <v>1209</v>
      </c>
      <c r="H135" s="276" t="s">
        <v>1210</v>
      </c>
      <c r="I135" s="276" t="s">
        <v>1211</v>
      </c>
      <c r="J135" s="276" t="s">
        <v>1212</v>
      </c>
      <c r="K135" s="276" t="s">
        <v>591</v>
      </c>
      <c r="L135" s="276" t="s">
        <v>592</v>
      </c>
      <c r="M135" s="276" t="s">
        <v>1213</v>
      </c>
      <c r="N135" s="276" t="s">
        <v>594</v>
      </c>
    </row>
    <row r="136" spans="1:14" ht="84">
      <c r="A136" s="268" t="str">
        <f t="shared" si="2"/>
        <v>Analytical Thinking|Director|1</v>
      </c>
      <c r="B136" s="223" t="s">
        <v>560</v>
      </c>
      <c r="C136" s="227" t="s">
        <v>898</v>
      </c>
      <c r="D136" s="226">
        <v>1</v>
      </c>
      <c r="E136" s="227" t="s">
        <v>586</v>
      </c>
      <c r="F136" s="227">
        <v>3</v>
      </c>
      <c r="G136" s="276" t="s">
        <v>1214</v>
      </c>
      <c r="H136" s="276" t="s">
        <v>1215</v>
      </c>
      <c r="I136" s="276" t="s">
        <v>1216</v>
      </c>
      <c r="J136" s="276" t="s">
        <v>1217</v>
      </c>
      <c r="K136" s="276" t="s">
        <v>591</v>
      </c>
      <c r="L136" s="276" t="s">
        <v>592</v>
      </c>
      <c r="M136" s="276" t="s">
        <v>1218</v>
      </c>
      <c r="N136" s="276" t="s">
        <v>916</v>
      </c>
    </row>
    <row r="137" spans="1:14" ht="84">
      <c r="A137" s="268" t="str">
        <f t="shared" si="2"/>
        <v>Analytical Thinking|Director|2</v>
      </c>
      <c r="B137" s="223" t="s">
        <v>560</v>
      </c>
      <c r="C137" s="227" t="s">
        <v>898</v>
      </c>
      <c r="D137" s="227">
        <v>2</v>
      </c>
      <c r="E137" s="227" t="s">
        <v>605</v>
      </c>
      <c r="F137" s="227">
        <v>1</v>
      </c>
      <c r="G137" s="276" t="s">
        <v>1267</v>
      </c>
      <c r="H137" s="276" t="s">
        <v>1220</v>
      </c>
      <c r="I137" s="276" t="s">
        <v>1221</v>
      </c>
      <c r="J137" s="276" t="s">
        <v>1222</v>
      </c>
      <c r="K137" s="276" t="s">
        <v>591</v>
      </c>
      <c r="L137" s="276" t="s">
        <v>592</v>
      </c>
      <c r="M137" s="276" t="s">
        <v>1223</v>
      </c>
      <c r="N137" s="276" t="s">
        <v>922</v>
      </c>
    </row>
    <row r="138" spans="1:14" ht="67.150000000000006">
      <c r="A138" s="268" t="str">
        <f t="shared" si="2"/>
        <v>Analytical Thinking|Director|2</v>
      </c>
      <c r="B138" s="223" t="s">
        <v>560</v>
      </c>
      <c r="C138" s="227" t="s">
        <v>898</v>
      </c>
      <c r="D138" s="227">
        <v>2</v>
      </c>
      <c r="E138" s="227" t="s">
        <v>605</v>
      </c>
      <c r="F138" s="227">
        <v>2</v>
      </c>
      <c r="G138" s="276" t="s">
        <v>1268</v>
      </c>
      <c r="H138" s="276" t="s">
        <v>1225</v>
      </c>
      <c r="I138" s="276" t="s">
        <v>1226</v>
      </c>
      <c r="J138" s="276" t="s">
        <v>1227</v>
      </c>
      <c r="K138" s="276" t="s">
        <v>591</v>
      </c>
      <c r="L138" s="276" t="s">
        <v>592</v>
      </c>
      <c r="M138" s="276" t="s">
        <v>1228</v>
      </c>
      <c r="N138" s="276" t="s">
        <v>1229</v>
      </c>
    </row>
    <row r="139" spans="1:14" ht="84">
      <c r="A139" s="268" t="str">
        <f t="shared" si="2"/>
        <v>Analytical Thinking|Director|2</v>
      </c>
      <c r="B139" s="223" t="s">
        <v>560</v>
      </c>
      <c r="C139" s="227" t="s">
        <v>898</v>
      </c>
      <c r="D139" s="227">
        <v>2</v>
      </c>
      <c r="E139" s="227" t="s">
        <v>605</v>
      </c>
      <c r="F139" s="227">
        <v>3</v>
      </c>
      <c r="G139" s="276" t="s">
        <v>1269</v>
      </c>
      <c r="H139" s="276" t="s">
        <v>1231</v>
      </c>
      <c r="I139" s="276" t="s">
        <v>1232</v>
      </c>
      <c r="J139" s="276" t="s">
        <v>1233</v>
      </c>
      <c r="K139" s="276" t="s">
        <v>591</v>
      </c>
      <c r="L139" s="276" t="s">
        <v>592</v>
      </c>
      <c r="M139" s="276" t="s">
        <v>1234</v>
      </c>
      <c r="N139" s="276" t="s">
        <v>916</v>
      </c>
    </row>
    <row r="140" spans="1:14" ht="100.9">
      <c r="A140" s="268" t="str">
        <f t="shared" si="2"/>
        <v>Analytical Thinking|Director|3</v>
      </c>
      <c r="B140" s="223" t="s">
        <v>560</v>
      </c>
      <c r="C140" s="227" t="s">
        <v>898</v>
      </c>
      <c r="D140" s="227">
        <v>3</v>
      </c>
      <c r="E140" s="227" t="s">
        <v>623</v>
      </c>
      <c r="F140" s="227">
        <v>1</v>
      </c>
      <c r="G140" s="276" t="s">
        <v>1235</v>
      </c>
      <c r="H140" s="276" t="s">
        <v>1236</v>
      </c>
      <c r="I140" s="276" t="s">
        <v>1237</v>
      </c>
      <c r="J140" s="276" t="s">
        <v>1238</v>
      </c>
      <c r="K140" s="276" t="s">
        <v>591</v>
      </c>
      <c r="L140" s="276" t="s">
        <v>592</v>
      </c>
      <c r="M140" s="276" t="s">
        <v>1239</v>
      </c>
      <c r="N140" s="276" t="s">
        <v>594</v>
      </c>
    </row>
    <row r="141" spans="1:14" ht="100.9">
      <c r="A141" s="268" t="str">
        <f t="shared" si="2"/>
        <v>Analytical Thinking|Director|3</v>
      </c>
      <c r="B141" s="223" t="s">
        <v>560</v>
      </c>
      <c r="C141" s="227" t="s">
        <v>898</v>
      </c>
      <c r="D141" s="227">
        <v>3</v>
      </c>
      <c r="E141" s="227" t="s">
        <v>623</v>
      </c>
      <c r="F141" s="227">
        <v>2</v>
      </c>
      <c r="G141" s="276" t="s">
        <v>1240</v>
      </c>
      <c r="H141" s="276" t="s">
        <v>1241</v>
      </c>
      <c r="I141" s="276" t="s">
        <v>1242</v>
      </c>
      <c r="J141" s="276" t="s">
        <v>1243</v>
      </c>
      <c r="K141" s="276" t="s">
        <v>591</v>
      </c>
      <c r="L141" s="276" t="s">
        <v>592</v>
      </c>
      <c r="M141" s="276" t="s">
        <v>1244</v>
      </c>
      <c r="N141" s="276" t="s">
        <v>1245</v>
      </c>
    </row>
    <row r="142" spans="1:14" ht="134.44999999999999">
      <c r="A142" s="268" t="str">
        <f t="shared" si="2"/>
        <v>Analytical Thinking|Director|3</v>
      </c>
      <c r="B142" s="223" t="s">
        <v>560</v>
      </c>
      <c r="C142" s="227" t="s">
        <v>898</v>
      </c>
      <c r="D142" s="227">
        <v>3</v>
      </c>
      <c r="E142" s="227" t="s">
        <v>623</v>
      </c>
      <c r="F142" s="227">
        <v>3</v>
      </c>
      <c r="G142" s="276" t="s">
        <v>1246</v>
      </c>
      <c r="H142" s="276" t="s">
        <v>1247</v>
      </c>
      <c r="I142" s="276" t="s">
        <v>1248</v>
      </c>
      <c r="J142" s="276" t="s">
        <v>1249</v>
      </c>
      <c r="K142" s="276" t="s">
        <v>591</v>
      </c>
      <c r="L142" s="276" t="s">
        <v>592</v>
      </c>
      <c r="M142" s="276" t="s">
        <v>1250</v>
      </c>
      <c r="N142" s="276" t="s">
        <v>640</v>
      </c>
    </row>
    <row r="143" spans="1:14" ht="100.9">
      <c r="A143" s="268" t="str">
        <f t="shared" si="2"/>
        <v>Analytical Thinking|Director|4</v>
      </c>
      <c r="B143" s="223" t="s">
        <v>560</v>
      </c>
      <c r="C143" s="227" t="s">
        <v>898</v>
      </c>
      <c r="D143" s="227">
        <v>4</v>
      </c>
      <c r="E143" s="227" t="s">
        <v>641</v>
      </c>
      <c r="F143" s="227">
        <v>1</v>
      </c>
      <c r="G143" s="276" t="s">
        <v>1251</v>
      </c>
      <c r="H143" s="276" t="s">
        <v>1252</v>
      </c>
      <c r="I143" s="276" t="s">
        <v>1253</v>
      </c>
      <c r="J143" s="276" t="s">
        <v>1254</v>
      </c>
      <c r="K143" s="276" t="s">
        <v>591</v>
      </c>
      <c r="L143" s="276" t="s">
        <v>592</v>
      </c>
      <c r="M143" s="276" t="s">
        <v>1255</v>
      </c>
      <c r="N143" s="276" t="s">
        <v>1256</v>
      </c>
    </row>
    <row r="144" spans="1:14" ht="84">
      <c r="A144" s="268" t="str">
        <f t="shared" si="2"/>
        <v>Analytical Thinking|Director|4</v>
      </c>
      <c r="B144" s="223" t="s">
        <v>560</v>
      </c>
      <c r="C144" s="227" t="s">
        <v>898</v>
      </c>
      <c r="D144" s="227">
        <v>4</v>
      </c>
      <c r="E144" s="227" t="s">
        <v>641</v>
      </c>
      <c r="F144" s="227">
        <v>2</v>
      </c>
      <c r="G144" s="276" t="s">
        <v>1257</v>
      </c>
      <c r="H144" s="276" t="s">
        <v>1258</v>
      </c>
      <c r="I144" s="276" t="s">
        <v>1259</v>
      </c>
      <c r="J144" s="276" t="s">
        <v>1260</v>
      </c>
      <c r="K144" s="276" t="s">
        <v>591</v>
      </c>
      <c r="L144" s="276" t="s">
        <v>592</v>
      </c>
      <c r="M144" s="276" t="s">
        <v>1261</v>
      </c>
      <c r="N144" s="276" t="s">
        <v>1229</v>
      </c>
    </row>
    <row r="145" spans="1:14" ht="100.9">
      <c r="A145" s="268" t="str">
        <f t="shared" si="2"/>
        <v>Analytical Thinking|Director|4</v>
      </c>
      <c r="B145" s="223" t="s">
        <v>560</v>
      </c>
      <c r="C145" s="227" t="s">
        <v>898</v>
      </c>
      <c r="D145" s="227">
        <v>4</v>
      </c>
      <c r="E145" s="227" t="s">
        <v>641</v>
      </c>
      <c r="F145" s="227">
        <v>3</v>
      </c>
      <c r="G145" s="276" t="s">
        <v>1262</v>
      </c>
      <c r="H145" s="276" t="s">
        <v>1263</v>
      </c>
      <c r="I145" s="276" t="s">
        <v>1264</v>
      </c>
      <c r="J145" s="276" t="s">
        <v>1265</v>
      </c>
      <c r="K145" s="276" t="s">
        <v>591</v>
      </c>
      <c r="L145" s="276" t="s">
        <v>592</v>
      </c>
      <c r="M145" s="276" t="s">
        <v>1266</v>
      </c>
      <c r="N145" s="276" t="s">
        <v>916</v>
      </c>
    </row>
    <row r="146" spans="1:14" ht="52.9">
      <c r="A146" s="268" t="str">
        <f t="shared" si="2"/>
        <v>Communication &amp; Deal with Others|Officer|1</v>
      </c>
      <c r="B146" s="223" t="s">
        <v>567</v>
      </c>
      <c r="C146" s="197" t="s">
        <v>4</v>
      </c>
      <c r="D146" s="197">
        <v>1</v>
      </c>
      <c r="E146" s="79" t="s">
        <v>586</v>
      </c>
      <c r="F146" s="79">
        <v>1</v>
      </c>
      <c r="G146" s="277" t="s">
        <v>1270</v>
      </c>
      <c r="H146" s="277" t="s">
        <v>1271</v>
      </c>
      <c r="I146" s="277" t="s">
        <v>1272</v>
      </c>
      <c r="J146" s="277" t="s">
        <v>1273</v>
      </c>
      <c r="K146" s="277" t="s">
        <v>591</v>
      </c>
      <c r="L146" s="277" t="s">
        <v>592</v>
      </c>
      <c r="M146" s="277" t="s">
        <v>1274</v>
      </c>
      <c r="N146" s="277" t="s">
        <v>594</v>
      </c>
    </row>
    <row r="147" spans="1:14" ht="52.9">
      <c r="A147" s="268" t="str">
        <f t="shared" si="2"/>
        <v>Communication &amp; Deal with Others|Officer|1</v>
      </c>
      <c r="B147" s="223" t="s">
        <v>567</v>
      </c>
      <c r="C147" s="197" t="s">
        <v>4</v>
      </c>
      <c r="D147" s="197">
        <v>1</v>
      </c>
      <c r="E147" s="79" t="s">
        <v>586</v>
      </c>
      <c r="F147" s="79">
        <v>2</v>
      </c>
      <c r="G147" s="277" t="s">
        <v>1275</v>
      </c>
      <c r="H147" s="277" t="s">
        <v>1276</v>
      </c>
      <c r="I147" s="277" t="s">
        <v>1277</v>
      </c>
      <c r="J147" s="277" t="s">
        <v>1278</v>
      </c>
      <c r="K147" s="277" t="s">
        <v>591</v>
      </c>
      <c r="L147" s="277" t="s">
        <v>592</v>
      </c>
      <c r="M147" s="277" t="s">
        <v>1279</v>
      </c>
      <c r="N147" s="277" t="s">
        <v>594</v>
      </c>
    </row>
    <row r="148" spans="1:14" ht="39.6">
      <c r="A148" s="268" t="str">
        <f t="shared" si="2"/>
        <v>Communication &amp; Deal with Others|Officer|1</v>
      </c>
      <c r="B148" s="223" t="s">
        <v>567</v>
      </c>
      <c r="C148" s="197" t="s">
        <v>4</v>
      </c>
      <c r="D148" s="197">
        <v>1</v>
      </c>
      <c r="E148" s="79" t="s">
        <v>586</v>
      </c>
      <c r="F148" s="79">
        <v>3</v>
      </c>
      <c r="G148" s="277" t="s">
        <v>1280</v>
      </c>
      <c r="H148" s="277" t="s">
        <v>1281</v>
      </c>
      <c r="I148" s="277" t="s">
        <v>1282</v>
      </c>
      <c r="J148" s="277" t="s">
        <v>1283</v>
      </c>
      <c r="K148" s="277" t="s">
        <v>591</v>
      </c>
      <c r="L148" s="277" t="s">
        <v>592</v>
      </c>
      <c r="M148" s="277" t="s">
        <v>1284</v>
      </c>
      <c r="N148" s="277" t="s">
        <v>622</v>
      </c>
    </row>
    <row r="149" spans="1:14" ht="52.9">
      <c r="A149" s="268" t="str">
        <f t="shared" si="2"/>
        <v>Communication &amp; Deal with Others|Officer|2</v>
      </c>
      <c r="B149" s="223" t="s">
        <v>567</v>
      </c>
      <c r="C149" s="197" t="s">
        <v>4</v>
      </c>
      <c r="D149" s="79">
        <v>2</v>
      </c>
      <c r="E149" s="79" t="s">
        <v>605</v>
      </c>
      <c r="F149" s="79">
        <v>1</v>
      </c>
      <c r="G149" s="277" t="s">
        <v>1285</v>
      </c>
      <c r="H149" s="277" t="s">
        <v>1286</v>
      </c>
      <c r="I149" s="277" t="s">
        <v>1287</v>
      </c>
      <c r="J149" s="277" t="s">
        <v>1288</v>
      </c>
      <c r="K149" s="277" t="s">
        <v>591</v>
      </c>
      <c r="L149" s="277" t="s">
        <v>592</v>
      </c>
      <c r="M149" s="277" t="s">
        <v>1289</v>
      </c>
      <c r="N149" s="277" t="s">
        <v>611</v>
      </c>
    </row>
    <row r="150" spans="1:14" ht="52.9">
      <c r="A150" s="268" t="str">
        <f t="shared" si="2"/>
        <v>Communication &amp; Deal with Others|Officer|2</v>
      </c>
      <c r="B150" s="223" t="s">
        <v>567</v>
      </c>
      <c r="C150" s="197" t="s">
        <v>4</v>
      </c>
      <c r="D150" s="79">
        <v>2</v>
      </c>
      <c r="E150" s="79" t="s">
        <v>605</v>
      </c>
      <c r="F150" s="79">
        <v>2</v>
      </c>
      <c r="G150" s="277" t="s">
        <v>1290</v>
      </c>
      <c r="H150" s="277" t="s">
        <v>1291</v>
      </c>
      <c r="I150" s="277" t="s">
        <v>1292</v>
      </c>
      <c r="J150" s="277" t="s">
        <v>1293</v>
      </c>
      <c r="K150" s="277" t="s">
        <v>591</v>
      </c>
      <c r="L150" s="277" t="s">
        <v>592</v>
      </c>
      <c r="M150" s="277" t="s">
        <v>1294</v>
      </c>
      <c r="N150" s="277" t="s">
        <v>594</v>
      </c>
    </row>
    <row r="151" spans="1:14" ht="39.6">
      <c r="A151" s="268" t="str">
        <f t="shared" si="2"/>
        <v>Communication &amp; Deal with Others|Officer|2</v>
      </c>
      <c r="B151" s="223" t="s">
        <v>567</v>
      </c>
      <c r="C151" s="197" t="s">
        <v>4</v>
      </c>
      <c r="D151" s="79">
        <v>2</v>
      </c>
      <c r="E151" s="79" t="s">
        <v>605</v>
      </c>
      <c r="F151" s="79">
        <v>3</v>
      </c>
      <c r="G151" s="277" t="s">
        <v>1295</v>
      </c>
      <c r="H151" s="277" t="s">
        <v>1296</v>
      </c>
      <c r="I151" s="277" t="s">
        <v>1297</v>
      </c>
      <c r="J151" s="277" t="s">
        <v>1298</v>
      </c>
      <c r="K151" s="277" t="s">
        <v>591</v>
      </c>
      <c r="L151" s="277" t="s">
        <v>592</v>
      </c>
      <c r="M151" s="277" t="s">
        <v>1299</v>
      </c>
      <c r="N151" s="277" t="s">
        <v>622</v>
      </c>
    </row>
    <row r="152" spans="1:14" ht="79.150000000000006">
      <c r="A152" s="268" t="str">
        <f t="shared" si="2"/>
        <v>Communication &amp; Deal with Others|Officer|3</v>
      </c>
      <c r="B152" s="223" t="s">
        <v>567</v>
      </c>
      <c r="C152" s="197" t="s">
        <v>4</v>
      </c>
      <c r="D152" s="79">
        <v>3</v>
      </c>
      <c r="E152" s="79" t="s">
        <v>623</v>
      </c>
      <c r="F152" s="79">
        <v>1</v>
      </c>
      <c r="G152" s="277" t="s">
        <v>1300</v>
      </c>
      <c r="H152" s="277" t="s">
        <v>1301</v>
      </c>
      <c r="I152" s="277" t="s">
        <v>1302</v>
      </c>
      <c r="J152" s="277" t="s">
        <v>1303</v>
      </c>
      <c r="K152" s="277" t="s">
        <v>591</v>
      </c>
      <c r="L152" s="277" t="s">
        <v>592</v>
      </c>
      <c r="M152" s="277" t="s">
        <v>1304</v>
      </c>
      <c r="N152" s="277" t="s">
        <v>594</v>
      </c>
    </row>
    <row r="153" spans="1:14" ht="52.9">
      <c r="A153" s="268" t="str">
        <f t="shared" si="2"/>
        <v>Communication &amp; Deal with Others|Officer|3</v>
      </c>
      <c r="B153" s="223" t="s">
        <v>567</v>
      </c>
      <c r="C153" s="197" t="s">
        <v>4</v>
      </c>
      <c r="D153" s="79">
        <v>3</v>
      </c>
      <c r="E153" s="79" t="s">
        <v>623</v>
      </c>
      <c r="F153" s="79">
        <v>2</v>
      </c>
      <c r="G153" s="277" t="s">
        <v>1305</v>
      </c>
      <c r="H153" s="277" t="s">
        <v>1306</v>
      </c>
      <c r="I153" s="277" t="s">
        <v>1307</v>
      </c>
      <c r="J153" s="277" t="s">
        <v>1308</v>
      </c>
      <c r="K153" s="277" t="s">
        <v>591</v>
      </c>
      <c r="L153" s="277" t="s">
        <v>592</v>
      </c>
      <c r="M153" s="277" t="s">
        <v>1309</v>
      </c>
      <c r="N153" s="277" t="s">
        <v>622</v>
      </c>
    </row>
    <row r="154" spans="1:14" ht="66">
      <c r="A154" s="268" t="str">
        <f t="shared" si="2"/>
        <v>Communication &amp; Deal with Others|Officer|3</v>
      </c>
      <c r="B154" s="223" t="s">
        <v>567</v>
      </c>
      <c r="C154" s="197" t="s">
        <v>4</v>
      </c>
      <c r="D154" s="79">
        <v>3</v>
      </c>
      <c r="E154" s="79" t="s">
        <v>623</v>
      </c>
      <c r="F154" s="79">
        <v>3</v>
      </c>
      <c r="G154" s="277" t="s">
        <v>1310</v>
      </c>
      <c r="H154" s="277" t="s">
        <v>1311</v>
      </c>
      <c r="I154" s="277" t="s">
        <v>1312</v>
      </c>
      <c r="J154" s="277" t="s">
        <v>1008</v>
      </c>
      <c r="K154" s="277" t="s">
        <v>591</v>
      </c>
      <c r="L154" s="277" t="s">
        <v>592</v>
      </c>
      <c r="M154" s="277" t="s">
        <v>1313</v>
      </c>
      <c r="N154" s="277" t="s">
        <v>640</v>
      </c>
    </row>
    <row r="155" spans="1:14" ht="52.9">
      <c r="A155" s="268" t="str">
        <f t="shared" si="2"/>
        <v>Communication &amp; Deal with Others|Officer|4</v>
      </c>
      <c r="B155" s="223" t="s">
        <v>567</v>
      </c>
      <c r="C155" s="197" t="s">
        <v>4</v>
      </c>
      <c r="D155" s="79">
        <v>4</v>
      </c>
      <c r="E155" s="79" t="s">
        <v>641</v>
      </c>
      <c r="F155" s="79">
        <v>1</v>
      </c>
      <c r="G155" s="277" t="s">
        <v>1314</v>
      </c>
      <c r="H155" s="277" t="s">
        <v>1315</v>
      </c>
      <c r="I155" s="277" t="s">
        <v>1316</v>
      </c>
      <c r="J155" s="277" t="s">
        <v>1317</v>
      </c>
      <c r="K155" s="277" t="s">
        <v>591</v>
      </c>
      <c r="L155" s="277" t="s">
        <v>592</v>
      </c>
      <c r="M155" s="277" t="s">
        <v>1318</v>
      </c>
      <c r="N155" s="277" t="s">
        <v>622</v>
      </c>
    </row>
    <row r="156" spans="1:14" ht="66">
      <c r="A156" s="268" t="str">
        <f t="shared" si="2"/>
        <v>Communication &amp; Deal with Others|Officer|4</v>
      </c>
      <c r="B156" s="223" t="s">
        <v>567</v>
      </c>
      <c r="C156" s="197" t="s">
        <v>4</v>
      </c>
      <c r="D156" s="79">
        <v>4</v>
      </c>
      <c r="E156" s="79" t="s">
        <v>641</v>
      </c>
      <c r="F156" s="79">
        <v>2</v>
      </c>
      <c r="G156" s="277" t="s">
        <v>1319</v>
      </c>
      <c r="H156" s="277" t="s">
        <v>1320</v>
      </c>
      <c r="I156" s="277" t="s">
        <v>1321</v>
      </c>
      <c r="J156" s="277" t="s">
        <v>1322</v>
      </c>
      <c r="K156" s="277" t="s">
        <v>591</v>
      </c>
      <c r="L156" s="277" t="s">
        <v>592</v>
      </c>
      <c r="M156" s="277" t="s">
        <v>1323</v>
      </c>
      <c r="N156" s="277" t="s">
        <v>622</v>
      </c>
    </row>
    <row r="157" spans="1:14" ht="52.9">
      <c r="A157" s="268" t="str">
        <f t="shared" si="2"/>
        <v>Communication &amp; Deal with Others|Officer|4</v>
      </c>
      <c r="B157" s="223" t="s">
        <v>567</v>
      </c>
      <c r="C157" s="197" t="s">
        <v>4</v>
      </c>
      <c r="D157" s="79">
        <v>4</v>
      </c>
      <c r="E157" s="79" t="s">
        <v>641</v>
      </c>
      <c r="F157" s="79">
        <v>3</v>
      </c>
      <c r="G157" s="277" t="s">
        <v>1324</v>
      </c>
      <c r="H157" s="277" t="s">
        <v>1325</v>
      </c>
      <c r="I157" s="277" t="s">
        <v>1326</v>
      </c>
      <c r="J157" s="277" t="s">
        <v>1327</v>
      </c>
      <c r="K157" s="277" t="s">
        <v>591</v>
      </c>
      <c r="L157" s="277" t="s">
        <v>592</v>
      </c>
      <c r="M157" s="277" t="s">
        <v>1328</v>
      </c>
      <c r="N157" s="277" t="s">
        <v>622</v>
      </c>
    </row>
    <row r="158" spans="1:14" ht="100.9">
      <c r="A158" s="268" t="str">
        <f t="shared" si="2"/>
        <v>Communication &amp; Deal with Others|Analyst|1</v>
      </c>
      <c r="B158" s="223" t="s">
        <v>567</v>
      </c>
      <c r="C158" s="197" t="s">
        <v>6</v>
      </c>
      <c r="D158" s="197">
        <v>1</v>
      </c>
      <c r="E158" s="79" t="s">
        <v>586</v>
      </c>
      <c r="F158" s="79">
        <v>1</v>
      </c>
      <c r="G158" s="276" t="s">
        <v>1329</v>
      </c>
      <c r="H158" s="276" t="s">
        <v>1330</v>
      </c>
      <c r="I158" s="276" t="s">
        <v>1331</v>
      </c>
      <c r="J158" s="276" t="s">
        <v>1332</v>
      </c>
      <c r="K158" s="276" t="s">
        <v>591</v>
      </c>
      <c r="L158" s="276" t="s">
        <v>592</v>
      </c>
      <c r="M158" s="276" t="s">
        <v>1333</v>
      </c>
      <c r="N158" s="276" t="s">
        <v>594</v>
      </c>
    </row>
    <row r="159" spans="1:14" ht="84">
      <c r="A159" s="268" t="str">
        <f t="shared" si="2"/>
        <v>Communication &amp; Deal with Others|Analyst|1</v>
      </c>
      <c r="B159" s="223" t="s">
        <v>567</v>
      </c>
      <c r="C159" s="197" t="s">
        <v>6</v>
      </c>
      <c r="D159" s="197">
        <v>1</v>
      </c>
      <c r="E159" s="79" t="s">
        <v>586</v>
      </c>
      <c r="F159" s="79">
        <v>2</v>
      </c>
      <c r="G159" s="276" t="s">
        <v>1334</v>
      </c>
      <c r="H159" s="276" t="s">
        <v>1335</v>
      </c>
      <c r="I159" s="276" t="s">
        <v>1336</v>
      </c>
      <c r="J159" s="276" t="s">
        <v>1337</v>
      </c>
      <c r="K159" s="276" t="s">
        <v>591</v>
      </c>
      <c r="L159" s="276" t="s">
        <v>592</v>
      </c>
      <c r="M159" s="276" t="s">
        <v>1338</v>
      </c>
      <c r="N159" s="276" t="s">
        <v>594</v>
      </c>
    </row>
    <row r="160" spans="1:14" ht="84">
      <c r="A160" s="268" t="str">
        <f t="shared" si="2"/>
        <v>Communication &amp; Deal with Others|Analyst|1</v>
      </c>
      <c r="B160" s="223" t="s">
        <v>567</v>
      </c>
      <c r="C160" s="197" t="s">
        <v>6</v>
      </c>
      <c r="D160" s="197">
        <v>1</v>
      </c>
      <c r="E160" s="79" t="s">
        <v>586</v>
      </c>
      <c r="F160" s="79">
        <v>3</v>
      </c>
      <c r="G160" s="276" t="s">
        <v>1339</v>
      </c>
      <c r="H160" s="276" t="s">
        <v>1340</v>
      </c>
      <c r="I160" s="276" t="s">
        <v>1341</v>
      </c>
      <c r="J160" s="276" t="s">
        <v>1342</v>
      </c>
      <c r="K160" s="276" t="s">
        <v>591</v>
      </c>
      <c r="L160" s="276" t="s">
        <v>592</v>
      </c>
      <c r="M160" s="276" t="s">
        <v>1343</v>
      </c>
      <c r="N160" s="276" t="s">
        <v>594</v>
      </c>
    </row>
    <row r="161" spans="1:14" ht="84">
      <c r="A161" s="268" t="str">
        <f t="shared" si="2"/>
        <v>Communication &amp; Deal with Others|Analyst|2</v>
      </c>
      <c r="B161" s="223" t="s">
        <v>567</v>
      </c>
      <c r="C161" s="197" t="s">
        <v>6</v>
      </c>
      <c r="D161" s="79">
        <v>2</v>
      </c>
      <c r="E161" s="79" t="s">
        <v>605</v>
      </c>
      <c r="F161" s="79">
        <v>1</v>
      </c>
      <c r="G161" s="276" t="s">
        <v>1344</v>
      </c>
      <c r="H161" s="276" t="s">
        <v>1345</v>
      </c>
      <c r="I161" s="276" t="s">
        <v>1346</v>
      </c>
      <c r="J161" s="276" t="s">
        <v>1347</v>
      </c>
      <c r="K161" s="276" t="s">
        <v>591</v>
      </c>
      <c r="L161" s="276" t="s">
        <v>592</v>
      </c>
      <c r="M161" s="276" t="s">
        <v>1348</v>
      </c>
      <c r="N161" s="276" t="s">
        <v>611</v>
      </c>
    </row>
    <row r="162" spans="1:14" ht="67.150000000000006">
      <c r="A162" s="268" t="str">
        <f t="shared" si="2"/>
        <v>Communication &amp; Deal with Others|Analyst|2</v>
      </c>
      <c r="B162" s="223" t="s">
        <v>567</v>
      </c>
      <c r="C162" s="197" t="s">
        <v>6</v>
      </c>
      <c r="D162" s="79">
        <v>2</v>
      </c>
      <c r="E162" s="79" t="s">
        <v>605</v>
      </c>
      <c r="F162" s="79">
        <v>2</v>
      </c>
      <c r="G162" s="276" t="s">
        <v>1349</v>
      </c>
      <c r="H162" s="276" t="s">
        <v>1350</v>
      </c>
      <c r="I162" s="276" t="s">
        <v>1351</v>
      </c>
      <c r="J162" s="276" t="s">
        <v>1352</v>
      </c>
      <c r="K162" s="276" t="s">
        <v>591</v>
      </c>
      <c r="L162" s="276" t="s">
        <v>592</v>
      </c>
      <c r="M162" s="276" t="s">
        <v>1353</v>
      </c>
      <c r="N162" s="276" t="s">
        <v>622</v>
      </c>
    </row>
    <row r="163" spans="1:14" ht="67.150000000000006">
      <c r="A163" s="268" t="str">
        <f t="shared" si="2"/>
        <v>Communication &amp; Deal with Others|Analyst|2</v>
      </c>
      <c r="B163" s="223" t="s">
        <v>567</v>
      </c>
      <c r="C163" s="197" t="s">
        <v>6</v>
      </c>
      <c r="D163" s="79">
        <v>2</v>
      </c>
      <c r="E163" s="79" t="s">
        <v>605</v>
      </c>
      <c r="F163" s="79">
        <v>3</v>
      </c>
      <c r="G163" s="276" t="s">
        <v>1354</v>
      </c>
      <c r="H163" s="276" t="s">
        <v>1355</v>
      </c>
      <c r="I163" s="276" t="s">
        <v>1356</v>
      </c>
      <c r="J163" s="276" t="s">
        <v>1357</v>
      </c>
      <c r="K163" s="276" t="s">
        <v>591</v>
      </c>
      <c r="L163" s="276" t="s">
        <v>592</v>
      </c>
      <c r="M163" s="276" t="s">
        <v>1358</v>
      </c>
      <c r="N163" s="276" t="s">
        <v>1359</v>
      </c>
    </row>
    <row r="164" spans="1:14" ht="100.9">
      <c r="A164" s="268" t="str">
        <f t="shared" si="2"/>
        <v>Communication &amp; Deal with Others|Analyst|3</v>
      </c>
      <c r="B164" s="223" t="s">
        <v>567</v>
      </c>
      <c r="C164" s="197" t="s">
        <v>6</v>
      </c>
      <c r="D164" s="79">
        <v>3</v>
      </c>
      <c r="E164" s="79" t="s">
        <v>623</v>
      </c>
      <c r="F164" s="79">
        <v>1</v>
      </c>
      <c r="G164" s="276" t="s">
        <v>1360</v>
      </c>
      <c r="H164" s="276" t="s">
        <v>1361</v>
      </c>
      <c r="I164" s="276" t="s">
        <v>1362</v>
      </c>
      <c r="J164" s="276" t="s">
        <v>1363</v>
      </c>
      <c r="K164" s="276" t="s">
        <v>591</v>
      </c>
      <c r="L164" s="276" t="s">
        <v>592</v>
      </c>
      <c r="M164" s="276" t="s">
        <v>1364</v>
      </c>
      <c r="N164" s="276" t="s">
        <v>594</v>
      </c>
    </row>
    <row r="165" spans="1:14" ht="84">
      <c r="A165" s="268" t="str">
        <f t="shared" si="2"/>
        <v>Communication &amp; Deal with Others|Analyst|3</v>
      </c>
      <c r="B165" s="223" t="s">
        <v>567</v>
      </c>
      <c r="C165" s="197" t="s">
        <v>6</v>
      </c>
      <c r="D165" s="79">
        <v>3</v>
      </c>
      <c r="E165" s="79" t="s">
        <v>623</v>
      </c>
      <c r="F165" s="79">
        <v>2</v>
      </c>
      <c r="G165" s="276" t="s">
        <v>1365</v>
      </c>
      <c r="H165" s="276" t="s">
        <v>1366</v>
      </c>
      <c r="I165" s="276" t="s">
        <v>1367</v>
      </c>
      <c r="J165" s="276" t="s">
        <v>1368</v>
      </c>
      <c r="K165" s="276" t="s">
        <v>591</v>
      </c>
      <c r="L165" s="276" t="s">
        <v>592</v>
      </c>
      <c r="M165" s="276" t="s">
        <v>1369</v>
      </c>
      <c r="N165" s="276" t="s">
        <v>622</v>
      </c>
    </row>
    <row r="166" spans="1:14" ht="117.6">
      <c r="A166" s="268" t="str">
        <f t="shared" si="2"/>
        <v>Communication &amp; Deal with Others|Analyst|3</v>
      </c>
      <c r="B166" s="223" t="s">
        <v>567</v>
      </c>
      <c r="C166" s="197" t="s">
        <v>6</v>
      </c>
      <c r="D166" s="79">
        <v>3</v>
      </c>
      <c r="E166" s="79" t="s">
        <v>623</v>
      </c>
      <c r="F166" s="79">
        <v>3</v>
      </c>
      <c r="G166" s="276" t="s">
        <v>1370</v>
      </c>
      <c r="H166" s="276" t="s">
        <v>1371</v>
      </c>
      <c r="I166" s="276" t="s">
        <v>1372</v>
      </c>
      <c r="J166" s="276" t="s">
        <v>1008</v>
      </c>
      <c r="K166" s="276" t="s">
        <v>591</v>
      </c>
      <c r="L166" s="276" t="s">
        <v>592</v>
      </c>
      <c r="M166" s="276" t="s">
        <v>1373</v>
      </c>
      <c r="N166" s="276" t="s">
        <v>640</v>
      </c>
    </row>
    <row r="167" spans="1:14" ht="117.6">
      <c r="A167" s="268" t="str">
        <f t="shared" si="2"/>
        <v>Communication &amp; Deal with Others|Analyst|4</v>
      </c>
      <c r="B167" s="223" t="s">
        <v>567</v>
      </c>
      <c r="C167" s="197" t="s">
        <v>6</v>
      </c>
      <c r="D167" s="79">
        <v>4</v>
      </c>
      <c r="E167" s="79" t="s">
        <v>641</v>
      </c>
      <c r="F167" s="79">
        <v>1</v>
      </c>
      <c r="G167" s="276" t="s">
        <v>1374</v>
      </c>
      <c r="H167" s="276" t="s">
        <v>1375</v>
      </c>
      <c r="I167" s="276" t="s">
        <v>1376</v>
      </c>
      <c r="J167" s="276" t="s">
        <v>1377</v>
      </c>
      <c r="K167" s="276" t="s">
        <v>591</v>
      </c>
      <c r="L167" s="276" t="s">
        <v>592</v>
      </c>
      <c r="M167" s="276" t="s">
        <v>1378</v>
      </c>
      <c r="N167" s="276" t="s">
        <v>622</v>
      </c>
    </row>
    <row r="168" spans="1:14" ht="117.6">
      <c r="A168" s="268" t="str">
        <f t="shared" si="2"/>
        <v>Communication &amp; Deal with Others|Analyst|4</v>
      </c>
      <c r="B168" s="223" t="s">
        <v>567</v>
      </c>
      <c r="C168" s="197" t="s">
        <v>6</v>
      </c>
      <c r="D168" s="79">
        <v>4</v>
      </c>
      <c r="E168" s="79" t="s">
        <v>641</v>
      </c>
      <c r="F168" s="79">
        <v>2</v>
      </c>
      <c r="G168" s="276" t="s">
        <v>1379</v>
      </c>
      <c r="H168" s="276" t="s">
        <v>1380</v>
      </c>
      <c r="I168" s="276" t="s">
        <v>1381</v>
      </c>
      <c r="J168" s="276" t="s">
        <v>1382</v>
      </c>
      <c r="K168" s="276" t="s">
        <v>591</v>
      </c>
      <c r="L168" s="276" t="s">
        <v>592</v>
      </c>
      <c r="M168" s="276" t="s">
        <v>1383</v>
      </c>
      <c r="N168" s="276" t="s">
        <v>622</v>
      </c>
    </row>
    <row r="169" spans="1:14" ht="117.6">
      <c r="A169" s="268" t="str">
        <f t="shared" si="2"/>
        <v>Communication &amp; Deal with Others|Analyst|4</v>
      </c>
      <c r="B169" s="223" t="s">
        <v>567</v>
      </c>
      <c r="C169" s="197" t="s">
        <v>6</v>
      </c>
      <c r="D169" s="79">
        <v>4</v>
      </c>
      <c r="E169" s="79" t="s">
        <v>641</v>
      </c>
      <c r="F169" s="79">
        <v>3</v>
      </c>
      <c r="G169" s="276" t="s">
        <v>1384</v>
      </c>
      <c r="H169" s="276" t="s">
        <v>1385</v>
      </c>
      <c r="I169" s="276" t="s">
        <v>1386</v>
      </c>
      <c r="J169" s="276" t="s">
        <v>1387</v>
      </c>
      <c r="K169" s="276" t="s">
        <v>591</v>
      </c>
      <c r="L169" s="276" t="s">
        <v>592</v>
      </c>
      <c r="M169" s="276" t="s">
        <v>1388</v>
      </c>
      <c r="N169" s="276" t="s">
        <v>622</v>
      </c>
    </row>
    <row r="170" spans="1:14" ht="117.6">
      <c r="A170" s="268" t="str">
        <f t="shared" si="2"/>
        <v>Communication &amp; Deal with Others|Unit Head/Specialist|1</v>
      </c>
      <c r="B170" s="223" t="s">
        <v>567</v>
      </c>
      <c r="C170" s="79" t="s">
        <v>13</v>
      </c>
      <c r="D170" s="197">
        <v>1</v>
      </c>
      <c r="E170" s="79" t="s">
        <v>586</v>
      </c>
      <c r="F170" s="79">
        <v>1</v>
      </c>
      <c r="G170" s="276" t="s">
        <v>1389</v>
      </c>
      <c r="H170" s="276" t="s">
        <v>1390</v>
      </c>
      <c r="I170" s="276" t="s">
        <v>1391</v>
      </c>
      <c r="J170" s="276" t="s">
        <v>1392</v>
      </c>
      <c r="K170" s="276" t="s">
        <v>591</v>
      </c>
      <c r="L170" s="276" t="s">
        <v>592</v>
      </c>
      <c r="M170" s="276" t="s">
        <v>1393</v>
      </c>
      <c r="N170" s="276" t="s">
        <v>594</v>
      </c>
    </row>
    <row r="171" spans="1:14" ht="100.9">
      <c r="A171" s="268" t="str">
        <f t="shared" si="2"/>
        <v>Communication &amp; Deal with Others|Unit Head/Specialist|1</v>
      </c>
      <c r="B171" s="223" t="s">
        <v>567</v>
      </c>
      <c r="C171" s="79" t="s">
        <v>13</v>
      </c>
      <c r="D171" s="197">
        <v>1</v>
      </c>
      <c r="E171" s="79" t="s">
        <v>586</v>
      </c>
      <c r="F171" s="79">
        <v>2</v>
      </c>
      <c r="G171" s="276" t="s">
        <v>1394</v>
      </c>
      <c r="H171" s="276" t="s">
        <v>1395</v>
      </c>
      <c r="I171" s="276" t="s">
        <v>1396</v>
      </c>
      <c r="J171" s="276" t="s">
        <v>1397</v>
      </c>
      <c r="K171" s="276" t="s">
        <v>591</v>
      </c>
      <c r="L171" s="276" t="s">
        <v>592</v>
      </c>
      <c r="M171" s="276" t="s">
        <v>1398</v>
      </c>
      <c r="N171" s="276" t="s">
        <v>594</v>
      </c>
    </row>
    <row r="172" spans="1:14" ht="84">
      <c r="A172" s="268" t="str">
        <f t="shared" si="2"/>
        <v>Communication &amp; Deal with Others|Unit Head/Specialist|1</v>
      </c>
      <c r="B172" s="223" t="s">
        <v>567</v>
      </c>
      <c r="C172" s="79" t="s">
        <v>13</v>
      </c>
      <c r="D172" s="197">
        <v>1</v>
      </c>
      <c r="E172" s="79" t="s">
        <v>586</v>
      </c>
      <c r="F172" s="79">
        <v>3</v>
      </c>
      <c r="G172" s="276" t="s">
        <v>1399</v>
      </c>
      <c r="H172" s="276" t="s">
        <v>1400</v>
      </c>
      <c r="I172" s="276" t="s">
        <v>1401</v>
      </c>
      <c r="J172" s="276" t="s">
        <v>1402</v>
      </c>
      <c r="K172" s="276" t="s">
        <v>591</v>
      </c>
      <c r="L172" s="276" t="s">
        <v>592</v>
      </c>
      <c r="M172" s="276" t="s">
        <v>1403</v>
      </c>
      <c r="N172" s="276" t="s">
        <v>594</v>
      </c>
    </row>
    <row r="173" spans="1:14" ht="84">
      <c r="A173" s="268" t="str">
        <f t="shared" si="2"/>
        <v>Communication &amp; Deal with Others|Unit Head/Specialist|2</v>
      </c>
      <c r="B173" s="223" t="s">
        <v>567</v>
      </c>
      <c r="C173" s="79" t="s">
        <v>13</v>
      </c>
      <c r="D173" s="79">
        <v>2</v>
      </c>
      <c r="E173" s="79" t="s">
        <v>605</v>
      </c>
      <c r="F173" s="79">
        <v>1</v>
      </c>
      <c r="G173" s="276" t="s">
        <v>1404</v>
      </c>
      <c r="H173" s="276" t="s">
        <v>1405</v>
      </c>
      <c r="I173" s="276" t="s">
        <v>1406</v>
      </c>
      <c r="J173" s="276" t="s">
        <v>1407</v>
      </c>
      <c r="K173" s="276" t="s">
        <v>591</v>
      </c>
      <c r="L173" s="276" t="s">
        <v>592</v>
      </c>
      <c r="M173" s="276" t="s">
        <v>1408</v>
      </c>
      <c r="N173" s="276" t="s">
        <v>611</v>
      </c>
    </row>
    <row r="174" spans="1:14" ht="67.150000000000006">
      <c r="A174" s="268" t="str">
        <f t="shared" si="2"/>
        <v>Communication &amp; Deal with Others|Unit Head/Specialist|2</v>
      </c>
      <c r="B174" s="223" t="s">
        <v>567</v>
      </c>
      <c r="C174" s="79" t="s">
        <v>13</v>
      </c>
      <c r="D174" s="79">
        <v>2</v>
      </c>
      <c r="E174" s="79" t="s">
        <v>605</v>
      </c>
      <c r="F174" s="79">
        <v>2</v>
      </c>
      <c r="G174" s="276" t="s">
        <v>1409</v>
      </c>
      <c r="H174" s="276" t="s">
        <v>1410</v>
      </c>
      <c r="I174" s="276" t="s">
        <v>1411</v>
      </c>
      <c r="J174" s="276" t="s">
        <v>1412</v>
      </c>
      <c r="K174" s="276" t="s">
        <v>591</v>
      </c>
      <c r="L174" s="276" t="s">
        <v>592</v>
      </c>
      <c r="M174" s="276" t="s">
        <v>1413</v>
      </c>
      <c r="N174" s="276" t="s">
        <v>594</v>
      </c>
    </row>
    <row r="175" spans="1:14" ht="84">
      <c r="A175" s="268" t="str">
        <f t="shared" si="2"/>
        <v>Communication &amp; Deal with Others|Unit Head/Specialist|2</v>
      </c>
      <c r="B175" s="223" t="s">
        <v>567</v>
      </c>
      <c r="C175" s="79" t="s">
        <v>13</v>
      </c>
      <c r="D175" s="79">
        <v>2</v>
      </c>
      <c r="E175" s="79" t="s">
        <v>605</v>
      </c>
      <c r="F175" s="79">
        <v>3</v>
      </c>
      <c r="G175" s="276" t="s">
        <v>1414</v>
      </c>
      <c r="H175" s="276" t="s">
        <v>1415</v>
      </c>
      <c r="I175" s="276" t="s">
        <v>1416</v>
      </c>
      <c r="J175" s="276" t="s">
        <v>1417</v>
      </c>
      <c r="K175" s="276" t="s">
        <v>591</v>
      </c>
      <c r="L175" s="276" t="s">
        <v>592</v>
      </c>
      <c r="M175" s="276" t="s">
        <v>1418</v>
      </c>
      <c r="N175" s="276" t="s">
        <v>622</v>
      </c>
    </row>
    <row r="176" spans="1:14" ht="100.9">
      <c r="A176" s="268" t="str">
        <f t="shared" si="2"/>
        <v>Communication &amp; Deal with Others|Unit Head/Specialist|3</v>
      </c>
      <c r="B176" s="223" t="s">
        <v>567</v>
      </c>
      <c r="C176" s="79" t="s">
        <v>13</v>
      </c>
      <c r="D176" s="79">
        <v>3</v>
      </c>
      <c r="E176" s="79" t="s">
        <v>623</v>
      </c>
      <c r="F176" s="79">
        <v>1</v>
      </c>
      <c r="G176" s="276" t="s">
        <v>1419</v>
      </c>
      <c r="H176" s="276" t="s">
        <v>1420</v>
      </c>
      <c r="I176" s="276" t="s">
        <v>1421</v>
      </c>
      <c r="J176" s="276" t="s">
        <v>1422</v>
      </c>
      <c r="K176" s="276" t="s">
        <v>591</v>
      </c>
      <c r="L176" s="276" t="s">
        <v>592</v>
      </c>
      <c r="M176" s="276" t="s">
        <v>1423</v>
      </c>
      <c r="N176" s="276" t="s">
        <v>594</v>
      </c>
    </row>
    <row r="177" spans="1:14" ht="100.9">
      <c r="A177" s="268" t="str">
        <f t="shared" si="2"/>
        <v>Communication &amp; Deal with Others|Unit Head/Specialist|3</v>
      </c>
      <c r="B177" s="223" t="s">
        <v>567</v>
      </c>
      <c r="C177" s="79" t="s">
        <v>13</v>
      </c>
      <c r="D177" s="79">
        <v>3</v>
      </c>
      <c r="E177" s="79" t="s">
        <v>623</v>
      </c>
      <c r="F177" s="79">
        <v>2</v>
      </c>
      <c r="G177" s="276" t="s">
        <v>1424</v>
      </c>
      <c r="H177" s="276" t="s">
        <v>1425</v>
      </c>
      <c r="I177" s="276" t="s">
        <v>1426</v>
      </c>
      <c r="J177" s="276" t="s">
        <v>1427</v>
      </c>
      <c r="K177" s="276" t="s">
        <v>591</v>
      </c>
      <c r="L177" s="276" t="s">
        <v>592</v>
      </c>
      <c r="M177" s="276" t="s">
        <v>1428</v>
      </c>
      <c r="N177" s="276" t="s">
        <v>622</v>
      </c>
    </row>
    <row r="178" spans="1:14" ht="134.44999999999999">
      <c r="A178" s="268" t="str">
        <f t="shared" si="2"/>
        <v>Communication &amp; Deal with Others|Unit Head/Specialist|3</v>
      </c>
      <c r="B178" s="223" t="s">
        <v>567</v>
      </c>
      <c r="C178" s="79" t="s">
        <v>13</v>
      </c>
      <c r="D178" s="79">
        <v>3</v>
      </c>
      <c r="E178" s="79" t="s">
        <v>623</v>
      </c>
      <c r="F178" s="79">
        <v>3</v>
      </c>
      <c r="G178" s="276" t="s">
        <v>1429</v>
      </c>
      <c r="H178" s="276" t="s">
        <v>1430</v>
      </c>
      <c r="I178" s="276" t="s">
        <v>1431</v>
      </c>
      <c r="J178" s="276" t="s">
        <v>1008</v>
      </c>
      <c r="K178" s="276" t="s">
        <v>591</v>
      </c>
      <c r="L178" s="276" t="s">
        <v>592</v>
      </c>
      <c r="M178" s="276" t="s">
        <v>1432</v>
      </c>
      <c r="N178" s="276" t="s">
        <v>640</v>
      </c>
    </row>
    <row r="179" spans="1:14" ht="100.9">
      <c r="A179" s="268" t="str">
        <f t="shared" si="2"/>
        <v>Communication &amp; Deal with Others|Unit Head/Specialist|4</v>
      </c>
      <c r="B179" s="223" t="s">
        <v>567</v>
      </c>
      <c r="C179" s="79" t="s">
        <v>13</v>
      </c>
      <c r="D179" s="79">
        <v>4</v>
      </c>
      <c r="E179" s="79" t="s">
        <v>641</v>
      </c>
      <c r="F179" s="79">
        <v>1</v>
      </c>
      <c r="G179" s="276" t="s">
        <v>1433</v>
      </c>
      <c r="H179" s="276" t="s">
        <v>1434</v>
      </c>
      <c r="I179" s="276" t="s">
        <v>1435</v>
      </c>
      <c r="J179" s="276" t="s">
        <v>1436</v>
      </c>
      <c r="K179" s="276" t="s">
        <v>591</v>
      </c>
      <c r="L179" s="276" t="s">
        <v>592</v>
      </c>
      <c r="M179" s="276" t="s">
        <v>1437</v>
      </c>
      <c r="N179" s="276" t="s">
        <v>622</v>
      </c>
    </row>
    <row r="180" spans="1:14" ht="100.9">
      <c r="A180" s="268" t="str">
        <f t="shared" si="2"/>
        <v>Communication &amp; Deal with Others|Unit Head/Specialist|4</v>
      </c>
      <c r="B180" s="223" t="s">
        <v>567</v>
      </c>
      <c r="C180" s="79" t="s">
        <v>13</v>
      </c>
      <c r="D180" s="79">
        <v>4</v>
      </c>
      <c r="E180" s="79" t="s">
        <v>641</v>
      </c>
      <c r="F180" s="79">
        <v>2</v>
      </c>
      <c r="G180" s="276" t="s">
        <v>1438</v>
      </c>
      <c r="H180" s="276" t="s">
        <v>1439</v>
      </c>
      <c r="I180" s="276" t="s">
        <v>1440</v>
      </c>
      <c r="J180" s="276" t="s">
        <v>1441</v>
      </c>
      <c r="K180" s="276" t="s">
        <v>591</v>
      </c>
      <c r="L180" s="276" t="s">
        <v>592</v>
      </c>
      <c r="M180" s="276" t="s">
        <v>1442</v>
      </c>
      <c r="N180" s="276" t="s">
        <v>622</v>
      </c>
    </row>
    <row r="181" spans="1:14" ht="117.6">
      <c r="A181" s="268" t="str">
        <f t="shared" si="2"/>
        <v>Communication &amp; Deal with Others|Unit Head/Specialist|4</v>
      </c>
      <c r="B181" s="223" t="s">
        <v>567</v>
      </c>
      <c r="C181" s="79" t="s">
        <v>13</v>
      </c>
      <c r="D181" s="79">
        <v>4</v>
      </c>
      <c r="E181" s="79" t="s">
        <v>641</v>
      </c>
      <c r="F181" s="79">
        <v>3</v>
      </c>
      <c r="G181" s="276" t="s">
        <v>1443</v>
      </c>
      <c r="H181" s="276" t="s">
        <v>1444</v>
      </c>
      <c r="I181" s="276" t="s">
        <v>1445</v>
      </c>
      <c r="J181" s="276" t="s">
        <v>1446</v>
      </c>
      <c r="K181" s="276" t="s">
        <v>591</v>
      </c>
      <c r="L181" s="276" t="s">
        <v>592</v>
      </c>
      <c r="M181" s="276" t="s">
        <v>1447</v>
      </c>
      <c r="N181" s="276" t="s">
        <v>622</v>
      </c>
    </row>
    <row r="182" spans="1:14" ht="66">
      <c r="A182" s="268" t="str">
        <f t="shared" si="2"/>
        <v>Communication &amp; Deal with Others|Department Head|1</v>
      </c>
      <c r="B182" s="223" t="s">
        <v>567</v>
      </c>
      <c r="C182" s="79" t="s">
        <v>779</v>
      </c>
      <c r="D182" s="197">
        <v>1</v>
      </c>
      <c r="E182" s="79" t="s">
        <v>586</v>
      </c>
      <c r="F182" s="79">
        <v>1</v>
      </c>
      <c r="G182" s="128" t="s">
        <v>1448</v>
      </c>
      <c r="H182" s="128" t="s">
        <v>1449</v>
      </c>
      <c r="I182" s="128" t="s">
        <v>1450</v>
      </c>
      <c r="J182" s="128" t="s">
        <v>1451</v>
      </c>
      <c r="K182" s="128" t="s">
        <v>591</v>
      </c>
      <c r="L182" s="128" t="s">
        <v>592</v>
      </c>
      <c r="M182" s="128" t="s">
        <v>1452</v>
      </c>
      <c r="N182" s="128" t="s">
        <v>594</v>
      </c>
    </row>
    <row r="183" spans="1:14" ht="66">
      <c r="A183" s="268" t="str">
        <f t="shared" si="2"/>
        <v>Communication &amp; Deal with Others|Department Head|1</v>
      </c>
      <c r="B183" s="223" t="s">
        <v>567</v>
      </c>
      <c r="C183" s="79" t="s">
        <v>779</v>
      </c>
      <c r="D183" s="197">
        <v>1</v>
      </c>
      <c r="E183" s="79" t="s">
        <v>586</v>
      </c>
      <c r="F183" s="79">
        <v>2</v>
      </c>
      <c r="G183" s="128" t="s">
        <v>1453</v>
      </c>
      <c r="H183" s="128" t="s">
        <v>1454</v>
      </c>
      <c r="I183" s="128" t="s">
        <v>1455</v>
      </c>
      <c r="J183" s="128" t="s">
        <v>1456</v>
      </c>
      <c r="K183" s="128" t="s">
        <v>591</v>
      </c>
      <c r="L183" s="128" t="s">
        <v>592</v>
      </c>
      <c r="M183" s="128" t="s">
        <v>1457</v>
      </c>
      <c r="N183" s="128" t="s">
        <v>594</v>
      </c>
    </row>
    <row r="184" spans="1:14" ht="79.150000000000006">
      <c r="A184" s="268" t="str">
        <f t="shared" si="2"/>
        <v>Communication &amp; Deal with Others|Department Head|1</v>
      </c>
      <c r="B184" s="223" t="s">
        <v>567</v>
      </c>
      <c r="C184" s="79" t="s">
        <v>779</v>
      </c>
      <c r="D184" s="197">
        <v>1</v>
      </c>
      <c r="E184" s="79" t="s">
        <v>586</v>
      </c>
      <c r="F184" s="79">
        <v>3</v>
      </c>
      <c r="G184" s="128" t="s">
        <v>1458</v>
      </c>
      <c r="H184" s="128" t="s">
        <v>1459</v>
      </c>
      <c r="I184" s="128" t="s">
        <v>1460</v>
      </c>
      <c r="J184" s="128" t="s">
        <v>1461</v>
      </c>
      <c r="K184" s="128" t="s">
        <v>591</v>
      </c>
      <c r="L184" s="128" t="s">
        <v>592</v>
      </c>
      <c r="M184" s="128" t="s">
        <v>1462</v>
      </c>
      <c r="N184" s="128" t="s">
        <v>622</v>
      </c>
    </row>
    <row r="185" spans="1:14" ht="66">
      <c r="A185" s="268" t="str">
        <f t="shared" si="2"/>
        <v>Communication &amp; Deal with Others|Department Head|2</v>
      </c>
      <c r="B185" s="223" t="s">
        <v>567</v>
      </c>
      <c r="C185" s="79" t="s">
        <v>779</v>
      </c>
      <c r="D185" s="79">
        <v>2</v>
      </c>
      <c r="E185" s="79" t="s">
        <v>605</v>
      </c>
      <c r="F185" s="79">
        <v>1</v>
      </c>
      <c r="G185" s="128" t="s">
        <v>1463</v>
      </c>
      <c r="H185" s="128" t="s">
        <v>1464</v>
      </c>
      <c r="I185" s="128" t="s">
        <v>1465</v>
      </c>
      <c r="J185" s="128" t="s">
        <v>1466</v>
      </c>
      <c r="K185" s="128" t="s">
        <v>591</v>
      </c>
      <c r="L185" s="128" t="s">
        <v>592</v>
      </c>
      <c r="M185" s="128" t="s">
        <v>1467</v>
      </c>
      <c r="N185" s="128" t="s">
        <v>611</v>
      </c>
    </row>
    <row r="186" spans="1:14" ht="39.6">
      <c r="A186" s="268" t="str">
        <f t="shared" si="2"/>
        <v>Communication &amp; Deal with Others|Department Head|2</v>
      </c>
      <c r="B186" s="223" t="s">
        <v>567</v>
      </c>
      <c r="C186" s="79" t="s">
        <v>779</v>
      </c>
      <c r="D186" s="79">
        <v>2</v>
      </c>
      <c r="E186" s="79" t="s">
        <v>605</v>
      </c>
      <c r="F186" s="79">
        <v>2</v>
      </c>
      <c r="G186" s="128" t="s">
        <v>1468</v>
      </c>
      <c r="H186" s="128" t="s">
        <v>1469</v>
      </c>
      <c r="I186" s="128" t="s">
        <v>1470</v>
      </c>
      <c r="J186" s="128" t="s">
        <v>1471</v>
      </c>
      <c r="K186" s="128" t="s">
        <v>591</v>
      </c>
      <c r="L186" s="128" t="s">
        <v>592</v>
      </c>
      <c r="M186" s="128" t="s">
        <v>1472</v>
      </c>
      <c r="N186" s="128" t="s">
        <v>594</v>
      </c>
    </row>
    <row r="187" spans="1:14" ht="52.9">
      <c r="A187" s="268" t="str">
        <f t="shared" si="2"/>
        <v>Communication &amp; Deal with Others|Department Head|2</v>
      </c>
      <c r="B187" s="223" t="s">
        <v>567</v>
      </c>
      <c r="C187" s="79" t="s">
        <v>779</v>
      </c>
      <c r="D187" s="79">
        <v>2</v>
      </c>
      <c r="E187" s="79" t="s">
        <v>605</v>
      </c>
      <c r="F187" s="79">
        <v>3</v>
      </c>
      <c r="G187" s="128" t="s">
        <v>1473</v>
      </c>
      <c r="H187" s="128" t="s">
        <v>1474</v>
      </c>
      <c r="I187" s="128" t="s">
        <v>1475</v>
      </c>
      <c r="J187" s="128" t="s">
        <v>1476</v>
      </c>
      <c r="K187" s="128" t="s">
        <v>591</v>
      </c>
      <c r="L187" s="128" t="s">
        <v>592</v>
      </c>
      <c r="M187" s="128" t="s">
        <v>1477</v>
      </c>
      <c r="N187" s="128" t="s">
        <v>622</v>
      </c>
    </row>
    <row r="188" spans="1:14" ht="66">
      <c r="A188" s="268" t="str">
        <f t="shared" si="2"/>
        <v>Communication &amp; Deal with Others|Department Head|3</v>
      </c>
      <c r="B188" s="223" t="s">
        <v>567</v>
      </c>
      <c r="C188" s="79" t="s">
        <v>779</v>
      </c>
      <c r="D188" s="79">
        <v>3</v>
      </c>
      <c r="E188" s="79" t="s">
        <v>623</v>
      </c>
      <c r="F188" s="79">
        <v>1</v>
      </c>
      <c r="G188" s="128" t="s">
        <v>1478</v>
      </c>
      <c r="H188" s="128" t="s">
        <v>1479</v>
      </c>
      <c r="I188" s="128" t="s">
        <v>1480</v>
      </c>
      <c r="J188" s="128" t="s">
        <v>1481</v>
      </c>
      <c r="K188" s="128" t="s">
        <v>591</v>
      </c>
      <c r="L188" s="128" t="s">
        <v>592</v>
      </c>
      <c r="M188" s="128" t="s">
        <v>1482</v>
      </c>
      <c r="N188" s="128" t="s">
        <v>594</v>
      </c>
    </row>
    <row r="189" spans="1:14" ht="79.150000000000006">
      <c r="A189" s="268" t="str">
        <f t="shared" si="2"/>
        <v>Communication &amp; Deal with Others|Department Head|3</v>
      </c>
      <c r="B189" s="223" t="s">
        <v>567</v>
      </c>
      <c r="C189" s="79" t="s">
        <v>779</v>
      </c>
      <c r="D189" s="79">
        <v>3</v>
      </c>
      <c r="E189" s="79" t="s">
        <v>623</v>
      </c>
      <c r="F189" s="79">
        <v>2</v>
      </c>
      <c r="G189" s="128" t="s">
        <v>1483</v>
      </c>
      <c r="H189" s="128" t="s">
        <v>1484</v>
      </c>
      <c r="I189" s="128" t="s">
        <v>1485</v>
      </c>
      <c r="J189" s="128" t="s">
        <v>1486</v>
      </c>
      <c r="K189" s="128" t="s">
        <v>591</v>
      </c>
      <c r="L189" s="128" t="s">
        <v>592</v>
      </c>
      <c r="M189" s="128" t="s">
        <v>1487</v>
      </c>
      <c r="N189" s="128" t="s">
        <v>622</v>
      </c>
    </row>
    <row r="190" spans="1:14" ht="92.45">
      <c r="A190" s="268" t="str">
        <f t="shared" si="2"/>
        <v>Communication &amp; Deal with Others|Department Head|3</v>
      </c>
      <c r="B190" s="223" t="s">
        <v>567</v>
      </c>
      <c r="C190" s="79" t="s">
        <v>779</v>
      </c>
      <c r="D190" s="79">
        <v>3</v>
      </c>
      <c r="E190" s="79" t="s">
        <v>623</v>
      </c>
      <c r="F190" s="79">
        <v>3</v>
      </c>
      <c r="G190" s="128" t="s">
        <v>1488</v>
      </c>
      <c r="H190" s="128" t="s">
        <v>1489</v>
      </c>
      <c r="I190" s="128" t="s">
        <v>1490</v>
      </c>
      <c r="J190" s="128" t="s">
        <v>1008</v>
      </c>
      <c r="K190" s="128" t="s">
        <v>591</v>
      </c>
      <c r="L190" s="128" t="s">
        <v>592</v>
      </c>
      <c r="M190" s="128" t="s">
        <v>1491</v>
      </c>
      <c r="N190" s="128" t="s">
        <v>640</v>
      </c>
    </row>
    <row r="191" spans="1:14" ht="79.150000000000006">
      <c r="A191" s="268" t="str">
        <f t="shared" si="2"/>
        <v>Communication &amp; Deal with Others|Department Head|4</v>
      </c>
      <c r="B191" s="223" t="s">
        <v>567</v>
      </c>
      <c r="C191" s="79" t="s">
        <v>779</v>
      </c>
      <c r="D191" s="79">
        <v>4</v>
      </c>
      <c r="E191" s="79" t="s">
        <v>641</v>
      </c>
      <c r="F191" s="79">
        <v>1</v>
      </c>
      <c r="G191" s="128" t="s">
        <v>1492</v>
      </c>
      <c r="H191" s="128" t="s">
        <v>1493</v>
      </c>
      <c r="I191" s="128" t="s">
        <v>1494</v>
      </c>
      <c r="J191" s="128" t="s">
        <v>1495</v>
      </c>
      <c r="K191" s="128" t="s">
        <v>591</v>
      </c>
      <c r="L191" s="128" t="s">
        <v>592</v>
      </c>
      <c r="M191" s="128" t="s">
        <v>1496</v>
      </c>
      <c r="N191" s="128" t="s">
        <v>622</v>
      </c>
    </row>
    <row r="192" spans="1:14" ht="79.150000000000006">
      <c r="A192" s="268" t="str">
        <f t="shared" si="2"/>
        <v>Communication &amp; Deal with Others|Department Head|4</v>
      </c>
      <c r="B192" s="223" t="s">
        <v>567</v>
      </c>
      <c r="C192" s="79" t="s">
        <v>779</v>
      </c>
      <c r="D192" s="79">
        <v>4</v>
      </c>
      <c r="E192" s="79" t="s">
        <v>641</v>
      </c>
      <c r="F192" s="79">
        <v>2</v>
      </c>
      <c r="G192" s="128" t="s">
        <v>1497</v>
      </c>
      <c r="H192" s="128" t="s">
        <v>1498</v>
      </c>
      <c r="I192" s="128" t="s">
        <v>1499</v>
      </c>
      <c r="J192" s="128" t="s">
        <v>1500</v>
      </c>
      <c r="K192" s="128" t="s">
        <v>591</v>
      </c>
      <c r="L192" s="128" t="s">
        <v>592</v>
      </c>
      <c r="M192" s="128" t="s">
        <v>1501</v>
      </c>
      <c r="N192" s="128" t="s">
        <v>622</v>
      </c>
    </row>
    <row r="193" spans="1:14" ht="92.45">
      <c r="A193" s="268" t="str">
        <f t="shared" si="2"/>
        <v>Communication &amp; Deal with Others|Department Head|4</v>
      </c>
      <c r="B193" s="223" t="s">
        <v>567</v>
      </c>
      <c r="C193" s="79" t="s">
        <v>779</v>
      </c>
      <c r="D193" s="79">
        <v>4</v>
      </c>
      <c r="E193" s="79" t="s">
        <v>641</v>
      </c>
      <c r="F193" s="79">
        <v>3</v>
      </c>
      <c r="G193" s="128" t="s">
        <v>1502</v>
      </c>
      <c r="H193" s="128" t="s">
        <v>1503</v>
      </c>
      <c r="I193" s="128" t="s">
        <v>1504</v>
      </c>
      <c r="J193" s="128" t="s">
        <v>1505</v>
      </c>
      <c r="K193" s="128" t="s">
        <v>591</v>
      </c>
      <c r="L193" s="128" t="s">
        <v>592</v>
      </c>
      <c r="M193" s="128" t="s">
        <v>1506</v>
      </c>
      <c r="N193" s="128" t="s">
        <v>622</v>
      </c>
    </row>
    <row r="194" spans="1:14" ht="92.45">
      <c r="A194" s="268" t="str">
        <f t="shared" si="2"/>
        <v>Communication &amp; Deal with Others|Division Head|1</v>
      </c>
      <c r="B194" s="223" t="s">
        <v>567</v>
      </c>
      <c r="C194" s="79" t="s">
        <v>838</v>
      </c>
      <c r="D194" s="197">
        <v>1</v>
      </c>
      <c r="E194" s="79" t="s">
        <v>586</v>
      </c>
      <c r="F194" s="79">
        <v>1</v>
      </c>
      <c r="G194" s="277" t="s">
        <v>1507</v>
      </c>
      <c r="H194" s="277" t="s">
        <v>1508</v>
      </c>
      <c r="I194" s="277" t="s">
        <v>1509</v>
      </c>
      <c r="J194" s="277" t="s">
        <v>1510</v>
      </c>
      <c r="K194" s="277" t="s">
        <v>591</v>
      </c>
      <c r="L194" s="277" t="s">
        <v>592</v>
      </c>
      <c r="M194" s="277" t="s">
        <v>1511</v>
      </c>
      <c r="N194" s="277" t="s">
        <v>594</v>
      </c>
    </row>
    <row r="195" spans="1:14" ht="66">
      <c r="A195" s="268" t="str">
        <f t="shared" ref="A195:A258" si="3">B195 &amp; "|" &amp; C195 &amp; "|" &amp; D195</f>
        <v>Communication &amp; Deal with Others|Division Head|1</v>
      </c>
      <c r="B195" s="223" t="s">
        <v>567</v>
      </c>
      <c r="C195" s="79" t="s">
        <v>838</v>
      </c>
      <c r="D195" s="197">
        <v>1</v>
      </c>
      <c r="E195" s="79" t="s">
        <v>586</v>
      </c>
      <c r="F195" s="79">
        <v>2</v>
      </c>
      <c r="G195" s="277" t="s">
        <v>1512</v>
      </c>
      <c r="H195" s="277" t="s">
        <v>1513</v>
      </c>
      <c r="I195" s="277" t="s">
        <v>1514</v>
      </c>
      <c r="J195" s="277" t="s">
        <v>1515</v>
      </c>
      <c r="K195" s="277" t="s">
        <v>591</v>
      </c>
      <c r="L195" s="277" t="s">
        <v>592</v>
      </c>
      <c r="M195" s="277" t="s">
        <v>1516</v>
      </c>
      <c r="N195" s="277" t="s">
        <v>594</v>
      </c>
    </row>
    <row r="196" spans="1:14" ht="52.9">
      <c r="A196" s="268" t="str">
        <f t="shared" si="3"/>
        <v>Communication &amp; Deal with Others|Division Head|1</v>
      </c>
      <c r="B196" s="223" t="s">
        <v>567</v>
      </c>
      <c r="C196" s="79" t="s">
        <v>838</v>
      </c>
      <c r="D196" s="197">
        <v>1</v>
      </c>
      <c r="E196" s="79" t="s">
        <v>586</v>
      </c>
      <c r="F196" s="79">
        <v>3</v>
      </c>
      <c r="G196" s="277" t="s">
        <v>1517</v>
      </c>
      <c r="H196" s="277" t="s">
        <v>1518</v>
      </c>
      <c r="I196" s="277" t="s">
        <v>1519</v>
      </c>
      <c r="J196" s="277" t="s">
        <v>1520</v>
      </c>
      <c r="K196" s="277" t="s">
        <v>591</v>
      </c>
      <c r="L196" s="277" t="s">
        <v>592</v>
      </c>
      <c r="M196" s="277" t="s">
        <v>1521</v>
      </c>
      <c r="N196" s="277" t="s">
        <v>594</v>
      </c>
    </row>
    <row r="197" spans="1:14" ht="66">
      <c r="A197" s="268" t="str">
        <f t="shared" si="3"/>
        <v>Communication &amp; Deal with Others|Division Head|2</v>
      </c>
      <c r="B197" s="223" t="s">
        <v>567</v>
      </c>
      <c r="C197" s="79" t="s">
        <v>838</v>
      </c>
      <c r="D197" s="79">
        <v>2</v>
      </c>
      <c r="E197" s="79" t="s">
        <v>605</v>
      </c>
      <c r="F197" s="79">
        <v>1</v>
      </c>
      <c r="G197" s="277" t="s">
        <v>1522</v>
      </c>
      <c r="H197" s="277" t="s">
        <v>1523</v>
      </c>
      <c r="I197" s="277" t="s">
        <v>1524</v>
      </c>
      <c r="J197" s="277" t="s">
        <v>1525</v>
      </c>
      <c r="K197" s="277" t="s">
        <v>591</v>
      </c>
      <c r="L197" s="277" t="s">
        <v>592</v>
      </c>
      <c r="M197" s="277" t="s">
        <v>1526</v>
      </c>
      <c r="N197" s="277" t="s">
        <v>611</v>
      </c>
    </row>
    <row r="198" spans="1:14" ht="52.9">
      <c r="A198" s="268" t="str">
        <f t="shared" si="3"/>
        <v>Communication &amp; Deal with Others|Division Head|2</v>
      </c>
      <c r="B198" s="223" t="s">
        <v>567</v>
      </c>
      <c r="C198" s="79" t="s">
        <v>838</v>
      </c>
      <c r="D198" s="79">
        <v>2</v>
      </c>
      <c r="E198" s="79" t="s">
        <v>605</v>
      </c>
      <c r="F198" s="79">
        <v>2</v>
      </c>
      <c r="G198" s="277" t="s">
        <v>1527</v>
      </c>
      <c r="H198" s="277" t="s">
        <v>1528</v>
      </c>
      <c r="I198" s="277" t="s">
        <v>1529</v>
      </c>
      <c r="J198" s="277" t="s">
        <v>1530</v>
      </c>
      <c r="K198" s="277" t="s">
        <v>591</v>
      </c>
      <c r="L198" s="277" t="s">
        <v>592</v>
      </c>
      <c r="M198" s="277" t="s">
        <v>1531</v>
      </c>
      <c r="N198" s="277" t="s">
        <v>1532</v>
      </c>
    </row>
    <row r="199" spans="1:14" ht="52.9">
      <c r="A199" s="268" t="str">
        <f t="shared" si="3"/>
        <v>Communication &amp; Deal with Others|Division Head|2</v>
      </c>
      <c r="B199" s="223" t="s">
        <v>567</v>
      </c>
      <c r="C199" s="79" t="s">
        <v>838</v>
      </c>
      <c r="D199" s="79">
        <v>2</v>
      </c>
      <c r="E199" s="79" t="s">
        <v>605</v>
      </c>
      <c r="F199" s="79">
        <v>3</v>
      </c>
      <c r="G199" s="277" t="s">
        <v>1533</v>
      </c>
      <c r="H199" s="277" t="s">
        <v>1534</v>
      </c>
      <c r="I199" s="277" t="s">
        <v>1535</v>
      </c>
      <c r="J199" s="277" t="s">
        <v>1536</v>
      </c>
      <c r="K199" s="277" t="s">
        <v>591</v>
      </c>
      <c r="L199" s="277" t="s">
        <v>592</v>
      </c>
      <c r="M199" s="277" t="s">
        <v>1537</v>
      </c>
      <c r="N199" s="277" t="s">
        <v>594</v>
      </c>
    </row>
    <row r="200" spans="1:14" ht="79.150000000000006">
      <c r="A200" s="268" t="str">
        <f t="shared" si="3"/>
        <v>Communication &amp; Deal with Others|Division Head|3</v>
      </c>
      <c r="B200" s="223" t="s">
        <v>567</v>
      </c>
      <c r="C200" s="79" t="s">
        <v>838</v>
      </c>
      <c r="D200" s="79">
        <v>3</v>
      </c>
      <c r="E200" s="79" t="s">
        <v>623</v>
      </c>
      <c r="F200" s="79">
        <v>1</v>
      </c>
      <c r="G200" s="277" t="s">
        <v>1538</v>
      </c>
      <c r="H200" s="277" t="s">
        <v>1539</v>
      </c>
      <c r="I200" s="277" t="s">
        <v>1540</v>
      </c>
      <c r="J200" s="277" t="s">
        <v>1541</v>
      </c>
      <c r="K200" s="277" t="s">
        <v>591</v>
      </c>
      <c r="L200" s="277" t="s">
        <v>592</v>
      </c>
      <c r="M200" s="277" t="s">
        <v>1542</v>
      </c>
      <c r="N200" s="277" t="s">
        <v>594</v>
      </c>
    </row>
    <row r="201" spans="1:14" ht="79.150000000000006">
      <c r="A201" s="268" t="str">
        <f t="shared" si="3"/>
        <v>Communication &amp; Deal with Others|Division Head|3</v>
      </c>
      <c r="B201" s="223" t="s">
        <v>567</v>
      </c>
      <c r="C201" s="79" t="s">
        <v>838</v>
      </c>
      <c r="D201" s="79">
        <v>3</v>
      </c>
      <c r="E201" s="79" t="s">
        <v>623</v>
      </c>
      <c r="F201" s="79">
        <v>2</v>
      </c>
      <c r="G201" s="277" t="s">
        <v>1543</v>
      </c>
      <c r="H201" s="277" t="s">
        <v>1544</v>
      </c>
      <c r="I201" s="277" t="s">
        <v>1545</v>
      </c>
      <c r="J201" s="277" t="s">
        <v>1546</v>
      </c>
      <c r="K201" s="277" t="s">
        <v>591</v>
      </c>
      <c r="L201" s="277" t="s">
        <v>592</v>
      </c>
      <c r="M201" s="277" t="s">
        <v>1547</v>
      </c>
      <c r="N201" s="277" t="s">
        <v>622</v>
      </c>
    </row>
    <row r="202" spans="1:14" ht="92.45">
      <c r="A202" s="268" t="str">
        <f t="shared" si="3"/>
        <v>Communication &amp; Deal with Others|Division Head|3</v>
      </c>
      <c r="B202" s="223" t="s">
        <v>567</v>
      </c>
      <c r="C202" s="79" t="s">
        <v>838</v>
      </c>
      <c r="D202" s="79">
        <v>3</v>
      </c>
      <c r="E202" s="79" t="s">
        <v>623</v>
      </c>
      <c r="F202" s="79">
        <v>3</v>
      </c>
      <c r="G202" s="277" t="s">
        <v>1548</v>
      </c>
      <c r="H202" s="277" t="s">
        <v>1549</v>
      </c>
      <c r="I202" s="277" t="s">
        <v>1550</v>
      </c>
      <c r="J202" s="277" t="s">
        <v>1551</v>
      </c>
      <c r="K202" s="277" t="s">
        <v>591</v>
      </c>
      <c r="L202" s="277" t="s">
        <v>592</v>
      </c>
      <c r="M202" s="277" t="s">
        <v>1552</v>
      </c>
      <c r="N202" s="277" t="s">
        <v>640</v>
      </c>
    </row>
    <row r="203" spans="1:14" ht="79.150000000000006">
      <c r="A203" s="268" t="str">
        <f t="shared" si="3"/>
        <v>Communication &amp; Deal with Others|Division Head|4</v>
      </c>
      <c r="B203" s="223" t="s">
        <v>567</v>
      </c>
      <c r="C203" s="79" t="s">
        <v>838</v>
      </c>
      <c r="D203" s="79">
        <v>4</v>
      </c>
      <c r="E203" s="79" t="s">
        <v>641</v>
      </c>
      <c r="F203" s="79">
        <v>1</v>
      </c>
      <c r="G203" s="277" t="s">
        <v>1553</v>
      </c>
      <c r="H203" s="277" t="s">
        <v>1554</v>
      </c>
      <c r="I203" s="277" t="s">
        <v>1555</v>
      </c>
      <c r="J203" s="277" t="s">
        <v>1556</v>
      </c>
      <c r="K203" s="277" t="s">
        <v>591</v>
      </c>
      <c r="L203" s="277" t="s">
        <v>592</v>
      </c>
      <c r="M203" s="277" t="s">
        <v>1557</v>
      </c>
      <c r="N203" s="277" t="s">
        <v>622</v>
      </c>
    </row>
    <row r="204" spans="1:14" ht="92.45">
      <c r="A204" s="268" t="str">
        <f t="shared" si="3"/>
        <v>Communication &amp; Deal with Others|Division Head|4</v>
      </c>
      <c r="B204" s="223" t="s">
        <v>567</v>
      </c>
      <c r="C204" s="79" t="s">
        <v>838</v>
      </c>
      <c r="D204" s="79">
        <v>4</v>
      </c>
      <c r="E204" s="79" t="s">
        <v>641</v>
      </c>
      <c r="F204" s="79">
        <v>2</v>
      </c>
      <c r="G204" s="277" t="s">
        <v>1558</v>
      </c>
      <c r="H204" s="277" t="s">
        <v>1559</v>
      </c>
      <c r="I204" s="277" t="s">
        <v>1560</v>
      </c>
      <c r="J204" s="277" t="s">
        <v>1561</v>
      </c>
      <c r="K204" s="277" t="s">
        <v>591</v>
      </c>
      <c r="L204" s="277" t="s">
        <v>592</v>
      </c>
      <c r="M204" s="277" t="s">
        <v>1562</v>
      </c>
      <c r="N204" s="277" t="s">
        <v>622</v>
      </c>
    </row>
    <row r="205" spans="1:14" ht="79.150000000000006">
      <c r="A205" s="268" t="str">
        <f t="shared" si="3"/>
        <v>Communication &amp; Deal with Others|Division Head|4</v>
      </c>
      <c r="B205" s="223" t="s">
        <v>567</v>
      </c>
      <c r="C205" s="79" t="s">
        <v>838</v>
      </c>
      <c r="D205" s="79">
        <v>4</v>
      </c>
      <c r="E205" s="79" t="s">
        <v>641</v>
      </c>
      <c r="F205" s="79">
        <v>3</v>
      </c>
      <c r="G205" s="277" t="s">
        <v>1563</v>
      </c>
      <c r="H205" s="277" t="s">
        <v>1564</v>
      </c>
      <c r="I205" s="277" t="s">
        <v>1565</v>
      </c>
      <c r="J205" s="277" t="s">
        <v>1566</v>
      </c>
      <c r="K205" s="277" t="s">
        <v>591</v>
      </c>
      <c r="L205" s="277" t="s">
        <v>592</v>
      </c>
      <c r="M205" s="277" t="s">
        <v>1567</v>
      </c>
      <c r="N205" s="277" t="s">
        <v>1568</v>
      </c>
    </row>
    <row r="206" spans="1:14" ht="117.6">
      <c r="A206" s="268" t="str">
        <f t="shared" si="3"/>
        <v>Communication &amp; Deal with Others|Director|1</v>
      </c>
      <c r="B206" s="223" t="s">
        <v>567</v>
      </c>
      <c r="C206" s="79" t="s">
        <v>898</v>
      </c>
      <c r="D206" s="197">
        <v>1</v>
      </c>
      <c r="E206" s="79" t="s">
        <v>586</v>
      </c>
      <c r="F206" s="79">
        <v>1</v>
      </c>
      <c r="G206" s="276" t="s">
        <v>1569</v>
      </c>
      <c r="H206" s="276" t="s">
        <v>1570</v>
      </c>
      <c r="I206" s="276" t="s">
        <v>1571</v>
      </c>
      <c r="J206" s="276" t="s">
        <v>1572</v>
      </c>
      <c r="K206" s="276" t="s">
        <v>591</v>
      </c>
      <c r="L206" s="276" t="s">
        <v>592</v>
      </c>
      <c r="M206" s="276" t="s">
        <v>1573</v>
      </c>
      <c r="N206" s="276" t="s">
        <v>594</v>
      </c>
    </row>
    <row r="207" spans="1:14" ht="84">
      <c r="A207" s="268" t="str">
        <f t="shared" si="3"/>
        <v>Communication &amp; Deal with Others|Director|1</v>
      </c>
      <c r="B207" s="223" t="s">
        <v>567</v>
      </c>
      <c r="C207" s="79" t="s">
        <v>898</v>
      </c>
      <c r="D207" s="197">
        <v>1</v>
      </c>
      <c r="E207" s="79" t="s">
        <v>586</v>
      </c>
      <c r="F207" s="79">
        <v>2</v>
      </c>
      <c r="G207" s="276" t="s">
        <v>1574</v>
      </c>
      <c r="H207" s="276" t="s">
        <v>1575</v>
      </c>
      <c r="I207" s="276" t="s">
        <v>1576</v>
      </c>
      <c r="J207" s="276" t="s">
        <v>1577</v>
      </c>
      <c r="K207" s="276" t="s">
        <v>591</v>
      </c>
      <c r="L207" s="276" t="s">
        <v>592</v>
      </c>
      <c r="M207" s="276" t="s">
        <v>1578</v>
      </c>
      <c r="N207" s="276" t="s">
        <v>594</v>
      </c>
    </row>
    <row r="208" spans="1:14" ht="117.6">
      <c r="A208" s="268" t="str">
        <f t="shared" si="3"/>
        <v>Communication &amp; Deal with Others|Director|1</v>
      </c>
      <c r="B208" s="223" t="s">
        <v>567</v>
      </c>
      <c r="C208" s="79" t="s">
        <v>898</v>
      </c>
      <c r="D208" s="197">
        <v>1</v>
      </c>
      <c r="E208" s="79" t="s">
        <v>586</v>
      </c>
      <c r="F208" s="79">
        <v>3</v>
      </c>
      <c r="G208" s="276" t="s">
        <v>1579</v>
      </c>
      <c r="H208" s="276" t="s">
        <v>1580</v>
      </c>
      <c r="I208" s="276" t="s">
        <v>1581</v>
      </c>
      <c r="J208" s="276" t="s">
        <v>1582</v>
      </c>
      <c r="K208" s="276" t="s">
        <v>591</v>
      </c>
      <c r="L208" s="276" t="s">
        <v>592</v>
      </c>
      <c r="M208" s="276" t="s">
        <v>1583</v>
      </c>
      <c r="N208" s="276" t="s">
        <v>622</v>
      </c>
    </row>
    <row r="209" spans="1:14" ht="100.9">
      <c r="A209" s="268" t="str">
        <f t="shared" si="3"/>
        <v>Communication &amp; Deal with Others|Director|2</v>
      </c>
      <c r="B209" s="223" t="s">
        <v>567</v>
      </c>
      <c r="C209" s="79" t="s">
        <v>898</v>
      </c>
      <c r="D209" s="79">
        <v>2</v>
      </c>
      <c r="E209" s="79" t="s">
        <v>605</v>
      </c>
      <c r="F209" s="79">
        <v>1</v>
      </c>
      <c r="G209" s="276" t="s">
        <v>1584</v>
      </c>
      <c r="H209" s="276" t="s">
        <v>1585</v>
      </c>
      <c r="I209" s="276" t="s">
        <v>1586</v>
      </c>
      <c r="J209" s="276" t="s">
        <v>1587</v>
      </c>
      <c r="K209" s="276" t="s">
        <v>591</v>
      </c>
      <c r="L209" s="276" t="s">
        <v>592</v>
      </c>
      <c r="M209" s="276" t="s">
        <v>1588</v>
      </c>
      <c r="N209" s="276" t="s">
        <v>1589</v>
      </c>
    </row>
    <row r="210" spans="1:14" ht="84">
      <c r="A210" s="268" t="str">
        <f t="shared" si="3"/>
        <v>Communication &amp; Deal with Others|Director|2</v>
      </c>
      <c r="B210" s="223" t="s">
        <v>567</v>
      </c>
      <c r="C210" s="79" t="s">
        <v>898</v>
      </c>
      <c r="D210" s="79">
        <v>2</v>
      </c>
      <c r="E210" s="79" t="s">
        <v>605</v>
      </c>
      <c r="F210" s="79">
        <v>2</v>
      </c>
      <c r="G210" s="276" t="s">
        <v>1590</v>
      </c>
      <c r="H210" s="276" t="s">
        <v>1591</v>
      </c>
      <c r="I210" s="276" t="s">
        <v>1592</v>
      </c>
      <c r="J210" s="276" t="s">
        <v>1593</v>
      </c>
      <c r="K210" s="276" t="s">
        <v>591</v>
      </c>
      <c r="L210" s="276" t="s">
        <v>592</v>
      </c>
      <c r="M210" s="276" t="s">
        <v>1594</v>
      </c>
      <c r="N210" s="276" t="s">
        <v>1595</v>
      </c>
    </row>
    <row r="211" spans="1:14" ht="84">
      <c r="A211" s="268" t="str">
        <f t="shared" si="3"/>
        <v>Communication &amp; Deal with Others|Director|2</v>
      </c>
      <c r="B211" s="223" t="s">
        <v>567</v>
      </c>
      <c r="C211" s="79" t="s">
        <v>898</v>
      </c>
      <c r="D211" s="79">
        <v>2</v>
      </c>
      <c r="E211" s="79" t="s">
        <v>605</v>
      </c>
      <c r="F211" s="79">
        <v>3</v>
      </c>
      <c r="G211" s="276" t="s">
        <v>1596</v>
      </c>
      <c r="H211" s="276" t="s">
        <v>1597</v>
      </c>
      <c r="I211" s="276" t="s">
        <v>1598</v>
      </c>
      <c r="J211" s="276" t="s">
        <v>1599</v>
      </c>
      <c r="K211" s="276" t="s">
        <v>591</v>
      </c>
      <c r="L211" s="276" t="s">
        <v>592</v>
      </c>
      <c r="M211" s="276" t="s">
        <v>1600</v>
      </c>
      <c r="N211" s="276" t="s">
        <v>622</v>
      </c>
    </row>
    <row r="212" spans="1:14" ht="100.9">
      <c r="A212" s="268" t="str">
        <f t="shared" si="3"/>
        <v>Communication &amp; Deal with Others|Director|3</v>
      </c>
      <c r="B212" s="223" t="s">
        <v>567</v>
      </c>
      <c r="C212" s="79" t="s">
        <v>898</v>
      </c>
      <c r="D212" s="79">
        <v>3</v>
      </c>
      <c r="E212" s="79" t="s">
        <v>623</v>
      </c>
      <c r="F212" s="79">
        <v>1</v>
      </c>
      <c r="G212" s="276" t="s">
        <v>1601</v>
      </c>
      <c r="H212" s="276" t="s">
        <v>1602</v>
      </c>
      <c r="I212" s="276" t="s">
        <v>1603</v>
      </c>
      <c r="J212" s="276" t="s">
        <v>1604</v>
      </c>
      <c r="K212" s="276" t="s">
        <v>591</v>
      </c>
      <c r="L212" s="276" t="s">
        <v>592</v>
      </c>
      <c r="M212" s="276" t="s">
        <v>1605</v>
      </c>
      <c r="N212" s="276" t="s">
        <v>594</v>
      </c>
    </row>
    <row r="213" spans="1:14" ht="117.6">
      <c r="A213" s="268" t="str">
        <f t="shared" si="3"/>
        <v>Communication &amp; Deal with Others|Director|3</v>
      </c>
      <c r="B213" s="223" t="s">
        <v>567</v>
      </c>
      <c r="C213" s="79" t="s">
        <v>898</v>
      </c>
      <c r="D213" s="79">
        <v>3</v>
      </c>
      <c r="E213" s="79" t="s">
        <v>623</v>
      </c>
      <c r="F213" s="79">
        <v>2</v>
      </c>
      <c r="G213" s="276" t="s">
        <v>1606</v>
      </c>
      <c r="H213" s="276" t="s">
        <v>1607</v>
      </c>
      <c r="I213" s="276" t="s">
        <v>1608</v>
      </c>
      <c r="J213" s="276" t="s">
        <v>1609</v>
      </c>
      <c r="K213" s="276" t="s">
        <v>591</v>
      </c>
      <c r="L213" s="276" t="s">
        <v>592</v>
      </c>
      <c r="M213" s="276" t="s">
        <v>1610</v>
      </c>
      <c r="N213" s="276" t="s">
        <v>594</v>
      </c>
    </row>
    <row r="214" spans="1:14" ht="134.44999999999999">
      <c r="A214" s="268" t="str">
        <f t="shared" si="3"/>
        <v>Communication &amp; Deal with Others|Director|3</v>
      </c>
      <c r="B214" s="223" t="s">
        <v>567</v>
      </c>
      <c r="C214" s="79" t="s">
        <v>898</v>
      </c>
      <c r="D214" s="79">
        <v>3</v>
      </c>
      <c r="E214" s="79" t="s">
        <v>623</v>
      </c>
      <c r="F214" s="79">
        <v>3</v>
      </c>
      <c r="G214" s="276" t="s">
        <v>1611</v>
      </c>
      <c r="H214" s="276" t="s">
        <v>1612</v>
      </c>
      <c r="I214" s="276" t="s">
        <v>1613</v>
      </c>
      <c r="J214" s="276" t="s">
        <v>1614</v>
      </c>
      <c r="K214" s="276" t="s">
        <v>591</v>
      </c>
      <c r="L214" s="276" t="s">
        <v>592</v>
      </c>
      <c r="M214" s="276" t="s">
        <v>1615</v>
      </c>
      <c r="N214" s="276" t="s">
        <v>640</v>
      </c>
    </row>
    <row r="215" spans="1:14" ht="100.9">
      <c r="A215" s="268" t="str">
        <f t="shared" si="3"/>
        <v>Communication &amp; Deal with Others|Director|4</v>
      </c>
      <c r="B215" s="223" t="s">
        <v>567</v>
      </c>
      <c r="C215" s="79" t="s">
        <v>898</v>
      </c>
      <c r="D215" s="79">
        <v>4</v>
      </c>
      <c r="E215" s="79" t="s">
        <v>641</v>
      </c>
      <c r="F215" s="79">
        <v>1</v>
      </c>
      <c r="G215" s="276" t="s">
        <v>1616</v>
      </c>
      <c r="H215" s="276" t="s">
        <v>1617</v>
      </c>
      <c r="I215" s="276" t="s">
        <v>1618</v>
      </c>
      <c r="J215" s="276" t="s">
        <v>1619</v>
      </c>
      <c r="K215" s="276" t="s">
        <v>591</v>
      </c>
      <c r="L215" s="276" t="s">
        <v>592</v>
      </c>
      <c r="M215" s="276" t="s">
        <v>1620</v>
      </c>
      <c r="N215" s="276" t="s">
        <v>1621</v>
      </c>
    </row>
    <row r="216" spans="1:14" ht="117.6">
      <c r="A216" s="268" t="str">
        <f t="shared" si="3"/>
        <v>Communication &amp; Deal with Others|Director|4</v>
      </c>
      <c r="B216" s="223" t="s">
        <v>567</v>
      </c>
      <c r="C216" s="79" t="s">
        <v>898</v>
      </c>
      <c r="D216" s="79">
        <v>4</v>
      </c>
      <c r="E216" s="79" t="s">
        <v>641</v>
      </c>
      <c r="F216" s="79">
        <v>2</v>
      </c>
      <c r="G216" s="276" t="s">
        <v>1622</v>
      </c>
      <c r="H216" s="276" t="s">
        <v>1623</v>
      </c>
      <c r="I216" s="276" t="s">
        <v>1624</v>
      </c>
      <c r="J216" s="276" t="s">
        <v>1625</v>
      </c>
      <c r="K216" s="276" t="s">
        <v>591</v>
      </c>
      <c r="L216" s="276" t="s">
        <v>592</v>
      </c>
      <c r="M216" s="276" t="s">
        <v>1626</v>
      </c>
      <c r="N216" s="276" t="s">
        <v>916</v>
      </c>
    </row>
    <row r="217" spans="1:14" ht="84">
      <c r="A217" s="268" t="str">
        <f t="shared" si="3"/>
        <v>Communication &amp; Deal with Others|Director|4</v>
      </c>
      <c r="B217" s="223" t="s">
        <v>567</v>
      </c>
      <c r="C217" s="79" t="s">
        <v>898</v>
      </c>
      <c r="D217" s="79">
        <v>4</v>
      </c>
      <c r="E217" s="79" t="s">
        <v>641</v>
      </c>
      <c r="F217" s="79">
        <v>3</v>
      </c>
      <c r="G217" s="276" t="s">
        <v>1627</v>
      </c>
      <c r="H217" s="276" t="s">
        <v>1628</v>
      </c>
      <c r="I217" s="276" t="s">
        <v>1629</v>
      </c>
      <c r="J217" s="276" t="s">
        <v>1630</v>
      </c>
      <c r="K217" s="276" t="s">
        <v>591</v>
      </c>
      <c r="L217" s="276" t="s">
        <v>592</v>
      </c>
      <c r="M217" s="276" t="s">
        <v>1631</v>
      </c>
      <c r="N217" s="276" t="s">
        <v>1632</v>
      </c>
    </row>
    <row r="218" spans="1:14" ht="67.150000000000006">
      <c r="A218" s="268" t="str">
        <f t="shared" si="3"/>
        <v>Conceptual Thinking|Officer|1</v>
      </c>
      <c r="B218" s="223" t="s">
        <v>563</v>
      </c>
      <c r="C218" s="226" t="s">
        <v>4</v>
      </c>
      <c r="D218" s="226">
        <v>1</v>
      </c>
      <c r="E218" s="227" t="s">
        <v>586</v>
      </c>
      <c r="F218" s="227">
        <v>1</v>
      </c>
      <c r="G218" s="276" t="s">
        <v>1633</v>
      </c>
      <c r="H218" s="276" t="s">
        <v>1634</v>
      </c>
      <c r="I218" s="276" t="s">
        <v>1635</v>
      </c>
      <c r="J218" s="276" t="s">
        <v>1636</v>
      </c>
      <c r="K218" s="276" t="s">
        <v>591</v>
      </c>
      <c r="L218" s="276" t="s">
        <v>592</v>
      </c>
      <c r="M218" s="276" t="s">
        <v>1637</v>
      </c>
      <c r="N218" s="276" t="s">
        <v>1638</v>
      </c>
    </row>
    <row r="219" spans="1:14" ht="67.150000000000006">
      <c r="A219" s="268" t="str">
        <f t="shared" si="3"/>
        <v>Conceptual Thinking|Officer|1</v>
      </c>
      <c r="B219" s="223" t="s">
        <v>563</v>
      </c>
      <c r="C219" s="226" t="s">
        <v>4</v>
      </c>
      <c r="D219" s="226">
        <v>1</v>
      </c>
      <c r="E219" s="227" t="s">
        <v>586</v>
      </c>
      <c r="F219" s="227">
        <v>2</v>
      </c>
      <c r="G219" s="276" t="s">
        <v>1639</v>
      </c>
      <c r="H219" s="276" t="s">
        <v>1640</v>
      </c>
      <c r="I219" s="276" t="s">
        <v>1641</v>
      </c>
      <c r="J219" s="276" t="s">
        <v>1642</v>
      </c>
      <c r="K219" s="276" t="s">
        <v>591</v>
      </c>
      <c r="L219" s="276" t="s">
        <v>592</v>
      </c>
      <c r="M219" s="276" t="s">
        <v>1643</v>
      </c>
      <c r="N219" s="276" t="s">
        <v>594</v>
      </c>
    </row>
    <row r="220" spans="1:14" ht="67.150000000000006">
      <c r="A220" s="268" t="str">
        <f t="shared" si="3"/>
        <v>Conceptual Thinking|Officer|1</v>
      </c>
      <c r="B220" s="223" t="s">
        <v>563</v>
      </c>
      <c r="C220" s="226" t="s">
        <v>4</v>
      </c>
      <c r="D220" s="226">
        <v>1</v>
      </c>
      <c r="E220" s="227" t="s">
        <v>586</v>
      </c>
      <c r="F220" s="227">
        <v>3</v>
      </c>
      <c r="G220" s="276" t="s">
        <v>1644</v>
      </c>
      <c r="H220" s="276" t="s">
        <v>1645</v>
      </c>
      <c r="I220" s="276" t="s">
        <v>1646</v>
      </c>
      <c r="J220" s="276" t="s">
        <v>1647</v>
      </c>
      <c r="K220" s="276" t="s">
        <v>591</v>
      </c>
      <c r="L220" s="276" t="s">
        <v>592</v>
      </c>
      <c r="M220" s="276" t="s">
        <v>1648</v>
      </c>
      <c r="N220" s="276" t="s">
        <v>594</v>
      </c>
    </row>
    <row r="221" spans="1:14" ht="50.45">
      <c r="A221" s="268" t="str">
        <f t="shared" si="3"/>
        <v>Conceptual Thinking|Officer|2</v>
      </c>
      <c r="B221" s="223" t="s">
        <v>563</v>
      </c>
      <c r="C221" s="226" t="s">
        <v>4</v>
      </c>
      <c r="D221" s="227">
        <v>2</v>
      </c>
      <c r="E221" s="227" t="s">
        <v>605</v>
      </c>
      <c r="F221" s="227">
        <v>1</v>
      </c>
      <c r="G221" s="276" t="s">
        <v>1649</v>
      </c>
      <c r="H221" s="276" t="s">
        <v>1650</v>
      </c>
      <c r="I221" s="276" t="s">
        <v>1651</v>
      </c>
      <c r="J221" s="276" t="s">
        <v>1652</v>
      </c>
      <c r="K221" s="276" t="s">
        <v>591</v>
      </c>
      <c r="L221" s="276" t="s">
        <v>592</v>
      </c>
      <c r="M221" s="276" t="s">
        <v>1653</v>
      </c>
      <c r="N221" s="276" t="s">
        <v>611</v>
      </c>
    </row>
    <row r="222" spans="1:14" ht="50.45">
      <c r="A222" s="268" t="str">
        <f t="shared" si="3"/>
        <v>Conceptual Thinking|Officer|2</v>
      </c>
      <c r="B222" s="223" t="s">
        <v>563</v>
      </c>
      <c r="C222" s="226" t="s">
        <v>4</v>
      </c>
      <c r="D222" s="227">
        <v>2</v>
      </c>
      <c r="E222" s="227" t="s">
        <v>605</v>
      </c>
      <c r="F222" s="227">
        <v>2</v>
      </c>
      <c r="G222" s="276" t="s">
        <v>1654</v>
      </c>
      <c r="H222" s="276" t="s">
        <v>1655</v>
      </c>
      <c r="I222" s="276" t="s">
        <v>1656</v>
      </c>
      <c r="J222" s="276" t="s">
        <v>1657</v>
      </c>
      <c r="K222" s="276" t="s">
        <v>591</v>
      </c>
      <c r="L222" s="276" t="s">
        <v>592</v>
      </c>
      <c r="M222" s="276" t="s">
        <v>1658</v>
      </c>
      <c r="N222" s="276" t="s">
        <v>737</v>
      </c>
    </row>
    <row r="223" spans="1:14" ht="33.6">
      <c r="A223" s="268" t="str">
        <f t="shared" si="3"/>
        <v>Conceptual Thinking|Officer|2</v>
      </c>
      <c r="B223" s="223" t="s">
        <v>563</v>
      </c>
      <c r="C223" s="226" t="s">
        <v>4</v>
      </c>
      <c r="D223" s="227">
        <v>2</v>
      </c>
      <c r="E223" s="227" t="s">
        <v>605</v>
      </c>
      <c r="F223" s="227">
        <v>3</v>
      </c>
      <c r="G223" s="276" t="s">
        <v>1659</v>
      </c>
      <c r="H223" s="276" t="s">
        <v>1660</v>
      </c>
      <c r="I223" s="276" t="s">
        <v>1661</v>
      </c>
      <c r="J223" s="276" t="s">
        <v>1662</v>
      </c>
      <c r="K223" s="276" t="s">
        <v>591</v>
      </c>
      <c r="L223" s="276" t="s">
        <v>592</v>
      </c>
      <c r="M223" s="276" t="s">
        <v>1663</v>
      </c>
      <c r="N223" s="276" t="s">
        <v>737</v>
      </c>
    </row>
    <row r="224" spans="1:14" ht="50.45">
      <c r="A224" s="268" t="str">
        <f t="shared" si="3"/>
        <v>Conceptual Thinking|Officer|3</v>
      </c>
      <c r="B224" s="223" t="s">
        <v>563</v>
      </c>
      <c r="C224" s="226" t="s">
        <v>4</v>
      </c>
      <c r="D224" s="227">
        <v>3</v>
      </c>
      <c r="E224" s="227" t="s">
        <v>623</v>
      </c>
      <c r="F224" s="227">
        <v>1</v>
      </c>
      <c r="G224" s="276" t="s">
        <v>1664</v>
      </c>
      <c r="H224" s="276" t="s">
        <v>1665</v>
      </c>
      <c r="I224" s="276" t="s">
        <v>1666</v>
      </c>
      <c r="J224" s="276" t="s">
        <v>1667</v>
      </c>
      <c r="K224" s="276" t="s">
        <v>591</v>
      </c>
      <c r="L224" s="276" t="s">
        <v>592</v>
      </c>
      <c r="M224" s="276" t="s">
        <v>1668</v>
      </c>
      <c r="N224" s="276" t="s">
        <v>1669</v>
      </c>
    </row>
    <row r="225" spans="1:14" ht="50.45">
      <c r="A225" s="268" t="str">
        <f t="shared" si="3"/>
        <v>Conceptual Thinking|Officer|3</v>
      </c>
      <c r="B225" s="223" t="s">
        <v>563</v>
      </c>
      <c r="C225" s="226" t="s">
        <v>4</v>
      </c>
      <c r="D225" s="227">
        <v>3</v>
      </c>
      <c r="E225" s="227" t="s">
        <v>623</v>
      </c>
      <c r="F225" s="227">
        <v>2</v>
      </c>
      <c r="G225" s="276" t="s">
        <v>1670</v>
      </c>
      <c r="H225" s="276" t="s">
        <v>1671</v>
      </c>
      <c r="I225" s="276" t="s">
        <v>1672</v>
      </c>
      <c r="J225" s="276" t="s">
        <v>1673</v>
      </c>
      <c r="K225" s="276" t="s">
        <v>591</v>
      </c>
      <c r="L225" s="276" t="s">
        <v>592</v>
      </c>
      <c r="M225" s="276" t="s">
        <v>1674</v>
      </c>
      <c r="N225" s="276" t="s">
        <v>622</v>
      </c>
    </row>
    <row r="226" spans="1:14" ht="67.150000000000006">
      <c r="A226" s="268" t="str">
        <f t="shared" si="3"/>
        <v>Conceptual Thinking|Officer|3</v>
      </c>
      <c r="B226" s="223" t="s">
        <v>563</v>
      </c>
      <c r="C226" s="226" t="s">
        <v>4</v>
      </c>
      <c r="D226" s="227">
        <v>3</v>
      </c>
      <c r="E226" s="227" t="s">
        <v>623</v>
      </c>
      <c r="F226" s="227">
        <v>3</v>
      </c>
      <c r="G226" s="276" t="s">
        <v>1675</v>
      </c>
      <c r="H226" s="276" t="s">
        <v>1676</v>
      </c>
      <c r="I226" s="276" t="s">
        <v>1677</v>
      </c>
      <c r="J226" s="276" t="s">
        <v>638</v>
      </c>
      <c r="K226" s="276" t="s">
        <v>591</v>
      </c>
      <c r="L226" s="276" t="s">
        <v>592</v>
      </c>
      <c r="M226" s="276" t="s">
        <v>882</v>
      </c>
      <c r="N226" s="276" t="s">
        <v>640</v>
      </c>
    </row>
    <row r="227" spans="1:14" ht="50.45">
      <c r="A227" s="268" t="str">
        <f t="shared" si="3"/>
        <v>Conceptual Thinking|Officer|4</v>
      </c>
      <c r="B227" s="223" t="s">
        <v>563</v>
      </c>
      <c r="C227" s="226" t="s">
        <v>4</v>
      </c>
      <c r="D227" s="227">
        <v>4</v>
      </c>
      <c r="E227" s="227" t="s">
        <v>641</v>
      </c>
      <c r="F227" s="227">
        <v>1</v>
      </c>
      <c r="G227" s="276" t="s">
        <v>1678</v>
      </c>
      <c r="H227" s="276" t="s">
        <v>1679</v>
      </c>
      <c r="I227" s="276" t="s">
        <v>1680</v>
      </c>
      <c r="J227" s="276" t="s">
        <v>1681</v>
      </c>
      <c r="K227" s="276" t="s">
        <v>591</v>
      </c>
      <c r="L227" s="276" t="s">
        <v>592</v>
      </c>
      <c r="M227" s="276" t="s">
        <v>1682</v>
      </c>
      <c r="N227" s="276" t="s">
        <v>622</v>
      </c>
    </row>
    <row r="228" spans="1:14" ht="50.45">
      <c r="A228" s="268" t="str">
        <f t="shared" si="3"/>
        <v>Conceptual Thinking|Officer|4</v>
      </c>
      <c r="B228" s="223" t="s">
        <v>563</v>
      </c>
      <c r="C228" s="226" t="s">
        <v>4</v>
      </c>
      <c r="D228" s="227">
        <v>4</v>
      </c>
      <c r="E228" s="227" t="s">
        <v>641</v>
      </c>
      <c r="F228" s="227">
        <v>2</v>
      </c>
      <c r="G228" s="276" t="s">
        <v>1683</v>
      </c>
      <c r="H228" s="276" t="s">
        <v>1684</v>
      </c>
      <c r="I228" s="276" t="s">
        <v>1685</v>
      </c>
      <c r="J228" s="276" t="s">
        <v>1686</v>
      </c>
      <c r="K228" s="276" t="s">
        <v>591</v>
      </c>
      <c r="L228" s="276" t="s">
        <v>592</v>
      </c>
      <c r="M228" s="276" t="s">
        <v>1687</v>
      </c>
      <c r="N228" s="276" t="s">
        <v>622</v>
      </c>
    </row>
    <row r="229" spans="1:14" ht="67.150000000000006">
      <c r="A229" s="268" t="str">
        <f t="shared" si="3"/>
        <v>Conceptual Thinking|Officer|4</v>
      </c>
      <c r="B229" s="223" t="s">
        <v>563</v>
      </c>
      <c r="C229" s="226" t="s">
        <v>4</v>
      </c>
      <c r="D229" s="227">
        <v>4</v>
      </c>
      <c r="E229" s="227" t="s">
        <v>641</v>
      </c>
      <c r="F229" s="227">
        <v>3</v>
      </c>
      <c r="G229" s="276" t="s">
        <v>1688</v>
      </c>
      <c r="H229" s="276" t="s">
        <v>1689</v>
      </c>
      <c r="I229" s="276" t="s">
        <v>1690</v>
      </c>
      <c r="J229" s="276" t="s">
        <v>1691</v>
      </c>
      <c r="K229" s="276" t="s">
        <v>591</v>
      </c>
      <c r="L229" s="276" t="s">
        <v>592</v>
      </c>
      <c r="M229" s="276" t="s">
        <v>1692</v>
      </c>
      <c r="N229" s="276" t="s">
        <v>622</v>
      </c>
    </row>
    <row r="230" spans="1:14" ht="52.9">
      <c r="A230" s="268" t="str">
        <f t="shared" si="3"/>
        <v>Conceptual Thinking|Analyst|1</v>
      </c>
      <c r="B230" s="223" t="s">
        <v>563</v>
      </c>
      <c r="C230" s="226" t="s">
        <v>6</v>
      </c>
      <c r="D230" s="226">
        <v>1</v>
      </c>
      <c r="E230" s="227" t="s">
        <v>586</v>
      </c>
      <c r="F230" s="227">
        <v>1</v>
      </c>
      <c r="G230" s="277" t="s">
        <v>1693</v>
      </c>
      <c r="H230" s="277" t="s">
        <v>1694</v>
      </c>
      <c r="I230" s="277" t="s">
        <v>1695</v>
      </c>
      <c r="J230" s="277" t="s">
        <v>1696</v>
      </c>
      <c r="K230" s="277" t="s">
        <v>591</v>
      </c>
      <c r="L230" s="277" t="s">
        <v>592</v>
      </c>
      <c r="M230" s="277" t="s">
        <v>1697</v>
      </c>
      <c r="N230" s="277" t="s">
        <v>594</v>
      </c>
    </row>
    <row r="231" spans="1:14" ht="39.6">
      <c r="A231" s="268" t="str">
        <f t="shared" si="3"/>
        <v>Conceptual Thinking|Analyst|1</v>
      </c>
      <c r="B231" s="223" t="s">
        <v>563</v>
      </c>
      <c r="C231" s="226" t="s">
        <v>6</v>
      </c>
      <c r="D231" s="226">
        <v>1</v>
      </c>
      <c r="E231" s="227" t="s">
        <v>586</v>
      </c>
      <c r="F231" s="227">
        <v>2</v>
      </c>
      <c r="G231" s="277" t="s">
        <v>1698</v>
      </c>
      <c r="H231" s="277" t="s">
        <v>1699</v>
      </c>
      <c r="I231" s="277" t="s">
        <v>1700</v>
      </c>
      <c r="J231" s="277" t="s">
        <v>1701</v>
      </c>
      <c r="K231" s="277" t="s">
        <v>591</v>
      </c>
      <c r="L231" s="277" t="s">
        <v>592</v>
      </c>
      <c r="M231" s="277" t="s">
        <v>1702</v>
      </c>
      <c r="N231" s="277" t="s">
        <v>594</v>
      </c>
    </row>
    <row r="232" spans="1:14" ht="28.9">
      <c r="A232" s="268" t="str">
        <f t="shared" si="3"/>
        <v>Conceptual Thinking|Analyst|1</v>
      </c>
      <c r="B232" s="223" t="s">
        <v>563</v>
      </c>
      <c r="C232" s="226" t="s">
        <v>6</v>
      </c>
      <c r="D232" s="226">
        <v>1</v>
      </c>
      <c r="E232" s="227" t="s">
        <v>586</v>
      </c>
      <c r="F232" s="227">
        <v>3</v>
      </c>
      <c r="G232" s="277" t="s">
        <v>1703</v>
      </c>
      <c r="H232" s="277" t="s">
        <v>1704</v>
      </c>
      <c r="I232" s="277" t="s">
        <v>1705</v>
      </c>
      <c r="J232" s="277" t="s">
        <v>1706</v>
      </c>
      <c r="K232" s="277" t="s">
        <v>591</v>
      </c>
      <c r="L232" s="277" t="s">
        <v>592</v>
      </c>
      <c r="M232" s="277" t="s">
        <v>1707</v>
      </c>
      <c r="N232" s="277" t="s">
        <v>1708</v>
      </c>
    </row>
    <row r="233" spans="1:14" ht="28.9">
      <c r="A233" s="268" t="str">
        <f t="shared" si="3"/>
        <v>Conceptual Thinking|Analyst|2</v>
      </c>
      <c r="B233" s="223" t="s">
        <v>563</v>
      </c>
      <c r="C233" s="226" t="s">
        <v>6</v>
      </c>
      <c r="D233" s="227">
        <v>2</v>
      </c>
      <c r="E233" s="227" t="s">
        <v>605</v>
      </c>
      <c r="F233" s="227">
        <v>1</v>
      </c>
      <c r="G233" s="277" t="s">
        <v>1709</v>
      </c>
      <c r="H233" s="277" t="s">
        <v>1710</v>
      </c>
      <c r="I233" s="277" t="s">
        <v>1711</v>
      </c>
      <c r="J233" s="277" t="s">
        <v>1712</v>
      </c>
      <c r="K233" s="277" t="s">
        <v>591</v>
      </c>
      <c r="L233" s="277" t="s">
        <v>592</v>
      </c>
      <c r="M233" s="277" t="s">
        <v>1713</v>
      </c>
      <c r="N233" s="277" t="s">
        <v>737</v>
      </c>
    </row>
    <row r="234" spans="1:14" ht="28.9">
      <c r="A234" s="268" t="str">
        <f t="shared" si="3"/>
        <v>Conceptual Thinking|Analyst|2</v>
      </c>
      <c r="B234" s="223" t="s">
        <v>563</v>
      </c>
      <c r="C234" s="226" t="s">
        <v>6</v>
      </c>
      <c r="D234" s="227">
        <v>2</v>
      </c>
      <c r="E234" s="227" t="s">
        <v>605</v>
      </c>
      <c r="F234" s="227">
        <v>2</v>
      </c>
      <c r="G234" s="277" t="s">
        <v>1714</v>
      </c>
      <c r="H234" s="277" t="s">
        <v>1715</v>
      </c>
      <c r="I234" s="277" t="s">
        <v>1716</v>
      </c>
      <c r="J234" s="277" t="s">
        <v>1717</v>
      </c>
      <c r="K234" s="277" t="s">
        <v>591</v>
      </c>
      <c r="L234" s="277" t="s">
        <v>592</v>
      </c>
      <c r="M234" s="277" t="s">
        <v>1718</v>
      </c>
      <c r="N234" s="277" t="s">
        <v>737</v>
      </c>
    </row>
    <row r="235" spans="1:14" ht="39.6">
      <c r="A235" s="268" t="str">
        <f t="shared" si="3"/>
        <v>Conceptual Thinking|Analyst|2</v>
      </c>
      <c r="B235" s="223" t="s">
        <v>563</v>
      </c>
      <c r="C235" s="226" t="s">
        <v>6</v>
      </c>
      <c r="D235" s="227">
        <v>2</v>
      </c>
      <c r="E235" s="227" t="s">
        <v>605</v>
      </c>
      <c r="F235" s="227">
        <v>3</v>
      </c>
      <c r="G235" s="277" t="s">
        <v>1719</v>
      </c>
      <c r="H235" s="277" t="s">
        <v>1720</v>
      </c>
      <c r="I235" s="277" t="s">
        <v>1721</v>
      </c>
      <c r="J235" s="277" t="s">
        <v>1722</v>
      </c>
      <c r="K235" s="277" t="s">
        <v>591</v>
      </c>
      <c r="L235" s="277" t="s">
        <v>592</v>
      </c>
      <c r="M235" s="277" t="s">
        <v>1723</v>
      </c>
      <c r="N235" s="277" t="s">
        <v>1724</v>
      </c>
    </row>
    <row r="236" spans="1:14" ht="39.6">
      <c r="A236" s="268" t="str">
        <f t="shared" si="3"/>
        <v>Conceptual Thinking|Analyst|3</v>
      </c>
      <c r="B236" s="223" t="s">
        <v>563</v>
      </c>
      <c r="C236" s="226" t="s">
        <v>6</v>
      </c>
      <c r="D236" s="227">
        <v>3</v>
      </c>
      <c r="E236" s="227" t="s">
        <v>623</v>
      </c>
      <c r="F236" s="227">
        <v>1</v>
      </c>
      <c r="G236" s="277" t="s">
        <v>1725</v>
      </c>
      <c r="H236" s="277" t="s">
        <v>1726</v>
      </c>
      <c r="I236" s="277" t="s">
        <v>1727</v>
      </c>
      <c r="J236" s="277" t="s">
        <v>1667</v>
      </c>
      <c r="K236" s="277" t="s">
        <v>591</v>
      </c>
      <c r="L236" s="277" t="s">
        <v>592</v>
      </c>
      <c r="M236" s="277" t="s">
        <v>1728</v>
      </c>
      <c r="N236" s="277" t="s">
        <v>1669</v>
      </c>
    </row>
    <row r="237" spans="1:14" ht="28.9">
      <c r="A237" s="268" t="str">
        <f t="shared" si="3"/>
        <v>Conceptual Thinking|Analyst|3</v>
      </c>
      <c r="B237" s="223" t="s">
        <v>563</v>
      </c>
      <c r="C237" s="226" t="s">
        <v>6</v>
      </c>
      <c r="D237" s="227">
        <v>3</v>
      </c>
      <c r="E237" s="227" t="s">
        <v>623</v>
      </c>
      <c r="F237" s="227">
        <v>2</v>
      </c>
      <c r="G237" s="277" t="s">
        <v>1729</v>
      </c>
      <c r="H237" s="277" t="s">
        <v>1730</v>
      </c>
      <c r="I237" s="277" t="s">
        <v>1731</v>
      </c>
      <c r="J237" s="277" t="s">
        <v>1673</v>
      </c>
      <c r="K237" s="277" t="s">
        <v>591</v>
      </c>
      <c r="L237" s="277" t="s">
        <v>592</v>
      </c>
      <c r="M237" s="277" t="s">
        <v>1732</v>
      </c>
      <c r="N237" s="277" t="s">
        <v>1733</v>
      </c>
    </row>
    <row r="238" spans="1:14" ht="28.9">
      <c r="A238" s="268" t="str">
        <f t="shared" si="3"/>
        <v>Conceptual Thinking|Analyst|3</v>
      </c>
      <c r="B238" s="223" t="s">
        <v>563</v>
      </c>
      <c r="C238" s="226" t="s">
        <v>6</v>
      </c>
      <c r="D238" s="227">
        <v>3</v>
      </c>
      <c r="E238" s="227" t="s">
        <v>623</v>
      </c>
      <c r="F238" s="227">
        <v>3</v>
      </c>
      <c r="G238" s="277" t="s">
        <v>1734</v>
      </c>
      <c r="H238" s="277" t="s">
        <v>1735</v>
      </c>
      <c r="I238" s="277" t="s">
        <v>1736</v>
      </c>
      <c r="J238" s="277" t="s">
        <v>1737</v>
      </c>
      <c r="K238" s="277" t="s">
        <v>591</v>
      </c>
      <c r="L238" s="277" t="s">
        <v>592</v>
      </c>
      <c r="M238" s="277" t="s">
        <v>1738</v>
      </c>
      <c r="N238" s="277" t="s">
        <v>1739</v>
      </c>
    </row>
    <row r="239" spans="1:14" ht="39.6">
      <c r="A239" s="268" t="str">
        <f t="shared" si="3"/>
        <v>Conceptual Thinking|Analyst|4</v>
      </c>
      <c r="B239" s="223" t="s">
        <v>563</v>
      </c>
      <c r="C239" s="226" t="s">
        <v>6</v>
      </c>
      <c r="D239" s="227">
        <v>4</v>
      </c>
      <c r="E239" s="227" t="s">
        <v>641</v>
      </c>
      <c r="F239" s="227">
        <v>1</v>
      </c>
      <c r="G239" s="277" t="s">
        <v>1740</v>
      </c>
      <c r="H239" s="277" t="s">
        <v>1741</v>
      </c>
      <c r="I239" s="277" t="s">
        <v>1742</v>
      </c>
      <c r="J239" s="277" t="s">
        <v>1743</v>
      </c>
      <c r="K239" s="277" t="s">
        <v>591</v>
      </c>
      <c r="L239" s="277" t="s">
        <v>592</v>
      </c>
      <c r="M239" s="277" t="s">
        <v>1744</v>
      </c>
      <c r="N239" s="277" t="s">
        <v>622</v>
      </c>
    </row>
    <row r="240" spans="1:14" ht="39.6">
      <c r="A240" s="268" t="str">
        <f t="shared" si="3"/>
        <v>Conceptual Thinking|Analyst|4</v>
      </c>
      <c r="B240" s="223" t="s">
        <v>563</v>
      </c>
      <c r="C240" s="226" t="s">
        <v>6</v>
      </c>
      <c r="D240" s="227">
        <v>4</v>
      </c>
      <c r="E240" s="227" t="s">
        <v>641</v>
      </c>
      <c r="F240" s="227">
        <v>2</v>
      </c>
      <c r="G240" s="277" t="s">
        <v>1745</v>
      </c>
      <c r="H240" s="277" t="s">
        <v>1746</v>
      </c>
      <c r="I240" s="277" t="s">
        <v>1747</v>
      </c>
      <c r="J240" s="277" t="s">
        <v>1748</v>
      </c>
      <c r="K240" s="277" t="s">
        <v>591</v>
      </c>
      <c r="L240" s="277" t="s">
        <v>592</v>
      </c>
      <c r="M240" s="277" t="s">
        <v>1749</v>
      </c>
      <c r="N240" s="277" t="s">
        <v>1750</v>
      </c>
    </row>
    <row r="241" spans="1:14" ht="39.6">
      <c r="A241" s="268" t="str">
        <f t="shared" si="3"/>
        <v>Conceptual Thinking|Analyst|4</v>
      </c>
      <c r="B241" s="223" t="s">
        <v>563</v>
      </c>
      <c r="C241" s="226" t="s">
        <v>6</v>
      </c>
      <c r="D241" s="227">
        <v>4</v>
      </c>
      <c r="E241" s="227" t="s">
        <v>641</v>
      </c>
      <c r="F241" s="227">
        <v>3</v>
      </c>
      <c r="G241" s="277" t="s">
        <v>1751</v>
      </c>
      <c r="H241" s="277" t="s">
        <v>1752</v>
      </c>
      <c r="I241" s="277" t="s">
        <v>1753</v>
      </c>
      <c r="J241" s="277" t="s">
        <v>1754</v>
      </c>
      <c r="K241" s="277" t="s">
        <v>591</v>
      </c>
      <c r="L241" s="277" t="s">
        <v>592</v>
      </c>
      <c r="M241" s="277" t="s">
        <v>1755</v>
      </c>
      <c r="N241" s="277" t="s">
        <v>1756</v>
      </c>
    </row>
    <row r="242" spans="1:14" ht="67.150000000000006">
      <c r="A242" s="268" t="str">
        <f t="shared" si="3"/>
        <v>Conceptual Thinking|Unit Head/Specialist|1</v>
      </c>
      <c r="B242" s="223" t="s">
        <v>563</v>
      </c>
      <c r="C242" s="227" t="s">
        <v>13</v>
      </c>
      <c r="D242" s="226">
        <v>1</v>
      </c>
      <c r="E242" s="227" t="s">
        <v>586</v>
      </c>
      <c r="F242" s="227">
        <v>1</v>
      </c>
      <c r="G242" s="276" t="s">
        <v>1757</v>
      </c>
      <c r="H242" s="276" t="s">
        <v>1758</v>
      </c>
      <c r="I242" s="276" t="s">
        <v>1759</v>
      </c>
      <c r="J242" s="276" t="s">
        <v>1760</v>
      </c>
      <c r="K242" s="276" t="s">
        <v>591</v>
      </c>
      <c r="L242" s="276" t="s">
        <v>592</v>
      </c>
      <c r="M242" s="276" t="s">
        <v>1761</v>
      </c>
      <c r="N242" s="276" t="s">
        <v>622</v>
      </c>
    </row>
    <row r="243" spans="1:14" ht="50.45">
      <c r="A243" s="268" t="str">
        <f t="shared" si="3"/>
        <v>Conceptual Thinking|Unit Head/Specialist|1</v>
      </c>
      <c r="B243" s="223" t="s">
        <v>563</v>
      </c>
      <c r="C243" s="227" t="s">
        <v>13</v>
      </c>
      <c r="D243" s="226">
        <v>1</v>
      </c>
      <c r="E243" s="227" t="s">
        <v>586</v>
      </c>
      <c r="F243" s="227">
        <v>2</v>
      </c>
      <c r="G243" s="276" t="s">
        <v>1762</v>
      </c>
      <c r="H243" s="276" t="s">
        <v>1763</v>
      </c>
      <c r="I243" s="276" t="s">
        <v>1764</v>
      </c>
      <c r="J243" s="276" t="s">
        <v>1765</v>
      </c>
      <c r="K243" s="276" t="s">
        <v>591</v>
      </c>
      <c r="L243" s="276" t="s">
        <v>592</v>
      </c>
      <c r="M243" s="276" t="s">
        <v>1766</v>
      </c>
      <c r="N243" s="276" t="s">
        <v>594</v>
      </c>
    </row>
    <row r="244" spans="1:14" ht="67.150000000000006">
      <c r="A244" s="268" t="str">
        <f t="shared" si="3"/>
        <v>Conceptual Thinking|Unit Head/Specialist|1</v>
      </c>
      <c r="B244" s="223" t="s">
        <v>563</v>
      </c>
      <c r="C244" s="227" t="s">
        <v>13</v>
      </c>
      <c r="D244" s="226">
        <v>1</v>
      </c>
      <c r="E244" s="227" t="s">
        <v>586</v>
      </c>
      <c r="F244" s="227">
        <v>3</v>
      </c>
      <c r="G244" s="276" t="s">
        <v>1767</v>
      </c>
      <c r="H244" s="276" t="s">
        <v>1768</v>
      </c>
      <c r="I244" s="276" t="s">
        <v>1769</v>
      </c>
      <c r="J244" s="276" t="s">
        <v>1770</v>
      </c>
      <c r="K244" s="276" t="s">
        <v>591</v>
      </c>
      <c r="L244" s="276" t="s">
        <v>592</v>
      </c>
      <c r="M244" s="276" t="s">
        <v>1771</v>
      </c>
      <c r="N244" s="276" t="s">
        <v>622</v>
      </c>
    </row>
    <row r="245" spans="1:14" ht="33.6">
      <c r="A245" s="268" t="str">
        <f t="shared" si="3"/>
        <v>Conceptual Thinking|Unit Head/Specialist|2</v>
      </c>
      <c r="B245" s="223" t="s">
        <v>563</v>
      </c>
      <c r="C245" s="227" t="s">
        <v>13</v>
      </c>
      <c r="D245" s="227">
        <v>2</v>
      </c>
      <c r="E245" s="227" t="s">
        <v>605</v>
      </c>
      <c r="F245" s="227">
        <v>1</v>
      </c>
      <c r="G245" s="276" t="s">
        <v>1772</v>
      </c>
      <c r="H245" s="276" t="s">
        <v>1773</v>
      </c>
      <c r="I245" s="276" t="s">
        <v>1774</v>
      </c>
      <c r="J245" s="276" t="s">
        <v>1712</v>
      </c>
      <c r="K245" s="276" t="s">
        <v>591</v>
      </c>
      <c r="L245" s="276" t="s">
        <v>592</v>
      </c>
      <c r="M245" s="276" t="s">
        <v>1775</v>
      </c>
      <c r="N245" s="276" t="s">
        <v>737</v>
      </c>
    </row>
    <row r="246" spans="1:14" ht="50.45">
      <c r="A246" s="268" t="str">
        <f t="shared" si="3"/>
        <v>Conceptual Thinking|Unit Head/Specialist|2</v>
      </c>
      <c r="B246" s="223" t="s">
        <v>563</v>
      </c>
      <c r="C246" s="227" t="s">
        <v>13</v>
      </c>
      <c r="D246" s="227">
        <v>2</v>
      </c>
      <c r="E246" s="227" t="s">
        <v>605</v>
      </c>
      <c r="F246" s="227">
        <v>2</v>
      </c>
      <c r="G246" s="276" t="s">
        <v>1776</v>
      </c>
      <c r="H246" s="276" t="s">
        <v>1777</v>
      </c>
      <c r="I246" s="276" t="s">
        <v>1778</v>
      </c>
      <c r="J246" s="276" t="s">
        <v>1779</v>
      </c>
      <c r="K246" s="276" t="s">
        <v>591</v>
      </c>
      <c r="L246" s="276" t="s">
        <v>592</v>
      </c>
      <c r="M246" s="276" t="s">
        <v>1780</v>
      </c>
      <c r="N246" s="276" t="s">
        <v>737</v>
      </c>
    </row>
    <row r="247" spans="1:14" ht="50.45">
      <c r="A247" s="268" t="str">
        <f t="shared" si="3"/>
        <v>Conceptual Thinking|Unit Head/Specialist|2</v>
      </c>
      <c r="B247" s="223" t="s">
        <v>563</v>
      </c>
      <c r="C247" s="227" t="s">
        <v>13</v>
      </c>
      <c r="D247" s="227">
        <v>2</v>
      </c>
      <c r="E247" s="227" t="s">
        <v>605</v>
      </c>
      <c r="F247" s="227">
        <v>3</v>
      </c>
      <c r="G247" s="276" t="s">
        <v>1781</v>
      </c>
      <c r="H247" s="276" t="s">
        <v>1782</v>
      </c>
      <c r="I247" s="276" t="s">
        <v>1783</v>
      </c>
      <c r="J247" s="276" t="s">
        <v>1784</v>
      </c>
      <c r="K247" s="276" t="s">
        <v>591</v>
      </c>
      <c r="L247" s="276" t="s">
        <v>592</v>
      </c>
      <c r="M247" s="276" t="s">
        <v>1785</v>
      </c>
      <c r="N247" s="276" t="s">
        <v>611</v>
      </c>
    </row>
    <row r="248" spans="1:14" ht="50.45">
      <c r="A248" s="268" t="str">
        <f t="shared" si="3"/>
        <v>Conceptual Thinking|Unit Head/Specialist|3</v>
      </c>
      <c r="B248" s="223" t="s">
        <v>563</v>
      </c>
      <c r="C248" s="227" t="s">
        <v>13</v>
      </c>
      <c r="D248" s="227">
        <v>3</v>
      </c>
      <c r="E248" s="227" t="s">
        <v>623</v>
      </c>
      <c r="F248" s="227">
        <v>1</v>
      </c>
      <c r="G248" s="276" t="s">
        <v>1786</v>
      </c>
      <c r="H248" s="276" t="s">
        <v>1787</v>
      </c>
      <c r="I248" s="276" t="s">
        <v>1788</v>
      </c>
      <c r="J248" s="276" t="s">
        <v>1789</v>
      </c>
      <c r="K248" s="276" t="s">
        <v>591</v>
      </c>
      <c r="L248" s="276" t="s">
        <v>592</v>
      </c>
      <c r="M248" s="276" t="s">
        <v>1790</v>
      </c>
      <c r="N248" s="276" t="s">
        <v>1791</v>
      </c>
    </row>
    <row r="249" spans="1:14" ht="50.45">
      <c r="A249" s="268" t="str">
        <f t="shared" si="3"/>
        <v>Conceptual Thinking|Unit Head/Specialist|3</v>
      </c>
      <c r="B249" s="223" t="s">
        <v>563</v>
      </c>
      <c r="C249" s="227" t="s">
        <v>13</v>
      </c>
      <c r="D249" s="227">
        <v>3</v>
      </c>
      <c r="E249" s="227" t="s">
        <v>623</v>
      </c>
      <c r="F249" s="227">
        <v>2</v>
      </c>
      <c r="G249" s="276" t="s">
        <v>1792</v>
      </c>
      <c r="H249" s="276" t="s">
        <v>1793</v>
      </c>
      <c r="I249" s="276" t="s">
        <v>1794</v>
      </c>
      <c r="J249" s="276" t="s">
        <v>1795</v>
      </c>
      <c r="K249" s="276" t="s">
        <v>591</v>
      </c>
      <c r="L249" s="276" t="s">
        <v>592</v>
      </c>
      <c r="M249" s="276" t="s">
        <v>1796</v>
      </c>
      <c r="N249" s="276" t="s">
        <v>594</v>
      </c>
    </row>
    <row r="250" spans="1:14" ht="50.45">
      <c r="A250" s="268" t="str">
        <f t="shared" si="3"/>
        <v>Conceptual Thinking|Unit Head/Specialist|3</v>
      </c>
      <c r="B250" s="223" t="s">
        <v>563</v>
      </c>
      <c r="C250" s="227" t="s">
        <v>13</v>
      </c>
      <c r="D250" s="227">
        <v>3</v>
      </c>
      <c r="E250" s="227" t="s">
        <v>623</v>
      </c>
      <c r="F250" s="227">
        <v>3</v>
      </c>
      <c r="G250" s="276" t="s">
        <v>1797</v>
      </c>
      <c r="H250" s="276" t="s">
        <v>1798</v>
      </c>
      <c r="I250" s="276" t="s">
        <v>1799</v>
      </c>
      <c r="J250" s="276" t="s">
        <v>1800</v>
      </c>
      <c r="K250" s="276" t="s">
        <v>591</v>
      </c>
      <c r="L250" s="276" t="s">
        <v>592</v>
      </c>
      <c r="M250" s="276" t="s">
        <v>1801</v>
      </c>
      <c r="N250" s="276" t="s">
        <v>1802</v>
      </c>
    </row>
    <row r="251" spans="1:14" ht="67.150000000000006">
      <c r="A251" s="268" t="str">
        <f t="shared" si="3"/>
        <v>Conceptual Thinking|Unit Head/Specialist|4</v>
      </c>
      <c r="B251" s="223" t="s">
        <v>563</v>
      </c>
      <c r="C251" s="227" t="s">
        <v>13</v>
      </c>
      <c r="D251" s="227">
        <v>4</v>
      </c>
      <c r="E251" s="227" t="s">
        <v>641</v>
      </c>
      <c r="F251" s="227">
        <v>1</v>
      </c>
      <c r="G251" s="276" t="s">
        <v>1803</v>
      </c>
      <c r="H251" s="276" t="s">
        <v>1804</v>
      </c>
      <c r="I251" s="276" t="s">
        <v>1805</v>
      </c>
      <c r="J251" s="276" t="s">
        <v>1806</v>
      </c>
      <c r="K251" s="276" t="s">
        <v>591</v>
      </c>
      <c r="L251" s="276" t="s">
        <v>592</v>
      </c>
      <c r="M251" s="276" t="s">
        <v>1807</v>
      </c>
      <c r="N251" s="276" t="s">
        <v>622</v>
      </c>
    </row>
    <row r="252" spans="1:14" ht="50.45">
      <c r="A252" s="268" t="str">
        <f t="shared" si="3"/>
        <v>Conceptual Thinking|Unit Head/Specialist|4</v>
      </c>
      <c r="B252" s="223" t="s">
        <v>563</v>
      </c>
      <c r="C252" s="227" t="s">
        <v>13</v>
      </c>
      <c r="D252" s="227">
        <v>4</v>
      </c>
      <c r="E252" s="227" t="s">
        <v>641</v>
      </c>
      <c r="F252" s="227">
        <v>2</v>
      </c>
      <c r="G252" s="276" t="s">
        <v>1808</v>
      </c>
      <c r="H252" s="276" t="s">
        <v>1809</v>
      </c>
      <c r="I252" s="276" t="s">
        <v>1810</v>
      </c>
      <c r="J252" s="276" t="s">
        <v>1811</v>
      </c>
      <c r="K252" s="276" t="s">
        <v>591</v>
      </c>
      <c r="L252" s="276" t="s">
        <v>592</v>
      </c>
      <c r="M252" s="276" t="s">
        <v>1812</v>
      </c>
      <c r="N252" s="276" t="s">
        <v>622</v>
      </c>
    </row>
    <row r="253" spans="1:14" ht="50.45">
      <c r="A253" s="268" t="str">
        <f t="shared" si="3"/>
        <v>Conceptual Thinking|Unit Head/Specialist|4</v>
      </c>
      <c r="B253" s="223" t="s">
        <v>563</v>
      </c>
      <c r="C253" s="227" t="s">
        <v>13</v>
      </c>
      <c r="D253" s="227">
        <v>4</v>
      </c>
      <c r="E253" s="227" t="s">
        <v>641</v>
      </c>
      <c r="F253" s="227">
        <v>3</v>
      </c>
      <c r="G253" s="276" t="s">
        <v>1813</v>
      </c>
      <c r="H253" s="276" t="s">
        <v>1814</v>
      </c>
      <c r="I253" s="276" t="s">
        <v>1815</v>
      </c>
      <c r="J253" s="276" t="s">
        <v>1816</v>
      </c>
      <c r="K253" s="276" t="s">
        <v>591</v>
      </c>
      <c r="L253" s="276" t="s">
        <v>592</v>
      </c>
      <c r="M253" s="276" t="s">
        <v>1817</v>
      </c>
      <c r="N253" s="276" t="s">
        <v>622</v>
      </c>
    </row>
    <row r="254" spans="1:14" ht="67.150000000000006">
      <c r="A254" s="268" t="str">
        <f t="shared" si="3"/>
        <v>Conceptual Thinking|Department Head|1</v>
      </c>
      <c r="B254" s="223" t="s">
        <v>563</v>
      </c>
      <c r="C254" s="227" t="s">
        <v>779</v>
      </c>
      <c r="D254" s="226">
        <v>1</v>
      </c>
      <c r="E254" s="227" t="s">
        <v>586</v>
      </c>
      <c r="F254" s="227">
        <v>1</v>
      </c>
      <c r="G254" s="276" t="s">
        <v>1818</v>
      </c>
      <c r="H254" s="276" t="s">
        <v>1819</v>
      </c>
      <c r="I254" s="276" t="s">
        <v>1820</v>
      </c>
      <c r="J254" s="276" t="s">
        <v>1821</v>
      </c>
      <c r="K254" s="276" t="s">
        <v>591</v>
      </c>
      <c r="L254" s="276" t="s">
        <v>592</v>
      </c>
      <c r="M254" s="276" t="s">
        <v>1822</v>
      </c>
      <c r="N254" s="276" t="s">
        <v>594</v>
      </c>
    </row>
    <row r="255" spans="1:14" ht="50.45">
      <c r="A255" s="268" t="str">
        <f t="shared" si="3"/>
        <v>Conceptual Thinking|Department Head|1</v>
      </c>
      <c r="B255" s="223" t="s">
        <v>563</v>
      </c>
      <c r="C255" s="227" t="s">
        <v>779</v>
      </c>
      <c r="D255" s="226">
        <v>1</v>
      </c>
      <c r="E255" s="227" t="s">
        <v>586</v>
      </c>
      <c r="F255" s="227">
        <v>2</v>
      </c>
      <c r="G255" s="276" t="s">
        <v>1823</v>
      </c>
      <c r="H255" s="276" t="s">
        <v>1824</v>
      </c>
      <c r="I255" s="276" t="s">
        <v>1825</v>
      </c>
      <c r="J255" s="276" t="s">
        <v>1826</v>
      </c>
      <c r="K255" s="276" t="s">
        <v>591</v>
      </c>
      <c r="L255" s="276" t="s">
        <v>592</v>
      </c>
      <c r="M255" s="276" t="s">
        <v>1827</v>
      </c>
      <c r="N255" s="276" t="s">
        <v>594</v>
      </c>
    </row>
    <row r="256" spans="1:14" ht="50.45">
      <c r="A256" s="268" t="str">
        <f t="shared" si="3"/>
        <v>Conceptual Thinking|Department Head|1</v>
      </c>
      <c r="B256" s="223" t="s">
        <v>563</v>
      </c>
      <c r="C256" s="227" t="s">
        <v>779</v>
      </c>
      <c r="D256" s="226">
        <v>1</v>
      </c>
      <c r="E256" s="227" t="s">
        <v>586</v>
      </c>
      <c r="F256" s="227">
        <v>3</v>
      </c>
      <c r="G256" s="276" t="s">
        <v>1828</v>
      </c>
      <c r="H256" s="276" t="s">
        <v>1829</v>
      </c>
      <c r="I256" s="276" t="s">
        <v>1830</v>
      </c>
      <c r="J256" s="276" t="s">
        <v>1831</v>
      </c>
      <c r="K256" s="276" t="s">
        <v>591</v>
      </c>
      <c r="L256" s="276" t="s">
        <v>592</v>
      </c>
      <c r="M256" s="276" t="s">
        <v>1832</v>
      </c>
      <c r="N256" s="276" t="s">
        <v>594</v>
      </c>
    </row>
    <row r="257" spans="1:14" ht="33.6">
      <c r="A257" s="268" t="str">
        <f t="shared" si="3"/>
        <v>Conceptual Thinking|Department Head|2</v>
      </c>
      <c r="B257" s="223" t="s">
        <v>563</v>
      </c>
      <c r="C257" s="227" t="s">
        <v>779</v>
      </c>
      <c r="D257" s="227">
        <v>2</v>
      </c>
      <c r="E257" s="227" t="s">
        <v>605</v>
      </c>
      <c r="F257" s="227">
        <v>1</v>
      </c>
      <c r="G257" s="276" t="s">
        <v>1833</v>
      </c>
      <c r="H257" s="276" t="s">
        <v>1834</v>
      </c>
      <c r="I257" s="276" t="s">
        <v>1835</v>
      </c>
      <c r="J257" s="276" t="s">
        <v>1836</v>
      </c>
      <c r="K257" s="276" t="s">
        <v>591</v>
      </c>
      <c r="L257" s="276" t="s">
        <v>592</v>
      </c>
      <c r="M257" s="276" t="s">
        <v>1837</v>
      </c>
      <c r="N257" s="276" t="s">
        <v>737</v>
      </c>
    </row>
    <row r="258" spans="1:14" ht="33.6">
      <c r="A258" s="268" t="str">
        <f t="shared" si="3"/>
        <v>Conceptual Thinking|Department Head|2</v>
      </c>
      <c r="B258" s="223" t="s">
        <v>563</v>
      </c>
      <c r="C258" s="227" t="s">
        <v>779</v>
      </c>
      <c r="D258" s="227">
        <v>2</v>
      </c>
      <c r="E258" s="227" t="s">
        <v>605</v>
      </c>
      <c r="F258" s="227">
        <v>2</v>
      </c>
      <c r="G258" s="276" t="s">
        <v>1838</v>
      </c>
      <c r="H258" s="276" t="s">
        <v>1839</v>
      </c>
      <c r="I258" s="276" t="s">
        <v>1840</v>
      </c>
      <c r="J258" s="276" t="s">
        <v>1841</v>
      </c>
      <c r="K258" s="276" t="s">
        <v>591</v>
      </c>
      <c r="L258" s="276" t="s">
        <v>592</v>
      </c>
      <c r="M258" s="276" t="s">
        <v>1842</v>
      </c>
      <c r="N258" s="276" t="s">
        <v>737</v>
      </c>
    </row>
    <row r="259" spans="1:14" ht="67.150000000000006">
      <c r="A259" s="268" t="str">
        <f t="shared" ref="A259:A322" si="4">B259 &amp; "|" &amp; C259 &amp; "|" &amp; D259</f>
        <v>Conceptual Thinking|Department Head|2</v>
      </c>
      <c r="B259" s="223" t="s">
        <v>563</v>
      </c>
      <c r="C259" s="227" t="s">
        <v>779</v>
      </c>
      <c r="D259" s="227">
        <v>2</v>
      </c>
      <c r="E259" s="227" t="s">
        <v>605</v>
      </c>
      <c r="F259" s="227">
        <v>3</v>
      </c>
      <c r="G259" s="276" t="s">
        <v>1843</v>
      </c>
      <c r="H259" s="276" t="s">
        <v>1844</v>
      </c>
      <c r="I259" s="276" t="s">
        <v>1845</v>
      </c>
      <c r="J259" s="276" t="s">
        <v>1846</v>
      </c>
      <c r="K259" s="276" t="s">
        <v>591</v>
      </c>
      <c r="L259" s="276" t="s">
        <v>592</v>
      </c>
      <c r="M259" s="276" t="s">
        <v>1847</v>
      </c>
      <c r="N259" s="276" t="s">
        <v>737</v>
      </c>
    </row>
    <row r="260" spans="1:14" ht="50.45">
      <c r="A260" s="268" t="str">
        <f t="shared" si="4"/>
        <v>Conceptual Thinking|Department Head|3</v>
      </c>
      <c r="B260" s="223" t="s">
        <v>563</v>
      </c>
      <c r="C260" s="227" t="s">
        <v>779</v>
      </c>
      <c r="D260" s="227">
        <v>3</v>
      </c>
      <c r="E260" s="227" t="s">
        <v>623</v>
      </c>
      <c r="F260" s="227">
        <v>1</v>
      </c>
      <c r="G260" s="276" t="s">
        <v>1848</v>
      </c>
      <c r="H260" s="276" t="s">
        <v>1849</v>
      </c>
      <c r="I260" s="276" t="s">
        <v>1850</v>
      </c>
      <c r="J260" s="276" t="s">
        <v>1851</v>
      </c>
      <c r="K260" s="276" t="s">
        <v>591</v>
      </c>
      <c r="L260" s="276" t="s">
        <v>592</v>
      </c>
      <c r="M260" s="276" t="s">
        <v>1852</v>
      </c>
      <c r="N260" s="276" t="s">
        <v>1853</v>
      </c>
    </row>
    <row r="261" spans="1:14" ht="50.45">
      <c r="A261" s="268" t="str">
        <f t="shared" si="4"/>
        <v>Conceptual Thinking|Department Head|3</v>
      </c>
      <c r="B261" s="223" t="s">
        <v>563</v>
      </c>
      <c r="C261" s="227" t="s">
        <v>779</v>
      </c>
      <c r="D261" s="227">
        <v>3</v>
      </c>
      <c r="E261" s="227" t="s">
        <v>623</v>
      </c>
      <c r="F261" s="227">
        <v>2</v>
      </c>
      <c r="G261" s="276" t="s">
        <v>1854</v>
      </c>
      <c r="H261" s="276" t="s">
        <v>1855</v>
      </c>
      <c r="I261" s="276" t="s">
        <v>1856</v>
      </c>
      <c r="J261" s="276" t="s">
        <v>1857</v>
      </c>
      <c r="K261" s="276" t="s">
        <v>591</v>
      </c>
      <c r="L261" s="276" t="s">
        <v>592</v>
      </c>
      <c r="M261" s="276" t="s">
        <v>1858</v>
      </c>
      <c r="N261" s="276" t="s">
        <v>1859</v>
      </c>
    </row>
    <row r="262" spans="1:14" ht="67.150000000000006">
      <c r="A262" s="268" t="str">
        <f t="shared" si="4"/>
        <v>Conceptual Thinking|Department Head|3</v>
      </c>
      <c r="B262" s="223" t="s">
        <v>563</v>
      </c>
      <c r="C262" s="227" t="s">
        <v>779</v>
      </c>
      <c r="D262" s="227">
        <v>3</v>
      </c>
      <c r="E262" s="227" t="s">
        <v>623</v>
      </c>
      <c r="F262" s="227">
        <v>3</v>
      </c>
      <c r="G262" s="276" t="s">
        <v>1860</v>
      </c>
      <c r="H262" s="276" t="s">
        <v>1861</v>
      </c>
      <c r="I262" s="276" t="s">
        <v>1862</v>
      </c>
      <c r="J262" s="276" t="s">
        <v>1863</v>
      </c>
      <c r="K262" s="276" t="s">
        <v>591</v>
      </c>
      <c r="L262" s="276" t="s">
        <v>592</v>
      </c>
      <c r="M262" s="276" t="s">
        <v>1864</v>
      </c>
      <c r="N262" s="276" t="s">
        <v>1791</v>
      </c>
    </row>
    <row r="263" spans="1:14" ht="67.150000000000006">
      <c r="A263" s="268" t="str">
        <f t="shared" si="4"/>
        <v>Conceptual Thinking|Department Head|4</v>
      </c>
      <c r="B263" s="223" t="s">
        <v>563</v>
      </c>
      <c r="C263" s="227" t="s">
        <v>779</v>
      </c>
      <c r="D263" s="227">
        <v>4</v>
      </c>
      <c r="E263" s="227" t="s">
        <v>641</v>
      </c>
      <c r="F263" s="227">
        <v>1</v>
      </c>
      <c r="G263" s="276" t="s">
        <v>1865</v>
      </c>
      <c r="H263" s="276" t="s">
        <v>1866</v>
      </c>
      <c r="I263" s="276" t="s">
        <v>1867</v>
      </c>
      <c r="J263" s="276" t="s">
        <v>1868</v>
      </c>
      <c r="K263" s="276" t="s">
        <v>591</v>
      </c>
      <c r="L263" s="276" t="s">
        <v>592</v>
      </c>
      <c r="M263" s="276" t="s">
        <v>1869</v>
      </c>
      <c r="N263" s="276" t="s">
        <v>622</v>
      </c>
    </row>
    <row r="264" spans="1:14" ht="50.45">
      <c r="A264" s="268" t="str">
        <f t="shared" si="4"/>
        <v>Conceptual Thinking|Department Head|4</v>
      </c>
      <c r="B264" s="223" t="s">
        <v>563</v>
      </c>
      <c r="C264" s="227" t="s">
        <v>779</v>
      </c>
      <c r="D264" s="227">
        <v>4</v>
      </c>
      <c r="E264" s="227" t="s">
        <v>641</v>
      </c>
      <c r="F264" s="227">
        <v>2</v>
      </c>
      <c r="G264" s="276" t="s">
        <v>1870</v>
      </c>
      <c r="H264" s="276" t="s">
        <v>1871</v>
      </c>
      <c r="I264" s="276" t="s">
        <v>1872</v>
      </c>
      <c r="J264" s="276" t="s">
        <v>1873</v>
      </c>
      <c r="K264" s="276" t="s">
        <v>591</v>
      </c>
      <c r="L264" s="276" t="s">
        <v>592</v>
      </c>
      <c r="M264" s="276" t="s">
        <v>1874</v>
      </c>
      <c r="N264" s="276" t="s">
        <v>622</v>
      </c>
    </row>
    <row r="265" spans="1:14" ht="50.45">
      <c r="A265" s="268" t="str">
        <f t="shared" si="4"/>
        <v>Conceptual Thinking|Department Head|4</v>
      </c>
      <c r="B265" s="223" t="s">
        <v>563</v>
      </c>
      <c r="C265" s="227" t="s">
        <v>779</v>
      </c>
      <c r="D265" s="227">
        <v>4</v>
      </c>
      <c r="E265" s="227" t="s">
        <v>641</v>
      </c>
      <c r="F265" s="227">
        <v>3</v>
      </c>
      <c r="G265" s="276" t="s">
        <v>1875</v>
      </c>
      <c r="H265" s="276" t="s">
        <v>1876</v>
      </c>
      <c r="I265" s="276" t="s">
        <v>1877</v>
      </c>
      <c r="J265" s="276" t="s">
        <v>1878</v>
      </c>
      <c r="K265" s="276" t="s">
        <v>591</v>
      </c>
      <c r="L265" s="276" t="s">
        <v>592</v>
      </c>
      <c r="M265" s="276" t="s">
        <v>1879</v>
      </c>
      <c r="N265" s="276" t="s">
        <v>1880</v>
      </c>
    </row>
    <row r="266" spans="1:14" ht="67.150000000000006">
      <c r="A266" s="268" t="str">
        <f t="shared" si="4"/>
        <v>Conceptual Thinking|Division Head|1</v>
      </c>
      <c r="B266" s="223" t="s">
        <v>563</v>
      </c>
      <c r="C266" s="227" t="s">
        <v>838</v>
      </c>
      <c r="D266" s="226">
        <v>1</v>
      </c>
      <c r="E266" s="227" t="s">
        <v>586</v>
      </c>
      <c r="F266" s="227">
        <v>1</v>
      </c>
      <c r="G266" s="276" t="s">
        <v>1881</v>
      </c>
      <c r="H266" s="276" t="s">
        <v>1882</v>
      </c>
      <c r="I266" s="276" t="s">
        <v>1883</v>
      </c>
      <c r="J266" s="276" t="s">
        <v>1884</v>
      </c>
      <c r="K266" s="276" t="s">
        <v>591</v>
      </c>
      <c r="L266" s="276" t="s">
        <v>592</v>
      </c>
      <c r="M266" s="276" t="s">
        <v>1885</v>
      </c>
      <c r="N266" s="276" t="s">
        <v>594</v>
      </c>
    </row>
    <row r="267" spans="1:14" ht="50.45">
      <c r="A267" s="268" t="str">
        <f t="shared" si="4"/>
        <v>Conceptual Thinking|Division Head|1</v>
      </c>
      <c r="B267" s="223" t="s">
        <v>563</v>
      </c>
      <c r="C267" s="227" t="s">
        <v>838</v>
      </c>
      <c r="D267" s="226">
        <v>1</v>
      </c>
      <c r="E267" s="227" t="s">
        <v>586</v>
      </c>
      <c r="F267" s="227">
        <v>2</v>
      </c>
      <c r="G267" s="276" t="s">
        <v>1886</v>
      </c>
      <c r="H267" s="276" t="s">
        <v>1887</v>
      </c>
      <c r="I267" s="276" t="s">
        <v>1888</v>
      </c>
      <c r="J267" s="276" t="s">
        <v>1889</v>
      </c>
      <c r="K267" s="276" t="s">
        <v>591</v>
      </c>
      <c r="L267" s="276" t="s">
        <v>592</v>
      </c>
      <c r="M267" s="276" t="s">
        <v>1890</v>
      </c>
      <c r="N267" s="276" t="s">
        <v>594</v>
      </c>
    </row>
    <row r="268" spans="1:14" ht="67.150000000000006">
      <c r="A268" s="268" t="str">
        <f t="shared" si="4"/>
        <v>Conceptual Thinking|Division Head|1</v>
      </c>
      <c r="B268" s="223" t="s">
        <v>563</v>
      </c>
      <c r="C268" s="227" t="s">
        <v>838</v>
      </c>
      <c r="D268" s="226">
        <v>1</v>
      </c>
      <c r="E268" s="227" t="s">
        <v>586</v>
      </c>
      <c r="F268" s="227">
        <v>3</v>
      </c>
      <c r="G268" s="276" t="s">
        <v>1891</v>
      </c>
      <c r="H268" s="276" t="s">
        <v>1892</v>
      </c>
      <c r="I268" s="276" t="s">
        <v>1893</v>
      </c>
      <c r="J268" s="276" t="s">
        <v>1894</v>
      </c>
      <c r="K268" s="276" t="s">
        <v>591</v>
      </c>
      <c r="L268" s="276" t="s">
        <v>592</v>
      </c>
      <c r="M268" s="276" t="s">
        <v>1895</v>
      </c>
      <c r="N268" s="276" t="s">
        <v>594</v>
      </c>
    </row>
    <row r="269" spans="1:14" ht="50.45">
      <c r="A269" s="268" t="str">
        <f t="shared" si="4"/>
        <v>Conceptual Thinking|Division Head|2</v>
      </c>
      <c r="B269" s="223" t="s">
        <v>563</v>
      </c>
      <c r="C269" s="227" t="s">
        <v>838</v>
      </c>
      <c r="D269" s="227">
        <v>2</v>
      </c>
      <c r="E269" s="227" t="s">
        <v>605</v>
      </c>
      <c r="F269" s="227">
        <v>1</v>
      </c>
      <c r="G269" s="276" t="s">
        <v>1896</v>
      </c>
      <c r="H269" s="276" t="s">
        <v>1897</v>
      </c>
      <c r="I269" s="276" t="s">
        <v>1898</v>
      </c>
      <c r="J269" s="276" t="s">
        <v>1899</v>
      </c>
      <c r="K269" s="276" t="s">
        <v>591</v>
      </c>
      <c r="L269" s="276" t="s">
        <v>592</v>
      </c>
      <c r="M269" s="276" t="s">
        <v>1900</v>
      </c>
      <c r="N269" s="276" t="s">
        <v>611</v>
      </c>
    </row>
    <row r="270" spans="1:14" ht="50.45">
      <c r="A270" s="268" t="str">
        <f t="shared" si="4"/>
        <v>Conceptual Thinking|Division Head|2</v>
      </c>
      <c r="B270" s="223" t="s">
        <v>563</v>
      </c>
      <c r="C270" s="227" t="s">
        <v>838</v>
      </c>
      <c r="D270" s="227">
        <v>2</v>
      </c>
      <c r="E270" s="227" t="s">
        <v>605</v>
      </c>
      <c r="F270" s="227">
        <v>2</v>
      </c>
      <c r="G270" s="276" t="s">
        <v>1901</v>
      </c>
      <c r="H270" s="276" t="s">
        <v>1902</v>
      </c>
      <c r="I270" s="276" t="s">
        <v>1903</v>
      </c>
      <c r="J270" s="276" t="s">
        <v>1904</v>
      </c>
      <c r="K270" s="276" t="s">
        <v>591</v>
      </c>
      <c r="L270" s="276" t="s">
        <v>592</v>
      </c>
      <c r="M270" s="276" t="s">
        <v>1905</v>
      </c>
      <c r="N270" s="276" t="s">
        <v>622</v>
      </c>
    </row>
    <row r="271" spans="1:14" ht="50.45">
      <c r="A271" s="268" t="str">
        <f t="shared" si="4"/>
        <v>Conceptual Thinking|Division Head|2</v>
      </c>
      <c r="B271" s="223" t="s">
        <v>563</v>
      </c>
      <c r="C271" s="227" t="s">
        <v>838</v>
      </c>
      <c r="D271" s="227">
        <v>2</v>
      </c>
      <c r="E271" s="227" t="s">
        <v>605</v>
      </c>
      <c r="F271" s="227">
        <v>3</v>
      </c>
      <c r="G271" s="276" t="s">
        <v>1906</v>
      </c>
      <c r="H271" s="276" t="s">
        <v>1907</v>
      </c>
      <c r="I271" s="276" t="s">
        <v>1908</v>
      </c>
      <c r="J271" s="276" t="s">
        <v>1909</v>
      </c>
      <c r="K271" s="276" t="s">
        <v>591</v>
      </c>
      <c r="L271" s="276" t="s">
        <v>592</v>
      </c>
      <c r="M271" s="276" t="s">
        <v>1663</v>
      </c>
      <c r="N271" s="276" t="s">
        <v>737</v>
      </c>
    </row>
    <row r="272" spans="1:14" ht="67.150000000000006">
      <c r="A272" s="268" t="str">
        <f t="shared" si="4"/>
        <v>Conceptual Thinking|Division Head|3</v>
      </c>
      <c r="B272" s="223" t="s">
        <v>563</v>
      </c>
      <c r="C272" s="227" t="s">
        <v>838</v>
      </c>
      <c r="D272" s="227">
        <v>3</v>
      </c>
      <c r="E272" s="227" t="s">
        <v>623</v>
      </c>
      <c r="F272" s="227">
        <v>1</v>
      </c>
      <c r="G272" s="276" t="s">
        <v>1910</v>
      </c>
      <c r="H272" s="276" t="s">
        <v>1911</v>
      </c>
      <c r="I272" s="276" t="s">
        <v>1912</v>
      </c>
      <c r="J272" s="276" t="s">
        <v>936</v>
      </c>
      <c r="K272" s="276" t="s">
        <v>591</v>
      </c>
      <c r="L272" s="276" t="s">
        <v>592</v>
      </c>
      <c r="M272" s="276" t="s">
        <v>873</v>
      </c>
      <c r="N272" s="276" t="s">
        <v>594</v>
      </c>
    </row>
    <row r="273" spans="1:14" ht="50.45">
      <c r="A273" s="268" t="str">
        <f t="shared" si="4"/>
        <v>Conceptual Thinking|Division Head|3</v>
      </c>
      <c r="B273" s="223" t="s">
        <v>563</v>
      </c>
      <c r="C273" s="227" t="s">
        <v>838</v>
      </c>
      <c r="D273" s="227">
        <v>3</v>
      </c>
      <c r="E273" s="227" t="s">
        <v>623</v>
      </c>
      <c r="F273" s="227">
        <v>2</v>
      </c>
      <c r="G273" s="276" t="s">
        <v>1913</v>
      </c>
      <c r="H273" s="276" t="s">
        <v>1914</v>
      </c>
      <c r="I273" s="276" t="s">
        <v>1915</v>
      </c>
      <c r="J273" s="276" t="s">
        <v>1916</v>
      </c>
      <c r="K273" s="276" t="s">
        <v>591</v>
      </c>
      <c r="L273" s="276" t="s">
        <v>592</v>
      </c>
      <c r="M273" s="276" t="s">
        <v>1917</v>
      </c>
      <c r="N273" s="276" t="s">
        <v>1918</v>
      </c>
    </row>
    <row r="274" spans="1:14" ht="67.150000000000006">
      <c r="A274" s="268" t="str">
        <f t="shared" si="4"/>
        <v>Conceptual Thinking|Division Head|3</v>
      </c>
      <c r="B274" s="223" t="s">
        <v>563</v>
      </c>
      <c r="C274" s="227" t="s">
        <v>838</v>
      </c>
      <c r="D274" s="227">
        <v>3</v>
      </c>
      <c r="E274" s="227" t="s">
        <v>623</v>
      </c>
      <c r="F274" s="227">
        <v>3</v>
      </c>
      <c r="G274" s="276" t="s">
        <v>1919</v>
      </c>
      <c r="H274" s="276" t="s">
        <v>1920</v>
      </c>
      <c r="I274" s="276" t="s">
        <v>1921</v>
      </c>
      <c r="J274" s="276" t="s">
        <v>638</v>
      </c>
      <c r="K274" s="276" t="s">
        <v>591</v>
      </c>
      <c r="L274" s="276" t="s">
        <v>592</v>
      </c>
      <c r="M274" s="276" t="s">
        <v>1922</v>
      </c>
      <c r="N274" s="276" t="s">
        <v>640</v>
      </c>
    </row>
    <row r="275" spans="1:14" ht="67.150000000000006">
      <c r="A275" s="268" t="str">
        <f t="shared" si="4"/>
        <v>Conceptual Thinking|Division Head|4</v>
      </c>
      <c r="B275" s="223" t="s">
        <v>563</v>
      </c>
      <c r="C275" s="227" t="s">
        <v>838</v>
      </c>
      <c r="D275" s="227">
        <v>4</v>
      </c>
      <c r="E275" s="227" t="s">
        <v>641</v>
      </c>
      <c r="F275" s="227">
        <v>1</v>
      </c>
      <c r="G275" s="276" t="s">
        <v>1923</v>
      </c>
      <c r="H275" s="276" t="s">
        <v>1924</v>
      </c>
      <c r="I275" s="276" t="s">
        <v>1925</v>
      </c>
      <c r="J275" s="276" t="s">
        <v>1926</v>
      </c>
      <c r="K275" s="276" t="s">
        <v>591</v>
      </c>
      <c r="L275" s="276" t="s">
        <v>592</v>
      </c>
      <c r="M275" s="276" t="s">
        <v>1927</v>
      </c>
      <c r="N275" s="276" t="s">
        <v>1928</v>
      </c>
    </row>
    <row r="276" spans="1:14" ht="84">
      <c r="A276" s="268" t="str">
        <f t="shared" si="4"/>
        <v>Conceptual Thinking|Division Head|4</v>
      </c>
      <c r="B276" s="223" t="s">
        <v>563</v>
      </c>
      <c r="C276" s="227" t="s">
        <v>838</v>
      </c>
      <c r="D276" s="227">
        <v>4</v>
      </c>
      <c r="E276" s="227" t="s">
        <v>641</v>
      </c>
      <c r="F276" s="227">
        <v>2</v>
      </c>
      <c r="G276" s="276" t="s">
        <v>1929</v>
      </c>
      <c r="H276" s="276" t="s">
        <v>1930</v>
      </c>
      <c r="I276" s="276" t="s">
        <v>1931</v>
      </c>
      <c r="J276" s="276" t="s">
        <v>1932</v>
      </c>
      <c r="K276" s="276" t="s">
        <v>591</v>
      </c>
      <c r="L276" s="276" t="s">
        <v>592</v>
      </c>
      <c r="M276" s="276" t="s">
        <v>1933</v>
      </c>
      <c r="N276" s="276" t="s">
        <v>622</v>
      </c>
    </row>
    <row r="277" spans="1:14" ht="67.150000000000006">
      <c r="A277" s="268" t="str">
        <f t="shared" si="4"/>
        <v>Conceptual Thinking|Division Head|4</v>
      </c>
      <c r="B277" s="223" t="s">
        <v>563</v>
      </c>
      <c r="C277" s="227" t="s">
        <v>838</v>
      </c>
      <c r="D277" s="227">
        <v>4</v>
      </c>
      <c r="E277" s="227" t="s">
        <v>641</v>
      </c>
      <c r="F277" s="227">
        <v>3</v>
      </c>
      <c r="G277" s="276" t="s">
        <v>1934</v>
      </c>
      <c r="H277" s="276" t="s">
        <v>1935</v>
      </c>
      <c r="I277" s="276" t="s">
        <v>1936</v>
      </c>
      <c r="J277" s="276" t="s">
        <v>1937</v>
      </c>
      <c r="K277" s="276" t="s">
        <v>591</v>
      </c>
      <c r="L277" s="276" t="s">
        <v>592</v>
      </c>
      <c r="M277" s="276" t="s">
        <v>1938</v>
      </c>
      <c r="N277" s="276" t="s">
        <v>622</v>
      </c>
    </row>
    <row r="278" spans="1:14" ht="79.150000000000006">
      <c r="A278" s="268" t="str">
        <f t="shared" si="4"/>
        <v>Conceptual Thinking|Director|1</v>
      </c>
      <c r="B278" s="223" t="s">
        <v>563</v>
      </c>
      <c r="C278" s="227" t="s">
        <v>898</v>
      </c>
      <c r="D278" s="226">
        <v>1</v>
      </c>
      <c r="E278" s="227" t="s">
        <v>586</v>
      </c>
      <c r="F278" s="227">
        <v>1</v>
      </c>
      <c r="G278" s="277" t="s">
        <v>1569</v>
      </c>
      <c r="H278" s="277" t="s">
        <v>1570</v>
      </c>
      <c r="I278" s="277" t="s">
        <v>1571</v>
      </c>
      <c r="J278" s="277" t="s">
        <v>1572</v>
      </c>
      <c r="K278" s="277" t="s">
        <v>591</v>
      </c>
      <c r="L278" s="277" t="s">
        <v>592</v>
      </c>
      <c r="M278" s="277" t="s">
        <v>1573</v>
      </c>
      <c r="N278" s="277" t="s">
        <v>594</v>
      </c>
    </row>
    <row r="279" spans="1:14" ht="52.9">
      <c r="A279" s="268" t="str">
        <f t="shared" si="4"/>
        <v>Conceptual Thinking|Director|1</v>
      </c>
      <c r="B279" s="223" t="s">
        <v>563</v>
      </c>
      <c r="C279" s="227" t="s">
        <v>898</v>
      </c>
      <c r="D279" s="226">
        <v>1</v>
      </c>
      <c r="E279" s="227" t="s">
        <v>586</v>
      </c>
      <c r="F279" s="227">
        <v>2</v>
      </c>
      <c r="G279" s="277" t="s">
        <v>1574</v>
      </c>
      <c r="H279" s="277" t="s">
        <v>1575</v>
      </c>
      <c r="I279" s="277" t="s">
        <v>1576</v>
      </c>
      <c r="J279" s="277" t="s">
        <v>1577</v>
      </c>
      <c r="K279" s="277" t="s">
        <v>591</v>
      </c>
      <c r="L279" s="277" t="s">
        <v>592</v>
      </c>
      <c r="M279" s="277" t="s">
        <v>1578</v>
      </c>
      <c r="N279" s="277" t="s">
        <v>594</v>
      </c>
    </row>
    <row r="280" spans="1:14" ht="79.150000000000006">
      <c r="A280" s="268" t="str">
        <f t="shared" si="4"/>
        <v>Conceptual Thinking|Director|1</v>
      </c>
      <c r="B280" s="223" t="s">
        <v>563</v>
      </c>
      <c r="C280" s="227" t="s">
        <v>898</v>
      </c>
      <c r="D280" s="226">
        <v>1</v>
      </c>
      <c r="E280" s="227" t="s">
        <v>586</v>
      </c>
      <c r="F280" s="227">
        <v>3</v>
      </c>
      <c r="G280" s="277" t="s">
        <v>1579</v>
      </c>
      <c r="H280" s="277" t="s">
        <v>1580</v>
      </c>
      <c r="I280" s="277" t="s">
        <v>1581</v>
      </c>
      <c r="J280" s="277" t="s">
        <v>1582</v>
      </c>
      <c r="K280" s="277" t="s">
        <v>591</v>
      </c>
      <c r="L280" s="277" t="s">
        <v>592</v>
      </c>
      <c r="M280" s="277" t="s">
        <v>1583</v>
      </c>
      <c r="N280" s="277" t="s">
        <v>622</v>
      </c>
    </row>
    <row r="281" spans="1:14" ht="66">
      <c r="A281" s="268" t="str">
        <f t="shared" si="4"/>
        <v>Conceptual Thinking|Director|2</v>
      </c>
      <c r="B281" s="223" t="s">
        <v>563</v>
      </c>
      <c r="C281" s="227" t="s">
        <v>898</v>
      </c>
      <c r="D281" s="227">
        <v>2</v>
      </c>
      <c r="E281" s="227" t="s">
        <v>605</v>
      </c>
      <c r="F281" s="227">
        <v>1</v>
      </c>
      <c r="G281" s="277" t="s">
        <v>1584</v>
      </c>
      <c r="H281" s="277" t="s">
        <v>1585</v>
      </c>
      <c r="I281" s="277" t="s">
        <v>1586</v>
      </c>
      <c r="J281" s="277" t="s">
        <v>1587</v>
      </c>
      <c r="K281" s="277" t="s">
        <v>591</v>
      </c>
      <c r="L281" s="277" t="s">
        <v>592</v>
      </c>
      <c r="M281" s="277" t="s">
        <v>1588</v>
      </c>
      <c r="N281" s="277" t="s">
        <v>1589</v>
      </c>
    </row>
    <row r="282" spans="1:14" ht="52.9">
      <c r="A282" s="268" t="str">
        <f t="shared" si="4"/>
        <v>Conceptual Thinking|Director|2</v>
      </c>
      <c r="B282" s="223" t="s">
        <v>563</v>
      </c>
      <c r="C282" s="227" t="s">
        <v>898</v>
      </c>
      <c r="D282" s="227">
        <v>2</v>
      </c>
      <c r="E282" s="227" t="s">
        <v>605</v>
      </c>
      <c r="F282" s="227">
        <v>2</v>
      </c>
      <c r="G282" s="277" t="s">
        <v>1590</v>
      </c>
      <c r="H282" s="277" t="s">
        <v>1591</v>
      </c>
      <c r="I282" s="277" t="s">
        <v>1592</v>
      </c>
      <c r="J282" s="277" t="s">
        <v>1593</v>
      </c>
      <c r="K282" s="277" t="s">
        <v>591</v>
      </c>
      <c r="L282" s="277" t="s">
        <v>592</v>
      </c>
      <c r="M282" s="277" t="s">
        <v>1594</v>
      </c>
      <c r="N282" s="277" t="s">
        <v>1595</v>
      </c>
    </row>
    <row r="283" spans="1:14" ht="52.9">
      <c r="A283" s="268" t="str">
        <f t="shared" si="4"/>
        <v>Conceptual Thinking|Director|2</v>
      </c>
      <c r="B283" s="223" t="s">
        <v>563</v>
      </c>
      <c r="C283" s="227" t="s">
        <v>898</v>
      </c>
      <c r="D283" s="227">
        <v>2</v>
      </c>
      <c r="E283" s="227" t="s">
        <v>605</v>
      </c>
      <c r="F283" s="227">
        <v>3</v>
      </c>
      <c r="G283" s="277" t="s">
        <v>1596</v>
      </c>
      <c r="H283" s="277" t="s">
        <v>1597</v>
      </c>
      <c r="I283" s="277" t="s">
        <v>1598</v>
      </c>
      <c r="J283" s="277" t="s">
        <v>1599</v>
      </c>
      <c r="K283" s="277" t="s">
        <v>591</v>
      </c>
      <c r="L283" s="277" t="s">
        <v>592</v>
      </c>
      <c r="M283" s="277" t="s">
        <v>1600</v>
      </c>
      <c r="N283" s="277" t="s">
        <v>622</v>
      </c>
    </row>
    <row r="284" spans="1:14" ht="66">
      <c r="A284" s="268" t="str">
        <f t="shared" si="4"/>
        <v>Conceptual Thinking|Director|3</v>
      </c>
      <c r="B284" s="223" t="s">
        <v>563</v>
      </c>
      <c r="C284" s="227" t="s">
        <v>898</v>
      </c>
      <c r="D284" s="227">
        <v>3</v>
      </c>
      <c r="E284" s="227" t="s">
        <v>623</v>
      </c>
      <c r="F284" s="227">
        <v>1</v>
      </c>
      <c r="G284" s="277" t="s">
        <v>1601</v>
      </c>
      <c r="H284" s="277" t="s">
        <v>1602</v>
      </c>
      <c r="I284" s="277" t="s">
        <v>1603</v>
      </c>
      <c r="J284" s="277" t="s">
        <v>1604</v>
      </c>
      <c r="K284" s="277" t="s">
        <v>591</v>
      </c>
      <c r="L284" s="277" t="s">
        <v>592</v>
      </c>
      <c r="M284" s="277" t="s">
        <v>1605</v>
      </c>
      <c r="N284" s="277" t="s">
        <v>594</v>
      </c>
    </row>
    <row r="285" spans="1:14" ht="79.150000000000006">
      <c r="A285" s="268" t="str">
        <f t="shared" si="4"/>
        <v>Conceptual Thinking|Director|3</v>
      </c>
      <c r="B285" s="223" t="s">
        <v>563</v>
      </c>
      <c r="C285" s="227" t="s">
        <v>898</v>
      </c>
      <c r="D285" s="227">
        <v>3</v>
      </c>
      <c r="E285" s="227" t="s">
        <v>623</v>
      </c>
      <c r="F285" s="227">
        <v>2</v>
      </c>
      <c r="G285" s="277" t="s">
        <v>1606</v>
      </c>
      <c r="H285" s="277" t="s">
        <v>1607</v>
      </c>
      <c r="I285" s="277" t="s">
        <v>1608</v>
      </c>
      <c r="J285" s="277" t="s">
        <v>1609</v>
      </c>
      <c r="K285" s="277" t="s">
        <v>591</v>
      </c>
      <c r="L285" s="277" t="s">
        <v>592</v>
      </c>
      <c r="M285" s="277" t="s">
        <v>1610</v>
      </c>
      <c r="N285" s="277" t="s">
        <v>594</v>
      </c>
    </row>
    <row r="286" spans="1:14" ht="92.45">
      <c r="A286" s="268" t="str">
        <f t="shared" si="4"/>
        <v>Conceptual Thinking|Director|3</v>
      </c>
      <c r="B286" s="223" t="s">
        <v>563</v>
      </c>
      <c r="C286" s="227" t="s">
        <v>898</v>
      </c>
      <c r="D286" s="227">
        <v>3</v>
      </c>
      <c r="E286" s="227" t="s">
        <v>623</v>
      </c>
      <c r="F286" s="227">
        <v>3</v>
      </c>
      <c r="G286" s="277" t="s">
        <v>1611</v>
      </c>
      <c r="H286" s="277" t="s">
        <v>1612</v>
      </c>
      <c r="I286" s="277" t="s">
        <v>1613</v>
      </c>
      <c r="J286" s="277" t="s">
        <v>1614</v>
      </c>
      <c r="K286" s="277" t="s">
        <v>591</v>
      </c>
      <c r="L286" s="277" t="s">
        <v>592</v>
      </c>
      <c r="M286" s="277" t="s">
        <v>1615</v>
      </c>
      <c r="N286" s="277" t="s">
        <v>640</v>
      </c>
    </row>
    <row r="287" spans="1:14" ht="66">
      <c r="A287" s="268" t="str">
        <f t="shared" si="4"/>
        <v>Conceptual Thinking|Director|4</v>
      </c>
      <c r="B287" s="223" t="s">
        <v>563</v>
      </c>
      <c r="C287" s="227" t="s">
        <v>898</v>
      </c>
      <c r="D287" s="227">
        <v>4</v>
      </c>
      <c r="E287" s="227" t="s">
        <v>641</v>
      </c>
      <c r="F287" s="227">
        <v>1</v>
      </c>
      <c r="G287" s="277" t="s">
        <v>1616</v>
      </c>
      <c r="H287" s="277" t="s">
        <v>1617</v>
      </c>
      <c r="I287" s="277" t="s">
        <v>1618</v>
      </c>
      <c r="J287" s="277" t="s">
        <v>1619</v>
      </c>
      <c r="K287" s="277" t="s">
        <v>591</v>
      </c>
      <c r="L287" s="277" t="s">
        <v>592</v>
      </c>
      <c r="M287" s="277" t="s">
        <v>1620</v>
      </c>
      <c r="N287" s="277" t="s">
        <v>1621</v>
      </c>
    </row>
    <row r="288" spans="1:14" ht="66">
      <c r="A288" s="268" t="str">
        <f t="shared" si="4"/>
        <v>Conceptual Thinking|Director|4</v>
      </c>
      <c r="B288" s="223" t="s">
        <v>563</v>
      </c>
      <c r="C288" s="227" t="s">
        <v>898</v>
      </c>
      <c r="D288" s="227">
        <v>4</v>
      </c>
      <c r="E288" s="227" t="s">
        <v>641</v>
      </c>
      <c r="F288" s="227">
        <v>2</v>
      </c>
      <c r="G288" s="277" t="s">
        <v>1622</v>
      </c>
      <c r="H288" s="277" t="s">
        <v>1623</v>
      </c>
      <c r="I288" s="277" t="s">
        <v>1624</v>
      </c>
      <c r="J288" s="277" t="s">
        <v>1625</v>
      </c>
      <c r="K288" s="277" t="s">
        <v>591</v>
      </c>
      <c r="L288" s="277" t="s">
        <v>592</v>
      </c>
      <c r="M288" s="277" t="s">
        <v>1626</v>
      </c>
      <c r="N288" s="277" t="s">
        <v>916</v>
      </c>
    </row>
    <row r="289" spans="1:14" ht="52.9">
      <c r="A289" s="268" t="str">
        <f t="shared" si="4"/>
        <v>Conceptual Thinking|Director|4</v>
      </c>
      <c r="B289" s="223" t="s">
        <v>563</v>
      </c>
      <c r="C289" s="227" t="s">
        <v>898</v>
      </c>
      <c r="D289" s="227">
        <v>4</v>
      </c>
      <c r="E289" s="227" t="s">
        <v>641</v>
      </c>
      <c r="F289" s="227">
        <v>3</v>
      </c>
      <c r="G289" s="277" t="s">
        <v>1627</v>
      </c>
      <c r="H289" s="277" t="s">
        <v>1628</v>
      </c>
      <c r="I289" s="277" t="s">
        <v>1629</v>
      </c>
      <c r="J289" s="277" t="s">
        <v>1630</v>
      </c>
      <c r="K289" s="277" t="s">
        <v>591</v>
      </c>
      <c r="L289" s="277" t="s">
        <v>592</v>
      </c>
      <c r="M289" s="277" t="s">
        <v>1631</v>
      </c>
      <c r="N289" s="277" t="s">
        <v>1632</v>
      </c>
    </row>
    <row r="290" spans="1:14" ht="84">
      <c r="A290" s="268" t="str">
        <f t="shared" si="4"/>
        <v>Controlling &amp; Corrective Action|Officer|1</v>
      </c>
      <c r="B290" s="223" t="s">
        <v>559</v>
      </c>
      <c r="C290" s="197" t="s">
        <v>4</v>
      </c>
      <c r="D290" s="197">
        <v>1</v>
      </c>
      <c r="E290" s="79" t="s">
        <v>586</v>
      </c>
      <c r="F290" s="79">
        <v>1</v>
      </c>
      <c r="G290" s="276" t="s">
        <v>1939</v>
      </c>
      <c r="H290" s="276" t="s">
        <v>1940</v>
      </c>
      <c r="I290" s="276" t="s">
        <v>1941</v>
      </c>
      <c r="J290" s="276" t="s">
        <v>1942</v>
      </c>
      <c r="K290" s="276" t="s">
        <v>591</v>
      </c>
      <c r="L290" s="276" t="s">
        <v>592</v>
      </c>
      <c r="M290" s="276" t="s">
        <v>1943</v>
      </c>
      <c r="N290" s="276" t="s">
        <v>594</v>
      </c>
    </row>
    <row r="291" spans="1:14" ht="67.150000000000006">
      <c r="A291" s="268" t="str">
        <f t="shared" si="4"/>
        <v>Controlling &amp; Corrective Action|Officer|1</v>
      </c>
      <c r="B291" s="223" t="s">
        <v>559</v>
      </c>
      <c r="C291" s="197" t="s">
        <v>4</v>
      </c>
      <c r="D291" s="197">
        <v>1</v>
      </c>
      <c r="E291" s="79" t="s">
        <v>586</v>
      </c>
      <c r="F291" s="79">
        <v>2</v>
      </c>
      <c r="G291" s="276" t="s">
        <v>1944</v>
      </c>
      <c r="H291" s="276" t="s">
        <v>1945</v>
      </c>
      <c r="I291" s="276" t="s">
        <v>1946</v>
      </c>
      <c r="J291" s="276" t="s">
        <v>1947</v>
      </c>
      <c r="K291" s="276" t="s">
        <v>591</v>
      </c>
      <c r="L291" s="276" t="s">
        <v>592</v>
      </c>
      <c r="M291" s="276" t="s">
        <v>1948</v>
      </c>
      <c r="N291" s="276" t="s">
        <v>622</v>
      </c>
    </row>
    <row r="292" spans="1:14" ht="50.45">
      <c r="A292" s="268" t="str">
        <f t="shared" si="4"/>
        <v>Controlling &amp; Corrective Action|Officer|1</v>
      </c>
      <c r="B292" s="223" t="s">
        <v>559</v>
      </c>
      <c r="C292" s="197" t="s">
        <v>4</v>
      </c>
      <c r="D292" s="197">
        <v>1</v>
      </c>
      <c r="E292" s="79" t="s">
        <v>586</v>
      </c>
      <c r="F292" s="79">
        <v>3</v>
      </c>
      <c r="G292" s="276" t="s">
        <v>1949</v>
      </c>
      <c r="H292" s="276" t="s">
        <v>1950</v>
      </c>
      <c r="I292" s="276" t="s">
        <v>1951</v>
      </c>
      <c r="J292" s="276" t="s">
        <v>1952</v>
      </c>
      <c r="K292" s="276" t="s">
        <v>591</v>
      </c>
      <c r="L292" s="276" t="s">
        <v>592</v>
      </c>
      <c r="M292" s="276" t="s">
        <v>1953</v>
      </c>
      <c r="N292" s="276" t="s">
        <v>594</v>
      </c>
    </row>
    <row r="293" spans="1:14" ht="50.45">
      <c r="A293" s="268" t="str">
        <f t="shared" si="4"/>
        <v>Controlling &amp; Corrective Action|Officer|2</v>
      </c>
      <c r="B293" s="223" t="s">
        <v>559</v>
      </c>
      <c r="C293" s="197" t="s">
        <v>4</v>
      </c>
      <c r="D293" s="79">
        <v>2</v>
      </c>
      <c r="E293" s="79" t="s">
        <v>605</v>
      </c>
      <c r="F293" s="79">
        <v>1</v>
      </c>
      <c r="G293" s="276" t="s">
        <v>1954</v>
      </c>
      <c r="H293" s="276" t="s">
        <v>1955</v>
      </c>
      <c r="I293" s="276" t="s">
        <v>1956</v>
      </c>
      <c r="J293" s="276" t="s">
        <v>1957</v>
      </c>
      <c r="K293" s="276" t="s">
        <v>591</v>
      </c>
      <c r="L293" s="276" t="s">
        <v>592</v>
      </c>
      <c r="M293" s="276" t="s">
        <v>1958</v>
      </c>
      <c r="N293" s="276" t="s">
        <v>611</v>
      </c>
    </row>
    <row r="294" spans="1:14" ht="50.45">
      <c r="A294" s="268" t="str">
        <f t="shared" si="4"/>
        <v>Controlling &amp; Corrective Action|Officer|2</v>
      </c>
      <c r="B294" s="223" t="s">
        <v>559</v>
      </c>
      <c r="C294" s="197" t="s">
        <v>4</v>
      </c>
      <c r="D294" s="79">
        <v>2</v>
      </c>
      <c r="E294" s="79" t="s">
        <v>605</v>
      </c>
      <c r="F294" s="79">
        <v>2</v>
      </c>
      <c r="G294" s="276" t="s">
        <v>1959</v>
      </c>
      <c r="H294" s="276" t="s">
        <v>1960</v>
      </c>
      <c r="I294" s="276" t="s">
        <v>1961</v>
      </c>
      <c r="J294" s="276" t="s">
        <v>1962</v>
      </c>
      <c r="K294" s="276" t="s">
        <v>591</v>
      </c>
      <c r="L294" s="276" t="s">
        <v>592</v>
      </c>
      <c r="M294" s="276" t="s">
        <v>1963</v>
      </c>
      <c r="N294" s="276" t="s">
        <v>594</v>
      </c>
    </row>
    <row r="295" spans="1:14" ht="50.45">
      <c r="A295" s="268" t="str">
        <f t="shared" si="4"/>
        <v>Controlling &amp; Corrective Action|Officer|2</v>
      </c>
      <c r="B295" s="223" t="s">
        <v>559</v>
      </c>
      <c r="C295" s="197" t="s">
        <v>4</v>
      </c>
      <c r="D295" s="79">
        <v>2</v>
      </c>
      <c r="E295" s="79" t="s">
        <v>605</v>
      </c>
      <c r="F295" s="79">
        <v>3</v>
      </c>
      <c r="G295" s="276" t="s">
        <v>1964</v>
      </c>
      <c r="H295" s="276" t="s">
        <v>1965</v>
      </c>
      <c r="I295" s="276" t="s">
        <v>1966</v>
      </c>
      <c r="J295" s="276" t="s">
        <v>1967</v>
      </c>
      <c r="K295" s="276" t="s">
        <v>591</v>
      </c>
      <c r="L295" s="276" t="s">
        <v>592</v>
      </c>
      <c r="M295" s="276" t="s">
        <v>1968</v>
      </c>
      <c r="N295" s="276" t="s">
        <v>622</v>
      </c>
    </row>
    <row r="296" spans="1:14" ht="67.150000000000006">
      <c r="A296" s="268" t="str">
        <f t="shared" si="4"/>
        <v>Controlling &amp; Corrective Action|Officer|3</v>
      </c>
      <c r="B296" s="223" t="s">
        <v>559</v>
      </c>
      <c r="C296" s="197" t="s">
        <v>4</v>
      </c>
      <c r="D296" s="79">
        <v>3</v>
      </c>
      <c r="E296" s="79" t="s">
        <v>623</v>
      </c>
      <c r="F296" s="79">
        <v>1</v>
      </c>
      <c r="G296" s="276" t="s">
        <v>1969</v>
      </c>
      <c r="H296" s="276" t="s">
        <v>1970</v>
      </c>
      <c r="I296" s="276" t="s">
        <v>1971</v>
      </c>
      <c r="J296" s="276" t="s">
        <v>1972</v>
      </c>
      <c r="K296" s="276" t="s">
        <v>591</v>
      </c>
      <c r="L296" s="276" t="s">
        <v>592</v>
      </c>
      <c r="M296" s="276" t="s">
        <v>1973</v>
      </c>
      <c r="N296" s="276" t="s">
        <v>1974</v>
      </c>
    </row>
    <row r="297" spans="1:14" ht="50.45">
      <c r="A297" s="268" t="str">
        <f t="shared" si="4"/>
        <v>Controlling &amp; Corrective Action|Officer|3</v>
      </c>
      <c r="B297" s="223" t="s">
        <v>559</v>
      </c>
      <c r="C297" s="197" t="s">
        <v>4</v>
      </c>
      <c r="D297" s="79">
        <v>3</v>
      </c>
      <c r="E297" s="79" t="s">
        <v>623</v>
      </c>
      <c r="F297" s="79">
        <v>2</v>
      </c>
      <c r="G297" s="276" t="s">
        <v>1975</v>
      </c>
      <c r="H297" s="276" t="s">
        <v>1976</v>
      </c>
      <c r="I297" s="276" t="s">
        <v>1977</v>
      </c>
      <c r="J297" s="276" t="s">
        <v>1978</v>
      </c>
      <c r="K297" s="276" t="s">
        <v>591</v>
      </c>
      <c r="L297" s="276" t="s">
        <v>592</v>
      </c>
      <c r="M297" s="276" t="s">
        <v>1979</v>
      </c>
      <c r="N297" s="276" t="s">
        <v>622</v>
      </c>
    </row>
    <row r="298" spans="1:14" ht="84">
      <c r="A298" s="268" t="str">
        <f t="shared" si="4"/>
        <v>Controlling &amp; Corrective Action|Officer|3</v>
      </c>
      <c r="B298" s="223" t="s">
        <v>559</v>
      </c>
      <c r="C298" s="197" t="s">
        <v>4</v>
      </c>
      <c r="D298" s="79">
        <v>3</v>
      </c>
      <c r="E298" s="79" t="s">
        <v>623</v>
      </c>
      <c r="F298" s="79">
        <v>3</v>
      </c>
      <c r="G298" s="276" t="s">
        <v>1980</v>
      </c>
      <c r="H298" s="276" t="s">
        <v>1981</v>
      </c>
      <c r="I298" s="276" t="s">
        <v>1982</v>
      </c>
      <c r="J298" s="276" t="s">
        <v>1008</v>
      </c>
      <c r="K298" s="276" t="s">
        <v>591</v>
      </c>
      <c r="L298" s="276" t="s">
        <v>592</v>
      </c>
      <c r="M298" s="276" t="s">
        <v>1983</v>
      </c>
      <c r="N298" s="276" t="s">
        <v>640</v>
      </c>
    </row>
    <row r="299" spans="1:14" ht="84">
      <c r="A299" s="268" t="str">
        <f t="shared" si="4"/>
        <v>Controlling &amp; Corrective Action|Officer|4</v>
      </c>
      <c r="B299" s="223" t="s">
        <v>559</v>
      </c>
      <c r="C299" s="197" t="s">
        <v>4</v>
      </c>
      <c r="D299" s="79">
        <v>4</v>
      </c>
      <c r="E299" s="79" t="s">
        <v>641</v>
      </c>
      <c r="F299" s="79">
        <v>1</v>
      </c>
      <c r="G299" s="276" t="s">
        <v>1984</v>
      </c>
      <c r="H299" s="276" t="s">
        <v>1985</v>
      </c>
      <c r="I299" s="276" t="s">
        <v>1986</v>
      </c>
      <c r="J299" s="276" t="s">
        <v>1987</v>
      </c>
      <c r="K299" s="276" t="s">
        <v>591</v>
      </c>
      <c r="L299" s="276" t="s">
        <v>592</v>
      </c>
      <c r="M299" s="276" t="s">
        <v>1988</v>
      </c>
      <c r="N299" s="276" t="s">
        <v>622</v>
      </c>
    </row>
    <row r="300" spans="1:14" ht="67.150000000000006">
      <c r="A300" s="268" t="str">
        <f t="shared" si="4"/>
        <v>Controlling &amp; Corrective Action|Officer|4</v>
      </c>
      <c r="B300" s="223" t="s">
        <v>559</v>
      </c>
      <c r="C300" s="197" t="s">
        <v>4</v>
      </c>
      <c r="D300" s="79">
        <v>4</v>
      </c>
      <c r="E300" s="79" t="s">
        <v>641</v>
      </c>
      <c r="F300" s="79">
        <v>2</v>
      </c>
      <c r="G300" s="276" t="s">
        <v>1989</v>
      </c>
      <c r="H300" s="276" t="s">
        <v>1990</v>
      </c>
      <c r="I300" s="276" t="s">
        <v>1991</v>
      </c>
      <c r="J300" s="276" t="s">
        <v>1992</v>
      </c>
      <c r="K300" s="276" t="s">
        <v>591</v>
      </c>
      <c r="L300" s="276" t="s">
        <v>592</v>
      </c>
      <c r="M300" s="276" t="s">
        <v>1993</v>
      </c>
      <c r="N300" s="276" t="s">
        <v>1974</v>
      </c>
    </row>
    <row r="301" spans="1:14" ht="67.150000000000006">
      <c r="A301" s="268" t="str">
        <f t="shared" si="4"/>
        <v>Controlling &amp; Corrective Action|Officer|4</v>
      </c>
      <c r="B301" s="223" t="s">
        <v>559</v>
      </c>
      <c r="C301" s="197" t="s">
        <v>4</v>
      </c>
      <c r="D301" s="79">
        <v>4</v>
      </c>
      <c r="E301" s="79" t="s">
        <v>641</v>
      </c>
      <c r="F301" s="79">
        <v>3</v>
      </c>
      <c r="G301" s="276" t="s">
        <v>1994</v>
      </c>
      <c r="H301" s="276" t="s">
        <v>1995</v>
      </c>
      <c r="I301" s="276" t="s">
        <v>1996</v>
      </c>
      <c r="J301" s="276" t="s">
        <v>1997</v>
      </c>
      <c r="K301" s="276" t="s">
        <v>591</v>
      </c>
      <c r="L301" s="276" t="s">
        <v>592</v>
      </c>
      <c r="M301" s="276" t="s">
        <v>1998</v>
      </c>
      <c r="N301" s="276" t="s">
        <v>1974</v>
      </c>
    </row>
    <row r="302" spans="1:14" ht="84">
      <c r="A302" s="268" t="str">
        <f t="shared" si="4"/>
        <v>Controlling &amp; Corrective Action|Analyst|1</v>
      </c>
      <c r="B302" s="223" t="s">
        <v>559</v>
      </c>
      <c r="C302" s="197" t="s">
        <v>6</v>
      </c>
      <c r="D302" s="197">
        <v>1</v>
      </c>
      <c r="E302" s="79" t="s">
        <v>586</v>
      </c>
      <c r="F302" s="79">
        <v>1</v>
      </c>
      <c r="G302" s="276" t="s">
        <v>1999</v>
      </c>
      <c r="H302" s="276" t="s">
        <v>2000</v>
      </c>
      <c r="I302" s="276" t="s">
        <v>2001</v>
      </c>
      <c r="J302" s="276" t="s">
        <v>2002</v>
      </c>
      <c r="K302" s="276" t="s">
        <v>591</v>
      </c>
      <c r="L302" s="276" t="s">
        <v>592</v>
      </c>
      <c r="M302" s="276" t="s">
        <v>2003</v>
      </c>
      <c r="N302" s="276" t="s">
        <v>594</v>
      </c>
    </row>
    <row r="303" spans="1:14" ht="67.150000000000006">
      <c r="A303" s="268" t="str">
        <f t="shared" si="4"/>
        <v>Controlling &amp; Corrective Action|Analyst|1</v>
      </c>
      <c r="B303" s="223" t="s">
        <v>559</v>
      </c>
      <c r="C303" s="197" t="s">
        <v>6</v>
      </c>
      <c r="D303" s="197">
        <v>1</v>
      </c>
      <c r="E303" s="79" t="s">
        <v>586</v>
      </c>
      <c r="F303" s="79">
        <v>2</v>
      </c>
      <c r="G303" s="276" t="s">
        <v>2004</v>
      </c>
      <c r="H303" s="276" t="s">
        <v>2005</v>
      </c>
      <c r="I303" s="276" t="s">
        <v>2006</v>
      </c>
      <c r="J303" s="276" t="s">
        <v>2007</v>
      </c>
      <c r="K303" s="276" t="s">
        <v>591</v>
      </c>
      <c r="L303" s="276" t="s">
        <v>592</v>
      </c>
      <c r="M303" s="276" t="s">
        <v>2008</v>
      </c>
      <c r="N303" s="276" t="s">
        <v>622</v>
      </c>
    </row>
    <row r="304" spans="1:14" ht="67.150000000000006">
      <c r="A304" s="268" t="str">
        <f t="shared" si="4"/>
        <v>Controlling &amp; Corrective Action|Analyst|1</v>
      </c>
      <c r="B304" s="223" t="s">
        <v>559</v>
      </c>
      <c r="C304" s="197" t="s">
        <v>6</v>
      </c>
      <c r="D304" s="197">
        <v>1</v>
      </c>
      <c r="E304" s="79" t="s">
        <v>586</v>
      </c>
      <c r="F304" s="79">
        <v>3</v>
      </c>
      <c r="G304" s="276" t="s">
        <v>2009</v>
      </c>
      <c r="H304" s="276" t="s">
        <v>2010</v>
      </c>
      <c r="I304" s="276" t="s">
        <v>2011</v>
      </c>
      <c r="J304" s="276" t="s">
        <v>2012</v>
      </c>
      <c r="K304" s="276" t="s">
        <v>591</v>
      </c>
      <c r="L304" s="276" t="s">
        <v>592</v>
      </c>
      <c r="M304" s="276" t="s">
        <v>2013</v>
      </c>
      <c r="N304" s="276" t="s">
        <v>622</v>
      </c>
    </row>
    <row r="305" spans="1:14" ht="67.150000000000006">
      <c r="A305" s="268" t="str">
        <f t="shared" si="4"/>
        <v>Controlling &amp; Corrective Action|Analyst|2</v>
      </c>
      <c r="B305" s="223" t="s">
        <v>559</v>
      </c>
      <c r="C305" s="197" t="s">
        <v>6</v>
      </c>
      <c r="D305" s="79">
        <v>2</v>
      </c>
      <c r="E305" s="79" t="s">
        <v>605</v>
      </c>
      <c r="F305" s="79">
        <v>1</v>
      </c>
      <c r="G305" s="276" t="s">
        <v>2014</v>
      </c>
      <c r="H305" s="276" t="s">
        <v>2015</v>
      </c>
      <c r="I305" s="276" t="s">
        <v>2016</v>
      </c>
      <c r="J305" s="276" t="s">
        <v>2017</v>
      </c>
      <c r="K305" s="276" t="s">
        <v>591</v>
      </c>
      <c r="L305" s="276" t="s">
        <v>592</v>
      </c>
      <c r="M305" s="276" t="s">
        <v>2018</v>
      </c>
      <c r="N305" s="276" t="s">
        <v>611</v>
      </c>
    </row>
    <row r="306" spans="1:14" ht="67.150000000000006">
      <c r="A306" s="268" t="str">
        <f t="shared" si="4"/>
        <v>Controlling &amp; Corrective Action|Analyst|2</v>
      </c>
      <c r="B306" s="223" t="s">
        <v>559</v>
      </c>
      <c r="C306" s="197" t="s">
        <v>6</v>
      </c>
      <c r="D306" s="79">
        <v>2</v>
      </c>
      <c r="E306" s="79" t="s">
        <v>605</v>
      </c>
      <c r="F306" s="79">
        <v>2</v>
      </c>
      <c r="G306" s="276" t="s">
        <v>2019</v>
      </c>
      <c r="H306" s="276" t="s">
        <v>2020</v>
      </c>
      <c r="I306" s="276" t="s">
        <v>2021</v>
      </c>
      <c r="J306" s="276" t="s">
        <v>2022</v>
      </c>
      <c r="K306" s="276" t="s">
        <v>591</v>
      </c>
      <c r="L306" s="276" t="s">
        <v>592</v>
      </c>
      <c r="M306" s="276" t="s">
        <v>2023</v>
      </c>
      <c r="N306" s="276" t="s">
        <v>622</v>
      </c>
    </row>
    <row r="307" spans="1:14" ht="67.150000000000006">
      <c r="A307" s="268" t="str">
        <f t="shared" si="4"/>
        <v>Controlling &amp; Corrective Action|Analyst|2</v>
      </c>
      <c r="B307" s="223" t="s">
        <v>559</v>
      </c>
      <c r="C307" s="197" t="s">
        <v>6</v>
      </c>
      <c r="D307" s="79">
        <v>2</v>
      </c>
      <c r="E307" s="79" t="s">
        <v>605</v>
      </c>
      <c r="F307" s="79">
        <v>3</v>
      </c>
      <c r="G307" s="276" t="s">
        <v>2024</v>
      </c>
      <c r="H307" s="276" t="s">
        <v>2025</v>
      </c>
      <c r="I307" s="276" t="s">
        <v>2026</v>
      </c>
      <c r="J307" s="276" t="s">
        <v>2027</v>
      </c>
      <c r="K307" s="276" t="s">
        <v>591</v>
      </c>
      <c r="L307" s="276" t="s">
        <v>592</v>
      </c>
      <c r="M307" s="276" t="s">
        <v>2028</v>
      </c>
      <c r="N307" s="276" t="s">
        <v>594</v>
      </c>
    </row>
    <row r="308" spans="1:14" ht="67.150000000000006">
      <c r="A308" s="268" t="str">
        <f t="shared" si="4"/>
        <v>Controlling &amp; Corrective Action|Analyst|3</v>
      </c>
      <c r="B308" s="223" t="s">
        <v>559</v>
      </c>
      <c r="C308" s="197" t="s">
        <v>6</v>
      </c>
      <c r="D308" s="79">
        <v>3</v>
      </c>
      <c r="E308" s="79" t="s">
        <v>623</v>
      </c>
      <c r="F308" s="79">
        <v>1</v>
      </c>
      <c r="G308" s="276" t="s">
        <v>2029</v>
      </c>
      <c r="H308" s="276" t="s">
        <v>2030</v>
      </c>
      <c r="I308" s="276" t="s">
        <v>2031</v>
      </c>
      <c r="J308" s="276" t="s">
        <v>2032</v>
      </c>
      <c r="K308" s="276" t="s">
        <v>591</v>
      </c>
      <c r="L308" s="276" t="s">
        <v>592</v>
      </c>
      <c r="M308" s="276" t="s">
        <v>2033</v>
      </c>
      <c r="N308" s="276" t="s">
        <v>594</v>
      </c>
    </row>
    <row r="309" spans="1:14" ht="67.150000000000006">
      <c r="A309" s="268" t="str">
        <f t="shared" si="4"/>
        <v>Controlling &amp; Corrective Action|Analyst|3</v>
      </c>
      <c r="B309" s="223" t="s">
        <v>559</v>
      </c>
      <c r="C309" s="197" t="s">
        <v>6</v>
      </c>
      <c r="D309" s="79">
        <v>3</v>
      </c>
      <c r="E309" s="79" t="s">
        <v>623</v>
      </c>
      <c r="F309" s="79">
        <v>2</v>
      </c>
      <c r="G309" s="276" t="s">
        <v>2034</v>
      </c>
      <c r="H309" s="276" t="s">
        <v>2035</v>
      </c>
      <c r="I309" s="276" t="s">
        <v>2036</v>
      </c>
      <c r="J309" s="276" t="s">
        <v>2037</v>
      </c>
      <c r="K309" s="276" t="s">
        <v>591</v>
      </c>
      <c r="L309" s="276" t="s">
        <v>592</v>
      </c>
      <c r="M309" s="276" t="s">
        <v>2038</v>
      </c>
      <c r="N309" s="276" t="s">
        <v>622</v>
      </c>
    </row>
    <row r="310" spans="1:14" ht="84">
      <c r="A310" s="268" t="str">
        <f t="shared" si="4"/>
        <v>Controlling &amp; Corrective Action|Analyst|3</v>
      </c>
      <c r="B310" s="223" t="s">
        <v>559</v>
      </c>
      <c r="C310" s="197" t="s">
        <v>6</v>
      </c>
      <c r="D310" s="79">
        <v>3</v>
      </c>
      <c r="E310" s="79" t="s">
        <v>623</v>
      </c>
      <c r="F310" s="79">
        <v>3</v>
      </c>
      <c r="G310" s="276" t="s">
        <v>2039</v>
      </c>
      <c r="H310" s="276" t="s">
        <v>2040</v>
      </c>
      <c r="I310" s="276" t="s">
        <v>2041</v>
      </c>
      <c r="J310" s="276" t="s">
        <v>1008</v>
      </c>
      <c r="K310" s="276" t="s">
        <v>591</v>
      </c>
      <c r="L310" s="276" t="s">
        <v>592</v>
      </c>
      <c r="M310" s="276" t="s">
        <v>2042</v>
      </c>
      <c r="N310" s="276" t="s">
        <v>640</v>
      </c>
    </row>
    <row r="311" spans="1:14" ht="84">
      <c r="A311" s="268" t="str">
        <f t="shared" si="4"/>
        <v>Controlling &amp; Corrective Action|Analyst|4</v>
      </c>
      <c r="B311" s="223" t="s">
        <v>559</v>
      </c>
      <c r="C311" s="197" t="s">
        <v>6</v>
      </c>
      <c r="D311" s="79">
        <v>4</v>
      </c>
      <c r="E311" s="79" t="s">
        <v>641</v>
      </c>
      <c r="F311" s="79">
        <v>1</v>
      </c>
      <c r="G311" s="276" t="s">
        <v>2043</v>
      </c>
      <c r="H311" s="276" t="s">
        <v>2044</v>
      </c>
      <c r="I311" s="276" t="s">
        <v>2045</v>
      </c>
      <c r="J311" s="276" t="s">
        <v>2046</v>
      </c>
      <c r="K311" s="276" t="s">
        <v>591</v>
      </c>
      <c r="L311" s="276" t="s">
        <v>592</v>
      </c>
      <c r="M311" s="276" t="s">
        <v>2047</v>
      </c>
      <c r="N311" s="276" t="s">
        <v>622</v>
      </c>
    </row>
    <row r="312" spans="1:14" ht="67.150000000000006">
      <c r="A312" s="268" t="str">
        <f t="shared" si="4"/>
        <v>Controlling &amp; Corrective Action|Analyst|4</v>
      </c>
      <c r="B312" s="223" t="s">
        <v>559</v>
      </c>
      <c r="C312" s="197" t="s">
        <v>6</v>
      </c>
      <c r="D312" s="79">
        <v>4</v>
      </c>
      <c r="E312" s="79" t="s">
        <v>641</v>
      </c>
      <c r="F312" s="79">
        <v>2</v>
      </c>
      <c r="G312" s="276" t="s">
        <v>2048</v>
      </c>
      <c r="H312" s="276" t="s">
        <v>2049</v>
      </c>
      <c r="I312" s="276" t="s">
        <v>2050</v>
      </c>
      <c r="J312" s="276" t="s">
        <v>2051</v>
      </c>
      <c r="K312" s="276" t="s">
        <v>591</v>
      </c>
      <c r="L312" s="276" t="s">
        <v>592</v>
      </c>
      <c r="M312" s="276" t="s">
        <v>2052</v>
      </c>
      <c r="N312" s="276" t="s">
        <v>2053</v>
      </c>
    </row>
    <row r="313" spans="1:14" ht="67.150000000000006">
      <c r="A313" s="268" t="str">
        <f t="shared" si="4"/>
        <v>Controlling &amp; Corrective Action|Analyst|4</v>
      </c>
      <c r="B313" s="223" t="s">
        <v>559</v>
      </c>
      <c r="C313" s="197" t="s">
        <v>6</v>
      </c>
      <c r="D313" s="79">
        <v>4</v>
      </c>
      <c r="E313" s="79" t="s">
        <v>641</v>
      </c>
      <c r="F313" s="79">
        <v>3</v>
      </c>
      <c r="G313" s="276" t="s">
        <v>2054</v>
      </c>
      <c r="H313" s="276" t="s">
        <v>2055</v>
      </c>
      <c r="I313" s="276" t="s">
        <v>2056</v>
      </c>
      <c r="J313" s="276" t="s">
        <v>2057</v>
      </c>
      <c r="K313" s="276" t="s">
        <v>591</v>
      </c>
      <c r="L313" s="276" t="s">
        <v>592</v>
      </c>
      <c r="M313" s="276" t="s">
        <v>2058</v>
      </c>
      <c r="N313" s="276" t="s">
        <v>622</v>
      </c>
    </row>
    <row r="314" spans="1:14" ht="84">
      <c r="A314" s="268" t="str">
        <f t="shared" si="4"/>
        <v>Controlling &amp; Corrective Action|Unit Head/Specialist|1</v>
      </c>
      <c r="B314" s="223" t="s">
        <v>559</v>
      </c>
      <c r="C314" s="79" t="s">
        <v>13</v>
      </c>
      <c r="D314" s="197">
        <v>1</v>
      </c>
      <c r="E314" s="79" t="s">
        <v>586</v>
      </c>
      <c r="F314" s="79">
        <v>1</v>
      </c>
      <c r="G314" s="276" t="s">
        <v>2059</v>
      </c>
      <c r="H314" s="276" t="s">
        <v>2060</v>
      </c>
      <c r="I314" s="276" t="s">
        <v>2061</v>
      </c>
      <c r="J314" s="276" t="s">
        <v>2062</v>
      </c>
      <c r="K314" s="276" t="s">
        <v>591</v>
      </c>
      <c r="L314" s="276" t="s">
        <v>592</v>
      </c>
      <c r="M314" s="276" t="s">
        <v>2063</v>
      </c>
      <c r="N314" s="276" t="s">
        <v>594</v>
      </c>
    </row>
    <row r="315" spans="1:14" ht="67.150000000000006">
      <c r="A315" s="268" t="str">
        <f t="shared" si="4"/>
        <v>Controlling &amp; Corrective Action|Unit Head/Specialist|1</v>
      </c>
      <c r="B315" s="223" t="s">
        <v>559</v>
      </c>
      <c r="C315" s="79" t="s">
        <v>13</v>
      </c>
      <c r="D315" s="197">
        <v>1</v>
      </c>
      <c r="E315" s="79" t="s">
        <v>586</v>
      </c>
      <c r="F315" s="79">
        <v>2</v>
      </c>
      <c r="G315" s="276" t="s">
        <v>2064</v>
      </c>
      <c r="H315" s="276" t="s">
        <v>2065</v>
      </c>
      <c r="I315" s="276" t="s">
        <v>2066</v>
      </c>
      <c r="J315" s="276" t="s">
        <v>2067</v>
      </c>
      <c r="K315" s="276" t="s">
        <v>591</v>
      </c>
      <c r="L315" s="276" t="s">
        <v>592</v>
      </c>
      <c r="M315" s="276" t="s">
        <v>2068</v>
      </c>
      <c r="N315" s="276" t="s">
        <v>594</v>
      </c>
    </row>
    <row r="316" spans="1:14" ht="67.150000000000006">
      <c r="A316" s="268" t="str">
        <f t="shared" si="4"/>
        <v>Controlling &amp; Corrective Action|Unit Head/Specialist|1</v>
      </c>
      <c r="B316" s="223" t="s">
        <v>559</v>
      </c>
      <c r="C316" s="79" t="s">
        <v>13</v>
      </c>
      <c r="D316" s="197">
        <v>1</v>
      </c>
      <c r="E316" s="79" t="s">
        <v>586</v>
      </c>
      <c r="F316" s="79">
        <v>3</v>
      </c>
      <c r="G316" s="276" t="s">
        <v>2069</v>
      </c>
      <c r="H316" s="276" t="s">
        <v>2070</v>
      </c>
      <c r="I316" s="276" t="s">
        <v>2071</v>
      </c>
      <c r="J316" s="276" t="s">
        <v>2072</v>
      </c>
      <c r="K316" s="276" t="s">
        <v>591</v>
      </c>
      <c r="L316" s="276" t="s">
        <v>592</v>
      </c>
      <c r="M316" s="276" t="s">
        <v>2073</v>
      </c>
      <c r="N316" s="276" t="s">
        <v>622</v>
      </c>
    </row>
    <row r="317" spans="1:14" ht="84">
      <c r="A317" s="268" t="str">
        <f t="shared" si="4"/>
        <v>Controlling &amp; Corrective Action|Unit Head/Specialist|2</v>
      </c>
      <c r="B317" s="223" t="s">
        <v>559</v>
      </c>
      <c r="C317" s="79" t="s">
        <v>13</v>
      </c>
      <c r="D317" s="79">
        <v>2</v>
      </c>
      <c r="E317" s="79" t="s">
        <v>605</v>
      </c>
      <c r="F317" s="79">
        <v>1</v>
      </c>
      <c r="G317" s="276" t="s">
        <v>2074</v>
      </c>
      <c r="H317" s="276" t="s">
        <v>2075</v>
      </c>
      <c r="I317" s="276" t="s">
        <v>2076</v>
      </c>
      <c r="J317" s="276" t="s">
        <v>2077</v>
      </c>
      <c r="K317" s="276" t="s">
        <v>591</v>
      </c>
      <c r="L317" s="276" t="s">
        <v>592</v>
      </c>
      <c r="M317" s="276" t="s">
        <v>2078</v>
      </c>
      <c r="N317" s="276" t="s">
        <v>611</v>
      </c>
    </row>
    <row r="318" spans="1:14" ht="67.150000000000006">
      <c r="A318" s="268" t="str">
        <f t="shared" si="4"/>
        <v>Controlling &amp; Corrective Action|Unit Head/Specialist|2</v>
      </c>
      <c r="B318" s="223" t="s">
        <v>559</v>
      </c>
      <c r="C318" s="79" t="s">
        <v>13</v>
      </c>
      <c r="D318" s="79">
        <v>2</v>
      </c>
      <c r="E318" s="79" t="s">
        <v>605</v>
      </c>
      <c r="F318" s="79">
        <v>2</v>
      </c>
      <c r="G318" s="276" t="s">
        <v>738</v>
      </c>
      <c r="H318" s="276" t="s">
        <v>2079</v>
      </c>
      <c r="I318" s="276" t="s">
        <v>2080</v>
      </c>
      <c r="J318" s="276" t="s">
        <v>2081</v>
      </c>
      <c r="K318" s="276" t="s">
        <v>591</v>
      </c>
      <c r="L318" s="276" t="s">
        <v>592</v>
      </c>
      <c r="M318" s="276" t="s">
        <v>2082</v>
      </c>
      <c r="N318" s="276" t="s">
        <v>622</v>
      </c>
    </row>
    <row r="319" spans="1:14" ht="67.150000000000006">
      <c r="A319" s="268" t="str">
        <f t="shared" si="4"/>
        <v>Controlling &amp; Corrective Action|Unit Head/Specialist|2</v>
      </c>
      <c r="B319" s="223" t="s">
        <v>559</v>
      </c>
      <c r="C319" s="79" t="s">
        <v>13</v>
      </c>
      <c r="D319" s="79">
        <v>2</v>
      </c>
      <c r="E319" s="79" t="s">
        <v>605</v>
      </c>
      <c r="F319" s="79">
        <v>3</v>
      </c>
      <c r="G319" s="276" t="s">
        <v>2083</v>
      </c>
      <c r="H319" s="276" t="s">
        <v>744</v>
      </c>
      <c r="I319" s="276" t="s">
        <v>2084</v>
      </c>
      <c r="J319" s="276" t="s">
        <v>2085</v>
      </c>
      <c r="K319" s="276" t="s">
        <v>591</v>
      </c>
      <c r="L319" s="276" t="s">
        <v>592</v>
      </c>
      <c r="M319" s="276" t="s">
        <v>2086</v>
      </c>
      <c r="N319" s="276" t="s">
        <v>594</v>
      </c>
    </row>
    <row r="320" spans="1:14" ht="67.150000000000006">
      <c r="A320" s="268" t="str">
        <f t="shared" si="4"/>
        <v>Controlling &amp; Corrective Action|Unit Head/Specialist|3</v>
      </c>
      <c r="B320" s="223" t="s">
        <v>559</v>
      </c>
      <c r="C320" s="79" t="s">
        <v>13</v>
      </c>
      <c r="D320" s="79">
        <v>3</v>
      </c>
      <c r="E320" s="79" t="s">
        <v>623</v>
      </c>
      <c r="F320" s="79">
        <v>1</v>
      </c>
      <c r="G320" s="276" t="s">
        <v>2087</v>
      </c>
      <c r="H320" s="276" t="s">
        <v>2088</v>
      </c>
      <c r="I320" s="276" t="s">
        <v>2089</v>
      </c>
      <c r="J320" s="276" t="s">
        <v>2090</v>
      </c>
      <c r="K320" s="276" t="s">
        <v>591</v>
      </c>
      <c r="L320" s="276" t="s">
        <v>592</v>
      </c>
      <c r="M320" s="276" t="s">
        <v>2091</v>
      </c>
      <c r="N320" s="276" t="s">
        <v>622</v>
      </c>
    </row>
    <row r="321" spans="1:14" ht="67.150000000000006">
      <c r="A321" s="268" t="str">
        <f t="shared" si="4"/>
        <v>Controlling &amp; Corrective Action|Unit Head/Specialist|3</v>
      </c>
      <c r="B321" s="223" t="s">
        <v>559</v>
      </c>
      <c r="C321" s="79" t="s">
        <v>13</v>
      </c>
      <c r="D321" s="79">
        <v>3</v>
      </c>
      <c r="E321" s="79" t="s">
        <v>623</v>
      </c>
      <c r="F321" s="79">
        <v>2</v>
      </c>
      <c r="G321" s="276" t="s">
        <v>2092</v>
      </c>
      <c r="H321" s="276" t="s">
        <v>2093</v>
      </c>
      <c r="I321" s="276" t="s">
        <v>2094</v>
      </c>
      <c r="J321" s="276" t="s">
        <v>2095</v>
      </c>
      <c r="K321" s="276" t="s">
        <v>591</v>
      </c>
      <c r="L321" s="276" t="s">
        <v>592</v>
      </c>
      <c r="M321" s="276" t="s">
        <v>2096</v>
      </c>
      <c r="N321" s="276" t="s">
        <v>594</v>
      </c>
    </row>
    <row r="322" spans="1:14" ht="100.9">
      <c r="A322" s="268" t="str">
        <f t="shared" si="4"/>
        <v>Controlling &amp; Corrective Action|Unit Head/Specialist|3</v>
      </c>
      <c r="B322" s="223" t="s">
        <v>559</v>
      </c>
      <c r="C322" s="79" t="s">
        <v>13</v>
      </c>
      <c r="D322" s="79">
        <v>3</v>
      </c>
      <c r="E322" s="79" t="s">
        <v>623</v>
      </c>
      <c r="F322" s="79">
        <v>3</v>
      </c>
      <c r="G322" s="276" t="s">
        <v>2097</v>
      </c>
      <c r="H322" s="276" t="s">
        <v>2098</v>
      </c>
      <c r="I322" s="276" t="s">
        <v>2099</v>
      </c>
      <c r="J322" s="276" t="s">
        <v>1008</v>
      </c>
      <c r="K322" s="276" t="s">
        <v>591</v>
      </c>
      <c r="L322" s="276" t="s">
        <v>592</v>
      </c>
      <c r="M322" s="276" t="s">
        <v>2100</v>
      </c>
      <c r="N322" s="276" t="s">
        <v>640</v>
      </c>
    </row>
    <row r="323" spans="1:14" ht="67.150000000000006">
      <c r="A323" s="268" t="str">
        <f t="shared" ref="A323:A386" si="5">B323 &amp; "|" &amp; C323 &amp; "|" &amp; D323</f>
        <v>Controlling &amp; Corrective Action|Unit Head/Specialist|4</v>
      </c>
      <c r="B323" s="223" t="s">
        <v>559</v>
      </c>
      <c r="C323" s="79" t="s">
        <v>13</v>
      </c>
      <c r="D323" s="79">
        <v>4</v>
      </c>
      <c r="E323" s="79" t="s">
        <v>641</v>
      </c>
      <c r="F323" s="79">
        <v>1</v>
      </c>
      <c r="G323" s="276" t="s">
        <v>2101</v>
      </c>
      <c r="H323" s="276" t="s">
        <v>2102</v>
      </c>
      <c r="I323" s="276" t="s">
        <v>2103</v>
      </c>
      <c r="J323" s="276" t="s">
        <v>2104</v>
      </c>
      <c r="K323" s="276" t="s">
        <v>591</v>
      </c>
      <c r="L323" s="276" t="s">
        <v>592</v>
      </c>
      <c r="M323" s="276" t="s">
        <v>2105</v>
      </c>
      <c r="N323" s="276" t="s">
        <v>622</v>
      </c>
    </row>
    <row r="324" spans="1:14" ht="67.150000000000006">
      <c r="A324" s="268" t="str">
        <f t="shared" si="5"/>
        <v>Controlling &amp; Corrective Action|Unit Head/Specialist|4</v>
      </c>
      <c r="B324" s="223" t="s">
        <v>559</v>
      </c>
      <c r="C324" s="79" t="s">
        <v>13</v>
      </c>
      <c r="D324" s="79">
        <v>4</v>
      </c>
      <c r="E324" s="79" t="s">
        <v>641</v>
      </c>
      <c r="F324" s="79">
        <v>2</v>
      </c>
      <c r="G324" s="276" t="s">
        <v>2106</v>
      </c>
      <c r="H324" s="276" t="s">
        <v>2107</v>
      </c>
      <c r="I324" s="276" t="s">
        <v>2108</v>
      </c>
      <c r="J324" s="276" t="s">
        <v>2109</v>
      </c>
      <c r="K324" s="276" t="s">
        <v>591</v>
      </c>
      <c r="L324" s="276" t="s">
        <v>592</v>
      </c>
      <c r="M324" s="276" t="s">
        <v>2110</v>
      </c>
      <c r="N324" s="276" t="s">
        <v>1928</v>
      </c>
    </row>
    <row r="325" spans="1:14" ht="67.150000000000006">
      <c r="A325" s="268" t="str">
        <f t="shared" si="5"/>
        <v>Controlling &amp; Corrective Action|Unit Head/Specialist|4</v>
      </c>
      <c r="B325" s="223" t="s">
        <v>559</v>
      </c>
      <c r="C325" s="79" t="s">
        <v>13</v>
      </c>
      <c r="D325" s="79">
        <v>4</v>
      </c>
      <c r="E325" s="79" t="s">
        <v>641</v>
      </c>
      <c r="F325" s="79">
        <v>3</v>
      </c>
      <c r="G325" s="276" t="s">
        <v>2111</v>
      </c>
      <c r="H325" s="276" t="s">
        <v>2112</v>
      </c>
      <c r="I325" s="276" t="s">
        <v>2113</v>
      </c>
      <c r="J325" s="276" t="s">
        <v>2114</v>
      </c>
      <c r="K325" s="276" t="s">
        <v>591</v>
      </c>
      <c r="L325" s="276" t="s">
        <v>592</v>
      </c>
      <c r="M325" s="276" t="s">
        <v>2115</v>
      </c>
      <c r="N325" s="276" t="s">
        <v>1928</v>
      </c>
    </row>
    <row r="326" spans="1:14" ht="100.9">
      <c r="A326" s="268" t="str">
        <f t="shared" si="5"/>
        <v>Controlling &amp; Corrective Action|Department Head|1</v>
      </c>
      <c r="B326" s="223" t="s">
        <v>559</v>
      </c>
      <c r="C326" s="79" t="s">
        <v>779</v>
      </c>
      <c r="D326" s="197">
        <v>1</v>
      </c>
      <c r="E326" s="79" t="s">
        <v>586</v>
      </c>
      <c r="F326" s="79">
        <v>1</v>
      </c>
      <c r="G326" s="276" t="s">
        <v>2116</v>
      </c>
      <c r="H326" s="276" t="s">
        <v>2117</v>
      </c>
      <c r="I326" s="276" t="s">
        <v>2118</v>
      </c>
      <c r="J326" s="276" t="s">
        <v>2119</v>
      </c>
      <c r="K326" s="276" t="s">
        <v>591</v>
      </c>
      <c r="L326" s="276" t="s">
        <v>592</v>
      </c>
      <c r="M326" s="276" t="s">
        <v>2120</v>
      </c>
      <c r="N326" s="276" t="s">
        <v>594</v>
      </c>
    </row>
    <row r="327" spans="1:14" ht="84">
      <c r="A327" s="268" t="str">
        <f t="shared" si="5"/>
        <v>Controlling &amp; Corrective Action|Department Head|1</v>
      </c>
      <c r="B327" s="223" t="s">
        <v>559</v>
      </c>
      <c r="C327" s="79" t="s">
        <v>779</v>
      </c>
      <c r="D327" s="197">
        <v>1</v>
      </c>
      <c r="E327" s="79" t="s">
        <v>586</v>
      </c>
      <c r="F327" s="79">
        <v>2</v>
      </c>
      <c r="G327" s="276" t="s">
        <v>2121</v>
      </c>
      <c r="H327" s="276" t="s">
        <v>2122</v>
      </c>
      <c r="I327" s="276" t="s">
        <v>2123</v>
      </c>
      <c r="J327" s="276" t="s">
        <v>2124</v>
      </c>
      <c r="K327" s="276" t="s">
        <v>591</v>
      </c>
      <c r="L327" s="276" t="s">
        <v>592</v>
      </c>
      <c r="M327" s="276" t="s">
        <v>2125</v>
      </c>
      <c r="N327" s="276" t="s">
        <v>594</v>
      </c>
    </row>
    <row r="328" spans="1:14" ht="67.150000000000006">
      <c r="A328" s="268" t="str">
        <f t="shared" si="5"/>
        <v>Controlling &amp; Corrective Action|Department Head|1</v>
      </c>
      <c r="B328" s="223" t="s">
        <v>559</v>
      </c>
      <c r="C328" s="79" t="s">
        <v>779</v>
      </c>
      <c r="D328" s="197">
        <v>1</v>
      </c>
      <c r="E328" s="79" t="s">
        <v>586</v>
      </c>
      <c r="F328" s="79">
        <v>3</v>
      </c>
      <c r="G328" s="276" t="s">
        <v>2126</v>
      </c>
      <c r="H328" s="276" t="s">
        <v>2127</v>
      </c>
      <c r="I328" s="276" t="s">
        <v>2128</v>
      </c>
      <c r="J328" s="276" t="s">
        <v>2129</v>
      </c>
      <c r="K328" s="276" t="s">
        <v>591</v>
      </c>
      <c r="L328" s="276" t="s">
        <v>592</v>
      </c>
      <c r="M328" s="276" t="s">
        <v>2130</v>
      </c>
      <c r="N328" s="276" t="s">
        <v>622</v>
      </c>
    </row>
    <row r="329" spans="1:14" ht="84">
      <c r="A329" s="268" t="str">
        <f t="shared" si="5"/>
        <v>Controlling &amp; Corrective Action|Department Head|2</v>
      </c>
      <c r="B329" s="223" t="s">
        <v>559</v>
      </c>
      <c r="C329" s="79" t="s">
        <v>779</v>
      </c>
      <c r="D329" s="79">
        <v>2</v>
      </c>
      <c r="E329" s="79" t="s">
        <v>605</v>
      </c>
      <c r="F329" s="79">
        <v>1</v>
      </c>
      <c r="G329" s="276" t="s">
        <v>2131</v>
      </c>
      <c r="H329" s="276" t="s">
        <v>2132</v>
      </c>
      <c r="I329" s="276" t="s">
        <v>2133</v>
      </c>
      <c r="J329" s="276" t="s">
        <v>2134</v>
      </c>
      <c r="K329" s="276" t="s">
        <v>591</v>
      </c>
      <c r="L329" s="276" t="s">
        <v>592</v>
      </c>
      <c r="M329" s="276" t="s">
        <v>2135</v>
      </c>
      <c r="N329" s="276" t="s">
        <v>611</v>
      </c>
    </row>
    <row r="330" spans="1:14" ht="67.150000000000006">
      <c r="A330" s="268" t="str">
        <f t="shared" si="5"/>
        <v>Controlling &amp; Corrective Action|Department Head|2</v>
      </c>
      <c r="B330" s="223" t="s">
        <v>559</v>
      </c>
      <c r="C330" s="79" t="s">
        <v>779</v>
      </c>
      <c r="D330" s="79">
        <v>2</v>
      </c>
      <c r="E330" s="79" t="s">
        <v>605</v>
      </c>
      <c r="F330" s="79">
        <v>2</v>
      </c>
      <c r="G330" s="276" t="s">
        <v>2136</v>
      </c>
      <c r="H330" s="276" t="s">
        <v>2137</v>
      </c>
      <c r="I330" s="276" t="s">
        <v>2138</v>
      </c>
      <c r="J330" s="276" t="s">
        <v>2139</v>
      </c>
      <c r="K330" s="276" t="s">
        <v>591</v>
      </c>
      <c r="L330" s="276" t="s">
        <v>592</v>
      </c>
      <c r="M330" s="276" t="s">
        <v>2140</v>
      </c>
      <c r="N330" s="276" t="s">
        <v>622</v>
      </c>
    </row>
    <row r="331" spans="1:14" ht="67.150000000000006">
      <c r="A331" s="268" t="str">
        <f t="shared" si="5"/>
        <v>Controlling &amp; Corrective Action|Department Head|2</v>
      </c>
      <c r="B331" s="223" t="s">
        <v>559</v>
      </c>
      <c r="C331" s="79" t="s">
        <v>779</v>
      </c>
      <c r="D331" s="79">
        <v>2</v>
      </c>
      <c r="E331" s="79" t="s">
        <v>605</v>
      </c>
      <c r="F331" s="79">
        <v>3</v>
      </c>
      <c r="G331" s="276" t="s">
        <v>2141</v>
      </c>
      <c r="H331" s="276" t="s">
        <v>2142</v>
      </c>
      <c r="I331" s="276" t="s">
        <v>2143</v>
      </c>
      <c r="J331" s="276" t="s">
        <v>2144</v>
      </c>
      <c r="K331" s="276" t="s">
        <v>591</v>
      </c>
      <c r="L331" s="276" t="s">
        <v>592</v>
      </c>
      <c r="M331" s="276" t="s">
        <v>2145</v>
      </c>
      <c r="N331" s="276" t="s">
        <v>594</v>
      </c>
    </row>
    <row r="332" spans="1:14" ht="67.150000000000006">
      <c r="A332" s="268" t="str">
        <f t="shared" si="5"/>
        <v>Controlling &amp; Corrective Action|Department Head|3</v>
      </c>
      <c r="B332" s="223" t="s">
        <v>559</v>
      </c>
      <c r="C332" s="79" t="s">
        <v>779</v>
      </c>
      <c r="D332" s="79">
        <v>3</v>
      </c>
      <c r="E332" s="79" t="s">
        <v>623</v>
      </c>
      <c r="F332" s="79">
        <v>1</v>
      </c>
      <c r="G332" s="276" t="s">
        <v>2146</v>
      </c>
      <c r="H332" s="276" t="s">
        <v>2147</v>
      </c>
      <c r="I332" s="276" t="s">
        <v>2148</v>
      </c>
      <c r="J332" s="276" t="s">
        <v>2149</v>
      </c>
      <c r="K332" s="276" t="s">
        <v>591</v>
      </c>
      <c r="L332" s="276" t="s">
        <v>592</v>
      </c>
      <c r="M332" s="276" t="s">
        <v>2150</v>
      </c>
      <c r="N332" s="276" t="s">
        <v>594</v>
      </c>
    </row>
    <row r="333" spans="1:14" ht="100.9">
      <c r="A333" s="268" t="str">
        <f t="shared" si="5"/>
        <v>Controlling &amp; Corrective Action|Department Head|3</v>
      </c>
      <c r="B333" s="223" t="s">
        <v>559</v>
      </c>
      <c r="C333" s="79" t="s">
        <v>779</v>
      </c>
      <c r="D333" s="79">
        <v>3</v>
      </c>
      <c r="E333" s="79" t="s">
        <v>623</v>
      </c>
      <c r="F333" s="79">
        <v>2</v>
      </c>
      <c r="G333" s="276" t="s">
        <v>2151</v>
      </c>
      <c r="H333" s="276" t="s">
        <v>2152</v>
      </c>
      <c r="I333" s="276" t="s">
        <v>2153</v>
      </c>
      <c r="J333" s="276" t="s">
        <v>817</v>
      </c>
      <c r="K333" s="276" t="s">
        <v>591</v>
      </c>
      <c r="L333" s="276" t="s">
        <v>592</v>
      </c>
      <c r="M333" s="276" t="s">
        <v>2154</v>
      </c>
      <c r="N333" s="276" t="s">
        <v>622</v>
      </c>
    </row>
    <row r="334" spans="1:14" ht="100.9">
      <c r="A334" s="268" t="str">
        <f t="shared" si="5"/>
        <v>Controlling &amp; Corrective Action|Department Head|3</v>
      </c>
      <c r="B334" s="223" t="s">
        <v>559</v>
      </c>
      <c r="C334" s="79" t="s">
        <v>779</v>
      </c>
      <c r="D334" s="79">
        <v>3</v>
      </c>
      <c r="E334" s="79" t="s">
        <v>623</v>
      </c>
      <c r="F334" s="79">
        <v>3</v>
      </c>
      <c r="G334" s="276" t="s">
        <v>2155</v>
      </c>
      <c r="H334" s="276" t="s">
        <v>2156</v>
      </c>
      <c r="I334" s="276" t="s">
        <v>2157</v>
      </c>
      <c r="J334" s="276" t="s">
        <v>1008</v>
      </c>
      <c r="K334" s="276" t="s">
        <v>591</v>
      </c>
      <c r="L334" s="276" t="s">
        <v>592</v>
      </c>
      <c r="M334" s="276" t="s">
        <v>2158</v>
      </c>
      <c r="N334" s="276" t="s">
        <v>640</v>
      </c>
    </row>
    <row r="335" spans="1:14" ht="84">
      <c r="A335" s="268" t="str">
        <f t="shared" si="5"/>
        <v>Controlling &amp; Corrective Action|Department Head|4</v>
      </c>
      <c r="B335" s="223" t="s">
        <v>559</v>
      </c>
      <c r="C335" s="79" t="s">
        <v>779</v>
      </c>
      <c r="D335" s="79">
        <v>4</v>
      </c>
      <c r="E335" s="79" t="s">
        <v>641</v>
      </c>
      <c r="F335" s="79">
        <v>1</v>
      </c>
      <c r="G335" s="276" t="s">
        <v>2159</v>
      </c>
      <c r="H335" s="276" t="s">
        <v>2160</v>
      </c>
      <c r="I335" s="276" t="s">
        <v>2161</v>
      </c>
      <c r="J335" s="276" t="s">
        <v>2162</v>
      </c>
      <c r="K335" s="276" t="s">
        <v>591</v>
      </c>
      <c r="L335" s="276" t="s">
        <v>592</v>
      </c>
      <c r="M335" s="276" t="s">
        <v>2163</v>
      </c>
      <c r="N335" s="276" t="s">
        <v>622</v>
      </c>
    </row>
    <row r="336" spans="1:14" ht="67.150000000000006">
      <c r="A336" s="268" t="str">
        <f t="shared" si="5"/>
        <v>Controlling &amp; Corrective Action|Department Head|4</v>
      </c>
      <c r="B336" s="223" t="s">
        <v>559</v>
      </c>
      <c r="C336" s="79" t="s">
        <v>779</v>
      </c>
      <c r="D336" s="79">
        <v>4</v>
      </c>
      <c r="E336" s="79" t="s">
        <v>641</v>
      </c>
      <c r="F336" s="79">
        <v>2</v>
      </c>
      <c r="G336" s="276" t="s">
        <v>2164</v>
      </c>
      <c r="H336" s="276" t="s">
        <v>2165</v>
      </c>
      <c r="I336" s="276" t="s">
        <v>2166</v>
      </c>
      <c r="J336" s="276" t="s">
        <v>2167</v>
      </c>
      <c r="K336" s="276" t="s">
        <v>591</v>
      </c>
      <c r="L336" s="276" t="s">
        <v>592</v>
      </c>
      <c r="M336" s="276" t="s">
        <v>2168</v>
      </c>
      <c r="N336" s="276" t="s">
        <v>622</v>
      </c>
    </row>
    <row r="337" spans="1:14" ht="67.150000000000006">
      <c r="A337" s="268" t="str">
        <f t="shared" si="5"/>
        <v>Controlling &amp; Corrective Action|Department Head|4</v>
      </c>
      <c r="B337" s="223" t="s">
        <v>559</v>
      </c>
      <c r="C337" s="79" t="s">
        <v>779</v>
      </c>
      <c r="D337" s="79">
        <v>4</v>
      </c>
      <c r="E337" s="79" t="s">
        <v>641</v>
      </c>
      <c r="F337" s="79">
        <v>3</v>
      </c>
      <c r="G337" s="276" t="s">
        <v>2169</v>
      </c>
      <c r="H337" s="276" t="s">
        <v>2170</v>
      </c>
      <c r="I337" s="276" t="s">
        <v>2171</v>
      </c>
      <c r="J337" s="276" t="s">
        <v>2172</v>
      </c>
      <c r="K337" s="276" t="s">
        <v>591</v>
      </c>
      <c r="L337" s="276" t="s">
        <v>592</v>
      </c>
      <c r="M337" s="276" t="s">
        <v>2173</v>
      </c>
      <c r="N337" s="276" t="s">
        <v>1928</v>
      </c>
    </row>
    <row r="338" spans="1:14" ht="84">
      <c r="A338" s="268" t="str">
        <f t="shared" si="5"/>
        <v>Controlling &amp; Corrective Action|Division Head|1</v>
      </c>
      <c r="B338" s="223" t="s">
        <v>559</v>
      </c>
      <c r="C338" s="79" t="s">
        <v>838</v>
      </c>
      <c r="D338" s="197">
        <v>1</v>
      </c>
      <c r="E338" s="79" t="s">
        <v>586</v>
      </c>
      <c r="F338" s="79">
        <v>1</v>
      </c>
      <c r="G338" s="276" t="s">
        <v>839</v>
      </c>
      <c r="H338" s="276" t="s">
        <v>840</v>
      </c>
      <c r="I338" s="276" t="s">
        <v>2174</v>
      </c>
      <c r="J338" s="276" t="s">
        <v>2175</v>
      </c>
      <c r="K338" s="276" t="s">
        <v>591</v>
      </c>
      <c r="L338" s="276" t="s">
        <v>592</v>
      </c>
      <c r="M338" s="276" t="s">
        <v>2176</v>
      </c>
      <c r="N338" s="276" t="s">
        <v>594</v>
      </c>
    </row>
    <row r="339" spans="1:14" ht="67.150000000000006">
      <c r="A339" s="268" t="str">
        <f t="shared" si="5"/>
        <v>Controlling &amp; Corrective Action|Division Head|1</v>
      </c>
      <c r="B339" s="223" t="s">
        <v>559</v>
      </c>
      <c r="C339" s="79" t="s">
        <v>838</v>
      </c>
      <c r="D339" s="197">
        <v>1</v>
      </c>
      <c r="E339" s="79" t="s">
        <v>586</v>
      </c>
      <c r="F339" s="79">
        <v>2</v>
      </c>
      <c r="G339" s="276" t="s">
        <v>2177</v>
      </c>
      <c r="H339" s="276" t="s">
        <v>2178</v>
      </c>
      <c r="I339" s="276" t="s">
        <v>2179</v>
      </c>
      <c r="J339" s="276" t="s">
        <v>2180</v>
      </c>
      <c r="K339" s="276" t="s">
        <v>591</v>
      </c>
      <c r="L339" s="276" t="s">
        <v>592</v>
      </c>
      <c r="M339" s="276" t="s">
        <v>2181</v>
      </c>
      <c r="N339" s="276" t="s">
        <v>622</v>
      </c>
    </row>
    <row r="340" spans="1:14" ht="67.150000000000006">
      <c r="A340" s="268" t="str">
        <f t="shared" si="5"/>
        <v>Controlling &amp; Corrective Action|Division Head|1</v>
      </c>
      <c r="B340" s="223" t="s">
        <v>559</v>
      </c>
      <c r="C340" s="79" t="s">
        <v>838</v>
      </c>
      <c r="D340" s="197">
        <v>1</v>
      </c>
      <c r="E340" s="79" t="s">
        <v>586</v>
      </c>
      <c r="F340" s="79">
        <v>3</v>
      </c>
      <c r="G340" s="276" t="s">
        <v>849</v>
      </c>
      <c r="H340" s="276" t="s">
        <v>2182</v>
      </c>
      <c r="I340" s="276" t="s">
        <v>2183</v>
      </c>
      <c r="J340" s="276" t="s">
        <v>2184</v>
      </c>
      <c r="K340" s="276" t="s">
        <v>591</v>
      </c>
      <c r="L340" s="276" t="s">
        <v>592</v>
      </c>
      <c r="M340" s="276" t="s">
        <v>2185</v>
      </c>
      <c r="N340" s="276" t="s">
        <v>622</v>
      </c>
    </row>
    <row r="341" spans="1:14" ht="67.150000000000006">
      <c r="A341" s="268" t="str">
        <f t="shared" si="5"/>
        <v>Controlling &amp; Corrective Action|Division Head|2</v>
      </c>
      <c r="B341" s="223" t="s">
        <v>559</v>
      </c>
      <c r="C341" s="79" t="s">
        <v>838</v>
      </c>
      <c r="D341" s="79">
        <v>2</v>
      </c>
      <c r="E341" s="79" t="s">
        <v>605</v>
      </c>
      <c r="F341" s="79">
        <v>1</v>
      </c>
      <c r="G341" s="276" t="s">
        <v>2186</v>
      </c>
      <c r="H341" s="276" t="s">
        <v>2187</v>
      </c>
      <c r="I341" s="276" t="s">
        <v>2188</v>
      </c>
      <c r="J341" s="276" t="s">
        <v>2189</v>
      </c>
      <c r="K341" s="276" t="s">
        <v>591</v>
      </c>
      <c r="L341" s="276" t="s">
        <v>592</v>
      </c>
      <c r="M341" s="276" t="s">
        <v>2190</v>
      </c>
      <c r="N341" s="276" t="s">
        <v>611</v>
      </c>
    </row>
    <row r="342" spans="1:14" ht="67.150000000000006">
      <c r="A342" s="268" t="str">
        <f t="shared" si="5"/>
        <v>Controlling &amp; Corrective Action|Division Head|2</v>
      </c>
      <c r="B342" s="223" t="s">
        <v>559</v>
      </c>
      <c r="C342" s="79" t="s">
        <v>838</v>
      </c>
      <c r="D342" s="79">
        <v>2</v>
      </c>
      <c r="E342" s="79" t="s">
        <v>605</v>
      </c>
      <c r="F342" s="79">
        <v>2</v>
      </c>
      <c r="G342" s="276" t="s">
        <v>859</v>
      </c>
      <c r="H342" s="276" t="s">
        <v>2191</v>
      </c>
      <c r="I342" s="276" t="s">
        <v>2192</v>
      </c>
      <c r="J342" s="276" t="s">
        <v>2193</v>
      </c>
      <c r="K342" s="276" t="s">
        <v>591</v>
      </c>
      <c r="L342" s="276" t="s">
        <v>592</v>
      </c>
      <c r="M342" s="276" t="s">
        <v>2194</v>
      </c>
      <c r="N342" s="276" t="s">
        <v>622</v>
      </c>
    </row>
    <row r="343" spans="1:14" ht="67.150000000000006">
      <c r="A343" s="268" t="str">
        <f t="shared" si="5"/>
        <v>Controlling &amp; Corrective Action|Division Head|2</v>
      </c>
      <c r="B343" s="223" t="s">
        <v>559</v>
      </c>
      <c r="C343" s="79" t="s">
        <v>838</v>
      </c>
      <c r="D343" s="79">
        <v>2</v>
      </c>
      <c r="E343" s="79" t="s">
        <v>605</v>
      </c>
      <c r="F343" s="79">
        <v>3</v>
      </c>
      <c r="G343" s="276" t="s">
        <v>864</v>
      </c>
      <c r="H343" s="276" t="s">
        <v>2195</v>
      </c>
      <c r="I343" s="276" t="s">
        <v>2196</v>
      </c>
      <c r="J343" s="276" t="s">
        <v>2197</v>
      </c>
      <c r="K343" s="276" t="s">
        <v>591</v>
      </c>
      <c r="L343" s="276" t="s">
        <v>592</v>
      </c>
      <c r="M343" s="276" t="s">
        <v>868</v>
      </c>
      <c r="N343" s="276" t="s">
        <v>594</v>
      </c>
    </row>
    <row r="344" spans="1:14" ht="84">
      <c r="A344" s="268" t="str">
        <f t="shared" si="5"/>
        <v>Controlling &amp; Corrective Action|Division Head|3</v>
      </c>
      <c r="B344" s="223" t="s">
        <v>559</v>
      </c>
      <c r="C344" s="79" t="s">
        <v>838</v>
      </c>
      <c r="D344" s="79">
        <v>3</v>
      </c>
      <c r="E344" s="79" t="s">
        <v>623</v>
      </c>
      <c r="F344" s="79">
        <v>1</v>
      </c>
      <c r="G344" s="276" t="s">
        <v>2198</v>
      </c>
      <c r="H344" s="276" t="s">
        <v>870</v>
      </c>
      <c r="I344" s="276" t="s">
        <v>2199</v>
      </c>
      <c r="J344" s="276" t="s">
        <v>2200</v>
      </c>
      <c r="K344" s="276" t="s">
        <v>591</v>
      </c>
      <c r="L344" s="276" t="s">
        <v>592</v>
      </c>
      <c r="M344" s="276" t="s">
        <v>2201</v>
      </c>
      <c r="N344" s="276" t="s">
        <v>594</v>
      </c>
    </row>
    <row r="345" spans="1:14" ht="84">
      <c r="A345" s="268" t="str">
        <f t="shared" si="5"/>
        <v>Controlling &amp; Corrective Action|Division Head|3</v>
      </c>
      <c r="B345" s="223" t="s">
        <v>559</v>
      </c>
      <c r="C345" s="79" t="s">
        <v>838</v>
      </c>
      <c r="D345" s="79">
        <v>3</v>
      </c>
      <c r="E345" s="79" t="s">
        <v>623</v>
      </c>
      <c r="F345" s="79">
        <v>2</v>
      </c>
      <c r="G345" s="276" t="s">
        <v>2202</v>
      </c>
      <c r="H345" s="276" t="s">
        <v>2203</v>
      </c>
      <c r="I345" s="276" t="s">
        <v>2204</v>
      </c>
      <c r="J345" s="276" t="s">
        <v>1486</v>
      </c>
      <c r="K345" s="276" t="s">
        <v>591</v>
      </c>
      <c r="L345" s="276" t="s">
        <v>592</v>
      </c>
      <c r="M345" s="276" t="s">
        <v>2205</v>
      </c>
      <c r="N345" s="276" t="s">
        <v>622</v>
      </c>
    </row>
    <row r="346" spans="1:14" ht="117.6">
      <c r="A346" s="268" t="str">
        <f t="shared" si="5"/>
        <v>Controlling &amp; Corrective Action|Division Head|3</v>
      </c>
      <c r="B346" s="223" t="s">
        <v>559</v>
      </c>
      <c r="C346" s="79" t="s">
        <v>838</v>
      </c>
      <c r="D346" s="79">
        <v>3</v>
      </c>
      <c r="E346" s="79" t="s">
        <v>623</v>
      </c>
      <c r="F346" s="79">
        <v>3</v>
      </c>
      <c r="G346" s="276" t="s">
        <v>2206</v>
      </c>
      <c r="H346" s="276" t="s">
        <v>880</v>
      </c>
      <c r="I346" s="276" t="s">
        <v>2207</v>
      </c>
      <c r="J346" s="276" t="s">
        <v>1008</v>
      </c>
      <c r="K346" s="276" t="s">
        <v>591</v>
      </c>
      <c r="L346" s="276" t="s">
        <v>592</v>
      </c>
      <c r="M346" s="276" t="s">
        <v>2208</v>
      </c>
      <c r="N346" s="276" t="s">
        <v>640</v>
      </c>
    </row>
    <row r="347" spans="1:14" ht="100.9">
      <c r="A347" s="268" t="str">
        <f t="shared" si="5"/>
        <v>Controlling &amp; Corrective Action|Division Head|4</v>
      </c>
      <c r="B347" s="223" t="s">
        <v>559</v>
      </c>
      <c r="C347" s="79" t="s">
        <v>838</v>
      </c>
      <c r="D347" s="79">
        <v>4</v>
      </c>
      <c r="E347" s="79" t="s">
        <v>641</v>
      </c>
      <c r="F347" s="79">
        <v>1</v>
      </c>
      <c r="G347" s="276" t="s">
        <v>2209</v>
      </c>
      <c r="H347" s="276" t="s">
        <v>2210</v>
      </c>
      <c r="I347" s="276" t="s">
        <v>2211</v>
      </c>
      <c r="J347" s="276" t="s">
        <v>2212</v>
      </c>
      <c r="K347" s="276" t="s">
        <v>591</v>
      </c>
      <c r="L347" s="276" t="s">
        <v>592</v>
      </c>
      <c r="M347" s="276" t="s">
        <v>2213</v>
      </c>
      <c r="N347" s="276" t="s">
        <v>622</v>
      </c>
    </row>
    <row r="348" spans="1:14" ht="67.150000000000006">
      <c r="A348" s="268" t="str">
        <f t="shared" si="5"/>
        <v>Controlling &amp; Corrective Action|Division Head|4</v>
      </c>
      <c r="B348" s="223" t="s">
        <v>559</v>
      </c>
      <c r="C348" s="79" t="s">
        <v>838</v>
      </c>
      <c r="D348" s="79">
        <v>4</v>
      </c>
      <c r="E348" s="79" t="s">
        <v>641</v>
      </c>
      <c r="F348" s="79">
        <v>2</v>
      </c>
      <c r="G348" s="276" t="s">
        <v>2214</v>
      </c>
      <c r="H348" s="276" t="s">
        <v>2215</v>
      </c>
      <c r="I348" s="276" t="s">
        <v>2216</v>
      </c>
      <c r="J348" s="276" t="s">
        <v>2217</v>
      </c>
      <c r="K348" s="276" t="s">
        <v>591</v>
      </c>
      <c r="L348" s="276" t="s">
        <v>592</v>
      </c>
      <c r="M348" s="276" t="s">
        <v>2218</v>
      </c>
      <c r="N348" s="276" t="s">
        <v>622</v>
      </c>
    </row>
    <row r="349" spans="1:14" ht="67.150000000000006">
      <c r="A349" s="268" t="str">
        <f t="shared" si="5"/>
        <v>Controlling &amp; Corrective Action|Division Head|4</v>
      </c>
      <c r="B349" s="223" t="s">
        <v>559</v>
      </c>
      <c r="C349" s="79" t="s">
        <v>838</v>
      </c>
      <c r="D349" s="79">
        <v>4</v>
      </c>
      <c r="E349" s="79" t="s">
        <v>641</v>
      </c>
      <c r="F349" s="79">
        <v>3</v>
      </c>
      <c r="G349" s="276" t="s">
        <v>2219</v>
      </c>
      <c r="H349" s="276" t="s">
        <v>2220</v>
      </c>
      <c r="I349" s="276" t="s">
        <v>2221</v>
      </c>
      <c r="J349" s="276" t="s">
        <v>2222</v>
      </c>
      <c r="K349" s="276" t="s">
        <v>591</v>
      </c>
      <c r="L349" s="276" t="s">
        <v>592</v>
      </c>
      <c r="M349" s="276" t="s">
        <v>2223</v>
      </c>
      <c r="N349" s="276" t="s">
        <v>1110</v>
      </c>
    </row>
    <row r="350" spans="1:14" ht="84">
      <c r="A350" s="268" t="str">
        <f t="shared" si="5"/>
        <v>Controlling &amp; Corrective Action|Director|1</v>
      </c>
      <c r="B350" s="223" t="s">
        <v>559</v>
      </c>
      <c r="C350" s="79" t="s">
        <v>898</v>
      </c>
      <c r="D350" s="197">
        <v>1</v>
      </c>
      <c r="E350" s="79" t="s">
        <v>586</v>
      </c>
      <c r="F350" s="79">
        <v>1</v>
      </c>
      <c r="G350" s="276" t="s">
        <v>2224</v>
      </c>
      <c r="H350" s="276" t="s">
        <v>2225</v>
      </c>
      <c r="I350" s="276" t="s">
        <v>2226</v>
      </c>
      <c r="J350" s="276" t="s">
        <v>2227</v>
      </c>
      <c r="K350" s="276" t="s">
        <v>591</v>
      </c>
      <c r="L350" s="276" t="s">
        <v>592</v>
      </c>
      <c r="M350" s="276" t="s">
        <v>2228</v>
      </c>
      <c r="N350" s="276" t="s">
        <v>2229</v>
      </c>
    </row>
    <row r="351" spans="1:14" ht="84">
      <c r="A351" s="268" t="str">
        <f t="shared" si="5"/>
        <v>Controlling &amp; Corrective Action|Director|1</v>
      </c>
      <c r="B351" s="223" t="s">
        <v>559</v>
      </c>
      <c r="C351" s="79" t="s">
        <v>898</v>
      </c>
      <c r="D351" s="197">
        <v>1</v>
      </c>
      <c r="E351" s="79" t="s">
        <v>586</v>
      </c>
      <c r="F351" s="79">
        <v>2</v>
      </c>
      <c r="G351" s="276" t="s">
        <v>2230</v>
      </c>
      <c r="H351" s="276" t="s">
        <v>2231</v>
      </c>
      <c r="I351" s="276" t="s">
        <v>2232</v>
      </c>
      <c r="J351" s="276" t="s">
        <v>2233</v>
      </c>
      <c r="K351" s="276" t="s">
        <v>591</v>
      </c>
      <c r="L351" s="276" t="s">
        <v>592</v>
      </c>
      <c r="M351" s="276" t="s">
        <v>2234</v>
      </c>
      <c r="N351" s="276" t="s">
        <v>2235</v>
      </c>
    </row>
    <row r="352" spans="1:14" ht="67.150000000000006">
      <c r="A352" s="268" t="str">
        <f t="shared" si="5"/>
        <v>Controlling &amp; Corrective Action|Director|1</v>
      </c>
      <c r="B352" s="223" t="s">
        <v>559</v>
      </c>
      <c r="C352" s="79" t="s">
        <v>898</v>
      </c>
      <c r="D352" s="197">
        <v>1</v>
      </c>
      <c r="E352" s="79" t="s">
        <v>586</v>
      </c>
      <c r="F352" s="79">
        <v>3</v>
      </c>
      <c r="G352" s="276" t="s">
        <v>2236</v>
      </c>
      <c r="H352" s="276" t="s">
        <v>2237</v>
      </c>
      <c r="I352" s="276" t="s">
        <v>2238</v>
      </c>
      <c r="J352" s="276" t="s">
        <v>2239</v>
      </c>
      <c r="K352" s="276" t="s">
        <v>591</v>
      </c>
      <c r="L352" s="276" t="s">
        <v>592</v>
      </c>
      <c r="M352" s="276" t="s">
        <v>2240</v>
      </c>
      <c r="N352" s="276" t="s">
        <v>916</v>
      </c>
    </row>
    <row r="353" spans="1:14" ht="100.9">
      <c r="A353" s="268" t="str">
        <f t="shared" si="5"/>
        <v>Controlling &amp; Corrective Action|Director|2</v>
      </c>
      <c r="B353" s="223" t="s">
        <v>559</v>
      </c>
      <c r="C353" s="79" t="s">
        <v>898</v>
      </c>
      <c r="D353" s="79">
        <v>2</v>
      </c>
      <c r="E353" s="79" t="s">
        <v>605</v>
      </c>
      <c r="F353" s="79">
        <v>1</v>
      </c>
      <c r="G353" s="276" t="s">
        <v>2241</v>
      </c>
      <c r="H353" s="276" t="s">
        <v>2242</v>
      </c>
      <c r="I353" s="276" t="s">
        <v>2243</v>
      </c>
      <c r="J353" s="276" t="s">
        <v>2244</v>
      </c>
      <c r="K353" s="276" t="s">
        <v>591</v>
      </c>
      <c r="L353" s="276" t="s">
        <v>592</v>
      </c>
      <c r="M353" s="276" t="s">
        <v>2245</v>
      </c>
      <c r="N353" s="276" t="s">
        <v>922</v>
      </c>
    </row>
    <row r="354" spans="1:14" ht="67.150000000000006">
      <c r="A354" s="268" t="str">
        <f t="shared" si="5"/>
        <v>Controlling &amp; Corrective Action|Director|2</v>
      </c>
      <c r="B354" s="223" t="s">
        <v>559</v>
      </c>
      <c r="C354" s="79" t="s">
        <v>898</v>
      </c>
      <c r="D354" s="79">
        <v>2</v>
      </c>
      <c r="E354" s="79" t="s">
        <v>605</v>
      </c>
      <c r="F354" s="79">
        <v>2</v>
      </c>
      <c r="G354" s="276" t="s">
        <v>2246</v>
      </c>
      <c r="H354" s="276" t="s">
        <v>2247</v>
      </c>
      <c r="I354" s="276" t="s">
        <v>2248</v>
      </c>
      <c r="J354" s="276" t="s">
        <v>2249</v>
      </c>
      <c r="K354" s="276" t="s">
        <v>591</v>
      </c>
      <c r="L354" s="276" t="s">
        <v>592</v>
      </c>
      <c r="M354" s="276" t="s">
        <v>2250</v>
      </c>
      <c r="N354" s="276" t="s">
        <v>916</v>
      </c>
    </row>
    <row r="355" spans="1:14" ht="67.150000000000006">
      <c r="A355" s="268" t="str">
        <f t="shared" si="5"/>
        <v>Controlling &amp; Corrective Action|Director|2</v>
      </c>
      <c r="B355" s="223" t="s">
        <v>559</v>
      </c>
      <c r="C355" s="79" t="s">
        <v>898</v>
      </c>
      <c r="D355" s="79">
        <v>2</v>
      </c>
      <c r="E355" s="79" t="s">
        <v>605</v>
      </c>
      <c r="F355" s="79">
        <v>3</v>
      </c>
      <c r="G355" s="276" t="s">
        <v>2251</v>
      </c>
      <c r="H355" s="276" t="s">
        <v>2252</v>
      </c>
      <c r="I355" s="276" t="s">
        <v>2253</v>
      </c>
      <c r="J355" s="276" t="s">
        <v>2254</v>
      </c>
      <c r="K355" s="276" t="s">
        <v>591</v>
      </c>
      <c r="L355" s="276" t="s">
        <v>592</v>
      </c>
      <c r="M355" s="276" t="s">
        <v>2255</v>
      </c>
      <c r="N355" s="276" t="s">
        <v>916</v>
      </c>
    </row>
    <row r="356" spans="1:14" ht="84">
      <c r="A356" s="268" t="str">
        <f t="shared" si="5"/>
        <v>Controlling &amp; Corrective Action|Director|3</v>
      </c>
      <c r="B356" s="223" t="s">
        <v>559</v>
      </c>
      <c r="C356" s="79" t="s">
        <v>898</v>
      </c>
      <c r="D356" s="79">
        <v>3</v>
      </c>
      <c r="E356" s="79" t="s">
        <v>623</v>
      </c>
      <c r="F356" s="79">
        <v>1</v>
      </c>
      <c r="G356" s="276" t="s">
        <v>2256</v>
      </c>
      <c r="H356" s="276" t="s">
        <v>2257</v>
      </c>
      <c r="I356" s="276" t="s">
        <v>2258</v>
      </c>
      <c r="J356" s="276" t="s">
        <v>2259</v>
      </c>
      <c r="K356" s="276" t="s">
        <v>591</v>
      </c>
      <c r="L356" s="276" t="s">
        <v>592</v>
      </c>
      <c r="M356" s="276" t="s">
        <v>2260</v>
      </c>
      <c r="N356" s="276" t="s">
        <v>594</v>
      </c>
    </row>
    <row r="357" spans="1:14" ht="67.150000000000006">
      <c r="A357" s="268" t="str">
        <f t="shared" si="5"/>
        <v>Controlling &amp; Corrective Action|Director|3</v>
      </c>
      <c r="B357" s="223" t="s">
        <v>559</v>
      </c>
      <c r="C357" s="79" t="s">
        <v>898</v>
      </c>
      <c r="D357" s="79">
        <v>3</v>
      </c>
      <c r="E357" s="79" t="s">
        <v>623</v>
      </c>
      <c r="F357" s="79">
        <v>2</v>
      </c>
      <c r="G357" s="276" t="s">
        <v>2261</v>
      </c>
      <c r="H357" s="276" t="s">
        <v>2262</v>
      </c>
      <c r="I357" s="276" t="s">
        <v>2263</v>
      </c>
      <c r="J357" s="276" t="s">
        <v>817</v>
      </c>
      <c r="K357" s="276" t="s">
        <v>591</v>
      </c>
      <c r="L357" s="276" t="s">
        <v>592</v>
      </c>
      <c r="M357" s="276" t="s">
        <v>2264</v>
      </c>
      <c r="N357" s="276" t="s">
        <v>916</v>
      </c>
    </row>
    <row r="358" spans="1:14" ht="117.6">
      <c r="A358" s="268" t="str">
        <f t="shared" si="5"/>
        <v>Controlling &amp; Corrective Action|Director|3</v>
      </c>
      <c r="B358" s="223" t="s">
        <v>559</v>
      </c>
      <c r="C358" s="79" t="s">
        <v>898</v>
      </c>
      <c r="D358" s="79">
        <v>3</v>
      </c>
      <c r="E358" s="79" t="s">
        <v>623</v>
      </c>
      <c r="F358" s="79">
        <v>3</v>
      </c>
      <c r="G358" s="276" t="s">
        <v>2265</v>
      </c>
      <c r="H358" s="276" t="s">
        <v>2266</v>
      </c>
      <c r="I358" s="276" t="s">
        <v>2267</v>
      </c>
      <c r="J358" s="276" t="s">
        <v>1008</v>
      </c>
      <c r="K358" s="276" t="s">
        <v>591</v>
      </c>
      <c r="L358" s="276" t="s">
        <v>592</v>
      </c>
      <c r="M358" s="276" t="s">
        <v>2268</v>
      </c>
      <c r="N358" s="276" t="s">
        <v>640</v>
      </c>
    </row>
    <row r="359" spans="1:14" ht="100.9">
      <c r="A359" s="268" t="str">
        <f t="shared" si="5"/>
        <v>Controlling &amp; Corrective Action|Director|4</v>
      </c>
      <c r="B359" s="223" t="s">
        <v>559</v>
      </c>
      <c r="C359" s="79" t="s">
        <v>898</v>
      </c>
      <c r="D359" s="79">
        <v>4</v>
      </c>
      <c r="E359" s="79" t="s">
        <v>641</v>
      </c>
      <c r="F359" s="79">
        <v>1</v>
      </c>
      <c r="G359" s="276" t="s">
        <v>2269</v>
      </c>
      <c r="H359" s="276" t="s">
        <v>2270</v>
      </c>
      <c r="I359" s="276" t="s">
        <v>2271</v>
      </c>
      <c r="J359" s="276" t="s">
        <v>2272</v>
      </c>
      <c r="K359" s="276" t="s">
        <v>591</v>
      </c>
      <c r="L359" s="276" t="s">
        <v>592</v>
      </c>
      <c r="M359" s="276" t="s">
        <v>2273</v>
      </c>
      <c r="N359" s="276" t="s">
        <v>916</v>
      </c>
    </row>
    <row r="360" spans="1:14" ht="84">
      <c r="A360" s="268" t="str">
        <f t="shared" si="5"/>
        <v>Controlling &amp; Corrective Action|Director|4</v>
      </c>
      <c r="B360" s="223" t="s">
        <v>559</v>
      </c>
      <c r="C360" s="79" t="s">
        <v>898</v>
      </c>
      <c r="D360" s="79">
        <v>4</v>
      </c>
      <c r="E360" s="79" t="s">
        <v>641</v>
      </c>
      <c r="F360" s="79">
        <v>2</v>
      </c>
      <c r="G360" s="276" t="s">
        <v>2274</v>
      </c>
      <c r="H360" s="276" t="s">
        <v>2275</v>
      </c>
      <c r="I360" s="276" t="s">
        <v>2276</v>
      </c>
      <c r="J360" s="276" t="s">
        <v>2277</v>
      </c>
      <c r="K360" s="276" t="s">
        <v>591</v>
      </c>
      <c r="L360" s="276" t="s">
        <v>592</v>
      </c>
      <c r="M360" s="276" t="s">
        <v>2278</v>
      </c>
      <c r="N360" s="276" t="s">
        <v>2279</v>
      </c>
    </row>
    <row r="361" spans="1:14" ht="84">
      <c r="A361" s="268" t="str">
        <f t="shared" si="5"/>
        <v>Controlling &amp; Corrective Action|Director|4</v>
      </c>
      <c r="B361" s="223" t="s">
        <v>559</v>
      </c>
      <c r="C361" s="79" t="s">
        <v>898</v>
      </c>
      <c r="D361" s="79">
        <v>4</v>
      </c>
      <c r="E361" s="79" t="s">
        <v>641</v>
      </c>
      <c r="F361" s="79">
        <v>3</v>
      </c>
      <c r="G361" s="276" t="s">
        <v>2280</v>
      </c>
      <c r="H361" s="276" t="s">
        <v>2281</v>
      </c>
      <c r="I361" s="276" t="s">
        <v>2282</v>
      </c>
      <c r="J361" s="276" t="s">
        <v>2283</v>
      </c>
      <c r="K361" s="276" t="s">
        <v>591</v>
      </c>
      <c r="L361" s="276" t="s">
        <v>592</v>
      </c>
      <c r="M361" s="276" t="s">
        <v>2284</v>
      </c>
      <c r="N361" s="276" t="s">
        <v>916</v>
      </c>
    </row>
    <row r="362" spans="1:14" ht="84">
      <c r="A362" s="268" t="str">
        <f>B362 &amp; "|" &amp; C362 &amp; "|" &amp; D362</f>
        <v>Customer Focus|Officer|1</v>
      </c>
      <c r="B362" s="223" t="s">
        <v>568</v>
      </c>
      <c r="C362" s="226" t="s">
        <v>4</v>
      </c>
      <c r="D362" s="226">
        <v>1</v>
      </c>
      <c r="E362" s="227" t="s">
        <v>586</v>
      </c>
      <c r="F362" s="227">
        <v>1</v>
      </c>
      <c r="G362" s="276" t="s">
        <v>2285</v>
      </c>
      <c r="H362" s="276" t="s">
        <v>2286</v>
      </c>
      <c r="I362" s="276" t="s">
        <v>2287</v>
      </c>
      <c r="J362" s="276" t="s">
        <v>2288</v>
      </c>
      <c r="K362" s="276" t="s">
        <v>591</v>
      </c>
      <c r="L362" s="276" t="s">
        <v>592</v>
      </c>
      <c r="M362" s="276" t="s">
        <v>2289</v>
      </c>
      <c r="N362" s="276" t="s">
        <v>594</v>
      </c>
    </row>
    <row r="363" spans="1:14" ht="100.9">
      <c r="A363" s="268" t="str">
        <f t="shared" si="5"/>
        <v>Customer Focus|Officer|1</v>
      </c>
      <c r="B363" s="223" t="s">
        <v>568</v>
      </c>
      <c r="C363" s="226" t="s">
        <v>4</v>
      </c>
      <c r="D363" s="226">
        <v>1</v>
      </c>
      <c r="E363" s="227" t="s">
        <v>586</v>
      </c>
      <c r="F363" s="227">
        <v>2</v>
      </c>
      <c r="G363" s="276" t="s">
        <v>2290</v>
      </c>
      <c r="H363" s="276" t="s">
        <v>2291</v>
      </c>
      <c r="I363" s="276" t="s">
        <v>2292</v>
      </c>
      <c r="J363" s="276" t="s">
        <v>2293</v>
      </c>
      <c r="K363" s="276" t="s">
        <v>591</v>
      </c>
      <c r="L363" s="276" t="s">
        <v>592</v>
      </c>
      <c r="M363" s="276" t="s">
        <v>2294</v>
      </c>
      <c r="N363" s="276" t="s">
        <v>594</v>
      </c>
    </row>
    <row r="364" spans="1:14" ht="84">
      <c r="A364" s="268" t="str">
        <f t="shared" si="5"/>
        <v>Customer Focus|Officer|1</v>
      </c>
      <c r="B364" s="223" t="s">
        <v>568</v>
      </c>
      <c r="C364" s="226" t="s">
        <v>4</v>
      </c>
      <c r="D364" s="226">
        <v>1</v>
      </c>
      <c r="E364" s="227" t="s">
        <v>586</v>
      </c>
      <c r="F364" s="227">
        <v>3</v>
      </c>
      <c r="G364" s="276" t="s">
        <v>2295</v>
      </c>
      <c r="H364" s="276" t="s">
        <v>2296</v>
      </c>
      <c r="I364" s="276" t="s">
        <v>2297</v>
      </c>
      <c r="J364" s="276" t="s">
        <v>2298</v>
      </c>
      <c r="K364" s="276" t="s">
        <v>591</v>
      </c>
      <c r="L364" s="276" t="s">
        <v>592</v>
      </c>
      <c r="M364" s="276" t="s">
        <v>2299</v>
      </c>
      <c r="N364" s="276" t="s">
        <v>594</v>
      </c>
    </row>
    <row r="365" spans="1:14" ht="67.150000000000006">
      <c r="A365" s="268" t="str">
        <f t="shared" si="5"/>
        <v>Customer Focus|Officer|2</v>
      </c>
      <c r="B365" s="223" t="s">
        <v>568</v>
      </c>
      <c r="C365" s="226" t="s">
        <v>4</v>
      </c>
      <c r="D365" s="227">
        <v>2</v>
      </c>
      <c r="E365" s="227" t="s">
        <v>605</v>
      </c>
      <c r="F365" s="227">
        <v>1</v>
      </c>
      <c r="G365" s="276" t="s">
        <v>1954</v>
      </c>
      <c r="H365" s="276" t="s">
        <v>1955</v>
      </c>
      <c r="I365" s="276" t="s">
        <v>2300</v>
      </c>
      <c r="J365" s="276" t="s">
        <v>1957</v>
      </c>
      <c r="K365" s="276" t="s">
        <v>591</v>
      </c>
      <c r="L365" s="276" t="s">
        <v>592</v>
      </c>
      <c r="M365" s="276" t="s">
        <v>2301</v>
      </c>
      <c r="N365" s="276" t="s">
        <v>611</v>
      </c>
    </row>
    <row r="366" spans="1:14" ht="84">
      <c r="A366" s="268" t="str">
        <f t="shared" si="5"/>
        <v>Customer Focus|Officer|2</v>
      </c>
      <c r="B366" s="223" t="s">
        <v>568</v>
      </c>
      <c r="C366" s="226" t="s">
        <v>4</v>
      </c>
      <c r="D366" s="227">
        <v>2</v>
      </c>
      <c r="E366" s="227" t="s">
        <v>605</v>
      </c>
      <c r="F366" s="227">
        <v>2</v>
      </c>
      <c r="G366" s="276" t="s">
        <v>1959</v>
      </c>
      <c r="H366" s="276" t="s">
        <v>1960</v>
      </c>
      <c r="I366" s="276" t="s">
        <v>2302</v>
      </c>
      <c r="J366" s="276" t="s">
        <v>2303</v>
      </c>
      <c r="K366" s="276" t="s">
        <v>591</v>
      </c>
      <c r="L366" s="276" t="s">
        <v>592</v>
      </c>
      <c r="M366" s="276" t="s">
        <v>2304</v>
      </c>
      <c r="N366" s="276" t="s">
        <v>594</v>
      </c>
    </row>
    <row r="367" spans="1:14" ht="67.150000000000006">
      <c r="A367" s="268" t="str">
        <f t="shared" si="5"/>
        <v>Customer Focus|Officer|2</v>
      </c>
      <c r="B367" s="223" t="s">
        <v>568</v>
      </c>
      <c r="C367" s="226" t="s">
        <v>4</v>
      </c>
      <c r="D367" s="227">
        <v>2</v>
      </c>
      <c r="E367" s="227" t="s">
        <v>605</v>
      </c>
      <c r="F367" s="227">
        <v>3</v>
      </c>
      <c r="G367" s="276" t="s">
        <v>2305</v>
      </c>
      <c r="H367" s="276" t="s">
        <v>2306</v>
      </c>
      <c r="I367" s="276" t="s">
        <v>2307</v>
      </c>
      <c r="J367" s="276" t="s">
        <v>2308</v>
      </c>
      <c r="K367" s="276" t="s">
        <v>591</v>
      </c>
      <c r="L367" s="276" t="s">
        <v>592</v>
      </c>
      <c r="M367" s="276" t="s">
        <v>2309</v>
      </c>
      <c r="N367" s="276" t="s">
        <v>622</v>
      </c>
    </row>
    <row r="368" spans="1:14" ht="134.44999999999999">
      <c r="A368" s="268" t="str">
        <f t="shared" si="5"/>
        <v>Customer Focus|Officer|3</v>
      </c>
      <c r="B368" s="223" t="s">
        <v>568</v>
      </c>
      <c r="C368" s="226" t="s">
        <v>4</v>
      </c>
      <c r="D368" s="227">
        <v>3</v>
      </c>
      <c r="E368" s="227" t="s">
        <v>623</v>
      </c>
      <c r="F368" s="227">
        <v>1</v>
      </c>
      <c r="G368" s="276" t="s">
        <v>1969</v>
      </c>
      <c r="H368" s="276" t="s">
        <v>2310</v>
      </c>
      <c r="I368" s="276" t="s">
        <v>2311</v>
      </c>
      <c r="J368" s="276" t="s">
        <v>1972</v>
      </c>
      <c r="K368" s="276" t="s">
        <v>591</v>
      </c>
      <c r="L368" s="276" t="s">
        <v>592</v>
      </c>
      <c r="M368" s="276" t="s">
        <v>2312</v>
      </c>
      <c r="N368" s="276" t="s">
        <v>1974</v>
      </c>
    </row>
    <row r="369" spans="1:14" ht="100.9">
      <c r="A369" s="268" t="str">
        <f t="shared" si="5"/>
        <v>Customer Focus|Officer|3</v>
      </c>
      <c r="B369" s="223" t="s">
        <v>568</v>
      </c>
      <c r="C369" s="226" t="s">
        <v>4</v>
      </c>
      <c r="D369" s="227">
        <v>3</v>
      </c>
      <c r="E369" s="227" t="s">
        <v>623</v>
      </c>
      <c r="F369" s="227">
        <v>2</v>
      </c>
      <c r="G369" s="276" t="s">
        <v>2313</v>
      </c>
      <c r="H369" s="276" t="s">
        <v>1976</v>
      </c>
      <c r="I369" s="276" t="s">
        <v>2314</v>
      </c>
      <c r="J369" s="276" t="s">
        <v>1978</v>
      </c>
      <c r="K369" s="276" t="s">
        <v>591</v>
      </c>
      <c r="L369" s="276" t="s">
        <v>592</v>
      </c>
      <c r="M369" s="276" t="s">
        <v>2315</v>
      </c>
      <c r="N369" s="276" t="s">
        <v>622</v>
      </c>
    </row>
    <row r="370" spans="1:14" ht="100.9">
      <c r="A370" s="268" t="str">
        <f t="shared" si="5"/>
        <v>Customer Focus|Officer|3</v>
      </c>
      <c r="B370" s="223" t="s">
        <v>568</v>
      </c>
      <c r="C370" s="226" t="s">
        <v>4</v>
      </c>
      <c r="D370" s="227">
        <v>3</v>
      </c>
      <c r="E370" s="227" t="s">
        <v>623</v>
      </c>
      <c r="F370" s="227">
        <v>3</v>
      </c>
      <c r="G370" s="276" t="s">
        <v>1980</v>
      </c>
      <c r="H370" s="276" t="s">
        <v>1981</v>
      </c>
      <c r="I370" s="276" t="s">
        <v>2316</v>
      </c>
      <c r="J370" s="276" t="s">
        <v>1008</v>
      </c>
      <c r="K370" s="276" t="s">
        <v>591</v>
      </c>
      <c r="L370" s="276" t="s">
        <v>592</v>
      </c>
      <c r="M370" s="276" t="s">
        <v>2317</v>
      </c>
      <c r="N370" s="276" t="s">
        <v>640</v>
      </c>
    </row>
    <row r="371" spans="1:14" ht="84">
      <c r="A371" s="268" t="str">
        <f t="shared" si="5"/>
        <v>Customer Focus|Officer|4</v>
      </c>
      <c r="B371" s="223" t="s">
        <v>568</v>
      </c>
      <c r="C371" s="226" t="s">
        <v>4</v>
      </c>
      <c r="D371" s="227">
        <v>4</v>
      </c>
      <c r="E371" s="227" t="s">
        <v>641</v>
      </c>
      <c r="F371" s="227">
        <v>1</v>
      </c>
      <c r="G371" s="276" t="s">
        <v>1984</v>
      </c>
      <c r="H371" s="276" t="s">
        <v>2318</v>
      </c>
      <c r="I371" s="276" t="s">
        <v>2319</v>
      </c>
      <c r="J371" s="276" t="s">
        <v>2320</v>
      </c>
      <c r="K371" s="276" t="s">
        <v>591</v>
      </c>
      <c r="L371" s="276" t="s">
        <v>592</v>
      </c>
      <c r="M371" s="276" t="s">
        <v>2321</v>
      </c>
      <c r="N371" s="276" t="s">
        <v>622</v>
      </c>
    </row>
    <row r="372" spans="1:14" ht="84">
      <c r="A372" s="268" t="str">
        <f t="shared" si="5"/>
        <v>Customer Focus|Officer|4</v>
      </c>
      <c r="B372" s="223" t="s">
        <v>568</v>
      </c>
      <c r="C372" s="226" t="s">
        <v>4</v>
      </c>
      <c r="D372" s="227">
        <v>4</v>
      </c>
      <c r="E372" s="227" t="s">
        <v>641</v>
      </c>
      <c r="F372" s="227">
        <v>2</v>
      </c>
      <c r="G372" s="276" t="s">
        <v>1989</v>
      </c>
      <c r="H372" s="276" t="s">
        <v>1990</v>
      </c>
      <c r="I372" s="276" t="s">
        <v>2322</v>
      </c>
      <c r="J372" s="276" t="s">
        <v>2323</v>
      </c>
      <c r="K372" s="276" t="s">
        <v>591</v>
      </c>
      <c r="L372" s="276" t="s">
        <v>592</v>
      </c>
      <c r="M372" s="276" t="s">
        <v>2324</v>
      </c>
      <c r="N372" s="276" t="s">
        <v>1974</v>
      </c>
    </row>
    <row r="373" spans="1:14" ht="100.9">
      <c r="A373" s="268" t="str">
        <f t="shared" si="5"/>
        <v>Customer Focus|Officer|4</v>
      </c>
      <c r="B373" s="223" t="s">
        <v>568</v>
      </c>
      <c r="C373" s="226" t="s">
        <v>4</v>
      </c>
      <c r="D373" s="227">
        <v>4</v>
      </c>
      <c r="E373" s="227" t="s">
        <v>641</v>
      </c>
      <c r="F373" s="227">
        <v>3</v>
      </c>
      <c r="G373" s="276" t="s">
        <v>1994</v>
      </c>
      <c r="H373" s="276" t="s">
        <v>1995</v>
      </c>
      <c r="I373" s="276" t="s">
        <v>2325</v>
      </c>
      <c r="J373" s="276" t="s">
        <v>2326</v>
      </c>
      <c r="K373" s="276" t="s">
        <v>591</v>
      </c>
      <c r="L373" s="276" t="s">
        <v>592</v>
      </c>
      <c r="M373" s="276" t="s">
        <v>2327</v>
      </c>
      <c r="N373" s="276" t="s">
        <v>622</v>
      </c>
    </row>
    <row r="374" spans="1:14" ht="100.9">
      <c r="A374" s="268" t="str">
        <f t="shared" si="5"/>
        <v>Customer Focus|Analyst|1</v>
      </c>
      <c r="B374" s="223" t="s">
        <v>568</v>
      </c>
      <c r="C374" s="226" t="s">
        <v>6</v>
      </c>
      <c r="D374" s="226">
        <v>1</v>
      </c>
      <c r="E374" s="227" t="s">
        <v>586</v>
      </c>
      <c r="F374" s="227">
        <v>1</v>
      </c>
      <c r="G374" s="276" t="s">
        <v>2328</v>
      </c>
      <c r="H374" s="276" t="s">
        <v>2329</v>
      </c>
      <c r="I374" s="276" t="s">
        <v>2330</v>
      </c>
      <c r="J374" s="276" t="s">
        <v>2331</v>
      </c>
      <c r="K374" s="276" t="s">
        <v>591</v>
      </c>
      <c r="L374" s="276" t="s">
        <v>592</v>
      </c>
      <c r="M374" s="276" t="s">
        <v>2332</v>
      </c>
      <c r="N374" s="276" t="s">
        <v>594</v>
      </c>
    </row>
    <row r="375" spans="1:14" ht="117.6">
      <c r="A375" s="268" t="str">
        <f t="shared" si="5"/>
        <v>Customer Focus|Analyst|1</v>
      </c>
      <c r="B375" s="223" t="s">
        <v>568</v>
      </c>
      <c r="C375" s="226" t="s">
        <v>6</v>
      </c>
      <c r="D375" s="226">
        <v>1</v>
      </c>
      <c r="E375" s="227" t="s">
        <v>586</v>
      </c>
      <c r="F375" s="227">
        <v>2</v>
      </c>
      <c r="G375" s="276" t="s">
        <v>2333</v>
      </c>
      <c r="H375" s="276" t="s">
        <v>2334</v>
      </c>
      <c r="I375" s="276" t="s">
        <v>2335</v>
      </c>
      <c r="J375" s="276" t="s">
        <v>2336</v>
      </c>
      <c r="K375" s="276" t="s">
        <v>591</v>
      </c>
      <c r="L375" s="276" t="s">
        <v>592</v>
      </c>
      <c r="M375" s="276" t="s">
        <v>2337</v>
      </c>
      <c r="N375" s="276" t="s">
        <v>594</v>
      </c>
    </row>
    <row r="376" spans="1:14" ht="100.9">
      <c r="A376" s="268" t="str">
        <f t="shared" si="5"/>
        <v>Customer Focus|Analyst|1</v>
      </c>
      <c r="B376" s="223" t="s">
        <v>568</v>
      </c>
      <c r="C376" s="226" t="s">
        <v>6</v>
      </c>
      <c r="D376" s="226">
        <v>1</v>
      </c>
      <c r="E376" s="227" t="s">
        <v>586</v>
      </c>
      <c r="F376" s="227">
        <v>3</v>
      </c>
      <c r="G376" s="276" t="s">
        <v>2338</v>
      </c>
      <c r="H376" s="276" t="s">
        <v>2339</v>
      </c>
      <c r="I376" s="276" t="s">
        <v>2340</v>
      </c>
      <c r="J376" s="276" t="s">
        <v>2341</v>
      </c>
      <c r="K376" s="276" t="s">
        <v>591</v>
      </c>
      <c r="L376" s="276" t="s">
        <v>592</v>
      </c>
      <c r="M376" s="276" t="s">
        <v>2342</v>
      </c>
      <c r="N376" s="276" t="s">
        <v>594</v>
      </c>
    </row>
    <row r="377" spans="1:14" ht="84">
      <c r="A377" s="268" t="str">
        <f t="shared" si="5"/>
        <v>Customer Focus|Analyst|2</v>
      </c>
      <c r="B377" s="223" t="s">
        <v>568</v>
      </c>
      <c r="C377" s="226" t="s">
        <v>6</v>
      </c>
      <c r="D377" s="227">
        <v>2</v>
      </c>
      <c r="E377" s="227" t="s">
        <v>605</v>
      </c>
      <c r="F377" s="227">
        <v>1</v>
      </c>
      <c r="G377" s="276" t="s">
        <v>2343</v>
      </c>
      <c r="H377" s="276" t="s">
        <v>2344</v>
      </c>
      <c r="I377" s="276" t="s">
        <v>2345</v>
      </c>
      <c r="J377" s="276" t="s">
        <v>2346</v>
      </c>
      <c r="K377" s="276" t="s">
        <v>591</v>
      </c>
      <c r="L377" s="276" t="s">
        <v>592</v>
      </c>
      <c r="M377" s="276" t="s">
        <v>2347</v>
      </c>
      <c r="N377" s="276" t="s">
        <v>2348</v>
      </c>
    </row>
    <row r="378" spans="1:14" ht="67.150000000000006">
      <c r="A378" s="268" t="str">
        <f t="shared" si="5"/>
        <v>Customer Focus|Analyst|2</v>
      </c>
      <c r="B378" s="223" t="s">
        <v>568</v>
      </c>
      <c r="C378" s="226" t="s">
        <v>6</v>
      </c>
      <c r="D378" s="227">
        <v>2</v>
      </c>
      <c r="E378" s="227" t="s">
        <v>605</v>
      </c>
      <c r="F378" s="227">
        <v>2</v>
      </c>
      <c r="G378" s="276" t="s">
        <v>2349</v>
      </c>
      <c r="H378" s="276" t="s">
        <v>2350</v>
      </c>
      <c r="I378" s="276" t="s">
        <v>2351</v>
      </c>
      <c r="J378" s="276" t="s">
        <v>2352</v>
      </c>
      <c r="K378" s="276" t="s">
        <v>591</v>
      </c>
      <c r="L378" s="276" t="s">
        <v>592</v>
      </c>
      <c r="M378" s="276" t="s">
        <v>2353</v>
      </c>
      <c r="N378" s="276" t="s">
        <v>2354</v>
      </c>
    </row>
    <row r="379" spans="1:14" ht="84">
      <c r="A379" s="268" t="str">
        <f t="shared" si="5"/>
        <v>Customer Focus|Analyst|2</v>
      </c>
      <c r="B379" s="223" t="s">
        <v>568</v>
      </c>
      <c r="C379" s="226" t="s">
        <v>6</v>
      </c>
      <c r="D379" s="227">
        <v>2</v>
      </c>
      <c r="E379" s="227" t="s">
        <v>605</v>
      </c>
      <c r="F379" s="227">
        <v>3</v>
      </c>
      <c r="G379" s="276" t="s">
        <v>2355</v>
      </c>
      <c r="H379" s="276" t="s">
        <v>2356</v>
      </c>
      <c r="I379" s="276" t="s">
        <v>2357</v>
      </c>
      <c r="J379" s="276" t="s">
        <v>2358</v>
      </c>
      <c r="K379" s="276" t="s">
        <v>591</v>
      </c>
      <c r="L379" s="276" t="s">
        <v>592</v>
      </c>
      <c r="M379" s="276" t="s">
        <v>2359</v>
      </c>
      <c r="N379" s="276" t="s">
        <v>2354</v>
      </c>
    </row>
    <row r="380" spans="1:14" ht="100.9">
      <c r="A380" s="268" t="str">
        <f t="shared" si="5"/>
        <v>Customer Focus|Analyst|3</v>
      </c>
      <c r="B380" s="223" t="s">
        <v>568</v>
      </c>
      <c r="C380" s="226" t="s">
        <v>6</v>
      </c>
      <c r="D380" s="227">
        <v>3</v>
      </c>
      <c r="E380" s="227" t="s">
        <v>623</v>
      </c>
      <c r="F380" s="227">
        <v>1</v>
      </c>
      <c r="G380" s="276" t="s">
        <v>2360</v>
      </c>
      <c r="H380" s="276" t="s">
        <v>2361</v>
      </c>
      <c r="I380" s="276" t="s">
        <v>2362</v>
      </c>
      <c r="J380" s="276" t="s">
        <v>2363</v>
      </c>
      <c r="K380" s="276" t="s">
        <v>591</v>
      </c>
      <c r="L380" s="276" t="s">
        <v>592</v>
      </c>
      <c r="M380" s="276" t="s">
        <v>2364</v>
      </c>
      <c r="N380" s="276" t="s">
        <v>594</v>
      </c>
    </row>
    <row r="381" spans="1:14" ht="84">
      <c r="A381" s="268" t="str">
        <f t="shared" si="5"/>
        <v>Customer Focus|Analyst|3</v>
      </c>
      <c r="B381" s="223" t="s">
        <v>568</v>
      </c>
      <c r="C381" s="226" t="s">
        <v>6</v>
      </c>
      <c r="D381" s="227">
        <v>3</v>
      </c>
      <c r="E381" s="227" t="s">
        <v>623</v>
      </c>
      <c r="F381" s="227">
        <v>2</v>
      </c>
      <c r="G381" s="276" t="s">
        <v>2365</v>
      </c>
      <c r="H381" s="276" t="s">
        <v>2366</v>
      </c>
      <c r="I381" s="276" t="s">
        <v>2367</v>
      </c>
      <c r="J381" s="276" t="s">
        <v>2368</v>
      </c>
      <c r="K381" s="276" t="s">
        <v>591</v>
      </c>
      <c r="L381" s="276" t="s">
        <v>592</v>
      </c>
      <c r="M381" s="276" t="s">
        <v>2369</v>
      </c>
      <c r="N381" s="276" t="s">
        <v>622</v>
      </c>
    </row>
    <row r="382" spans="1:14" ht="134.44999999999999">
      <c r="A382" s="268" t="str">
        <f t="shared" si="5"/>
        <v>Customer Focus|Analyst|3</v>
      </c>
      <c r="B382" s="223" t="s">
        <v>568</v>
      </c>
      <c r="C382" s="226" t="s">
        <v>6</v>
      </c>
      <c r="D382" s="227">
        <v>3</v>
      </c>
      <c r="E382" s="227" t="s">
        <v>623</v>
      </c>
      <c r="F382" s="227">
        <v>3</v>
      </c>
      <c r="G382" s="276" t="s">
        <v>2370</v>
      </c>
      <c r="H382" s="276" t="s">
        <v>2371</v>
      </c>
      <c r="I382" s="276" t="s">
        <v>2372</v>
      </c>
      <c r="J382" s="276" t="s">
        <v>2373</v>
      </c>
      <c r="K382" s="276" t="s">
        <v>591</v>
      </c>
      <c r="L382" s="276" t="s">
        <v>592</v>
      </c>
      <c r="M382" s="276" t="s">
        <v>2374</v>
      </c>
      <c r="N382" s="276" t="s">
        <v>640</v>
      </c>
    </row>
    <row r="383" spans="1:14" ht="134.44999999999999">
      <c r="A383" s="268" t="str">
        <f t="shared" si="5"/>
        <v>Customer Focus|Analyst|4</v>
      </c>
      <c r="B383" s="223" t="s">
        <v>568</v>
      </c>
      <c r="C383" s="226" t="s">
        <v>6</v>
      </c>
      <c r="D383" s="227">
        <v>4</v>
      </c>
      <c r="E383" s="227" t="s">
        <v>641</v>
      </c>
      <c r="F383" s="227">
        <v>1</v>
      </c>
      <c r="G383" s="276" t="s">
        <v>2375</v>
      </c>
      <c r="H383" s="276" t="s">
        <v>2376</v>
      </c>
      <c r="I383" s="276" t="s">
        <v>2377</v>
      </c>
      <c r="J383" s="276" t="s">
        <v>2378</v>
      </c>
      <c r="K383" s="276" t="s">
        <v>591</v>
      </c>
      <c r="L383" s="276" t="s">
        <v>592</v>
      </c>
      <c r="M383" s="276" t="s">
        <v>2379</v>
      </c>
      <c r="N383" s="276" t="s">
        <v>622</v>
      </c>
    </row>
    <row r="384" spans="1:14" ht="84">
      <c r="A384" s="268" t="str">
        <f t="shared" si="5"/>
        <v>Customer Focus|Analyst|4</v>
      </c>
      <c r="B384" s="223" t="s">
        <v>568</v>
      </c>
      <c r="C384" s="226" t="s">
        <v>6</v>
      </c>
      <c r="D384" s="227">
        <v>4</v>
      </c>
      <c r="E384" s="227" t="s">
        <v>641</v>
      </c>
      <c r="F384" s="227">
        <v>2</v>
      </c>
      <c r="G384" s="276" t="s">
        <v>2380</v>
      </c>
      <c r="H384" s="276" t="s">
        <v>2381</v>
      </c>
      <c r="I384" s="276" t="s">
        <v>2382</v>
      </c>
      <c r="J384" s="276" t="s">
        <v>2383</v>
      </c>
      <c r="K384" s="276" t="s">
        <v>591</v>
      </c>
      <c r="L384" s="276" t="s">
        <v>592</v>
      </c>
      <c r="M384" s="276" t="s">
        <v>2384</v>
      </c>
      <c r="N384" s="276" t="s">
        <v>622</v>
      </c>
    </row>
    <row r="385" spans="1:14" ht="100.9">
      <c r="A385" s="268" t="str">
        <f t="shared" si="5"/>
        <v>Customer Focus|Analyst|4</v>
      </c>
      <c r="B385" s="223" t="s">
        <v>568</v>
      </c>
      <c r="C385" s="226" t="s">
        <v>6</v>
      </c>
      <c r="D385" s="227">
        <v>4</v>
      </c>
      <c r="E385" s="227" t="s">
        <v>641</v>
      </c>
      <c r="F385" s="227">
        <v>3</v>
      </c>
      <c r="G385" s="276" t="s">
        <v>2385</v>
      </c>
      <c r="H385" s="276" t="s">
        <v>2386</v>
      </c>
      <c r="I385" s="276" t="s">
        <v>2387</v>
      </c>
      <c r="J385" s="276" t="s">
        <v>2388</v>
      </c>
      <c r="K385" s="276" t="s">
        <v>591</v>
      </c>
      <c r="L385" s="276" t="s">
        <v>592</v>
      </c>
      <c r="M385" s="276" t="s">
        <v>2389</v>
      </c>
      <c r="N385" s="276" t="s">
        <v>1568</v>
      </c>
    </row>
    <row r="386" spans="1:14" ht="117.6">
      <c r="A386" s="268" t="str">
        <f t="shared" si="5"/>
        <v>Customer Focus|Unit Head/Specialist|1</v>
      </c>
      <c r="B386" s="223" t="s">
        <v>568</v>
      </c>
      <c r="C386" s="227" t="s">
        <v>13</v>
      </c>
      <c r="D386" s="226">
        <v>1</v>
      </c>
      <c r="E386" s="227" t="s">
        <v>586</v>
      </c>
      <c r="F386" s="227">
        <v>1</v>
      </c>
      <c r="G386" s="276" t="s">
        <v>2390</v>
      </c>
      <c r="H386" s="276" t="s">
        <v>2391</v>
      </c>
      <c r="I386" s="276" t="s">
        <v>2392</v>
      </c>
      <c r="J386" s="276" t="s">
        <v>2393</v>
      </c>
      <c r="K386" s="276" t="s">
        <v>591</v>
      </c>
      <c r="L386" s="276" t="s">
        <v>592</v>
      </c>
      <c r="M386" s="276" t="s">
        <v>2394</v>
      </c>
      <c r="N386" s="276" t="s">
        <v>594</v>
      </c>
    </row>
    <row r="387" spans="1:14" ht="100.9">
      <c r="A387" s="268" t="str">
        <f t="shared" ref="A387:A450" si="6">B387 &amp; "|" &amp; C387 &amp; "|" &amp; D387</f>
        <v>Customer Focus|Unit Head/Specialist|1</v>
      </c>
      <c r="B387" s="223" t="s">
        <v>568</v>
      </c>
      <c r="C387" s="227" t="s">
        <v>13</v>
      </c>
      <c r="D387" s="226">
        <v>1</v>
      </c>
      <c r="E387" s="227" t="s">
        <v>586</v>
      </c>
      <c r="F387" s="227">
        <v>2</v>
      </c>
      <c r="G387" s="276" t="s">
        <v>2395</v>
      </c>
      <c r="H387" s="276" t="s">
        <v>2396</v>
      </c>
      <c r="I387" s="276" t="s">
        <v>2397</v>
      </c>
      <c r="J387" s="276" t="s">
        <v>2398</v>
      </c>
      <c r="K387" s="276" t="s">
        <v>591</v>
      </c>
      <c r="L387" s="276" t="s">
        <v>592</v>
      </c>
      <c r="M387" s="276" t="s">
        <v>2399</v>
      </c>
      <c r="N387" s="276" t="s">
        <v>1568</v>
      </c>
    </row>
    <row r="388" spans="1:14" ht="84">
      <c r="A388" s="268" t="str">
        <f t="shared" si="6"/>
        <v>Customer Focus|Unit Head/Specialist|1</v>
      </c>
      <c r="B388" s="223" t="s">
        <v>568</v>
      </c>
      <c r="C388" s="227" t="s">
        <v>13</v>
      </c>
      <c r="D388" s="226">
        <v>1</v>
      </c>
      <c r="E388" s="227" t="s">
        <v>586</v>
      </c>
      <c r="F388" s="227">
        <v>3</v>
      </c>
      <c r="G388" s="276" t="s">
        <v>2400</v>
      </c>
      <c r="H388" s="276" t="s">
        <v>2401</v>
      </c>
      <c r="I388" s="276" t="s">
        <v>2402</v>
      </c>
      <c r="J388" s="276" t="s">
        <v>2403</v>
      </c>
      <c r="K388" s="276" t="s">
        <v>591</v>
      </c>
      <c r="L388" s="276" t="s">
        <v>592</v>
      </c>
      <c r="M388" s="276" t="s">
        <v>2404</v>
      </c>
      <c r="N388" s="276" t="s">
        <v>594</v>
      </c>
    </row>
    <row r="389" spans="1:14" ht="84">
      <c r="A389" s="268" t="str">
        <f t="shared" si="6"/>
        <v>Customer Focus|Unit Head/Specialist|2</v>
      </c>
      <c r="B389" s="223" t="s">
        <v>568</v>
      </c>
      <c r="C389" s="227" t="s">
        <v>13</v>
      </c>
      <c r="D389" s="227">
        <v>2</v>
      </c>
      <c r="E389" s="227" t="s">
        <v>605</v>
      </c>
      <c r="F389" s="227">
        <v>1</v>
      </c>
      <c r="G389" s="276" t="s">
        <v>2405</v>
      </c>
      <c r="H389" s="276" t="s">
        <v>2406</v>
      </c>
      <c r="I389" s="276" t="s">
        <v>2407</v>
      </c>
      <c r="J389" s="276" t="s">
        <v>2408</v>
      </c>
      <c r="K389" s="276" t="s">
        <v>591</v>
      </c>
      <c r="L389" s="276" t="s">
        <v>592</v>
      </c>
      <c r="M389" s="276" t="s">
        <v>2409</v>
      </c>
      <c r="N389" s="276" t="s">
        <v>611</v>
      </c>
    </row>
    <row r="390" spans="1:14" ht="84">
      <c r="A390" s="268" t="str">
        <f t="shared" si="6"/>
        <v>Customer Focus|Unit Head/Specialist|2</v>
      </c>
      <c r="B390" s="223" t="s">
        <v>568</v>
      </c>
      <c r="C390" s="227" t="s">
        <v>13</v>
      </c>
      <c r="D390" s="227">
        <v>2</v>
      </c>
      <c r="E390" s="227" t="s">
        <v>605</v>
      </c>
      <c r="F390" s="227">
        <v>2</v>
      </c>
      <c r="G390" s="276" t="s">
        <v>2410</v>
      </c>
      <c r="H390" s="276" t="s">
        <v>2411</v>
      </c>
      <c r="I390" s="276" t="s">
        <v>2412</v>
      </c>
      <c r="J390" s="276" t="s">
        <v>2413</v>
      </c>
      <c r="K390" s="276" t="s">
        <v>591</v>
      </c>
      <c r="L390" s="276" t="s">
        <v>592</v>
      </c>
      <c r="M390" s="276" t="s">
        <v>2414</v>
      </c>
      <c r="N390" s="276" t="s">
        <v>2354</v>
      </c>
    </row>
    <row r="391" spans="1:14" ht="50.45">
      <c r="A391" s="268" t="str">
        <f t="shared" si="6"/>
        <v>Customer Focus|Unit Head/Specialist|2</v>
      </c>
      <c r="B391" s="223" t="s">
        <v>568</v>
      </c>
      <c r="C391" s="227" t="s">
        <v>13</v>
      </c>
      <c r="D391" s="227">
        <v>2</v>
      </c>
      <c r="E391" s="227" t="s">
        <v>605</v>
      </c>
      <c r="F391" s="227">
        <v>3</v>
      </c>
      <c r="G391" s="276" t="s">
        <v>2415</v>
      </c>
      <c r="H391" s="276" t="s">
        <v>2416</v>
      </c>
      <c r="I391" s="276" t="s">
        <v>2417</v>
      </c>
      <c r="J391" s="276" t="s">
        <v>2418</v>
      </c>
      <c r="K391" s="276" t="s">
        <v>591</v>
      </c>
      <c r="L391" s="276" t="s">
        <v>592</v>
      </c>
      <c r="M391" s="276" t="s">
        <v>2419</v>
      </c>
      <c r="N391" s="276" t="s">
        <v>622</v>
      </c>
    </row>
    <row r="392" spans="1:14" ht="100.9">
      <c r="A392" s="268" t="str">
        <f t="shared" si="6"/>
        <v>Customer Focus|Unit Head/Specialist|3</v>
      </c>
      <c r="B392" s="223" t="s">
        <v>568</v>
      </c>
      <c r="C392" s="227" t="s">
        <v>13</v>
      </c>
      <c r="D392" s="227">
        <v>3</v>
      </c>
      <c r="E392" s="227" t="s">
        <v>623</v>
      </c>
      <c r="F392" s="227">
        <v>1</v>
      </c>
      <c r="G392" s="276" t="s">
        <v>2420</v>
      </c>
      <c r="H392" s="276" t="s">
        <v>2421</v>
      </c>
      <c r="I392" s="276" t="s">
        <v>2422</v>
      </c>
      <c r="J392" s="276" t="s">
        <v>2423</v>
      </c>
      <c r="K392" s="276" t="s">
        <v>591</v>
      </c>
      <c r="L392" s="276" t="s">
        <v>592</v>
      </c>
      <c r="M392" s="276" t="s">
        <v>2424</v>
      </c>
      <c r="N392" s="276" t="s">
        <v>594</v>
      </c>
    </row>
    <row r="393" spans="1:14" ht="100.9">
      <c r="A393" s="268" t="str">
        <f t="shared" si="6"/>
        <v>Customer Focus|Unit Head/Specialist|3</v>
      </c>
      <c r="B393" s="223" t="s">
        <v>568</v>
      </c>
      <c r="C393" s="227" t="s">
        <v>13</v>
      </c>
      <c r="D393" s="227">
        <v>3</v>
      </c>
      <c r="E393" s="227" t="s">
        <v>623</v>
      </c>
      <c r="F393" s="227">
        <v>2</v>
      </c>
      <c r="G393" s="276" t="s">
        <v>2425</v>
      </c>
      <c r="H393" s="276" t="s">
        <v>2426</v>
      </c>
      <c r="I393" s="276" t="s">
        <v>2427</v>
      </c>
      <c r="J393" s="276" t="s">
        <v>2428</v>
      </c>
      <c r="K393" s="276" t="s">
        <v>591</v>
      </c>
      <c r="L393" s="276" t="s">
        <v>592</v>
      </c>
      <c r="M393" s="276" t="s">
        <v>2429</v>
      </c>
      <c r="N393" s="276" t="s">
        <v>622</v>
      </c>
    </row>
    <row r="394" spans="1:14" ht="151.15">
      <c r="A394" s="268" t="str">
        <f t="shared" si="6"/>
        <v>Customer Focus|Unit Head/Specialist|3</v>
      </c>
      <c r="B394" s="223" t="s">
        <v>568</v>
      </c>
      <c r="C394" s="227" t="s">
        <v>13</v>
      </c>
      <c r="D394" s="227">
        <v>3</v>
      </c>
      <c r="E394" s="227" t="s">
        <v>623</v>
      </c>
      <c r="F394" s="227">
        <v>3</v>
      </c>
      <c r="G394" s="276" t="s">
        <v>2430</v>
      </c>
      <c r="H394" s="276" t="s">
        <v>2431</v>
      </c>
      <c r="I394" s="276" t="s">
        <v>2432</v>
      </c>
      <c r="J394" s="276" t="s">
        <v>2433</v>
      </c>
      <c r="K394" s="276" t="s">
        <v>591</v>
      </c>
      <c r="L394" s="276" t="s">
        <v>592</v>
      </c>
      <c r="M394" s="276" t="s">
        <v>2434</v>
      </c>
      <c r="N394" s="276" t="s">
        <v>640</v>
      </c>
    </row>
    <row r="395" spans="1:14" ht="100.9">
      <c r="A395" s="268" t="str">
        <f t="shared" si="6"/>
        <v>Customer Focus|Unit Head/Specialist|4</v>
      </c>
      <c r="B395" s="223" t="s">
        <v>568</v>
      </c>
      <c r="C395" s="227" t="s">
        <v>13</v>
      </c>
      <c r="D395" s="227">
        <v>4</v>
      </c>
      <c r="E395" s="227" t="s">
        <v>641</v>
      </c>
      <c r="F395" s="227">
        <v>1</v>
      </c>
      <c r="G395" s="276" t="s">
        <v>2435</v>
      </c>
      <c r="H395" s="276" t="s">
        <v>2436</v>
      </c>
      <c r="I395" s="276" t="s">
        <v>2437</v>
      </c>
      <c r="J395" s="276" t="s">
        <v>2438</v>
      </c>
      <c r="K395" s="276" t="s">
        <v>591</v>
      </c>
      <c r="L395" s="276" t="s">
        <v>592</v>
      </c>
      <c r="M395" s="276" t="s">
        <v>2439</v>
      </c>
      <c r="N395" s="276" t="s">
        <v>622</v>
      </c>
    </row>
    <row r="396" spans="1:14" ht="100.9">
      <c r="A396" s="268" t="str">
        <f t="shared" si="6"/>
        <v>Customer Focus|Unit Head/Specialist|4</v>
      </c>
      <c r="B396" s="223" t="s">
        <v>568</v>
      </c>
      <c r="C396" s="227" t="s">
        <v>13</v>
      </c>
      <c r="D396" s="227">
        <v>4</v>
      </c>
      <c r="E396" s="227" t="s">
        <v>641</v>
      </c>
      <c r="F396" s="227">
        <v>2</v>
      </c>
      <c r="G396" s="276" t="s">
        <v>2440</v>
      </c>
      <c r="H396" s="276" t="s">
        <v>2441</v>
      </c>
      <c r="I396" s="276" t="s">
        <v>2442</v>
      </c>
      <c r="J396" s="276" t="s">
        <v>2443</v>
      </c>
      <c r="K396" s="276" t="s">
        <v>591</v>
      </c>
      <c r="L396" s="276" t="s">
        <v>592</v>
      </c>
      <c r="M396" s="276" t="s">
        <v>2444</v>
      </c>
      <c r="N396" s="276" t="s">
        <v>622</v>
      </c>
    </row>
    <row r="397" spans="1:14" ht="134.44999999999999">
      <c r="A397" s="268" t="str">
        <f t="shared" si="6"/>
        <v>Customer Focus|Unit Head/Specialist|4</v>
      </c>
      <c r="B397" s="223" t="s">
        <v>568</v>
      </c>
      <c r="C397" s="227" t="s">
        <v>13</v>
      </c>
      <c r="D397" s="227">
        <v>4</v>
      </c>
      <c r="E397" s="227" t="s">
        <v>641</v>
      </c>
      <c r="F397" s="227">
        <v>3</v>
      </c>
      <c r="G397" s="276" t="s">
        <v>2445</v>
      </c>
      <c r="H397" s="276" t="s">
        <v>2446</v>
      </c>
      <c r="I397" s="276" t="s">
        <v>2447</v>
      </c>
      <c r="J397" s="276" t="s">
        <v>2448</v>
      </c>
      <c r="K397" s="276" t="s">
        <v>591</v>
      </c>
      <c r="L397" s="276" t="s">
        <v>592</v>
      </c>
      <c r="M397" s="276" t="s">
        <v>2449</v>
      </c>
      <c r="N397" s="276" t="s">
        <v>622</v>
      </c>
    </row>
    <row r="398" spans="1:14" ht="100.9">
      <c r="A398" s="268" t="str">
        <f t="shared" si="6"/>
        <v>Customer Focus|Department Head|1</v>
      </c>
      <c r="B398" s="223" t="s">
        <v>568</v>
      </c>
      <c r="C398" s="227" t="s">
        <v>779</v>
      </c>
      <c r="D398" s="226">
        <v>1</v>
      </c>
      <c r="E398" s="227" t="s">
        <v>586</v>
      </c>
      <c r="F398" s="227">
        <v>1</v>
      </c>
      <c r="G398" s="276" t="s">
        <v>2450</v>
      </c>
      <c r="H398" s="276" t="s">
        <v>2451</v>
      </c>
      <c r="I398" s="276" t="s">
        <v>2452</v>
      </c>
      <c r="J398" s="276" t="s">
        <v>2453</v>
      </c>
      <c r="K398" s="276" t="s">
        <v>591</v>
      </c>
      <c r="L398" s="276" t="s">
        <v>592</v>
      </c>
      <c r="M398" s="276" t="s">
        <v>2454</v>
      </c>
      <c r="N398" s="276" t="s">
        <v>594</v>
      </c>
    </row>
    <row r="399" spans="1:14" ht="100.9">
      <c r="A399" s="268" t="str">
        <f t="shared" si="6"/>
        <v>Customer Focus|Department Head|1</v>
      </c>
      <c r="B399" s="223" t="s">
        <v>568</v>
      </c>
      <c r="C399" s="227" t="s">
        <v>779</v>
      </c>
      <c r="D399" s="226">
        <v>1</v>
      </c>
      <c r="E399" s="227" t="s">
        <v>586</v>
      </c>
      <c r="F399" s="227">
        <v>2</v>
      </c>
      <c r="G399" s="276" t="s">
        <v>2455</v>
      </c>
      <c r="H399" s="276" t="s">
        <v>2456</v>
      </c>
      <c r="I399" s="276" t="s">
        <v>2457</v>
      </c>
      <c r="J399" s="276" t="s">
        <v>2458</v>
      </c>
      <c r="K399" s="276" t="s">
        <v>591</v>
      </c>
      <c r="L399" s="276" t="s">
        <v>592</v>
      </c>
      <c r="M399" s="276" t="s">
        <v>2459</v>
      </c>
      <c r="N399" s="276" t="s">
        <v>594</v>
      </c>
    </row>
    <row r="400" spans="1:14" ht="100.9">
      <c r="A400" s="268" t="str">
        <f t="shared" si="6"/>
        <v>Customer Focus|Department Head|1</v>
      </c>
      <c r="B400" s="223" t="s">
        <v>568</v>
      </c>
      <c r="C400" s="227" t="s">
        <v>779</v>
      </c>
      <c r="D400" s="226">
        <v>1</v>
      </c>
      <c r="E400" s="227" t="s">
        <v>586</v>
      </c>
      <c r="F400" s="227">
        <v>3</v>
      </c>
      <c r="G400" s="276" t="s">
        <v>2460</v>
      </c>
      <c r="H400" s="276" t="s">
        <v>2461</v>
      </c>
      <c r="I400" s="276" t="s">
        <v>2462</v>
      </c>
      <c r="J400" s="276" t="s">
        <v>2463</v>
      </c>
      <c r="K400" s="276" t="s">
        <v>591</v>
      </c>
      <c r="L400" s="276" t="s">
        <v>592</v>
      </c>
      <c r="M400" s="276" t="s">
        <v>2464</v>
      </c>
      <c r="N400" s="276" t="s">
        <v>594</v>
      </c>
    </row>
    <row r="401" spans="1:14" ht="100.9">
      <c r="A401" s="268" t="str">
        <f t="shared" si="6"/>
        <v>Customer Focus|Department Head|2</v>
      </c>
      <c r="B401" s="223" t="s">
        <v>568</v>
      </c>
      <c r="C401" s="227" t="s">
        <v>779</v>
      </c>
      <c r="D401" s="227">
        <v>2</v>
      </c>
      <c r="E401" s="227" t="s">
        <v>605</v>
      </c>
      <c r="F401" s="227">
        <v>1</v>
      </c>
      <c r="G401" s="276" t="s">
        <v>2465</v>
      </c>
      <c r="H401" s="276" t="s">
        <v>2466</v>
      </c>
      <c r="I401" s="276" t="s">
        <v>2467</v>
      </c>
      <c r="J401" s="276" t="s">
        <v>2468</v>
      </c>
      <c r="K401" s="276" t="s">
        <v>591</v>
      </c>
      <c r="L401" s="276" t="s">
        <v>592</v>
      </c>
      <c r="M401" s="276" t="s">
        <v>2469</v>
      </c>
      <c r="N401" s="276" t="s">
        <v>2470</v>
      </c>
    </row>
    <row r="402" spans="1:14" ht="117.6">
      <c r="A402" s="268" t="str">
        <f t="shared" si="6"/>
        <v>Customer Focus|Department Head|2</v>
      </c>
      <c r="B402" s="223" t="s">
        <v>568</v>
      </c>
      <c r="C402" s="227" t="s">
        <v>779</v>
      </c>
      <c r="D402" s="227">
        <v>2</v>
      </c>
      <c r="E402" s="227" t="s">
        <v>605</v>
      </c>
      <c r="F402" s="227">
        <v>2</v>
      </c>
      <c r="G402" s="276" t="s">
        <v>2471</v>
      </c>
      <c r="H402" s="276" t="s">
        <v>2472</v>
      </c>
      <c r="I402" s="276" t="s">
        <v>2473</v>
      </c>
      <c r="J402" s="276" t="s">
        <v>2474</v>
      </c>
      <c r="K402" s="276" t="s">
        <v>591</v>
      </c>
      <c r="L402" s="276" t="s">
        <v>592</v>
      </c>
      <c r="M402" s="276" t="s">
        <v>2475</v>
      </c>
      <c r="N402" s="276" t="s">
        <v>2354</v>
      </c>
    </row>
    <row r="403" spans="1:14" ht="100.9">
      <c r="A403" s="268" t="str">
        <f t="shared" si="6"/>
        <v>Customer Focus|Department Head|2</v>
      </c>
      <c r="B403" s="223" t="s">
        <v>568</v>
      </c>
      <c r="C403" s="227" t="s">
        <v>779</v>
      </c>
      <c r="D403" s="227">
        <v>2</v>
      </c>
      <c r="E403" s="227" t="s">
        <v>605</v>
      </c>
      <c r="F403" s="227">
        <v>3</v>
      </c>
      <c r="G403" s="276" t="s">
        <v>2476</v>
      </c>
      <c r="H403" s="276" t="s">
        <v>2477</v>
      </c>
      <c r="I403" s="276" t="s">
        <v>2478</v>
      </c>
      <c r="J403" s="276" t="s">
        <v>2479</v>
      </c>
      <c r="K403" s="276" t="s">
        <v>591</v>
      </c>
      <c r="L403" s="276" t="s">
        <v>592</v>
      </c>
      <c r="M403" s="276" t="s">
        <v>2480</v>
      </c>
      <c r="N403" s="276" t="s">
        <v>2354</v>
      </c>
    </row>
    <row r="404" spans="1:14" ht="117.6">
      <c r="A404" s="268" t="str">
        <f t="shared" si="6"/>
        <v>Customer Focus|Department Head|3</v>
      </c>
      <c r="B404" s="223" t="s">
        <v>568</v>
      </c>
      <c r="C404" s="227" t="s">
        <v>779</v>
      </c>
      <c r="D404" s="227">
        <v>3</v>
      </c>
      <c r="E404" s="227" t="s">
        <v>623</v>
      </c>
      <c r="F404" s="227">
        <v>1</v>
      </c>
      <c r="G404" s="276" t="s">
        <v>2481</v>
      </c>
      <c r="H404" s="276" t="s">
        <v>2482</v>
      </c>
      <c r="I404" s="276" t="s">
        <v>2483</v>
      </c>
      <c r="J404" s="276" t="s">
        <v>2484</v>
      </c>
      <c r="K404" s="276" t="s">
        <v>591</v>
      </c>
      <c r="L404" s="276" t="s">
        <v>592</v>
      </c>
      <c r="M404" s="276" t="s">
        <v>2485</v>
      </c>
      <c r="N404" s="276" t="s">
        <v>594</v>
      </c>
    </row>
    <row r="405" spans="1:14" ht="134.44999999999999">
      <c r="A405" s="268" t="str">
        <f t="shared" si="6"/>
        <v>Customer Focus|Department Head|3</v>
      </c>
      <c r="B405" s="223" t="s">
        <v>568</v>
      </c>
      <c r="C405" s="227" t="s">
        <v>779</v>
      </c>
      <c r="D405" s="227">
        <v>3</v>
      </c>
      <c r="E405" s="227" t="s">
        <v>623</v>
      </c>
      <c r="F405" s="227">
        <v>2</v>
      </c>
      <c r="G405" s="276" t="s">
        <v>2486</v>
      </c>
      <c r="H405" s="276" t="s">
        <v>2487</v>
      </c>
      <c r="I405" s="276" t="s">
        <v>2488</v>
      </c>
      <c r="J405" s="276" t="s">
        <v>2489</v>
      </c>
      <c r="K405" s="276" t="s">
        <v>591</v>
      </c>
      <c r="L405" s="276" t="s">
        <v>592</v>
      </c>
      <c r="M405" s="276" t="s">
        <v>2490</v>
      </c>
      <c r="N405" s="276" t="s">
        <v>622</v>
      </c>
    </row>
    <row r="406" spans="1:14" ht="151.15">
      <c r="A406" s="268" t="str">
        <f t="shared" si="6"/>
        <v>Customer Focus|Department Head|3</v>
      </c>
      <c r="B406" s="223" t="s">
        <v>568</v>
      </c>
      <c r="C406" s="227" t="s">
        <v>779</v>
      </c>
      <c r="D406" s="227">
        <v>3</v>
      </c>
      <c r="E406" s="227" t="s">
        <v>623</v>
      </c>
      <c r="F406" s="227">
        <v>3</v>
      </c>
      <c r="G406" s="276" t="s">
        <v>2491</v>
      </c>
      <c r="H406" s="276" t="s">
        <v>2492</v>
      </c>
      <c r="I406" s="276" t="s">
        <v>2493</v>
      </c>
      <c r="J406" s="276" t="s">
        <v>2433</v>
      </c>
      <c r="K406" s="276" t="s">
        <v>591</v>
      </c>
      <c r="L406" s="276" t="s">
        <v>592</v>
      </c>
      <c r="M406" s="276" t="s">
        <v>2494</v>
      </c>
      <c r="N406" s="276" t="s">
        <v>640</v>
      </c>
    </row>
    <row r="407" spans="1:14" ht="117.6">
      <c r="A407" s="268" t="str">
        <f t="shared" si="6"/>
        <v>Customer Focus|Department Head|4</v>
      </c>
      <c r="B407" s="223" t="s">
        <v>568</v>
      </c>
      <c r="C407" s="227" t="s">
        <v>779</v>
      </c>
      <c r="D407" s="227">
        <v>4</v>
      </c>
      <c r="E407" s="227" t="s">
        <v>641</v>
      </c>
      <c r="F407" s="227">
        <v>1</v>
      </c>
      <c r="G407" s="276" t="s">
        <v>2495</v>
      </c>
      <c r="H407" s="276" t="s">
        <v>2496</v>
      </c>
      <c r="I407" s="276" t="s">
        <v>2497</v>
      </c>
      <c r="J407" s="276" t="s">
        <v>2498</v>
      </c>
      <c r="K407" s="276" t="s">
        <v>591</v>
      </c>
      <c r="L407" s="276" t="s">
        <v>592</v>
      </c>
      <c r="M407" s="276" t="s">
        <v>2499</v>
      </c>
      <c r="N407" s="276" t="s">
        <v>622</v>
      </c>
    </row>
    <row r="408" spans="1:14" ht="117.6">
      <c r="A408" s="268" t="str">
        <f t="shared" si="6"/>
        <v>Customer Focus|Department Head|4</v>
      </c>
      <c r="B408" s="223" t="s">
        <v>568</v>
      </c>
      <c r="C408" s="227" t="s">
        <v>779</v>
      </c>
      <c r="D408" s="227">
        <v>4</v>
      </c>
      <c r="E408" s="227" t="s">
        <v>641</v>
      </c>
      <c r="F408" s="227">
        <v>2</v>
      </c>
      <c r="G408" s="276" t="s">
        <v>2500</v>
      </c>
      <c r="H408" s="276" t="s">
        <v>2501</v>
      </c>
      <c r="I408" s="276" t="s">
        <v>2502</v>
      </c>
      <c r="J408" s="276" t="s">
        <v>2503</v>
      </c>
      <c r="K408" s="276" t="s">
        <v>591</v>
      </c>
      <c r="L408" s="276" t="s">
        <v>592</v>
      </c>
      <c r="M408" s="276" t="s">
        <v>2504</v>
      </c>
      <c r="N408" s="276" t="s">
        <v>2354</v>
      </c>
    </row>
    <row r="409" spans="1:14" ht="100.9">
      <c r="A409" s="268" t="str">
        <f t="shared" si="6"/>
        <v>Customer Focus|Department Head|4</v>
      </c>
      <c r="B409" s="223" t="s">
        <v>568</v>
      </c>
      <c r="C409" s="227" t="s">
        <v>779</v>
      </c>
      <c r="D409" s="227">
        <v>4</v>
      </c>
      <c r="E409" s="227" t="s">
        <v>641</v>
      </c>
      <c r="F409" s="227">
        <v>3</v>
      </c>
      <c r="G409" s="276" t="s">
        <v>2505</v>
      </c>
      <c r="H409" s="276" t="s">
        <v>2506</v>
      </c>
      <c r="I409" s="276" t="s">
        <v>2507</v>
      </c>
      <c r="J409" s="276" t="s">
        <v>2508</v>
      </c>
      <c r="K409" s="276" t="s">
        <v>591</v>
      </c>
      <c r="L409" s="276" t="s">
        <v>592</v>
      </c>
      <c r="M409" s="276" t="s">
        <v>2509</v>
      </c>
      <c r="N409" s="276" t="s">
        <v>2510</v>
      </c>
    </row>
    <row r="410" spans="1:14" ht="134.44999999999999">
      <c r="A410" s="268" t="str">
        <f t="shared" si="6"/>
        <v>Customer Focus|Division Head|1</v>
      </c>
      <c r="B410" s="223" t="s">
        <v>568</v>
      </c>
      <c r="C410" s="227" t="s">
        <v>838</v>
      </c>
      <c r="D410" s="226">
        <v>1</v>
      </c>
      <c r="E410" s="227" t="s">
        <v>586</v>
      </c>
      <c r="F410" s="227">
        <v>1</v>
      </c>
      <c r="G410" s="276" t="s">
        <v>2511</v>
      </c>
      <c r="H410" s="276" t="s">
        <v>1508</v>
      </c>
      <c r="I410" s="276" t="s">
        <v>2512</v>
      </c>
      <c r="J410" s="276" t="s">
        <v>2513</v>
      </c>
      <c r="K410" s="276" t="s">
        <v>591</v>
      </c>
      <c r="L410" s="276" t="s">
        <v>592</v>
      </c>
      <c r="M410" s="276" t="s">
        <v>2514</v>
      </c>
      <c r="N410" s="276" t="s">
        <v>594</v>
      </c>
    </row>
    <row r="411" spans="1:14" ht="100.9">
      <c r="A411" s="268" t="str">
        <f t="shared" si="6"/>
        <v>Customer Focus|Division Head|1</v>
      </c>
      <c r="B411" s="223" t="s">
        <v>568</v>
      </c>
      <c r="C411" s="227" t="s">
        <v>838</v>
      </c>
      <c r="D411" s="226">
        <v>1</v>
      </c>
      <c r="E411" s="227" t="s">
        <v>586</v>
      </c>
      <c r="F411" s="227">
        <v>2</v>
      </c>
      <c r="G411" s="276" t="s">
        <v>2515</v>
      </c>
      <c r="H411" s="276" t="s">
        <v>2516</v>
      </c>
      <c r="I411" s="276" t="s">
        <v>2517</v>
      </c>
      <c r="J411" s="276" t="s">
        <v>2518</v>
      </c>
      <c r="K411" s="276" t="s">
        <v>591</v>
      </c>
      <c r="L411" s="276" t="s">
        <v>592</v>
      </c>
      <c r="M411" s="276" t="s">
        <v>2519</v>
      </c>
      <c r="N411" s="276" t="s">
        <v>594</v>
      </c>
    </row>
    <row r="412" spans="1:14" ht="84">
      <c r="A412" s="268" t="str">
        <f t="shared" si="6"/>
        <v>Customer Focus|Division Head|1</v>
      </c>
      <c r="B412" s="223" t="s">
        <v>568</v>
      </c>
      <c r="C412" s="227" t="s">
        <v>838</v>
      </c>
      <c r="D412" s="226">
        <v>1</v>
      </c>
      <c r="E412" s="227" t="s">
        <v>586</v>
      </c>
      <c r="F412" s="227">
        <v>3</v>
      </c>
      <c r="G412" s="276" t="s">
        <v>2520</v>
      </c>
      <c r="H412" s="276" t="s">
        <v>2521</v>
      </c>
      <c r="I412" s="276" t="s">
        <v>2522</v>
      </c>
      <c r="J412" s="276" t="s">
        <v>2523</v>
      </c>
      <c r="K412" s="276" t="s">
        <v>591</v>
      </c>
      <c r="L412" s="276" t="s">
        <v>592</v>
      </c>
      <c r="M412" s="276" t="s">
        <v>2524</v>
      </c>
      <c r="N412" s="276" t="s">
        <v>594</v>
      </c>
    </row>
    <row r="413" spans="1:14" ht="117.6">
      <c r="A413" s="268" t="str">
        <f t="shared" si="6"/>
        <v>Customer Focus|Division Head|2</v>
      </c>
      <c r="B413" s="223" t="s">
        <v>568</v>
      </c>
      <c r="C413" s="227" t="s">
        <v>838</v>
      </c>
      <c r="D413" s="227">
        <v>2</v>
      </c>
      <c r="E413" s="227" t="s">
        <v>605</v>
      </c>
      <c r="F413" s="227">
        <v>1</v>
      </c>
      <c r="G413" s="276" t="s">
        <v>2525</v>
      </c>
      <c r="H413" s="276" t="s">
        <v>2526</v>
      </c>
      <c r="I413" s="276" t="s">
        <v>2527</v>
      </c>
      <c r="J413" s="276" t="s">
        <v>2528</v>
      </c>
      <c r="K413" s="276" t="s">
        <v>591</v>
      </c>
      <c r="L413" s="276" t="s">
        <v>592</v>
      </c>
      <c r="M413" s="276" t="s">
        <v>2529</v>
      </c>
      <c r="N413" s="276" t="s">
        <v>611</v>
      </c>
    </row>
    <row r="414" spans="1:14" ht="84">
      <c r="A414" s="268" t="str">
        <f t="shared" si="6"/>
        <v>Customer Focus|Division Head|2</v>
      </c>
      <c r="B414" s="223" t="s">
        <v>568</v>
      </c>
      <c r="C414" s="227" t="s">
        <v>838</v>
      </c>
      <c r="D414" s="227">
        <v>2</v>
      </c>
      <c r="E414" s="227" t="s">
        <v>605</v>
      </c>
      <c r="F414" s="227">
        <v>2</v>
      </c>
      <c r="G414" s="276" t="s">
        <v>2530</v>
      </c>
      <c r="H414" s="276" t="s">
        <v>2531</v>
      </c>
      <c r="I414" s="276" t="s">
        <v>2532</v>
      </c>
      <c r="J414" s="276" t="s">
        <v>2533</v>
      </c>
      <c r="K414" s="276" t="s">
        <v>591</v>
      </c>
      <c r="L414" s="276" t="s">
        <v>592</v>
      </c>
      <c r="M414" s="276" t="s">
        <v>2534</v>
      </c>
      <c r="N414" s="276" t="s">
        <v>2354</v>
      </c>
    </row>
    <row r="415" spans="1:14" ht="100.9">
      <c r="A415" s="268" t="str">
        <f t="shared" si="6"/>
        <v>Customer Focus|Division Head|2</v>
      </c>
      <c r="B415" s="223" t="s">
        <v>568</v>
      </c>
      <c r="C415" s="227" t="s">
        <v>838</v>
      </c>
      <c r="D415" s="227">
        <v>2</v>
      </c>
      <c r="E415" s="227" t="s">
        <v>605</v>
      </c>
      <c r="F415" s="227">
        <v>3</v>
      </c>
      <c r="G415" s="276" t="s">
        <v>2535</v>
      </c>
      <c r="H415" s="276" t="s">
        <v>2536</v>
      </c>
      <c r="I415" s="276" t="s">
        <v>2537</v>
      </c>
      <c r="J415" s="276" t="s">
        <v>2538</v>
      </c>
      <c r="K415" s="276" t="s">
        <v>591</v>
      </c>
      <c r="L415" s="276" t="s">
        <v>592</v>
      </c>
      <c r="M415" s="276" t="s">
        <v>2539</v>
      </c>
      <c r="N415" s="276" t="s">
        <v>594</v>
      </c>
    </row>
    <row r="416" spans="1:14" ht="100.9">
      <c r="A416" s="268" t="str">
        <f t="shared" si="6"/>
        <v>Customer Focus|Division Head|3</v>
      </c>
      <c r="B416" s="223" t="s">
        <v>568</v>
      </c>
      <c r="C416" s="227" t="s">
        <v>838</v>
      </c>
      <c r="D416" s="227">
        <v>3</v>
      </c>
      <c r="E416" s="227" t="s">
        <v>623</v>
      </c>
      <c r="F416" s="227">
        <v>1</v>
      </c>
      <c r="G416" s="276" t="s">
        <v>2540</v>
      </c>
      <c r="H416" s="276" t="s">
        <v>2541</v>
      </c>
      <c r="I416" s="276" t="s">
        <v>2542</v>
      </c>
      <c r="J416" s="276" t="s">
        <v>1541</v>
      </c>
      <c r="K416" s="276" t="s">
        <v>591</v>
      </c>
      <c r="L416" s="276" t="s">
        <v>592</v>
      </c>
      <c r="M416" s="276" t="s">
        <v>2543</v>
      </c>
      <c r="N416" s="276" t="s">
        <v>594</v>
      </c>
    </row>
    <row r="417" spans="1:14" ht="117.6">
      <c r="A417" s="268" t="str">
        <f t="shared" si="6"/>
        <v>Customer Focus|Division Head|3</v>
      </c>
      <c r="B417" s="223" t="s">
        <v>568</v>
      </c>
      <c r="C417" s="227" t="s">
        <v>838</v>
      </c>
      <c r="D417" s="227">
        <v>3</v>
      </c>
      <c r="E417" s="227" t="s">
        <v>623</v>
      </c>
      <c r="F417" s="227">
        <v>2</v>
      </c>
      <c r="G417" s="276" t="s">
        <v>2544</v>
      </c>
      <c r="H417" s="276" t="s">
        <v>2545</v>
      </c>
      <c r="I417" s="276" t="s">
        <v>2546</v>
      </c>
      <c r="J417" s="276" t="s">
        <v>1546</v>
      </c>
      <c r="K417" s="276" t="s">
        <v>591</v>
      </c>
      <c r="L417" s="276" t="s">
        <v>592</v>
      </c>
      <c r="M417" s="276" t="s">
        <v>2547</v>
      </c>
      <c r="N417" s="276" t="s">
        <v>622</v>
      </c>
    </row>
    <row r="418" spans="1:14" ht="151.15">
      <c r="A418" s="268" t="str">
        <f t="shared" si="6"/>
        <v>Customer Focus|Division Head|3</v>
      </c>
      <c r="B418" s="223" t="s">
        <v>568</v>
      </c>
      <c r="C418" s="227" t="s">
        <v>838</v>
      </c>
      <c r="D418" s="227">
        <v>3</v>
      </c>
      <c r="E418" s="227" t="s">
        <v>623</v>
      </c>
      <c r="F418" s="227">
        <v>3</v>
      </c>
      <c r="G418" s="276" t="s">
        <v>2548</v>
      </c>
      <c r="H418" s="276" t="s">
        <v>2549</v>
      </c>
      <c r="I418" s="276" t="s">
        <v>2550</v>
      </c>
      <c r="J418" s="276" t="s">
        <v>2551</v>
      </c>
      <c r="K418" s="276" t="s">
        <v>591</v>
      </c>
      <c r="L418" s="276" t="s">
        <v>592</v>
      </c>
      <c r="M418" s="276" t="s">
        <v>2552</v>
      </c>
      <c r="N418" s="276" t="s">
        <v>640</v>
      </c>
    </row>
    <row r="419" spans="1:14" ht="134.44999999999999">
      <c r="A419" s="268" t="str">
        <f t="shared" si="6"/>
        <v>Customer Focus|Division Head|4</v>
      </c>
      <c r="B419" s="223" t="s">
        <v>568</v>
      </c>
      <c r="C419" s="227" t="s">
        <v>838</v>
      </c>
      <c r="D419" s="227">
        <v>4</v>
      </c>
      <c r="E419" s="227" t="s">
        <v>641</v>
      </c>
      <c r="F419" s="227">
        <v>1</v>
      </c>
      <c r="G419" s="276" t="s">
        <v>2553</v>
      </c>
      <c r="H419" s="276" t="s">
        <v>2554</v>
      </c>
      <c r="I419" s="276" t="s">
        <v>2555</v>
      </c>
      <c r="J419" s="276" t="s">
        <v>2556</v>
      </c>
      <c r="K419" s="276" t="s">
        <v>591</v>
      </c>
      <c r="L419" s="276" t="s">
        <v>592</v>
      </c>
      <c r="M419" s="276" t="s">
        <v>2557</v>
      </c>
      <c r="N419" s="276" t="s">
        <v>622</v>
      </c>
    </row>
    <row r="420" spans="1:14" ht="100.9">
      <c r="A420" s="268" t="str">
        <f t="shared" si="6"/>
        <v>Customer Focus|Division Head|4</v>
      </c>
      <c r="B420" s="223" t="s">
        <v>568</v>
      </c>
      <c r="C420" s="227" t="s">
        <v>838</v>
      </c>
      <c r="D420" s="227">
        <v>4</v>
      </c>
      <c r="E420" s="227" t="s">
        <v>641</v>
      </c>
      <c r="F420" s="227">
        <v>2</v>
      </c>
      <c r="G420" s="276" t="s">
        <v>2558</v>
      </c>
      <c r="H420" s="276" t="s">
        <v>2559</v>
      </c>
      <c r="I420" s="276" t="s">
        <v>2560</v>
      </c>
      <c r="J420" s="276" t="s">
        <v>2561</v>
      </c>
      <c r="K420" s="276" t="s">
        <v>591</v>
      </c>
      <c r="L420" s="276" t="s">
        <v>592</v>
      </c>
      <c r="M420" s="276" t="s">
        <v>2562</v>
      </c>
      <c r="N420" s="276" t="s">
        <v>2354</v>
      </c>
    </row>
    <row r="421" spans="1:14" ht="117.6">
      <c r="A421" s="268" t="str">
        <f t="shared" si="6"/>
        <v>Customer Focus|Division Head|4</v>
      </c>
      <c r="B421" s="223" t="s">
        <v>568</v>
      </c>
      <c r="C421" s="227" t="s">
        <v>838</v>
      </c>
      <c r="D421" s="227">
        <v>4</v>
      </c>
      <c r="E421" s="227" t="s">
        <v>641</v>
      </c>
      <c r="F421" s="227">
        <v>3</v>
      </c>
      <c r="G421" s="276" t="s">
        <v>2563</v>
      </c>
      <c r="H421" s="276" t="s">
        <v>2564</v>
      </c>
      <c r="I421" s="276" t="s">
        <v>2565</v>
      </c>
      <c r="J421" s="276" t="s">
        <v>1561</v>
      </c>
      <c r="K421" s="276" t="s">
        <v>591</v>
      </c>
      <c r="L421" s="276" t="s">
        <v>592</v>
      </c>
      <c r="M421" s="276" t="s">
        <v>2566</v>
      </c>
      <c r="N421" s="276" t="s">
        <v>622</v>
      </c>
    </row>
    <row r="422" spans="1:14" ht="100.9">
      <c r="A422" s="268" t="str">
        <f t="shared" si="6"/>
        <v>Customer Focus|Director|1</v>
      </c>
      <c r="B422" s="223" t="s">
        <v>568</v>
      </c>
      <c r="C422" s="227" t="s">
        <v>898</v>
      </c>
      <c r="D422" s="226">
        <v>1</v>
      </c>
      <c r="E422" s="227" t="s">
        <v>586</v>
      </c>
      <c r="F422" s="227">
        <v>1</v>
      </c>
      <c r="G422" s="276" t="s">
        <v>2567</v>
      </c>
      <c r="H422" s="276" t="s">
        <v>2568</v>
      </c>
      <c r="I422" s="276" t="s">
        <v>2569</v>
      </c>
      <c r="J422" s="276" t="s">
        <v>2570</v>
      </c>
      <c r="K422" s="276" t="s">
        <v>591</v>
      </c>
      <c r="L422" s="276" t="s">
        <v>592</v>
      </c>
      <c r="M422" s="276" t="s">
        <v>2571</v>
      </c>
      <c r="N422" s="276" t="s">
        <v>2229</v>
      </c>
    </row>
    <row r="423" spans="1:14" ht="100.9">
      <c r="A423" s="268" t="str">
        <f t="shared" si="6"/>
        <v>Customer Focus|Director|1</v>
      </c>
      <c r="B423" s="223" t="s">
        <v>568</v>
      </c>
      <c r="C423" s="227" t="s">
        <v>898</v>
      </c>
      <c r="D423" s="226">
        <v>1</v>
      </c>
      <c r="E423" s="227" t="s">
        <v>586</v>
      </c>
      <c r="F423" s="227">
        <v>2</v>
      </c>
      <c r="G423" s="276" t="s">
        <v>2572</v>
      </c>
      <c r="H423" s="276" t="s">
        <v>2573</v>
      </c>
      <c r="I423" s="276" t="s">
        <v>2574</v>
      </c>
      <c r="J423" s="276" t="s">
        <v>2233</v>
      </c>
      <c r="K423" s="276" t="s">
        <v>591</v>
      </c>
      <c r="L423" s="276" t="s">
        <v>592</v>
      </c>
      <c r="M423" s="276" t="s">
        <v>2575</v>
      </c>
      <c r="N423" s="276" t="s">
        <v>2235</v>
      </c>
    </row>
    <row r="424" spans="1:14" ht="84">
      <c r="A424" s="268" t="str">
        <f t="shared" si="6"/>
        <v>Customer Focus|Director|1</v>
      </c>
      <c r="B424" s="223" t="s">
        <v>568</v>
      </c>
      <c r="C424" s="227" t="s">
        <v>898</v>
      </c>
      <c r="D424" s="226">
        <v>1</v>
      </c>
      <c r="E424" s="227" t="s">
        <v>586</v>
      </c>
      <c r="F424" s="227">
        <v>3</v>
      </c>
      <c r="G424" s="276" t="s">
        <v>911</v>
      </c>
      <c r="H424" s="276" t="s">
        <v>2576</v>
      </c>
      <c r="I424" s="276" t="s">
        <v>2577</v>
      </c>
      <c r="J424" s="276" t="s">
        <v>2578</v>
      </c>
      <c r="K424" s="276" t="s">
        <v>591</v>
      </c>
      <c r="L424" s="276" t="s">
        <v>592</v>
      </c>
      <c r="M424" s="276" t="s">
        <v>2579</v>
      </c>
      <c r="N424" s="276" t="s">
        <v>916</v>
      </c>
    </row>
    <row r="425" spans="1:14" ht="84">
      <c r="A425" s="268" t="str">
        <f t="shared" si="6"/>
        <v>Customer Focus|Director|2</v>
      </c>
      <c r="B425" s="223" t="s">
        <v>568</v>
      </c>
      <c r="C425" s="227" t="s">
        <v>898</v>
      </c>
      <c r="D425" s="227">
        <v>2</v>
      </c>
      <c r="E425" s="227" t="s">
        <v>605</v>
      </c>
      <c r="F425" s="227">
        <v>1</v>
      </c>
      <c r="G425" s="276" t="s">
        <v>2580</v>
      </c>
      <c r="H425" s="276" t="s">
        <v>2581</v>
      </c>
      <c r="I425" s="276" t="s">
        <v>2582</v>
      </c>
      <c r="J425" s="276" t="s">
        <v>2583</v>
      </c>
      <c r="K425" s="276" t="s">
        <v>591</v>
      </c>
      <c r="L425" s="276" t="s">
        <v>592</v>
      </c>
      <c r="M425" s="276" t="s">
        <v>2584</v>
      </c>
      <c r="N425" s="276" t="s">
        <v>922</v>
      </c>
    </row>
    <row r="426" spans="1:14" ht="84">
      <c r="A426" s="268" t="str">
        <f t="shared" si="6"/>
        <v>Customer Focus|Director|2</v>
      </c>
      <c r="B426" s="223" t="s">
        <v>568</v>
      </c>
      <c r="C426" s="227" t="s">
        <v>898</v>
      </c>
      <c r="D426" s="227">
        <v>2</v>
      </c>
      <c r="E426" s="227" t="s">
        <v>605</v>
      </c>
      <c r="F426" s="227">
        <v>2</v>
      </c>
      <c r="G426" s="276" t="s">
        <v>2585</v>
      </c>
      <c r="H426" s="276" t="s">
        <v>2586</v>
      </c>
      <c r="I426" s="276" t="s">
        <v>2587</v>
      </c>
      <c r="J426" s="276" t="s">
        <v>2588</v>
      </c>
      <c r="K426" s="276" t="s">
        <v>591</v>
      </c>
      <c r="L426" s="276" t="s">
        <v>592</v>
      </c>
      <c r="M426" s="276" t="s">
        <v>2589</v>
      </c>
      <c r="N426" s="276" t="s">
        <v>916</v>
      </c>
    </row>
    <row r="427" spans="1:14" ht="100.9">
      <c r="A427" s="268" t="str">
        <f t="shared" si="6"/>
        <v>Customer Focus|Director|2</v>
      </c>
      <c r="B427" s="223" t="s">
        <v>568</v>
      </c>
      <c r="C427" s="227" t="s">
        <v>898</v>
      </c>
      <c r="D427" s="227">
        <v>2</v>
      </c>
      <c r="E427" s="227" t="s">
        <v>605</v>
      </c>
      <c r="F427" s="227">
        <v>3</v>
      </c>
      <c r="G427" s="276" t="s">
        <v>2590</v>
      </c>
      <c r="H427" s="276" t="s">
        <v>2591</v>
      </c>
      <c r="I427" s="276" t="s">
        <v>2592</v>
      </c>
      <c r="J427" s="276" t="s">
        <v>2593</v>
      </c>
      <c r="K427" s="276" t="s">
        <v>591</v>
      </c>
      <c r="L427" s="276" t="s">
        <v>592</v>
      </c>
      <c r="M427" s="276" t="s">
        <v>2594</v>
      </c>
      <c r="N427" s="276" t="s">
        <v>916</v>
      </c>
    </row>
    <row r="428" spans="1:14" ht="100.9">
      <c r="A428" s="268" t="str">
        <f t="shared" si="6"/>
        <v>Customer Focus|Director|3</v>
      </c>
      <c r="B428" s="223" t="s">
        <v>568</v>
      </c>
      <c r="C428" s="227" t="s">
        <v>898</v>
      </c>
      <c r="D428" s="227">
        <v>3</v>
      </c>
      <c r="E428" s="227" t="s">
        <v>623</v>
      </c>
      <c r="F428" s="227">
        <v>1</v>
      </c>
      <c r="G428" s="276" t="s">
        <v>2595</v>
      </c>
      <c r="H428" s="276" t="s">
        <v>2596</v>
      </c>
      <c r="I428" s="276" t="s">
        <v>2597</v>
      </c>
      <c r="J428" s="276" t="s">
        <v>2598</v>
      </c>
      <c r="K428" s="276" t="s">
        <v>591</v>
      </c>
      <c r="L428" s="276" t="s">
        <v>592</v>
      </c>
      <c r="M428" s="276" t="s">
        <v>2599</v>
      </c>
      <c r="N428" s="276" t="s">
        <v>594</v>
      </c>
    </row>
    <row r="429" spans="1:14" ht="100.9">
      <c r="A429" s="268" t="str">
        <f t="shared" si="6"/>
        <v>Customer Focus|Director|3</v>
      </c>
      <c r="B429" s="223" t="s">
        <v>568</v>
      </c>
      <c r="C429" s="227" t="s">
        <v>898</v>
      </c>
      <c r="D429" s="227">
        <v>3</v>
      </c>
      <c r="E429" s="227" t="s">
        <v>623</v>
      </c>
      <c r="F429" s="227">
        <v>2</v>
      </c>
      <c r="G429" s="276" t="s">
        <v>2600</v>
      </c>
      <c r="H429" s="276" t="s">
        <v>2601</v>
      </c>
      <c r="I429" s="276" t="s">
        <v>2602</v>
      </c>
      <c r="J429" s="276" t="s">
        <v>817</v>
      </c>
      <c r="K429" s="276" t="s">
        <v>591</v>
      </c>
      <c r="L429" s="276" t="s">
        <v>592</v>
      </c>
      <c r="M429" s="276" t="s">
        <v>2603</v>
      </c>
      <c r="N429" s="276" t="s">
        <v>916</v>
      </c>
    </row>
    <row r="430" spans="1:14" ht="134.44999999999999">
      <c r="A430" s="268" t="str">
        <f t="shared" si="6"/>
        <v>Customer Focus|Director|3</v>
      </c>
      <c r="B430" s="223" t="s">
        <v>568</v>
      </c>
      <c r="C430" s="227" t="s">
        <v>898</v>
      </c>
      <c r="D430" s="227">
        <v>3</v>
      </c>
      <c r="E430" s="227" t="s">
        <v>623</v>
      </c>
      <c r="F430" s="227">
        <v>3</v>
      </c>
      <c r="G430" s="276" t="s">
        <v>2604</v>
      </c>
      <c r="H430" s="276" t="s">
        <v>2605</v>
      </c>
      <c r="I430" s="276" t="s">
        <v>2606</v>
      </c>
      <c r="J430" s="276" t="s">
        <v>2607</v>
      </c>
      <c r="K430" s="276" t="s">
        <v>591</v>
      </c>
      <c r="L430" s="276" t="s">
        <v>592</v>
      </c>
      <c r="M430" s="276" t="s">
        <v>2608</v>
      </c>
      <c r="N430" s="276" t="s">
        <v>640</v>
      </c>
    </row>
    <row r="431" spans="1:14" ht="100.9">
      <c r="A431" s="268" t="str">
        <f t="shared" si="6"/>
        <v>Customer Focus|Director|4</v>
      </c>
      <c r="B431" s="223" t="s">
        <v>568</v>
      </c>
      <c r="C431" s="227" t="s">
        <v>898</v>
      </c>
      <c r="D431" s="227">
        <v>4</v>
      </c>
      <c r="E431" s="227" t="s">
        <v>641</v>
      </c>
      <c r="F431" s="227">
        <v>1</v>
      </c>
      <c r="G431" s="276" t="s">
        <v>2609</v>
      </c>
      <c r="H431" s="276" t="s">
        <v>2610</v>
      </c>
      <c r="I431" s="276" t="s">
        <v>2611</v>
      </c>
      <c r="J431" s="276" t="s">
        <v>2612</v>
      </c>
      <c r="K431" s="276" t="s">
        <v>591</v>
      </c>
      <c r="L431" s="276" t="s">
        <v>592</v>
      </c>
      <c r="M431" s="276" t="s">
        <v>2613</v>
      </c>
      <c r="N431" s="276" t="s">
        <v>916</v>
      </c>
    </row>
    <row r="432" spans="1:14" ht="117.6">
      <c r="A432" s="268" t="str">
        <f t="shared" si="6"/>
        <v>Customer Focus|Director|4</v>
      </c>
      <c r="B432" s="223" t="s">
        <v>568</v>
      </c>
      <c r="C432" s="227" t="s">
        <v>898</v>
      </c>
      <c r="D432" s="227">
        <v>4</v>
      </c>
      <c r="E432" s="227" t="s">
        <v>641</v>
      </c>
      <c r="F432" s="227">
        <v>2</v>
      </c>
      <c r="G432" s="276" t="s">
        <v>2614</v>
      </c>
      <c r="H432" s="276" t="s">
        <v>2615</v>
      </c>
      <c r="I432" s="276" t="s">
        <v>2616</v>
      </c>
      <c r="J432" s="276" t="s">
        <v>2617</v>
      </c>
      <c r="K432" s="276" t="s">
        <v>591</v>
      </c>
      <c r="L432" s="276" t="s">
        <v>592</v>
      </c>
      <c r="M432" s="276" t="s">
        <v>2618</v>
      </c>
      <c r="N432" s="276" t="s">
        <v>2619</v>
      </c>
    </row>
    <row r="433" spans="1:14" ht="100.9">
      <c r="A433" s="268" t="str">
        <f t="shared" si="6"/>
        <v>Customer Focus|Director|4</v>
      </c>
      <c r="B433" s="223" t="s">
        <v>568</v>
      </c>
      <c r="C433" s="227" t="s">
        <v>898</v>
      </c>
      <c r="D433" s="227">
        <v>4</v>
      </c>
      <c r="E433" s="227" t="s">
        <v>641</v>
      </c>
      <c r="F433" s="227">
        <v>3</v>
      </c>
      <c r="G433" s="276" t="s">
        <v>2620</v>
      </c>
      <c r="H433" s="276" t="s">
        <v>2621</v>
      </c>
      <c r="I433" s="276" t="s">
        <v>2622</v>
      </c>
      <c r="J433" s="276" t="s">
        <v>2623</v>
      </c>
      <c r="K433" s="276" t="s">
        <v>591</v>
      </c>
      <c r="L433" s="276" t="s">
        <v>592</v>
      </c>
      <c r="M433" s="276" t="s">
        <v>2624</v>
      </c>
      <c r="N433" s="276" t="s">
        <v>916</v>
      </c>
    </row>
    <row r="434" spans="1:14" ht="67.150000000000006">
      <c r="A434" s="268" t="str">
        <f t="shared" si="6"/>
        <v>Developing Others|Officer|1</v>
      </c>
      <c r="B434" s="223" t="s">
        <v>565</v>
      </c>
      <c r="C434" s="197" t="s">
        <v>4</v>
      </c>
      <c r="D434" s="197">
        <v>1</v>
      </c>
      <c r="E434" s="79" t="s">
        <v>586</v>
      </c>
      <c r="F434" s="79">
        <v>1</v>
      </c>
      <c r="G434" s="276" t="s">
        <v>2625</v>
      </c>
      <c r="H434" s="276" t="s">
        <v>2626</v>
      </c>
      <c r="I434" s="276" t="s">
        <v>2627</v>
      </c>
      <c r="J434" s="276" t="s">
        <v>2628</v>
      </c>
      <c r="K434" s="276" t="s">
        <v>591</v>
      </c>
      <c r="L434" s="276" t="s">
        <v>592</v>
      </c>
      <c r="M434" s="276" t="s">
        <v>2629</v>
      </c>
      <c r="N434" s="276" t="s">
        <v>594</v>
      </c>
    </row>
    <row r="435" spans="1:14" ht="67.150000000000006">
      <c r="A435" s="268" t="str">
        <f t="shared" si="6"/>
        <v>Developing Others|Officer|1</v>
      </c>
      <c r="B435" s="223" t="s">
        <v>565</v>
      </c>
      <c r="C435" s="197" t="s">
        <v>4</v>
      </c>
      <c r="D435" s="197">
        <v>1</v>
      </c>
      <c r="E435" s="79" t="s">
        <v>586</v>
      </c>
      <c r="F435" s="79">
        <v>2</v>
      </c>
      <c r="G435" s="276" t="s">
        <v>2630</v>
      </c>
      <c r="H435" s="276" t="s">
        <v>2631</v>
      </c>
      <c r="I435" s="276" t="s">
        <v>2632</v>
      </c>
      <c r="J435" s="276" t="s">
        <v>2633</v>
      </c>
      <c r="K435" s="276" t="s">
        <v>591</v>
      </c>
      <c r="L435" s="276" t="s">
        <v>592</v>
      </c>
      <c r="M435" s="276" t="s">
        <v>2634</v>
      </c>
      <c r="N435" s="276" t="s">
        <v>594</v>
      </c>
    </row>
    <row r="436" spans="1:14" ht="67.150000000000006">
      <c r="A436" s="268" t="str">
        <f t="shared" si="6"/>
        <v>Developing Others|Officer|1</v>
      </c>
      <c r="B436" s="223" t="s">
        <v>565</v>
      </c>
      <c r="C436" s="197" t="s">
        <v>4</v>
      </c>
      <c r="D436" s="197">
        <v>1</v>
      </c>
      <c r="E436" s="79" t="s">
        <v>586</v>
      </c>
      <c r="F436" s="79">
        <v>3</v>
      </c>
      <c r="G436" s="276" t="s">
        <v>2635</v>
      </c>
      <c r="H436" s="276" t="s">
        <v>2636</v>
      </c>
      <c r="I436" s="276" t="s">
        <v>2637</v>
      </c>
      <c r="J436" s="276" t="s">
        <v>2638</v>
      </c>
      <c r="K436" s="276" t="s">
        <v>591</v>
      </c>
      <c r="L436" s="276" t="s">
        <v>592</v>
      </c>
      <c r="M436" s="276" t="s">
        <v>2639</v>
      </c>
      <c r="N436" s="276" t="s">
        <v>594</v>
      </c>
    </row>
    <row r="437" spans="1:14" ht="50.45">
      <c r="A437" s="268" t="str">
        <f t="shared" si="6"/>
        <v>Developing Others|Officer|2</v>
      </c>
      <c r="B437" s="223" t="s">
        <v>565</v>
      </c>
      <c r="C437" s="197" t="s">
        <v>4</v>
      </c>
      <c r="D437" s="79">
        <v>2</v>
      </c>
      <c r="E437" s="79" t="s">
        <v>605</v>
      </c>
      <c r="F437" s="79">
        <v>1</v>
      </c>
      <c r="G437" s="276" t="s">
        <v>2640</v>
      </c>
      <c r="H437" s="276" t="s">
        <v>2641</v>
      </c>
      <c r="I437" s="276" t="s">
        <v>2642</v>
      </c>
      <c r="J437" s="276" t="s">
        <v>2643</v>
      </c>
      <c r="K437" s="276" t="s">
        <v>591</v>
      </c>
      <c r="L437" s="276" t="s">
        <v>592</v>
      </c>
      <c r="M437" s="276" t="s">
        <v>2644</v>
      </c>
      <c r="N437" s="276" t="s">
        <v>2645</v>
      </c>
    </row>
    <row r="438" spans="1:14" ht="50.45">
      <c r="A438" s="268" t="str">
        <f t="shared" si="6"/>
        <v>Developing Others|Officer|2</v>
      </c>
      <c r="B438" s="223" t="s">
        <v>565</v>
      </c>
      <c r="C438" s="197" t="s">
        <v>4</v>
      </c>
      <c r="D438" s="79">
        <v>2</v>
      </c>
      <c r="E438" s="79" t="s">
        <v>605</v>
      </c>
      <c r="F438" s="79">
        <v>2</v>
      </c>
      <c r="G438" s="276" t="s">
        <v>2646</v>
      </c>
      <c r="H438" s="276" t="s">
        <v>2647</v>
      </c>
      <c r="I438" s="276" t="s">
        <v>2648</v>
      </c>
      <c r="J438" s="276" t="s">
        <v>2649</v>
      </c>
      <c r="K438" s="276" t="s">
        <v>591</v>
      </c>
      <c r="L438" s="276" t="s">
        <v>592</v>
      </c>
      <c r="M438" s="276" t="s">
        <v>2650</v>
      </c>
      <c r="N438" s="276" t="s">
        <v>611</v>
      </c>
    </row>
    <row r="439" spans="1:14" ht="50.45">
      <c r="A439" s="268" t="str">
        <f t="shared" si="6"/>
        <v>Developing Others|Officer|2</v>
      </c>
      <c r="B439" s="223" t="s">
        <v>565</v>
      </c>
      <c r="C439" s="197" t="s">
        <v>4</v>
      </c>
      <c r="D439" s="79">
        <v>2</v>
      </c>
      <c r="E439" s="79" t="s">
        <v>605</v>
      </c>
      <c r="F439" s="79">
        <v>3</v>
      </c>
      <c r="G439" s="276" t="s">
        <v>2651</v>
      </c>
      <c r="H439" s="276" t="s">
        <v>2652</v>
      </c>
      <c r="I439" s="276" t="s">
        <v>2653</v>
      </c>
      <c r="J439" s="276" t="s">
        <v>2654</v>
      </c>
      <c r="K439" s="276" t="s">
        <v>591</v>
      </c>
      <c r="L439" s="276" t="s">
        <v>592</v>
      </c>
      <c r="M439" s="276" t="s">
        <v>2655</v>
      </c>
      <c r="N439" s="276" t="s">
        <v>611</v>
      </c>
    </row>
    <row r="440" spans="1:14" ht="50.45">
      <c r="A440" s="268" t="str">
        <f t="shared" si="6"/>
        <v>Developing Others|Officer|3</v>
      </c>
      <c r="B440" s="223" t="s">
        <v>565</v>
      </c>
      <c r="C440" s="197" t="s">
        <v>4</v>
      </c>
      <c r="D440" s="79">
        <v>3</v>
      </c>
      <c r="E440" s="79" t="s">
        <v>623</v>
      </c>
      <c r="F440" s="79">
        <v>1</v>
      </c>
      <c r="G440" s="276" t="s">
        <v>2656</v>
      </c>
      <c r="H440" s="276" t="s">
        <v>2657</v>
      </c>
      <c r="I440" s="276" t="s">
        <v>2658</v>
      </c>
      <c r="J440" s="276" t="s">
        <v>2659</v>
      </c>
      <c r="K440" s="276" t="s">
        <v>591</v>
      </c>
      <c r="L440" s="276" t="s">
        <v>592</v>
      </c>
      <c r="M440" s="276" t="s">
        <v>2660</v>
      </c>
      <c r="N440" s="276" t="s">
        <v>2661</v>
      </c>
    </row>
    <row r="441" spans="1:14" ht="50.45">
      <c r="A441" s="268" t="str">
        <f t="shared" si="6"/>
        <v>Developing Others|Officer|3</v>
      </c>
      <c r="B441" s="223" t="s">
        <v>565</v>
      </c>
      <c r="C441" s="197" t="s">
        <v>4</v>
      </c>
      <c r="D441" s="79">
        <v>3</v>
      </c>
      <c r="E441" s="79" t="s">
        <v>623</v>
      </c>
      <c r="F441" s="79">
        <v>2</v>
      </c>
      <c r="G441" s="276" t="s">
        <v>2662</v>
      </c>
      <c r="H441" s="276" t="s">
        <v>2663</v>
      </c>
      <c r="I441" s="276" t="s">
        <v>2664</v>
      </c>
      <c r="J441" s="276" t="s">
        <v>2665</v>
      </c>
      <c r="K441" s="276" t="s">
        <v>591</v>
      </c>
      <c r="L441" s="276" t="s">
        <v>592</v>
      </c>
      <c r="M441" s="276" t="s">
        <v>2666</v>
      </c>
      <c r="N441" s="276" t="s">
        <v>2667</v>
      </c>
    </row>
    <row r="442" spans="1:14" ht="67.150000000000006">
      <c r="A442" s="268" t="str">
        <f t="shared" si="6"/>
        <v>Developing Others|Officer|3</v>
      </c>
      <c r="B442" s="223" t="s">
        <v>565</v>
      </c>
      <c r="C442" s="197" t="s">
        <v>4</v>
      </c>
      <c r="D442" s="79">
        <v>3</v>
      </c>
      <c r="E442" s="79" t="s">
        <v>623</v>
      </c>
      <c r="F442" s="79">
        <v>3</v>
      </c>
      <c r="G442" s="276" t="s">
        <v>2668</v>
      </c>
      <c r="H442" s="276" t="s">
        <v>2669</v>
      </c>
      <c r="I442" s="276" t="s">
        <v>2670</v>
      </c>
      <c r="J442" s="276" t="s">
        <v>638</v>
      </c>
      <c r="K442" s="276" t="s">
        <v>591</v>
      </c>
      <c r="L442" s="276" t="s">
        <v>592</v>
      </c>
      <c r="M442" s="276" t="s">
        <v>2671</v>
      </c>
      <c r="N442" s="276" t="s">
        <v>640</v>
      </c>
    </row>
    <row r="443" spans="1:14" ht="67.150000000000006">
      <c r="A443" s="268" t="str">
        <f t="shared" si="6"/>
        <v>Developing Others|Officer|4</v>
      </c>
      <c r="B443" s="223" t="s">
        <v>565</v>
      </c>
      <c r="C443" s="197" t="s">
        <v>4</v>
      </c>
      <c r="D443" s="79">
        <v>4</v>
      </c>
      <c r="E443" s="79" t="s">
        <v>641</v>
      </c>
      <c r="F443" s="79">
        <v>1</v>
      </c>
      <c r="G443" s="276" t="s">
        <v>2672</v>
      </c>
      <c r="H443" s="276" t="s">
        <v>2673</v>
      </c>
      <c r="I443" s="276" t="s">
        <v>2674</v>
      </c>
      <c r="J443" s="276" t="s">
        <v>2675</v>
      </c>
      <c r="K443" s="276" t="s">
        <v>591</v>
      </c>
      <c r="L443" s="276" t="s">
        <v>592</v>
      </c>
      <c r="M443" s="276" t="s">
        <v>2676</v>
      </c>
      <c r="N443" s="276" t="s">
        <v>622</v>
      </c>
    </row>
    <row r="444" spans="1:14" ht="50.45">
      <c r="A444" s="268" t="str">
        <f t="shared" si="6"/>
        <v>Developing Others|Officer|4</v>
      </c>
      <c r="B444" s="223" t="s">
        <v>565</v>
      </c>
      <c r="C444" s="197" t="s">
        <v>4</v>
      </c>
      <c r="D444" s="79">
        <v>4</v>
      </c>
      <c r="E444" s="79" t="s">
        <v>641</v>
      </c>
      <c r="F444" s="79">
        <v>2</v>
      </c>
      <c r="G444" s="276" t="s">
        <v>2677</v>
      </c>
      <c r="H444" s="276" t="s">
        <v>2678</v>
      </c>
      <c r="I444" s="276" t="s">
        <v>2679</v>
      </c>
      <c r="J444" s="276" t="s">
        <v>2680</v>
      </c>
      <c r="K444" s="276" t="s">
        <v>591</v>
      </c>
      <c r="L444" s="276" t="s">
        <v>592</v>
      </c>
      <c r="M444" s="276" t="s">
        <v>2681</v>
      </c>
      <c r="N444" s="276" t="s">
        <v>1802</v>
      </c>
    </row>
    <row r="445" spans="1:14" ht="50.45">
      <c r="A445" s="268" t="str">
        <f t="shared" si="6"/>
        <v>Developing Others|Officer|4</v>
      </c>
      <c r="B445" s="223" t="s">
        <v>565</v>
      </c>
      <c r="C445" s="197" t="s">
        <v>4</v>
      </c>
      <c r="D445" s="79">
        <v>4</v>
      </c>
      <c r="E445" s="79" t="s">
        <v>641</v>
      </c>
      <c r="F445" s="79">
        <v>3</v>
      </c>
      <c r="G445" s="276" t="s">
        <v>2682</v>
      </c>
      <c r="H445" s="276" t="s">
        <v>2683</v>
      </c>
      <c r="I445" s="276" t="s">
        <v>2684</v>
      </c>
      <c r="J445" s="276" t="s">
        <v>2685</v>
      </c>
      <c r="K445" s="276" t="s">
        <v>591</v>
      </c>
      <c r="L445" s="276" t="s">
        <v>592</v>
      </c>
      <c r="M445" s="276" t="s">
        <v>2686</v>
      </c>
      <c r="N445" s="276" t="s">
        <v>1928</v>
      </c>
    </row>
    <row r="446" spans="1:14" ht="67.150000000000006">
      <c r="A446" s="268" t="str">
        <f t="shared" si="6"/>
        <v>Developing Others|Analyst|1</v>
      </c>
      <c r="B446" s="223" t="s">
        <v>565</v>
      </c>
      <c r="C446" s="197" t="s">
        <v>6</v>
      </c>
      <c r="D446" s="197">
        <v>1</v>
      </c>
      <c r="E446" s="79" t="s">
        <v>586</v>
      </c>
      <c r="F446" s="79">
        <v>1</v>
      </c>
      <c r="G446" s="276" t="s">
        <v>2687</v>
      </c>
      <c r="H446" s="276" t="s">
        <v>2688</v>
      </c>
      <c r="I446" s="276" t="s">
        <v>2689</v>
      </c>
      <c r="J446" s="276" t="s">
        <v>2690</v>
      </c>
      <c r="K446" s="276" t="s">
        <v>591</v>
      </c>
      <c r="L446" s="276" t="s">
        <v>592</v>
      </c>
      <c r="M446" s="276" t="s">
        <v>2691</v>
      </c>
      <c r="N446" s="276" t="s">
        <v>594</v>
      </c>
    </row>
    <row r="447" spans="1:14" ht="67.150000000000006">
      <c r="A447" s="268" t="str">
        <f t="shared" si="6"/>
        <v>Developing Others|Analyst|1</v>
      </c>
      <c r="B447" s="223" t="s">
        <v>565</v>
      </c>
      <c r="C447" s="197" t="s">
        <v>6</v>
      </c>
      <c r="D447" s="197">
        <v>1</v>
      </c>
      <c r="E447" s="79" t="s">
        <v>586</v>
      </c>
      <c r="F447" s="79">
        <v>2</v>
      </c>
      <c r="G447" s="276" t="s">
        <v>2692</v>
      </c>
      <c r="H447" s="276" t="s">
        <v>2693</v>
      </c>
      <c r="I447" s="276" t="s">
        <v>2694</v>
      </c>
      <c r="J447" s="276" t="s">
        <v>2695</v>
      </c>
      <c r="K447" s="276" t="s">
        <v>591</v>
      </c>
      <c r="L447" s="276" t="s">
        <v>592</v>
      </c>
      <c r="M447" s="276" t="s">
        <v>2696</v>
      </c>
      <c r="N447" s="276" t="s">
        <v>594</v>
      </c>
    </row>
    <row r="448" spans="1:14" ht="50.45">
      <c r="A448" s="268" t="str">
        <f t="shared" si="6"/>
        <v>Developing Others|Analyst|1</v>
      </c>
      <c r="B448" s="223" t="s">
        <v>565</v>
      </c>
      <c r="C448" s="197" t="s">
        <v>6</v>
      </c>
      <c r="D448" s="197">
        <v>1</v>
      </c>
      <c r="E448" s="79" t="s">
        <v>586</v>
      </c>
      <c r="F448" s="79">
        <v>3</v>
      </c>
      <c r="G448" s="276" t="s">
        <v>2697</v>
      </c>
      <c r="H448" s="276" t="s">
        <v>2698</v>
      </c>
      <c r="I448" s="276" t="s">
        <v>2699</v>
      </c>
      <c r="J448" s="276" t="s">
        <v>1642</v>
      </c>
      <c r="K448" s="276" t="s">
        <v>591</v>
      </c>
      <c r="L448" s="276" t="s">
        <v>592</v>
      </c>
      <c r="M448" s="276" t="s">
        <v>2700</v>
      </c>
      <c r="N448" s="276" t="s">
        <v>594</v>
      </c>
    </row>
    <row r="449" spans="1:14" ht="50.45">
      <c r="A449" s="268" t="str">
        <f t="shared" si="6"/>
        <v>Developing Others|Analyst|2</v>
      </c>
      <c r="B449" s="223" t="s">
        <v>565</v>
      </c>
      <c r="C449" s="197" t="s">
        <v>6</v>
      </c>
      <c r="D449" s="79">
        <v>2</v>
      </c>
      <c r="E449" s="79" t="s">
        <v>605</v>
      </c>
      <c r="F449" s="79">
        <v>1</v>
      </c>
      <c r="G449" s="276" t="s">
        <v>2701</v>
      </c>
      <c r="H449" s="276" t="s">
        <v>2702</v>
      </c>
      <c r="I449" s="276" t="s">
        <v>2703</v>
      </c>
      <c r="J449" s="276" t="s">
        <v>2704</v>
      </c>
      <c r="K449" s="276" t="s">
        <v>591</v>
      </c>
      <c r="L449" s="276" t="s">
        <v>592</v>
      </c>
      <c r="M449" s="276" t="s">
        <v>2705</v>
      </c>
      <c r="N449" s="276" t="s">
        <v>737</v>
      </c>
    </row>
    <row r="450" spans="1:14" ht="50.45">
      <c r="A450" s="268" t="str">
        <f t="shared" si="6"/>
        <v>Developing Others|Analyst|2</v>
      </c>
      <c r="B450" s="223" t="s">
        <v>565</v>
      </c>
      <c r="C450" s="197" t="s">
        <v>6</v>
      </c>
      <c r="D450" s="79">
        <v>2</v>
      </c>
      <c r="E450" s="79" t="s">
        <v>605</v>
      </c>
      <c r="F450" s="79">
        <v>2</v>
      </c>
      <c r="G450" s="276" t="s">
        <v>2706</v>
      </c>
      <c r="H450" s="276" t="s">
        <v>2707</v>
      </c>
      <c r="I450" s="276" t="s">
        <v>2708</v>
      </c>
      <c r="J450" s="276" t="s">
        <v>2709</v>
      </c>
      <c r="K450" s="276" t="s">
        <v>591</v>
      </c>
      <c r="L450" s="276" t="s">
        <v>592</v>
      </c>
      <c r="M450" s="276" t="s">
        <v>2710</v>
      </c>
      <c r="N450" s="276" t="s">
        <v>594</v>
      </c>
    </row>
    <row r="451" spans="1:14" ht="84">
      <c r="A451" s="268" t="str">
        <f t="shared" ref="A451:A514" si="7">B451 &amp; "|" &amp; C451 &amp; "|" &amp; D451</f>
        <v>Developing Others|Analyst|2</v>
      </c>
      <c r="B451" s="223" t="s">
        <v>565</v>
      </c>
      <c r="C451" s="197" t="s">
        <v>6</v>
      </c>
      <c r="D451" s="79">
        <v>2</v>
      </c>
      <c r="E451" s="79" t="s">
        <v>605</v>
      </c>
      <c r="F451" s="79">
        <v>3</v>
      </c>
      <c r="G451" s="276" t="s">
        <v>2711</v>
      </c>
      <c r="H451" s="276" t="s">
        <v>2712</v>
      </c>
      <c r="I451" s="276" t="s">
        <v>2713</v>
      </c>
      <c r="J451" s="276" t="s">
        <v>2714</v>
      </c>
      <c r="K451" s="276" t="s">
        <v>591</v>
      </c>
      <c r="L451" s="276" t="s">
        <v>592</v>
      </c>
      <c r="M451" s="276" t="s">
        <v>2715</v>
      </c>
      <c r="N451" s="276" t="s">
        <v>594</v>
      </c>
    </row>
    <row r="452" spans="1:14" ht="50.45">
      <c r="A452" s="268" t="str">
        <f t="shared" si="7"/>
        <v>Developing Others|Analyst|3</v>
      </c>
      <c r="B452" s="223" t="s">
        <v>565</v>
      </c>
      <c r="C452" s="197" t="s">
        <v>6</v>
      </c>
      <c r="D452" s="79">
        <v>3</v>
      </c>
      <c r="E452" s="79" t="s">
        <v>623</v>
      </c>
      <c r="F452" s="79">
        <v>1</v>
      </c>
      <c r="G452" s="276" t="s">
        <v>2716</v>
      </c>
      <c r="H452" s="276" t="s">
        <v>2717</v>
      </c>
      <c r="I452" s="276" t="s">
        <v>2718</v>
      </c>
      <c r="J452" s="276" t="s">
        <v>2719</v>
      </c>
      <c r="K452" s="276" t="s">
        <v>591</v>
      </c>
      <c r="L452" s="276" t="s">
        <v>592</v>
      </c>
      <c r="M452" s="276" t="s">
        <v>2720</v>
      </c>
      <c r="N452" s="276" t="s">
        <v>2721</v>
      </c>
    </row>
    <row r="453" spans="1:14" ht="50.45">
      <c r="A453" s="268" t="str">
        <f t="shared" si="7"/>
        <v>Developing Others|Analyst|3</v>
      </c>
      <c r="B453" s="223" t="s">
        <v>565</v>
      </c>
      <c r="C453" s="197" t="s">
        <v>6</v>
      </c>
      <c r="D453" s="79">
        <v>3</v>
      </c>
      <c r="E453" s="79" t="s">
        <v>623</v>
      </c>
      <c r="F453" s="79">
        <v>2</v>
      </c>
      <c r="G453" s="276" t="s">
        <v>2722</v>
      </c>
      <c r="H453" s="276" t="s">
        <v>2723</v>
      </c>
      <c r="I453" s="276" t="s">
        <v>2724</v>
      </c>
      <c r="J453" s="276" t="s">
        <v>2725</v>
      </c>
      <c r="K453" s="276" t="s">
        <v>591</v>
      </c>
      <c r="L453" s="276" t="s">
        <v>592</v>
      </c>
      <c r="M453" s="276" t="s">
        <v>2726</v>
      </c>
      <c r="N453" s="276" t="s">
        <v>594</v>
      </c>
    </row>
    <row r="454" spans="1:14" ht="84">
      <c r="A454" s="268" t="str">
        <f t="shared" si="7"/>
        <v>Developing Others|Analyst|3</v>
      </c>
      <c r="B454" s="223" t="s">
        <v>565</v>
      </c>
      <c r="C454" s="197" t="s">
        <v>6</v>
      </c>
      <c r="D454" s="79">
        <v>3</v>
      </c>
      <c r="E454" s="79" t="s">
        <v>623</v>
      </c>
      <c r="F454" s="79">
        <v>3</v>
      </c>
      <c r="G454" s="276" t="s">
        <v>2727</v>
      </c>
      <c r="H454" s="276" t="s">
        <v>2728</v>
      </c>
      <c r="I454" s="276" t="s">
        <v>2729</v>
      </c>
      <c r="J454" s="276" t="s">
        <v>638</v>
      </c>
      <c r="K454" s="276" t="s">
        <v>591</v>
      </c>
      <c r="L454" s="276" t="s">
        <v>592</v>
      </c>
      <c r="M454" s="276" t="s">
        <v>2730</v>
      </c>
      <c r="N454" s="276" t="s">
        <v>640</v>
      </c>
    </row>
    <row r="455" spans="1:14" ht="67.150000000000006">
      <c r="A455" s="268" t="str">
        <f t="shared" si="7"/>
        <v>Developing Others|Analyst|4</v>
      </c>
      <c r="B455" s="223" t="s">
        <v>565</v>
      </c>
      <c r="C455" s="197" t="s">
        <v>6</v>
      </c>
      <c r="D455" s="79">
        <v>4</v>
      </c>
      <c r="E455" s="79" t="s">
        <v>641</v>
      </c>
      <c r="F455" s="79">
        <v>1</v>
      </c>
      <c r="G455" s="276" t="s">
        <v>2731</v>
      </c>
      <c r="H455" s="276" t="s">
        <v>2732</v>
      </c>
      <c r="I455" s="276" t="s">
        <v>2733</v>
      </c>
      <c r="J455" s="276" t="s">
        <v>2734</v>
      </c>
      <c r="K455" s="276" t="s">
        <v>591</v>
      </c>
      <c r="L455" s="276" t="s">
        <v>592</v>
      </c>
      <c r="M455" s="276" t="s">
        <v>2735</v>
      </c>
      <c r="N455" s="276" t="s">
        <v>622</v>
      </c>
    </row>
    <row r="456" spans="1:14" ht="67.150000000000006">
      <c r="A456" s="268" t="str">
        <f t="shared" si="7"/>
        <v>Developing Others|Analyst|4</v>
      </c>
      <c r="B456" s="223" t="s">
        <v>565</v>
      </c>
      <c r="C456" s="197" t="s">
        <v>6</v>
      </c>
      <c r="D456" s="79">
        <v>4</v>
      </c>
      <c r="E456" s="79" t="s">
        <v>641</v>
      </c>
      <c r="F456" s="79">
        <v>2</v>
      </c>
      <c r="G456" s="276" t="s">
        <v>2736</v>
      </c>
      <c r="H456" s="276" t="s">
        <v>2737</v>
      </c>
      <c r="I456" s="276" t="s">
        <v>2738</v>
      </c>
      <c r="J456" s="276" t="s">
        <v>2739</v>
      </c>
      <c r="K456" s="276" t="s">
        <v>591</v>
      </c>
      <c r="L456" s="276" t="s">
        <v>592</v>
      </c>
      <c r="M456" s="276" t="s">
        <v>2740</v>
      </c>
      <c r="N456" s="276" t="s">
        <v>2721</v>
      </c>
    </row>
    <row r="457" spans="1:14" ht="67.150000000000006">
      <c r="A457" s="268" t="str">
        <f t="shared" si="7"/>
        <v>Developing Others|Analyst|4</v>
      </c>
      <c r="B457" s="223" t="s">
        <v>565</v>
      </c>
      <c r="C457" s="197" t="s">
        <v>6</v>
      </c>
      <c r="D457" s="79">
        <v>4</v>
      </c>
      <c r="E457" s="79" t="s">
        <v>641</v>
      </c>
      <c r="F457" s="79">
        <v>3</v>
      </c>
      <c r="G457" s="276" t="s">
        <v>2741</v>
      </c>
      <c r="H457" s="276" t="s">
        <v>2742</v>
      </c>
      <c r="I457" s="276" t="s">
        <v>2743</v>
      </c>
      <c r="J457" s="276" t="s">
        <v>2744</v>
      </c>
      <c r="K457" s="276" t="s">
        <v>591</v>
      </c>
      <c r="L457" s="276" t="s">
        <v>592</v>
      </c>
      <c r="M457" s="276" t="s">
        <v>2745</v>
      </c>
      <c r="N457" s="276" t="s">
        <v>2721</v>
      </c>
    </row>
    <row r="458" spans="1:14" ht="50.45">
      <c r="A458" s="268" t="str">
        <f t="shared" si="7"/>
        <v>Developing Others|Unit Head/Specialist|1</v>
      </c>
      <c r="B458" s="223" t="s">
        <v>565</v>
      </c>
      <c r="C458" s="79" t="s">
        <v>13</v>
      </c>
      <c r="D458" s="197">
        <v>1</v>
      </c>
      <c r="E458" s="79" t="s">
        <v>586</v>
      </c>
      <c r="F458" s="79">
        <v>1</v>
      </c>
      <c r="G458" s="276" t="s">
        <v>2746</v>
      </c>
      <c r="H458" s="276" t="s">
        <v>2747</v>
      </c>
      <c r="I458" s="276" t="s">
        <v>2748</v>
      </c>
      <c r="J458" s="276" t="s">
        <v>2749</v>
      </c>
      <c r="K458" s="276" t="s">
        <v>591</v>
      </c>
      <c r="L458" s="276" t="s">
        <v>592</v>
      </c>
      <c r="M458" s="276" t="s">
        <v>2750</v>
      </c>
      <c r="N458" s="276" t="s">
        <v>594</v>
      </c>
    </row>
    <row r="459" spans="1:14" ht="67.150000000000006">
      <c r="A459" s="268" t="str">
        <f t="shared" si="7"/>
        <v>Developing Others|Unit Head/Specialist|1</v>
      </c>
      <c r="B459" s="223" t="s">
        <v>565</v>
      </c>
      <c r="C459" s="79" t="s">
        <v>13</v>
      </c>
      <c r="D459" s="197">
        <v>1</v>
      </c>
      <c r="E459" s="79" t="s">
        <v>586</v>
      </c>
      <c r="F459" s="79">
        <v>2</v>
      </c>
      <c r="G459" s="276" t="s">
        <v>2751</v>
      </c>
      <c r="H459" s="276" t="s">
        <v>2752</v>
      </c>
      <c r="I459" s="276" t="s">
        <v>2753</v>
      </c>
      <c r="J459" s="276" t="s">
        <v>2754</v>
      </c>
      <c r="K459" s="276" t="s">
        <v>591</v>
      </c>
      <c r="L459" s="276" t="s">
        <v>592</v>
      </c>
      <c r="M459" s="276" t="s">
        <v>2755</v>
      </c>
      <c r="N459" s="276" t="s">
        <v>594</v>
      </c>
    </row>
    <row r="460" spans="1:14" ht="50.45">
      <c r="A460" s="268" t="str">
        <f t="shared" si="7"/>
        <v>Developing Others|Unit Head/Specialist|1</v>
      </c>
      <c r="B460" s="223" t="s">
        <v>565</v>
      </c>
      <c r="C460" s="79" t="s">
        <v>13</v>
      </c>
      <c r="D460" s="197">
        <v>1</v>
      </c>
      <c r="E460" s="79" t="s">
        <v>586</v>
      </c>
      <c r="F460" s="79">
        <v>3</v>
      </c>
      <c r="G460" s="276" t="s">
        <v>2756</v>
      </c>
      <c r="H460" s="276" t="s">
        <v>2757</v>
      </c>
      <c r="I460" s="276" t="s">
        <v>2758</v>
      </c>
      <c r="J460" s="276" t="s">
        <v>1642</v>
      </c>
      <c r="K460" s="276" t="s">
        <v>591</v>
      </c>
      <c r="L460" s="276" t="s">
        <v>592</v>
      </c>
      <c r="M460" s="276" t="s">
        <v>2759</v>
      </c>
      <c r="N460" s="276" t="s">
        <v>594</v>
      </c>
    </row>
    <row r="461" spans="1:14" ht="50.45">
      <c r="A461" s="268" t="str">
        <f t="shared" si="7"/>
        <v>Developing Others|Unit Head/Specialist|2</v>
      </c>
      <c r="B461" s="223" t="s">
        <v>565</v>
      </c>
      <c r="C461" s="79" t="s">
        <v>13</v>
      </c>
      <c r="D461" s="79">
        <v>2</v>
      </c>
      <c r="E461" s="79" t="s">
        <v>605</v>
      </c>
      <c r="F461" s="79">
        <v>1</v>
      </c>
      <c r="G461" s="276" t="s">
        <v>2760</v>
      </c>
      <c r="H461" s="276" t="s">
        <v>2761</v>
      </c>
      <c r="I461" s="276" t="s">
        <v>2762</v>
      </c>
      <c r="J461" s="276" t="s">
        <v>2763</v>
      </c>
      <c r="K461" s="276" t="s">
        <v>591</v>
      </c>
      <c r="L461" s="276" t="s">
        <v>592</v>
      </c>
      <c r="M461" s="276" t="s">
        <v>2764</v>
      </c>
      <c r="N461" s="276" t="s">
        <v>611</v>
      </c>
    </row>
    <row r="462" spans="1:14" ht="50.45">
      <c r="A462" s="268" t="str">
        <f t="shared" si="7"/>
        <v>Developing Others|Unit Head/Specialist|2</v>
      </c>
      <c r="B462" s="223" t="s">
        <v>565</v>
      </c>
      <c r="C462" s="79" t="s">
        <v>13</v>
      </c>
      <c r="D462" s="79">
        <v>2</v>
      </c>
      <c r="E462" s="79" t="s">
        <v>605</v>
      </c>
      <c r="F462" s="79">
        <v>2</v>
      </c>
      <c r="G462" s="276" t="s">
        <v>2765</v>
      </c>
      <c r="H462" s="276" t="s">
        <v>2766</v>
      </c>
      <c r="I462" s="276" t="s">
        <v>2767</v>
      </c>
      <c r="J462" s="276" t="s">
        <v>2768</v>
      </c>
      <c r="K462" s="276" t="s">
        <v>591</v>
      </c>
      <c r="L462" s="276" t="s">
        <v>592</v>
      </c>
      <c r="M462" s="276" t="s">
        <v>2769</v>
      </c>
      <c r="N462" s="276" t="s">
        <v>622</v>
      </c>
    </row>
    <row r="463" spans="1:14" ht="50.45">
      <c r="A463" s="268" t="str">
        <f t="shared" si="7"/>
        <v>Developing Others|Unit Head/Specialist|2</v>
      </c>
      <c r="B463" s="223" t="s">
        <v>565</v>
      </c>
      <c r="C463" s="79" t="s">
        <v>13</v>
      </c>
      <c r="D463" s="79">
        <v>2</v>
      </c>
      <c r="E463" s="79" t="s">
        <v>605</v>
      </c>
      <c r="F463" s="79">
        <v>3</v>
      </c>
      <c r="G463" s="276" t="s">
        <v>2770</v>
      </c>
      <c r="H463" s="276" t="s">
        <v>2771</v>
      </c>
      <c r="I463" s="276" t="s">
        <v>2772</v>
      </c>
      <c r="J463" s="276" t="s">
        <v>2773</v>
      </c>
      <c r="K463" s="276" t="s">
        <v>591</v>
      </c>
      <c r="L463" s="276" t="s">
        <v>592</v>
      </c>
      <c r="M463" s="276" t="s">
        <v>2774</v>
      </c>
      <c r="N463" s="276" t="s">
        <v>2775</v>
      </c>
    </row>
    <row r="464" spans="1:14" ht="50.45">
      <c r="A464" s="268" t="str">
        <f t="shared" si="7"/>
        <v>Developing Others|Unit Head/Specialist|3</v>
      </c>
      <c r="B464" s="223" t="s">
        <v>565</v>
      </c>
      <c r="C464" s="79" t="s">
        <v>13</v>
      </c>
      <c r="D464" s="79">
        <v>3</v>
      </c>
      <c r="E464" s="79" t="s">
        <v>623</v>
      </c>
      <c r="F464" s="79">
        <v>1</v>
      </c>
      <c r="G464" s="276" t="s">
        <v>2776</v>
      </c>
      <c r="H464" s="276" t="s">
        <v>2777</v>
      </c>
      <c r="I464" s="276" t="s">
        <v>2778</v>
      </c>
      <c r="J464" s="276" t="s">
        <v>936</v>
      </c>
      <c r="K464" s="276" t="s">
        <v>591</v>
      </c>
      <c r="L464" s="276" t="s">
        <v>592</v>
      </c>
      <c r="M464" s="276" t="s">
        <v>2779</v>
      </c>
      <c r="N464" s="276" t="s">
        <v>594</v>
      </c>
    </row>
    <row r="465" spans="1:14" ht="50.45">
      <c r="A465" s="268" t="str">
        <f t="shared" si="7"/>
        <v>Developing Others|Unit Head/Specialist|3</v>
      </c>
      <c r="B465" s="223" t="s">
        <v>565</v>
      </c>
      <c r="C465" s="79" t="s">
        <v>13</v>
      </c>
      <c r="D465" s="79">
        <v>3</v>
      </c>
      <c r="E465" s="79" t="s">
        <v>623</v>
      </c>
      <c r="F465" s="79">
        <v>2</v>
      </c>
      <c r="G465" s="276" t="s">
        <v>2780</v>
      </c>
      <c r="H465" s="276" t="s">
        <v>2781</v>
      </c>
      <c r="I465" s="276" t="s">
        <v>2782</v>
      </c>
      <c r="J465" s="276" t="s">
        <v>2783</v>
      </c>
      <c r="K465" s="276" t="s">
        <v>591</v>
      </c>
      <c r="L465" s="276" t="s">
        <v>592</v>
      </c>
      <c r="M465" s="276" t="s">
        <v>2784</v>
      </c>
      <c r="N465" s="276" t="s">
        <v>1880</v>
      </c>
    </row>
    <row r="466" spans="1:14" ht="84">
      <c r="A466" s="268" t="str">
        <f t="shared" si="7"/>
        <v>Developing Others|Unit Head/Specialist|3</v>
      </c>
      <c r="B466" s="223" t="s">
        <v>565</v>
      </c>
      <c r="C466" s="79" t="s">
        <v>13</v>
      </c>
      <c r="D466" s="79">
        <v>3</v>
      </c>
      <c r="E466" s="79" t="s">
        <v>623</v>
      </c>
      <c r="F466" s="79">
        <v>3</v>
      </c>
      <c r="G466" s="276" t="s">
        <v>2785</v>
      </c>
      <c r="H466" s="276" t="s">
        <v>2786</v>
      </c>
      <c r="I466" s="276" t="s">
        <v>2787</v>
      </c>
      <c r="J466" s="276" t="s">
        <v>638</v>
      </c>
      <c r="K466" s="276" t="s">
        <v>591</v>
      </c>
      <c r="L466" s="276" t="s">
        <v>592</v>
      </c>
      <c r="M466" s="276" t="s">
        <v>2788</v>
      </c>
      <c r="N466" s="276" t="s">
        <v>640</v>
      </c>
    </row>
    <row r="467" spans="1:14" ht="67.150000000000006">
      <c r="A467" s="268" t="str">
        <f t="shared" si="7"/>
        <v>Developing Others|Unit Head/Specialist|4</v>
      </c>
      <c r="B467" s="223" t="s">
        <v>565</v>
      </c>
      <c r="C467" s="79" t="s">
        <v>13</v>
      </c>
      <c r="D467" s="79">
        <v>4</v>
      </c>
      <c r="E467" s="79" t="s">
        <v>641</v>
      </c>
      <c r="F467" s="79">
        <v>1</v>
      </c>
      <c r="G467" s="276" t="s">
        <v>2789</v>
      </c>
      <c r="H467" s="276" t="s">
        <v>2790</v>
      </c>
      <c r="I467" s="276" t="s">
        <v>2791</v>
      </c>
      <c r="J467" s="276" t="s">
        <v>2792</v>
      </c>
      <c r="K467" s="276" t="s">
        <v>591</v>
      </c>
      <c r="L467" s="276" t="s">
        <v>592</v>
      </c>
      <c r="M467" s="276" t="s">
        <v>2793</v>
      </c>
      <c r="N467" s="276" t="s">
        <v>622</v>
      </c>
    </row>
    <row r="468" spans="1:14" ht="67.150000000000006">
      <c r="A468" s="268" t="str">
        <f t="shared" si="7"/>
        <v>Developing Others|Unit Head/Specialist|4</v>
      </c>
      <c r="B468" s="223" t="s">
        <v>565</v>
      </c>
      <c r="C468" s="79" t="s">
        <v>13</v>
      </c>
      <c r="D468" s="79">
        <v>4</v>
      </c>
      <c r="E468" s="79" t="s">
        <v>641</v>
      </c>
      <c r="F468" s="79">
        <v>2</v>
      </c>
      <c r="G468" s="276" t="s">
        <v>2794</v>
      </c>
      <c r="H468" s="276" t="s">
        <v>2795</v>
      </c>
      <c r="I468" s="276" t="s">
        <v>2796</v>
      </c>
      <c r="J468" s="276" t="s">
        <v>2797</v>
      </c>
      <c r="K468" s="276" t="s">
        <v>591</v>
      </c>
      <c r="L468" s="276" t="s">
        <v>592</v>
      </c>
      <c r="M468" s="276" t="s">
        <v>2798</v>
      </c>
      <c r="N468" s="276" t="s">
        <v>622</v>
      </c>
    </row>
    <row r="469" spans="1:14" ht="67.150000000000006">
      <c r="A469" s="268" t="str">
        <f t="shared" si="7"/>
        <v>Developing Others|Unit Head/Specialist|4</v>
      </c>
      <c r="B469" s="223" t="s">
        <v>565</v>
      </c>
      <c r="C469" s="79" t="s">
        <v>13</v>
      </c>
      <c r="D469" s="79">
        <v>4</v>
      </c>
      <c r="E469" s="79" t="s">
        <v>641</v>
      </c>
      <c r="F469" s="79">
        <v>3</v>
      </c>
      <c r="G469" s="276" t="s">
        <v>2799</v>
      </c>
      <c r="H469" s="276" t="s">
        <v>2800</v>
      </c>
      <c r="I469" s="276" t="s">
        <v>2801</v>
      </c>
      <c r="J469" s="276" t="s">
        <v>2802</v>
      </c>
      <c r="K469" s="276" t="s">
        <v>591</v>
      </c>
      <c r="L469" s="276" t="s">
        <v>592</v>
      </c>
      <c r="M469" s="276" t="s">
        <v>2803</v>
      </c>
      <c r="N469" s="276" t="s">
        <v>2804</v>
      </c>
    </row>
    <row r="470" spans="1:14" ht="67.150000000000006">
      <c r="A470" s="268" t="str">
        <f t="shared" si="7"/>
        <v>Developing Others|Department Head|1</v>
      </c>
      <c r="B470" s="223" t="s">
        <v>565</v>
      </c>
      <c r="C470" s="79" t="s">
        <v>779</v>
      </c>
      <c r="D470" s="197">
        <v>1</v>
      </c>
      <c r="E470" s="79" t="s">
        <v>586</v>
      </c>
      <c r="F470" s="79">
        <v>1</v>
      </c>
      <c r="G470" s="276" t="s">
        <v>2805</v>
      </c>
      <c r="H470" s="276" t="s">
        <v>2806</v>
      </c>
      <c r="I470" s="276" t="s">
        <v>2807</v>
      </c>
      <c r="J470" s="276" t="s">
        <v>2808</v>
      </c>
      <c r="K470" s="276" t="s">
        <v>591</v>
      </c>
      <c r="L470" s="276" t="s">
        <v>592</v>
      </c>
      <c r="M470" s="276" t="s">
        <v>2809</v>
      </c>
      <c r="N470" s="276" t="s">
        <v>594</v>
      </c>
    </row>
    <row r="471" spans="1:14" ht="50.45">
      <c r="A471" s="268" t="str">
        <f t="shared" si="7"/>
        <v>Developing Others|Department Head|1</v>
      </c>
      <c r="B471" s="223" t="s">
        <v>565</v>
      </c>
      <c r="C471" s="79" t="s">
        <v>779</v>
      </c>
      <c r="D471" s="197">
        <v>1</v>
      </c>
      <c r="E471" s="79" t="s">
        <v>586</v>
      </c>
      <c r="F471" s="79">
        <v>2</v>
      </c>
      <c r="G471" s="276" t="s">
        <v>2810</v>
      </c>
      <c r="H471" s="276" t="s">
        <v>2811</v>
      </c>
      <c r="I471" s="276" t="s">
        <v>2812</v>
      </c>
      <c r="J471" s="276" t="s">
        <v>2813</v>
      </c>
      <c r="K471" s="276" t="s">
        <v>591</v>
      </c>
      <c r="L471" s="276" t="s">
        <v>592</v>
      </c>
      <c r="M471" s="276" t="s">
        <v>2814</v>
      </c>
      <c r="N471" s="276" t="s">
        <v>594</v>
      </c>
    </row>
    <row r="472" spans="1:14" ht="84">
      <c r="A472" s="268" t="str">
        <f t="shared" si="7"/>
        <v>Developing Others|Department Head|1</v>
      </c>
      <c r="B472" s="223" t="s">
        <v>565</v>
      </c>
      <c r="C472" s="79" t="s">
        <v>779</v>
      </c>
      <c r="D472" s="197">
        <v>1</v>
      </c>
      <c r="E472" s="79" t="s">
        <v>586</v>
      </c>
      <c r="F472" s="79">
        <v>3</v>
      </c>
      <c r="G472" s="276" t="s">
        <v>2815</v>
      </c>
      <c r="H472" s="276" t="s">
        <v>2816</v>
      </c>
      <c r="I472" s="276" t="s">
        <v>2817</v>
      </c>
      <c r="J472" s="276" t="s">
        <v>2818</v>
      </c>
      <c r="K472" s="276" t="s">
        <v>591</v>
      </c>
      <c r="L472" s="276" t="s">
        <v>592</v>
      </c>
      <c r="M472" s="276" t="s">
        <v>2819</v>
      </c>
      <c r="N472" s="276" t="s">
        <v>594</v>
      </c>
    </row>
    <row r="473" spans="1:14" ht="50.45">
      <c r="A473" s="268" t="str">
        <f t="shared" si="7"/>
        <v>Developing Others|Department Head|2</v>
      </c>
      <c r="B473" s="223" t="s">
        <v>565</v>
      </c>
      <c r="C473" s="79" t="s">
        <v>779</v>
      </c>
      <c r="D473" s="79">
        <v>2</v>
      </c>
      <c r="E473" s="79" t="s">
        <v>605</v>
      </c>
      <c r="F473" s="79">
        <v>1</v>
      </c>
      <c r="G473" s="276" t="s">
        <v>2820</v>
      </c>
      <c r="H473" s="276" t="s">
        <v>2821</v>
      </c>
      <c r="I473" s="276" t="s">
        <v>2822</v>
      </c>
      <c r="J473" s="276" t="s">
        <v>2823</v>
      </c>
      <c r="K473" s="276" t="s">
        <v>591</v>
      </c>
      <c r="L473" s="276" t="s">
        <v>592</v>
      </c>
      <c r="M473" s="276" t="s">
        <v>2824</v>
      </c>
      <c r="N473" s="276" t="s">
        <v>611</v>
      </c>
    </row>
    <row r="474" spans="1:14" ht="50.45">
      <c r="A474" s="268" t="str">
        <f t="shared" si="7"/>
        <v>Developing Others|Department Head|2</v>
      </c>
      <c r="B474" s="223" t="s">
        <v>565</v>
      </c>
      <c r="C474" s="79" t="s">
        <v>779</v>
      </c>
      <c r="D474" s="79">
        <v>2</v>
      </c>
      <c r="E474" s="79" t="s">
        <v>605</v>
      </c>
      <c r="F474" s="79">
        <v>2</v>
      </c>
      <c r="G474" s="276" t="s">
        <v>2825</v>
      </c>
      <c r="H474" s="276" t="s">
        <v>2826</v>
      </c>
      <c r="I474" s="276" t="s">
        <v>2827</v>
      </c>
      <c r="J474" s="276" t="s">
        <v>2828</v>
      </c>
      <c r="K474" s="276" t="s">
        <v>591</v>
      </c>
      <c r="L474" s="276" t="s">
        <v>592</v>
      </c>
      <c r="M474" s="276" t="s">
        <v>2829</v>
      </c>
      <c r="N474" s="276" t="s">
        <v>594</v>
      </c>
    </row>
    <row r="475" spans="1:14" ht="50.45">
      <c r="A475" s="268" t="str">
        <f t="shared" si="7"/>
        <v>Developing Others|Department Head|2</v>
      </c>
      <c r="B475" s="223" t="s">
        <v>565</v>
      </c>
      <c r="C475" s="79" t="s">
        <v>779</v>
      </c>
      <c r="D475" s="79">
        <v>2</v>
      </c>
      <c r="E475" s="79" t="s">
        <v>605</v>
      </c>
      <c r="F475" s="79">
        <v>3</v>
      </c>
      <c r="G475" s="276" t="s">
        <v>2830</v>
      </c>
      <c r="H475" s="276" t="s">
        <v>2831</v>
      </c>
      <c r="I475" s="276" t="s">
        <v>2832</v>
      </c>
      <c r="J475" s="276" t="s">
        <v>2833</v>
      </c>
      <c r="K475" s="276" t="s">
        <v>591</v>
      </c>
      <c r="L475" s="276" t="s">
        <v>592</v>
      </c>
      <c r="M475" s="276" t="s">
        <v>2834</v>
      </c>
      <c r="N475" s="276" t="s">
        <v>594</v>
      </c>
    </row>
    <row r="476" spans="1:14" ht="67.150000000000006">
      <c r="A476" s="268" t="str">
        <f t="shared" si="7"/>
        <v>Developing Others|Department Head|3</v>
      </c>
      <c r="B476" s="223" t="s">
        <v>565</v>
      </c>
      <c r="C476" s="79" t="s">
        <v>779</v>
      </c>
      <c r="D476" s="79">
        <v>3</v>
      </c>
      <c r="E476" s="79" t="s">
        <v>623</v>
      </c>
      <c r="F476" s="79">
        <v>1</v>
      </c>
      <c r="G476" s="276" t="s">
        <v>2835</v>
      </c>
      <c r="H476" s="276" t="s">
        <v>2836</v>
      </c>
      <c r="I476" s="276" t="s">
        <v>2837</v>
      </c>
      <c r="J476" s="276" t="s">
        <v>2838</v>
      </c>
      <c r="K476" s="276" t="s">
        <v>591</v>
      </c>
      <c r="L476" s="276" t="s">
        <v>592</v>
      </c>
      <c r="M476" s="276" t="s">
        <v>2839</v>
      </c>
      <c r="N476" s="276" t="s">
        <v>594</v>
      </c>
    </row>
    <row r="477" spans="1:14" ht="50.45">
      <c r="A477" s="268" t="str">
        <f t="shared" si="7"/>
        <v>Developing Others|Department Head|3</v>
      </c>
      <c r="B477" s="223" t="s">
        <v>565</v>
      </c>
      <c r="C477" s="79" t="s">
        <v>779</v>
      </c>
      <c r="D477" s="79">
        <v>3</v>
      </c>
      <c r="E477" s="79" t="s">
        <v>623</v>
      </c>
      <c r="F477" s="79">
        <v>2</v>
      </c>
      <c r="G477" s="276" t="s">
        <v>2840</v>
      </c>
      <c r="H477" s="276" t="s">
        <v>2841</v>
      </c>
      <c r="I477" s="276" t="s">
        <v>2842</v>
      </c>
      <c r="J477" s="276" t="s">
        <v>877</v>
      </c>
      <c r="K477" s="276" t="s">
        <v>591</v>
      </c>
      <c r="L477" s="276" t="s">
        <v>592</v>
      </c>
      <c r="M477" s="276" t="s">
        <v>2843</v>
      </c>
      <c r="N477" s="276" t="s">
        <v>622</v>
      </c>
    </row>
    <row r="478" spans="1:14" ht="100.9">
      <c r="A478" s="268" t="str">
        <f t="shared" si="7"/>
        <v>Developing Others|Department Head|3</v>
      </c>
      <c r="B478" s="223" t="s">
        <v>565</v>
      </c>
      <c r="C478" s="79" t="s">
        <v>779</v>
      </c>
      <c r="D478" s="79">
        <v>3</v>
      </c>
      <c r="E478" s="79" t="s">
        <v>623</v>
      </c>
      <c r="F478" s="79">
        <v>3</v>
      </c>
      <c r="G478" s="276" t="s">
        <v>2844</v>
      </c>
      <c r="H478" s="276" t="s">
        <v>2845</v>
      </c>
      <c r="I478" s="276" t="s">
        <v>2846</v>
      </c>
      <c r="J478" s="276" t="s">
        <v>638</v>
      </c>
      <c r="K478" s="276" t="s">
        <v>591</v>
      </c>
      <c r="L478" s="276" t="s">
        <v>592</v>
      </c>
      <c r="M478" s="276" t="s">
        <v>2847</v>
      </c>
      <c r="N478" s="276" t="s">
        <v>640</v>
      </c>
    </row>
    <row r="479" spans="1:14" ht="67.150000000000006">
      <c r="A479" s="268" t="str">
        <f t="shared" si="7"/>
        <v>Developing Others|Department Head|4</v>
      </c>
      <c r="B479" s="223" t="s">
        <v>565</v>
      </c>
      <c r="C479" s="79" t="s">
        <v>779</v>
      </c>
      <c r="D479" s="79">
        <v>4</v>
      </c>
      <c r="E479" s="79" t="s">
        <v>641</v>
      </c>
      <c r="F479" s="79">
        <v>1</v>
      </c>
      <c r="G479" s="276" t="s">
        <v>2848</v>
      </c>
      <c r="H479" s="276" t="s">
        <v>2849</v>
      </c>
      <c r="I479" s="276" t="s">
        <v>2850</v>
      </c>
      <c r="J479" s="276" t="s">
        <v>2851</v>
      </c>
      <c r="K479" s="276" t="s">
        <v>591</v>
      </c>
      <c r="L479" s="276" t="s">
        <v>592</v>
      </c>
      <c r="M479" s="276" t="s">
        <v>2852</v>
      </c>
      <c r="N479" s="276" t="s">
        <v>622</v>
      </c>
    </row>
    <row r="480" spans="1:14" ht="67.150000000000006">
      <c r="A480" s="268" t="str">
        <f t="shared" si="7"/>
        <v>Developing Others|Department Head|4</v>
      </c>
      <c r="B480" s="223" t="s">
        <v>565</v>
      </c>
      <c r="C480" s="79" t="s">
        <v>779</v>
      </c>
      <c r="D480" s="79">
        <v>4</v>
      </c>
      <c r="E480" s="79" t="s">
        <v>641</v>
      </c>
      <c r="F480" s="79">
        <v>2</v>
      </c>
      <c r="G480" s="276" t="s">
        <v>2853</v>
      </c>
      <c r="H480" s="276" t="s">
        <v>2854</v>
      </c>
      <c r="I480" s="276" t="s">
        <v>2855</v>
      </c>
      <c r="J480" s="276" t="s">
        <v>2856</v>
      </c>
      <c r="K480" s="276" t="s">
        <v>591</v>
      </c>
      <c r="L480" s="276" t="s">
        <v>592</v>
      </c>
      <c r="M480" s="276" t="s">
        <v>2857</v>
      </c>
      <c r="N480" s="276" t="s">
        <v>2804</v>
      </c>
    </row>
    <row r="481" spans="1:14" ht="67.150000000000006">
      <c r="A481" s="268" t="str">
        <f t="shared" si="7"/>
        <v>Developing Others|Department Head|4</v>
      </c>
      <c r="B481" s="223" t="s">
        <v>565</v>
      </c>
      <c r="C481" s="79" t="s">
        <v>779</v>
      </c>
      <c r="D481" s="79">
        <v>4</v>
      </c>
      <c r="E481" s="79" t="s">
        <v>641</v>
      </c>
      <c r="F481" s="79">
        <v>3</v>
      </c>
      <c r="G481" s="276" t="s">
        <v>2858</v>
      </c>
      <c r="H481" s="276" t="s">
        <v>2859</v>
      </c>
      <c r="I481" s="276" t="s">
        <v>2860</v>
      </c>
      <c r="J481" s="276" t="s">
        <v>2861</v>
      </c>
      <c r="K481" s="276" t="s">
        <v>591</v>
      </c>
      <c r="L481" s="276" t="s">
        <v>592</v>
      </c>
      <c r="M481" s="276" t="s">
        <v>2862</v>
      </c>
      <c r="N481" s="276" t="s">
        <v>1928</v>
      </c>
    </row>
    <row r="482" spans="1:14" ht="67.150000000000006">
      <c r="A482" s="268" t="str">
        <f t="shared" si="7"/>
        <v>Developing Others|Division Head|1</v>
      </c>
      <c r="B482" s="223" t="s">
        <v>565</v>
      </c>
      <c r="C482" s="79" t="s">
        <v>838</v>
      </c>
      <c r="D482" s="197">
        <v>1</v>
      </c>
      <c r="E482" s="79" t="s">
        <v>586</v>
      </c>
      <c r="F482" s="79">
        <v>1</v>
      </c>
      <c r="G482" s="276" t="s">
        <v>2863</v>
      </c>
      <c r="H482" s="276" t="s">
        <v>2864</v>
      </c>
      <c r="I482" s="276" t="s">
        <v>2865</v>
      </c>
      <c r="J482" s="276" t="s">
        <v>2866</v>
      </c>
      <c r="K482" s="276" t="s">
        <v>591</v>
      </c>
      <c r="L482" s="276" t="s">
        <v>592</v>
      </c>
      <c r="M482" s="276" t="s">
        <v>2867</v>
      </c>
      <c r="N482" s="276" t="s">
        <v>594</v>
      </c>
    </row>
    <row r="483" spans="1:14" ht="67.150000000000006">
      <c r="A483" s="268" t="str">
        <f t="shared" si="7"/>
        <v>Developing Others|Division Head|1</v>
      </c>
      <c r="B483" s="223" t="s">
        <v>565</v>
      </c>
      <c r="C483" s="79" t="s">
        <v>838</v>
      </c>
      <c r="D483" s="197">
        <v>1</v>
      </c>
      <c r="E483" s="79" t="s">
        <v>586</v>
      </c>
      <c r="F483" s="79">
        <v>2</v>
      </c>
      <c r="G483" s="276" t="s">
        <v>2868</v>
      </c>
      <c r="H483" s="276" t="s">
        <v>2869</v>
      </c>
      <c r="I483" s="276" t="s">
        <v>2870</v>
      </c>
      <c r="J483" s="276" t="s">
        <v>2871</v>
      </c>
      <c r="K483" s="276" t="s">
        <v>591</v>
      </c>
      <c r="L483" s="276" t="s">
        <v>592</v>
      </c>
      <c r="M483" s="276" t="s">
        <v>2872</v>
      </c>
      <c r="N483" s="276" t="s">
        <v>594</v>
      </c>
    </row>
    <row r="484" spans="1:14" ht="67.150000000000006">
      <c r="A484" s="268" t="str">
        <f t="shared" si="7"/>
        <v>Developing Others|Division Head|1</v>
      </c>
      <c r="B484" s="223" t="s">
        <v>565</v>
      </c>
      <c r="C484" s="79" t="s">
        <v>838</v>
      </c>
      <c r="D484" s="197">
        <v>1</v>
      </c>
      <c r="E484" s="79" t="s">
        <v>586</v>
      </c>
      <c r="F484" s="79">
        <v>3</v>
      </c>
      <c r="G484" s="276" t="s">
        <v>2873</v>
      </c>
      <c r="H484" s="276" t="s">
        <v>2874</v>
      </c>
      <c r="I484" s="276" t="s">
        <v>2875</v>
      </c>
      <c r="J484" s="276" t="s">
        <v>2876</v>
      </c>
      <c r="K484" s="276" t="s">
        <v>591</v>
      </c>
      <c r="L484" s="276" t="s">
        <v>592</v>
      </c>
      <c r="M484" s="276" t="s">
        <v>2877</v>
      </c>
      <c r="N484" s="276" t="s">
        <v>622</v>
      </c>
    </row>
    <row r="485" spans="1:14" ht="67.150000000000006">
      <c r="A485" s="268" t="str">
        <f t="shared" si="7"/>
        <v>Developing Others|Division Head|2</v>
      </c>
      <c r="B485" s="223" t="s">
        <v>565</v>
      </c>
      <c r="C485" s="79" t="s">
        <v>838</v>
      </c>
      <c r="D485" s="79">
        <v>2</v>
      </c>
      <c r="E485" s="79" t="s">
        <v>605</v>
      </c>
      <c r="F485" s="79">
        <v>1</v>
      </c>
      <c r="G485" s="276" t="s">
        <v>2878</v>
      </c>
      <c r="H485" s="276" t="s">
        <v>2879</v>
      </c>
      <c r="I485" s="276" t="s">
        <v>2880</v>
      </c>
      <c r="J485" s="276" t="s">
        <v>2881</v>
      </c>
      <c r="K485" s="276" t="s">
        <v>591</v>
      </c>
      <c r="L485" s="276" t="s">
        <v>592</v>
      </c>
      <c r="M485" s="276" t="s">
        <v>2882</v>
      </c>
      <c r="N485" s="276" t="s">
        <v>611</v>
      </c>
    </row>
    <row r="486" spans="1:14" ht="50.45">
      <c r="A486" s="268" t="str">
        <f t="shared" si="7"/>
        <v>Developing Others|Division Head|2</v>
      </c>
      <c r="B486" s="223" t="s">
        <v>565</v>
      </c>
      <c r="C486" s="79" t="s">
        <v>838</v>
      </c>
      <c r="D486" s="79">
        <v>2</v>
      </c>
      <c r="E486" s="79" t="s">
        <v>605</v>
      </c>
      <c r="F486" s="79">
        <v>2</v>
      </c>
      <c r="G486" s="276" t="s">
        <v>2883</v>
      </c>
      <c r="H486" s="276" t="s">
        <v>2884</v>
      </c>
      <c r="I486" s="276" t="s">
        <v>2885</v>
      </c>
      <c r="J486" s="276" t="s">
        <v>2886</v>
      </c>
      <c r="K486" s="276" t="s">
        <v>591</v>
      </c>
      <c r="L486" s="276" t="s">
        <v>592</v>
      </c>
      <c r="M486" s="276" t="s">
        <v>2887</v>
      </c>
      <c r="N486" s="276" t="s">
        <v>622</v>
      </c>
    </row>
    <row r="487" spans="1:14" ht="50.45">
      <c r="A487" s="268" t="str">
        <f t="shared" si="7"/>
        <v>Developing Others|Division Head|2</v>
      </c>
      <c r="B487" s="223" t="s">
        <v>565</v>
      </c>
      <c r="C487" s="79" t="s">
        <v>838</v>
      </c>
      <c r="D487" s="79">
        <v>2</v>
      </c>
      <c r="E487" s="79" t="s">
        <v>605</v>
      </c>
      <c r="F487" s="79">
        <v>3</v>
      </c>
      <c r="G487" s="276" t="s">
        <v>2888</v>
      </c>
      <c r="H487" s="276" t="s">
        <v>2889</v>
      </c>
      <c r="I487" s="276" t="s">
        <v>2890</v>
      </c>
      <c r="J487" s="276" t="s">
        <v>2891</v>
      </c>
      <c r="K487" s="276" t="s">
        <v>591</v>
      </c>
      <c r="L487" s="276" t="s">
        <v>592</v>
      </c>
      <c r="M487" s="276" t="s">
        <v>2892</v>
      </c>
      <c r="N487" s="276" t="s">
        <v>594</v>
      </c>
    </row>
    <row r="488" spans="1:14" ht="67.150000000000006">
      <c r="A488" s="268" t="str">
        <f t="shared" si="7"/>
        <v>Developing Others|Division Head|3</v>
      </c>
      <c r="B488" s="223" t="s">
        <v>565</v>
      </c>
      <c r="C488" s="79" t="s">
        <v>838</v>
      </c>
      <c r="D488" s="79">
        <v>3</v>
      </c>
      <c r="E488" s="79" t="s">
        <v>623</v>
      </c>
      <c r="F488" s="79">
        <v>1</v>
      </c>
      <c r="G488" s="276" t="s">
        <v>2893</v>
      </c>
      <c r="H488" s="276" t="s">
        <v>2894</v>
      </c>
      <c r="I488" s="276" t="s">
        <v>2895</v>
      </c>
      <c r="J488" s="276" t="s">
        <v>812</v>
      </c>
      <c r="K488" s="276" t="s">
        <v>591</v>
      </c>
      <c r="L488" s="276" t="s">
        <v>592</v>
      </c>
      <c r="M488" s="276" t="s">
        <v>2839</v>
      </c>
      <c r="N488" s="276" t="s">
        <v>594</v>
      </c>
    </row>
    <row r="489" spans="1:14" ht="50.45">
      <c r="A489" s="268" t="str">
        <f t="shared" si="7"/>
        <v>Developing Others|Division Head|3</v>
      </c>
      <c r="B489" s="223" t="s">
        <v>565</v>
      </c>
      <c r="C489" s="79" t="s">
        <v>838</v>
      </c>
      <c r="D489" s="79">
        <v>3</v>
      </c>
      <c r="E489" s="79" t="s">
        <v>623</v>
      </c>
      <c r="F489" s="79">
        <v>2</v>
      </c>
      <c r="G489" s="276" t="s">
        <v>2896</v>
      </c>
      <c r="H489" s="276" t="s">
        <v>2897</v>
      </c>
      <c r="I489" s="276" t="s">
        <v>2898</v>
      </c>
      <c r="J489" s="276" t="s">
        <v>2899</v>
      </c>
      <c r="K489" s="276" t="s">
        <v>591</v>
      </c>
      <c r="L489" s="276" t="s">
        <v>592</v>
      </c>
      <c r="M489" s="276" t="s">
        <v>2900</v>
      </c>
      <c r="N489" s="276" t="s">
        <v>1880</v>
      </c>
    </row>
    <row r="490" spans="1:14" ht="100.9">
      <c r="A490" s="268" t="str">
        <f t="shared" si="7"/>
        <v>Developing Others|Division Head|3</v>
      </c>
      <c r="B490" s="223" t="s">
        <v>565</v>
      </c>
      <c r="C490" s="79" t="s">
        <v>838</v>
      </c>
      <c r="D490" s="79">
        <v>3</v>
      </c>
      <c r="E490" s="79" t="s">
        <v>623</v>
      </c>
      <c r="F490" s="79">
        <v>3</v>
      </c>
      <c r="G490" s="276" t="s">
        <v>2901</v>
      </c>
      <c r="H490" s="276" t="s">
        <v>2902</v>
      </c>
      <c r="I490" s="276" t="s">
        <v>2903</v>
      </c>
      <c r="J490" s="276" t="s">
        <v>638</v>
      </c>
      <c r="K490" s="276" t="s">
        <v>591</v>
      </c>
      <c r="L490" s="276" t="s">
        <v>592</v>
      </c>
      <c r="M490" s="276" t="s">
        <v>2904</v>
      </c>
      <c r="N490" s="276" t="s">
        <v>640</v>
      </c>
    </row>
    <row r="491" spans="1:14" ht="50.45">
      <c r="A491" s="268" t="str">
        <f t="shared" si="7"/>
        <v>Developing Others|Division Head|4</v>
      </c>
      <c r="B491" s="223" t="s">
        <v>565</v>
      </c>
      <c r="C491" s="79" t="s">
        <v>838</v>
      </c>
      <c r="D491" s="79">
        <v>4</v>
      </c>
      <c r="E491" s="79" t="s">
        <v>641</v>
      </c>
      <c r="F491" s="79">
        <v>1</v>
      </c>
      <c r="G491" s="276" t="s">
        <v>2905</v>
      </c>
      <c r="H491" s="276" t="s">
        <v>2906</v>
      </c>
      <c r="I491" s="276" t="s">
        <v>2907</v>
      </c>
      <c r="J491" s="276" t="s">
        <v>2908</v>
      </c>
      <c r="K491" s="276" t="s">
        <v>591</v>
      </c>
      <c r="L491" s="276" t="s">
        <v>592</v>
      </c>
      <c r="M491" s="276" t="s">
        <v>2909</v>
      </c>
      <c r="N491" s="276" t="s">
        <v>622</v>
      </c>
    </row>
    <row r="492" spans="1:14" ht="67.150000000000006">
      <c r="A492" s="268" t="str">
        <f t="shared" si="7"/>
        <v>Developing Others|Division Head|4</v>
      </c>
      <c r="B492" s="223" t="s">
        <v>565</v>
      </c>
      <c r="C492" s="79" t="s">
        <v>838</v>
      </c>
      <c r="D492" s="79">
        <v>4</v>
      </c>
      <c r="E492" s="79" t="s">
        <v>641</v>
      </c>
      <c r="F492" s="79">
        <v>2</v>
      </c>
      <c r="G492" s="276" t="s">
        <v>2910</v>
      </c>
      <c r="H492" s="276" t="s">
        <v>2911</v>
      </c>
      <c r="I492" s="276" t="s">
        <v>2912</v>
      </c>
      <c r="J492" s="276" t="s">
        <v>2913</v>
      </c>
      <c r="K492" s="276" t="s">
        <v>591</v>
      </c>
      <c r="L492" s="276" t="s">
        <v>592</v>
      </c>
      <c r="M492" s="276" t="s">
        <v>2914</v>
      </c>
      <c r="N492" s="276" t="s">
        <v>2915</v>
      </c>
    </row>
    <row r="493" spans="1:14" ht="50.45">
      <c r="A493" s="268" t="str">
        <f t="shared" si="7"/>
        <v>Developing Others|Division Head|4</v>
      </c>
      <c r="B493" s="223" t="s">
        <v>565</v>
      </c>
      <c r="C493" s="79" t="s">
        <v>838</v>
      </c>
      <c r="D493" s="79">
        <v>4</v>
      </c>
      <c r="E493" s="79" t="s">
        <v>641</v>
      </c>
      <c r="F493" s="79">
        <v>3</v>
      </c>
      <c r="G493" s="276" t="s">
        <v>2916</v>
      </c>
      <c r="H493" s="276" t="s">
        <v>2917</v>
      </c>
      <c r="I493" s="276" t="s">
        <v>2918</v>
      </c>
      <c r="J493" s="276" t="s">
        <v>2919</v>
      </c>
      <c r="K493" s="276" t="s">
        <v>591</v>
      </c>
      <c r="L493" s="276" t="s">
        <v>592</v>
      </c>
      <c r="M493" s="276" t="s">
        <v>2920</v>
      </c>
      <c r="N493" s="276" t="s">
        <v>2921</v>
      </c>
    </row>
    <row r="494" spans="1:14" ht="67.150000000000006">
      <c r="A494" s="268" t="str">
        <f t="shared" si="7"/>
        <v>Developing Others|Director|1</v>
      </c>
      <c r="B494" s="223" t="s">
        <v>565</v>
      </c>
      <c r="C494" s="79" t="s">
        <v>898</v>
      </c>
      <c r="D494" s="197">
        <v>1</v>
      </c>
      <c r="E494" s="79" t="s">
        <v>586</v>
      </c>
      <c r="F494" s="79">
        <v>1</v>
      </c>
      <c r="G494" s="276" t="s">
        <v>2922</v>
      </c>
      <c r="H494" s="276" t="s">
        <v>2923</v>
      </c>
      <c r="I494" s="276" t="s">
        <v>2924</v>
      </c>
      <c r="J494" s="276" t="s">
        <v>2925</v>
      </c>
      <c r="K494" s="276" t="s">
        <v>591</v>
      </c>
      <c r="L494" s="276" t="s">
        <v>592</v>
      </c>
      <c r="M494" s="276" t="s">
        <v>2926</v>
      </c>
      <c r="N494" s="276" t="s">
        <v>594</v>
      </c>
    </row>
    <row r="495" spans="1:14" ht="50.45">
      <c r="A495" s="268" t="str">
        <f t="shared" si="7"/>
        <v>Developing Others|Director|1</v>
      </c>
      <c r="B495" s="223" t="s">
        <v>565</v>
      </c>
      <c r="C495" s="79" t="s">
        <v>898</v>
      </c>
      <c r="D495" s="197">
        <v>1</v>
      </c>
      <c r="E495" s="79" t="s">
        <v>586</v>
      </c>
      <c r="F495" s="79">
        <v>2</v>
      </c>
      <c r="G495" s="276" t="s">
        <v>2927</v>
      </c>
      <c r="H495" s="276" t="s">
        <v>2928</v>
      </c>
      <c r="I495" s="276" t="s">
        <v>2929</v>
      </c>
      <c r="J495" s="276" t="s">
        <v>1642</v>
      </c>
      <c r="K495" s="276" t="s">
        <v>591</v>
      </c>
      <c r="L495" s="276" t="s">
        <v>592</v>
      </c>
      <c r="M495" s="276" t="s">
        <v>2930</v>
      </c>
      <c r="N495" s="276" t="s">
        <v>594</v>
      </c>
    </row>
    <row r="496" spans="1:14" ht="50.45">
      <c r="A496" s="268" t="str">
        <f t="shared" si="7"/>
        <v>Developing Others|Director|1</v>
      </c>
      <c r="B496" s="223" t="s">
        <v>565</v>
      </c>
      <c r="C496" s="79" t="s">
        <v>898</v>
      </c>
      <c r="D496" s="197">
        <v>1</v>
      </c>
      <c r="E496" s="79" t="s">
        <v>586</v>
      </c>
      <c r="F496" s="79">
        <v>3</v>
      </c>
      <c r="G496" s="276" t="s">
        <v>2931</v>
      </c>
      <c r="H496" s="276" t="s">
        <v>2932</v>
      </c>
      <c r="I496" s="276" t="s">
        <v>2933</v>
      </c>
      <c r="J496" s="276" t="s">
        <v>2934</v>
      </c>
      <c r="K496" s="276" t="s">
        <v>591</v>
      </c>
      <c r="L496" s="276" t="s">
        <v>592</v>
      </c>
      <c r="M496" s="276" t="s">
        <v>2935</v>
      </c>
      <c r="N496" s="276" t="s">
        <v>2936</v>
      </c>
    </row>
    <row r="497" spans="1:15" ht="67.150000000000006">
      <c r="A497" s="268" t="str">
        <f t="shared" si="7"/>
        <v>Developing Others|Director|2</v>
      </c>
      <c r="B497" s="223" t="s">
        <v>565</v>
      </c>
      <c r="C497" s="79" t="s">
        <v>898</v>
      </c>
      <c r="D497" s="79">
        <v>2</v>
      </c>
      <c r="E497" s="79" t="s">
        <v>605</v>
      </c>
      <c r="F497" s="79">
        <v>1</v>
      </c>
      <c r="G497" s="276" t="s">
        <v>2937</v>
      </c>
      <c r="H497" s="276" t="s">
        <v>2938</v>
      </c>
      <c r="I497" s="276" t="s">
        <v>2939</v>
      </c>
      <c r="J497" s="276" t="s">
        <v>2940</v>
      </c>
      <c r="K497" s="276" t="s">
        <v>591</v>
      </c>
      <c r="L497" s="276" t="s">
        <v>592</v>
      </c>
      <c r="M497" s="276" t="s">
        <v>2941</v>
      </c>
      <c r="N497" s="276" t="s">
        <v>737</v>
      </c>
    </row>
    <row r="498" spans="1:15" ht="50.45">
      <c r="A498" s="268" t="str">
        <f t="shared" si="7"/>
        <v>Developing Others|Director|2</v>
      </c>
      <c r="B498" s="223" t="s">
        <v>565</v>
      </c>
      <c r="C498" s="79" t="s">
        <v>898</v>
      </c>
      <c r="D498" s="79">
        <v>2</v>
      </c>
      <c r="E498" s="79" t="s">
        <v>605</v>
      </c>
      <c r="F498" s="79">
        <v>2</v>
      </c>
      <c r="G498" s="276" t="s">
        <v>2942</v>
      </c>
      <c r="H498" s="276" t="s">
        <v>2943</v>
      </c>
      <c r="I498" s="276" t="s">
        <v>2944</v>
      </c>
      <c r="J498" s="276" t="s">
        <v>2945</v>
      </c>
      <c r="K498" s="276" t="s">
        <v>591</v>
      </c>
      <c r="L498" s="276" t="s">
        <v>592</v>
      </c>
      <c r="M498" s="276" t="s">
        <v>2946</v>
      </c>
      <c r="N498" s="276" t="s">
        <v>737</v>
      </c>
    </row>
    <row r="499" spans="1:15" ht="50.45">
      <c r="A499" s="268" t="str">
        <f t="shared" si="7"/>
        <v>Developing Others|Director|2</v>
      </c>
      <c r="B499" s="223" t="s">
        <v>565</v>
      </c>
      <c r="C499" s="79" t="s">
        <v>898</v>
      </c>
      <c r="D499" s="79">
        <v>2</v>
      </c>
      <c r="E499" s="79" t="s">
        <v>605</v>
      </c>
      <c r="F499" s="79">
        <v>3</v>
      </c>
      <c r="G499" s="276" t="s">
        <v>2947</v>
      </c>
      <c r="H499" s="276" t="s">
        <v>2948</v>
      </c>
      <c r="I499" s="276" t="s">
        <v>2949</v>
      </c>
      <c r="J499" s="276" t="s">
        <v>2950</v>
      </c>
      <c r="K499" s="276" t="s">
        <v>591</v>
      </c>
      <c r="L499" s="276" t="s">
        <v>592</v>
      </c>
      <c r="M499" s="276" t="s">
        <v>2951</v>
      </c>
      <c r="N499" s="276" t="s">
        <v>737</v>
      </c>
    </row>
    <row r="500" spans="1:15" ht="50.45">
      <c r="A500" s="268" t="str">
        <f t="shared" si="7"/>
        <v>Developing Others|Director|3</v>
      </c>
      <c r="B500" s="223" t="s">
        <v>565</v>
      </c>
      <c r="C500" s="79" t="s">
        <v>898</v>
      </c>
      <c r="D500" s="79">
        <v>3</v>
      </c>
      <c r="E500" s="79" t="s">
        <v>623</v>
      </c>
      <c r="F500" s="79">
        <v>1</v>
      </c>
      <c r="G500" s="276" t="s">
        <v>2952</v>
      </c>
      <c r="H500" s="276" t="s">
        <v>2953</v>
      </c>
      <c r="I500" s="276" t="s">
        <v>2954</v>
      </c>
      <c r="J500" s="276" t="s">
        <v>936</v>
      </c>
      <c r="K500" s="276" t="s">
        <v>591</v>
      </c>
      <c r="L500" s="276" t="s">
        <v>592</v>
      </c>
      <c r="M500" s="276" t="s">
        <v>2955</v>
      </c>
      <c r="N500" s="276" t="s">
        <v>594</v>
      </c>
    </row>
    <row r="501" spans="1:15" ht="67.150000000000006">
      <c r="A501" s="268" t="str">
        <f t="shared" si="7"/>
        <v>Developing Others|Director|3</v>
      </c>
      <c r="B501" s="223" t="s">
        <v>565</v>
      </c>
      <c r="C501" s="79" t="s">
        <v>898</v>
      </c>
      <c r="D501" s="79">
        <v>3</v>
      </c>
      <c r="E501" s="79" t="s">
        <v>623</v>
      </c>
      <c r="F501" s="79">
        <v>2</v>
      </c>
      <c r="G501" s="276" t="s">
        <v>2956</v>
      </c>
      <c r="H501" s="276" t="s">
        <v>2957</v>
      </c>
      <c r="I501" s="276" t="s">
        <v>2958</v>
      </c>
      <c r="J501" s="276" t="s">
        <v>2959</v>
      </c>
      <c r="K501" s="276" t="s">
        <v>591</v>
      </c>
      <c r="L501" s="276" t="s">
        <v>592</v>
      </c>
      <c r="M501" s="276" t="s">
        <v>2960</v>
      </c>
      <c r="N501" s="276" t="s">
        <v>2961</v>
      </c>
    </row>
    <row r="502" spans="1:15" ht="84">
      <c r="A502" s="268" t="str">
        <f t="shared" si="7"/>
        <v>Developing Others|Director|3</v>
      </c>
      <c r="B502" s="223" t="s">
        <v>565</v>
      </c>
      <c r="C502" s="79" t="s">
        <v>898</v>
      </c>
      <c r="D502" s="79">
        <v>3</v>
      </c>
      <c r="E502" s="79" t="s">
        <v>623</v>
      </c>
      <c r="F502" s="79">
        <v>3</v>
      </c>
      <c r="G502" s="276" t="s">
        <v>2962</v>
      </c>
      <c r="H502" s="276" t="s">
        <v>2963</v>
      </c>
      <c r="I502" s="276" t="s">
        <v>2964</v>
      </c>
      <c r="J502" s="276" t="s">
        <v>638</v>
      </c>
      <c r="K502" s="276" t="s">
        <v>591</v>
      </c>
      <c r="L502" s="276" t="s">
        <v>592</v>
      </c>
      <c r="M502" s="276" t="s">
        <v>2965</v>
      </c>
      <c r="N502" s="276" t="s">
        <v>640</v>
      </c>
    </row>
    <row r="503" spans="1:15" ht="67.150000000000006">
      <c r="A503" s="268" t="str">
        <f t="shared" si="7"/>
        <v>Developing Others|Director|4</v>
      </c>
      <c r="B503" s="223" t="s">
        <v>565</v>
      </c>
      <c r="C503" s="79" t="s">
        <v>898</v>
      </c>
      <c r="D503" s="79">
        <v>4</v>
      </c>
      <c r="E503" s="79" t="s">
        <v>641</v>
      </c>
      <c r="F503" s="79">
        <v>1</v>
      </c>
      <c r="G503" s="276" t="s">
        <v>2966</v>
      </c>
      <c r="H503" s="276" t="s">
        <v>2967</v>
      </c>
      <c r="I503" s="276" t="s">
        <v>2968</v>
      </c>
      <c r="J503" s="276" t="s">
        <v>2969</v>
      </c>
      <c r="K503" s="276" t="s">
        <v>591</v>
      </c>
      <c r="L503" s="276" t="s">
        <v>592</v>
      </c>
      <c r="M503" s="276" t="s">
        <v>2970</v>
      </c>
      <c r="N503" s="276" t="s">
        <v>622</v>
      </c>
    </row>
    <row r="504" spans="1:15" ht="67.150000000000006">
      <c r="A504" s="268" t="str">
        <f t="shared" si="7"/>
        <v>Developing Others|Director|4</v>
      </c>
      <c r="B504" s="223" t="s">
        <v>565</v>
      </c>
      <c r="C504" s="79" t="s">
        <v>898</v>
      </c>
      <c r="D504" s="79">
        <v>4</v>
      </c>
      <c r="E504" s="79" t="s">
        <v>641</v>
      </c>
      <c r="F504" s="79">
        <v>2</v>
      </c>
      <c r="G504" s="276" t="s">
        <v>2971</v>
      </c>
      <c r="H504" s="276" t="s">
        <v>2972</v>
      </c>
      <c r="I504" s="276" t="s">
        <v>2973</v>
      </c>
      <c r="J504" s="276" t="s">
        <v>2974</v>
      </c>
      <c r="K504" s="276" t="s">
        <v>591</v>
      </c>
      <c r="L504" s="276" t="s">
        <v>592</v>
      </c>
      <c r="M504" s="276" t="s">
        <v>2975</v>
      </c>
      <c r="N504" s="276" t="s">
        <v>2976</v>
      </c>
    </row>
    <row r="505" spans="1:15" ht="50.45">
      <c r="A505" s="268" t="str">
        <f t="shared" si="7"/>
        <v>Developing Others|Director|4</v>
      </c>
      <c r="B505" s="223" t="s">
        <v>565</v>
      </c>
      <c r="C505" s="79" t="s">
        <v>898</v>
      </c>
      <c r="D505" s="79">
        <v>4</v>
      </c>
      <c r="E505" s="79" t="s">
        <v>641</v>
      </c>
      <c r="F505" s="79">
        <v>3</v>
      </c>
      <c r="G505" s="276" t="s">
        <v>2977</v>
      </c>
      <c r="H505" s="276" t="s">
        <v>2978</v>
      </c>
      <c r="I505" s="276" t="s">
        <v>2979</v>
      </c>
      <c r="J505" s="276" t="s">
        <v>2980</v>
      </c>
      <c r="K505" s="276" t="s">
        <v>591</v>
      </c>
      <c r="L505" s="276" t="s">
        <v>592</v>
      </c>
      <c r="M505" s="276" t="s">
        <v>2981</v>
      </c>
      <c r="N505" s="276" t="s">
        <v>916</v>
      </c>
    </row>
    <row r="506" spans="1:15" ht="39.6">
      <c r="A506" s="268" t="str">
        <f t="shared" si="7"/>
        <v>Developing Onself|Officer|1</v>
      </c>
      <c r="B506" s="223" t="s">
        <v>2982</v>
      </c>
      <c r="C506" s="226" t="s">
        <v>4</v>
      </c>
      <c r="D506" s="226">
        <v>1</v>
      </c>
      <c r="E506" s="227" t="s">
        <v>586</v>
      </c>
      <c r="F506" s="227">
        <v>1</v>
      </c>
      <c r="G506" s="128" t="s">
        <v>2983</v>
      </c>
      <c r="H506" s="128" t="s">
        <v>2984</v>
      </c>
      <c r="I506" s="128" t="s">
        <v>2985</v>
      </c>
      <c r="J506" s="128" t="s">
        <v>2986</v>
      </c>
      <c r="K506" s="128" t="s">
        <v>591</v>
      </c>
      <c r="L506" s="128" t="s">
        <v>592</v>
      </c>
      <c r="M506" s="128" t="s">
        <v>2987</v>
      </c>
      <c r="N506" s="128" t="s">
        <v>594</v>
      </c>
      <c r="O506" s="278"/>
    </row>
    <row r="507" spans="1:15" ht="52.9">
      <c r="A507" s="268" t="str">
        <f t="shared" si="7"/>
        <v>Developing Onself|Officer|1</v>
      </c>
      <c r="B507" s="223" t="s">
        <v>2982</v>
      </c>
      <c r="C507" s="226" t="s">
        <v>4</v>
      </c>
      <c r="D507" s="226">
        <v>1</v>
      </c>
      <c r="E507" s="227" t="s">
        <v>586</v>
      </c>
      <c r="F507" s="227">
        <v>2</v>
      </c>
      <c r="G507" s="128" t="s">
        <v>2988</v>
      </c>
      <c r="H507" s="128" t="s">
        <v>2989</v>
      </c>
      <c r="I507" s="128" t="s">
        <v>2990</v>
      </c>
      <c r="J507" s="128" t="s">
        <v>2991</v>
      </c>
      <c r="K507" s="128" t="s">
        <v>591</v>
      </c>
      <c r="L507" s="128" t="s">
        <v>592</v>
      </c>
      <c r="M507" s="128" t="s">
        <v>2992</v>
      </c>
      <c r="N507" s="128" t="s">
        <v>594</v>
      </c>
      <c r="O507" s="278"/>
    </row>
    <row r="508" spans="1:15" ht="39.6">
      <c r="A508" s="268" t="str">
        <f t="shared" si="7"/>
        <v>Developing Onself|Officer|1</v>
      </c>
      <c r="B508" s="223" t="s">
        <v>2982</v>
      </c>
      <c r="C508" s="226" t="s">
        <v>4</v>
      </c>
      <c r="D508" s="226">
        <v>1</v>
      </c>
      <c r="E508" s="227" t="s">
        <v>586</v>
      </c>
      <c r="F508" s="227">
        <v>3</v>
      </c>
      <c r="G508" s="128" t="s">
        <v>2993</v>
      </c>
      <c r="H508" s="128" t="s">
        <v>2994</v>
      </c>
      <c r="I508" s="128" t="s">
        <v>2995</v>
      </c>
      <c r="J508" s="128" t="s">
        <v>2996</v>
      </c>
      <c r="K508" s="128" t="s">
        <v>591</v>
      </c>
      <c r="L508" s="128" t="s">
        <v>592</v>
      </c>
      <c r="M508" s="128" t="s">
        <v>2997</v>
      </c>
      <c r="N508" s="128" t="s">
        <v>594</v>
      </c>
      <c r="O508" s="278"/>
    </row>
    <row r="509" spans="1:15" ht="28.9">
      <c r="A509" s="268" t="str">
        <f t="shared" si="7"/>
        <v>Developing Onself|Officer|2</v>
      </c>
      <c r="B509" s="223" t="s">
        <v>2982</v>
      </c>
      <c r="C509" s="226" t="s">
        <v>4</v>
      </c>
      <c r="D509" s="227">
        <v>2</v>
      </c>
      <c r="E509" s="227" t="s">
        <v>605</v>
      </c>
      <c r="F509" s="227">
        <v>1</v>
      </c>
      <c r="G509" s="128" t="s">
        <v>2998</v>
      </c>
      <c r="H509" s="128" t="s">
        <v>2999</v>
      </c>
      <c r="I509" s="128" t="s">
        <v>3000</v>
      </c>
      <c r="J509" s="128" t="s">
        <v>3001</v>
      </c>
      <c r="K509" s="128" t="s">
        <v>591</v>
      </c>
      <c r="L509" s="128" t="s">
        <v>592</v>
      </c>
      <c r="M509" s="128" t="s">
        <v>3002</v>
      </c>
      <c r="N509" s="128" t="s">
        <v>737</v>
      </c>
      <c r="O509" s="278"/>
    </row>
    <row r="510" spans="1:15" ht="39.6">
      <c r="A510" s="268" t="str">
        <f t="shared" si="7"/>
        <v>Developing Onself|Officer|2</v>
      </c>
      <c r="B510" s="223" t="s">
        <v>2982</v>
      </c>
      <c r="C510" s="226" t="s">
        <v>4</v>
      </c>
      <c r="D510" s="227">
        <v>2</v>
      </c>
      <c r="E510" s="227" t="s">
        <v>605</v>
      </c>
      <c r="F510" s="227">
        <v>2</v>
      </c>
      <c r="G510" s="128" t="s">
        <v>3003</v>
      </c>
      <c r="H510" s="128" t="s">
        <v>3004</v>
      </c>
      <c r="I510" s="128" t="s">
        <v>3005</v>
      </c>
      <c r="J510" s="128" t="s">
        <v>3006</v>
      </c>
      <c r="K510" s="128" t="s">
        <v>591</v>
      </c>
      <c r="L510" s="128" t="s">
        <v>592</v>
      </c>
      <c r="M510" s="128" t="s">
        <v>3007</v>
      </c>
      <c r="N510" s="128" t="s">
        <v>737</v>
      </c>
      <c r="O510" s="278"/>
    </row>
    <row r="511" spans="1:15" ht="28.9">
      <c r="A511" s="268" t="str">
        <f t="shared" si="7"/>
        <v>Developing Onself|Officer|2</v>
      </c>
      <c r="B511" s="223" t="s">
        <v>2982</v>
      </c>
      <c r="C511" s="226" t="s">
        <v>4</v>
      </c>
      <c r="D511" s="227">
        <v>2</v>
      </c>
      <c r="E511" s="227" t="s">
        <v>605</v>
      </c>
      <c r="F511" s="227">
        <v>3</v>
      </c>
      <c r="G511" s="128" t="s">
        <v>3008</v>
      </c>
      <c r="H511" s="128" t="s">
        <v>3009</v>
      </c>
      <c r="I511" s="128" t="s">
        <v>3010</v>
      </c>
      <c r="J511" s="128" t="s">
        <v>3011</v>
      </c>
      <c r="K511" s="128" t="s">
        <v>591</v>
      </c>
      <c r="L511" s="128" t="s">
        <v>592</v>
      </c>
      <c r="M511" s="128" t="s">
        <v>3012</v>
      </c>
      <c r="N511" s="128" t="s">
        <v>737</v>
      </c>
      <c r="O511" s="278"/>
    </row>
    <row r="512" spans="1:15" ht="39.6">
      <c r="A512" s="268" t="str">
        <f t="shared" si="7"/>
        <v>Developing Onself|Officer|3</v>
      </c>
      <c r="B512" s="223" t="s">
        <v>2982</v>
      </c>
      <c r="C512" s="226" t="s">
        <v>4</v>
      </c>
      <c r="D512" s="227">
        <v>3</v>
      </c>
      <c r="E512" s="227" t="s">
        <v>623</v>
      </c>
      <c r="F512" s="227">
        <v>1</v>
      </c>
      <c r="G512" s="128" t="s">
        <v>3013</v>
      </c>
      <c r="H512" s="128" t="s">
        <v>3014</v>
      </c>
      <c r="I512" s="128" t="s">
        <v>3015</v>
      </c>
      <c r="J512" s="128" t="s">
        <v>3016</v>
      </c>
      <c r="K512" s="128" t="s">
        <v>591</v>
      </c>
      <c r="L512" s="128" t="s">
        <v>592</v>
      </c>
      <c r="M512" s="128" t="s">
        <v>3017</v>
      </c>
      <c r="N512" s="128" t="s">
        <v>3018</v>
      </c>
      <c r="O512" s="278"/>
    </row>
    <row r="513" spans="1:15" ht="28.9">
      <c r="A513" s="268" t="str">
        <f t="shared" si="7"/>
        <v>Developing Onself|Officer|3</v>
      </c>
      <c r="B513" s="223" t="s">
        <v>2982</v>
      </c>
      <c r="C513" s="226" t="s">
        <v>4</v>
      </c>
      <c r="D513" s="227">
        <v>3</v>
      </c>
      <c r="E513" s="227" t="s">
        <v>623</v>
      </c>
      <c r="F513" s="227">
        <v>2</v>
      </c>
      <c r="G513" s="128" t="s">
        <v>3019</v>
      </c>
      <c r="H513" s="128" t="s">
        <v>3020</v>
      </c>
      <c r="I513" s="128" t="s">
        <v>3021</v>
      </c>
      <c r="J513" s="128" t="s">
        <v>3022</v>
      </c>
      <c r="K513" s="128" t="s">
        <v>591</v>
      </c>
      <c r="L513" s="128" t="s">
        <v>592</v>
      </c>
      <c r="M513" s="128" t="s">
        <v>3023</v>
      </c>
      <c r="N513" s="128" t="s">
        <v>2721</v>
      </c>
      <c r="O513" s="278"/>
    </row>
    <row r="514" spans="1:15" ht="39.6">
      <c r="A514" s="268" t="str">
        <f t="shared" si="7"/>
        <v>Developing Onself|Officer|3</v>
      </c>
      <c r="B514" s="223" t="s">
        <v>2982</v>
      </c>
      <c r="C514" s="226" t="s">
        <v>4</v>
      </c>
      <c r="D514" s="227">
        <v>3</v>
      </c>
      <c r="E514" s="227" t="s">
        <v>623</v>
      </c>
      <c r="F514" s="227">
        <v>3</v>
      </c>
      <c r="G514" s="128" t="s">
        <v>3024</v>
      </c>
      <c r="H514" s="128" t="s">
        <v>3025</v>
      </c>
      <c r="I514" s="128" t="s">
        <v>3026</v>
      </c>
      <c r="J514" s="128" t="s">
        <v>3027</v>
      </c>
      <c r="K514" s="128" t="s">
        <v>591</v>
      </c>
      <c r="L514" s="128" t="s">
        <v>592</v>
      </c>
      <c r="M514" s="128" t="s">
        <v>3028</v>
      </c>
      <c r="N514" s="128" t="s">
        <v>3029</v>
      </c>
      <c r="O514" s="278"/>
    </row>
    <row r="515" spans="1:15" ht="39.6">
      <c r="A515" s="268" t="str">
        <f t="shared" ref="A515:A578" si="8">B515 &amp; "|" &amp; C515 &amp; "|" &amp; D515</f>
        <v>Developing Onself|Officer|4</v>
      </c>
      <c r="B515" s="223" t="s">
        <v>2982</v>
      </c>
      <c r="C515" s="226" t="s">
        <v>4</v>
      </c>
      <c r="D515" s="227">
        <v>4</v>
      </c>
      <c r="E515" s="227" t="s">
        <v>641</v>
      </c>
      <c r="F515" s="227">
        <v>1</v>
      </c>
      <c r="G515" s="128" t="s">
        <v>3030</v>
      </c>
      <c r="H515" s="128" t="s">
        <v>3031</v>
      </c>
      <c r="I515" s="128" t="s">
        <v>3032</v>
      </c>
      <c r="J515" s="128" t="s">
        <v>3033</v>
      </c>
      <c r="K515" s="128" t="s">
        <v>591</v>
      </c>
      <c r="L515" s="128" t="s">
        <v>592</v>
      </c>
      <c r="M515" s="128" t="s">
        <v>3034</v>
      </c>
      <c r="N515" s="128" t="s">
        <v>622</v>
      </c>
      <c r="O515" s="278"/>
    </row>
    <row r="516" spans="1:15" ht="28.9">
      <c r="A516" s="268" t="str">
        <f t="shared" si="8"/>
        <v>Developing Onself|Officer|4</v>
      </c>
      <c r="B516" s="223" t="s">
        <v>2982</v>
      </c>
      <c r="C516" s="226" t="s">
        <v>4</v>
      </c>
      <c r="D516" s="227">
        <v>4</v>
      </c>
      <c r="E516" s="227" t="s">
        <v>641</v>
      </c>
      <c r="F516" s="227">
        <v>2</v>
      </c>
      <c r="G516" s="128" t="s">
        <v>3035</v>
      </c>
      <c r="H516" s="128" t="s">
        <v>3036</v>
      </c>
      <c r="I516" s="128" t="s">
        <v>3037</v>
      </c>
      <c r="J516" s="128" t="s">
        <v>3038</v>
      </c>
      <c r="K516" s="128" t="s">
        <v>591</v>
      </c>
      <c r="L516" s="128" t="s">
        <v>592</v>
      </c>
      <c r="M516" s="128" t="s">
        <v>3039</v>
      </c>
      <c r="N516" s="128" t="s">
        <v>1110</v>
      </c>
      <c r="O516" s="278"/>
    </row>
    <row r="517" spans="1:15" ht="52.9">
      <c r="A517" s="268" t="str">
        <f t="shared" si="8"/>
        <v>Developing Onself|Officer|4</v>
      </c>
      <c r="B517" s="223" t="s">
        <v>2982</v>
      </c>
      <c r="C517" s="226" t="s">
        <v>4</v>
      </c>
      <c r="D517" s="227">
        <v>4</v>
      </c>
      <c r="E517" s="227" t="s">
        <v>641</v>
      </c>
      <c r="F517" s="227">
        <v>3</v>
      </c>
      <c r="G517" s="128" t="s">
        <v>3040</v>
      </c>
      <c r="H517" s="128" t="s">
        <v>3041</v>
      </c>
      <c r="I517" s="128" t="s">
        <v>3042</v>
      </c>
      <c r="J517" s="128" t="s">
        <v>3043</v>
      </c>
      <c r="K517" s="128" t="s">
        <v>591</v>
      </c>
      <c r="L517" s="128" t="s">
        <v>592</v>
      </c>
      <c r="M517" s="128" t="s">
        <v>3044</v>
      </c>
      <c r="N517" s="128" t="s">
        <v>3045</v>
      </c>
      <c r="O517" s="278"/>
    </row>
    <row r="518" spans="1:15" ht="50.45">
      <c r="A518" s="268" t="str">
        <f t="shared" si="8"/>
        <v>Developing Onself|Analyst|1</v>
      </c>
      <c r="B518" s="223" t="s">
        <v>2982</v>
      </c>
      <c r="C518" s="226" t="s">
        <v>6</v>
      </c>
      <c r="D518" s="226">
        <v>1</v>
      </c>
      <c r="E518" s="227" t="s">
        <v>586</v>
      </c>
      <c r="F518" s="227">
        <v>1</v>
      </c>
      <c r="G518" s="276" t="s">
        <v>3046</v>
      </c>
      <c r="H518" s="276" t="s">
        <v>3047</v>
      </c>
      <c r="I518" s="276" t="s">
        <v>3048</v>
      </c>
      <c r="J518" s="276" t="s">
        <v>3049</v>
      </c>
      <c r="K518" s="276" t="s">
        <v>591</v>
      </c>
      <c r="L518" s="276" t="s">
        <v>592</v>
      </c>
      <c r="M518" s="276" t="s">
        <v>3050</v>
      </c>
      <c r="N518" s="276" t="s">
        <v>594</v>
      </c>
    </row>
    <row r="519" spans="1:15" ht="50.45">
      <c r="A519" s="268" t="str">
        <f t="shared" si="8"/>
        <v>Developing Onself|Analyst|1</v>
      </c>
      <c r="B519" s="223" t="s">
        <v>2982</v>
      </c>
      <c r="C519" s="226" t="s">
        <v>6</v>
      </c>
      <c r="D519" s="226">
        <v>1</v>
      </c>
      <c r="E519" s="227" t="s">
        <v>586</v>
      </c>
      <c r="F519" s="227">
        <v>2</v>
      </c>
      <c r="G519" s="276" t="s">
        <v>3051</v>
      </c>
      <c r="H519" s="276" t="s">
        <v>3052</v>
      </c>
      <c r="I519" s="276" t="s">
        <v>3053</v>
      </c>
      <c r="J519" s="276" t="s">
        <v>3054</v>
      </c>
      <c r="K519" s="276" t="s">
        <v>591</v>
      </c>
      <c r="L519" s="276" t="s">
        <v>592</v>
      </c>
      <c r="M519" s="276" t="s">
        <v>3055</v>
      </c>
      <c r="N519" s="276" t="s">
        <v>594</v>
      </c>
    </row>
    <row r="520" spans="1:15" ht="67.150000000000006">
      <c r="A520" s="268" t="str">
        <f t="shared" si="8"/>
        <v>Developing Onself|Analyst|1</v>
      </c>
      <c r="B520" s="223" t="s">
        <v>2982</v>
      </c>
      <c r="C520" s="226" t="s">
        <v>6</v>
      </c>
      <c r="D520" s="226">
        <v>1</v>
      </c>
      <c r="E520" s="227" t="s">
        <v>586</v>
      </c>
      <c r="F520" s="227">
        <v>3</v>
      </c>
      <c r="G520" s="276" t="s">
        <v>3056</v>
      </c>
      <c r="H520" s="276" t="s">
        <v>3057</v>
      </c>
      <c r="I520" s="276" t="s">
        <v>3058</v>
      </c>
      <c r="J520" s="276" t="s">
        <v>3059</v>
      </c>
      <c r="K520" s="276" t="s">
        <v>591</v>
      </c>
      <c r="L520" s="276" t="s">
        <v>592</v>
      </c>
      <c r="M520" s="276" t="s">
        <v>3060</v>
      </c>
      <c r="N520" s="276" t="s">
        <v>594</v>
      </c>
    </row>
    <row r="521" spans="1:15" ht="50.45">
      <c r="A521" s="268" t="str">
        <f t="shared" si="8"/>
        <v>Developing Onself|Analyst|2</v>
      </c>
      <c r="B521" s="223" t="s">
        <v>2982</v>
      </c>
      <c r="C521" s="226" t="s">
        <v>6</v>
      </c>
      <c r="D521" s="227">
        <v>2</v>
      </c>
      <c r="E521" s="227" t="s">
        <v>605</v>
      </c>
      <c r="F521" s="227">
        <v>1</v>
      </c>
      <c r="G521" s="276" t="s">
        <v>3061</v>
      </c>
      <c r="H521" s="276" t="s">
        <v>3062</v>
      </c>
      <c r="I521" s="276" t="s">
        <v>3063</v>
      </c>
      <c r="J521" s="276" t="s">
        <v>3064</v>
      </c>
      <c r="K521" s="276" t="s">
        <v>591</v>
      </c>
      <c r="L521" s="276" t="s">
        <v>592</v>
      </c>
      <c r="M521" s="276" t="s">
        <v>3065</v>
      </c>
      <c r="N521" s="276" t="s">
        <v>737</v>
      </c>
    </row>
    <row r="522" spans="1:15" ht="33.6">
      <c r="A522" s="268" t="str">
        <f t="shared" si="8"/>
        <v>Developing Onself|Analyst|2</v>
      </c>
      <c r="B522" s="223" t="s">
        <v>2982</v>
      </c>
      <c r="C522" s="226" t="s">
        <v>6</v>
      </c>
      <c r="D522" s="227">
        <v>2</v>
      </c>
      <c r="E522" s="227" t="s">
        <v>605</v>
      </c>
      <c r="F522" s="227">
        <v>2</v>
      </c>
      <c r="G522" s="276" t="s">
        <v>3066</v>
      </c>
      <c r="H522" s="276" t="s">
        <v>3067</v>
      </c>
      <c r="I522" s="276" t="s">
        <v>3068</v>
      </c>
      <c r="J522" s="276" t="s">
        <v>3069</v>
      </c>
      <c r="K522" s="276" t="s">
        <v>591</v>
      </c>
      <c r="L522" s="276" t="s">
        <v>592</v>
      </c>
      <c r="M522" s="276" t="s">
        <v>3070</v>
      </c>
      <c r="N522" s="276" t="s">
        <v>737</v>
      </c>
    </row>
    <row r="523" spans="1:15" ht="67.150000000000006">
      <c r="A523" s="268" t="str">
        <f t="shared" si="8"/>
        <v>Developing Onself|Analyst|2</v>
      </c>
      <c r="B523" s="223" t="s">
        <v>2982</v>
      </c>
      <c r="C523" s="226" t="s">
        <v>6</v>
      </c>
      <c r="D523" s="227">
        <v>2</v>
      </c>
      <c r="E523" s="227" t="s">
        <v>605</v>
      </c>
      <c r="F523" s="227">
        <v>3</v>
      </c>
      <c r="G523" s="276" t="s">
        <v>3071</v>
      </c>
      <c r="H523" s="276" t="s">
        <v>3072</v>
      </c>
      <c r="I523" s="276" t="s">
        <v>3073</v>
      </c>
      <c r="J523" s="276" t="s">
        <v>3074</v>
      </c>
      <c r="K523" s="276" t="s">
        <v>591</v>
      </c>
      <c r="L523" s="276" t="s">
        <v>592</v>
      </c>
      <c r="M523" s="276" t="s">
        <v>3075</v>
      </c>
      <c r="N523" s="276" t="s">
        <v>622</v>
      </c>
    </row>
    <row r="524" spans="1:15" ht="50.45">
      <c r="A524" s="268" t="str">
        <f t="shared" si="8"/>
        <v>Developing Onself|Analyst|3</v>
      </c>
      <c r="B524" s="223" t="s">
        <v>2982</v>
      </c>
      <c r="C524" s="226" t="s">
        <v>6</v>
      </c>
      <c r="D524" s="227">
        <v>3</v>
      </c>
      <c r="E524" s="227" t="s">
        <v>623</v>
      </c>
      <c r="F524" s="227">
        <v>1</v>
      </c>
      <c r="G524" s="276" t="s">
        <v>3076</v>
      </c>
      <c r="H524" s="276" t="s">
        <v>3077</v>
      </c>
      <c r="I524" s="276" t="s">
        <v>3078</v>
      </c>
      <c r="J524" s="276" t="s">
        <v>3079</v>
      </c>
      <c r="K524" s="276" t="s">
        <v>591</v>
      </c>
      <c r="L524" s="276" t="s">
        <v>592</v>
      </c>
      <c r="M524" s="276" t="s">
        <v>3080</v>
      </c>
      <c r="N524" s="276" t="s">
        <v>594</v>
      </c>
    </row>
    <row r="525" spans="1:15" ht="50.45">
      <c r="A525" s="268" t="str">
        <f t="shared" si="8"/>
        <v>Developing Onself|Analyst|3</v>
      </c>
      <c r="B525" s="223" t="s">
        <v>2982</v>
      </c>
      <c r="C525" s="226" t="s">
        <v>6</v>
      </c>
      <c r="D525" s="227">
        <v>3</v>
      </c>
      <c r="E525" s="227" t="s">
        <v>623</v>
      </c>
      <c r="F525" s="227">
        <v>2</v>
      </c>
      <c r="G525" s="276" t="s">
        <v>3081</v>
      </c>
      <c r="H525" s="276" t="s">
        <v>3082</v>
      </c>
      <c r="I525" s="276" t="s">
        <v>3083</v>
      </c>
      <c r="J525" s="276" t="s">
        <v>3084</v>
      </c>
      <c r="K525" s="276" t="s">
        <v>591</v>
      </c>
      <c r="L525" s="276" t="s">
        <v>592</v>
      </c>
      <c r="M525" s="276" t="s">
        <v>3085</v>
      </c>
      <c r="N525" s="276" t="s">
        <v>594</v>
      </c>
    </row>
    <row r="526" spans="1:15" ht="50.45">
      <c r="A526" s="268" t="str">
        <f t="shared" si="8"/>
        <v>Developing Onself|Analyst|3</v>
      </c>
      <c r="B526" s="223" t="s">
        <v>2982</v>
      </c>
      <c r="C526" s="226" t="s">
        <v>6</v>
      </c>
      <c r="D526" s="227">
        <v>3</v>
      </c>
      <c r="E526" s="227" t="s">
        <v>623</v>
      </c>
      <c r="F526" s="227">
        <v>3</v>
      </c>
      <c r="G526" s="276" t="s">
        <v>3086</v>
      </c>
      <c r="H526" s="276" t="s">
        <v>3087</v>
      </c>
      <c r="I526" s="276" t="s">
        <v>3088</v>
      </c>
      <c r="J526" s="276" t="s">
        <v>3089</v>
      </c>
      <c r="K526" s="276" t="s">
        <v>591</v>
      </c>
      <c r="L526" s="276" t="s">
        <v>592</v>
      </c>
      <c r="M526" s="276" t="s">
        <v>3090</v>
      </c>
      <c r="N526" s="276" t="s">
        <v>3091</v>
      </c>
    </row>
    <row r="527" spans="1:15" ht="50.45">
      <c r="A527" s="268" t="str">
        <f t="shared" si="8"/>
        <v>Developing Onself|Analyst|4</v>
      </c>
      <c r="B527" s="223" t="s">
        <v>2982</v>
      </c>
      <c r="C527" s="226" t="s">
        <v>6</v>
      </c>
      <c r="D527" s="227">
        <v>4</v>
      </c>
      <c r="E527" s="227" t="s">
        <v>641</v>
      </c>
      <c r="F527" s="227">
        <v>1</v>
      </c>
      <c r="G527" s="276" t="s">
        <v>3092</v>
      </c>
      <c r="H527" s="276" t="s">
        <v>3093</v>
      </c>
      <c r="I527" s="276" t="s">
        <v>3094</v>
      </c>
      <c r="J527" s="276" t="s">
        <v>3095</v>
      </c>
      <c r="K527" s="276" t="s">
        <v>591</v>
      </c>
      <c r="L527" s="276" t="s">
        <v>592</v>
      </c>
      <c r="M527" s="276" t="s">
        <v>3096</v>
      </c>
      <c r="N527" s="276" t="s">
        <v>622</v>
      </c>
    </row>
    <row r="528" spans="1:15" ht="67.150000000000006">
      <c r="A528" s="268" t="str">
        <f t="shared" si="8"/>
        <v>Developing Onself|Analyst|4</v>
      </c>
      <c r="B528" s="223" t="s">
        <v>2982</v>
      </c>
      <c r="C528" s="226" t="s">
        <v>6</v>
      </c>
      <c r="D528" s="227">
        <v>4</v>
      </c>
      <c r="E528" s="227" t="s">
        <v>641</v>
      </c>
      <c r="F528" s="227">
        <v>2</v>
      </c>
      <c r="G528" s="276" t="s">
        <v>3097</v>
      </c>
      <c r="H528" s="276" t="s">
        <v>3098</v>
      </c>
      <c r="I528" s="276" t="s">
        <v>3099</v>
      </c>
      <c r="J528" s="276" t="s">
        <v>3100</v>
      </c>
      <c r="K528" s="276" t="s">
        <v>591</v>
      </c>
      <c r="L528" s="276" t="s">
        <v>592</v>
      </c>
      <c r="M528" s="276" t="s">
        <v>3101</v>
      </c>
      <c r="N528" s="276" t="s">
        <v>622</v>
      </c>
    </row>
    <row r="529" spans="1:14" ht="50.45">
      <c r="A529" s="268" t="str">
        <f t="shared" si="8"/>
        <v>Developing Onself|Analyst|4</v>
      </c>
      <c r="B529" s="223" t="s">
        <v>2982</v>
      </c>
      <c r="C529" s="226" t="s">
        <v>6</v>
      </c>
      <c r="D529" s="227">
        <v>4</v>
      </c>
      <c r="E529" s="227" t="s">
        <v>641</v>
      </c>
      <c r="F529" s="227">
        <v>3</v>
      </c>
      <c r="G529" s="276" t="s">
        <v>3102</v>
      </c>
      <c r="H529" s="276" t="s">
        <v>3103</v>
      </c>
      <c r="I529" s="276" t="s">
        <v>3104</v>
      </c>
      <c r="J529" s="276" t="s">
        <v>3105</v>
      </c>
      <c r="K529" s="276" t="s">
        <v>591</v>
      </c>
      <c r="L529" s="276" t="s">
        <v>592</v>
      </c>
      <c r="M529" s="276" t="s">
        <v>3106</v>
      </c>
      <c r="N529" s="276" t="s">
        <v>3107</v>
      </c>
    </row>
    <row r="530" spans="1:14" ht="50.45">
      <c r="A530" s="268" t="str">
        <f t="shared" si="8"/>
        <v>Developing Onself|Unit Head/Specialist|1</v>
      </c>
      <c r="B530" s="223" t="s">
        <v>2982</v>
      </c>
      <c r="C530" s="227" t="s">
        <v>13</v>
      </c>
      <c r="D530" s="226">
        <v>1</v>
      </c>
      <c r="E530" s="227" t="s">
        <v>586</v>
      </c>
      <c r="F530" s="227">
        <v>1</v>
      </c>
      <c r="G530" s="279" t="s">
        <v>3108</v>
      </c>
      <c r="H530" s="279" t="s">
        <v>3109</v>
      </c>
      <c r="I530" s="279" t="s">
        <v>3110</v>
      </c>
      <c r="J530" s="279" t="s">
        <v>3111</v>
      </c>
      <c r="K530" s="279" t="s">
        <v>591</v>
      </c>
      <c r="L530" s="279" t="s">
        <v>592</v>
      </c>
      <c r="M530" s="279" t="s">
        <v>3112</v>
      </c>
      <c r="N530" s="279" t="s">
        <v>594</v>
      </c>
    </row>
    <row r="531" spans="1:14" ht="33.6">
      <c r="A531" s="268" t="str">
        <f t="shared" si="8"/>
        <v>Developing Onself|Unit Head/Specialist|1</v>
      </c>
      <c r="B531" s="223" t="s">
        <v>2982</v>
      </c>
      <c r="C531" s="227" t="s">
        <v>13</v>
      </c>
      <c r="D531" s="226">
        <v>1</v>
      </c>
      <c r="E531" s="227" t="s">
        <v>586</v>
      </c>
      <c r="F531" s="227">
        <v>2</v>
      </c>
      <c r="G531" s="279" t="s">
        <v>3113</v>
      </c>
      <c r="H531" s="279" t="s">
        <v>3114</v>
      </c>
      <c r="I531" s="279" t="s">
        <v>3115</v>
      </c>
      <c r="J531" s="279" t="s">
        <v>3116</v>
      </c>
      <c r="K531" s="279" t="s">
        <v>591</v>
      </c>
      <c r="L531" s="279" t="s">
        <v>592</v>
      </c>
      <c r="M531" s="279" t="s">
        <v>3117</v>
      </c>
      <c r="N531" s="279" t="s">
        <v>594</v>
      </c>
    </row>
    <row r="532" spans="1:14" ht="84">
      <c r="A532" s="268" t="str">
        <f t="shared" si="8"/>
        <v>Developing Onself|Unit Head/Specialist|1</v>
      </c>
      <c r="B532" s="223" t="s">
        <v>2982</v>
      </c>
      <c r="C532" s="227" t="s">
        <v>13</v>
      </c>
      <c r="D532" s="226">
        <v>1</v>
      </c>
      <c r="E532" s="227" t="s">
        <v>586</v>
      </c>
      <c r="F532" s="227">
        <v>3</v>
      </c>
      <c r="G532" s="279" t="s">
        <v>3118</v>
      </c>
      <c r="H532" s="279" t="s">
        <v>3119</v>
      </c>
      <c r="I532" s="279" t="s">
        <v>3120</v>
      </c>
      <c r="J532" s="279" t="s">
        <v>3121</v>
      </c>
      <c r="K532" s="279" t="s">
        <v>591</v>
      </c>
      <c r="L532" s="279" t="s">
        <v>592</v>
      </c>
      <c r="M532" s="279" t="s">
        <v>3122</v>
      </c>
      <c r="N532" s="279" t="s">
        <v>594</v>
      </c>
    </row>
    <row r="533" spans="1:14" ht="51" customHeight="1">
      <c r="A533" s="268" t="str">
        <f t="shared" si="8"/>
        <v>Developing Onself|Unit Head/Specialist|2</v>
      </c>
      <c r="B533" s="223" t="s">
        <v>2982</v>
      </c>
      <c r="C533" s="227" t="s">
        <v>13</v>
      </c>
      <c r="D533" s="227">
        <v>2</v>
      </c>
      <c r="E533" s="227" t="s">
        <v>605</v>
      </c>
      <c r="F533" s="227">
        <v>1</v>
      </c>
      <c r="G533" s="279" t="s">
        <v>3123</v>
      </c>
      <c r="H533" s="279" t="s">
        <v>3124</v>
      </c>
      <c r="I533" s="279" t="s">
        <v>3125</v>
      </c>
      <c r="J533" s="279" t="s">
        <v>3126</v>
      </c>
      <c r="K533" s="279" t="s">
        <v>591</v>
      </c>
      <c r="L533" s="279" t="s">
        <v>592</v>
      </c>
      <c r="M533" s="279" t="s">
        <v>3127</v>
      </c>
      <c r="N533" s="279" t="s">
        <v>737</v>
      </c>
    </row>
    <row r="534" spans="1:14" ht="49.9" customHeight="1">
      <c r="A534" s="268" t="str">
        <f t="shared" si="8"/>
        <v>Developing Onself|Unit Head/Specialist|2</v>
      </c>
      <c r="B534" s="223" t="s">
        <v>2982</v>
      </c>
      <c r="C534" s="227" t="s">
        <v>13</v>
      </c>
      <c r="D534" s="227">
        <v>2</v>
      </c>
      <c r="E534" s="227" t="s">
        <v>605</v>
      </c>
      <c r="F534" s="227">
        <v>2</v>
      </c>
      <c r="G534" s="279" t="s">
        <v>3128</v>
      </c>
      <c r="H534" s="279" t="s">
        <v>3129</v>
      </c>
      <c r="I534" s="279" t="s">
        <v>3130</v>
      </c>
      <c r="J534" s="279" t="s">
        <v>3131</v>
      </c>
      <c r="K534" s="279" t="s">
        <v>591</v>
      </c>
      <c r="L534" s="279" t="s">
        <v>592</v>
      </c>
      <c r="M534" s="279" t="s">
        <v>3132</v>
      </c>
      <c r="N534" s="279" t="s">
        <v>594</v>
      </c>
    </row>
    <row r="535" spans="1:14" ht="67.150000000000006">
      <c r="A535" s="268" t="str">
        <f t="shared" si="8"/>
        <v>Developing Onself|Unit Head/Specialist|2</v>
      </c>
      <c r="B535" s="223" t="s">
        <v>2982</v>
      </c>
      <c r="C535" s="227" t="s">
        <v>13</v>
      </c>
      <c r="D535" s="227">
        <v>2</v>
      </c>
      <c r="E535" s="227" t="s">
        <v>605</v>
      </c>
      <c r="F535" s="227">
        <v>3</v>
      </c>
      <c r="G535" s="279" t="s">
        <v>3133</v>
      </c>
      <c r="H535" s="279" t="s">
        <v>3134</v>
      </c>
      <c r="I535" s="279" t="s">
        <v>3135</v>
      </c>
      <c r="J535" s="279" t="s">
        <v>3136</v>
      </c>
      <c r="K535" s="279" t="s">
        <v>591</v>
      </c>
      <c r="L535" s="279" t="s">
        <v>592</v>
      </c>
      <c r="M535" s="279" t="s">
        <v>3137</v>
      </c>
      <c r="N535" s="279" t="s">
        <v>622</v>
      </c>
    </row>
    <row r="536" spans="1:14" ht="33.6">
      <c r="A536" s="268" t="str">
        <f t="shared" si="8"/>
        <v>Developing Onself|Unit Head/Specialist|3</v>
      </c>
      <c r="B536" s="223" t="s">
        <v>2982</v>
      </c>
      <c r="C536" s="227" t="s">
        <v>13</v>
      </c>
      <c r="D536" s="227">
        <v>3</v>
      </c>
      <c r="E536" s="227" t="s">
        <v>623</v>
      </c>
      <c r="F536" s="227">
        <v>1</v>
      </c>
      <c r="G536" s="279" t="s">
        <v>3138</v>
      </c>
      <c r="H536" s="279" t="s">
        <v>3139</v>
      </c>
      <c r="I536" s="279" t="s">
        <v>3140</v>
      </c>
      <c r="J536" s="279" t="s">
        <v>3141</v>
      </c>
      <c r="K536" s="279" t="s">
        <v>591</v>
      </c>
      <c r="L536" s="279" t="s">
        <v>592</v>
      </c>
      <c r="M536" s="279" t="s">
        <v>3142</v>
      </c>
      <c r="N536" s="279" t="s">
        <v>594</v>
      </c>
    </row>
    <row r="537" spans="1:14" ht="50.45">
      <c r="A537" s="268" t="str">
        <f t="shared" si="8"/>
        <v>Developing Onself|Unit Head/Specialist|3</v>
      </c>
      <c r="B537" s="223" t="s">
        <v>2982</v>
      </c>
      <c r="C537" s="227" t="s">
        <v>13</v>
      </c>
      <c r="D537" s="227">
        <v>3</v>
      </c>
      <c r="E537" s="227" t="s">
        <v>623</v>
      </c>
      <c r="F537" s="227">
        <v>2</v>
      </c>
      <c r="G537" s="279" t="s">
        <v>3143</v>
      </c>
      <c r="H537" s="279" t="s">
        <v>3144</v>
      </c>
      <c r="I537" s="279" t="s">
        <v>3145</v>
      </c>
      <c r="J537" s="279" t="s">
        <v>3146</v>
      </c>
      <c r="K537" s="279" t="s">
        <v>591</v>
      </c>
      <c r="L537" s="279" t="s">
        <v>592</v>
      </c>
      <c r="M537" s="279" t="s">
        <v>3147</v>
      </c>
      <c r="N537" s="279" t="s">
        <v>1859</v>
      </c>
    </row>
    <row r="538" spans="1:14" ht="33.6">
      <c r="A538" s="268" t="str">
        <f t="shared" si="8"/>
        <v>Developing Onself|Unit Head/Specialist|3</v>
      </c>
      <c r="B538" s="223" t="s">
        <v>2982</v>
      </c>
      <c r="C538" s="227" t="s">
        <v>13</v>
      </c>
      <c r="D538" s="227">
        <v>3</v>
      </c>
      <c r="E538" s="227" t="s">
        <v>623</v>
      </c>
      <c r="F538" s="227">
        <v>3</v>
      </c>
      <c r="G538" s="279" t="s">
        <v>3148</v>
      </c>
      <c r="H538" s="279" t="s">
        <v>3149</v>
      </c>
      <c r="I538" s="279" t="s">
        <v>3150</v>
      </c>
      <c r="J538" s="279" t="s">
        <v>3151</v>
      </c>
      <c r="K538" s="279" t="s">
        <v>591</v>
      </c>
      <c r="L538" s="279" t="s">
        <v>592</v>
      </c>
      <c r="M538" s="279" t="s">
        <v>3152</v>
      </c>
      <c r="N538" s="279" t="s">
        <v>3091</v>
      </c>
    </row>
    <row r="539" spans="1:14" ht="50.45">
      <c r="A539" s="268" t="str">
        <f t="shared" si="8"/>
        <v>Developing Onself|Unit Head/Specialist|4</v>
      </c>
      <c r="B539" s="223" t="s">
        <v>2982</v>
      </c>
      <c r="C539" s="227" t="s">
        <v>13</v>
      </c>
      <c r="D539" s="227">
        <v>4</v>
      </c>
      <c r="E539" s="227" t="s">
        <v>641</v>
      </c>
      <c r="F539" s="227">
        <v>1</v>
      </c>
      <c r="G539" s="279" t="s">
        <v>3153</v>
      </c>
      <c r="H539" s="279" t="s">
        <v>3154</v>
      </c>
      <c r="I539" s="279" t="s">
        <v>3155</v>
      </c>
      <c r="J539" s="279" t="s">
        <v>3156</v>
      </c>
      <c r="K539" s="279" t="s">
        <v>591</v>
      </c>
      <c r="L539" s="279" t="s">
        <v>592</v>
      </c>
      <c r="M539" s="279" t="s">
        <v>3157</v>
      </c>
      <c r="N539" s="279" t="s">
        <v>622</v>
      </c>
    </row>
    <row r="540" spans="1:14" ht="67.150000000000006">
      <c r="A540" s="268" t="str">
        <f t="shared" si="8"/>
        <v>Developing Onself|Unit Head/Specialist|4</v>
      </c>
      <c r="B540" s="223" t="s">
        <v>2982</v>
      </c>
      <c r="C540" s="227" t="s">
        <v>13</v>
      </c>
      <c r="D540" s="227">
        <v>4</v>
      </c>
      <c r="E540" s="227" t="s">
        <v>641</v>
      </c>
      <c r="F540" s="227">
        <v>2</v>
      </c>
      <c r="G540" s="279" t="s">
        <v>3158</v>
      </c>
      <c r="H540" s="279" t="s">
        <v>3159</v>
      </c>
      <c r="I540" s="279" t="s">
        <v>3160</v>
      </c>
      <c r="J540" s="279" t="s">
        <v>3161</v>
      </c>
      <c r="K540" s="279" t="s">
        <v>591</v>
      </c>
      <c r="L540" s="279" t="s">
        <v>592</v>
      </c>
      <c r="M540" s="279" t="s">
        <v>3162</v>
      </c>
      <c r="N540" s="279" t="s">
        <v>622</v>
      </c>
    </row>
    <row r="541" spans="1:14" ht="52.15" customHeight="1">
      <c r="A541" s="268" t="str">
        <f t="shared" si="8"/>
        <v>Developing Onself|Unit Head/Specialist|4</v>
      </c>
      <c r="B541" s="223" t="s">
        <v>2982</v>
      </c>
      <c r="C541" s="227" t="s">
        <v>13</v>
      </c>
      <c r="D541" s="227">
        <v>4</v>
      </c>
      <c r="E541" s="227" t="s">
        <v>641</v>
      </c>
      <c r="F541" s="227">
        <v>3</v>
      </c>
      <c r="G541" s="279" t="s">
        <v>3163</v>
      </c>
      <c r="H541" s="279" t="s">
        <v>3164</v>
      </c>
      <c r="I541" s="279" t="s">
        <v>3165</v>
      </c>
      <c r="J541" s="279" t="s">
        <v>3166</v>
      </c>
      <c r="K541" s="279" t="s">
        <v>591</v>
      </c>
      <c r="L541" s="279" t="s">
        <v>592</v>
      </c>
      <c r="M541" s="279" t="s">
        <v>3167</v>
      </c>
      <c r="N541" s="279" t="s">
        <v>622</v>
      </c>
    </row>
    <row r="542" spans="1:14" ht="50.45">
      <c r="A542" s="268" t="str">
        <f t="shared" si="8"/>
        <v>Developing Onself|Department Head|1</v>
      </c>
      <c r="B542" s="223" t="s">
        <v>2982</v>
      </c>
      <c r="C542" s="227" t="s">
        <v>779</v>
      </c>
      <c r="D542" s="226">
        <v>1</v>
      </c>
      <c r="E542" s="227" t="s">
        <v>586</v>
      </c>
      <c r="F542" s="227">
        <v>1</v>
      </c>
      <c r="G542" s="276" t="s">
        <v>3168</v>
      </c>
      <c r="H542" s="276" t="s">
        <v>3169</v>
      </c>
      <c r="I542" s="276" t="s">
        <v>3170</v>
      </c>
      <c r="J542" s="276" t="s">
        <v>3171</v>
      </c>
      <c r="K542" s="276" t="s">
        <v>591</v>
      </c>
      <c r="L542" s="276" t="s">
        <v>592</v>
      </c>
      <c r="M542" s="276" t="s">
        <v>3172</v>
      </c>
      <c r="N542" s="276" t="s">
        <v>594</v>
      </c>
    </row>
    <row r="543" spans="1:14" ht="50.45">
      <c r="A543" s="268" t="str">
        <f t="shared" si="8"/>
        <v>Developing Onself|Department Head|1</v>
      </c>
      <c r="B543" s="223" t="s">
        <v>2982</v>
      </c>
      <c r="C543" s="227" t="s">
        <v>779</v>
      </c>
      <c r="D543" s="226">
        <v>1</v>
      </c>
      <c r="E543" s="227" t="s">
        <v>586</v>
      </c>
      <c r="F543" s="227">
        <v>2</v>
      </c>
      <c r="G543" s="276" t="s">
        <v>3173</v>
      </c>
      <c r="H543" s="276" t="s">
        <v>3174</v>
      </c>
      <c r="I543" s="276" t="s">
        <v>3175</v>
      </c>
      <c r="J543" s="276" t="s">
        <v>3176</v>
      </c>
      <c r="K543" s="276" t="s">
        <v>591</v>
      </c>
      <c r="L543" s="276" t="s">
        <v>592</v>
      </c>
      <c r="M543" s="276" t="s">
        <v>3177</v>
      </c>
      <c r="N543" s="276" t="s">
        <v>594</v>
      </c>
    </row>
    <row r="544" spans="1:14" ht="50.45">
      <c r="A544" s="268" t="str">
        <f t="shared" si="8"/>
        <v>Developing Onself|Department Head|1</v>
      </c>
      <c r="B544" s="223" t="s">
        <v>2982</v>
      </c>
      <c r="C544" s="227" t="s">
        <v>779</v>
      </c>
      <c r="D544" s="226">
        <v>1</v>
      </c>
      <c r="E544" s="227" t="s">
        <v>586</v>
      </c>
      <c r="F544" s="227">
        <v>3</v>
      </c>
      <c r="G544" s="276" t="s">
        <v>3178</v>
      </c>
      <c r="H544" s="276" t="s">
        <v>3179</v>
      </c>
      <c r="I544" s="276" t="s">
        <v>3180</v>
      </c>
      <c r="J544" s="276" t="s">
        <v>3181</v>
      </c>
      <c r="K544" s="276" t="s">
        <v>591</v>
      </c>
      <c r="L544" s="276" t="s">
        <v>592</v>
      </c>
      <c r="M544" s="276" t="s">
        <v>3182</v>
      </c>
      <c r="N544" s="276" t="s">
        <v>594</v>
      </c>
    </row>
    <row r="545" spans="1:14" ht="50.45">
      <c r="A545" s="268" t="str">
        <f t="shared" si="8"/>
        <v>Developing Onself|Department Head|2</v>
      </c>
      <c r="B545" s="223" t="s">
        <v>2982</v>
      </c>
      <c r="C545" s="227" t="s">
        <v>779</v>
      </c>
      <c r="D545" s="227">
        <v>2</v>
      </c>
      <c r="E545" s="227" t="s">
        <v>605</v>
      </c>
      <c r="F545" s="227">
        <v>1</v>
      </c>
      <c r="G545" s="276" t="s">
        <v>3183</v>
      </c>
      <c r="H545" s="276" t="s">
        <v>3184</v>
      </c>
      <c r="I545" s="276" t="s">
        <v>3185</v>
      </c>
      <c r="J545" s="276" t="s">
        <v>3186</v>
      </c>
      <c r="K545" s="276" t="s">
        <v>591</v>
      </c>
      <c r="L545" s="276" t="s">
        <v>592</v>
      </c>
      <c r="M545" s="276" t="s">
        <v>3187</v>
      </c>
      <c r="N545" s="276" t="s">
        <v>611</v>
      </c>
    </row>
    <row r="546" spans="1:14" ht="50.45">
      <c r="A546" s="268" t="str">
        <f t="shared" si="8"/>
        <v>Developing Onself|Department Head|2</v>
      </c>
      <c r="B546" s="223" t="s">
        <v>2982</v>
      </c>
      <c r="C546" s="227" t="s">
        <v>779</v>
      </c>
      <c r="D546" s="227">
        <v>2</v>
      </c>
      <c r="E546" s="227" t="s">
        <v>605</v>
      </c>
      <c r="F546" s="227">
        <v>2</v>
      </c>
      <c r="G546" s="276" t="s">
        <v>3188</v>
      </c>
      <c r="H546" s="276" t="s">
        <v>3189</v>
      </c>
      <c r="I546" s="276" t="s">
        <v>3190</v>
      </c>
      <c r="J546" s="276" t="s">
        <v>3191</v>
      </c>
      <c r="K546" s="276" t="s">
        <v>591</v>
      </c>
      <c r="L546" s="276" t="s">
        <v>592</v>
      </c>
      <c r="M546" s="276" t="s">
        <v>3192</v>
      </c>
      <c r="N546" s="276" t="s">
        <v>737</v>
      </c>
    </row>
    <row r="547" spans="1:14" ht="50.45">
      <c r="A547" s="268" t="str">
        <f t="shared" si="8"/>
        <v>Developing Onself|Department Head|2</v>
      </c>
      <c r="B547" s="223" t="s">
        <v>2982</v>
      </c>
      <c r="C547" s="227" t="s">
        <v>779</v>
      </c>
      <c r="D547" s="227">
        <v>2</v>
      </c>
      <c r="E547" s="227" t="s">
        <v>605</v>
      </c>
      <c r="F547" s="227">
        <v>3</v>
      </c>
      <c r="G547" s="276" t="s">
        <v>3193</v>
      </c>
      <c r="H547" s="276" t="s">
        <v>3194</v>
      </c>
      <c r="I547" s="276" t="s">
        <v>3195</v>
      </c>
      <c r="J547" s="276" t="s">
        <v>3196</v>
      </c>
      <c r="K547" s="276" t="s">
        <v>591</v>
      </c>
      <c r="L547" s="276" t="s">
        <v>592</v>
      </c>
      <c r="M547" s="276" t="s">
        <v>3197</v>
      </c>
      <c r="N547" s="276" t="s">
        <v>737</v>
      </c>
    </row>
    <row r="548" spans="1:14" ht="50.45">
      <c r="A548" s="268" t="str">
        <f t="shared" si="8"/>
        <v>Developing Onself|Department Head|3</v>
      </c>
      <c r="B548" s="223" t="s">
        <v>2982</v>
      </c>
      <c r="C548" s="227" t="s">
        <v>779</v>
      </c>
      <c r="D548" s="227">
        <v>3</v>
      </c>
      <c r="E548" s="227" t="s">
        <v>623</v>
      </c>
      <c r="F548" s="227">
        <v>1</v>
      </c>
      <c r="G548" s="276" t="s">
        <v>3198</v>
      </c>
      <c r="H548" s="276" t="s">
        <v>3199</v>
      </c>
      <c r="I548" s="276" t="s">
        <v>3200</v>
      </c>
      <c r="J548" s="276" t="s">
        <v>3201</v>
      </c>
      <c r="K548" s="276" t="s">
        <v>591</v>
      </c>
      <c r="L548" s="276" t="s">
        <v>592</v>
      </c>
      <c r="M548" s="276" t="s">
        <v>3202</v>
      </c>
      <c r="N548" s="276" t="s">
        <v>3203</v>
      </c>
    </row>
    <row r="549" spans="1:14" ht="50.45">
      <c r="A549" s="268" t="str">
        <f t="shared" si="8"/>
        <v>Developing Onself|Department Head|3</v>
      </c>
      <c r="B549" s="223" t="s">
        <v>2982</v>
      </c>
      <c r="C549" s="227" t="s">
        <v>779</v>
      </c>
      <c r="D549" s="227">
        <v>3</v>
      </c>
      <c r="E549" s="227" t="s">
        <v>623</v>
      </c>
      <c r="F549" s="227">
        <v>2</v>
      </c>
      <c r="G549" s="276" t="s">
        <v>3204</v>
      </c>
      <c r="H549" s="276" t="s">
        <v>3205</v>
      </c>
      <c r="I549" s="276" t="s">
        <v>3206</v>
      </c>
      <c r="J549" s="276" t="s">
        <v>3207</v>
      </c>
      <c r="K549" s="276" t="s">
        <v>591</v>
      </c>
      <c r="L549" s="276" t="s">
        <v>592</v>
      </c>
      <c r="M549" s="276" t="s">
        <v>3208</v>
      </c>
      <c r="N549" s="276" t="s">
        <v>2721</v>
      </c>
    </row>
    <row r="550" spans="1:14" ht="50.45">
      <c r="A550" s="268" t="str">
        <f t="shared" si="8"/>
        <v>Developing Onself|Department Head|3</v>
      </c>
      <c r="B550" s="223" t="s">
        <v>2982</v>
      </c>
      <c r="C550" s="227" t="s">
        <v>779</v>
      </c>
      <c r="D550" s="227">
        <v>3</v>
      </c>
      <c r="E550" s="227" t="s">
        <v>623</v>
      </c>
      <c r="F550" s="227">
        <v>3</v>
      </c>
      <c r="G550" s="276" t="s">
        <v>3209</v>
      </c>
      <c r="H550" s="276" t="s">
        <v>3210</v>
      </c>
      <c r="I550" s="276" t="s">
        <v>3211</v>
      </c>
      <c r="J550" s="276" t="s">
        <v>3212</v>
      </c>
      <c r="K550" s="276" t="s">
        <v>591</v>
      </c>
      <c r="L550" s="276" t="s">
        <v>592</v>
      </c>
      <c r="M550" s="276" t="s">
        <v>3213</v>
      </c>
      <c r="N550" s="276" t="s">
        <v>3214</v>
      </c>
    </row>
    <row r="551" spans="1:14" ht="67.150000000000006">
      <c r="A551" s="268" t="str">
        <f t="shared" si="8"/>
        <v>Developing Onself|Department Head|4</v>
      </c>
      <c r="B551" s="223" t="s">
        <v>2982</v>
      </c>
      <c r="C551" s="227" t="s">
        <v>779</v>
      </c>
      <c r="D551" s="227">
        <v>4</v>
      </c>
      <c r="E551" s="227" t="s">
        <v>641</v>
      </c>
      <c r="F551" s="227">
        <v>1</v>
      </c>
      <c r="G551" s="276" t="s">
        <v>3215</v>
      </c>
      <c r="H551" s="276" t="s">
        <v>3216</v>
      </c>
      <c r="I551" s="276" t="s">
        <v>3217</v>
      </c>
      <c r="J551" s="276" t="s">
        <v>3218</v>
      </c>
      <c r="K551" s="276" t="s">
        <v>591</v>
      </c>
      <c r="L551" s="276" t="s">
        <v>592</v>
      </c>
      <c r="M551" s="276" t="s">
        <v>3219</v>
      </c>
      <c r="N551" s="276" t="s">
        <v>3220</v>
      </c>
    </row>
    <row r="552" spans="1:14" ht="50.45">
      <c r="A552" s="268" t="str">
        <f t="shared" si="8"/>
        <v>Developing Onself|Department Head|4</v>
      </c>
      <c r="B552" s="223" t="s">
        <v>2982</v>
      </c>
      <c r="C552" s="227" t="s">
        <v>779</v>
      </c>
      <c r="D552" s="227">
        <v>4</v>
      </c>
      <c r="E552" s="227" t="s">
        <v>641</v>
      </c>
      <c r="F552" s="227">
        <v>2</v>
      </c>
      <c r="G552" s="276" t="s">
        <v>3221</v>
      </c>
      <c r="H552" s="276" t="s">
        <v>3222</v>
      </c>
      <c r="I552" s="276" t="s">
        <v>3223</v>
      </c>
      <c r="J552" s="276" t="s">
        <v>3224</v>
      </c>
      <c r="K552" s="276" t="s">
        <v>591</v>
      </c>
      <c r="L552" s="276" t="s">
        <v>592</v>
      </c>
      <c r="M552" s="276" t="s">
        <v>3225</v>
      </c>
      <c r="N552" s="276" t="s">
        <v>622</v>
      </c>
    </row>
    <row r="553" spans="1:14" ht="50.45">
      <c r="A553" s="268" t="str">
        <f t="shared" si="8"/>
        <v>Developing Onself|Department Head|4</v>
      </c>
      <c r="B553" s="223" t="s">
        <v>2982</v>
      </c>
      <c r="C553" s="227" t="s">
        <v>779</v>
      </c>
      <c r="D553" s="227">
        <v>4</v>
      </c>
      <c r="E553" s="227" t="s">
        <v>641</v>
      </c>
      <c r="F553" s="227">
        <v>3</v>
      </c>
      <c r="G553" s="276" t="s">
        <v>3226</v>
      </c>
      <c r="H553" s="276" t="s">
        <v>3227</v>
      </c>
      <c r="I553" s="276" t="s">
        <v>3228</v>
      </c>
      <c r="J553" s="276" t="s">
        <v>3229</v>
      </c>
      <c r="K553" s="276" t="s">
        <v>591</v>
      </c>
      <c r="L553" s="276" t="s">
        <v>592</v>
      </c>
      <c r="M553" s="276" t="s">
        <v>3230</v>
      </c>
      <c r="N553" s="276" t="s">
        <v>3231</v>
      </c>
    </row>
    <row r="554" spans="1:14" ht="50.45">
      <c r="A554" s="268" t="str">
        <f t="shared" si="8"/>
        <v>Developing Onself|Division Head|1</v>
      </c>
      <c r="B554" s="223" t="s">
        <v>2982</v>
      </c>
      <c r="C554" s="227" t="s">
        <v>838</v>
      </c>
      <c r="D554" s="226">
        <v>1</v>
      </c>
      <c r="E554" s="227" t="s">
        <v>586</v>
      </c>
      <c r="F554" s="227">
        <v>1</v>
      </c>
      <c r="G554" s="276" t="s">
        <v>3232</v>
      </c>
      <c r="H554" s="276" t="s">
        <v>3233</v>
      </c>
      <c r="I554" s="276" t="s">
        <v>3234</v>
      </c>
      <c r="J554" s="276" t="s">
        <v>3235</v>
      </c>
      <c r="K554" s="276" t="s">
        <v>591</v>
      </c>
      <c r="L554" s="276" t="s">
        <v>592</v>
      </c>
      <c r="M554" s="276" t="s">
        <v>3236</v>
      </c>
      <c r="N554" s="276" t="s">
        <v>594</v>
      </c>
    </row>
    <row r="555" spans="1:14" ht="67.150000000000006">
      <c r="A555" s="268" t="str">
        <f t="shared" si="8"/>
        <v>Developing Onself|Division Head|1</v>
      </c>
      <c r="B555" s="223" t="s">
        <v>2982</v>
      </c>
      <c r="C555" s="227" t="s">
        <v>838</v>
      </c>
      <c r="D555" s="226">
        <v>1</v>
      </c>
      <c r="E555" s="227" t="s">
        <v>586</v>
      </c>
      <c r="F555" s="227">
        <v>2</v>
      </c>
      <c r="G555" s="276" t="s">
        <v>3237</v>
      </c>
      <c r="H555" s="276" t="s">
        <v>3238</v>
      </c>
      <c r="I555" s="276" t="s">
        <v>3239</v>
      </c>
      <c r="J555" s="276" t="s">
        <v>3240</v>
      </c>
      <c r="K555" s="276" t="s">
        <v>591</v>
      </c>
      <c r="L555" s="276" t="s">
        <v>592</v>
      </c>
      <c r="M555" s="276" t="s">
        <v>3241</v>
      </c>
      <c r="N555" s="276" t="s">
        <v>594</v>
      </c>
    </row>
    <row r="556" spans="1:14" ht="50.45">
      <c r="A556" s="268" t="str">
        <f t="shared" si="8"/>
        <v>Developing Onself|Division Head|1</v>
      </c>
      <c r="B556" s="223" t="s">
        <v>2982</v>
      </c>
      <c r="C556" s="227" t="s">
        <v>838</v>
      </c>
      <c r="D556" s="226">
        <v>1</v>
      </c>
      <c r="E556" s="227" t="s">
        <v>586</v>
      </c>
      <c r="F556" s="227">
        <v>3</v>
      </c>
      <c r="G556" s="276" t="s">
        <v>3242</v>
      </c>
      <c r="H556" s="276" t="s">
        <v>3243</v>
      </c>
      <c r="I556" s="276" t="s">
        <v>3244</v>
      </c>
      <c r="J556" s="276" t="s">
        <v>3245</v>
      </c>
      <c r="K556" s="276" t="s">
        <v>591</v>
      </c>
      <c r="L556" s="276" t="s">
        <v>592</v>
      </c>
      <c r="M556" s="276" t="s">
        <v>3246</v>
      </c>
      <c r="N556" s="276" t="s">
        <v>594</v>
      </c>
    </row>
    <row r="557" spans="1:14" ht="33.6">
      <c r="A557" s="268" t="str">
        <f t="shared" si="8"/>
        <v>Developing Onself|Division Head|2</v>
      </c>
      <c r="B557" s="223" t="s">
        <v>2982</v>
      </c>
      <c r="C557" s="227" t="s">
        <v>838</v>
      </c>
      <c r="D557" s="227">
        <v>2</v>
      </c>
      <c r="E557" s="227" t="s">
        <v>605</v>
      </c>
      <c r="F557" s="227">
        <v>1</v>
      </c>
      <c r="G557" s="276" t="s">
        <v>3247</v>
      </c>
      <c r="H557" s="276" t="s">
        <v>3248</v>
      </c>
      <c r="I557" s="276" t="s">
        <v>3249</v>
      </c>
      <c r="J557" s="276" t="s">
        <v>3250</v>
      </c>
      <c r="K557" s="276" t="s">
        <v>591</v>
      </c>
      <c r="L557" s="276" t="s">
        <v>592</v>
      </c>
      <c r="M557" s="276" t="s">
        <v>3251</v>
      </c>
      <c r="N557" s="276" t="s">
        <v>737</v>
      </c>
    </row>
    <row r="558" spans="1:14" ht="33.6">
      <c r="A558" s="268" t="str">
        <f t="shared" si="8"/>
        <v>Developing Onself|Division Head|2</v>
      </c>
      <c r="B558" s="223" t="s">
        <v>2982</v>
      </c>
      <c r="C558" s="227" t="s">
        <v>838</v>
      </c>
      <c r="D558" s="227">
        <v>2</v>
      </c>
      <c r="E558" s="227" t="s">
        <v>605</v>
      </c>
      <c r="F558" s="227">
        <v>2</v>
      </c>
      <c r="G558" s="276" t="s">
        <v>3252</v>
      </c>
      <c r="H558" s="276" t="s">
        <v>3253</v>
      </c>
      <c r="I558" s="276" t="s">
        <v>3254</v>
      </c>
      <c r="J558" s="276" t="s">
        <v>3255</v>
      </c>
      <c r="K558" s="276" t="s">
        <v>591</v>
      </c>
      <c r="L558" s="276" t="s">
        <v>592</v>
      </c>
      <c r="M558" s="276" t="s">
        <v>3256</v>
      </c>
      <c r="N558" s="276" t="s">
        <v>737</v>
      </c>
    </row>
    <row r="559" spans="1:14" ht="50.45">
      <c r="A559" s="268" t="str">
        <f t="shared" si="8"/>
        <v>Developing Onself|Division Head|2</v>
      </c>
      <c r="B559" s="223" t="s">
        <v>2982</v>
      </c>
      <c r="C559" s="227" t="s">
        <v>838</v>
      </c>
      <c r="D559" s="227">
        <v>2</v>
      </c>
      <c r="E559" s="227" t="s">
        <v>605</v>
      </c>
      <c r="F559" s="227">
        <v>3</v>
      </c>
      <c r="G559" s="276" t="s">
        <v>3257</v>
      </c>
      <c r="H559" s="276" t="s">
        <v>3258</v>
      </c>
      <c r="I559" s="276" t="s">
        <v>3259</v>
      </c>
      <c r="J559" s="276" t="s">
        <v>3260</v>
      </c>
      <c r="K559" s="276" t="s">
        <v>591</v>
      </c>
      <c r="L559" s="276" t="s">
        <v>592</v>
      </c>
      <c r="M559" s="276" t="s">
        <v>3261</v>
      </c>
      <c r="N559" s="276" t="s">
        <v>737</v>
      </c>
    </row>
    <row r="560" spans="1:14" ht="33.6">
      <c r="A560" s="268" t="str">
        <f t="shared" si="8"/>
        <v>Developing Onself|Division Head|3</v>
      </c>
      <c r="B560" s="223" t="s">
        <v>2982</v>
      </c>
      <c r="C560" s="227" t="s">
        <v>838</v>
      </c>
      <c r="D560" s="227">
        <v>3</v>
      </c>
      <c r="E560" s="227" t="s">
        <v>623</v>
      </c>
      <c r="F560" s="227">
        <v>1</v>
      </c>
      <c r="G560" s="276" t="s">
        <v>3262</v>
      </c>
      <c r="H560" s="276" t="s">
        <v>3263</v>
      </c>
      <c r="I560" s="276" t="s">
        <v>3264</v>
      </c>
      <c r="J560" s="276" t="s">
        <v>3265</v>
      </c>
      <c r="K560" s="276" t="s">
        <v>591</v>
      </c>
      <c r="L560" s="276" t="s">
        <v>592</v>
      </c>
      <c r="M560" s="276" t="s">
        <v>3266</v>
      </c>
      <c r="N560" s="276" t="s">
        <v>3267</v>
      </c>
    </row>
    <row r="561" spans="1:14" ht="67.150000000000006">
      <c r="A561" s="268" t="str">
        <f t="shared" si="8"/>
        <v>Developing Onself|Division Head|3</v>
      </c>
      <c r="B561" s="223" t="s">
        <v>2982</v>
      </c>
      <c r="C561" s="227" t="s">
        <v>838</v>
      </c>
      <c r="D561" s="227">
        <v>3</v>
      </c>
      <c r="E561" s="227" t="s">
        <v>623</v>
      </c>
      <c r="F561" s="227">
        <v>2</v>
      </c>
      <c r="G561" s="276" t="s">
        <v>3268</v>
      </c>
      <c r="H561" s="276" t="s">
        <v>3269</v>
      </c>
      <c r="I561" s="276" t="s">
        <v>3270</v>
      </c>
      <c r="J561" s="276" t="s">
        <v>3271</v>
      </c>
      <c r="K561" s="276" t="s">
        <v>591</v>
      </c>
      <c r="L561" s="276" t="s">
        <v>592</v>
      </c>
      <c r="M561" s="276" t="s">
        <v>3272</v>
      </c>
      <c r="N561" s="276" t="s">
        <v>594</v>
      </c>
    </row>
    <row r="562" spans="1:14" ht="50.45">
      <c r="A562" s="268" t="str">
        <f t="shared" si="8"/>
        <v>Developing Onself|Division Head|3</v>
      </c>
      <c r="B562" s="223" t="s">
        <v>2982</v>
      </c>
      <c r="C562" s="227" t="s">
        <v>838</v>
      </c>
      <c r="D562" s="227">
        <v>3</v>
      </c>
      <c r="E562" s="227" t="s">
        <v>623</v>
      </c>
      <c r="F562" s="227">
        <v>3</v>
      </c>
      <c r="G562" s="276" t="s">
        <v>3273</v>
      </c>
      <c r="H562" s="276" t="s">
        <v>3274</v>
      </c>
      <c r="I562" s="276" t="s">
        <v>3275</v>
      </c>
      <c r="J562" s="276" t="s">
        <v>3276</v>
      </c>
      <c r="K562" s="276" t="s">
        <v>591</v>
      </c>
      <c r="L562" s="276" t="s">
        <v>592</v>
      </c>
      <c r="M562" s="276" t="s">
        <v>3277</v>
      </c>
      <c r="N562" s="276" t="s">
        <v>3091</v>
      </c>
    </row>
    <row r="563" spans="1:14" ht="50.45">
      <c r="A563" s="268" t="str">
        <f t="shared" si="8"/>
        <v>Developing Onself|Division Head|4</v>
      </c>
      <c r="B563" s="223" t="s">
        <v>2982</v>
      </c>
      <c r="C563" s="227" t="s">
        <v>838</v>
      </c>
      <c r="D563" s="227">
        <v>4</v>
      </c>
      <c r="E563" s="227" t="s">
        <v>641</v>
      </c>
      <c r="F563" s="227">
        <v>1</v>
      </c>
      <c r="G563" s="276" t="s">
        <v>3278</v>
      </c>
      <c r="H563" s="276" t="s">
        <v>3279</v>
      </c>
      <c r="I563" s="276" t="s">
        <v>3280</v>
      </c>
      <c r="J563" s="276" t="s">
        <v>3281</v>
      </c>
      <c r="K563" s="276" t="s">
        <v>591</v>
      </c>
      <c r="L563" s="276" t="s">
        <v>592</v>
      </c>
      <c r="M563" s="276" t="s">
        <v>3282</v>
      </c>
      <c r="N563" s="276" t="s">
        <v>622</v>
      </c>
    </row>
    <row r="564" spans="1:14" ht="67.150000000000006">
      <c r="A564" s="268" t="str">
        <f t="shared" si="8"/>
        <v>Developing Onself|Division Head|4</v>
      </c>
      <c r="B564" s="223" t="s">
        <v>2982</v>
      </c>
      <c r="C564" s="227" t="s">
        <v>838</v>
      </c>
      <c r="D564" s="227">
        <v>4</v>
      </c>
      <c r="E564" s="227" t="s">
        <v>641</v>
      </c>
      <c r="F564" s="227">
        <v>2</v>
      </c>
      <c r="G564" s="276" t="s">
        <v>3283</v>
      </c>
      <c r="H564" s="276" t="s">
        <v>3284</v>
      </c>
      <c r="I564" s="276" t="s">
        <v>3285</v>
      </c>
      <c r="J564" s="276" t="s">
        <v>3286</v>
      </c>
      <c r="K564" s="276" t="s">
        <v>591</v>
      </c>
      <c r="L564" s="276" t="s">
        <v>592</v>
      </c>
      <c r="M564" s="276" t="s">
        <v>3287</v>
      </c>
      <c r="N564" s="276" t="s">
        <v>1110</v>
      </c>
    </row>
    <row r="565" spans="1:14" ht="67.150000000000006">
      <c r="A565" s="268" t="str">
        <f t="shared" si="8"/>
        <v>Developing Onself|Division Head|4</v>
      </c>
      <c r="B565" s="223" t="s">
        <v>2982</v>
      </c>
      <c r="C565" s="227" t="s">
        <v>838</v>
      </c>
      <c r="D565" s="227">
        <v>4</v>
      </c>
      <c r="E565" s="227" t="s">
        <v>641</v>
      </c>
      <c r="F565" s="227">
        <v>3</v>
      </c>
      <c r="G565" s="276" t="s">
        <v>3288</v>
      </c>
      <c r="H565" s="276" t="s">
        <v>3289</v>
      </c>
      <c r="I565" s="276" t="s">
        <v>3290</v>
      </c>
      <c r="J565" s="276" t="s">
        <v>3291</v>
      </c>
      <c r="K565" s="276" t="s">
        <v>591</v>
      </c>
      <c r="L565" s="276" t="s">
        <v>592</v>
      </c>
      <c r="M565" s="276" t="s">
        <v>3292</v>
      </c>
      <c r="N565" s="276" t="s">
        <v>1733</v>
      </c>
    </row>
    <row r="566" spans="1:14" ht="39.6">
      <c r="A566" s="268" t="str">
        <f t="shared" si="8"/>
        <v>Developing Onself|Director|1</v>
      </c>
      <c r="B566" s="223" t="s">
        <v>2982</v>
      </c>
      <c r="C566" s="227" t="s">
        <v>898</v>
      </c>
      <c r="D566" s="226">
        <v>1</v>
      </c>
      <c r="E566" s="227" t="s">
        <v>586</v>
      </c>
      <c r="F566" s="227">
        <v>1</v>
      </c>
      <c r="G566" s="128" t="s">
        <v>3293</v>
      </c>
      <c r="H566" s="128" t="s">
        <v>3294</v>
      </c>
      <c r="I566" s="128" t="s">
        <v>3295</v>
      </c>
      <c r="J566" s="128" t="s">
        <v>3296</v>
      </c>
      <c r="K566" s="128" t="s">
        <v>591</v>
      </c>
      <c r="L566" s="128" t="s">
        <v>592</v>
      </c>
      <c r="M566" s="128" t="s">
        <v>3297</v>
      </c>
      <c r="N566" s="128" t="s">
        <v>594</v>
      </c>
    </row>
    <row r="567" spans="1:14" ht="66">
      <c r="A567" s="268" t="str">
        <f t="shared" si="8"/>
        <v>Developing Onself|Director|1</v>
      </c>
      <c r="B567" s="223" t="s">
        <v>2982</v>
      </c>
      <c r="C567" s="227" t="s">
        <v>898</v>
      </c>
      <c r="D567" s="226">
        <v>1</v>
      </c>
      <c r="E567" s="227" t="s">
        <v>586</v>
      </c>
      <c r="F567" s="227">
        <v>2</v>
      </c>
      <c r="G567" s="128" t="s">
        <v>3298</v>
      </c>
      <c r="H567" s="128" t="s">
        <v>3299</v>
      </c>
      <c r="I567" s="128" t="s">
        <v>3300</v>
      </c>
      <c r="J567" s="128" t="s">
        <v>3301</v>
      </c>
      <c r="K567" s="128" t="s">
        <v>591</v>
      </c>
      <c r="L567" s="128" t="s">
        <v>592</v>
      </c>
      <c r="M567" s="128" t="s">
        <v>3302</v>
      </c>
      <c r="N567" s="128" t="s">
        <v>594</v>
      </c>
    </row>
    <row r="568" spans="1:14" ht="52.9">
      <c r="A568" s="268" t="str">
        <f t="shared" si="8"/>
        <v>Developing Onself|Director|1</v>
      </c>
      <c r="B568" s="223" t="s">
        <v>2982</v>
      </c>
      <c r="C568" s="227" t="s">
        <v>898</v>
      </c>
      <c r="D568" s="226">
        <v>1</v>
      </c>
      <c r="E568" s="227" t="s">
        <v>586</v>
      </c>
      <c r="F568" s="227">
        <v>3</v>
      </c>
      <c r="G568" s="128" t="s">
        <v>3303</v>
      </c>
      <c r="H568" s="128" t="s">
        <v>3304</v>
      </c>
      <c r="I568" s="128" t="s">
        <v>3305</v>
      </c>
      <c r="J568" s="128" t="s">
        <v>3306</v>
      </c>
      <c r="K568" s="128" t="s">
        <v>591</v>
      </c>
      <c r="L568" s="128" t="s">
        <v>592</v>
      </c>
      <c r="M568" s="128" t="s">
        <v>3307</v>
      </c>
      <c r="N568" s="128" t="s">
        <v>594</v>
      </c>
    </row>
    <row r="569" spans="1:14" ht="28.9">
      <c r="A569" s="268" t="str">
        <f t="shared" si="8"/>
        <v>Developing Onself|Director|2</v>
      </c>
      <c r="B569" s="223" t="s">
        <v>2982</v>
      </c>
      <c r="C569" s="227" t="s">
        <v>898</v>
      </c>
      <c r="D569" s="227">
        <v>2</v>
      </c>
      <c r="E569" s="227" t="s">
        <v>605</v>
      </c>
      <c r="F569" s="227">
        <v>1</v>
      </c>
      <c r="G569" s="128" t="s">
        <v>3308</v>
      </c>
      <c r="H569" s="128" t="s">
        <v>3309</v>
      </c>
      <c r="I569" s="128" t="s">
        <v>3310</v>
      </c>
      <c r="J569" s="128" t="s">
        <v>3311</v>
      </c>
      <c r="K569" s="128" t="s">
        <v>591</v>
      </c>
      <c r="L569" s="128" t="s">
        <v>592</v>
      </c>
      <c r="M569" s="128" t="s">
        <v>3312</v>
      </c>
      <c r="N569" s="128" t="s">
        <v>737</v>
      </c>
    </row>
    <row r="570" spans="1:14" ht="28.9">
      <c r="A570" s="268" t="str">
        <f t="shared" si="8"/>
        <v>Developing Onself|Director|2</v>
      </c>
      <c r="B570" s="223" t="s">
        <v>2982</v>
      </c>
      <c r="C570" s="227" t="s">
        <v>898</v>
      </c>
      <c r="D570" s="227">
        <v>2</v>
      </c>
      <c r="E570" s="227" t="s">
        <v>605</v>
      </c>
      <c r="F570" s="227">
        <v>2</v>
      </c>
      <c r="G570" s="128" t="s">
        <v>3313</v>
      </c>
      <c r="H570" s="128" t="s">
        <v>3314</v>
      </c>
      <c r="I570" s="128" t="s">
        <v>3315</v>
      </c>
      <c r="J570" s="128" t="s">
        <v>3316</v>
      </c>
      <c r="K570" s="128" t="s">
        <v>591</v>
      </c>
      <c r="L570" s="128" t="s">
        <v>592</v>
      </c>
      <c r="M570" s="128" t="s">
        <v>3317</v>
      </c>
      <c r="N570" s="128" t="s">
        <v>737</v>
      </c>
    </row>
    <row r="571" spans="1:14" ht="52.9">
      <c r="A571" s="268" t="str">
        <f t="shared" si="8"/>
        <v>Developing Onself|Director|2</v>
      </c>
      <c r="B571" s="223" t="s">
        <v>2982</v>
      </c>
      <c r="C571" s="227" t="s">
        <v>898</v>
      </c>
      <c r="D571" s="227">
        <v>2</v>
      </c>
      <c r="E571" s="227" t="s">
        <v>605</v>
      </c>
      <c r="F571" s="227">
        <v>3</v>
      </c>
      <c r="G571" s="128" t="s">
        <v>3318</v>
      </c>
      <c r="H571" s="128" t="s">
        <v>3319</v>
      </c>
      <c r="I571" s="128" t="s">
        <v>3320</v>
      </c>
      <c r="J571" s="128" t="s">
        <v>3321</v>
      </c>
      <c r="K571" s="128" t="s">
        <v>591</v>
      </c>
      <c r="L571" s="128" t="s">
        <v>592</v>
      </c>
      <c r="M571" s="128" t="s">
        <v>3322</v>
      </c>
      <c r="N571" s="128" t="s">
        <v>737</v>
      </c>
    </row>
    <row r="572" spans="1:14" ht="39.6">
      <c r="A572" s="268" t="str">
        <f t="shared" si="8"/>
        <v>Developing Onself|Director|3</v>
      </c>
      <c r="B572" s="223" t="s">
        <v>2982</v>
      </c>
      <c r="C572" s="227" t="s">
        <v>898</v>
      </c>
      <c r="D572" s="227">
        <v>3</v>
      </c>
      <c r="E572" s="227" t="s">
        <v>623</v>
      </c>
      <c r="F572" s="227">
        <v>1</v>
      </c>
      <c r="G572" s="128" t="s">
        <v>3323</v>
      </c>
      <c r="H572" s="128" t="s">
        <v>3324</v>
      </c>
      <c r="I572" s="128" t="s">
        <v>3325</v>
      </c>
      <c r="J572" s="128" t="s">
        <v>3326</v>
      </c>
      <c r="K572" s="128" t="s">
        <v>591</v>
      </c>
      <c r="L572" s="128" t="s">
        <v>592</v>
      </c>
      <c r="M572" s="128" t="s">
        <v>3327</v>
      </c>
      <c r="N572" s="128" t="s">
        <v>3328</v>
      </c>
    </row>
    <row r="573" spans="1:14" ht="28.9">
      <c r="A573" s="268" t="str">
        <f t="shared" si="8"/>
        <v>Developing Onself|Director|3</v>
      </c>
      <c r="B573" s="223" t="s">
        <v>2982</v>
      </c>
      <c r="C573" s="227" t="s">
        <v>898</v>
      </c>
      <c r="D573" s="227">
        <v>3</v>
      </c>
      <c r="E573" s="227" t="s">
        <v>623</v>
      </c>
      <c r="F573" s="227">
        <v>2</v>
      </c>
      <c r="G573" s="128" t="s">
        <v>3329</v>
      </c>
      <c r="H573" s="128" t="s">
        <v>3330</v>
      </c>
      <c r="I573" s="128" t="s">
        <v>3331</v>
      </c>
      <c r="J573" s="128" t="s">
        <v>3332</v>
      </c>
      <c r="K573" s="128" t="s">
        <v>591</v>
      </c>
      <c r="L573" s="128" t="s">
        <v>592</v>
      </c>
      <c r="M573" s="128" t="s">
        <v>3333</v>
      </c>
      <c r="N573" s="128" t="s">
        <v>3334</v>
      </c>
    </row>
    <row r="574" spans="1:14" ht="52.9">
      <c r="A574" s="268" t="str">
        <f t="shared" si="8"/>
        <v>Developing Onself|Director|3</v>
      </c>
      <c r="B574" s="223" t="s">
        <v>2982</v>
      </c>
      <c r="C574" s="227" t="s">
        <v>898</v>
      </c>
      <c r="D574" s="227">
        <v>3</v>
      </c>
      <c r="E574" s="227" t="s">
        <v>623</v>
      </c>
      <c r="F574" s="227">
        <v>3</v>
      </c>
      <c r="G574" s="128" t="s">
        <v>3335</v>
      </c>
      <c r="H574" s="128" t="s">
        <v>3336</v>
      </c>
      <c r="I574" s="128" t="s">
        <v>3337</v>
      </c>
      <c r="J574" s="128" t="s">
        <v>3338</v>
      </c>
      <c r="K574" s="128" t="s">
        <v>591</v>
      </c>
      <c r="L574" s="128" t="s">
        <v>592</v>
      </c>
      <c r="M574" s="128" t="s">
        <v>3339</v>
      </c>
      <c r="N574" s="128" t="s">
        <v>3340</v>
      </c>
    </row>
    <row r="575" spans="1:14" ht="39.6">
      <c r="A575" s="268" t="str">
        <f t="shared" si="8"/>
        <v>Developing Onself|Director|4</v>
      </c>
      <c r="B575" s="223" t="s">
        <v>2982</v>
      </c>
      <c r="C575" s="227" t="s">
        <v>898</v>
      </c>
      <c r="D575" s="227">
        <v>4</v>
      </c>
      <c r="E575" s="227" t="s">
        <v>641</v>
      </c>
      <c r="F575" s="227">
        <v>1</v>
      </c>
      <c r="G575" s="128" t="s">
        <v>3341</v>
      </c>
      <c r="H575" s="128" t="s">
        <v>3342</v>
      </c>
      <c r="I575" s="128" t="s">
        <v>3343</v>
      </c>
      <c r="J575" s="128" t="s">
        <v>3344</v>
      </c>
      <c r="K575" s="128" t="s">
        <v>591</v>
      </c>
      <c r="L575" s="128" t="s">
        <v>592</v>
      </c>
      <c r="M575" s="128" t="s">
        <v>3345</v>
      </c>
      <c r="N575" s="128" t="s">
        <v>1733</v>
      </c>
    </row>
    <row r="576" spans="1:14" ht="39.6">
      <c r="A576" s="268" t="str">
        <f t="shared" si="8"/>
        <v>Developing Onself|Director|4</v>
      </c>
      <c r="B576" s="223" t="s">
        <v>2982</v>
      </c>
      <c r="C576" s="227" t="s">
        <v>898</v>
      </c>
      <c r="D576" s="227">
        <v>4</v>
      </c>
      <c r="E576" s="227" t="s">
        <v>641</v>
      </c>
      <c r="F576" s="227">
        <v>2</v>
      </c>
      <c r="G576" s="128" t="s">
        <v>3346</v>
      </c>
      <c r="H576" s="128" t="s">
        <v>3347</v>
      </c>
      <c r="I576" s="128" t="s">
        <v>3348</v>
      </c>
      <c r="J576" s="128" t="s">
        <v>3349</v>
      </c>
      <c r="K576" s="128" t="s">
        <v>591</v>
      </c>
      <c r="L576" s="128" t="s">
        <v>592</v>
      </c>
      <c r="M576" s="128" t="s">
        <v>3350</v>
      </c>
      <c r="N576" s="128" t="s">
        <v>3351</v>
      </c>
    </row>
    <row r="577" spans="1:14" ht="52.9">
      <c r="A577" s="268" t="str">
        <f t="shared" si="8"/>
        <v>Developing Onself|Director|4</v>
      </c>
      <c r="B577" s="223" t="s">
        <v>2982</v>
      </c>
      <c r="C577" s="227" t="s">
        <v>898</v>
      </c>
      <c r="D577" s="227">
        <v>4</v>
      </c>
      <c r="E577" s="227" t="s">
        <v>641</v>
      </c>
      <c r="F577" s="227">
        <v>3</v>
      </c>
      <c r="G577" s="128" t="s">
        <v>3352</v>
      </c>
      <c r="H577" s="128" t="s">
        <v>3353</v>
      </c>
      <c r="I577" s="128" t="s">
        <v>3354</v>
      </c>
      <c r="J577" s="128" t="s">
        <v>3355</v>
      </c>
      <c r="K577" s="128" t="s">
        <v>591</v>
      </c>
      <c r="L577" s="128" t="s">
        <v>592</v>
      </c>
      <c r="M577" s="128" t="s">
        <v>3356</v>
      </c>
      <c r="N577" s="128" t="s">
        <v>622</v>
      </c>
    </row>
    <row r="578" spans="1:14" ht="67.150000000000006">
      <c r="A578" s="268" t="str">
        <f t="shared" si="8"/>
        <v>Leadership|Officer|1</v>
      </c>
      <c r="B578" s="223" t="s">
        <v>564</v>
      </c>
      <c r="C578" s="197" t="s">
        <v>4</v>
      </c>
      <c r="D578" s="197">
        <v>1</v>
      </c>
      <c r="E578" s="79" t="s">
        <v>586</v>
      </c>
      <c r="F578" s="79">
        <v>1</v>
      </c>
      <c r="G578" s="276" t="s">
        <v>3357</v>
      </c>
      <c r="H578" s="276" t="s">
        <v>3358</v>
      </c>
      <c r="I578" s="276" t="s">
        <v>3359</v>
      </c>
      <c r="J578" s="276" t="s">
        <v>3360</v>
      </c>
      <c r="K578" s="276" t="s">
        <v>591</v>
      </c>
      <c r="L578" s="276" t="s">
        <v>592</v>
      </c>
      <c r="M578" s="276" t="s">
        <v>3361</v>
      </c>
      <c r="N578" s="276" t="s">
        <v>594</v>
      </c>
    </row>
    <row r="579" spans="1:14" ht="50.45">
      <c r="A579" s="268" t="str">
        <f t="shared" ref="A579:A642" si="9">B579 &amp; "|" &amp; C579 &amp; "|" &amp; D579</f>
        <v>Leadership|Officer|1</v>
      </c>
      <c r="B579" s="223" t="s">
        <v>564</v>
      </c>
      <c r="C579" s="197" t="s">
        <v>4</v>
      </c>
      <c r="D579" s="197">
        <v>1</v>
      </c>
      <c r="E579" s="79" t="s">
        <v>586</v>
      </c>
      <c r="F579" s="79">
        <v>2</v>
      </c>
      <c r="G579" s="276" t="s">
        <v>3362</v>
      </c>
      <c r="H579" s="276" t="s">
        <v>3363</v>
      </c>
      <c r="I579" s="276" t="s">
        <v>3364</v>
      </c>
      <c r="J579" s="276" t="s">
        <v>3365</v>
      </c>
      <c r="K579" s="276" t="s">
        <v>591</v>
      </c>
      <c r="L579" s="276" t="s">
        <v>592</v>
      </c>
      <c r="M579" s="276" t="s">
        <v>3366</v>
      </c>
      <c r="N579" s="276" t="s">
        <v>594</v>
      </c>
    </row>
    <row r="580" spans="1:14" ht="50.45">
      <c r="A580" s="268" t="str">
        <f t="shared" si="9"/>
        <v>Leadership|Officer|1</v>
      </c>
      <c r="B580" s="223" t="s">
        <v>564</v>
      </c>
      <c r="C580" s="197" t="s">
        <v>4</v>
      </c>
      <c r="D580" s="197">
        <v>1</v>
      </c>
      <c r="E580" s="79" t="s">
        <v>586</v>
      </c>
      <c r="F580" s="79">
        <v>3</v>
      </c>
      <c r="G580" s="276" t="s">
        <v>3367</v>
      </c>
      <c r="H580" s="276" t="s">
        <v>3368</v>
      </c>
      <c r="I580" s="276" t="s">
        <v>3369</v>
      </c>
      <c r="J580" s="276" t="s">
        <v>1642</v>
      </c>
      <c r="K580" s="276" t="s">
        <v>591</v>
      </c>
      <c r="L580" s="276" t="s">
        <v>592</v>
      </c>
      <c r="M580" s="276" t="s">
        <v>3370</v>
      </c>
      <c r="N580" s="276" t="s">
        <v>594</v>
      </c>
    </row>
    <row r="581" spans="1:14" ht="50.45">
      <c r="A581" s="268" t="str">
        <f t="shared" si="9"/>
        <v>Leadership|Officer|2</v>
      </c>
      <c r="B581" s="223" t="s">
        <v>564</v>
      </c>
      <c r="C581" s="197" t="s">
        <v>4</v>
      </c>
      <c r="D581" s="79">
        <v>2</v>
      </c>
      <c r="E581" s="79" t="s">
        <v>605</v>
      </c>
      <c r="F581" s="79">
        <v>1</v>
      </c>
      <c r="G581" s="276" t="s">
        <v>3371</v>
      </c>
      <c r="H581" s="276" t="s">
        <v>3372</v>
      </c>
      <c r="I581" s="276" t="s">
        <v>3373</v>
      </c>
      <c r="J581" s="276" t="s">
        <v>3374</v>
      </c>
      <c r="K581" s="276" t="s">
        <v>591</v>
      </c>
      <c r="L581" s="276" t="s">
        <v>592</v>
      </c>
      <c r="M581" s="276" t="s">
        <v>3375</v>
      </c>
      <c r="N581" s="276" t="s">
        <v>611</v>
      </c>
    </row>
    <row r="582" spans="1:14" ht="50.45">
      <c r="A582" s="268" t="str">
        <f t="shared" si="9"/>
        <v>Leadership|Officer|2</v>
      </c>
      <c r="B582" s="223" t="s">
        <v>564</v>
      </c>
      <c r="C582" s="197" t="s">
        <v>4</v>
      </c>
      <c r="D582" s="79">
        <v>2</v>
      </c>
      <c r="E582" s="79" t="s">
        <v>605</v>
      </c>
      <c r="F582" s="79">
        <v>2</v>
      </c>
      <c r="G582" s="276" t="s">
        <v>3376</v>
      </c>
      <c r="H582" s="276" t="s">
        <v>3377</v>
      </c>
      <c r="I582" s="276" t="s">
        <v>3378</v>
      </c>
      <c r="J582" s="276" t="s">
        <v>3379</v>
      </c>
      <c r="K582" s="276" t="s">
        <v>591</v>
      </c>
      <c r="L582" s="276" t="s">
        <v>592</v>
      </c>
      <c r="M582" s="276" t="s">
        <v>3380</v>
      </c>
      <c r="N582" s="276" t="s">
        <v>1621</v>
      </c>
    </row>
    <row r="583" spans="1:14" ht="50.45">
      <c r="A583" s="268" t="str">
        <f t="shared" si="9"/>
        <v>Leadership|Officer|2</v>
      </c>
      <c r="B583" s="223" t="s">
        <v>564</v>
      </c>
      <c r="C583" s="197" t="s">
        <v>4</v>
      </c>
      <c r="D583" s="79">
        <v>2</v>
      </c>
      <c r="E583" s="79" t="s">
        <v>605</v>
      </c>
      <c r="F583" s="79">
        <v>3</v>
      </c>
      <c r="G583" s="276" t="s">
        <v>3381</v>
      </c>
      <c r="H583" s="276" t="s">
        <v>3382</v>
      </c>
      <c r="I583" s="276" t="s">
        <v>3383</v>
      </c>
      <c r="J583" s="276" t="s">
        <v>3384</v>
      </c>
      <c r="K583" s="276" t="s">
        <v>591</v>
      </c>
      <c r="L583" s="276" t="s">
        <v>592</v>
      </c>
      <c r="M583" s="276" t="s">
        <v>3385</v>
      </c>
      <c r="N583" s="276" t="s">
        <v>594</v>
      </c>
    </row>
    <row r="584" spans="1:14" ht="50.45">
      <c r="A584" s="268" t="str">
        <f t="shared" si="9"/>
        <v>Leadership|Officer|3</v>
      </c>
      <c r="B584" s="223" t="s">
        <v>564</v>
      </c>
      <c r="C584" s="197" t="s">
        <v>4</v>
      </c>
      <c r="D584" s="79">
        <v>3</v>
      </c>
      <c r="E584" s="79" t="s">
        <v>623</v>
      </c>
      <c r="F584" s="79">
        <v>1</v>
      </c>
      <c r="G584" s="276" t="s">
        <v>3386</v>
      </c>
      <c r="H584" s="276" t="s">
        <v>3387</v>
      </c>
      <c r="I584" s="276" t="s">
        <v>3388</v>
      </c>
      <c r="J584" s="276" t="s">
        <v>3389</v>
      </c>
      <c r="K584" s="276" t="s">
        <v>591</v>
      </c>
      <c r="L584" s="276" t="s">
        <v>592</v>
      </c>
      <c r="M584" s="276" t="s">
        <v>3390</v>
      </c>
      <c r="N584" s="276" t="s">
        <v>2667</v>
      </c>
    </row>
    <row r="585" spans="1:14" ht="50.45">
      <c r="A585" s="268" t="str">
        <f t="shared" si="9"/>
        <v>Leadership|Officer|3</v>
      </c>
      <c r="B585" s="223" t="s">
        <v>564</v>
      </c>
      <c r="C585" s="197" t="s">
        <v>4</v>
      </c>
      <c r="D585" s="79">
        <v>3</v>
      </c>
      <c r="E585" s="79" t="s">
        <v>623</v>
      </c>
      <c r="F585" s="79">
        <v>2</v>
      </c>
      <c r="G585" s="276" t="s">
        <v>3391</v>
      </c>
      <c r="H585" s="276" t="s">
        <v>3392</v>
      </c>
      <c r="I585" s="276" t="s">
        <v>3393</v>
      </c>
      <c r="J585" s="276" t="s">
        <v>3394</v>
      </c>
      <c r="K585" s="276" t="s">
        <v>591</v>
      </c>
      <c r="L585" s="276" t="s">
        <v>592</v>
      </c>
      <c r="M585" s="276" t="s">
        <v>3395</v>
      </c>
      <c r="N585" s="276" t="s">
        <v>2721</v>
      </c>
    </row>
    <row r="586" spans="1:14" ht="67.150000000000006">
      <c r="A586" s="268" t="str">
        <f t="shared" si="9"/>
        <v>Leadership|Officer|3</v>
      </c>
      <c r="B586" s="223" t="s">
        <v>564</v>
      </c>
      <c r="C586" s="197" t="s">
        <v>4</v>
      </c>
      <c r="D586" s="79">
        <v>3</v>
      </c>
      <c r="E586" s="79" t="s">
        <v>623</v>
      </c>
      <c r="F586" s="79">
        <v>3</v>
      </c>
      <c r="G586" s="276" t="s">
        <v>3396</v>
      </c>
      <c r="H586" s="276" t="s">
        <v>3397</v>
      </c>
      <c r="I586" s="276" t="s">
        <v>3398</v>
      </c>
      <c r="J586" s="276" t="s">
        <v>638</v>
      </c>
      <c r="K586" s="276" t="s">
        <v>591</v>
      </c>
      <c r="L586" s="276" t="s">
        <v>592</v>
      </c>
      <c r="M586" s="276" t="s">
        <v>3399</v>
      </c>
      <c r="N586" s="276" t="s">
        <v>640</v>
      </c>
    </row>
    <row r="587" spans="1:14" ht="67.150000000000006">
      <c r="A587" s="268" t="str">
        <f t="shared" si="9"/>
        <v>Leadership|Officer|4</v>
      </c>
      <c r="B587" s="223" t="s">
        <v>564</v>
      </c>
      <c r="C587" s="197" t="s">
        <v>4</v>
      </c>
      <c r="D587" s="79">
        <v>4</v>
      </c>
      <c r="E587" s="79" t="s">
        <v>641</v>
      </c>
      <c r="F587" s="79">
        <v>1</v>
      </c>
      <c r="G587" s="276" t="s">
        <v>3400</v>
      </c>
      <c r="H587" s="276" t="s">
        <v>3401</v>
      </c>
      <c r="I587" s="276" t="s">
        <v>3402</v>
      </c>
      <c r="J587" s="276" t="s">
        <v>3403</v>
      </c>
      <c r="K587" s="276" t="s">
        <v>591</v>
      </c>
      <c r="L587" s="276" t="s">
        <v>592</v>
      </c>
      <c r="M587" s="276" t="s">
        <v>3404</v>
      </c>
      <c r="N587" s="276" t="s">
        <v>622</v>
      </c>
    </row>
    <row r="588" spans="1:14" ht="50.45">
      <c r="A588" s="268" t="str">
        <f t="shared" si="9"/>
        <v>Leadership|Officer|4</v>
      </c>
      <c r="B588" s="223" t="s">
        <v>564</v>
      </c>
      <c r="C588" s="197" t="s">
        <v>4</v>
      </c>
      <c r="D588" s="79">
        <v>4</v>
      </c>
      <c r="E588" s="79" t="s">
        <v>641</v>
      </c>
      <c r="F588" s="79">
        <v>2</v>
      </c>
      <c r="G588" s="276" t="s">
        <v>3405</v>
      </c>
      <c r="H588" s="276" t="s">
        <v>3406</v>
      </c>
      <c r="I588" s="276" t="s">
        <v>3407</v>
      </c>
      <c r="J588" s="276" t="s">
        <v>3408</v>
      </c>
      <c r="K588" s="276" t="s">
        <v>591</v>
      </c>
      <c r="L588" s="276" t="s">
        <v>592</v>
      </c>
      <c r="M588" s="276" t="s">
        <v>3409</v>
      </c>
      <c r="N588" s="276" t="s">
        <v>622</v>
      </c>
    </row>
    <row r="589" spans="1:14" ht="50.45">
      <c r="A589" s="268" t="str">
        <f t="shared" si="9"/>
        <v>Leadership|Officer|4</v>
      </c>
      <c r="B589" s="223" t="s">
        <v>564</v>
      </c>
      <c r="C589" s="197" t="s">
        <v>4</v>
      </c>
      <c r="D589" s="79">
        <v>4</v>
      </c>
      <c r="E589" s="79" t="s">
        <v>641</v>
      </c>
      <c r="F589" s="79">
        <v>3</v>
      </c>
      <c r="G589" s="276" t="s">
        <v>3410</v>
      </c>
      <c r="H589" s="276" t="s">
        <v>3411</v>
      </c>
      <c r="I589" s="276" t="s">
        <v>3412</v>
      </c>
      <c r="J589" s="276" t="s">
        <v>3413</v>
      </c>
      <c r="K589" s="276" t="s">
        <v>591</v>
      </c>
      <c r="L589" s="276" t="s">
        <v>592</v>
      </c>
      <c r="M589" s="276" t="s">
        <v>3414</v>
      </c>
      <c r="N589" s="276" t="s">
        <v>3415</v>
      </c>
    </row>
    <row r="590" spans="1:14" ht="50.45">
      <c r="A590" s="268" t="str">
        <f t="shared" si="9"/>
        <v>Leadership|Analyst|1</v>
      </c>
      <c r="B590" s="223" t="s">
        <v>564</v>
      </c>
      <c r="C590" s="197" t="s">
        <v>6</v>
      </c>
      <c r="D590" s="197">
        <v>1</v>
      </c>
      <c r="E590" s="79" t="s">
        <v>586</v>
      </c>
      <c r="F590" s="79">
        <v>1</v>
      </c>
      <c r="G590" s="276" t="s">
        <v>3416</v>
      </c>
      <c r="H590" s="276" t="s">
        <v>3417</v>
      </c>
      <c r="I590" s="276" t="s">
        <v>3418</v>
      </c>
      <c r="J590" s="276" t="s">
        <v>3419</v>
      </c>
      <c r="K590" s="276" t="s">
        <v>591</v>
      </c>
      <c r="L590" s="276" t="s">
        <v>592</v>
      </c>
      <c r="M590" s="276" t="s">
        <v>3420</v>
      </c>
      <c r="N590" s="276" t="s">
        <v>594</v>
      </c>
    </row>
    <row r="591" spans="1:14" ht="50.45">
      <c r="A591" s="268" t="str">
        <f t="shared" si="9"/>
        <v>Leadership|Analyst|1</v>
      </c>
      <c r="B591" s="223" t="s">
        <v>564</v>
      </c>
      <c r="C591" s="197" t="s">
        <v>6</v>
      </c>
      <c r="D591" s="197">
        <v>1</v>
      </c>
      <c r="E591" s="79" t="s">
        <v>586</v>
      </c>
      <c r="F591" s="79">
        <v>2</v>
      </c>
      <c r="G591" s="276" t="s">
        <v>3421</v>
      </c>
      <c r="H591" s="276" t="s">
        <v>3422</v>
      </c>
      <c r="I591" s="276" t="s">
        <v>3423</v>
      </c>
      <c r="J591" s="276" t="s">
        <v>3424</v>
      </c>
      <c r="K591" s="276" t="s">
        <v>591</v>
      </c>
      <c r="L591" s="276" t="s">
        <v>592</v>
      </c>
      <c r="M591" s="276" t="s">
        <v>3425</v>
      </c>
      <c r="N591" s="276" t="s">
        <v>1880</v>
      </c>
    </row>
    <row r="592" spans="1:14" ht="50.45">
      <c r="A592" s="268" t="str">
        <f t="shared" si="9"/>
        <v>Leadership|Analyst|1</v>
      </c>
      <c r="B592" s="223" t="s">
        <v>564</v>
      </c>
      <c r="C592" s="197" t="s">
        <v>6</v>
      </c>
      <c r="D592" s="197">
        <v>1</v>
      </c>
      <c r="E592" s="79" t="s">
        <v>586</v>
      </c>
      <c r="F592" s="79">
        <v>3</v>
      </c>
      <c r="G592" s="276" t="s">
        <v>3426</v>
      </c>
      <c r="H592" s="276" t="s">
        <v>3427</v>
      </c>
      <c r="I592" s="276" t="s">
        <v>3428</v>
      </c>
      <c r="J592" s="276" t="s">
        <v>1642</v>
      </c>
      <c r="K592" s="276" t="s">
        <v>591</v>
      </c>
      <c r="L592" s="276" t="s">
        <v>592</v>
      </c>
      <c r="M592" s="276" t="s">
        <v>3429</v>
      </c>
      <c r="N592" s="276" t="s">
        <v>594</v>
      </c>
    </row>
    <row r="593" spans="1:14" ht="50.45">
      <c r="A593" s="268" t="str">
        <f t="shared" si="9"/>
        <v>Leadership|Analyst|2</v>
      </c>
      <c r="B593" s="223" t="s">
        <v>564</v>
      </c>
      <c r="C593" s="197" t="s">
        <v>6</v>
      </c>
      <c r="D593" s="79">
        <v>2</v>
      </c>
      <c r="E593" s="79" t="s">
        <v>605</v>
      </c>
      <c r="F593" s="79">
        <v>1</v>
      </c>
      <c r="G593" s="276" t="s">
        <v>3430</v>
      </c>
      <c r="H593" s="276" t="s">
        <v>3431</v>
      </c>
      <c r="I593" s="276" t="s">
        <v>3432</v>
      </c>
      <c r="J593" s="276" t="s">
        <v>3433</v>
      </c>
      <c r="K593" s="276" t="s">
        <v>591</v>
      </c>
      <c r="L593" s="276" t="s">
        <v>592</v>
      </c>
      <c r="M593" s="276" t="s">
        <v>3434</v>
      </c>
      <c r="N593" s="276" t="s">
        <v>611</v>
      </c>
    </row>
    <row r="594" spans="1:14" ht="33.6">
      <c r="A594" s="268" t="str">
        <f t="shared" si="9"/>
        <v>Leadership|Analyst|2</v>
      </c>
      <c r="B594" s="223" t="s">
        <v>564</v>
      </c>
      <c r="C594" s="197" t="s">
        <v>6</v>
      </c>
      <c r="D594" s="79">
        <v>2</v>
      </c>
      <c r="E594" s="79" t="s">
        <v>605</v>
      </c>
      <c r="F594" s="79">
        <v>2</v>
      </c>
      <c r="G594" s="276" t="s">
        <v>3435</v>
      </c>
      <c r="H594" s="276" t="s">
        <v>3436</v>
      </c>
      <c r="I594" s="276" t="s">
        <v>3437</v>
      </c>
      <c r="J594" s="276" t="s">
        <v>3438</v>
      </c>
      <c r="K594" s="276" t="s">
        <v>591</v>
      </c>
      <c r="L594" s="276" t="s">
        <v>592</v>
      </c>
      <c r="M594" s="276" t="s">
        <v>3439</v>
      </c>
      <c r="N594" s="276" t="s">
        <v>622</v>
      </c>
    </row>
    <row r="595" spans="1:14" ht="50.45">
      <c r="A595" s="268" t="str">
        <f t="shared" si="9"/>
        <v>Leadership|Analyst|2</v>
      </c>
      <c r="B595" s="223" t="s">
        <v>564</v>
      </c>
      <c r="C595" s="197" t="s">
        <v>6</v>
      </c>
      <c r="D595" s="79">
        <v>2</v>
      </c>
      <c r="E595" s="79" t="s">
        <v>605</v>
      </c>
      <c r="F595" s="79">
        <v>3</v>
      </c>
      <c r="G595" s="276" t="s">
        <v>3440</v>
      </c>
      <c r="H595" s="276" t="s">
        <v>3441</v>
      </c>
      <c r="I595" s="276" t="s">
        <v>3442</v>
      </c>
      <c r="J595" s="276" t="s">
        <v>3443</v>
      </c>
      <c r="K595" s="276" t="s">
        <v>591</v>
      </c>
      <c r="L595" s="276" t="s">
        <v>592</v>
      </c>
      <c r="M595" s="276" t="s">
        <v>3444</v>
      </c>
      <c r="N595" s="276" t="s">
        <v>622</v>
      </c>
    </row>
    <row r="596" spans="1:14" ht="50.45">
      <c r="A596" s="268" t="str">
        <f t="shared" si="9"/>
        <v>Leadership|Analyst|3</v>
      </c>
      <c r="B596" s="223" t="s">
        <v>564</v>
      </c>
      <c r="C596" s="197" t="s">
        <v>6</v>
      </c>
      <c r="D596" s="79">
        <v>3</v>
      </c>
      <c r="E596" s="79" t="s">
        <v>623</v>
      </c>
      <c r="F596" s="79">
        <v>1</v>
      </c>
      <c r="G596" s="276" t="s">
        <v>3445</v>
      </c>
      <c r="H596" s="276" t="s">
        <v>3446</v>
      </c>
      <c r="I596" s="276" t="s">
        <v>3447</v>
      </c>
      <c r="J596" s="276" t="s">
        <v>3448</v>
      </c>
      <c r="K596" s="276" t="s">
        <v>591</v>
      </c>
      <c r="L596" s="276" t="s">
        <v>592</v>
      </c>
      <c r="M596" s="276" t="s">
        <v>3449</v>
      </c>
      <c r="N596" s="276" t="s">
        <v>1669</v>
      </c>
    </row>
    <row r="597" spans="1:14" ht="50.45">
      <c r="A597" s="268" t="str">
        <f t="shared" si="9"/>
        <v>Leadership|Analyst|3</v>
      </c>
      <c r="B597" s="223" t="s">
        <v>564</v>
      </c>
      <c r="C597" s="197" t="s">
        <v>6</v>
      </c>
      <c r="D597" s="79">
        <v>3</v>
      </c>
      <c r="E597" s="79" t="s">
        <v>623</v>
      </c>
      <c r="F597" s="79">
        <v>2</v>
      </c>
      <c r="G597" s="276" t="s">
        <v>3450</v>
      </c>
      <c r="H597" s="276" t="s">
        <v>3451</v>
      </c>
      <c r="I597" s="276" t="s">
        <v>3452</v>
      </c>
      <c r="J597" s="276" t="s">
        <v>3453</v>
      </c>
      <c r="K597" s="276" t="s">
        <v>591</v>
      </c>
      <c r="L597" s="276" t="s">
        <v>592</v>
      </c>
      <c r="M597" s="276" t="s">
        <v>3454</v>
      </c>
      <c r="N597" s="276" t="s">
        <v>1880</v>
      </c>
    </row>
    <row r="598" spans="1:14" ht="67.150000000000006">
      <c r="A598" s="268" t="str">
        <f t="shared" si="9"/>
        <v>Leadership|Analyst|3</v>
      </c>
      <c r="B598" s="223" t="s">
        <v>564</v>
      </c>
      <c r="C598" s="197" t="s">
        <v>6</v>
      </c>
      <c r="D598" s="79">
        <v>3</v>
      </c>
      <c r="E598" s="79" t="s">
        <v>623</v>
      </c>
      <c r="F598" s="79">
        <v>3</v>
      </c>
      <c r="G598" s="276" t="s">
        <v>3455</v>
      </c>
      <c r="H598" s="276" t="s">
        <v>3456</v>
      </c>
      <c r="I598" s="276" t="s">
        <v>3457</v>
      </c>
      <c r="J598" s="276" t="s">
        <v>638</v>
      </c>
      <c r="K598" s="276" t="s">
        <v>591</v>
      </c>
      <c r="L598" s="276" t="s">
        <v>592</v>
      </c>
      <c r="M598" s="276" t="s">
        <v>3458</v>
      </c>
      <c r="N598" s="276" t="s">
        <v>640</v>
      </c>
    </row>
    <row r="599" spans="1:14" ht="50.45">
      <c r="A599" s="268" t="str">
        <f t="shared" si="9"/>
        <v>Leadership|Analyst|4</v>
      </c>
      <c r="B599" s="223" t="s">
        <v>564</v>
      </c>
      <c r="C599" s="197" t="s">
        <v>6</v>
      </c>
      <c r="D599" s="79">
        <v>4</v>
      </c>
      <c r="E599" s="79" t="s">
        <v>641</v>
      </c>
      <c r="F599" s="79">
        <v>1</v>
      </c>
      <c r="G599" s="276" t="s">
        <v>3459</v>
      </c>
      <c r="H599" s="276" t="s">
        <v>3460</v>
      </c>
      <c r="I599" s="276" t="s">
        <v>3461</v>
      </c>
      <c r="J599" s="276" t="s">
        <v>3462</v>
      </c>
      <c r="K599" s="276" t="s">
        <v>591</v>
      </c>
      <c r="L599" s="276" t="s">
        <v>592</v>
      </c>
      <c r="M599" s="276" t="s">
        <v>3463</v>
      </c>
      <c r="N599" s="276" t="s">
        <v>622</v>
      </c>
    </row>
    <row r="600" spans="1:14" ht="50.45">
      <c r="A600" s="268" t="str">
        <f t="shared" si="9"/>
        <v>Leadership|Analyst|4</v>
      </c>
      <c r="B600" s="223" t="s">
        <v>564</v>
      </c>
      <c r="C600" s="197" t="s">
        <v>6</v>
      </c>
      <c r="D600" s="79">
        <v>4</v>
      </c>
      <c r="E600" s="79" t="s">
        <v>641</v>
      </c>
      <c r="F600" s="79">
        <v>2</v>
      </c>
      <c r="G600" s="276" t="s">
        <v>3464</v>
      </c>
      <c r="H600" s="276" t="s">
        <v>3465</v>
      </c>
      <c r="I600" s="276" t="s">
        <v>3466</v>
      </c>
      <c r="J600" s="276" t="s">
        <v>3467</v>
      </c>
      <c r="K600" s="276" t="s">
        <v>591</v>
      </c>
      <c r="L600" s="276" t="s">
        <v>592</v>
      </c>
      <c r="M600" s="276" t="s">
        <v>3468</v>
      </c>
      <c r="N600" s="276" t="s">
        <v>2976</v>
      </c>
    </row>
    <row r="601" spans="1:14" ht="50.45">
      <c r="A601" s="268" t="str">
        <f t="shared" si="9"/>
        <v>Leadership|Analyst|4</v>
      </c>
      <c r="B601" s="223" t="s">
        <v>564</v>
      </c>
      <c r="C601" s="197" t="s">
        <v>6</v>
      </c>
      <c r="D601" s="79">
        <v>4</v>
      </c>
      <c r="E601" s="79" t="s">
        <v>641</v>
      </c>
      <c r="F601" s="79">
        <v>3</v>
      </c>
      <c r="G601" s="276" t="s">
        <v>3469</v>
      </c>
      <c r="H601" s="276" t="s">
        <v>3470</v>
      </c>
      <c r="I601" s="276" t="s">
        <v>3471</v>
      </c>
      <c r="J601" s="276" t="s">
        <v>3472</v>
      </c>
      <c r="K601" s="276" t="s">
        <v>591</v>
      </c>
      <c r="L601" s="276" t="s">
        <v>592</v>
      </c>
      <c r="M601" s="276" t="s">
        <v>3473</v>
      </c>
      <c r="N601" s="276" t="s">
        <v>622</v>
      </c>
    </row>
    <row r="602" spans="1:14" ht="33.6">
      <c r="A602" s="268" t="str">
        <f t="shared" si="9"/>
        <v>Leadership|Unit Head/Specialist|1</v>
      </c>
      <c r="B602" s="223" t="s">
        <v>564</v>
      </c>
      <c r="C602" s="79" t="s">
        <v>13</v>
      </c>
      <c r="D602" s="197">
        <v>1</v>
      </c>
      <c r="E602" s="79" t="s">
        <v>586</v>
      </c>
      <c r="F602" s="79">
        <v>1</v>
      </c>
      <c r="G602" s="279" t="s">
        <v>3474</v>
      </c>
      <c r="H602" s="279" t="s">
        <v>3475</v>
      </c>
      <c r="I602" s="279" t="s">
        <v>3476</v>
      </c>
      <c r="J602" s="279" t="s">
        <v>3477</v>
      </c>
      <c r="K602" s="279" t="s">
        <v>591</v>
      </c>
      <c r="L602" s="279" t="s">
        <v>592</v>
      </c>
      <c r="M602" s="279" t="s">
        <v>3478</v>
      </c>
      <c r="N602" s="279" t="s">
        <v>594</v>
      </c>
    </row>
    <row r="603" spans="1:14" ht="67.150000000000006">
      <c r="A603" s="268" t="str">
        <f t="shared" si="9"/>
        <v>Leadership|Unit Head/Specialist|1</v>
      </c>
      <c r="B603" s="223" t="s">
        <v>564</v>
      </c>
      <c r="C603" s="79" t="s">
        <v>13</v>
      </c>
      <c r="D603" s="197">
        <v>1</v>
      </c>
      <c r="E603" s="79" t="s">
        <v>586</v>
      </c>
      <c r="F603" s="79">
        <v>2</v>
      </c>
      <c r="G603" s="279" t="s">
        <v>3479</v>
      </c>
      <c r="H603" s="279" t="s">
        <v>3480</v>
      </c>
      <c r="I603" s="279" t="s">
        <v>3481</v>
      </c>
      <c r="J603" s="279" t="s">
        <v>3482</v>
      </c>
      <c r="K603" s="279" t="s">
        <v>591</v>
      </c>
      <c r="L603" s="279" t="s">
        <v>592</v>
      </c>
      <c r="M603" s="279" t="s">
        <v>3483</v>
      </c>
      <c r="N603" s="279" t="s">
        <v>594</v>
      </c>
    </row>
    <row r="604" spans="1:14" ht="50.45">
      <c r="A604" s="268" t="str">
        <f t="shared" si="9"/>
        <v>Leadership|Unit Head/Specialist|1</v>
      </c>
      <c r="B604" s="223" t="s">
        <v>564</v>
      </c>
      <c r="C604" s="79" t="s">
        <v>13</v>
      </c>
      <c r="D604" s="197">
        <v>1</v>
      </c>
      <c r="E604" s="79" t="s">
        <v>586</v>
      </c>
      <c r="F604" s="79">
        <v>3</v>
      </c>
      <c r="G604" s="279" t="s">
        <v>3484</v>
      </c>
      <c r="H604" s="279" t="s">
        <v>3485</v>
      </c>
      <c r="I604" s="279" t="s">
        <v>3486</v>
      </c>
      <c r="J604" s="279" t="s">
        <v>3487</v>
      </c>
      <c r="K604" s="279" t="s">
        <v>591</v>
      </c>
      <c r="L604" s="279" t="s">
        <v>592</v>
      </c>
      <c r="M604" s="279" t="s">
        <v>3488</v>
      </c>
      <c r="N604" s="279" t="s">
        <v>622</v>
      </c>
    </row>
    <row r="605" spans="1:14" ht="33.6">
      <c r="A605" s="268" t="str">
        <f t="shared" si="9"/>
        <v>Leadership|Unit Head/Specialist|2</v>
      </c>
      <c r="B605" s="223" t="s">
        <v>564</v>
      </c>
      <c r="C605" s="79" t="s">
        <v>13</v>
      </c>
      <c r="D605" s="79">
        <v>2</v>
      </c>
      <c r="E605" s="79" t="s">
        <v>605</v>
      </c>
      <c r="F605" s="79">
        <v>1</v>
      </c>
      <c r="G605" s="279" t="s">
        <v>3489</v>
      </c>
      <c r="H605" s="279" t="s">
        <v>3490</v>
      </c>
      <c r="I605" s="279" t="s">
        <v>3491</v>
      </c>
      <c r="J605" s="279" t="s">
        <v>3492</v>
      </c>
      <c r="K605" s="279" t="s">
        <v>591</v>
      </c>
      <c r="L605" s="279" t="s">
        <v>592</v>
      </c>
      <c r="M605" s="279" t="s">
        <v>3493</v>
      </c>
      <c r="N605" s="279" t="s">
        <v>737</v>
      </c>
    </row>
    <row r="606" spans="1:14" ht="50.45">
      <c r="A606" s="268" t="str">
        <f t="shared" si="9"/>
        <v>Leadership|Unit Head/Specialist|2</v>
      </c>
      <c r="B606" s="223" t="s">
        <v>564</v>
      </c>
      <c r="C606" s="79" t="s">
        <v>13</v>
      </c>
      <c r="D606" s="79">
        <v>2</v>
      </c>
      <c r="E606" s="79" t="s">
        <v>605</v>
      </c>
      <c r="F606" s="79">
        <v>2</v>
      </c>
      <c r="G606" s="279" t="s">
        <v>3494</v>
      </c>
      <c r="H606" s="279" t="s">
        <v>3495</v>
      </c>
      <c r="I606" s="279" t="s">
        <v>3496</v>
      </c>
      <c r="J606" s="279" t="s">
        <v>3497</v>
      </c>
      <c r="K606" s="279" t="s">
        <v>591</v>
      </c>
      <c r="L606" s="279" t="s">
        <v>592</v>
      </c>
      <c r="M606" s="279" t="s">
        <v>3498</v>
      </c>
      <c r="N606" s="279" t="s">
        <v>611</v>
      </c>
    </row>
    <row r="607" spans="1:14" ht="33.6">
      <c r="A607" s="268" t="str">
        <f t="shared" si="9"/>
        <v>Leadership|Unit Head/Specialist|2</v>
      </c>
      <c r="B607" s="223" t="s">
        <v>564</v>
      </c>
      <c r="C607" s="79" t="s">
        <v>13</v>
      </c>
      <c r="D607" s="79">
        <v>2</v>
      </c>
      <c r="E607" s="79" t="s">
        <v>605</v>
      </c>
      <c r="F607" s="79">
        <v>3</v>
      </c>
      <c r="G607" s="279" t="s">
        <v>3499</v>
      </c>
      <c r="H607" s="279" t="s">
        <v>3500</v>
      </c>
      <c r="I607" s="279" t="s">
        <v>3501</v>
      </c>
      <c r="J607" s="279" t="s">
        <v>3502</v>
      </c>
      <c r="K607" s="279" t="s">
        <v>591</v>
      </c>
      <c r="L607" s="279" t="s">
        <v>592</v>
      </c>
      <c r="M607" s="279" t="s">
        <v>3503</v>
      </c>
      <c r="N607" s="279" t="s">
        <v>622</v>
      </c>
    </row>
    <row r="608" spans="1:14" ht="33.6">
      <c r="A608" s="268" t="str">
        <f t="shared" si="9"/>
        <v>Leadership|Unit Head/Specialist|3</v>
      </c>
      <c r="B608" s="223" t="s">
        <v>564</v>
      </c>
      <c r="C608" s="79" t="s">
        <v>13</v>
      </c>
      <c r="D608" s="79">
        <v>3</v>
      </c>
      <c r="E608" s="79" t="s">
        <v>623</v>
      </c>
      <c r="F608" s="79">
        <v>1</v>
      </c>
      <c r="G608" s="279" t="s">
        <v>3504</v>
      </c>
      <c r="H608" s="279" t="s">
        <v>3505</v>
      </c>
      <c r="I608" s="279" t="s">
        <v>3506</v>
      </c>
      <c r="J608" s="279" t="s">
        <v>3507</v>
      </c>
      <c r="K608" s="279" t="s">
        <v>591</v>
      </c>
      <c r="L608" s="279" t="s">
        <v>592</v>
      </c>
      <c r="M608" s="279" t="s">
        <v>3508</v>
      </c>
      <c r="N608" s="279" t="s">
        <v>594</v>
      </c>
    </row>
    <row r="609" spans="1:14" ht="50.45">
      <c r="A609" s="268" t="str">
        <f t="shared" si="9"/>
        <v>Leadership|Unit Head/Specialist|3</v>
      </c>
      <c r="B609" s="223" t="s">
        <v>564</v>
      </c>
      <c r="C609" s="79" t="s">
        <v>13</v>
      </c>
      <c r="D609" s="79">
        <v>3</v>
      </c>
      <c r="E609" s="79" t="s">
        <v>623</v>
      </c>
      <c r="F609" s="79">
        <v>2</v>
      </c>
      <c r="G609" s="279" t="s">
        <v>3509</v>
      </c>
      <c r="H609" s="279" t="s">
        <v>3510</v>
      </c>
      <c r="I609" s="279" t="s">
        <v>3511</v>
      </c>
      <c r="J609" s="279" t="s">
        <v>3512</v>
      </c>
      <c r="K609" s="279" t="s">
        <v>591</v>
      </c>
      <c r="L609" s="279" t="s">
        <v>592</v>
      </c>
      <c r="M609" s="279" t="s">
        <v>3513</v>
      </c>
      <c r="N609" s="279" t="s">
        <v>1880</v>
      </c>
    </row>
    <row r="610" spans="1:14" ht="67.150000000000006">
      <c r="A610" s="268" t="str">
        <f t="shared" si="9"/>
        <v>Leadership|Unit Head/Specialist|3</v>
      </c>
      <c r="B610" s="223" t="s">
        <v>564</v>
      </c>
      <c r="C610" s="79" t="s">
        <v>13</v>
      </c>
      <c r="D610" s="79">
        <v>3</v>
      </c>
      <c r="E610" s="79" t="s">
        <v>623</v>
      </c>
      <c r="F610" s="79">
        <v>3</v>
      </c>
      <c r="G610" s="279" t="s">
        <v>3514</v>
      </c>
      <c r="H610" s="279" t="s">
        <v>3515</v>
      </c>
      <c r="I610" s="279" t="s">
        <v>3516</v>
      </c>
      <c r="J610" s="279" t="s">
        <v>638</v>
      </c>
      <c r="K610" s="279" t="s">
        <v>591</v>
      </c>
      <c r="L610" s="279" t="s">
        <v>592</v>
      </c>
      <c r="M610" s="279" t="s">
        <v>3517</v>
      </c>
      <c r="N610" s="279" t="s">
        <v>640</v>
      </c>
    </row>
    <row r="611" spans="1:14" ht="50.45">
      <c r="A611" s="268" t="str">
        <f t="shared" si="9"/>
        <v>Leadership|Unit Head/Specialist|4</v>
      </c>
      <c r="B611" s="223" t="s">
        <v>564</v>
      </c>
      <c r="C611" s="79" t="s">
        <v>13</v>
      </c>
      <c r="D611" s="79">
        <v>4</v>
      </c>
      <c r="E611" s="79" t="s">
        <v>641</v>
      </c>
      <c r="F611" s="79">
        <v>1</v>
      </c>
      <c r="G611" s="279" t="s">
        <v>3518</v>
      </c>
      <c r="H611" s="279" t="s">
        <v>3519</v>
      </c>
      <c r="I611" s="279" t="s">
        <v>3520</v>
      </c>
      <c r="J611" s="279" t="s">
        <v>3521</v>
      </c>
      <c r="K611" s="279" t="s">
        <v>591</v>
      </c>
      <c r="L611" s="279" t="s">
        <v>592</v>
      </c>
      <c r="M611" s="279" t="s">
        <v>3522</v>
      </c>
      <c r="N611" s="279" t="s">
        <v>622</v>
      </c>
    </row>
    <row r="612" spans="1:14" ht="50.45">
      <c r="A612" s="268" t="str">
        <f t="shared" si="9"/>
        <v>Leadership|Unit Head/Specialist|4</v>
      </c>
      <c r="B612" s="223" t="s">
        <v>564</v>
      </c>
      <c r="C612" s="79" t="s">
        <v>13</v>
      </c>
      <c r="D612" s="79">
        <v>4</v>
      </c>
      <c r="E612" s="79" t="s">
        <v>641</v>
      </c>
      <c r="F612" s="79">
        <v>2</v>
      </c>
      <c r="G612" s="279" t="s">
        <v>3523</v>
      </c>
      <c r="H612" s="279" t="s">
        <v>3524</v>
      </c>
      <c r="I612" s="279" t="s">
        <v>3525</v>
      </c>
      <c r="J612" s="279" t="s">
        <v>3526</v>
      </c>
      <c r="K612" s="279" t="s">
        <v>591</v>
      </c>
      <c r="L612" s="279" t="s">
        <v>592</v>
      </c>
      <c r="M612" s="279" t="s">
        <v>3527</v>
      </c>
      <c r="N612" s="279" t="s">
        <v>2921</v>
      </c>
    </row>
    <row r="613" spans="1:14" ht="50.45">
      <c r="A613" s="268" t="str">
        <f t="shared" si="9"/>
        <v>Leadership|Unit Head/Specialist|4</v>
      </c>
      <c r="B613" s="223" t="s">
        <v>564</v>
      </c>
      <c r="C613" s="79" t="s">
        <v>13</v>
      </c>
      <c r="D613" s="79">
        <v>4</v>
      </c>
      <c r="E613" s="79" t="s">
        <v>641</v>
      </c>
      <c r="F613" s="79">
        <v>3</v>
      </c>
      <c r="G613" s="279" t="s">
        <v>3528</v>
      </c>
      <c r="H613" s="279" t="s">
        <v>3529</v>
      </c>
      <c r="I613" s="279" t="s">
        <v>3530</v>
      </c>
      <c r="J613" s="279" t="s">
        <v>3531</v>
      </c>
      <c r="K613" s="279" t="s">
        <v>591</v>
      </c>
      <c r="L613" s="279" t="s">
        <v>592</v>
      </c>
      <c r="M613" s="279" t="s">
        <v>3532</v>
      </c>
      <c r="N613" s="279" t="s">
        <v>622</v>
      </c>
    </row>
    <row r="614" spans="1:14" ht="33.6">
      <c r="A614" s="268" t="str">
        <f t="shared" si="9"/>
        <v>Leadership|Department Head|1</v>
      </c>
      <c r="B614" s="223" t="s">
        <v>564</v>
      </c>
      <c r="C614" s="79" t="s">
        <v>779</v>
      </c>
      <c r="D614" s="197">
        <v>1</v>
      </c>
      <c r="E614" s="79" t="s">
        <v>586</v>
      </c>
      <c r="F614" s="79">
        <v>1</v>
      </c>
      <c r="G614" s="279" t="s">
        <v>3533</v>
      </c>
      <c r="H614" s="279" t="s">
        <v>3534</v>
      </c>
      <c r="I614" s="279" t="s">
        <v>3535</v>
      </c>
      <c r="J614" s="279" t="s">
        <v>3536</v>
      </c>
      <c r="K614" s="279" t="s">
        <v>591</v>
      </c>
      <c r="L614" s="279" t="s">
        <v>592</v>
      </c>
      <c r="M614" s="279" t="s">
        <v>3537</v>
      </c>
      <c r="N614" s="279" t="s">
        <v>594</v>
      </c>
    </row>
    <row r="615" spans="1:14" ht="84">
      <c r="A615" s="268" t="str">
        <f t="shared" si="9"/>
        <v>Leadership|Department Head|1</v>
      </c>
      <c r="B615" s="223" t="s">
        <v>564</v>
      </c>
      <c r="C615" s="79" t="s">
        <v>779</v>
      </c>
      <c r="D615" s="197">
        <v>1</v>
      </c>
      <c r="E615" s="79" t="s">
        <v>586</v>
      </c>
      <c r="F615" s="79">
        <v>2</v>
      </c>
      <c r="G615" s="279" t="s">
        <v>3538</v>
      </c>
      <c r="H615" s="279" t="s">
        <v>3539</v>
      </c>
      <c r="I615" s="279" t="s">
        <v>3540</v>
      </c>
      <c r="J615" s="279" t="s">
        <v>3541</v>
      </c>
      <c r="K615" s="279" t="s">
        <v>591</v>
      </c>
      <c r="L615" s="279" t="s">
        <v>592</v>
      </c>
      <c r="M615" s="279" t="s">
        <v>3542</v>
      </c>
      <c r="N615" s="279" t="s">
        <v>594</v>
      </c>
    </row>
    <row r="616" spans="1:14" ht="67.150000000000006">
      <c r="A616" s="268" t="str">
        <f t="shared" si="9"/>
        <v>Leadership|Department Head|1</v>
      </c>
      <c r="B616" s="223" t="s">
        <v>564</v>
      </c>
      <c r="C616" s="79" t="s">
        <v>779</v>
      </c>
      <c r="D616" s="197">
        <v>1</v>
      </c>
      <c r="E616" s="79" t="s">
        <v>586</v>
      </c>
      <c r="F616" s="79">
        <v>3</v>
      </c>
      <c r="G616" s="279" t="s">
        <v>3543</v>
      </c>
      <c r="H616" s="279" t="s">
        <v>3544</v>
      </c>
      <c r="I616" s="279" t="s">
        <v>3545</v>
      </c>
      <c r="J616" s="279" t="s">
        <v>3546</v>
      </c>
      <c r="K616" s="279" t="s">
        <v>591</v>
      </c>
      <c r="L616" s="279" t="s">
        <v>592</v>
      </c>
      <c r="M616" s="279" t="s">
        <v>3547</v>
      </c>
      <c r="N616" s="279" t="s">
        <v>594</v>
      </c>
    </row>
    <row r="617" spans="1:14" ht="50.45">
      <c r="A617" s="268" t="str">
        <f t="shared" si="9"/>
        <v>Leadership|Department Head|2</v>
      </c>
      <c r="B617" s="223" t="s">
        <v>564</v>
      </c>
      <c r="C617" s="79" t="s">
        <v>779</v>
      </c>
      <c r="D617" s="79">
        <v>2</v>
      </c>
      <c r="E617" s="79" t="s">
        <v>605</v>
      </c>
      <c r="F617" s="79">
        <v>1</v>
      </c>
      <c r="G617" s="279" t="s">
        <v>3548</v>
      </c>
      <c r="H617" s="279" t="s">
        <v>3549</v>
      </c>
      <c r="I617" s="279" t="s">
        <v>3550</v>
      </c>
      <c r="J617" s="279" t="s">
        <v>3551</v>
      </c>
      <c r="K617" s="279" t="s">
        <v>591</v>
      </c>
      <c r="L617" s="279" t="s">
        <v>592</v>
      </c>
      <c r="M617" s="279" t="s">
        <v>3552</v>
      </c>
      <c r="N617" s="279" t="s">
        <v>737</v>
      </c>
    </row>
    <row r="618" spans="1:14" ht="67.150000000000006">
      <c r="A618" s="268" t="str">
        <f t="shared" si="9"/>
        <v>Leadership|Department Head|2</v>
      </c>
      <c r="B618" s="223" t="s">
        <v>564</v>
      </c>
      <c r="C618" s="79" t="s">
        <v>779</v>
      </c>
      <c r="D618" s="79">
        <v>2</v>
      </c>
      <c r="E618" s="79" t="s">
        <v>605</v>
      </c>
      <c r="F618" s="79">
        <v>2</v>
      </c>
      <c r="G618" s="279" t="s">
        <v>3553</v>
      </c>
      <c r="H618" s="279" t="s">
        <v>3554</v>
      </c>
      <c r="I618" s="279" t="s">
        <v>3555</v>
      </c>
      <c r="J618" s="279" t="s">
        <v>3556</v>
      </c>
      <c r="K618" s="279" t="s">
        <v>591</v>
      </c>
      <c r="L618" s="279" t="s">
        <v>592</v>
      </c>
      <c r="M618" s="279" t="s">
        <v>3557</v>
      </c>
      <c r="N618" s="279" t="s">
        <v>594</v>
      </c>
    </row>
    <row r="619" spans="1:14" ht="33.6">
      <c r="A619" s="268" t="str">
        <f t="shared" si="9"/>
        <v>Leadership|Department Head|2</v>
      </c>
      <c r="B619" s="223" t="s">
        <v>564</v>
      </c>
      <c r="C619" s="79" t="s">
        <v>779</v>
      </c>
      <c r="D619" s="79">
        <v>2</v>
      </c>
      <c r="E619" s="79" t="s">
        <v>605</v>
      </c>
      <c r="F619" s="79">
        <v>3</v>
      </c>
      <c r="G619" s="279" t="s">
        <v>3558</v>
      </c>
      <c r="H619" s="279" t="s">
        <v>3559</v>
      </c>
      <c r="I619" s="279" t="s">
        <v>3560</v>
      </c>
      <c r="J619" s="279" t="s">
        <v>3561</v>
      </c>
      <c r="K619" s="279" t="s">
        <v>591</v>
      </c>
      <c r="L619" s="279" t="s">
        <v>592</v>
      </c>
      <c r="M619" s="279" t="s">
        <v>3562</v>
      </c>
      <c r="N619" s="279" t="s">
        <v>622</v>
      </c>
    </row>
    <row r="620" spans="1:14" ht="33.6">
      <c r="A620" s="268" t="str">
        <f t="shared" si="9"/>
        <v>Leadership|Department Head|3</v>
      </c>
      <c r="B620" s="223" t="s">
        <v>564</v>
      </c>
      <c r="C620" s="79" t="s">
        <v>779</v>
      </c>
      <c r="D620" s="79">
        <v>3</v>
      </c>
      <c r="E620" s="79" t="s">
        <v>623</v>
      </c>
      <c r="F620" s="79">
        <v>1</v>
      </c>
      <c r="G620" s="279" t="s">
        <v>3563</v>
      </c>
      <c r="H620" s="279" t="s">
        <v>3564</v>
      </c>
      <c r="I620" s="279" t="s">
        <v>3565</v>
      </c>
      <c r="J620" s="279" t="s">
        <v>3566</v>
      </c>
      <c r="K620" s="279" t="s">
        <v>591</v>
      </c>
      <c r="L620" s="279" t="s">
        <v>592</v>
      </c>
      <c r="M620" s="279" t="s">
        <v>3567</v>
      </c>
      <c r="N620" s="279" t="s">
        <v>1853</v>
      </c>
    </row>
    <row r="621" spans="1:14" ht="50.45">
      <c r="A621" s="268" t="str">
        <f t="shared" si="9"/>
        <v>Leadership|Department Head|3</v>
      </c>
      <c r="B621" s="223" t="s">
        <v>564</v>
      </c>
      <c r="C621" s="79" t="s">
        <v>779</v>
      </c>
      <c r="D621" s="79">
        <v>3</v>
      </c>
      <c r="E621" s="79" t="s">
        <v>623</v>
      </c>
      <c r="F621" s="79">
        <v>2</v>
      </c>
      <c r="G621" s="279" t="s">
        <v>3568</v>
      </c>
      <c r="H621" s="279" t="s">
        <v>3569</v>
      </c>
      <c r="I621" s="279" t="s">
        <v>3570</v>
      </c>
      <c r="J621" s="279" t="s">
        <v>3571</v>
      </c>
      <c r="K621" s="279" t="s">
        <v>591</v>
      </c>
      <c r="L621" s="279" t="s">
        <v>592</v>
      </c>
      <c r="M621" s="279" t="s">
        <v>3572</v>
      </c>
      <c r="N621" s="279" t="s">
        <v>1880</v>
      </c>
    </row>
    <row r="622" spans="1:14" ht="84">
      <c r="A622" s="268" t="str">
        <f t="shared" si="9"/>
        <v>Leadership|Department Head|3</v>
      </c>
      <c r="B622" s="223" t="s">
        <v>564</v>
      </c>
      <c r="C622" s="79" t="s">
        <v>779</v>
      </c>
      <c r="D622" s="79">
        <v>3</v>
      </c>
      <c r="E622" s="79" t="s">
        <v>623</v>
      </c>
      <c r="F622" s="79">
        <v>3</v>
      </c>
      <c r="G622" s="279" t="s">
        <v>3573</v>
      </c>
      <c r="H622" s="279" t="s">
        <v>3515</v>
      </c>
      <c r="I622" s="279" t="s">
        <v>3574</v>
      </c>
      <c r="J622" s="279" t="s">
        <v>3575</v>
      </c>
      <c r="K622" s="279" t="s">
        <v>591</v>
      </c>
      <c r="L622" s="279" t="s">
        <v>592</v>
      </c>
      <c r="M622" s="279" t="s">
        <v>3576</v>
      </c>
      <c r="N622" s="279" t="s">
        <v>640</v>
      </c>
    </row>
    <row r="623" spans="1:14" ht="33.6">
      <c r="A623" s="268" t="str">
        <f t="shared" si="9"/>
        <v>Leadership|Department Head|4</v>
      </c>
      <c r="B623" s="223" t="s">
        <v>564</v>
      </c>
      <c r="C623" s="79" t="s">
        <v>779</v>
      </c>
      <c r="D623" s="79">
        <v>4</v>
      </c>
      <c r="E623" s="79" t="s">
        <v>641</v>
      </c>
      <c r="F623" s="79">
        <v>1</v>
      </c>
      <c r="G623" s="279" t="s">
        <v>3577</v>
      </c>
      <c r="H623" s="279" t="s">
        <v>3578</v>
      </c>
      <c r="I623" s="279" t="s">
        <v>3579</v>
      </c>
      <c r="J623" s="279" t="s">
        <v>3580</v>
      </c>
      <c r="K623" s="279" t="s">
        <v>591</v>
      </c>
      <c r="L623" s="279" t="s">
        <v>592</v>
      </c>
      <c r="M623" s="279" t="s">
        <v>3581</v>
      </c>
      <c r="N623" s="279" t="s">
        <v>2921</v>
      </c>
    </row>
    <row r="624" spans="1:14" ht="67.150000000000006">
      <c r="A624" s="268" t="str">
        <f t="shared" si="9"/>
        <v>Leadership|Department Head|4</v>
      </c>
      <c r="B624" s="223" t="s">
        <v>564</v>
      </c>
      <c r="C624" s="79" t="s">
        <v>779</v>
      </c>
      <c r="D624" s="79">
        <v>4</v>
      </c>
      <c r="E624" s="79" t="s">
        <v>641</v>
      </c>
      <c r="F624" s="79">
        <v>2</v>
      </c>
      <c r="G624" s="279" t="s">
        <v>3582</v>
      </c>
      <c r="H624" s="279" t="s">
        <v>3583</v>
      </c>
      <c r="I624" s="279" t="s">
        <v>3584</v>
      </c>
      <c r="J624" s="279" t="s">
        <v>3585</v>
      </c>
      <c r="K624" s="279" t="s">
        <v>591</v>
      </c>
      <c r="L624" s="279" t="s">
        <v>592</v>
      </c>
      <c r="M624" s="279" t="s">
        <v>3586</v>
      </c>
      <c r="N624" s="279" t="s">
        <v>1880</v>
      </c>
    </row>
    <row r="625" spans="1:14" ht="50.45">
      <c r="A625" s="268" t="str">
        <f t="shared" si="9"/>
        <v>Leadership|Department Head|4</v>
      </c>
      <c r="B625" s="223" t="s">
        <v>564</v>
      </c>
      <c r="C625" s="79" t="s">
        <v>779</v>
      </c>
      <c r="D625" s="79">
        <v>4</v>
      </c>
      <c r="E625" s="79" t="s">
        <v>641</v>
      </c>
      <c r="F625" s="79">
        <v>3</v>
      </c>
      <c r="G625" s="279" t="s">
        <v>3587</v>
      </c>
      <c r="H625" s="279" t="s">
        <v>3588</v>
      </c>
      <c r="I625" s="279" t="s">
        <v>3589</v>
      </c>
      <c r="J625" s="279" t="s">
        <v>3590</v>
      </c>
      <c r="K625" s="279" t="s">
        <v>591</v>
      </c>
      <c r="L625" s="279" t="s">
        <v>592</v>
      </c>
      <c r="M625" s="279" t="s">
        <v>3591</v>
      </c>
      <c r="N625" s="279" t="s">
        <v>2921</v>
      </c>
    </row>
    <row r="626" spans="1:14" ht="84">
      <c r="A626" s="268" t="str">
        <f t="shared" si="9"/>
        <v>Leadership|Division Head|1</v>
      </c>
      <c r="B626" s="223" t="s">
        <v>564</v>
      </c>
      <c r="C626" s="79" t="s">
        <v>838</v>
      </c>
      <c r="D626" s="197">
        <v>1</v>
      </c>
      <c r="E626" s="79" t="s">
        <v>586</v>
      </c>
      <c r="F626" s="79">
        <v>1</v>
      </c>
      <c r="G626" s="279" t="s">
        <v>3592</v>
      </c>
      <c r="H626" s="279" t="s">
        <v>3593</v>
      </c>
      <c r="I626" s="279" t="s">
        <v>3594</v>
      </c>
      <c r="J626" s="279" t="s">
        <v>3595</v>
      </c>
      <c r="K626" s="279" t="s">
        <v>591</v>
      </c>
      <c r="L626" s="279" t="s">
        <v>592</v>
      </c>
      <c r="M626" s="279" t="s">
        <v>3596</v>
      </c>
      <c r="N626" s="279" t="s">
        <v>594</v>
      </c>
    </row>
    <row r="627" spans="1:14" ht="33.6">
      <c r="A627" s="268" t="str">
        <f t="shared" si="9"/>
        <v>Leadership|Division Head|1</v>
      </c>
      <c r="B627" s="223" t="s">
        <v>564</v>
      </c>
      <c r="C627" s="79" t="s">
        <v>838</v>
      </c>
      <c r="D627" s="197">
        <v>1</v>
      </c>
      <c r="E627" s="79" t="s">
        <v>586</v>
      </c>
      <c r="F627" s="79">
        <v>2</v>
      </c>
      <c r="G627" s="279" t="s">
        <v>3597</v>
      </c>
      <c r="H627" s="279" t="s">
        <v>3598</v>
      </c>
      <c r="I627" s="279" t="s">
        <v>3599</v>
      </c>
      <c r="J627" s="279" t="s">
        <v>2633</v>
      </c>
      <c r="K627" s="279" t="s">
        <v>591</v>
      </c>
      <c r="L627" s="279" t="s">
        <v>592</v>
      </c>
      <c r="M627" s="279" t="s">
        <v>3600</v>
      </c>
      <c r="N627" s="279" t="s">
        <v>594</v>
      </c>
    </row>
    <row r="628" spans="1:14" ht="67.150000000000006">
      <c r="A628" s="268" t="str">
        <f t="shared" si="9"/>
        <v>Leadership|Division Head|1</v>
      </c>
      <c r="B628" s="223" t="s">
        <v>564</v>
      </c>
      <c r="C628" s="79" t="s">
        <v>838</v>
      </c>
      <c r="D628" s="197">
        <v>1</v>
      </c>
      <c r="E628" s="79" t="s">
        <v>586</v>
      </c>
      <c r="F628" s="79">
        <v>3</v>
      </c>
      <c r="G628" s="279" t="s">
        <v>3601</v>
      </c>
      <c r="H628" s="279" t="s">
        <v>3602</v>
      </c>
      <c r="I628" s="279" t="s">
        <v>3603</v>
      </c>
      <c r="J628" s="279" t="s">
        <v>1642</v>
      </c>
      <c r="K628" s="279" t="s">
        <v>591</v>
      </c>
      <c r="L628" s="279" t="s">
        <v>592</v>
      </c>
      <c r="M628" s="279" t="s">
        <v>3604</v>
      </c>
      <c r="N628" s="279" t="s">
        <v>594</v>
      </c>
    </row>
    <row r="629" spans="1:14" ht="50.45">
      <c r="A629" s="268" t="str">
        <f t="shared" si="9"/>
        <v>Leadership|Division Head|2</v>
      </c>
      <c r="B629" s="223" t="s">
        <v>564</v>
      </c>
      <c r="C629" s="79" t="s">
        <v>838</v>
      </c>
      <c r="D629" s="79">
        <v>2</v>
      </c>
      <c r="E629" s="79" t="s">
        <v>605</v>
      </c>
      <c r="F629" s="79">
        <v>1</v>
      </c>
      <c r="G629" s="279" t="s">
        <v>3605</v>
      </c>
      <c r="H629" s="279" t="s">
        <v>3606</v>
      </c>
      <c r="I629" s="279" t="s">
        <v>3607</v>
      </c>
      <c r="J629" s="279" t="s">
        <v>3608</v>
      </c>
      <c r="K629" s="279" t="s">
        <v>591</v>
      </c>
      <c r="L629" s="279" t="s">
        <v>592</v>
      </c>
      <c r="M629" s="279" t="s">
        <v>3498</v>
      </c>
      <c r="N629" s="279" t="s">
        <v>611</v>
      </c>
    </row>
    <row r="630" spans="1:14" ht="50.45">
      <c r="A630" s="268" t="str">
        <f t="shared" si="9"/>
        <v>Leadership|Division Head|2</v>
      </c>
      <c r="B630" s="223" t="s">
        <v>564</v>
      </c>
      <c r="C630" s="79" t="s">
        <v>838</v>
      </c>
      <c r="D630" s="79">
        <v>2</v>
      </c>
      <c r="E630" s="79" t="s">
        <v>605</v>
      </c>
      <c r="F630" s="79">
        <v>2</v>
      </c>
      <c r="G630" s="279" t="s">
        <v>3609</v>
      </c>
      <c r="H630" s="279" t="s">
        <v>3610</v>
      </c>
      <c r="I630" s="279" t="s">
        <v>3611</v>
      </c>
      <c r="J630" s="279" t="s">
        <v>3612</v>
      </c>
      <c r="K630" s="279" t="s">
        <v>591</v>
      </c>
      <c r="L630" s="279" t="s">
        <v>592</v>
      </c>
      <c r="M630" s="279" t="s">
        <v>3613</v>
      </c>
      <c r="N630" s="279" t="s">
        <v>594</v>
      </c>
    </row>
    <row r="631" spans="1:14" ht="50.45">
      <c r="A631" s="268" t="str">
        <f t="shared" si="9"/>
        <v>Leadership|Division Head|2</v>
      </c>
      <c r="B631" s="223" t="s">
        <v>564</v>
      </c>
      <c r="C631" s="79" t="s">
        <v>838</v>
      </c>
      <c r="D631" s="79">
        <v>2</v>
      </c>
      <c r="E631" s="79" t="s">
        <v>605</v>
      </c>
      <c r="F631" s="79">
        <v>3</v>
      </c>
      <c r="G631" s="279" t="s">
        <v>3614</v>
      </c>
      <c r="H631" s="279" t="s">
        <v>3615</v>
      </c>
      <c r="I631" s="279" t="s">
        <v>3616</v>
      </c>
      <c r="J631" s="279" t="s">
        <v>3617</v>
      </c>
      <c r="K631" s="279" t="s">
        <v>591</v>
      </c>
      <c r="L631" s="279" t="s">
        <v>592</v>
      </c>
      <c r="M631" s="279" t="s">
        <v>3618</v>
      </c>
      <c r="N631" s="279" t="s">
        <v>622</v>
      </c>
    </row>
    <row r="632" spans="1:14" ht="50.45">
      <c r="A632" s="268" t="str">
        <f t="shared" si="9"/>
        <v>Leadership|Division Head|3</v>
      </c>
      <c r="B632" s="223" t="s">
        <v>564</v>
      </c>
      <c r="C632" s="79" t="s">
        <v>838</v>
      </c>
      <c r="D632" s="79">
        <v>3</v>
      </c>
      <c r="E632" s="79" t="s">
        <v>623</v>
      </c>
      <c r="F632" s="79">
        <v>1</v>
      </c>
      <c r="G632" s="279" t="s">
        <v>3619</v>
      </c>
      <c r="H632" s="279" t="s">
        <v>3620</v>
      </c>
      <c r="I632" s="279" t="s">
        <v>3621</v>
      </c>
      <c r="J632" s="279" t="s">
        <v>812</v>
      </c>
      <c r="K632" s="279" t="s">
        <v>591</v>
      </c>
      <c r="L632" s="279" t="s">
        <v>592</v>
      </c>
      <c r="M632" s="279" t="s">
        <v>2839</v>
      </c>
      <c r="N632" s="279" t="s">
        <v>594</v>
      </c>
    </row>
    <row r="633" spans="1:14" ht="50.45">
      <c r="A633" s="268" t="str">
        <f t="shared" si="9"/>
        <v>Leadership|Division Head|3</v>
      </c>
      <c r="B633" s="223" t="s">
        <v>564</v>
      </c>
      <c r="C633" s="79" t="s">
        <v>838</v>
      </c>
      <c r="D633" s="79">
        <v>3</v>
      </c>
      <c r="E633" s="79" t="s">
        <v>623</v>
      </c>
      <c r="F633" s="79">
        <v>2</v>
      </c>
      <c r="G633" s="279" t="s">
        <v>3622</v>
      </c>
      <c r="H633" s="279" t="s">
        <v>3623</v>
      </c>
      <c r="I633" s="279" t="s">
        <v>3624</v>
      </c>
      <c r="J633" s="279" t="s">
        <v>877</v>
      </c>
      <c r="K633" s="279" t="s">
        <v>591</v>
      </c>
      <c r="L633" s="279" t="s">
        <v>592</v>
      </c>
      <c r="M633" s="279" t="s">
        <v>3625</v>
      </c>
      <c r="N633" s="279" t="s">
        <v>622</v>
      </c>
    </row>
    <row r="634" spans="1:14" ht="67.150000000000006">
      <c r="A634" s="268" t="str">
        <f t="shared" si="9"/>
        <v>Leadership|Division Head|3</v>
      </c>
      <c r="B634" s="223" t="s">
        <v>564</v>
      </c>
      <c r="C634" s="79" t="s">
        <v>838</v>
      </c>
      <c r="D634" s="79">
        <v>3</v>
      </c>
      <c r="E634" s="79" t="s">
        <v>623</v>
      </c>
      <c r="F634" s="79">
        <v>3</v>
      </c>
      <c r="G634" s="279" t="s">
        <v>3626</v>
      </c>
      <c r="H634" s="279" t="s">
        <v>3515</v>
      </c>
      <c r="I634" s="279" t="s">
        <v>3627</v>
      </c>
      <c r="J634" s="279" t="s">
        <v>638</v>
      </c>
      <c r="K634" s="279" t="s">
        <v>591</v>
      </c>
      <c r="L634" s="279" t="s">
        <v>592</v>
      </c>
      <c r="M634" s="279" t="s">
        <v>3517</v>
      </c>
      <c r="N634" s="279" t="s">
        <v>640</v>
      </c>
    </row>
    <row r="635" spans="1:14" ht="67.150000000000006">
      <c r="A635" s="268" t="str">
        <f t="shared" si="9"/>
        <v>Leadership|Division Head|4</v>
      </c>
      <c r="B635" s="223" t="s">
        <v>564</v>
      </c>
      <c r="C635" s="79" t="s">
        <v>838</v>
      </c>
      <c r="D635" s="79">
        <v>4</v>
      </c>
      <c r="E635" s="79" t="s">
        <v>641</v>
      </c>
      <c r="F635" s="79">
        <v>1</v>
      </c>
      <c r="G635" s="279" t="s">
        <v>3628</v>
      </c>
      <c r="H635" s="279" t="s">
        <v>3629</v>
      </c>
      <c r="I635" s="279" t="s">
        <v>3630</v>
      </c>
      <c r="J635" s="279" t="s">
        <v>3631</v>
      </c>
      <c r="K635" s="279" t="s">
        <v>591</v>
      </c>
      <c r="L635" s="279" t="s">
        <v>592</v>
      </c>
      <c r="M635" s="279" t="s">
        <v>3632</v>
      </c>
      <c r="N635" s="279" t="s">
        <v>622</v>
      </c>
    </row>
    <row r="636" spans="1:14" ht="50.45">
      <c r="A636" s="268" t="str">
        <f t="shared" si="9"/>
        <v>Leadership|Division Head|4</v>
      </c>
      <c r="B636" s="223" t="s">
        <v>564</v>
      </c>
      <c r="C636" s="79" t="s">
        <v>838</v>
      </c>
      <c r="D636" s="79">
        <v>4</v>
      </c>
      <c r="E636" s="79" t="s">
        <v>641</v>
      </c>
      <c r="F636" s="79">
        <v>2</v>
      </c>
      <c r="G636" s="279" t="s">
        <v>3633</v>
      </c>
      <c r="H636" s="279" t="s">
        <v>3634</v>
      </c>
      <c r="I636" s="279" t="s">
        <v>3635</v>
      </c>
      <c r="J636" s="279" t="s">
        <v>3636</v>
      </c>
      <c r="K636" s="279" t="s">
        <v>591</v>
      </c>
      <c r="L636" s="279" t="s">
        <v>592</v>
      </c>
      <c r="M636" s="279" t="s">
        <v>3637</v>
      </c>
      <c r="N636" s="279" t="s">
        <v>622</v>
      </c>
    </row>
    <row r="637" spans="1:14" ht="67.150000000000006">
      <c r="A637" s="268" t="str">
        <f t="shared" si="9"/>
        <v>Leadership|Division Head|4</v>
      </c>
      <c r="B637" s="223" t="s">
        <v>564</v>
      </c>
      <c r="C637" s="79" t="s">
        <v>838</v>
      </c>
      <c r="D637" s="79">
        <v>4</v>
      </c>
      <c r="E637" s="79" t="s">
        <v>641</v>
      </c>
      <c r="F637" s="79">
        <v>3</v>
      </c>
      <c r="G637" s="279" t="s">
        <v>3638</v>
      </c>
      <c r="H637" s="279" t="s">
        <v>3639</v>
      </c>
      <c r="I637" s="279" t="s">
        <v>3640</v>
      </c>
      <c r="J637" s="279" t="s">
        <v>3641</v>
      </c>
      <c r="K637" s="279" t="s">
        <v>591</v>
      </c>
      <c r="L637" s="279" t="s">
        <v>592</v>
      </c>
      <c r="M637" s="279" t="s">
        <v>3642</v>
      </c>
      <c r="N637" s="279" t="s">
        <v>1880</v>
      </c>
    </row>
    <row r="638" spans="1:14" ht="50.45">
      <c r="A638" s="268" t="str">
        <f t="shared" si="9"/>
        <v>Leadership|Director|1</v>
      </c>
      <c r="B638" s="223" t="s">
        <v>564</v>
      </c>
      <c r="C638" s="79" t="s">
        <v>898</v>
      </c>
      <c r="D638" s="197">
        <v>1</v>
      </c>
      <c r="E638" s="79" t="s">
        <v>586</v>
      </c>
      <c r="F638" s="79">
        <v>1</v>
      </c>
      <c r="G638" s="279" t="s">
        <v>3643</v>
      </c>
      <c r="H638" s="279" t="s">
        <v>3644</v>
      </c>
      <c r="I638" s="279" t="s">
        <v>3645</v>
      </c>
      <c r="J638" s="279" t="s">
        <v>3646</v>
      </c>
      <c r="K638" s="279" t="s">
        <v>591</v>
      </c>
      <c r="L638" s="279" t="s">
        <v>592</v>
      </c>
      <c r="M638" s="279" t="s">
        <v>3647</v>
      </c>
      <c r="N638" s="279" t="s">
        <v>2229</v>
      </c>
    </row>
    <row r="639" spans="1:14" ht="50.45">
      <c r="A639" s="268" t="str">
        <f t="shared" si="9"/>
        <v>Leadership|Director|1</v>
      </c>
      <c r="B639" s="223" t="s">
        <v>564</v>
      </c>
      <c r="C639" s="79" t="s">
        <v>898</v>
      </c>
      <c r="D639" s="197">
        <v>1</v>
      </c>
      <c r="E639" s="79" t="s">
        <v>586</v>
      </c>
      <c r="F639" s="79">
        <v>2</v>
      </c>
      <c r="G639" s="279" t="s">
        <v>899</v>
      </c>
      <c r="H639" s="279" t="s">
        <v>900</v>
      </c>
      <c r="I639" s="279" t="s">
        <v>3648</v>
      </c>
      <c r="J639" s="279" t="s">
        <v>3649</v>
      </c>
      <c r="K639" s="279" t="s">
        <v>591</v>
      </c>
      <c r="L639" s="279" t="s">
        <v>592</v>
      </c>
      <c r="M639" s="279" t="s">
        <v>3650</v>
      </c>
      <c r="N639" s="279" t="s">
        <v>2229</v>
      </c>
    </row>
    <row r="640" spans="1:14" ht="50.45">
      <c r="A640" s="268" t="str">
        <f t="shared" si="9"/>
        <v>Leadership|Director|1</v>
      </c>
      <c r="B640" s="223" t="s">
        <v>564</v>
      </c>
      <c r="C640" s="79" t="s">
        <v>898</v>
      </c>
      <c r="D640" s="197">
        <v>1</v>
      </c>
      <c r="E640" s="79" t="s">
        <v>586</v>
      </c>
      <c r="F640" s="79">
        <v>3</v>
      </c>
      <c r="G640" s="279" t="s">
        <v>3651</v>
      </c>
      <c r="H640" s="279" t="s">
        <v>3652</v>
      </c>
      <c r="I640" s="279" t="s">
        <v>3653</v>
      </c>
      <c r="J640" s="279" t="s">
        <v>3654</v>
      </c>
      <c r="K640" s="279" t="s">
        <v>591</v>
      </c>
      <c r="L640" s="279" t="s">
        <v>592</v>
      </c>
      <c r="M640" s="279" t="s">
        <v>3655</v>
      </c>
      <c r="N640" s="279" t="s">
        <v>594</v>
      </c>
    </row>
    <row r="641" spans="1:14" ht="33.6">
      <c r="A641" s="268" t="str">
        <f t="shared" si="9"/>
        <v>Leadership|Director|2</v>
      </c>
      <c r="B641" s="223" t="s">
        <v>564</v>
      </c>
      <c r="C641" s="79" t="s">
        <v>898</v>
      </c>
      <c r="D641" s="79">
        <v>2</v>
      </c>
      <c r="E641" s="79" t="s">
        <v>605</v>
      </c>
      <c r="F641" s="79">
        <v>1</v>
      </c>
      <c r="G641" s="279" t="s">
        <v>3656</v>
      </c>
      <c r="H641" s="279" t="s">
        <v>3657</v>
      </c>
      <c r="I641" s="279" t="s">
        <v>3658</v>
      </c>
      <c r="J641" s="279" t="s">
        <v>3659</v>
      </c>
      <c r="K641" s="279" t="s">
        <v>591</v>
      </c>
      <c r="L641" s="279" t="s">
        <v>592</v>
      </c>
      <c r="M641" s="279" t="s">
        <v>3660</v>
      </c>
      <c r="N641" s="279" t="s">
        <v>737</v>
      </c>
    </row>
    <row r="642" spans="1:14" ht="50.45">
      <c r="A642" s="268" t="str">
        <f t="shared" si="9"/>
        <v>Leadership|Director|2</v>
      </c>
      <c r="B642" s="223" t="s">
        <v>564</v>
      </c>
      <c r="C642" s="79" t="s">
        <v>898</v>
      </c>
      <c r="D642" s="79">
        <v>2</v>
      </c>
      <c r="E642" s="79" t="s">
        <v>605</v>
      </c>
      <c r="F642" s="79">
        <v>2</v>
      </c>
      <c r="G642" s="279" t="s">
        <v>3661</v>
      </c>
      <c r="H642" s="279" t="s">
        <v>3662</v>
      </c>
      <c r="I642" s="279" t="s">
        <v>3663</v>
      </c>
      <c r="J642" s="279" t="s">
        <v>3664</v>
      </c>
      <c r="K642" s="279" t="s">
        <v>591</v>
      </c>
      <c r="L642" s="279" t="s">
        <v>592</v>
      </c>
      <c r="M642" s="279" t="s">
        <v>3665</v>
      </c>
      <c r="N642" s="279" t="s">
        <v>922</v>
      </c>
    </row>
    <row r="643" spans="1:14" ht="33.6">
      <c r="A643" s="268" t="str">
        <f t="shared" ref="A643:A706" si="10">B643 &amp; "|" &amp; C643 &amp; "|" &amp; D643</f>
        <v>Leadership|Director|2</v>
      </c>
      <c r="B643" s="223" t="s">
        <v>564</v>
      </c>
      <c r="C643" s="79" t="s">
        <v>898</v>
      </c>
      <c r="D643" s="79">
        <v>2</v>
      </c>
      <c r="E643" s="79" t="s">
        <v>605</v>
      </c>
      <c r="F643" s="79">
        <v>3</v>
      </c>
      <c r="G643" s="279" t="s">
        <v>3666</v>
      </c>
      <c r="H643" s="279" t="s">
        <v>3667</v>
      </c>
      <c r="I643" s="279" t="s">
        <v>3668</v>
      </c>
      <c r="J643" s="279" t="s">
        <v>3669</v>
      </c>
      <c r="K643" s="279" t="s">
        <v>591</v>
      </c>
      <c r="L643" s="279" t="s">
        <v>592</v>
      </c>
      <c r="M643" s="279" t="s">
        <v>3670</v>
      </c>
      <c r="N643" s="279" t="s">
        <v>916</v>
      </c>
    </row>
    <row r="644" spans="1:14" ht="33.6">
      <c r="A644" s="268" t="str">
        <f t="shared" si="10"/>
        <v>Leadership|Director|3</v>
      </c>
      <c r="B644" s="223" t="s">
        <v>564</v>
      </c>
      <c r="C644" s="79" t="s">
        <v>898</v>
      </c>
      <c r="D644" s="79">
        <v>3</v>
      </c>
      <c r="E644" s="79" t="s">
        <v>623</v>
      </c>
      <c r="F644" s="79">
        <v>1</v>
      </c>
      <c r="G644" s="279" t="s">
        <v>3671</v>
      </c>
      <c r="H644" s="279" t="s">
        <v>3672</v>
      </c>
      <c r="I644" s="279" t="s">
        <v>3673</v>
      </c>
      <c r="J644" s="279" t="s">
        <v>3674</v>
      </c>
      <c r="K644" s="279" t="s">
        <v>591</v>
      </c>
      <c r="L644" s="279" t="s">
        <v>592</v>
      </c>
      <c r="M644" s="279" t="s">
        <v>3675</v>
      </c>
      <c r="N644" s="279" t="s">
        <v>1669</v>
      </c>
    </row>
    <row r="645" spans="1:14" ht="50.45">
      <c r="A645" s="268" t="str">
        <f t="shared" si="10"/>
        <v>Leadership|Director|3</v>
      </c>
      <c r="B645" s="223" t="s">
        <v>564</v>
      </c>
      <c r="C645" s="79" t="s">
        <v>898</v>
      </c>
      <c r="D645" s="79">
        <v>3</v>
      </c>
      <c r="E645" s="79" t="s">
        <v>623</v>
      </c>
      <c r="F645" s="79">
        <v>2</v>
      </c>
      <c r="G645" s="279" t="s">
        <v>3676</v>
      </c>
      <c r="H645" s="279" t="s">
        <v>3677</v>
      </c>
      <c r="I645" s="279" t="s">
        <v>3678</v>
      </c>
      <c r="J645" s="279" t="s">
        <v>936</v>
      </c>
      <c r="K645" s="279" t="s">
        <v>591</v>
      </c>
      <c r="L645" s="279" t="s">
        <v>592</v>
      </c>
      <c r="M645" s="279" t="s">
        <v>3679</v>
      </c>
      <c r="N645" s="279" t="s">
        <v>594</v>
      </c>
    </row>
    <row r="646" spans="1:14" ht="84">
      <c r="A646" s="268" t="str">
        <f t="shared" si="10"/>
        <v>Leadership|Director|3</v>
      </c>
      <c r="B646" s="223" t="s">
        <v>564</v>
      </c>
      <c r="C646" s="79" t="s">
        <v>898</v>
      </c>
      <c r="D646" s="79">
        <v>3</v>
      </c>
      <c r="E646" s="79" t="s">
        <v>623</v>
      </c>
      <c r="F646" s="79">
        <v>3</v>
      </c>
      <c r="G646" s="279" t="s">
        <v>3680</v>
      </c>
      <c r="H646" s="279" t="s">
        <v>3681</v>
      </c>
      <c r="I646" s="279" t="s">
        <v>3682</v>
      </c>
      <c r="J646" s="279" t="s">
        <v>638</v>
      </c>
      <c r="K646" s="279" t="s">
        <v>591</v>
      </c>
      <c r="L646" s="279" t="s">
        <v>592</v>
      </c>
      <c r="M646" s="279" t="s">
        <v>3683</v>
      </c>
      <c r="N646" s="279" t="s">
        <v>640</v>
      </c>
    </row>
    <row r="647" spans="1:14" ht="33.6">
      <c r="A647" s="268" t="str">
        <f t="shared" si="10"/>
        <v>Leadership|Director|4</v>
      </c>
      <c r="B647" s="223" t="s">
        <v>564</v>
      </c>
      <c r="C647" s="79" t="s">
        <v>898</v>
      </c>
      <c r="D647" s="79">
        <v>4</v>
      </c>
      <c r="E647" s="79" t="s">
        <v>641</v>
      </c>
      <c r="F647" s="79">
        <v>1</v>
      </c>
      <c r="G647" s="279" t="s">
        <v>3684</v>
      </c>
      <c r="H647" s="279" t="s">
        <v>3685</v>
      </c>
      <c r="I647" s="279" t="s">
        <v>3686</v>
      </c>
      <c r="J647" s="279" t="s">
        <v>3687</v>
      </c>
      <c r="K647" s="279" t="s">
        <v>591</v>
      </c>
      <c r="L647" s="279" t="s">
        <v>592</v>
      </c>
      <c r="M647" s="279" t="s">
        <v>3688</v>
      </c>
      <c r="N647" s="279" t="s">
        <v>3689</v>
      </c>
    </row>
    <row r="648" spans="1:14" ht="50.45">
      <c r="A648" s="268" t="str">
        <f t="shared" si="10"/>
        <v>Leadership|Director|4</v>
      </c>
      <c r="B648" s="223" t="s">
        <v>564</v>
      </c>
      <c r="C648" s="79" t="s">
        <v>898</v>
      </c>
      <c r="D648" s="79">
        <v>4</v>
      </c>
      <c r="E648" s="79" t="s">
        <v>641</v>
      </c>
      <c r="F648" s="79">
        <v>2</v>
      </c>
      <c r="G648" s="279" t="s">
        <v>3690</v>
      </c>
      <c r="H648" s="279" t="s">
        <v>3691</v>
      </c>
      <c r="I648" s="279" t="s">
        <v>3692</v>
      </c>
      <c r="J648" s="279" t="s">
        <v>3693</v>
      </c>
      <c r="K648" s="279" t="s">
        <v>591</v>
      </c>
      <c r="L648" s="279" t="s">
        <v>592</v>
      </c>
      <c r="M648" s="279" t="s">
        <v>3694</v>
      </c>
      <c r="N648" s="279" t="s">
        <v>916</v>
      </c>
    </row>
    <row r="649" spans="1:14" ht="50.45">
      <c r="A649" s="268" t="str">
        <f t="shared" si="10"/>
        <v>Leadership|Director|4</v>
      </c>
      <c r="B649" s="223" t="s">
        <v>564</v>
      </c>
      <c r="C649" s="79" t="s">
        <v>898</v>
      </c>
      <c r="D649" s="79">
        <v>4</v>
      </c>
      <c r="E649" s="79" t="s">
        <v>641</v>
      </c>
      <c r="F649" s="79">
        <v>3</v>
      </c>
      <c r="G649" s="279" t="s">
        <v>3695</v>
      </c>
      <c r="H649" s="279" t="s">
        <v>3696</v>
      </c>
      <c r="I649" s="279" t="s">
        <v>3697</v>
      </c>
      <c r="J649" s="279" t="s">
        <v>3698</v>
      </c>
      <c r="K649" s="279" t="s">
        <v>591</v>
      </c>
      <c r="L649" s="279" t="s">
        <v>592</v>
      </c>
      <c r="M649" s="279" t="s">
        <v>3699</v>
      </c>
      <c r="N649" s="279" t="s">
        <v>916</v>
      </c>
    </row>
    <row r="650" spans="1:14" ht="84">
      <c r="A650" s="268" t="str">
        <f t="shared" si="10"/>
        <v>Managing Change|Officer|1</v>
      </c>
      <c r="B650" s="223" t="s">
        <v>561</v>
      </c>
      <c r="C650" s="226" t="s">
        <v>4</v>
      </c>
      <c r="D650" s="226">
        <v>1</v>
      </c>
      <c r="E650" s="227" t="s">
        <v>586</v>
      </c>
      <c r="F650" s="227">
        <v>1</v>
      </c>
      <c r="G650" s="276" t="s">
        <v>3700</v>
      </c>
      <c r="H650" s="276" t="s">
        <v>3701</v>
      </c>
      <c r="I650" s="276" t="s">
        <v>3702</v>
      </c>
      <c r="J650" s="276" t="s">
        <v>3703</v>
      </c>
      <c r="K650" s="276" t="s">
        <v>591</v>
      </c>
      <c r="L650" s="276" t="s">
        <v>592</v>
      </c>
      <c r="M650" s="276" t="s">
        <v>3704</v>
      </c>
      <c r="N650" s="276" t="s">
        <v>594</v>
      </c>
    </row>
    <row r="651" spans="1:14" ht="84">
      <c r="A651" s="268" t="str">
        <f t="shared" si="10"/>
        <v>Managing Change|Officer|1</v>
      </c>
      <c r="B651" s="223" t="s">
        <v>561</v>
      </c>
      <c r="C651" s="226" t="s">
        <v>4</v>
      </c>
      <c r="D651" s="226">
        <v>1</v>
      </c>
      <c r="E651" s="227" t="s">
        <v>586</v>
      </c>
      <c r="F651" s="227">
        <v>2</v>
      </c>
      <c r="G651" s="276" t="s">
        <v>3705</v>
      </c>
      <c r="H651" s="276" t="s">
        <v>3706</v>
      </c>
      <c r="I651" s="276" t="s">
        <v>3707</v>
      </c>
      <c r="J651" s="276" t="s">
        <v>3708</v>
      </c>
      <c r="K651" s="276" t="s">
        <v>591</v>
      </c>
      <c r="L651" s="276" t="s">
        <v>592</v>
      </c>
      <c r="M651" s="276" t="s">
        <v>3709</v>
      </c>
      <c r="N651" s="276" t="s">
        <v>594</v>
      </c>
    </row>
    <row r="652" spans="1:14" ht="84">
      <c r="A652" s="268" t="str">
        <f t="shared" si="10"/>
        <v>Managing Change|Officer|1</v>
      </c>
      <c r="B652" s="223" t="s">
        <v>561</v>
      </c>
      <c r="C652" s="226" t="s">
        <v>4</v>
      </c>
      <c r="D652" s="226">
        <v>1</v>
      </c>
      <c r="E652" s="227" t="s">
        <v>586</v>
      </c>
      <c r="F652" s="227">
        <v>3</v>
      </c>
      <c r="G652" s="276" t="s">
        <v>3710</v>
      </c>
      <c r="H652" s="276" t="s">
        <v>3711</v>
      </c>
      <c r="I652" s="276" t="s">
        <v>3712</v>
      </c>
      <c r="J652" s="276" t="s">
        <v>3713</v>
      </c>
      <c r="K652" s="276" t="s">
        <v>591</v>
      </c>
      <c r="L652" s="276" t="s">
        <v>592</v>
      </c>
      <c r="M652" s="276" t="s">
        <v>3714</v>
      </c>
      <c r="N652" s="276" t="s">
        <v>594</v>
      </c>
    </row>
    <row r="653" spans="1:14" ht="67.150000000000006">
      <c r="A653" s="268" t="str">
        <f t="shared" si="10"/>
        <v>Managing Change|Officer|2</v>
      </c>
      <c r="B653" s="223" t="s">
        <v>561</v>
      </c>
      <c r="C653" s="226" t="s">
        <v>4</v>
      </c>
      <c r="D653" s="227">
        <v>2</v>
      </c>
      <c r="E653" s="227" t="s">
        <v>605</v>
      </c>
      <c r="F653" s="227">
        <v>1</v>
      </c>
      <c r="G653" s="276" t="s">
        <v>3715</v>
      </c>
      <c r="H653" s="276" t="s">
        <v>3716</v>
      </c>
      <c r="I653" s="276" t="s">
        <v>3717</v>
      </c>
      <c r="J653" s="276" t="s">
        <v>3718</v>
      </c>
      <c r="K653" s="276" t="s">
        <v>591</v>
      </c>
      <c r="L653" s="276" t="s">
        <v>592</v>
      </c>
      <c r="M653" s="276" t="s">
        <v>3719</v>
      </c>
      <c r="N653" s="276" t="s">
        <v>611</v>
      </c>
    </row>
    <row r="654" spans="1:14" ht="67.150000000000006">
      <c r="A654" s="268" t="str">
        <f t="shared" si="10"/>
        <v>Managing Change|Officer|2</v>
      </c>
      <c r="B654" s="223" t="s">
        <v>561</v>
      </c>
      <c r="C654" s="226" t="s">
        <v>4</v>
      </c>
      <c r="D654" s="227">
        <v>2</v>
      </c>
      <c r="E654" s="227" t="s">
        <v>605</v>
      </c>
      <c r="F654" s="227">
        <v>2</v>
      </c>
      <c r="G654" s="276" t="s">
        <v>3720</v>
      </c>
      <c r="H654" s="276" t="s">
        <v>3721</v>
      </c>
      <c r="I654" s="276" t="s">
        <v>3722</v>
      </c>
      <c r="J654" s="276" t="s">
        <v>3723</v>
      </c>
      <c r="K654" s="276" t="s">
        <v>591</v>
      </c>
      <c r="L654" s="276" t="s">
        <v>592</v>
      </c>
      <c r="M654" s="276" t="s">
        <v>3724</v>
      </c>
      <c r="N654" s="276" t="s">
        <v>594</v>
      </c>
    </row>
    <row r="655" spans="1:14" ht="67.150000000000006">
      <c r="A655" s="268" t="str">
        <f t="shared" si="10"/>
        <v>Managing Change|Officer|2</v>
      </c>
      <c r="B655" s="223" t="s">
        <v>561</v>
      </c>
      <c r="C655" s="226" t="s">
        <v>4</v>
      </c>
      <c r="D655" s="227">
        <v>2</v>
      </c>
      <c r="E655" s="227" t="s">
        <v>605</v>
      </c>
      <c r="F655" s="227">
        <v>3</v>
      </c>
      <c r="G655" s="276" t="s">
        <v>3725</v>
      </c>
      <c r="H655" s="276" t="s">
        <v>3726</v>
      </c>
      <c r="I655" s="276" t="s">
        <v>3727</v>
      </c>
      <c r="J655" s="276" t="s">
        <v>3728</v>
      </c>
      <c r="K655" s="276" t="s">
        <v>591</v>
      </c>
      <c r="L655" s="276" t="s">
        <v>592</v>
      </c>
      <c r="M655" s="276" t="s">
        <v>3729</v>
      </c>
      <c r="N655" s="276" t="s">
        <v>594</v>
      </c>
    </row>
    <row r="656" spans="1:14" ht="84">
      <c r="A656" s="268" t="str">
        <f t="shared" si="10"/>
        <v>Managing Change|Officer|3</v>
      </c>
      <c r="B656" s="223" t="s">
        <v>561</v>
      </c>
      <c r="C656" s="226" t="s">
        <v>4</v>
      </c>
      <c r="D656" s="227">
        <v>3</v>
      </c>
      <c r="E656" s="227" t="s">
        <v>623</v>
      </c>
      <c r="F656" s="227">
        <v>1</v>
      </c>
      <c r="G656" s="276" t="s">
        <v>3730</v>
      </c>
      <c r="H656" s="276" t="s">
        <v>3731</v>
      </c>
      <c r="I656" s="276" t="s">
        <v>3732</v>
      </c>
      <c r="J656" s="276" t="s">
        <v>3733</v>
      </c>
      <c r="K656" s="276" t="s">
        <v>591</v>
      </c>
      <c r="L656" s="276" t="s">
        <v>592</v>
      </c>
      <c r="M656" s="276" t="s">
        <v>3734</v>
      </c>
      <c r="N656" s="276" t="s">
        <v>594</v>
      </c>
    </row>
    <row r="657" spans="1:14" ht="67.150000000000006">
      <c r="A657" s="268" t="str">
        <f t="shared" si="10"/>
        <v>Managing Change|Officer|3</v>
      </c>
      <c r="B657" s="223" t="s">
        <v>561</v>
      </c>
      <c r="C657" s="226" t="s">
        <v>4</v>
      </c>
      <c r="D657" s="227">
        <v>3</v>
      </c>
      <c r="E657" s="227" t="s">
        <v>623</v>
      </c>
      <c r="F657" s="227">
        <v>2</v>
      </c>
      <c r="G657" s="276" t="s">
        <v>3735</v>
      </c>
      <c r="H657" s="276" t="s">
        <v>3736</v>
      </c>
      <c r="I657" s="276" t="s">
        <v>3737</v>
      </c>
      <c r="J657" s="276" t="s">
        <v>3738</v>
      </c>
      <c r="K657" s="276" t="s">
        <v>591</v>
      </c>
      <c r="L657" s="276" t="s">
        <v>592</v>
      </c>
      <c r="M657" s="276" t="s">
        <v>3739</v>
      </c>
      <c r="N657" s="276" t="s">
        <v>594</v>
      </c>
    </row>
    <row r="658" spans="1:14" ht="117.6">
      <c r="A658" s="268" t="str">
        <f t="shared" si="10"/>
        <v>Managing Change|Officer|3</v>
      </c>
      <c r="B658" s="223" t="s">
        <v>561</v>
      </c>
      <c r="C658" s="226" t="s">
        <v>4</v>
      </c>
      <c r="D658" s="227">
        <v>3</v>
      </c>
      <c r="E658" s="227" t="s">
        <v>623</v>
      </c>
      <c r="F658" s="227">
        <v>3</v>
      </c>
      <c r="G658" s="276" t="s">
        <v>3740</v>
      </c>
      <c r="H658" s="276" t="s">
        <v>3741</v>
      </c>
      <c r="I658" s="276" t="s">
        <v>3742</v>
      </c>
      <c r="J658" s="276" t="s">
        <v>3743</v>
      </c>
      <c r="K658" s="276" t="s">
        <v>591</v>
      </c>
      <c r="L658" s="276" t="s">
        <v>592</v>
      </c>
      <c r="M658" s="276" t="s">
        <v>3744</v>
      </c>
      <c r="N658" s="276" t="s">
        <v>640</v>
      </c>
    </row>
    <row r="659" spans="1:14" ht="84">
      <c r="A659" s="268" t="str">
        <f t="shared" si="10"/>
        <v>Managing Change|Officer|4</v>
      </c>
      <c r="B659" s="223" t="s">
        <v>561</v>
      </c>
      <c r="C659" s="226" t="s">
        <v>4</v>
      </c>
      <c r="D659" s="227">
        <v>4</v>
      </c>
      <c r="E659" s="227" t="s">
        <v>641</v>
      </c>
      <c r="F659" s="227">
        <v>1</v>
      </c>
      <c r="G659" s="276" t="s">
        <v>3745</v>
      </c>
      <c r="H659" s="276" t="s">
        <v>3746</v>
      </c>
      <c r="I659" s="276" t="s">
        <v>3747</v>
      </c>
      <c r="J659" s="276" t="s">
        <v>3748</v>
      </c>
      <c r="K659" s="276" t="s">
        <v>591</v>
      </c>
      <c r="L659" s="276" t="s">
        <v>592</v>
      </c>
      <c r="M659" s="276" t="s">
        <v>3749</v>
      </c>
      <c r="N659" s="276" t="s">
        <v>622</v>
      </c>
    </row>
    <row r="660" spans="1:14" ht="67.150000000000006">
      <c r="A660" s="268" t="str">
        <f t="shared" si="10"/>
        <v>Managing Change|Officer|4</v>
      </c>
      <c r="B660" s="223" t="s">
        <v>561</v>
      </c>
      <c r="C660" s="226" t="s">
        <v>4</v>
      </c>
      <c r="D660" s="227">
        <v>4</v>
      </c>
      <c r="E660" s="227" t="s">
        <v>641</v>
      </c>
      <c r="F660" s="227">
        <v>2</v>
      </c>
      <c r="G660" s="276" t="s">
        <v>3750</v>
      </c>
      <c r="H660" s="276" t="s">
        <v>3751</v>
      </c>
      <c r="I660" s="276" t="s">
        <v>3752</v>
      </c>
      <c r="J660" s="276" t="s">
        <v>3753</v>
      </c>
      <c r="K660" s="276" t="s">
        <v>591</v>
      </c>
      <c r="L660" s="276" t="s">
        <v>592</v>
      </c>
      <c r="M660" s="276" t="s">
        <v>3754</v>
      </c>
      <c r="N660" s="276" t="s">
        <v>3755</v>
      </c>
    </row>
    <row r="661" spans="1:14" ht="84">
      <c r="A661" s="268" t="str">
        <f t="shared" si="10"/>
        <v>Managing Change|Officer|4</v>
      </c>
      <c r="B661" s="223" t="s">
        <v>561</v>
      </c>
      <c r="C661" s="226" t="s">
        <v>4</v>
      </c>
      <c r="D661" s="227">
        <v>4</v>
      </c>
      <c r="E661" s="227" t="s">
        <v>641</v>
      </c>
      <c r="F661" s="227">
        <v>3</v>
      </c>
      <c r="G661" s="276" t="s">
        <v>3756</v>
      </c>
      <c r="H661" s="276" t="s">
        <v>3757</v>
      </c>
      <c r="I661" s="276" t="s">
        <v>3758</v>
      </c>
      <c r="J661" s="276" t="s">
        <v>3759</v>
      </c>
      <c r="K661" s="276" t="s">
        <v>591</v>
      </c>
      <c r="L661" s="276" t="s">
        <v>592</v>
      </c>
      <c r="M661" s="276" t="s">
        <v>3760</v>
      </c>
      <c r="N661" s="276" t="s">
        <v>3761</v>
      </c>
    </row>
    <row r="662" spans="1:14" ht="100.9">
      <c r="A662" s="268" t="str">
        <f t="shared" si="10"/>
        <v>Managing Change|Analyst|1</v>
      </c>
      <c r="B662" s="223" t="s">
        <v>561</v>
      </c>
      <c r="C662" s="226" t="s">
        <v>6</v>
      </c>
      <c r="D662" s="226">
        <v>1</v>
      </c>
      <c r="E662" s="227" t="s">
        <v>586</v>
      </c>
      <c r="F662" s="227">
        <v>1</v>
      </c>
      <c r="G662" s="276" t="s">
        <v>3762</v>
      </c>
      <c r="H662" s="276" t="s">
        <v>3763</v>
      </c>
      <c r="I662" s="276" t="s">
        <v>3764</v>
      </c>
      <c r="J662" s="276" t="s">
        <v>3765</v>
      </c>
      <c r="K662" s="276" t="s">
        <v>591</v>
      </c>
      <c r="L662" s="276" t="s">
        <v>592</v>
      </c>
      <c r="M662" s="276" t="s">
        <v>3766</v>
      </c>
      <c r="N662" s="276" t="s">
        <v>594</v>
      </c>
    </row>
    <row r="663" spans="1:14" ht="100.9">
      <c r="A663" s="268" t="str">
        <f t="shared" si="10"/>
        <v>Managing Change|Analyst|1</v>
      </c>
      <c r="B663" s="223" t="s">
        <v>561</v>
      </c>
      <c r="C663" s="226" t="s">
        <v>6</v>
      </c>
      <c r="D663" s="226">
        <v>1</v>
      </c>
      <c r="E663" s="227" t="s">
        <v>586</v>
      </c>
      <c r="F663" s="227">
        <v>2</v>
      </c>
      <c r="G663" s="276" t="s">
        <v>3767</v>
      </c>
      <c r="H663" s="276" t="s">
        <v>3768</v>
      </c>
      <c r="I663" s="276" t="s">
        <v>3769</v>
      </c>
      <c r="J663" s="276" t="s">
        <v>3770</v>
      </c>
      <c r="K663" s="276" t="s">
        <v>591</v>
      </c>
      <c r="L663" s="276" t="s">
        <v>592</v>
      </c>
      <c r="M663" s="276" t="s">
        <v>3771</v>
      </c>
      <c r="N663" s="276" t="s">
        <v>594</v>
      </c>
    </row>
    <row r="664" spans="1:14" ht="84">
      <c r="A664" s="268" t="str">
        <f t="shared" si="10"/>
        <v>Managing Change|Analyst|1</v>
      </c>
      <c r="B664" s="223" t="s">
        <v>561</v>
      </c>
      <c r="C664" s="226" t="s">
        <v>6</v>
      </c>
      <c r="D664" s="226">
        <v>1</v>
      </c>
      <c r="E664" s="227" t="s">
        <v>586</v>
      </c>
      <c r="F664" s="227">
        <v>3</v>
      </c>
      <c r="G664" s="276" t="s">
        <v>3772</v>
      </c>
      <c r="H664" s="276" t="s">
        <v>3773</v>
      </c>
      <c r="I664" s="276" t="s">
        <v>3774</v>
      </c>
      <c r="J664" s="276" t="s">
        <v>3775</v>
      </c>
      <c r="K664" s="276" t="s">
        <v>591</v>
      </c>
      <c r="L664" s="276" t="s">
        <v>592</v>
      </c>
      <c r="M664" s="276" t="s">
        <v>3776</v>
      </c>
      <c r="N664" s="276" t="s">
        <v>594</v>
      </c>
    </row>
    <row r="665" spans="1:14" ht="84">
      <c r="A665" s="268" t="str">
        <f t="shared" si="10"/>
        <v>Managing Change|Analyst|2</v>
      </c>
      <c r="B665" s="223" t="s">
        <v>561</v>
      </c>
      <c r="C665" s="226" t="s">
        <v>6</v>
      </c>
      <c r="D665" s="227">
        <v>2</v>
      </c>
      <c r="E665" s="227" t="s">
        <v>605</v>
      </c>
      <c r="F665" s="227">
        <v>1</v>
      </c>
      <c r="G665" s="276" t="s">
        <v>3777</v>
      </c>
      <c r="H665" s="276" t="s">
        <v>3778</v>
      </c>
      <c r="I665" s="276" t="s">
        <v>3779</v>
      </c>
      <c r="J665" s="276" t="s">
        <v>3780</v>
      </c>
      <c r="K665" s="276" t="s">
        <v>591</v>
      </c>
      <c r="L665" s="276" t="s">
        <v>592</v>
      </c>
      <c r="M665" s="276" t="s">
        <v>3781</v>
      </c>
      <c r="N665" s="276" t="s">
        <v>2645</v>
      </c>
    </row>
    <row r="666" spans="1:14" ht="84">
      <c r="A666" s="268" t="str">
        <f t="shared" si="10"/>
        <v>Managing Change|Analyst|2</v>
      </c>
      <c r="B666" s="223" t="s">
        <v>561</v>
      </c>
      <c r="C666" s="226" t="s">
        <v>6</v>
      </c>
      <c r="D666" s="227">
        <v>2</v>
      </c>
      <c r="E666" s="227" t="s">
        <v>605</v>
      </c>
      <c r="F666" s="227">
        <v>2</v>
      </c>
      <c r="G666" s="276" t="s">
        <v>3782</v>
      </c>
      <c r="H666" s="276" t="s">
        <v>3783</v>
      </c>
      <c r="I666" s="276" t="s">
        <v>3784</v>
      </c>
      <c r="J666" s="276" t="s">
        <v>3785</v>
      </c>
      <c r="K666" s="276" t="s">
        <v>591</v>
      </c>
      <c r="L666" s="276" t="s">
        <v>592</v>
      </c>
      <c r="M666" s="276" t="s">
        <v>3786</v>
      </c>
      <c r="N666" s="276" t="s">
        <v>594</v>
      </c>
    </row>
    <row r="667" spans="1:14" ht="67.150000000000006">
      <c r="A667" s="268" t="str">
        <f t="shared" si="10"/>
        <v>Managing Change|Analyst|2</v>
      </c>
      <c r="B667" s="223" t="s">
        <v>561</v>
      </c>
      <c r="C667" s="226" t="s">
        <v>6</v>
      </c>
      <c r="D667" s="227">
        <v>2</v>
      </c>
      <c r="E667" s="227" t="s">
        <v>605</v>
      </c>
      <c r="F667" s="227">
        <v>3</v>
      </c>
      <c r="G667" s="276" t="s">
        <v>3787</v>
      </c>
      <c r="H667" s="276" t="s">
        <v>3788</v>
      </c>
      <c r="I667" s="276" t="s">
        <v>3789</v>
      </c>
      <c r="J667" s="276" t="s">
        <v>3790</v>
      </c>
      <c r="K667" s="276" t="s">
        <v>591</v>
      </c>
      <c r="L667" s="276" t="s">
        <v>592</v>
      </c>
      <c r="M667" s="276" t="s">
        <v>3791</v>
      </c>
      <c r="N667" s="276" t="s">
        <v>594</v>
      </c>
    </row>
    <row r="668" spans="1:14" ht="84">
      <c r="A668" s="268" t="str">
        <f t="shared" si="10"/>
        <v>Managing Change|Analyst|3</v>
      </c>
      <c r="B668" s="223" t="s">
        <v>561</v>
      </c>
      <c r="C668" s="226" t="s">
        <v>6</v>
      </c>
      <c r="D668" s="227">
        <v>3</v>
      </c>
      <c r="E668" s="227" t="s">
        <v>623</v>
      </c>
      <c r="F668" s="227">
        <v>1</v>
      </c>
      <c r="G668" s="276" t="s">
        <v>3792</v>
      </c>
      <c r="H668" s="276" t="s">
        <v>3793</v>
      </c>
      <c r="I668" s="276" t="s">
        <v>3794</v>
      </c>
      <c r="J668" s="276" t="s">
        <v>3795</v>
      </c>
      <c r="K668" s="276" t="s">
        <v>591</v>
      </c>
      <c r="L668" s="276" t="s">
        <v>592</v>
      </c>
      <c r="M668" s="276" t="s">
        <v>3796</v>
      </c>
      <c r="N668" s="276" t="s">
        <v>622</v>
      </c>
    </row>
    <row r="669" spans="1:14" ht="84">
      <c r="A669" s="268" t="str">
        <f t="shared" si="10"/>
        <v>Managing Change|Analyst|3</v>
      </c>
      <c r="B669" s="223" t="s">
        <v>561</v>
      </c>
      <c r="C669" s="226" t="s">
        <v>6</v>
      </c>
      <c r="D669" s="227">
        <v>3</v>
      </c>
      <c r="E669" s="227" t="s">
        <v>623</v>
      </c>
      <c r="F669" s="227">
        <v>2</v>
      </c>
      <c r="G669" s="276" t="s">
        <v>3797</v>
      </c>
      <c r="H669" s="276" t="s">
        <v>3798</v>
      </c>
      <c r="I669" s="276" t="s">
        <v>3799</v>
      </c>
      <c r="J669" s="276" t="s">
        <v>3800</v>
      </c>
      <c r="K669" s="276" t="s">
        <v>591</v>
      </c>
      <c r="L669" s="276" t="s">
        <v>592</v>
      </c>
      <c r="M669" s="276" t="s">
        <v>3801</v>
      </c>
      <c r="N669" s="276" t="s">
        <v>594</v>
      </c>
    </row>
    <row r="670" spans="1:14" ht="134.44999999999999">
      <c r="A670" s="268" t="str">
        <f t="shared" si="10"/>
        <v>Managing Change|Analyst|3</v>
      </c>
      <c r="B670" s="223" t="s">
        <v>561</v>
      </c>
      <c r="C670" s="226" t="s">
        <v>6</v>
      </c>
      <c r="D670" s="227">
        <v>3</v>
      </c>
      <c r="E670" s="227" t="s">
        <v>623</v>
      </c>
      <c r="F670" s="227">
        <v>3</v>
      </c>
      <c r="G670" s="276" t="s">
        <v>3802</v>
      </c>
      <c r="H670" s="276" t="s">
        <v>3741</v>
      </c>
      <c r="I670" s="276" t="s">
        <v>3803</v>
      </c>
      <c r="J670" s="276" t="s">
        <v>3743</v>
      </c>
      <c r="K670" s="276" t="s">
        <v>591</v>
      </c>
      <c r="L670" s="276" t="s">
        <v>592</v>
      </c>
      <c r="M670" s="276" t="s">
        <v>3804</v>
      </c>
      <c r="N670" s="276" t="s">
        <v>640</v>
      </c>
    </row>
    <row r="671" spans="1:14" ht="84">
      <c r="A671" s="268" t="str">
        <f t="shared" si="10"/>
        <v>Managing Change|Analyst|4</v>
      </c>
      <c r="B671" s="223" t="s">
        <v>561</v>
      </c>
      <c r="C671" s="226" t="s">
        <v>6</v>
      </c>
      <c r="D671" s="227">
        <v>4</v>
      </c>
      <c r="E671" s="227" t="s">
        <v>641</v>
      </c>
      <c r="F671" s="227">
        <v>1</v>
      </c>
      <c r="G671" s="276" t="s">
        <v>3805</v>
      </c>
      <c r="H671" s="276" t="s">
        <v>3806</v>
      </c>
      <c r="I671" s="276" t="s">
        <v>3807</v>
      </c>
      <c r="J671" s="276" t="s">
        <v>3808</v>
      </c>
      <c r="K671" s="276" t="s">
        <v>591</v>
      </c>
      <c r="L671" s="276" t="s">
        <v>592</v>
      </c>
      <c r="M671" s="276" t="s">
        <v>3809</v>
      </c>
      <c r="N671" s="276" t="s">
        <v>622</v>
      </c>
    </row>
    <row r="672" spans="1:14" ht="100.9">
      <c r="A672" s="268" t="str">
        <f t="shared" si="10"/>
        <v>Managing Change|Analyst|4</v>
      </c>
      <c r="B672" s="223" t="s">
        <v>561</v>
      </c>
      <c r="C672" s="226" t="s">
        <v>6</v>
      </c>
      <c r="D672" s="227">
        <v>4</v>
      </c>
      <c r="E672" s="227" t="s">
        <v>641</v>
      </c>
      <c r="F672" s="227">
        <v>2</v>
      </c>
      <c r="G672" s="276" t="s">
        <v>3810</v>
      </c>
      <c r="H672" s="276" t="s">
        <v>3811</v>
      </c>
      <c r="I672" s="276" t="s">
        <v>3812</v>
      </c>
      <c r="J672" s="276" t="s">
        <v>3813</v>
      </c>
      <c r="K672" s="276" t="s">
        <v>591</v>
      </c>
      <c r="L672" s="276" t="s">
        <v>592</v>
      </c>
      <c r="M672" s="276" t="s">
        <v>3814</v>
      </c>
      <c r="N672" s="276" t="s">
        <v>622</v>
      </c>
    </row>
    <row r="673" spans="1:14" ht="84">
      <c r="A673" s="268" t="str">
        <f t="shared" si="10"/>
        <v>Managing Change|Analyst|4</v>
      </c>
      <c r="B673" s="223" t="s">
        <v>561</v>
      </c>
      <c r="C673" s="226" t="s">
        <v>6</v>
      </c>
      <c r="D673" s="227">
        <v>4</v>
      </c>
      <c r="E673" s="227" t="s">
        <v>641</v>
      </c>
      <c r="F673" s="227">
        <v>3</v>
      </c>
      <c r="G673" s="276" t="s">
        <v>3815</v>
      </c>
      <c r="H673" s="276" t="s">
        <v>3816</v>
      </c>
      <c r="I673" s="276" t="s">
        <v>3817</v>
      </c>
      <c r="J673" s="276" t="s">
        <v>3818</v>
      </c>
      <c r="K673" s="276" t="s">
        <v>591</v>
      </c>
      <c r="L673" s="276" t="s">
        <v>592</v>
      </c>
      <c r="M673" s="276" t="s">
        <v>3819</v>
      </c>
      <c r="N673" s="276" t="s">
        <v>622</v>
      </c>
    </row>
    <row r="674" spans="1:14" ht="84">
      <c r="A674" s="268" t="str">
        <f t="shared" si="10"/>
        <v>Managing Change|Unit Head/Specialist|1</v>
      </c>
      <c r="B674" s="223" t="s">
        <v>561</v>
      </c>
      <c r="C674" s="227" t="s">
        <v>13</v>
      </c>
      <c r="D674" s="226">
        <v>1</v>
      </c>
      <c r="E674" s="227" t="s">
        <v>586</v>
      </c>
      <c r="F674" s="227">
        <v>1</v>
      </c>
      <c r="G674" s="279" t="s">
        <v>3820</v>
      </c>
      <c r="H674" s="279" t="s">
        <v>3821</v>
      </c>
      <c r="I674" s="279" t="s">
        <v>3822</v>
      </c>
      <c r="J674" s="279" t="s">
        <v>3823</v>
      </c>
      <c r="K674" s="279" t="s">
        <v>591</v>
      </c>
      <c r="L674" s="279" t="s">
        <v>592</v>
      </c>
      <c r="M674" s="279" t="s">
        <v>3824</v>
      </c>
      <c r="N674" s="279" t="s">
        <v>594</v>
      </c>
    </row>
    <row r="675" spans="1:14" ht="84">
      <c r="A675" s="268" t="str">
        <f t="shared" si="10"/>
        <v>Managing Change|Unit Head/Specialist|1</v>
      </c>
      <c r="B675" s="223" t="s">
        <v>561</v>
      </c>
      <c r="C675" s="227" t="s">
        <v>13</v>
      </c>
      <c r="D675" s="226">
        <v>1</v>
      </c>
      <c r="E675" s="227" t="s">
        <v>586</v>
      </c>
      <c r="F675" s="227">
        <v>2</v>
      </c>
      <c r="G675" s="279" t="s">
        <v>3825</v>
      </c>
      <c r="H675" s="279" t="s">
        <v>3826</v>
      </c>
      <c r="I675" s="279" t="s">
        <v>3827</v>
      </c>
      <c r="J675" s="279" t="s">
        <v>3828</v>
      </c>
      <c r="K675" s="279" t="s">
        <v>591</v>
      </c>
      <c r="L675" s="279" t="s">
        <v>592</v>
      </c>
      <c r="M675" s="279" t="s">
        <v>3829</v>
      </c>
      <c r="N675" s="279" t="s">
        <v>594</v>
      </c>
    </row>
    <row r="676" spans="1:14" ht="67.150000000000006">
      <c r="A676" s="268" t="str">
        <f t="shared" si="10"/>
        <v>Managing Change|Unit Head/Specialist|1</v>
      </c>
      <c r="B676" s="223" t="s">
        <v>561</v>
      </c>
      <c r="C676" s="227" t="s">
        <v>13</v>
      </c>
      <c r="D676" s="226">
        <v>1</v>
      </c>
      <c r="E676" s="227" t="s">
        <v>586</v>
      </c>
      <c r="F676" s="227">
        <v>3</v>
      </c>
      <c r="G676" s="279" t="s">
        <v>3830</v>
      </c>
      <c r="H676" s="279" t="s">
        <v>3831</v>
      </c>
      <c r="I676" s="279" t="s">
        <v>3832</v>
      </c>
      <c r="J676" s="279" t="s">
        <v>3833</v>
      </c>
      <c r="K676" s="279" t="s">
        <v>591</v>
      </c>
      <c r="L676" s="279" t="s">
        <v>592</v>
      </c>
      <c r="M676" s="279" t="s">
        <v>3834</v>
      </c>
      <c r="N676" s="279" t="s">
        <v>594</v>
      </c>
    </row>
    <row r="677" spans="1:14" ht="67.150000000000006">
      <c r="A677" s="268" t="str">
        <f t="shared" si="10"/>
        <v>Managing Change|Unit Head/Specialist|2</v>
      </c>
      <c r="B677" s="223" t="s">
        <v>561</v>
      </c>
      <c r="C677" s="227" t="s">
        <v>13</v>
      </c>
      <c r="D677" s="227">
        <v>2</v>
      </c>
      <c r="E677" s="227" t="s">
        <v>605</v>
      </c>
      <c r="F677" s="227">
        <v>1</v>
      </c>
      <c r="G677" s="279" t="s">
        <v>3835</v>
      </c>
      <c r="H677" s="279" t="s">
        <v>3836</v>
      </c>
      <c r="I677" s="279" t="s">
        <v>3837</v>
      </c>
      <c r="J677" s="279" t="s">
        <v>3838</v>
      </c>
      <c r="K677" s="279" t="s">
        <v>591</v>
      </c>
      <c r="L677" s="279" t="s">
        <v>592</v>
      </c>
      <c r="M677" s="279" t="s">
        <v>3839</v>
      </c>
      <c r="N677" s="279" t="s">
        <v>2645</v>
      </c>
    </row>
    <row r="678" spans="1:14" ht="67.150000000000006">
      <c r="A678" s="268" t="str">
        <f t="shared" si="10"/>
        <v>Managing Change|Unit Head/Specialist|2</v>
      </c>
      <c r="B678" s="223" t="s">
        <v>561</v>
      </c>
      <c r="C678" s="227" t="s">
        <v>13</v>
      </c>
      <c r="D678" s="227">
        <v>2</v>
      </c>
      <c r="E678" s="227" t="s">
        <v>605</v>
      </c>
      <c r="F678" s="227">
        <v>2</v>
      </c>
      <c r="G678" s="279" t="s">
        <v>3840</v>
      </c>
      <c r="H678" s="279" t="s">
        <v>3841</v>
      </c>
      <c r="I678" s="279" t="s">
        <v>3842</v>
      </c>
      <c r="J678" s="279" t="s">
        <v>3843</v>
      </c>
      <c r="K678" s="279" t="s">
        <v>591</v>
      </c>
      <c r="L678" s="279" t="s">
        <v>592</v>
      </c>
      <c r="M678" s="279" t="s">
        <v>3844</v>
      </c>
      <c r="N678" s="279" t="s">
        <v>594</v>
      </c>
    </row>
    <row r="679" spans="1:14" ht="67.150000000000006">
      <c r="A679" s="268" t="str">
        <f t="shared" si="10"/>
        <v>Managing Change|Unit Head/Specialist|2</v>
      </c>
      <c r="B679" s="223" t="s">
        <v>561</v>
      </c>
      <c r="C679" s="227" t="s">
        <v>13</v>
      </c>
      <c r="D679" s="227">
        <v>2</v>
      </c>
      <c r="E679" s="227" t="s">
        <v>605</v>
      </c>
      <c r="F679" s="227">
        <v>3</v>
      </c>
      <c r="G679" s="279" t="s">
        <v>3845</v>
      </c>
      <c r="H679" s="279" t="s">
        <v>3846</v>
      </c>
      <c r="I679" s="279" t="s">
        <v>3847</v>
      </c>
      <c r="J679" s="279" t="s">
        <v>3848</v>
      </c>
      <c r="K679" s="279" t="s">
        <v>591</v>
      </c>
      <c r="L679" s="279" t="s">
        <v>592</v>
      </c>
      <c r="M679" s="279" t="s">
        <v>3849</v>
      </c>
      <c r="N679" s="279" t="s">
        <v>594</v>
      </c>
    </row>
    <row r="680" spans="1:14" ht="84">
      <c r="A680" s="268" t="str">
        <f t="shared" si="10"/>
        <v>Managing Change|Unit Head/Specialist|3</v>
      </c>
      <c r="B680" s="223" t="s">
        <v>561</v>
      </c>
      <c r="C680" s="227" t="s">
        <v>13</v>
      </c>
      <c r="D680" s="227">
        <v>3</v>
      </c>
      <c r="E680" s="227" t="s">
        <v>623</v>
      </c>
      <c r="F680" s="227">
        <v>1</v>
      </c>
      <c r="G680" s="279" t="s">
        <v>3850</v>
      </c>
      <c r="H680" s="279" t="s">
        <v>3851</v>
      </c>
      <c r="I680" s="279" t="s">
        <v>3852</v>
      </c>
      <c r="J680" s="279" t="s">
        <v>3853</v>
      </c>
      <c r="K680" s="279" t="s">
        <v>591</v>
      </c>
      <c r="L680" s="279" t="s">
        <v>592</v>
      </c>
      <c r="M680" s="279" t="s">
        <v>3854</v>
      </c>
      <c r="N680" s="279" t="s">
        <v>594</v>
      </c>
    </row>
    <row r="681" spans="1:14" ht="84">
      <c r="A681" s="268" t="str">
        <f t="shared" si="10"/>
        <v>Managing Change|Unit Head/Specialist|3</v>
      </c>
      <c r="B681" s="223" t="s">
        <v>561</v>
      </c>
      <c r="C681" s="227" t="s">
        <v>13</v>
      </c>
      <c r="D681" s="227">
        <v>3</v>
      </c>
      <c r="E681" s="227" t="s">
        <v>623</v>
      </c>
      <c r="F681" s="227">
        <v>2</v>
      </c>
      <c r="G681" s="279" t="s">
        <v>3855</v>
      </c>
      <c r="H681" s="279" t="s">
        <v>3856</v>
      </c>
      <c r="I681" s="279" t="s">
        <v>3857</v>
      </c>
      <c r="J681" s="279" t="s">
        <v>817</v>
      </c>
      <c r="K681" s="279" t="s">
        <v>591</v>
      </c>
      <c r="L681" s="279" t="s">
        <v>592</v>
      </c>
      <c r="M681" s="279" t="s">
        <v>3858</v>
      </c>
      <c r="N681" s="279" t="s">
        <v>622</v>
      </c>
    </row>
    <row r="682" spans="1:14" ht="117.6">
      <c r="A682" s="268" t="str">
        <f t="shared" si="10"/>
        <v>Managing Change|Unit Head/Specialist|3</v>
      </c>
      <c r="B682" s="223" t="s">
        <v>561</v>
      </c>
      <c r="C682" s="227" t="s">
        <v>13</v>
      </c>
      <c r="D682" s="227">
        <v>3</v>
      </c>
      <c r="E682" s="227" t="s">
        <v>623</v>
      </c>
      <c r="F682" s="227">
        <v>3</v>
      </c>
      <c r="G682" s="279" t="s">
        <v>3859</v>
      </c>
      <c r="H682" s="279" t="s">
        <v>3860</v>
      </c>
      <c r="I682" s="279" t="s">
        <v>3861</v>
      </c>
      <c r="J682" s="279" t="s">
        <v>1008</v>
      </c>
      <c r="K682" s="279" t="s">
        <v>591</v>
      </c>
      <c r="L682" s="279" t="s">
        <v>592</v>
      </c>
      <c r="M682" s="279" t="s">
        <v>3862</v>
      </c>
      <c r="N682" s="279" t="s">
        <v>640</v>
      </c>
    </row>
    <row r="683" spans="1:14" ht="100.9">
      <c r="A683" s="268" t="str">
        <f t="shared" si="10"/>
        <v>Managing Change|Unit Head/Specialist|4</v>
      </c>
      <c r="B683" s="223" t="s">
        <v>561</v>
      </c>
      <c r="C683" s="227" t="s">
        <v>13</v>
      </c>
      <c r="D683" s="227">
        <v>4</v>
      </c>
      <c r="E683" s="227" t="s">
        <v>641</v>
      </c>
      <c r="F683" s="227">
        <v>1</v>
      </c>
      <c r="G683" s="279" t="s">
        <v>3863</v>
      </c>
      <c r="H683" s="279" t="s">
        <v>3864</v>
      </c>
      <c r="I683" s="279" t="s">
        <v>3865</v>
      </c>
      <c r="J683" s="279" t="s">
        <v>3866</v>
      </c>
      <c r="K683" s="279" t="s">
        <v>591</v>
      </c>
      <c r="L683" s="279" t="s">
        <v>592</v>
      </c>
      <c r="M683" s="279" t="s">
        <v>3867</v>
      </c>
      <c r="N683" s="279" t="s">
        <v>622</v>
      </c>
    </row>
    <row r="684" spans="1:14" ht="84">
      <c r="A684" s="268" t="str">
        <f t="shared" si="10"/>
        <v>Managing Change|Unit Head/Specialist|4</v>
      </c>
      <c r="B684" s="223" t="s">
        <v>561</v>
      </c>
      <c r="C684" s="227" t="s">
        <v>13</v>
      </c>
      <c r="D684" s="227">
        <v>4</v>
      </c>
      <c r="E684" s="227" t="s">
        <v>641</v>
      </c>
      <c r="F684" s="227">
        <v>2</v>
      </c>
      <c r="G684" s="279" t="s">
        <v>3868</v>
      </c>
      <c r="H684" s="279" t="s">
        <v>3869</v>
      </c>
      <c r="I684" s="279" t="s">
        <v>3870</v>
      </c>
      <c r="J684" s="279" t="s">
        <v>3871</v>
      </c>
      <c r="K684" s="279" t="s">
        <v>591</v>
      </c>
      <c r="L684" s="279" t="s">
        <v>592</v>
      </c>
      <c r="M684" s="279" t="s">
        <v>3872</v>
      </c>
      <c r="N684" s="279" t="s">
        <v>622</v>
      </c>
    </row>
    <row r="685" spans="1:14" ht="84">
      <c r="A685" s="268" t="str">
        <f t="shared" si="10"/>
        <v>Managing Change|Unit Head/Specialist|4</v>
      </c>
      <c r="B685" s="223" t="s">
        <v>561</v>
      </c>
      <c r="C685" s="227" t="s">
        <v>13</v>
      </c>
      <c r="D685" s="227">
        <v>4</v>
      </c>
      <c r="E685" s="227" t="s">
        <v>641</v>
      </c>
      <c r="F685" s="227">
        <v>3</v>
      </c>
      <c r="G685" s="279" t="s">
        <v>3873</v>
      </c>
      <c r="H685" s="279" t="s">
        <v>3874</v>
      </c>
      <c r="I685" s="279" t="s">
        <v>3875</v>
      </c>
      <c r="J685" s="279" t="s">
        <v>3876</v>
      </c>
      <c r="K685" s="279" t="s">
        <v>591</v>
      </c>
      <c r="L685" s="279" t="s">
        <v>592</v>
      </c>
      <c r="M685" s="279" t="s">
        <v>3877</v>
      </c>
      <c r="N685" s="279" t="s">
        <v>622</v>
      </c>
    </row>
    <row r="686" spans="1:14" ht="100.9">
      <c r="A686" s="268" t="str">
        <f t="shared" si="10"/>
        <v>Managing Change|Department Head|1</v>
      </c>
      <c r="B686" s="223" t="s">
        <v>561</v>
      </c>
      <c r="C686" s="227" t="s">
        <v>779</v>
      </c>
      <c r="D686" s="226">
        <v>1</v>
      </c>
      <c r="E686" s="227" t="s">
        <v>586</v>
      </c>
      <c r="F686" s="227">
        <v>1</v>
      </c>
      <c r="G686" s="276" t="s">
        <v>3878</v>
      </c>
      <c r="H686" s="276" t="s">
        <v>3879</v>
      </c>
      <c r="I686" s="276" t="s">
        <v>3880</v>
      </c>
      <c r="J686" s="276" t="s">
        <v>3881</v>
      </c>
      <c r="K686" s="276" t="s">
        <v>591</v>
      </c>
      <c r="L686" s="276" t="s">
        <v>592</v>
      </c>
      <c r="M686" s="276" t="s">
        <v>3882</v>
      </c>
      <c r="N686" s="276" t="s">
        <v>594</v>
      </c>
    </row>
    <row r="687" spans="1:14" ht="100.9">
      <c r="A687" s="268" t="str">
        <f t="shared" si="10"/>
        <v>Managing Change|Department Head|1</v>
      </c>
      <c r="B687" s="223" t="s">
        <v>561</v>
      </c>
      <c r="C687" s="227" t="s">
        <v>779</v>
      </c>
      <c r="D687" s="226">
        <v>1</v>
      </c>
      <c r="E687" s="227" t="s">
        <v>586</v>
      </c>
      <c r="F687" s="227">
        <v>2</v>
      </c>
      <c r="G687" s="276" t="s">
        <v>3883</v>
      </c>
      <c r="H687" s="276" t="s">
        <v>3884</v>
      </c>
      <c r="I687" s="276" t="s">
        <v>3885</v>
      </c>
      <c r="J687" s="276" t="s">
        <v>3886</v>
      </c>
      <c r="K687" s="276" t="s">
        <v>591</v>
      </c>
      <c r="L687" s="276" t="s">
        <v>592</v>
      </c>
      <c r="M687" s="276" t="s">
        <v>3887</v>
      </c>
      <c r="N687" s="276" t="s">
        <v>594</v>
      </c>
    </row>
    <row r="688" spans="1:14" ht="84">
      <c r="A688" s="268" t="str">
        <f t="shared" si="10"/>
        <v>Managing Change|Department Head|1</v>
      </c>
      <c r="B688" s="223" t="s">
        <v>561</v>
      </c>
      <c r="C688" s="227" t="s">
        <v>779</v>
      </c>
      <c r="D688" s="226">
        <v>1</v>
      </c>
      <c r="E688" s="227" t="s">
        <v>586</v>
      </c>
      <c r="F688" s="227">
        <v>3</v>
      </c>
      <c r="G688" s="276" t="s">
        <v>3888</v>
      </c>
      <c r="H688" s="276" t="s">
        <v>3889</v>
      </c>
      <c r="I688" s="276" t="s">
        <v>3890</v>
      </c>
      <c r="J688" s="276" t="s">
        <v>3891</v>
      </c>
      <c r="K688" s="276" t="s">
        <v>591</v>
      </c>
      <c r="L688" s="276" t="s">
        <v>592</v>
      </c>
      <c r="M688" s="276" t="s">
        <v>3892</v>
      </c>
      <c r="N688" s="276" t="s">
        <v>622</v>
      </c>
    </row>
    <row r="689" spans="1:14" ht="67.150000000000006">
      <c r="A689" s="268" t="str">
        <f t="shared" si="10"/>
        <v>Managing Change|Department Head|2</v>
      </c>
      <c r="B689" s="223" t="s">
        <v>561</v>
      </c>
      <c r="C689" s="227" t="s">
        <v>779</v>
      </c>
      <c r="D689" s="227">
        <v>2</v>
      </c>
      <c r="E689" s="227" t="s">
        <v>605</v>
      </c>
      <c r="F689" s="227">
        <v>1</v>
      </c>
      <c r="G689" s="276" t="s">
        <v>3893</v>
      </c>
      <c r="H689" s="276" t="s">
        <v>3894</v>
      </c>
      <c r="I689" s="276" t="s">
        <v>3895</v>
      </c>
      <c r="J689" s="276" t="s">
        <v>3896</v>
      </c>
      <c r="K689" s="276" t="s">
        <v>591</v>
      </c>
      <c r="L689" s="276" t="s">
        <v>592</v>
      </c>
      <c r="M689" s="276" t="s">
        <v>3897</v>
      </c>
      <c r="N689" s="276" t="s">
        <v>611</v>
      </c>
    </row>
    <row r="690" spans="1:14" ht="84">
      <c r="A690" s="268" t="str">
        <f t="shared" si="10"/>
        <v>Managing Change|Department Head|2</v>
      </c>
      <c r="B690" s="223" t="s">
        <v>561</v>
      </c>
      <c r="C690" s="227" t="s">
        <v>779</v>
      </c>
      <c r="D690" s="227">
        <v>2</v>
      </c>
      <c r="E690" s="227" t="s">
        <v>605</v>
      </c>
      <c r="F690" s="227">
        <v>2</v>
      </c>
      <c r="G690" s="276" t="s">
        <v>3898</v>
      </c>
      <c r="H690" s="276" t="s">
        <v>3899</v>
      </c>
      <c r="I690" s="276" t="s">
        <v>3900</v>
      </c>
      <c r="J690" s="276" t="s">
        <v>3901</v>
      </c>
      <c r="K690" s="276" t="s">
        <v>591</v>
      </c>
      <c r="L690" s="276" t="s">
        <v>592</v>
      </c>
      <c r="M690" s="276" t="s">
        <v>3902</v>
      </c>
      <c r="N690" s="276" t="s">
        <v>594</v>
      </c>
    </row>
    <row r="691" spans="1:14" ht="67.150000000000006">
      <c r="A691" s="268" t="str">
        <f t="shared" si="10"/>
        <v>Managing Change|Department Head|2</v>
      </c>
      <c r="B691" s="223" t="s">
        <v>561</v>
      </c>
      <c r="C691" s="227" t="s">
        <v>779</v>
      </c>
      <c r="D691" s="227">
        <v>2</v>
      </c>
      <c r="E691" s="227" t="s">
        <v>605</v>
      </c>
      <c r="F691" s="227">
        <v>3</v>
      </c>
      <c r="G691" s="276" t="s">
        <v>3903</v>
      </c>
      <c r="H691" s="276" t="s">
        <v>3904</v>
      </c>
      <c r="I691" s="276" t="s">
        <v>3905</v>
      </c>
      <c r="J691" s="276" t="s">
        <v>3906</v>
      </c>
      <c r="K691" s="276" t="s">
        <v>591</v>
      </c>
      <c r="L691" s="276" t="s">
        <v>592</v>
      </c>
      <c r="M691" s="276" t="s">
        <v>3907</v>
      </c>
      <c r="N691" s="276" t="s">
        <v>1110</v>
      </c>
    </row>
    <row r="692" spans="1:14" ht="84">
      <c r="A692" s="268" t="str">
        <f t="shared" si="10"/>
        <v>Managing Change|Department Head|3</v>
      </c>
      <c r="B692" s="223" t="s">
        <v>561</v>
      </c>
      <c r="C692" s="227" t="s">
        <v>779</v>
      </c>
      <c r="D692" s="227">
        <v>3</v>
      </c>
      <c r="E692" s="227" t="s">
        <v>623</v>
      </c>
      <c r="F692" s="227">
        <v>1</v>
      </c>
      <c r="G692" s="276" t="s">
        <v>3908</v>
      </c>
      <c r="H692" s="276" t="s">
        <v>3909</v>
      </c>
      <c r="I692" s="276" t="s">
        <v>3910</v>
      </c>
      <c r="J692" s="276" t="s">
        <v>3911</v>
      </c>
      <c r="K692" s="276" t="s">
        <v>591</v>
      </c>
      <c r="L692" s="276" t="s">
        <v>592</v>
      </c>
      <c r="M692" s="276" t="s">
        <v>3912</v>
      </c>
      <c r="N692" s="276" t="s">
        <v>3913</v>
      </c>
    </row>
    <row r="693" spans="1:14" ht="84">
      <c r="A693" s="268" t="str">
        <f t="shared" si="10"/>
        <v>Managing Change|Department Head|3</v>
      </c>
      <c r="B693" s="223" t="s">
        <v>561</v>
      </c>
      <c r="C693" s="227" t="s">
        <v>779</v>
      </c>
      <c r="D693" s="227">
        <v>3</v>
      </c>
      <c r="E693" s="227" t="s">
        <v>623</v>
      </c>
      <c r="F693" s="227">
        <v>2</v>
      </c>
      <c r="G693" s="276" t="s">
        <v>3914</v>
      </c>
      <c r="H693" s="276" t="s">
        <v>3915</v>
      </c>
      <c r="I693" s="276" t="s">
        <v>3916</v>
      </c>
      <c r="J693" s="276" t="s">
        <v>817</v>
      </c>
      <c r="K693" s="276" t="s">
        <v>591</v>
      </c>
      <c r="L693" s="276" t="s">
        <v>592</v>
      </c>
      <c r="M693" s="276" t="s">
        <v>3917</v>
      </c>
      <c r="N693" s="276" t="s">
        <v>622</v>
      </c>
    </row>
    <row r="694" spans="1:14" ht="117.6">
      <c r="A694" s="268" t="str">
        <f t="shared" si="10"/>
        <v>Managing Change|Department Head|3</v>
      </c>
      <c r="B694" s="223" t="s">
        <v>561</v>
      </c>
      <c r="C694" s="227" t="s">
        <v>779</v>
      </c>
      <c r="D694" s="227">
        <v>3</v>
      </c>
      <c r="E694" s="227" t="s">
        <v>623</v>
      </c>
      <c r="F694" s="227">
        <v>3</v>
      </c>
      <c r="G694" s="276" t="s">
        <v>3918</v>
      </c>
      <c r="H694" s="276" t="s">
        <v>3919</v>
      </c>
      <c r="I694" s="276" t="s">
        <v>3920</v>
      </c>
      <c r="J694" s="276" t="s">
        <v>3743</v>
      </c>
      <c r="K694" s="276" t="s">
        <v>591</v>
      </c>
      <c r="L694" s="276" t="s">
        <v>592</v>
      </c>
      <c r="M694" s="276" t="s">
        <v>3921</v>
      </c>
      <c r="N694" s="276" t="s">
        <v>640</v>
      </c>
    </row>
    <row r="695" spans="1:14" ht="84">
      <c r="A695" s="268" t="str">
        <f t="shared" si="10"/>
        <v>Managing Change|Department Head|4</v>
      </c>
      <c r="B695" s="223" t="s">
        <v>561</v>
      </c>
      <c r="C695" s="227" t="s">
        <v>779</v>
      </c>
      <c r="D695" s="227">
        <v>4</v>
      </c>
      <c r="E695" s="227" t="s">
        <v>641</v>
      </c>
      <c r="F695" s="227">
        <v>1</v>
      </c>
      <c r="G695" s="276" t="s">
        <v>3922</v>
      </c>
      <c r="H695" s="276" t="s">
        <v>3923</v>
      </c>
      <c r="I695" s="276" t="s">
        <v>3924</v>
      </c>
      <c r="J695" s="276" t="s">
        <v>3925</v>
      </c>
      <c r="K695" s="276" t="s">
        <v>591</v>
      </c>
      <c r="L695" s="276" t="s">
        <v>592</v>
      </c>
      <c r="M695" s="276" t="s">
        <v>3926</v>
      </c>
      <c r="N695" s="276" t="s">
        <v>622</v>
      </c>
    </row>
    <row r="696" spans="1:14" ht="84">
      <c r="A696" s="268" t="str">
        <f t="shared" si="10"/>
        <v>Managing Change|Department Head|4</v>
      </c>
      <c r="B696" s="223" t="s">
        <v>561</v>
      </c>
      <c r="C696" s="227" t="s">
        <v>779</v>
      </c>
      <c r="D696" s="227">
        <v>4</v>
      </c>
      <c r="E696" s="227" t="s">
        <v>641</v>
      </c>
      <c r="F696" s="227">
        <v>2</v>
      </c>
      <c r="G696" s="276" t="s">
        <v>3927</v>
      </c>
      <c r="H696" s="276" t="s">
        <v>3928</v>
      </c>
      <c r="I696" s="276" t="s">
        <v>3929</v>
      </c>
      <c r="J696" s="276" t="s">
        <v>3930</v>
      </c>
      <c r="K696" s="276" t="s">
        <v>591</v>
      </c>
      <c r="L696" s="276" t="s">
        <v>592</v>
      </c>
      <c r="M696" s="276" t="s">
        <v>3931</v>
      </c>
      <c r="N696" s="276" t="s">
        <v>3932</v>
      </c>
    </row>
    <row r="697" spans="1:14" ht="84">
      <c r="A697" s="268" t="str">
        <f t="shared" si="10"/>
        <v>Managing Change|Department Head|4</v>
      </c>
      <c r="B697" s="223" t="s">
        <v>561</v>
      </c>
      <c r="C697" s="227" t="s">
        <v>779</v>
      </c>
      <c r="D697" s="227">
        <v>4</v>
      </c>
      <c r="E697" s="227" t="s">
        <v>641</v>
      </c>
      <c r="F697" s="227">
        <v>3</v>
      </c>
      <c r="G697" s="276" t="s">
        <v>3933</v>
      </c>
      <c r="H697" s="276" t="s">
        <v>3934</v>
      </c>
      <c r="I697" s="276" t="s">
        <v>3935</v>
      </c>
      <c r="J697" s="276" t="s">
        <v>3936</v>
      </c>
      <c r="K697" s="276" t="s">
        <v>591</v>
      </c>
      <c r="L697" s="276" t="s">
        <v>592</v>
      </c>
      <c r="M697" s="276" t="s">
        <v>3937</v>
      </c>
      <c r="N697" s="276" t="s">
        <v>3938</v>
      </c>
    </row>
    <row r="698" spans="1:14" ht="84">
      <c r="A698" s="268" t="str">
        <f t="shared" si="10"/>
        <v>Managing Change|Division Head|1</v>
      </c>
      <c r="B698" s="223" t="s">
        <v>561</v>
      </c>
      <c r="C698" s="227" t="s">
        <v>838</v>
      </c>
      <c r="D698" s="226">
        <v>1</v>
      </c>
      <c r="E698" s="227" t="s">
        <v>586</v>
      </c>
      <c r="F698" s="227">
        <v>1</v>
      </c>
      <c r="G698" s="276" t="s">
        <v>3939</v>
      </c>
      <c r="H698" s="276" t="s">
        <v>3940</v>
      </c>
      <c r="I698" s="276" t="s">
        <v>3941</v>
      </c>
      <c r="J698" s="276" t="s">
        <v>3942</v>
      </c>
      <c r="K698" s="276" t="s">
        <v>591</v>
      </c>
      <c r="L698" s="276" t="s">
        <v>592</v>
      </c>
      <c r="M698" s="276" t="s">
        <v>3943</v>
      </c>
      <c r="N698" s="276" t="s">
        <v>594</v>
      </c>
    </row>
    <row r="699" spans="1:14" ht="84">
      <c r="A699" s="268" t="str">
        <f t="shared" si="10"/>
        <v>Managing Change|Division Head|1</v>
      </c>
      <c r="B699" s="223" t="s">
        <v>561</v>
      </c>
      <c r="C699" s="227" t="s">
        <v>838</v>
      </c>
      <c r="D699" s="226">
        <v>1</v>
      </c>
      <c r="E699" s="227" t="s">
        <v>586</v>
      </c>
      <c r="F699" s="227">
        <v>2</v>
      </c>
      <c r="G699" s="276" t="s">
        <v>3944</v>
      </c>
      <c r="H699" s="276" t="s">
        <v>3945</v>
      </c>
      <c r="I699" s="276" t="s">
        <v>3946</v>
      </c>
      <c r="J699" s="276" t="s">
        <v>3947</v>
      </c>
      <c r="K699" s="276" t="s">
        <v>591</v>
      </c>
      <c r="L699" s="276" t="s">
        <v>592</v>
      </c>
      <c r="M699" s="276" t="s">
        <v>3948</v>
      </c>
      <c r="N699" s="276" t="s">
        <v>594</v>
      </c>
    </row>
    <row r="700" spans="1:14" ht="84">
      <c r="A700" s="268" t="str">
        <f t="shared" si="10"/>
        <v>Managing Change|Division Head|1</v>
      </c>
      <c r="B700" s="223" t="s">
        <v>561</v>
      </c>
      <c r="C700" s="227" t="s">
        <v>838</v>
      </c>
      <c r="D700" s="226">
        <v>1</v>
      </c>
      <c r="E700" s="227" t="s">
        <v>586</v>
      </c>
      <c r="F700" s="227">
        <v>3</v>
      </c>
      <c r="G700" s="276" t="s">
        <v>3949</v>
      </c>
      <c r="H700" s="276" t="s">
        <v>3950</v>
      </c>
      <c r="I700" s="276" t="s">
        <v>3951</v>
      </c>
      <c r="J700" s="276" t="s">
        <v>3952</v>
      </c>
      <c r="K700" s="276" t="s">
        <v>591</v>
      </c>
      <c r="L700" s="276" t="s">
        <v>592</v>
      </c>
      <c r="M700" s="276" t="s">
        <v>3953</v>
      </c>
      <c r="N700" s="276" t="s">
        <v>594</v>
      </c>
    </row>
    <row r="701" spans="1:14" ht="67.150000000000006">
      <c r="A701" s="268" t="str">
        <f t="shared" si="10"/>
        <v>Managing Change|Division Head|2</v>
      </c>
      <c r="B701" s="223" t="s">
        <v>561</v>
      </c>
      <c r="C701" s="227" t="s">
        <v>838</v>
      </c>
      <c r="D701" s="227">
        <v>2</v>
      </c>
      <c r="E701" s="227" t="s">
        <v>605</v>
      </c>
      <c r="F701" s="227">
        <v>1</v>
      </c>
      <c r="G701" s="276" t="s">
        <v>3954</v>
      </c>
      <c r="H701" s="276" t="s">
        <v>3955</v>
      </c>
      <c r="I701" s="276" t="s">
        <v>3956</v>
      </c>
      <c r="J701" s="276" t="s">
        <v>3957</v>
      </c>
      <c r="K701" s="276" t="s">
        <v>591</v>
      </c>
      <c r="L701" s="276" t="s">
        <v>592</v>
      </c>
      <c r="M701" s="276" t="s">
        <v>3958</v>
      </c>
      <c r="N701" s="276" t="s">
        <v>3959</v>
      </c>
    </row>
    <row r="702" spans="1:14" ht="84">
      <c r="A702" s="268" t="str">
        <f t="shared" si="10"/>
        <v>Managing Change|Division Head|2</v>
      </c>
      <c r="B702" s="223" t="s">
        <v>561</v>
      </c>
      <c r="C702" s="227" t="s">
        <v>838</v>
      </c>
      <c r="D702" s="227">
        <v>2</v>
      </c>
      <c r="E702" s="227" t="s">
        <v>605</v>
      </c>
      <c r="F702" s="227">
        <v>2</v>
      </c>
      <c r="G702" s="276" t="s">
        <v>3960</v>
      </c>
      <c r="H702" s="276" t="s">
        <v>3961</v>
      </c>
      <c r="I702" s="276" t="s">
        <v>3962</v>
      </c>
      <c r="J702" s="276" t="s">
        <v>3963</v>
      </c>
      <c r="K702" s="276" t="s">
        <v>591</v>
      </c>
      <c r="L702" s="276" t="s">
        <v>592</v>
      </c>
      <c r="M702" s="276" t="s">
        <v>3964</v>
      </c>
      <c r="N702" s="276" t="s">
        <v>3965</v>
      </c>
    </row>
    <row r="703" spans="1:14" ht="67.150000000000006">
      <c r="A703" s="268" t="str">
        <f t="shared" si="10"/>
        <v>Managing Change|Division Head|2</v>
      </c>
      <c r="B703" s="223" t="s">
        <v>561</v>
      </c>
      <c r="C703" s="227" t="s">
        <v>838</v>
      </c>
      <c r="D703" s="227">
        <v>2</v>
      </c>
      <c r="E703" s="227" t="s">
        <v>605</v>
      </c>
      <c r="F703" s="227">
        <v>3</v>
      </c>
      <c r="G703" s="276" t="s">
        <v>3966</v>
      </c>
      <c r="H703" s="276" t="s">
        <v>3967</v>
      </c>
      <c r="I703" s="276" t="s">
        <v>3968</v>
      </c>
      <c r="J703" s="276" t="s">
        <v>3969</v>
      </c>
      <c r="K703" s="276" t="s">
        <v>591</v>
      </c>
      <c r="L703" s="276" t="s">
        <v>592</v>
      </c>
      <c r="M703" s="276" t="s">
        <v>3970</v>
      </c>
      <c r="N703" s="276" t="s">
        <v>2775</v>
      </c>
    </row>
    <row r="704" spans="1:14" ht="117.6">
      <c r="A704" s="268" t="str">
        <f t="shared" si="10"/>
        <v>Managing Change|Division Head|3</v>
      </c>
      <c r="B704" s="223" t="s">
        <v>561</v>
      </c>
      <c r="C704" s="227" t="s">
        <v>838</v>
      </c>
      <c r="D704" s="227">
        <v>3</v>
      </c>
      <c r="E704" s="227" t="s">
        <v>623</v>
      </c>
      <c r="F704" s="227">
        <v>1</v>
      </c>
      <c r="G704" s="276" t="s">
        <v>3971</v>
      </c>
      <c r="H704" s="276" t="s">
        <v>3972</v>
      </c>
      <c r="I704" s="276" t="s">
        <v>3973</v>
      </c>
      <c r="J704" s="276" t="s">
        <v>3974</v>
      </c>
      <c r="K704" s="276" t="s">
        <v>591</v>
      </c>
      <c r="L704" s="276" t="s">
        <v>592</v>
      </c>
      <c r="M704" s="276" t="s">
        <v>3975</v>
      </c>
      <c r="N704" s="276" t="s">
        <v>594</v>
      </c>
    </row>
    <row r="705" spans="1:14" ht="117.6">
      <c r="A705" s="268" t="str">
        <f t="shared" si="10"/>
        <v>Managing Change|Division Head|3</v>
      </c>
      <c r="B705" s="223" t="s">
        <v>561</v>
      </c>
      <c r="C705" s="227" t="s">
        <v>838</v>
      </c>
      <c r="D705" s="227">
        <v>3</v>
      </c>
      <c r="E705" s="227" t="s">
        <v>623</v>
      </c>
      <c r="F705" s="227">
        <v>2</v>
      </c>
      <c r="G705" s="276" t="s">
        <v>3976</v>
      </c>
      <c r="H705" s="276" t="s">
        <v>3977</v>
      </c>
      <c r="I705" s="276" t="s">
        <v>3978</v>
      </c>
      <c r="J705" s="276" t="s">
        <v>817</v>
      </c>
      <c r="K705" s="276" t="s">
        <v>591</v>
      </c>
      <c r="L705" s="276" t="s">
        <v>592</v>
      </c>
      <c r="M705" s="276" t="s">
        <v>3979</v>
      </c>
      <c r="N705" s="276" t="s">
        <v>2921</v>
      </c>
    </row>
    <row r="706" spans="1:14" ht="117.6">
      <c r="A706" s="268" t="str">
        <f t="shared" si="10"/>
        <v>Managing Change|Division Head|3</v>
      </c>
      <c r="B706" s="223" t="s">
        <v>561</v>
      </c>
      <c r="C706" s="227" t="s">
        <v>838</v>
      </c>
      <c r="D706" s="227">
        <v>3</v>
      </c>
      <c r="E706" s="227" t="s">
        <v>623</v>
      </c>
      <c r="F706" s="227">
        <v>3</v>
      </c>
      <c r="G706" s="276" t="s">
        <v>3980</v>
      </c>
      <c r="H706" s="276" t="s">
        <v>3981</v>
      </c>
      <c r="I706" s="276" t="s">
        <v>3982</v>
      </c>
      <c r="J706" s="276" t="s">
        <v>1249</v>
      </c>
      <c r="K706" s="276" t="s">
        <v>591</v>
      </c>
      <c r="L706" s="276" t="s">
        <v>592</v>
      </c>
      <c r="M706" s="276" t="s">
        <v>3983</v>
      </c>
      <c r="N706" s="276" t="s">
        <v>640</v>
      </c>
    </row>
    <row r="707" spans="1:14" ht="100.9">
      <c r="A707" s="268" t="str">
        <f t="shared" ref="A707:A770" si="11">B707 &amp; "|" &amp; C707 &amp; "|" &amp; D707</f>
        <v>Managing Change|Division Head|4</v>
      </c>
      <c r="B707" s="223" t="s">
        <v>561</v>
      </c>
      <c r="C707" s="227" t="s">
        <v>838</v>
      </c>
      <c r="D707" s="227">
        <v>4</v>
      </c>
      <c r="E707" s="227" t="s">
        <v>641</v>
      </c>
      <c r="F707" s="227">
        <v>1</v>
      </c>
      <c r="G707" s="276" t="s">
        <v>3984</v>
      </c>
      <c r="H707" s="276" t="s">
        <v>3985</v>
      </c>
      <c r="I707" s="276" t="s">
        <v>3986</v>
      </c>
      <c r="J707" s="276" t="s">
        <v>3987</v>
      </c>
      <c r="K707" s="276" t="s">
        <v>591</v>
      </c>
      <c r="L707" s="276" t="s">
        <v>592</v>
      </c>
      <c r="M707" s="276" t="s">
        <v>3988</v>
      </c>
      <c r="N707" s="276" t="s">
        <v>3989</v>
      </c>
    </row>
    <row r="708" spans="1:14" ht="84">
      <c r="A708" s="268" t="str">
        <f t="shared" si="11"/>
        <v>Managing Change|Division Head|4</v>
      </c>
      <c r="B708" s="223" t="s">
        <v>561</v>
      </c>
      <c r="C708" s="227" t="s">
        <v>838</v>
      </c>
      <c r="D708" s="227">
        <v>4</v>
      </c>
      <c r="E708" s="227" t="s">
        <v>641</v>
      </c>
      <c r="F708" s="227">
        <v>2</v>
      </c>
      <c r="G708" s="276" t="s">
        <v>3990</v>
      </c>
      <c r="H708" s="276" t="s">
        <v>3991</v>
      </c>
      <c r="I708" s="276" t="s">
        <v>3992</v>
      </c>
      <c r="J708" s="276" t="s">
        <v>3993</v>
      </c>
      <c r="K708" s="276" t="s">
        <v>591</v>
      </c>
      <c r="L708" s="276" t="s">
        <v>592</v>
      </c>
      <c r="M708" s="276" t="s">
        <v>3994</v>
      </c>
      <c r="N708" s="276" t="s">
        <v>3995</v>
      </c>
    </row>
    <row r="709" spans="1:14" ht="117.6">
      <c r="A709" s="268" t="str">
        <f t="shared" si="11"/>
        <v>Managing Change|Division Head|4</v>
      </c>
      <c r="B709" s="223" t="s">
        <v>561</v>
      </c>
      <c r="C709" s="227" t="s">
        <v>838</v>
      </c>
      <c r="D709" s="227">
        <v>4</v>
      </c>
      <c r="E709" s="227" t="s">
        <v>641</v>
      </c>
      <c r="F709" s="227">
        <v>3</v>
      </c>
      <c r="G709" s="276" t="s">
        <v>3996</v>
      </c>
      <c r="H709" s="276" t="s">
        <v>3997</v>
      </c>
      <c r="I709" s="276" t="s">
        <v>3998</v>
      </c>
      <c r="J709" s="276" t="s">
        <v>3999</v>
      </c>
      <c r="K709" s="276" t="s">
        <v>591</v>
      </c>
      <c r="L709" s="276" t="s">
        <v>592</v>
      </c>
      <c r="M709" s="276" t="s">
        <v>4000</v>
      </c>
      <c r="N709" s="276" t="s">
        <v>3995</v>
      </c>
    </row>
    <row r="710" spans="1:14" ht="84">
      <c r="A710" s="268" t="str">
        <f t="shared" si="11"/>
        <v>Managing Change|Director|1</v>
      </c>
      <c r="B710" s="223" t="s">
        <v>561</v>
      </c>
      <c r="C710" s="227" t="s">
        <v>898</v>
      </c>
      <c r="D710" s="226">
        <v>1</v>
      </c>
      <c r="E710" s="227" t="s">
        <v>586</v>
      </c>
      <c r="F710" s="227">
        <v>1</v>
      </c>
      <c r="G710" s="279" t="s">
        <v>4001</v>
      </c>
      <c r="H710" s="279" t="s">
        <v>4002</v>
      </c>
      <c r="I710" s="279" t="s">
        <v>4003</v>
      </c>
      <c r="J710" s="279" t="s">
        <v>4004</v>
      </c>
      <c r="K710" s="279" t="s">
        <v>591</v>
      </c>
      <c r="L710" s="279" t="s">
        <v>592</v>
      </c>
      <c r="M710" s="279" t="s">
        <v>4005</v>
      </c>
      <c r="N710" s="279" t="s">
        <v>594</v>
      </c>
    </row>
    <row r="711" spans="1:14" ht="84">
      <c r="A711" s="268" t="str">
        <f t="shared" si="11"/>
        <v>Managing Change|Director|1</v>
      </c>
      <c r="B711" s="223" t="s">
        <v>561</v>
      </c>
      <c r="C711" s="227" t="s">
        <v>898</v>
      </c>
      <c r="D711" s="226">
        <v>1</v>
      </c>
      <c r="E711" s="227" t="s">
        <v>586</v>
      </c>
      <c r="F711" s="227">
        <v>2</v>
      </c>
      <c r="G711" s="279" t="s">
        <v>4006</v>
      </c>
      <c r="H711" s="279" t="s">
        <v>4007</v>
      </c>
      <c r="I711" s="279" t="s">
        <v>4008</v>
      </c>
      <c r="J711" s="279" t="s">
        <v>4009</v>
      </c>
      <c r="K711" s="279" t="s">
        <v>591</v>
      </c>
      <c r="L711" s="279" t="s">
        <v>592</v>
      </c>
      <c r="M711" s="279" t="s">
        <v>4010</v>
      </c>
      <c r="N711" s="279" t="s">
        <v>594</v>
      </c>
    </row>
    <row r="712" spans="1:14" ht="84">
      <c r="A712" s="268" t="str">
        <f t="shared" si="11"/>
        <v>Managing Change|Director|1</v>
      </c>
      <c r="B712" s="223" t="s">
        <v>561</v>
      </c>
      <c r="C712" s="227" t="s">
        <v>898</v>
      </c>
      <c r="D712" s="226">
        <v>1</v>
      </c>
      <c r="E712" s="227" t="s">
        <v>586</v>
      </c>
      <c r="F712" s="227">
        <v>3</v>
      </c>
      <c r="G712" s="279" t="s">
        <v>4011</v>
      </c>
      <c r="H712" s="279" t="s">
        <v>4012</v>
      </c>
      <c r="I712" s="279" t="s">
        <v>4013</v>
      </c>
      <c r="J712" s="279" t="s">
        <v>4014</v>
      </c>
      <c r="K712" s="279" t="s">
        <v>591</v>
      </c>
      <c r="L712" s="279" t="s">
        <v>592</v>
      </c>
      <c r="M712" s="279" t="s">
        <v>4015</v>
      </c>
      <c r="N712" s="279" t="s">
        <v>594</v>
      </c>
    </row>
    <row r="713" spans="1:14" ht="67.150000000000006">
      <c r="A713" s="268" t="str">
        <f t="shared" si="11"/>
        <v>Managing Change|Director|2</v>
      </c>
      <c r="B713" s="223" t="s">
        <v>561</v>
      </c>
      <c r="C713" s="227" t="s">
        <v>898</v>
      </c>
      <c r="D713" s="227">
        <v>2</v>
      </c>
      <c r="E713" s="227" t="s">
        <v>605</v>
      </c>
      <c r="F713" s="227">
        <v>1</v>
      </c>
      <c r="G713" s="279" t="s">
        <v>4016</v>
      </c>
      <c r="H713" s="279" t="s">
        <v>4017</v>
      </c>
      <c r="I713" s="279" t="s">
        <v>4018</v>
      </c>
      <c r="J713" s="279" t="s">
        <v>4019</v>
      </c>
      <c r="K713" s="279" t="s">
        <v>591</v>
      </c>
      <c r="L713" s="279" t="s">
        <v>592</v>
      </c>
      <c r="M713" s="279" t="s">
        <v>4020</v>
      </c>
      <c r="N713" s="279" t="s">
        <v>922</v>
      </c>
    </row>
    <row r="714" spans="1:14" ht="67.150000000000006">
      <c r="A714" s="268" t="str">
        <f t="shared" si="11"/>
        <v>Managing Change|Director|2</v>
      </c>
      <c r="B714" s="223" t="s">
        <v>561</v>
      </c>
      <c r="C714" s="227" t="s">
        <v>898</v>
      </c>
      <c r="D714" s="227">
        <v>2</v>
      </c>
      <c r="E714" s="227" t="s">
        <v>605</v>
      </c>
      <c r="F714" s="227">
        <v>2</v>
      </c>
      <c r="G714" s="279" t="s">
        <v>4021</v>
      </c>
      <c r="H714" s="279" t="s">
        <v>4022</v>
      </c>
      <c r="I714" s="279" t="s">
        <v>4023</v>
      </c>
      <c r="J714" s="279" t="s">
        <v>4024</v>
      </c>
      <c r="K714" s="279" t="s">
        <v>591</v>
      </c>
      <c r="L714" s="279" t="s">
        <v>592</v>
      </c>
      <c r="M714" s="279" t="s">
        <v>4025</v>
      </c>
      <c r="N714" s="279" t="s">
        <v>916</v>
      </c>
    </row>
    <row r="715" spans="1:14" ht="84">
      <c r="A715" s="268" t="str">
        <f t="shared" si="11"/>
        <v>Managing Change|Director|2</v>
      </c>
      <c r="B715" s="223" t="s">
        <v>561</v>
      </c>
      <c r="C715" s="227" t="s">
        <v>898</v>
      </c>
      <c r="D715" s="227">
        <v>2</v>
      </c>
      <c r="E715" s="227" t="s">
        <v>605</v>
      </c>
      <c r="F715" s="227">
        <v>3</v>
      </c>
      <c r="G715" s="279" t="s">
        <v>4026</v>
      </c>
      <c r="H715" s="279" t="s">
        <v>4027</v>
      </c>
      <c r="I715" s="279" t="s">
        <v>4028</v>
      </c>
      <c r="J715" s="279" t="s">
        <v>4029</v>
      </c>
      <c r="K715" s="279" t="s">
        <v>591</v>
      </c>
      <c r="L715" s="279" t="s">
        <v>592</v>
      </c>
      <c r="M715" s="279" t="s">
        <v>4030</v>
      </c>
      <c r="N715" s="279" t="s">
        <v>916</v>
      </c>
    </row>
    <row r="716" spans="1:14" ht="117.6">
      <c r="A716" s="268" t="str">
        <f t="shared" si="11"/>
        <v>Managing Change|Director|3</v>
      </c>
      <c r="B716" s="223" t="s">
        <v>561</v>
      </c>
      <c r="C716" s="227" t="s">
        <v>898</v>
      </c>
      <c r="D716" s="227">
        <v>3</v>
      </c>
      <c r="E716" s="227" t="s">
        <v>623</v>
      </c>
      <c r="F716" s="227">
        <v>1</v>
      </c>
      <c r="G716" s="279" t="s">
        <v>4031</v>
      </c>
      <c r="H716" s="279" t="s">
        <v>4032</v>
      </c>
      <c r="I716" s="279" t="s">
        <v>4033</v>
      </c>
      <c r="J716" s="279" t="s">
        <v>4034</v>
      </c>
      <c r="K716" s="279" t="s">
        <v>591</v>
      </c>
      <c r="L716" s="279" t="s">
        <v>592</v>
      </c>
      <c r="M716" s="279" t="s">
        <v>4035</v>
      </c>
      <c r="N716" s="279" t="s">
        <v>594</v>
      </c>
    </row>
    <row r="717" spans="1:14" ht="100.9">
      <c r="A717" s="268" t="str">
        <f t="shared" si="11"/>
        <v>Managing Change|Director|3</v>
      </c>
      <c r="B717" s="223" t="s">
        <v>561</v>
      </c>
      <c r="C717" s="227" t="s">
        <v>898</v>
      </c>
      <c r="D717" s="227">
        <v>3</v>
      </c>
      <c r="E717" s="227" t="s">
        <v>623</v>
      </c>
      <c r="F717" s="227">
        <v>2</v>
      </c>
      <c r="G717" s="279" t="s">
        <v>4036</v>
      </c>
      <c r="H717" s="279" t="s">
        <v>4037</v>
      </c>
      <c r="I717" s="279" t="s">
        <v>4038</v>
      </c>
      <c r="J717" s="279" t="s">
        <v>4039</v>
      </c>
      <c r="K717" s="279" t="s">
        <v>591</v>
      </c>
      <c r="L717" s="279" t="s">
        <v>592</v>
      </c>
      <c r="M717" s="279" t="s">
        <v>4040</v>
      </c>
      <c r="N717" s="279" t="s">
        <v>594</v>
      </c>
    </row>
    <row r="718" spans="1:14" ht="117.6">
      <c r="A718" s="268" t="str">
        <f t="shared" si="11"/>
        <v>Managing Change|Director|3</v>
      </c>
      <c r="B718" s="223" t="s">
        <v>561</v>
      </c>
      <c r="C718" s="227" t="s">
        <v>898</v>
      </c>
      <c r="D718" s="227">
        <v>3</v>
      </c>
      <c r="E718" s="227" t="s">
        <v>623</v>
      </c>
      <c r="F718" s="227">
        <v>3</v>
      </c>
      <c r="G718" s="279" t="s">
        <v>4041</v>
      </c>
      <c r="H718" s="279" t="s">
        <v>4042</v>
      </c>
      <c r="I718" s="279" t="s">
        <v>4043</v>
      </c>
      <c r="J718" s="279" t="s">
        <v>1249</v>
      </c>
      <c r="K718" s="279" t="s">
        <v>591</v>
      </c>
      <c r="L718" s="279" t="s">
        <v>592</v>
      </c>
      <c r="M718" s="279" t="s">
        <v>4044</v>
      </c>
      <c r="N718" s="279" t="s">
        <v>640</v>
      </c>
    </row>
    <row r="719" spans="1:14" ht="100.9">
      <c r="A719" s="268" t="str">
        <f t="shared" si="11"/>
        <v>Managing Change|Director|4</v>
      </c>
      <c r="B719" s="223" t="s">
        <v>561</v>
      </c>
      <c r="C719" s="227" t="s">
        <v>898</v>
      </c>
      <c r="D719" s="227">
        <v>4</v>
      </c>
      <c r="E719" s="227" t="s">
        <v>641</v>
      </c>
      <c r="F719" s="227">
        <v>1</v>
      </c>
      <c r="G719" s="279" t="s">
        <v>4045</v>
      </c>
      <c r="H719" s="279" t="s">
        <v>4046</v>
      </c>
      <c r="I719" s="279" t="s">
        <v>4047</v>
      </c>
      <c r="J719" s="279" t="s">
        <v>4048</v>
      </c>
      <c r="K719" s="279" t="s">
        <v>591</v>
      </c>
      <c r="L719" s="279" t="s">
        <v>592</v>
      </c>
      <c r="M719" s="279" t="s">
        <v>4049</v>
      </c>
      <c r="N719" s="279" t="s">
        <v>916</v>
      </c>
    </row>
    <row r="720" spans="1:14" ht="84">
      <c r="A720" s="268" t="str">
        <f t="shared" si="11"/>
        <v>Managing Change|Director|4</v>
      </c>
      <c r="B720" s="223" t="s">
        <v>561</v>
      </c>
      <c r="C720" s="227" t="s">
        <v>898</v>
      </c>
      <c r="D720" s="227">
        <v>4</v>
      </c>
      <c r="E720" s="227" t="s">
        <v>641</v>
      </c>
      <c r="F720" s="227">
        <v>2</v>
      </c>
      <c r="G720" s="279" t="s">
        <v>4050</v>
      </c>
      <c r="H720" s="279" t="s">
        <v>4051</v>
      </c>
      <c r="I720" s="279" t="s">
        <v>4052</v>
      </c>
      <c r="J720" s="279" t="s">
        <v>4053</v>
      </c>
      <c r="K720" s="279" t="s">
        <v>591</v>
      </c>
      <c r="L720" s="279" t="s">
        <v>592</v>
      </c>
      <c r="M720" s="279" t="s">
        <v>4054</v>
      </c>
      <c r="N720" s="279" t="s">
        <v>4055</v>
      </c>
    </row>
    <row r="721" spans="1:14" ht="84">
      <c r="A721" s="268" t="str">
        <f t="shared" si="11"/>
        <v>Managing Change|Director|4</v>
      </c>
      <c r="B721" s="223" t="s">
        <v>561</v>
      </c>
      <c r="C721" s="227" t="s">
        <v>898</v>
      </c>
      <c r="D721" s="227">
        <v>4</v>
      </c>
      <c r="E721" s="227" t="s">
        <v>641</v>
      </c>
      <c r="F721" s="227">
        <v>3</v>
      </c>
      <c r="G721" s="279" t="s">
        <v>4056</v>
      </c>
      <c r="H721" s="279" t="s">
        <v>4057</v>
      </c>
      <c r="I721" s="279" t="s">
        <v>4058</v>
      </c>
      <c r="J721" s="279" t="s">
        <v>4059</v>
      </c>
      <c r="K721" s="279" t="s">
        <v>591</v>
      </c>
      <c r="L721" s="279" t="s">
        <v>592</v>
      </c>
      <c r="M721" s="279" t="s">
        <v>4060</v>
      </c>
      <c r="N721" s="279" t="s">
        <v>916</v>
      </c>
    </row>
    <row r="722" spans="1:14" ht="84">
      <c r="A722" s="268" t="str">
        <f t="shared" si="11"/>
        <v>Planning &amp; Organizing|Officer|1</v>
      </c>
      <c r="B722" s="223" t="s">
        <v>557</v>
      </c>
      <c r="C722" s="197" t="s">
        <v>4</v>
      </c>
      <c r="D722" s="197">
        <v>1</v>
      </c>
      <c r="E722" s="79" t="s">
        <v>586</v>
      </c>
      <c r="F722" s="79">
        <v>1</v>
      </c>
      <c r="G722" s="276" t="s">
        <v>4061</v>
      </c>
      <c r="H722" s="276" t="s">
        <v>4062</v>
      </c>
      <c r="I722" s="276" t="s">
        <v>4063</v>
      </c>
      <c r="J722" s="276" t="s">
        <v>4064</v>
      </c>
      <c r="K722" s="276" t="s">
        <v>591</v>
      </c>
      <c r="L722" s="276" t="s">
        <v>592</v>
      </c>
      <c r="M722" s="276" t="s">
        <v>4065</v>
      </c>
      <c r="N722" s="276" t="s">
        <v>594</v>
      </c>
    </row>
    <row r="723" spans="1:14" ht="50.45">
      <c r="A723" s="268" t="str">
        <f t="shared" si="11"/>
        <v>Planning &amp; Organizing|Officer|1</v>
      </c>
      <c r="B723" s="223" t="s">
        <v>557</v>
      </c>
      <c r="C723" s="197" t="s">
        <v>4</v>
      </c>
      <c r="D723" s="197">
        <v>1</v>
      </c>
      <c r="E723" s="79" t="s">
        <v>586</v>
      </c>
      <c r="F723" s="79">
        <v>2</v>
      </c>
      <c r="G723" s="276" t="s">
        <v>4066</v>
      </c>
      <c r="H723" s="276" t="s">
        <v>4067</v>
      </c>
      <c r="I723" s="276" t="s">
        <v>4068</v>
      </c>
      <c r="J723" s="276" t="s">
        <v>4069</v>
      </c>
      <c r="K723" s="276" t="s">
        <v>591</v>
      </c>
      <c r="L723" s="276" t="s">
        <v>592</v>
      </c>
      <c r="M723" s="276" t="s">
        <v>4070</v>
      </c>
      <c r="N723" s="276" t="s">
        <v>594</v>
      </c>
    </row>
    <row r="724" spans="1:14" ht="50.45">
      <c r="A724" s="268" t="str">
        <f t="shared" si="11"/>
        <v>Planning &amp; Organizing|Officer|1</v>
      </c>
      <c r="B724" s="223" t="s">
        <v>557</v>
      </c>
      <c r="C724" s="197" t="s">
        <v>4</v>
      </c>
      <c r="D724" s="197">
        <v>1</v>
      </c>
      <c r="E724" s="79" t="s">
        <v>586</v>
      </c>
      <c r="F724" s="79">
        <v>3</v>
      </c>
      <c r="G724" s="276" t="s">
        <v>4071</v>
      </c>
      <c r="H724" s="276" t="s">
        <v>4072</v>
      </c>
      <c r="I724" s="276" t="s">
        <v>4073</v>
      </c>
      <c r="J724" s="276" t="s">
        <v>4074</v>
      </c>
      <c r="K724" s="276" t="s">
        <v>591</v>
      </c>
      <c r="L724" s="276" t="s">
        <v>592</v>
      </c>
      <c r="M724" s="276" t="s">
        <v>4075</v>
      </c>
      <c r="N724" s="276" t="s">
        <v>594</v>
      </c>
    </row>
    <row r="725" spans="1:14" ht="33.6">
      <c r="A725" s="268" t="str">
        <f t="shared" si="11"/>
        <v>Planning &amp; Organizing|Officer|2</v>
      </c>
      <c r="B725" s="223" t="s">
        <v>557</v>
      </c>
      <c r="C725" s="197" t="s">
        <v>4</v>
      </c>
      <c r="D725" s="79">
        <v>2</v>
      </c>
      <c r="E725" s="79" t="s">
        <v>605</v>
      </c>
      <c r="F725" s="79">
        <v>1</v>
      </c>
      <c r="G725" s="276" t="s">
        <v>4076</v>
      </c>
      <c r="H725" s="276" t="s">
        <v>4077</v>
      </c>
      <c r="I725" s="276" t="s">
        <v>4078</v>
      </c>
      <c r="J725" s="276" t="s">
        <v>1652</v>
      </c>
      <c r="K725" s="276" t="s">
        <v>591</v>
      </c>
      <c r="L725" s="276" t="s">
        <v>592</v>
      </c>
      <c r="M725" s="276" t="s">
        <v>4079</v>
      </c>
      <c r="N725" s="276" t="s">
        <v>737</v>
      </c>
    </row>
    <row r="726" spans="1:14" ht="33.6">
      <c r="A726" s="268" t="str">
        <f t="shared" si="11"/>
        <v>Planning &amp; Organizing|Officer|2</v>
      </c>
      <c r="B726" s="223" t="s">
        <v>557</v>
      </c>
      <c r="C726" s="197" t="s">
        <v>4</v>
      </c>
      <c r="D726" s="79">
        <v>2</v>
      </c>
      <c r="E726" s="79" t="s">
        <v>605</v>
      </c>
      <c r="F726" s="79">
        <v>2</v>
      </c>
      <c r="G726" s="276" t="s">
        <v>4080</v>
      </c>
      <c r="H726" s="276" t="s">
        <v>4081</v>
      </c>
      <c r="I726" s="276" t="s">
        <v>4082</v>
      </c>
      <c r="J726" s="276" t="s">
        <v>4083</v>
      </c>
      <c r="K726" s="276" t="s">
        <v>591</v>
      </c>
      <c r="L726" s="276" t="s">
        <v>592</v>
      </c>
      <c r="M726" s="276" t="s">
        <v>4084</v>
      </c>
      <c r="N726" s="276" t="s">
        <v>737</v>
      </c>
    </row>
    <row r="727" spans="1:14" ht="33.6">
      <c r="A727" s="268" t="str">
        <f t="shared" si="11"/>
        <v>Planning &amp; Organizing|Officer|2</v>
      </c>
      <c r="B727" s="223" t="s">
        <v>557</v>
      </c>
      <c r="C727" s="197" t="s">
        <v>4</v>
      </c>
      <c r="D727" s="79">
        <v>2</v>
      </c>
      <c r="E727" s="79" t="s">
        <v>605</v>
      </c>
      <c r="F727" s="79">
        <v>3</v>
      </c>
      <c r="G727" s="276" t="s">
        <v>4085</v>
      </c>
      <c r="H727" s="276" t="s">
        <v>4086</v>
      </c>
      <c r="I727" s="276" t="s">
        <v>4087</v>
      </c>
      <c r="J727" s="276" t="s">
        <v>4088</v>
      </c>
      <c r="K727" s="276" t="s">
        <v>591</v>
      </c>
      <c r="L727" s="276" t="s">
        <v>592</v>
      </c>
      <c r="M727" s="276" t="s">
        <v>4089</v>
      </c>
      <c r="N727" s="276" t="s">
        <v>737</v>
      </c>
    </row>
    <row r="728" spans="1:14" ht="50.45">
      <c r="A728" s="268" t="str">
        <f t="shared" si="11"/>
        <v>Planning &amp; Organizing|Officer|3</v>
      </c>
      <c r="B728" s="223" t="s">
        <v>557</v>
      </c>
      <c r="C728" s="197" t="s">
        <v>4</v>
      </c>
      <c r="D728" s="79">
        <v>3</v>
      </c>
      <c r="E728" s="79" t="s">
        <v>623</v>
      </c>
      <c r="F728" s="79">
        <v>1</v>
      </c>
      <c r="G728" s="276" t="s">
        <v>4090</v>
      </c>
      <c r="H728" s="276" t="s">
        <v>4091</v>
      </c>
      <c r="I728" s="276" t="s">
        <v>4092</v>
      </c>
      <c r="J728" s="276" t="s">
        <v>4093</v>
      </c>
      <c r="K728" s="276" t="s">
        <v>591</v>
      </c>
      <c r="L728" s="276" t="s">
        <v>592</v>
      </c>
      <c r="M728" s="276" t="s">
        <v>4094</v>
      </c>
      <c r="N728" s="276" t="s">
        <v>4095</v>
      </c>
    </row>
    <row r="729" spans="1:14" ht="50.45">
      <c r="A729" s="268" t="str">
        <f t="shared" si="11"/>
        <v>Planning &amp; Organizing|Officer|3</v>
      </c>
      <c r="B729" s="223" t="s">
        <v>557</v>
      </c>
      <c r="C729" s="197" t="s">
        <v>4</v>
      </c>
      <c r="D729" s="79">
        <v>3</v>
      </c>
      <c r="E729" s="79" t="s">
        <v>623</v>
      </c>
      <c r="F729" s="79">
        <v>2</v>
      </c>
      <c r="G729" s="276" t="s">
        <v>4096</v>
      </c>
      <c r="H729" s="276" t="s">
        <v>4097</v>
      </c>
      <c r="I729" s="276" t="s">
        <v>4098</v>
      </c>
      <c r="J729" s="276" t="s">
        <v>4099</v>
      </c>
      <c r="K729" s="276" t="s">
        <v>591</v>
      </c>
      <c r="L729" s="276" t="s">
        <v>592</v>
      </c>
      <c r="M729" s="276" t="s">
        <v>4100</v>
      </c>
      <c r="N729" s="276" t="s">
        <v>1859</v>
      </c>
    </row>
    <row r="730" spans="1:14" ht="50.45">
      <c r="A730" s="268" t="str">
        <f t="shared" si="11"/>
        <v>Planning &amp; Organizing|Officer|3</v>
      </c>
      <c r="B730" s="223" t="s">
        <v>557</v>
      </c>
      <c r="C730" s="197" t="s">
        <v>4</v>
      </c>
      <c r="D730" s="79">
        <v>3</v>
      </c>
      <c r="E730" s="79" t="s">
        <v>623</v>
      </c>
      <c r="F730" s="79">
        <v>3</v>
      </c>
      <c r="G730" s="276" t="s">
        <v>4101</v>
      </c>
      <c r="H730" s="276" t="s">
        <v>4102</v>
      </c>
      <c r="I730" s="276" t="s">
        <v>4103</v>
      </c>
      <c r="J730" s="276" t="s">
        <v>4104</v>
      </c>
      <c r="K730" s="276" t="s">
        <v>591</v>
      </c>
      <c r="L730" s="276" t="s">
        <v>592</v>
      </c>
      <c r="M730" s="276" t="s">
        <v>4105</v>
      </c>
      <c r="N730" s="276" t="s">
        <v>4106</v>
      </c>
    </row>
    <row r="731" spans="1:14" ht="67.150000000000006">
      <c r="A731" s="268" t="str">
        <f t="shared" si="11"/>
        <v>Planning &amp; Organizing|Officer|4</v>
      </c>
      <c r="B731" s="223" t="s">
        <v>557</v>
      </c>
      <c r="C731" s="197" t="s">
        <v>4</v>
      </c>
      <c r="D731" s="79">
        <v>4</v>
      </c>
      <c r="E731" s="79" t="s">
        <v>641</v>
      </c>
      <c r="F731" s="79">
        <v>1</v>
      </c>
      <c r="G731" s="276" t="s">
        <v>4107</v>
      </c>
      <c r="H731" s="276" t="s">
        <v>1985</v>
      </c>
      <c r="I731" s="276" t="s">
        <v>4108</v>
      </c>
      <c r="J731" s="276" t="s">
        <v>4109</v>
      </c>
      <c r="K731" s="276" t="s">
        <v>591</v>
      </c>
      <c r="L731" s="276" t="s">
        <v>592</v>
      </c>
      <c r="M731" s="276" t="s">
        <v>4110</v>
      </c>
      <c r="N731" s="276" t="s">
        <v>622</v>
      </c>
    </row>
    <row r="732" spans="1:14" ht="50.45">
      <c r="A732" s="268" t="str">
        <f t="shared" si="11"/>
        <v>Planning &amp; Organizing|Officer|4</v>
      </c>
      <c r="B732" s="223" t="s">
        <v>557</v>
      </c>
      <c r="C732" s="197" t="s">
        <v>4</v>
      </c>
      <c r="D732" s="79">
        <v>4</v>
      </c>
      <c r="E732" s="79" t="s">
        <v>641</v>
      </c>
      <c r="F732" s="79">
        <v>2</v>
      </c>
      <c r="G732" s="276" t="s">
        <v>4111</v>
      </c>
      <c r="H732" s="276" t="s">
        <v>4112</v>
      </c>
      <c r="I732" s="276" t="s">
        <v>4113</v>
      </c>
      <c r="J732" s="276" t="s">
        <v>4114</v>
      </c>
      <c r="K732" s="276" t="s">
        <v>591</v>
      </c>
      <c r="L732" s="276" t="s">
        <v>592</v>
      </c>
      <c r="M732" s="276" t="s">
        <v>4115</v>
      </c>
      <c r="N732" s="276" t="s">
        <v>622</v>
      </c>
    </row>
    <row r="733" spans="1:14" ht="50.45">
      <c r="A733" s="268" t="str">
        <f t="shared" si="11"/>
        <v>Planning &amp; Organizing|Officer|4</v>
      </c>
      <c r="B733" s="223" t="s">
        <v>557</v>
      </c>
      <c r="C733" s="197" t="s">
        <v>4</v>
      </c>
      <c r="D733" s="79">
        <v>4</v>
      </c>
      <c r="E733" s="79" t="s">
        <v>641</v>
      </c>
      <c r="F733" s="79">
        <v>3</v>
      </c>
      <c r="G733" s="276" t="s">
        <v>4116</v>
      </c>
      <c r="H733" s="276" t="s">
        <v>4117</v>
      </c>
      <c r="I733" s="276" t="s">
        <v>4118</v>
      </c>
      <c r="J733" s="276" t="s">
        <v>4119</v>
      </c>
      <c r="K733" s="276" t="s">
        <v>591</v>
      </c>
      <c r="L733" s="276" t="s">
        <v>592</v>
      </c>
      <c r="M733" s="276" t="s">
        <v>4120</v>
      </c>
      <c r="N733" s="276" t="s">
        <v>4121</v>
      </c>
    </row>
    <row r="734" spans="1:14" ht="67.150000000000006">
      <c r="A734" s="268" t="str">
        <f t="shared" si="11"/>
        <v>Planning &amp; Organizing|Analyst|1</v>
      </c>
      <c r="B734" s="223" t="s">
        <v>557</v>
      </c>
      <c r="C734" s="197" t="s">
        <v>6</v>
      </c>
      <c r="D734" s="197">
        <v>1</v>
      </c>
      <c r="E734" s="79" t="s">
        <v>586</v>
      </c>
      <c r="F734" s="79">
        <v>1</v>
      </c>
      <c r="G734" s="276" t="s">
        <v>4122</v>
      </c>
      <c r="H734" s="276" t="s">
        <v>4123</v>
      </c>
      <c r="I734" s="276" t="s">
        <v>4124</v>
      </c>
      <c r="J734" s="276" t="s">
        <v>4125</v>
      </c>
      <c r="K734" s="276" t="s">
        <v>591</v>
      </c>
      <c r="L734" s="276" t="s">
        <v>592</v>
      </c>
      <c r="M734" s="276" t="s">
        <v>4126</v>
      </c>
      <c r="N734" s="276" t="s">
        <v>594</v>
      </c>
    </row>
    <row r="735" spans="1:14" ht="84">
      <c r="A735" s="268" t="str">
        <f t="shared" si="11"/>
        <v>Planning &amp; Organizing|Analyst|1</v>
      </c>
      <c r="B735" s="223" t="s">
        <v>557</v>
      </c>
      <c r="C735" s="197" t="s">
        <v>6</v>
      </c>
      <c r="D735" s="197">
        <v>1</v>
      </c>
      <c r="E735" s="79" t="s">
        <v>586</v>
      </c>
      <c r="F735" s="79">
        <v>2</v>
      </c>
      <c r="G735" s="276" t="s">
        <v>4127</v>
      </c>
      <c r="H735" s="276" t="s">
        <v>4128</v>
      </c>
      <c r="I735" s="276" t="s">
        <v>4129</v>
      </c>
      <c r="J735" s="276" t="s">
        <v>4130</v>
      </c>
      <c r="K735" s="276" t="s">
        <v>591</v>
      </c>
      <c r="L735" s="276" t="s">
        <v>592</v>
      </c>
      <c r="M735" s="276" t="s">
        <v>4131</v>
      </c>
      <c r="N735" s="276" t="s">
        <v>594</v>
      </c>
    </row>
    <row r="736" spans="1:14" ht="50.45">
      <c r="A736" s="268" t="str">
        <f t="shared" si="11"/>
        <v>Planning &amp; Organizing|Analyst|1</v>
      </c>
      <c r="B736" s="223" t="s">
        <v>557</v>
      </c>
      <c r="C736" s="197" t="s">
        <v>6</v>
      </c>
      <c r="D736" s="197">
        <v>1</v>
      </c>
      <c r="E736" s="79" t="s">
        <v>586</v>
      </c>
      <c r="F736" s="79">
        <v>3</v>
      </c>
      <c r="G736" s="276" t="s">
        <v>3426</v>
      </c>
      <c r="H736" s="276" t="s">
        <v>4132</v>
      </c>
      <c r="I736" s="276" t="s">
        <v>4133</v>
      </c>
      <c r="J736" s="276" t="s">
        <v>1642</v>
      </c>
      <c r="K736" s="276" t="s">
        <v>591</v>
      </c>
      <c r="L736" s="276" t="s">
        <v>592</v>
      </c>
      <c r="M736" s="276" t="s">
        <v>4134</v>
      </c>
      <c r="N736" s="276" t="s">
        <v>594</v>
      </c>
    </row>
    <row r="737" spans="1:14" ht="50.45">
      <c r="A737" s="268" t="str">
        <f t="shared" si="11"/>
        <v>Planning &amp; Organizing|Analyst|2</v>
      </c>
      <c r="B737" s="223" t="s">
        <v>557</v>
      </c>
      <c r="C737" s="197" t="s">
        <v>6</v>
      </c>
      <c r="D737" s="79">
        <v>2</v>
      </c>
      <c r="E737" s="79" t="s">
        <v>605</v>
      </c>
      <c r="F737" s="79">
        <v>1</v>
      </c>
      <c r="G737" s="276" t="s">
        <v>4135</v>
      </c>
      <c r="H737" s="276" t="s">
        <v>4136</v>
      </c>
      <c r="I737" s="276" t="s">
        <v>4137</v>
      </c>
      <c r="J737" s="276" t="s">
        <v>4138</v>
      </c>
      <c r="K737" s="276" t="s">
        <v>591</v>
      </c>
      <c r="L737" s="276" t="s">
        <v>592</v>
      </c>
      <c r="M737" s="276" t="s">
        <v>4139</v>
      </c>
      <c r="N737" s="276" t="s">
        <v>737</v>
      </c>
    </row>
    <row r="738" spans="1:14" ht="50.45">
      <c r="A738" s="268" t="str">
        <f t="shared" si="11"/>
        <v>Planning &amp; Organizing|Analyst|2</v>
      </c>
      <c r="B738" s="223" t="s">
        <v>557</v>
      </c>
      <c r="C738" s="197" t="s">
        <v>6</v>
      </c>
      <c r="D738" s="79">
        <v>2</v>
      </c>
      <c r="E738" s="79" t="s">
        <v>605</v>
      </c>
      <c r="F738" s="79">
        <v>2</v>
      </c>
      <c r="G738" s="276" t="s">
        <v>4140</v>
      </c>
      <c r="H738" s="276" t="s">
        <v>4141</v>
      </c>
      <c r="I738" s="276" t="s">
        <v>4142</v>
      </c>
      <c r="J738" s="276" t="s">
        <v>3433</v>
      </c>
      <c r="K738" s="276" t="s">
        <v>591</v>
      </c>
      <c r="L738" s="276" t="s">
        <v>592</v>
      </c>
      <c r="M738" s="276" t="s">
        <v>4143</v>
      </c>
      <c r="N738" s="276" t="s">
        <v>611</v>
      </c>
    </row>
    <row r="739" spans="1:14" ht="50.45">
      <c r="A739" s="268" t="str">
        <f t="shared" si="11"/>
        <v>Planning &amp; Organizing|Analyst|2</v>
      </c>
      <c r="B739" s="223" t="s">
        <v>557</v>
      </c>
      <c r="C739" s="197" t="s">
        <v>6</v>
      </c>
      <c r="D739" s="79">
        <v>2</v>
      </c>
      <c r="E739" s="79" t="s">
        <v>605</v>
      </c>
      <c r="F739" s="79">
        <v>3</v>
      </c>
      <c r="G739" s="276" t="s">
        <v>4144</v>
      </c>
      <c r="H739" s="276" t="s">
        <v>4145</v>
      </c>
      <c r="I739" s="276" t="s">
        <v>4146</v>
      </c>
      <c r="J739" s="276" t="s">
        <v>4147</v>
      </c>
      <c r="K739" s="276" t="s">
        <v>591</v>
      </c>
      <c r="L739" s="276" t="s">
        <v>592</v>
      </c>
      <c r="M739" s="276" t="s">
        <v>4148</v>
      </c>
      <c r="N739" s="276" t="s">
        <v>594</v>
      </c>
    </row>
    <row r="740" spans="1:14" ht="50.45">
      <c r="A740" s="268" t="str">
        <f t="shared" si="11"/>
        <v>Planning &amp; Organizing|Analyst|3</v>
      </c>
      <c r="B740" s="223" t="s">
        <v>557</v>
      </c>
      <c r="C740" s="197" t="s">
        <v>6</v>
      </c>
      <c r="D740" s="79">
        <v>3</v>
      </c>
      <c r="E740" s="79" t="s">
        <v>623</v>
      </c>
      <c r="F740" s="79">
        <v>1</v>
      </c>
      <c r="G740" s="276" t="s">
        <v>4149</v>
      </c>
      <c r="H740" s="276" t="s">
        <v>4150</v>
      </c>
      <c r="I740" s="276" t="s">
        <v>4151</v>
      </c>
      <c r="J740" s="276" t="s">
        <v>4152</v>
      </c>
      <c r="K740" s="276" t="s">
        <v>591</v>
      </c>
      <c r="L740" s="276" t="s">
        <v>592</v>
      </c>
      <c r="M740" s="276" t="s">
        <v>4153</v>
      </c>
      <c r="N740" s="276" t="s">
        <v>1669</v>
      </c>
    </row>
    <row r="741" spans="1:14" ht="50.45">
      <c r="A741" s="268" t="str">
        <f t="shared" si="11"/>
        <v>Planning &amp; Organizing|Analyst|3</v>
      </c>
      <c r="B741" s="223" t="s">
        <v>557</v>
      </c>
      <c r="C741" s="197" t="s">
        <v>6</v>
      </c>
      <c r="D741" s="79">
        <v>3</v>
      </c>
      <c r="E741" s="79" t="s">
        <v>623</v>
      </c>
      <c r="F741" s="79">
        <v>2</v>
      </c>
      <c r="G741" s="276" t="s">
        <v>1056</v>
      </c>
      <c r="H741" s="276" t="s">
        <v>4154</v>
      </c>
      <c r="I741" s="276" t="s">
        <v>4155</v>
      </c>
      <c r="J741" s="276" t="s">
        <v>872</v>
      </c>
      <c r="K741" s="276" t="s">
        <v>591</v>
      </c>
      <c r="L741" s="276" t="s">
        <v>592</v>
      </c>
      <c r="M741" s="276" t="s">
        <v>4156</v>
      </c>
      <c r="N741" s="276" t="s">
        <v>594</v>
      </c>
    </row>
    <row r="742" spans="1:14" ht="50.45">
      <c r="A742" s="268" t="str">
        <f t="shared" si="11"/>
        <v>Planning &amp; Organizing|Analyst|3</v>
      </c>
      <c r="B742" s="223" t="s">
        <v>557</v>
      </c>
      <c r="C742" s="197" t="s">
        <v>6</v>
      </c>
      <c r="D742" s="79">
        <v>3</v>
      </c>
      <c r="E742" s="79" t="s">
        <v>623</v>
      </c>
      <c r="F742" s="79">
        <v>3</v>
      </c>
      <c r="G742" s="276" t="s">
        <v>4157</v>
      </c>
      <c r="H742" s="276" t="s">
        <v>4158</v>
      </c>
      <c r="I742" s="276" t="s">
        <v>4159</v>
      </c>
      <c r="J742" s="276" t="s">
        <v>4160</v>
      </c>
      <c r="K742" s="276" t="s">
        <v>591</v>
      </c>
      <c r="L742" s="276" t="s">
        <v>592</v>
      </c>
      <c r="M742" s="276" t="s">
        <v>3454</v>
      </c>
      <c r="N742" s="276" t="s">
        <v>2721</v>
      </c>
    </row>
    <row r="743" spans="1:14" ht="50.45">
      <c r="A743" s="268" t="str">
        <f t="shared" si="11"/>
        <v>Planning &amp; Organizing|Analyst|4</v>
      </c>
      <c r="B743" s="223" t="s">
        <v>557</v>
      </c>
      <c r="C743" s="197" t="s">
        <v>6</v>
      </c>
      <c r="D743" s="79">
        <v>4</v>
      </c>
      <c r="E743" s="79" t="s">
        <v>641</v>
      </c>
      <c r="F743" s="79">
        <v>1</v>
      </c>
      <c r="G743" s="276" t="s">
        <v>4161</v>
      </c>
      <c r="H743" s="276" t="s">
        <v>4162</v>
      </c>
      <c r="I743" s="276" t="s">
        <v>4163</v>
      </c>
      <c r="J743" s="276" t="s">
        <v>4164</v>
      </c>
      <c r="K743" s="276" t="s">
        <v>591</v>
      </c>
      <c r="L743" s="276" t="s">
        <v>592</v>
      </c>
      <c r="M743" s="276" t="s">
        <v>4165</v>
      </c>
      <c r="N743" s="276" t="s">
        <v>622</v>
      </c>
    </row>
    <row r="744" spans="1:14" ht="50.45">
      <c r="A744" s="268" t="str">
        <f t="shared" si="11"/>
        <v>Planning &amp; Organizing|Analyst|4</v>
      </c>
      <c r="B744" s="223" t="s">
        <v>557</v>
      </c>
      <c r="C744" s="197" t="s">
        <v>6</v>
      </c>
      <c r="D744" s="79">
        <v>4</v>
      </c>
      <c r="E744" s="79" t="s">
        <v>641</v>
      </c>
      <c r="F744" s="79">
        <v>2</v>
      </c>
      <c r="G744" s="276" t="s">
        <v>4166</v>
      </c>
      <c r="H744" s="276" t="s">
        <v>4167</v>
      </c>
      <c r="I744" s="276" t="s">
        <v>4168</v>
      </c>
      <c r="J744" s="276" t="s">
        <v>4169</v>
      </c>
      <c r="K744" s="276" t="s">
        <v>591</v>
      </c>
      <c r="L744" s="276" t="s">
        <v>592</v>
      </c>
      <c r="M744" s="276" t="s">
        <v>4170</v>
      </c>
      <c r="N744" s="276" t="s">
        <v>622</v>
      </c>
    </row>
    <row r="745" spans="1:14" ht="50.45">
      <c r="A745" s="268" t="str">
        <f t="shared" si="11"/>
        <v>Planning &amp; Organizing|Analyst|4</v>
      </c>
      <c r="B745" s="223" t="s">
        <v>557</v>
      </c>
      <c r="C745" s="197" t="s">
        <v>6</v>
      </c>
      <c r="D745" s="79">
        <v>4</v>
      </c>
      <c r="E745" s="79" t="s">
        <v>641</v>
      </c>
      <c r="F745" s="79">
        <v>3</v>
      </c>
      <c r="G745" s="276" t="s">
        <v>4171</v>
      </c>
      <c r="H745" s="276" t="s">
        <v>4172</v>
      </c>
      <c r="I745" s="276" t="s">
        <v>4173</v>
      </c>
      <c r="J745" s="276" t="s">
        <v>4174</v>
      </c>
      <c r="K745" s="276" t="s">
        <v>591</v>
      </c>
      <c r="L745" s="276" t="s">
        <v>592</v>
      </c>
      <c r="M745" s="276" t="s">
        <v>4175</v>
      </c>
      <c r="N745" s="276" t="s">
        <v>1110</v>
      </c>
    </row>
    <row r="746" spans="1:14" ht="50.45">
      <c r="A746" s="268" t="str">
        <f t="shared" si="11"/>
        <v>Planning &amp; Organizing|Unit Head/Specialist|1</v>
      </c>
      <c r="B746" s="223" t="s">
        <v>557</v>
      </c>
      <c r="C746" s="79" t="s">
        <v>13</v>
      </c>
      <c r="D746" s="197">
        <v>1</v>
      </c>
      <c r="E746" s="79" t="s">
        <v>586</v>
      </c>
      <c r="F746" s="79">
        <v>1</v>
      </c>
      <c r="G746" s="279" t="s">
        <v>4176</v>
      </c>
      <c r="H746" s="279" t="s">
        <v>4177</v>
      </c>
      <c r="I746" s="279" t="s">
        <v>4178</v>
      </c>
      <c r="J746" s="279" t="s">
        <v>4179</v>
      </c>
      <c r="K746" s="279" t="s">
        <v>591</v>
      </c>
      <c r="L746" s="279" t="s">
        <v>592</v>
      </c>
      <c r="M746" s="279" t="s">
        <v>4180</v>
      </c>
      <c r="N746" s="279" t="s">
        <v>594</v>
      </c>
    </row>
    <row r="747" spans="1:14" ht="50.45">
      <c r="A747" s="268" t="str">
        <f t="shared" si="11"/>
        <v>Planning &amp; Organizing|Unit Head/Specialist|1</v>
      </c>
      <c r="B747" s="223" t="s">
        <v>557</v>
      </c>
      <c r="C747" s="79" t="s">
        <v>13</v>
      </c>
      <c r="D747" s="197">
        <v>1</v>
      </c>
      <c r="E747" s="79" t="s">
        <v>586</v>
      </c>
      <c r="F747" s="79">
        <v>2</v>
      </c>
      <c r="G747" s="279" t="s">
        <v>4181</v>
      </c>
      <c r="H747" s="279" t="s">
        <v>4182</v>
      </c>
      <c r="I747" s="279" t="s">
        <v>4183</v>
      </c>
      <c r="J747" s="279" t="s">
        <v>4184</v>
      </c>
      <c r="K747" s="279" t="s">
        <v>591</v>
      </c>
      <c r="L747" s="279" t="s">
        <v>592</v>
      </c>
      <c r="M747" s="279" t="s">
        <v>4185</v>
      </c>
      <c r="N747" s="279" t="s">
        <v>594</v>
      </c>
    </row>
    <row r="748" spans="1:14" ht="67.150000000000006">
      <c r="A748" s="268" t="str">
        <f t="shared" si="11"/>
        <v>Planning &amp; Organizing|Unit Head/Specialist|1</v>
      </c>
      <c r="B748" s="223" t="s">
        <v>557</v>
      </c>
      <c r="C748" s="79" t="s">
        <v>13</v>
      </c>
      <c r="D748" s="197">
        <v>1</v>
      </c>
      <c r="E748" s="79" t="s">
        <v>586</v>
      </c>
      <c r="F748" s="79">
        <v>3</v>
      </c>
      <c r="G748" s="279" t="s">
        <v>4186</v>
      </c>
      <c r="H748" s="279" t="s">
        <v>4187</v>
      </c>
      <c r="I748" s="279" t="s">
        <v>4188</v>
      </c>
      <c r="J748" s="279" t="s">
        <v>4189</v>
      </c>
      <c r="K748" s="279" t="s">
        <v>591</v>
      </c>
      <c r="L748" s="279" t="s">
        <v>592</v>
      </c>
      <c r="M748" s="279" t="s">
        <v>4190</v>
      </c>
      <c r="N748" s="279" t="s">
        <v>622</v>
      </c>
    </row>
    <row r="749" spans="1:14" ht="33.6">
      <c r="A749" s="268" t="str">
        <f t="shared" si="11"/>
        <v>Planning &amp; Organizing|Unit Head/Specialist|2</v>
      </c>
      <c r="B749" s="223" t="s">
        <v>557</v>
      </c>
      <c r="C749" s="79" t="s">
        <v>13</v>
      </c>
      <c r="D749" s="79">
        <v>2</v>
      </c>
      <c r="E749" s="79" t="s">
        <v>605</v>
      </c>
      <c r="F749" s="79">
        <v>1</v>
      </c>
      <c r="G749" s="279" t="s">
        <v>4191</v>
      </c>
      <c r="H749" s="279" t="s">
        <v>4192</v>
      </c>
      <c r="I749" s="279" t="s">
        <v>4193</v>
      </c>
      <c r="J749" s="279" t="s">
        <v>4194</v>
      </c>
      <c r="K749" s="279" t="s">
        <v>591</v>
      </c>
      <c r="L749" s="279" t="s">
        <v>592</v>
      </c>
      <c r="M749" s="279" t="s">
        <v>4195</v>
      </c>
      <c r="N749" s="279" t="s">
        <v>737</v>
      </c>
    </row>
    <row r="750" spans="1:14" ht="33.6">
      <c r="A750" s="268" t="str">
        <f t="shared" si="11"/>
        <v>Planning &amp; Organizing|Unit Head/Specialist|2</v>
      </c>
      <c r="B750" s="223" t="s">
        <v>557</v>
      </c>
      <c r="C750" s="79" t="s">
        <v>13</v>
      </c>
      <c r="D750" s="79">
        <v>2</v>
      </c>
      <c r="E750" s="79" t="s">
        <v>605</v>
      </c>
      <c r="F750" s="79">
        <v>2</v>
      </c>
      <c r="G750" s="279" t="s">
        <v>4196</v>
      </c>
      <c r="H750" s="279" t="s">
        <v>4197</v>
      </c>
      <c r="I750" s="279" t="s">
        <v>4198</v>
      </c>
      <c r="J750" s="279" t="s">
        <v>4199</v>
      </c>
      <c r="K750" s="279" t="s">
        <v>591</v>
      </c>
      <c r="L750" s="279" t="s">
        <v>592</v>
      </c>
      <c r="M750" s="279" t="s">
        <v>4200</v>
      </c>
      <c r="N750" s="279" t="s">
        <v>737</v>
      </c>
    </row>
    <row r="751" spans="1:14" ht="50.45">
      <c r="A751" s="268" t="str">
        <f t="shared" si="11"/>
        <v>Planning &amp; Organizing|Unit Head/Specialist|2</v>
      </c>
      <c r="B751" s="223" t="s">
        <v>557</v>
      </c>
      <c r="C751" s="79" t="s">
        <v>13</v>
      </c>
      <c r="D751" s="79">
        <v>2</v>
      </c>
      <c r="E751" s="79" t="s">
        <v>605</v>
      </c>
      <c r="F751" s="79">
        <v>3</v>
      </c>
      <c r="G751" s="279" t="s">
        <v>4201</v>
      </c>
      <c r="H751" s="279" t="s">
        <v>4202</v>
      </c>
      <c r="I751" s="279" t="s">
        <v>4203</v>
      </c>
      <c r="J751" s="279" t="s">
        <v>4204</v>
      </c>
      <c r="K751" s="279" t="s">
        <v>591</v>
      </c>
      <c r="L751" s="279" t="s">
        <v>592</v>
      </c>
      <c r="M751" s="279" t="s">
        <v>4205</v>
      </c>
      <c r="N751" s="279" t="s">
        <v>594</v>
      </c>
    </row>
    <row r="752" spans="1:14" ht="50.45">
      <c r="A752" s="268" t="str">
        <f t="shared" si="11"/>
        <v>Planning &amp; Organizing|Unit Head/Specialist|3</v>
      </c>
      <c r="B752" s="223" t="s">
        <v>557</v>
      </c>
      <c r="C752" s="79" t="s">
        <v>13</v>
      </c>
      <c r="D752" s="79">
        <v>3</v>
      </c>
      <c r="E752" s="79" t="s">
        <v>623</v>
      </c>
      <c r="F752" s="79">
        <v>1</v>
      </c>
      <c r="G752" s="279" t="s">
        <v>4206</v>
      </c>
      <c r="H752" s="279" t="s">
        <v>4207</v>
      </c>
      <c r="I752" s="279" t="s">
        <v>4208</v>
      </c>
      <c r="J752" s="279" t="s">
        <v>4209</v>
      </c>
      <c r="K752" s="279" t="s">
        <v>591</v>
      </c>
      <c r="L752" s="279" t="s">
        <v>592</v>
      </c>
      <c r="M752" s="279" t="s">
        <v>4210</v>
      </c>
      <c r="N752" s="279" t="s">
        <v>594</v>
      </c>
    </row>
    <row r="753" spans="1:14" ht="33.6">
      <c r="A753" s="268" t="str">
        <f t="shared" si="11"/>
        <v>Planning &amp; Organizing|Unit Head/Specialist|3</v>
      </c>
      <c r="B753" s="223" t="s">
        <v>557</v>
      </c>
      <c r="C753" s="79" t="s">
        <v>13</v>
      </c>
      <c r="D753" s="79">
        <v>3</v>
      </c>
      <c r="E753" s="79" t="s">
        <v>623</v>
      </c>
      <c r="F753" s="79">
        <v>2</v>
      </c>
      <c r="G753" s="279" t="s">
        <v>4211</v>
      </c>
      <c r="H753" s="279" t="s">
        <v>4212</v>
      </c>
      <c r="I753" s="279" t="s">
        <v>4213</v>
      </c>
      <c r="J753" s="279" t="s">
        <v>4214</v>
      </c>
      <c r="K753" s="279" t="s">
        <v>591</v>
      </c>
      <c r="L753" s="279" t="s">
        <v>592</v>
      </c>
      <c r="M753" s="279" t="s">
        <v>4215</v>
      </c>
      <c r="N753" s="279" t="s">
        <v>2721</v>
      </c>
    </row>
    <row r="754" spans="1:14" ht="33.6">
      <c r="A754" s="268" t="str">
        <f t="shared" si="11"/>
        <v>Planning &amp; Organizing|Unit Head/Specialist|3</v>
      </c>
      <c r="B754" s="223" t="s">
        <v>557</v>
      </c>
      <c r="C754" s="79" t="s">
        <v>13</v>
      </c>
      <c r="D754" s="79">
        <v>3</v>
      </c>
      <c r="E754" s="79" t="s">
        <v>623</v>
      </c>
      <c r="F754" s="79">
        <v>3</v>
      </c>
      <c r="G754" s="279" t="s">
        <v>4216</v>
      </c>
      <c r="H754" s="279" t="s">
        <v>4217</v>
      </c>
      <c r="I754" s="279" t="s">
        <v>4218</v>
      </c>
      <c r="J754" s="279" t="s">
        <v>4219</v>
      </c>
      <c r="K754" s="279" t="s">
        <v>591</v>
      </c>
      <c r="L754" s="279" t="s">
        <v>592</v>
      </c>
      <c r="M754" s="279" t="s">
        <v>4220</v>
      </c>
      <c r="N754" s="279" t="s">
        <v>622</v>
      </c>
    </row>
    <row r="755" spans="1:14" ht="50.45">
      <c r="A755" s="268" t="str">
        <f t="shared" si="11"/>
        <v>Planning &amp; Organizing|Unit Head/Specialist|4</v>
      </c>
      <c r="B755" s="223" t="s">
        <v>557</v>
      </c>
      <c r="C755" s="79" t="s">
        <v>13</v>
      </c>
      <c r="D755" s="79">
        <v>4</v>
      </c>
      <c r="E755" s="79" t="s">
        <v>641</v>
      </c>
      <c r="F755" s="79">
        <v>1</v>
      </c>
      <c r="G755" s="279" t="s">
        <v>4221</v>
      </c>
      <c r="H755" s="279" t="s">
        <v>4222</v>
      </c>
      <c r="I755" s="279" t="s">
        <v>4223</v>
      </c>
      <c r="J755" s="279" t="s">
        <v>4224</v>
      </c>
      <c r="K755" s="279" t="s">
        <v>591</v>
      </c>
      <c r="L755" s="279" t="s">
        <v>592</v>
      </c>
      <c r="M755" s="279" t="s">
        <v>4225</v>
      </c>
      <c r="N755" s="279" t="s">
        <v>622</v>
      </c>
    </row>
    <row r="756" spans="1:14" ht="50.45">
      <c r="A756" s="268" t="str">
        <f t="shared" si="11"/>
        <v>Planning &amp; Organizing|Unit Head/Specialist|4</v>
      </c>
      <c r="B756" s="223" t="s">
        <v>557</v>
      </c>
      <c r="C756" s="79" t="s">
        <v>13</v>
      </c>
      <c r="D756" s="79">
        <v>4</v>
      </c>
      <c r="E756" s="79" t="s">
        <v>641</v>
      </c>
      <c r="F756" s="79">
        <v>2</v>
      </c>
      <c r="G756" s="279" t="s">
        <v>4226</v>
      </c>
      <c r="H756" s="279" t="s">
        <v>4227</v>
      </c>
      <c r="I756" s="279" t="s">
        <v>4228</v>
      </c>
      <c r="J756" s="279" t="s">
        <v>4229</v>
      </c>
      <c r="K756" s="279" t="s">
        <v>591</v>
      </c>
      <c r="L756" s="279" t="s">
        <v>592</v>
      </c>
      <c r="M756" s="279" t="s">
        <v>4230</v>
      </c>
      <c r="N756" s="279" t="s">
        <v>622</v>
      </c>
    </row>
    <row r="757" spans="1:14" ht="67.150000000000006">
      <c r="A757" s="268" t="str">
        <f t="shared" si="11"/>
        <v>Planning &amp; Organizing|Unit Head/Specialist|4</v>
      </c>
      <c r="B757" s="223" t="s">
        <v>557</v>
      </c>
      <c r="C757" s="79" t="s">
        <v>13</v>
      </c>
      <c r="D757" s="79">
        <v>4</v>
      </c>
      <c r="E757" s="79" t="s">
        <v>641</v>
      </c>
      <c r="F757" s="79">
        <v>3</v>
      </c>
      <c r="G757" s="279" t="s">
        <v>4231</v>
      </c>
      <c r="H757" s="279" t="s">
        <v>4232</v>
      </c>
      <c r="I757" s="279" t="s">
        <v>4233</v>
      </c>
      <c r="J757" s="279" t="s">
        <v>4234</v>
      </c>
      <c r="K757" s="279" t="s">
        <v>591</v>
      </c>
      <c r="L757" s="279" t="s">
        <v>592</v>
      </c>
      <c r="M757" s="279" t="s">
        <v>4235</v>
      </c>
      <c r="N757" s="279" t="s">
        <v>622</v>
      </c>
    </row>
    <row r="758" spans="1:14" ht="67.150000000000006">
      <c r="A758" s="268" t="str">
        <f t="shared" si="11"/>
        <v>Planning &amp; Organizing|Department Head|1</v>
      </c>
      <c r="B758" s="223" t="s">
        <v>557</v>
      </c>
      <c r="C758" s="79" t="s">
        <v>779</v>
      </c>
      <c r="D758" s="197">
        <v>1</v>
      </c>
      <c r="E758" s="79" t="s">
        <v>586</v>
      </c>
      <c r="F758" s="79">
        <v>1</v>
      </c>
      <c r="G758" s="276" t="s">
        <v>4236</v>
      </c>
      <c r="H758" s="276" t="s">
        <v>4237</v>
      </c>
      <c r="I758" s="276" t="s">
        <v>4238</v>
      </c>
      <c r="J758" s="276" t="s">
        <v>4239</v>
      </c>
      <c r="K758" s="276" t="s">
        <v>591</v>
      </c>
      <c r="L758" s="276" t="s">
        <v>592</v>
      </c>
      <c r="M758" s="276" t="s">
        <v>4240</v>
      </c>
      <c r="N758" s="276" t="s">
        <v>594</v>
      </c>
    </row>
    <row r="759" spans="1:14" ht="50.45">
      <c r="A759" s="268" t="str">
        <f t="shared" si="11"/>
        <v>Planning &amp; Organizing|Department Head|1</v>
      </c>
      <c r="B759" s="223" t="s">
        <v>557</v>
      </c>
      <c r="C759" s="79" t="s">
        <v>779</v>
      </c>
      <c r="D759" s="197">
        <v>1</v>
      </c>
      <c r="E759" s="79" t="s">
        <v>586</v>
      </c>
      <c r="F759" s="79">
        <v>2</v>
      </c>
      <c r="G759" s="276" t="s">
        <v>4241</v>
      </c>
      <c r="H759" s="276" t="s">
        <v>4242</v>
      </c>
      <c r="I759" s="276" t="s">
        <v>4243</v>
      </c>
      <c r="J759" s="276" t="s">
        <v>4244</v>
      </c>
      <c r="K759" s="276" t="s">
        <v>591</v>
      </c>
      <c r="L759" s="276" t="s">
        <v>592</v>
      </c>
      <c r="M759" s="276" t="s">
        <v>4245</v>
      </c>
      <c r="N759" s="276" t="s">
        <v>622</v>
      </c>
    </row>
    <row r="760" spans="1:14" ht="50.45">
      <c r="A760" s="268" t="str">
        <f t="shared" si="11"/>
        <v>Planning &amp; Organizing|Department Head|1</v>
      </c>
      <c r="B760" s="223" t="s">
        <v>557</v>
      </c>
      <c r="C760" s="79" t="s">
        <v>779</v>
      </c>
      <c r="D760" s="197">
        <v>1</v>
      </c>
      <c r="E760" s="79" t="s">
        <v>586</v>
      </c>
      <c r="F760" s="79">
        <v>3</v>
      </c>
      <c r="G760" s="276" t="s">
        <v>4246</v>
      </c>
      <c r="H760" s="276" t="s">
        <v>4247</v>
      </c>
      <c r="I760" s="276" t="s">
        <v>4248</v>
      </c>
      <c r="J760" s="276" t="s">
        <v>4249</v>
      </c>
      <c r="K760" s="276" t="s">
        <v>591</v>
      </c>
      <c r="L760" s="276" t="s">
        <v>592</v>
      </c>
      <c r="M760" s="276" t="s">
        <v>4250</v>
      </c>
      <c r="N760" s="276" t="s">
        <v>594</v>
      </c>
    </row>
    <row r="761" spans="1:14" ht="67.150000000000006">
      <c r="A761" s="268" t="str">
        <f t="shared" si="11"/>
        <v>Planning &amp; Organizing|Department Head|2</v>
      </c>
      <c r="B761" s="223" t="s">
        <v>557</v>
      </c>
      <c r="C761" s="79" t="s">
        <v>779</v>
      </c>
      <c r="D761" s="79">
        <v>2</v>
      </c>
      <c r="E761" s="79" t="s">
        <v>605</v>
      </c>
      <c r="F761" s="79">
        <v>1</v>
      </c>
      <c r="G761" s="276" t="s">
        <v>4251</v>
      </c>
      <c r="H761" s="276" t="s">
        <v>4252</v>
      </c>
      <c r="I761" s="276" t="s">
        <v>4253</v>
      </c>
      <c r="J761" s="276" t="s">
        <v>4254</v>
      </c>
      <c r="K761" s="276" t="s">
        <v>591</v>
      </c>
      <c r="L761" s="276" t="s">
        <v>592</v>
      </c>
      <c r="M761" s="276" t="s">
        <v>4255</v>
      </c>
      <c r="N761" s="276" t="s">
        <v>611</v>
      </c>
    </row>
    <row r="762" spans="1:14" ht="50.45">
      <c r="A762" s="268" t="str">
        <f t="shared" si="11"/>
        <v>Planning &amp; Organizing|Department Head|2</v>
      </c>
      <c r="B762" s="223" t="s">
        <v>557</v>
      </c>
      <c r="C762" s="79" t="s">
        <v>779</v>
      </c>
      <c r="D762" s="79">
        <v>2</v>
      </c>
      <c r="E762" s="79" t="s">
        <v>605</v>
      </c>
      <c r="F762" s="79">
        <v>2</v>
      </c>
      <c r="G762" s="276" t="s">
        <v>4256</v>
      </c>
      <c r="H762" s="276" t="s">
        <v>4257</v>
      </c>
      <c r="I762" s="276" t="s">
        <v>4258</v>
      </c>
      <c r="J762" s="276" t="s">
        <v>4259</v>
      </c>
      <c r="K762" s="276" t="s">
        <v>591</v>
      </c>
      <c r="L762" s="276" t="s">
        <v>592</v>
      </c>
      <c r="M762" s="276" t="s">
        <v>4260</v>
      </c>
      <c r="N762" s="276" t="s">
        <v>622</v>
      </c>
    </row>
    <row r="763" spans="1:14" ht="50.45">
      <c r="A763" s="268" t="str">
        <f t="shared" si="11"/>
        <v>Planning &amp; Organizing|Department Head|2</v>
      </c>
      <c r="B763" s="223" t="s">
        <v>557</v>
      </c>
      <c r="C763" s="79" t="s">
        <v>779</v>
      </c>
      <c r="D763" s="79">
        <v>2</v>
      </c>
      <c r="E763" s="79" t="s">
        <v>605</v>
      </c>
      <c r="F763" s="79">
        <v>3</v>
      </c>
      <c r="G763" s="276" t="s">
        <v>4261</v>
      </c>
      <c r="H763" s="276" t="s">
        <v>4262</v>
      </c>
      <c r="I763" s="276" t="s">
        <v>4263</v>
      </c>
      <c r="J763" s="276" t="s">
        <v>2833</v>
      </c>
      <c r="K763" s="276" t="s">
        <v>591</v>
      </c>
      <c r="L763" s="276" t="s">
        <v>592</v>
      </c>
      <c r="M763" s="276" t="s">
        <v>4264</v>
      </c>
      <c r="N763" s="276" t="s">
        <v>594</v>
      </c>
    </row>
    <row r="764" spans="1:14" ht="67.150000000000006">
      <c r="A764" s="268" t="str">
        <f t="shared" si="11"/>
        <v>Planning &amp; Organizing|Department Head|3</v>
      </c>
      <c r="B764" s="223" t="s">
        <v>557</v>
      </c>
      <c r="C764" s="79" t="s">
        <v>779</v>
      </c>
      <c r="D764" s="79">
        <v>3</v>
      </c>
      <c r="E764" s="79" t="s">
        <v>623</v>
      </c>
      <c r="F764" s="79">
        <v>1</v>
      </c>
      <c r="G764" s="276" t="s">
        <v>4265</v>
      </c>
      <c r="H764" s="276" t="s">
        <v>4266</v>
      </c>
      <c r="I764" s="276" t="s">
        <v>4267</v>
      </c>
      <c r="J764" s="276" t="s">
        <v>4268</v>
      </c>
      <c r="K764" s="276" t="s">
        <v>591</v>
      </c>
      <c r="L764" s="276" t="s">
        <v>592</v>
      </c>
      <c r="M764" s="276" t="s">
        <v>2839</v>
      </c>
      <c r="N764" s="276" t="s">
        <v>594</v>
      </c>
    </row>
    <row r="765" spans="1:14" ht="50.45">
      <c r="A765" s="268" t="str">
        <f t="shared" si="11"/>
        <v>Planning &amp; Organizing|Department Head|3</v>
      </c>
      <c r="B765" s="223" t="s">
        <v>557</v>
      </c>
      <c r="C765" s="79" t="s">
        <v>779</v>
      </c>
      <c r="D765" s="79">
        <v>3</v>
      </c>
      <c r="E765" s="79" t="s">
        <v>623</v>
      </c>
      <c r="F765" s="79">
        <v>2</v>
      </c>
      <c r="G765" s="276" t="s">
        <v>4269</v>
      </c>
      <c r="H765" s="276" t="s">
        <v>4270</v>
      </c>
      <c r="I765" s="276" t="s">
        <v>4271</v>
      </c>
      <c r="J765" s="276" t="s">
        <v>877</v>
      </c>
      <c r="K765" s="276" t="s">
        <v>591</v>
      </c>
      <c r="L765" s="276" t="s">
        <v>592</v>
      </c>
      <c r="M765" s="276" t="s">
        <v>4272</v>
      </c>
      <c r="N765" s="276" t="s">
        <v>622</v>
      </c>
    </row>
    <row r="766" spans="1:14" ht="84">
      <c r="A766" s="268" t="str">
        <f t="shared" si="11"/>
        <v>Planning &amp; Organizing|Department Head|3</v>
      </c>
      <c r="B766" s="223" t="s">
        <v>557</v>
      </c>
      <c r="C766" s="79" t="s">
        <v>779</v>
      </c>
      <c r="D766" s="79">
        <v>3</v>
      </c>
      <c r="E766" s="79" t="s">
        <v>623</v>
      </c>
      <c r="F766" s="79">
        <v>3</v>
      </c>
      <c r="G766" s="276" t="s">
        <v>4273</v>
      </c>
      <c r="H766" s="276" t="s">
        <v>4274</v>
      </c>
      <c r="I766" s="276" t="s">
        <v>4275</v>
      </c>
      <c r="J766" s="276" t="s">
        <v>638</v>
      </c>
      <c r="K766" s="276" t="s">
        <v>591</v>
      </c>
      <c r="L766" s="276" t="s">
        <v>592</v>
      </c>
      <c r="M766" s="276" t="s">
        <v>4276</v>
      </c>
      <c r="N766" s="276" t="s">
        <v>640</v>
      </c>
    </row>
    <row r="767" spans="1:14" ht="50.45">
      <c r="A767" s="268" t="str">
        <f t="shared" si="11"/>
        <v>Planning &amp; Organizing|Department Head|4</v>
      </c>
      <c r="B767" s="223" t="s">
        <v>557</v>
      </c>
      <c r="C767" s="79" t="s">
        <v>779</v>
      </c>
      <c r="D767" s="79">
        <v>4</v>
      </c>
      <c r="E767" s="79" t="s">
        <v>641</v>
      </c>
      <c r="F767" s="79">
        <v>1</v>
      </c>
      <c r="G767" s="276" t="s">
        <v>4277</v>
      </c>
      <c r="H767" s="276" t="s">
        <v>4278</v>
      </c>
      <c r="I767" s="276" t="s">
        <v>4279</v>
      </c>
      <c r="J767" s="276" t="s">
        <v>4280</v>
      </c>
      <c r="K767" s="276" t="s">
        <v>591</v>
      </c>
      <c r="L767" s="276" t="s">
        <v>592</v>
      </c>
      <c r="M767" s="276" t="s">
        <v>4281</v>
      </c>
      <c r="N767" s="276" t="s">
        <v>622</v>
      </c>
    </row>
    <row r="768" spans="1:14" ht="50.45">
      <c r="A768" s="268" t="str">
        <f t="shared" si="11"/>
        <v>Planning &amp; Organizing|Department Head|4</v>
      </c>
      <c r="B768" s="223" t="s">
        <v>557</v>
      </c>
      <c r="C768" s="79" t="s">
        <v>779</v>
      </c>
      <c r="D768" s="79">
        <v>4</v>
      </c>
      <c r="E768" s="79" t="s">
        <v>641</v>
      </c>
      <c r="F768" s="79">
        <v>2</v>
      </c>
      <c r="G768" s="276" t="s">
        <v>4282</v>
      </c>
      <c r="H768" s="276" t="s">
        <v>4283</v>
      </c>
      <c r="I768" s="276" t="s">
        <v>4284</v>
      </c>
      <c r="J768" s="276" t="s">
        <v>4285</v>
      </c>
      <c r="K768" s="276" t="s">
        <v>591</v>
      </c>
      <c r="L768" s="276" t="s">
        <v>592</v>
      </c>
      <c r="M768" s="276" t="s">
        <v>4286</v>
      </c>
      <c r="N768" s="276" t="s">
        <v>622</v>
      </c>
    </row>
    <row r="769" spans="1:14" ht="50.45">
      <c r="A769" s="268" t="str">
        <f t="shared" si="11"/>
        <v>Planning &amp; Organizing|Department Head|4</v>
      </c>
      <c r="B769" s="223" t="s">
        <v>557</v>
      </c>
      <c r="C769" s="79" t="s">
        <v>779</v>
      </c>
      <c r="D769" s="79">
        <v>4</v>
      </c>
      <c r="E769" s="79" t="s">
        <v>641</v>
      </c>
      <c r="F769" s="79">
        <v>3</v>
      </c>
      <c r="G769" s="276" t="s">
        <v>4287</v>
      </c>
      <c r="H769" s="276" t="s">
        <v>4288</v>
      </c>
      <c r="I769" s="276" t="s">
        <v>4289</v>
      </c>
      <c r="J769" s="276" t="s">
        <v>4290</v>
      </c>
      <c r="K769" s="276" t="s">
        <v>591</v>
      </c>
      <c r="L769" s="276" t="s">
        <v>592</v>
      </c>
      <c r="M769" s="276" t="s">
        <v>4291</v>
      </c>
      <c r="N769" s="276" t="s">
        <v>622</v>
      </c>
    </row>
    <row r="770" spans="1:14" ht="50.45">
      <c r="A770" s="268" t="str">
        <f t="shared" si="11"/>
        <v>Planning &amp; Organizing|Division Head|1</v>
      </c>
      <c r="B770" s="223" t="s">
        <v>557</v>
      </c>
      <c r="C770" s="79" t="s">
        <v>838</v>
      </c>
      <c r="D770" s="197">
        <v>1</v>
      </c>
      <c r="E770" s="79" t="s">
        <v>586</v>
      </c>
      <c r="F770" s="79">
        <v>1</v>
      </c>
      <c r="G770" s="279" t="s">
        <v>839</v>
      </c>
      <c r="H770" s="279" t="s">
        <v>840</v>
      </c>
      <c r="I770" s="279" t="s">
        <v>4292</v>
      </c>
      <c r="J770" s="279" t="s">
        <v>4293</v>
      </c>
      <c r="K770" s="279" t="s">
        <v>591</v>
      </c>
      <c r="L770" s="279" t="s">
        <v>592</v>
      </c>
      <c r="M770" s="279" t="s">
        <v>4294</v>
      </c>
      <c r="N770" s="279" t="s">
        <v>594</v>
      </c>
    </row>
    <row r="771" spans="1:14" ht="33.6">
      <c r="A771" s="268" t="str">
        <f t="shared" ref="A771:A834" si="12">B771 &amp; "|" &amp; C771 &amp; "|" &amp; D771</f>
        <v>Planning &amp; Organizing|Division Head|1</v>
      </c>
      <c r="B771" s="223" t="s">
        <v>557</v>
      </c>
      <c r="C771" s="79" t="s">
        <v>838</v>
      </c>
      <c r="D771" s="197">
        <v>1</v>
      </c>
      <c r="E771" s="79" t="s">
        <v>586</v>
      </c>
      <c r="F771" s="79">
        <v>2</v>
      </c>
      <c r="G771" s="279" t="s">
        <v>2177</v>
      </c>
      <c r="H771" s="279" t="s">
        <v>4295</v>
      </c>
      <c r="I771" s="279" t="s">
        <v>4296</v>
      </c>
      <c r="J771" s="279" t="s">
        <v>4297</v>
      </c>
      <c r="K771" s="279" t="s">
        <v>591</v>
      </c>
      <c r="L771" s="279" t="s">
        <v>592</v>
      </c>
      <c r="M771" s="279" t="s">
        <v>4298</v>
      </c>
      <c r="N771" s="279" t="s">
        <v>622</v>
      </c>
    </row>
    <row r="772" spans="1:14" ht="50.45">
      <c r="A772" s="268" t="str">
        <f t="shared" si="12"/>
        <v>Planning &amp; Organizing|Division Head|1</v>
      </c>
      <c r="B772" s="223" t="s">
        <v>557</v>
      </c>
      <c r="C772" s="79" t="s">
        <v>838</v>
      </c>
      <c r="D772" s="197">
        <v>1</v>
      </c>
      <c r="E772" s="79" t="s">
        <v>586</v>
      </c>
      <c r="F772" s="79">
        <v>3</v>
      </c>
      <c r="G772" s="279" t="s">
        <v>849</v>
      </c>
      <c r="H772" s="279" t="s">
        <v>850</v>
      </c>
      <c r="I772" s="279" t="s">
        <v>4299</v>
      </c>
      <c r="J772" s="279" t="s">
        <v>852</v>
      </c>
      <c r="K772" s="279" t="s">
        <v>591</v>
      </c>
      <c r="L772" s="279" t="s">
        <v>592</v>
      </c>
      <c r="M772" s="279" t="s">
        <v>4300</v>
      </c>
      <c r="N772" s="279" t="s">
        <v>622</v>
      </c>
    </row>
    <row r="773" spans="1:14" ht="50.45">
      <c r="A773" s="268" t="str">
        <f t="shared" si="12"/>
        <v>Planning &amp; Organizing|Division Head|2</v>
      </c>
      <c r="B773" s="223" t="s">
        <v>557</v>
      </c>
      <c r="C773" s="79" t="s">
        <v>838</v>
      </c>
      <c r="D773" s="79">
        <v>2</v>
      </c>
      <c r="E773" s="79" t="s">
        <v>605</v>
      </c>
      <c r="F773" s="79">
        <v>1</v>
      </c>
      <c r="G773" s="279" t="s">
        <v>4301</v>
      </c>
      <c r="H773" s="279" t="s">
        <v>4302</v>
      </c>
      <c r="I773" s="279" t="s">
        <v>4303</v>
      </c>
      <c r="J773" s="279" t="s">
        <v>4304</v>
      </c>
      <c r="K773" s="279" t="s">
        <v>591</v>
      </c>
      <c r="L773" s="279" t="s">
        <v>592</v>
      </c>
      <c r="M773" s="279" t="s">
        <v>4305</v>
      </c>
      <c r="N773" s="279" t="s">
        <v>611</v>
      </c>
    </row>
    <row r="774" spans="1:14" ht="50.45">
      <c r="A774" s="268" t="str">
        <f t="shared" si="12"/>
        <v>Planning &amp; Organizing|Division Head|2</v>
      </c>
      <c r="B774" s="223" t="s">
        <v>557</v>
      </c>
      <c r="C774" s="79" t="s">
        <v>838</v>
      </c>
      <c r="D774" s="79">
        <v>2</v>
      </c>
      <c r="E774" s="79" t="s">
        <v>605</v>
      </c>
      <c r="F774" s="79">
        <v>2</v>
      </c>
      <c r="G774" s="279" t="s">
        <v>859</v>
      </c>
      <c r="H774" s="279" t="s">
        <v>4306</v>
      </c>
      <c r="I774" s="279" t="s">
        <v>4307</v>
      </c>
      <c r="J774" s="279" t="s">
        <v>4308</v>
      </c>
      <c r="K774" s="279" t="s">
        <v>591</v>
      </c>
      <c r="L774" s="279" t="s">
        <v>592</v>
      </c>
      <c r="M774" s="279" t="s">
        <v>4309</v>
      </c>
      <c r="N774" s="279" t="s">
        <v>622</v>
      </c>
    </row>
    <row r="775" spans="1:14" ht="33.6">
      <c r="A775" s="268" t="str">
        <f t="shared" si="12"/>
        <v>Planning &amp; Organizing|Division Head|2</v>
      </c>
      <c r="B775" s="223" t="s">
        <v>557</v>
      </c>
      <c r="C775" s="79" t="s">
        <v>838</v>
      </c>
      <c r="D775" s="79">
        <v>2</v>
      </c>
      <c r="E775" s="79" t="s">
        <v>605</v>
      </c>
      <c r="F775" s="79">
        <v>3</v>
      </c>
      <c r="G775" s="279" t="s">
        <v>864</v>
      </c>
      <c r="H775" s="279" t="s">
        <v>865</v>
      </c>
      <c r="I775" s="279" t="s">
        <v>4310</v>
      </c>
      <c r="J775" s="279" t="s">
        <v>867</v>
      </c>
      <c r="K775" s="279" t="s">
        <v>591</v>
      </c>
      <c r="L775" s="279" t="s">
        <v>592</v>
      </c>
      <c r="M775" s="279" t="s">
        <v>4311</v>
      </c>
      <c r="N775" s="279" t="s">
        <v>1621</v>
      </c>
    </row>
    <row r="776" spans="1:14" ht="50.45">
      <c r="A776" s="268" t="str">
        <f t="shared" si="12"/>
        <v>Planning &amp; Organizing|Division Head|3</v>
      </c>
      <c r="B776" s="223" t="s">
        <v>557</v>
      </c>
      <c r="C776" s="79" t="s">
        <v>838</v>
      </c>
      <c r="D776" s="79">
        <v>3</v>
      </c>
      <c r="E776" s="79" t="s">
        <v>623</v>
      </c>
      <c r="F776" s="79">
        <v>1</v>
      </c>
      <c r="G776" s="279" t="s">
        <v>4312</v>
      </c>
      <c r="H776" s="279" t="s">
        <v>4313</v>
      </c>
      <c r="I776" s="279" t="s">
        <v>4314</v>
      </c>
      <c r="J776" s="279" t="s">
        <v>872</v>
      </c>
      <c r="K776" s="279" t="s">
        <v>591</v>
      </c>
      <c r="L776" s="279" t="s">
        <v>592</v>
      </c>
      <c r="M776" s="279" t="s">
        <v>2955</v>
      </c>
      <c r="N776" s="279" t="s">
        <v>594</v>
      </c>
    </row>
    <row r="777" spans="1:14" ht="50.45">
      <c r="A777" s="268" t="str">
        <f t="shared" si="12"/>
        <v>Planning &amp; Organizing|Division Head|3</v>
      </c>
      <c r="B777" s="223" t="s">
        <v>557</v>
      </c>
      <c r="C777" s="79" t="s">
        <v>838</v>
      </c>
      <c r="D777" s="79">
        <v>3</v>
      </c>
      <c r="E777" s="79" t="s">
        <v>623</v>
      </c>
      <c r="F777" s="79">
        <v>2</v>
      </c>
      <c r="G777" s="279" t="s">
        <v>2202</v>
      </c>
      <c r="H777" s="279" t="s">
        <v>4315</v>
      </c>
      <c r="I777" s="279" t="s">
        <v>4316</v>
      </c>
      <c r="J777" s="279" t="s">
        <v>877</v>
      </c>
      <c r="K777" s="279" t="s">
        <v>591</v>
      </c>
      <c r="L777" s="279" t="s">
        <v>592</v>
      </c>
      <c r="M777" s="279" t="s">
        <v>4317</v>
      </c>
      <c r="N777" s="279" t="s">
        <v>622</v>
      </c>
    </row>
    <row r="778" spans="1:14" ht="67.150000000000006">
      <c r="A778" s="268" t="str">
        <f t="shared" si="12"/>
        <v>Planning &amp; Organizing|Division Head|3</v>
      </c>
      <c r="B778" s="223" t="s">
        <v>557</v>
      </c>
      <c r="C778" s="79" t="s">
        <v>838</v>
      </c>
      <c r="D778" s="79">
        <v>3</v>
      </c>
      <c r="E778" s="79" t="s">
        <v>623</v>
      </c>
      <c r="F778" s="79">
        <v>3</v>
      </c>
      <c r="G778" s="279" t="s">
        <v>2206</v>
      </c>
      <c r="H778" s="279" t="s">
        <v>4318</v>
      </c>
      <c r="I778" s="279" t="s">
        <v>4319</v>
      </c>
      <c r="J778" s="279" t="s">
        <v>638</v>
      </c>
      <c r="K778" s="279" t="s">
        <v>591</v>
      </c>
      <c r="L778" s="279" t="s">
        <v>592</v>
      </c>
      <c r="M778" s="279" t="s">
        <v>3458</v>
      </c>
      <c r="N778" s="279" t="s">
        <v>640</v>
      </c>
    </row>
    <row r="779" spans="1:14" ht="67.150000000000006">
      <c r="A779" s="268" t="str">
        <f t="shared" si="12"/>
        <v>Planning &amp; Organizing|Division Head|4</v>
      </c>
      <c r="B779" s="223" t="s">
        <v>557</v>
      </c>
      <c r="C779" s="79" t="s">
        <v>838</v>
      </c>
      <c r="D779" s="79">
        <v>4</v>
      </c>
      <c r="E779" s="79" t="s">
        <v>641</v>
      </c>
      <c r="F779" s="79">
        <v>1</v>
      </c>
      <c r="G779" s="279" t="s">
        <v>2209</v>
      </c>
      <c r="H779" s="279" t="s">
        <v>4320</v>
      </c>
      <c r="I779" s="279" t="s">
        <v>4321</v>
      </c>
      <c r="J779" s="279" t="s">
        <v>4322</v>
      </c>
      <c r="K779" s="279" t="s">
        <v>591</v>
      </c>
      <c r="L779" s="279" t="s">
        <v>592</v>
      </c>
      <c r="M779" s="279" t="s">
        <v>4323</v>
      </c>
      <c r="N779" s="279" t="s">
        <v>622</v>
      </c>
    </row>
    <row r="780" spans="1:14" ht="50.45">
      <c r="A780" s="268" t="str">
        <f t="shared" si="12"/>
        <v>Planning &amp; Organizing|Division Head|4</v>
      </c>
      <c r="B780" s="223" t="s">
        <v>557</v>
      </c>
      <c r="C780" s="79" t="s">
        <v>838</v>
      </c>
      <c r="D780" s="79">
        <v>4</v>
      </c>
      <c r="E780" s="79" t="s">
        <v>641</v>
      </c>
      <c r="F780" s="79">
        <v>2</v>
      </c>
      <c r="G780" s="279" t="s">
        <v>2214</v>
      </c>
      <c r="H780" s="279" t="s">
        <v>889</v>
      </c>
      <c r="I780" s="279" t="s">
        <v>4324</v>
      </c>
      <c r="J780" s="279" t="s">
        <v>4325</v>
      </c>
      <c r="K780" s="279" t="s">
        <v>591</v>
      </c>
      <c r="L780" s="279" t="s">
        <v>592</v>
      </c>
      <c r="M780" s="279" t="s">
        <v>4326</v>
      </c>
      <c r="N780" s="279" t="s">
        <v>622</v>
      </c>
    </row>
    <row r="781" spans="1:14" ht="50.45">
      <c r="A781" s="268" t="str">
        <f t="shared" si="12"/>
        <v>Planning &amp; Organizing|Division Head|4</v>
      </c>
      <c r="B781" s="223" t="s">
        <v>557</v>
      </c>
      <c r="C781" s="79" t="s">
        <v>838</v>
      </c>
      <c r="D781" s="79">
        <v>4</v>
      </c>
      <c r="E781" s="79" t="s">
        <v>641</v>
      </c>
      <c r="F781" s="79">
        <v>3</v>
      </c>
      <c r="G781" s="279" t="s">
        <v>2219</v>
      </c>
      <c r="H781" s="279" t="s">
        <v>4327</v>
      </c>
      <c r="I781" s="279" t="s">
        <v>4328</v>
      </c>
      <c r="J781" s="279" t="s">
        <v>4329</v>
      </c>
      <c r="K781" s="279" t="s">
        <v>591</v>
      </c>
      <c r="L781" s="279" t="s">
        <v>592</v>
      </c>
      <c r="M781" s="279" t="s">
        <v>4330</v>
      </c>
      <c r="N781" s="279" t="s">
        <v>1110</v>
      </c>
    </row>
    <row r="782" spans="1:14" ht="67.150000000000006">
      <c r="A782" s="268" t="str">
        <f t="shared" si="12"/>
        <v>Planning &amp; Organizing|Director|1</v>
      </c>
      <c r="B782" s="223" t="s">
        <v>557</v>
      </c>
      <c r="C782" s="79" t="s">
        <v>898</v>
      </c>
      <c r="D782" s="197">
        <v>1</v>
      </c>
      <c r="E782" s="79" t="s">
        <v>586</v>
      </c>
      <c r="F782" s="79">
        <v>1</v>
      </c>
      <c r="G782" s="276" t="s">
        <v>4331</v>
      </c>
      <c r="H782" s="276" t="s">
        <v>4332</v>
      </c>
      <c r="I782" s="276" t="s">
        <v>4333</v>
      </c>
      <c r="J782" s="276" t="s">
        <v>4334</v>
      </c>
      <c r="K782" s="276" t="s">
        <v>591</v>
      </c>
      <c r="L782" s="276" t="s">
        <v>592</v>
      </c>
      <c r="M782" s="276" t="s">
        <v>4335</v>
      </c>
      <c r="N782" s="276" t="s">
        <v>2229</v>
      </c>
    </row>
    <row r="783" spans="1:14" ht="50.45">
      <c r="A783" s="268" t="str">
        <f t="shared" si="12"/>
        <v>Planning &amp; Organizing|Director|1</v>
      </c>
      <c r="B783" s="223" t="s">
        <v>557</v>
      </c>
      <c r="C783" s="79" t="s">
        <v>898</v>
      </c>
      <c r="D783" s="197">
        <v>1</v>
      </c>
      <c r="E783" s="79" t="s">
        <v>586</v>
      </c>
      <c r="F783" s="79">
        <v>2</v>
      </c>
      <c r="G783" s="276" t="s">
        <v>4336</v>
      </c>
      <c r="H783" s="276" t="s">
        <v>4337</v>
      </c>
      <c r="I783" s="276" t="s">
        <v>4338</v>
      </c>
      <c r="J783" s="276" t="s">
        <v>4339</v>
      </c>
      <c r="K783" s="276" t="s">
        <v>591</v>
      </c>
      <c r="L783" s="276" t="s">
        <v>592</v>
      </c>
      <c r="M783" s="276" t="s">
        <v>4340</v>
      </c>
      <c r="N783" s="276" t="s">
        <v>4341</v>
      </c>
    </row>
    <row r="784" spans="1:14" ht="50.45">
      <c r="A784" s="268" t="str">
        <f t="shared" si="12"/>
        <v>Planning &amp; Organizing|Director|1</v>
      </c>
      <c r="B784" s="223" t="s">
        <v>557</v>
      </c>
      <c r="C784" s="79" t="s">
        <v>898</v>
      </c>
      <c r="D784" s="197">
        <v>1</v>
      </c>
      <c r="E784" s="79" t="s">
        <v>586</v>
      </c>
      <c r="F784" s="79">
        <v>3</v>
      </c>
      <c r="G784" s="276" t="s">
        <v>4342</v>
      </c>
      <c r="H784" s="276" t="s">
        <v>4343</v>
      </c>
      <c r="I784" s="276" t="s">
        <v>4344</v>
      </c>
      <c r="J784" s="276" t="s">
        <v>4345</v>
      </c>
      <c r="K784" s="276" t="s">
        <v>591</v>
      </c>
      <c r="L784" s="276" t="s">
        <v>592</v>
      </c>
      <c r="M784" s="276" t="s">
        <v>915</v>
      </c>
      <c r="N784" s="276" t="s">
        <v>916</v>
      </c>
    </row>
    <row r="785" spans="1:14" ht="50.45">
      <c r="A785" s="268" t="str">
        <f t="shared" si="12"/>
        <v>Planning &amp; Organizing|Director|2</v>
      </c>
      <c r="B785" s="223" t="s">
        <v>557</v>
      </c>
      <c r="C785" s="79" t="s">
        <v>898</v>
      </c>
      <c r="D785" s="79">
        <v>2</v>
      </c>
      <c r="E785" s="79" t="s">
        <v>605</v>
      </c>
      <c r="F785" s="79">
        <v>1</v>
      </c>
      <c r="G785" s="276" t="s">
        <v>4346</v>
      </c>
      <c r="H785" s="276" t="s">
        <v>4347</v>
      </c>
      <c r="I785" s="276" t="s">
        <v>4348</v>
      </c>
      <c r="J785" s="276" t="s">
        <v>4349</v>
      </c>
      <c r="K785" s="276" t="s">
        <v>591</v>
      </c>
      <c r="L785" s="276" t="s">
        <v>592</v>
      </c>
      <c r="M785" s="276" t="s">
        <v>4350</v>
      </c>
      <c r="N785" s="276" t="s">
        <v>922</v>
      </c>
    </row>
    <row r="786" spans="1:14" ht="50.45">
      <c r="A786" s="268" t="str">
        <f t="shared" si="12"/>
        <v>Planning &amp; Organizing|Director|2</v>
      </c>
      <c r="B786" s="223" t="s">
        <v>557</v>
      </c>
      <c r="C786" s="79" t="s">
        <v>898</v>
      </c>
      <c r="D786" s="79">
        <v>2</v>
      </c>
      <c r="E786" s="79" t="s">
        <v>605</v>
      </c>
      <c r="F786" s="79">
        <v>2</v>
      </c>
      <c r="G786" s="276" t="s">
        <v>4351</v>
      </c>
      <c r="H786" s="276" t="s">
        <v>4352</v>
      </c>
      <c r="I786" s="276" t="s">
        <v>4353</v>
      </c>
      <c r="J786" s="276" t="s">
        <v>4354</v>
      </c>
      <c r="K786" s="276" t="s">
        <v>591</v>
      </c>
      <c r="L786" s="276" t="s">
        <v>592</v>
      </c>
      <c r="M786" s="276" t="s">
        <v>4355</v>
      </c>
      <c r="N786" s="276" t="s">
        <v>916</v>
      </c>
    </row>
    <row r="787" spans="1:14" ht="50.45">
      <c r="A787" s="268" t="str">
        <f t="shared" si="12"/>
        <v>Planning &amp; Organizing|Director|2</v>
      </c>
      <c r="B787" s="223" t="s">
        <v>557</v>
      </c>
      <c r="C787" s="79" t="s">
        <v>898</v>
      </c>
      <c r="D787" s="79">
        <v>2</v>
      </c>
      <c r="E787" s="79" t="s">
        <v>605</v>
      </c>
      <c r="F787" s="79">
        <v>3</v>
      </c>
      <c r="G787" s="276" t="s">
        <v>4356</v>
      </c>
      <c r="H787" s="276" t="s">
        <v>4357</v>
      </c>
      <c r="I787" s="276" t="s">
        <v>4358</v>
      </c>
      <c r="J787" s="276" t="s">
        <v>4359</v>
      </c>
      <c r="K787" s="276" t="s">
        <v>591</v>
      </c>
      <c r="L787" s="276" t="s">
        <v>592</v>
      </c>
      <c r="M787" s="276" t="s">
        <v>4360</v>
      </c>
      <c r="N787" s="276" t="s">
        <v>916</v>
      </c>
    </row>
    <row r="788" spans="1:14" ht="50.45">
      <c r="A788" s="268" t="str">
        <f t="shared" si="12"/>
        <v>Planning &amp; Organizing|Director|3</v>
      </c>
      <c r="B788" s="223" t="s">
        <v>557</v>
      </c>
      <c r="C788" s="79" t="s">
        <v>898</v>
      </c>
      <c r="D788" s="79">
        <v>3</v>
      </c>
      <c r="E788" s="79" t="s">
        <v>623</v>
      </c>
      <c r="F788" s="79">
        <v>1</v>
      </c>
      <c r="G788" s="276" t="s">
        <v>3676</v>
      </c>
      <c r="H788" s="276" t="s">
        <v>4361</v>
      </c>
      <c r="I788" s="276" t="s">
        <v>4362</v>
      </c>
      <c r="J788" s="276" t="s">
        <v>936</v>
      </c>
      <c r="K788" s="276" t="s">
        <v>591</v>
      </c>
      <c r="L788" s="276" t="s">
        <v>592</v>
      </c>
      <c r="M788" s="276" t="s">
        <v>2955</v>
      </c>
      <c r="N788" s="276" t="s">
        <v>594</v>
      </c>
    </row>
    <row r="789" spans="1:14" ht="50.45">
      <c r="A789" s="268" t="str">
        <f t="shared" si="12"/>
        <v>Planning &amp; Organizing|Director|3</v>
      </c>
      <c r="B789" s="223" t="s">
        <v>557</v>
      </c>
      <c r="C789" s="79" t="s">
        <v>898</v>
      </c>
      <c r="D789" s="79">
        <v>3</v>
      </c>
      <c r="E789" s="79" t="s">
        <v>623</v>
      </c>
      <c r="F789" s="79">
        <v>2</v>
      </c>
      <c r="G789" s="276" t="s">
        <v>4363</v>
      </c>
      <c r="H789" s="276" t="s">
        <v>4364</v>
      </c>
      <c r="I789" s="276" t="s">
        <v>4365</v>
      </c>
      <c r="J789" s="276" t="s">
        <v>4366</v>
      </c>
      <c r="K789" s="276" t="s">
        <v>591</v>
      </c>
      <c r="L789" s="276" t="s">
        <v>592</v>
      </c>
      <c r="M789" s="276" t="s">
        <v>4367</v>
      </c>
      <c r="N789" s="276" t="s">
        <v>4368</v>
      </c>
    </row>
    <row r="790" spans="1:14" ht="67.150000000000006">
      <c r="A790" s="268" t="str">
        <f t="shared" si="12"/>
        <v>Planning &amp; Organizing|Director|3</v>
      </c>
      <c r="B790" s="223" t="s">
        <v>557</v>
      </c>
      <c r="C790" s="79" t="s">
        <v>898</v>
      </c>
      <c r="D790" s="79">
        <v>3</v>
      </c>
      <c r="E790" s="79" t="s">
        <v>623</v>
      </c>
      <c r="F790" s="79">
        <v>3</v>
      </c>
      <c r="G790" s="276" t="s">
        <v>4369</v>
      </c>
      <c r="H790" s="276" t="s">
        <v>4370</v>
      </c>
      <c r="I790" s="276" t="s">
        <v>4371</v>
      </c>
      <c r="J790" s="276" t="s">
        <v>638</v>
      </c>
      <c r="K790" s="276" t="s">
        <v>591</v>
      </c>
      <c r="L790" s="276" t="s">
        <v>592</v>
      </c>
      <c r="M790" s="276" t="s">
        <v>4372</v>
      </c>
      <c r="N790" s="276" t="s">
        <v>640</v>
      </c>
    </row>
    <row r="791" spans="1:14" ht="84">
      <c r="A791" s="268" t="str">
        <f t="shared" si="12"/>
        <v>Planning &amp; Organizing|Director|4</v>
      </c>
      <c r="B791" s="223" t="s">
        <v>557</v>
      </c>
      <c r="C791" s="79" t="s">
        <v>898</v>
      </c>
      <c r="D791" s="79">
        <v>4</v>
      </c>
      <c r="E791" s="79" t="s">
        <v>641</v>
      </c>
      <c r="F791" s="79">
        <v>1</v>
      </c>
      <c r="G791" s="276" t="s">
        <v>4373</v>
      </c>
      <c r="H791" s="276" t="s">
        <v>4374</v>
      </c>
      <c r="I791" s="276" t="s">
        <v>4375</v>
      </c>
      <c r="J791" s="276" t="s">
        <v>4376</v>
      </c>
      <c r="K791" s="276" t="s">
        <v>591</v>
      </c>
      <c r="L791" s="276" t="s">
        <v>592</v>
      </c>
      <c r="M791" s="276" t="s">
        <v>4377</v>
      </c>
      <c r="N791" s="276" t="s">
        <v>2279</v>
      </c>
    </row>
    <row r="792" spans="1:14" ht="67.150000000000006">
      <c r="A792" s="268" t="str">
        <f t="shared" si="12"/>
        <v>Planning &amp; Organizing|Director|4</v>
      </c>
      <c r="B792" s="223" t="s">
        <v>557</v>
      </c>
      <c r="C792" s="79" t="s">
        <v>898</v>
      </c>
      <c r="D792" s="79">
        <v>4</v>
      </c>
      <c r="E792" s="79" t="s">
        <v>641</v>
      </c>
      <c r="F792" s="79">
        <v>2</v>
      </c>
      <c r="G792" s="276" t="s">
        <v>4378</v>
      </c>
      <c r="H792" s="276" t="s">
        <v>4379</v>
      </c>
      <c r="I792" s="276" t="s">
        <v>4380</v>
      </c>
      <c r="J792" s="276" t="s">
        <v>4381</v>
      </c>
      <c r="K792" s="276" t="s">
        <v>591</v>
      </c>
      <c r="L792" s="276" t="s">
        <v>592</v>
      </c>
      <c r="M792" s="276" t="s">
        <v>4382</v>
      </c>
      <c r="N792" s="276" t="s">
        <v>916</v>
      </c>
    </row>
    <row r="793" spans="1:14" ht="67.150000000000006">
      <c r="A793" s="268" t="str">
        <f t="shared" si="12"/>
        <v>Planning &amp; Organizing|Director|4</v>
      </c>
      <c r="B793" s="223" t="s">
        <v>557</v>
      </c>
      <c r="C793" s="79" t="s">
        <v>898</v>
      </c>
      <c r="D793" s="79">
        <v>4</v>
      </c>
      <c r="E793" s="79" t="s">
        <v>641</v>
      </c>
      <c r="F793" s="79">
        <v>3</v>
      </c>
      <c r="G793" s="276" t="s">
        <v>4383</v>
      </c>
      <c r="H793" s="276" t="s">
        <v>4384</v>
      </c>
      <c r="I793" s="276" t="s">
        <v>4385</v>
      </c>
      <c r="J793" s="276" t="s">
        <v>4386</v>
      </c>
      <c r="K793" s="276" t="s">
        <v>591</v>
      </c>
      <c r="L793" s="276" t="s">
        <v>592</v>
      </c>
      <c r="M793" s="276" t="s">
        <v>4387</v>
      </c>
      <c r="N793" s="276" t="s">
        <v>4055</v>
      </c>
    </row>
    <row r="794" spans="1:14" ht="84">
      <c r="A794" s="268" t="str">
        <f t="shared" si="12"/>
        <v>Problem Solving &amp; Decision Making|Officer|1</v>
      </c>
      <c r="B794" s="223" t="s">
        <v>558</v>
      </c>
      <c r="C794" s="226" t="s">
        <v>4</v>
      </c>
      <c r="D794" s="226">
        <v>1</v>
      </c>
      <c r="E794" s="227" t="s">
        <v>586</v>
      </c>
      <c r="F794" s="227">
        <v>1</v>
      </c>
      <c r="G794" s="276" t="s">
        <v>4388</v>
      </c>
      <c r="H794" s="276" t="s">
        <v>4389</v>
      </c>
      <c r="I794" s="276" t="s">
        <v>4390</v>
      </c>
      <c r="J794" s="276" t="s">
        <v>4391</v>
      </c>
      <c r="K794" s="276" t="s">
        <v>591</v>
      </c>
      <c r="L794" s="276" t="s">
        <v>592</v>
      </c>
      <c r="M794" s="276" t="s">
        <v>4392</v>
      </c>
      <c r="N794" s="276" t="s">
        <v>594</v>
      </c>
    </row>
    <row r="795" spans="1:14" ht="67.150000000000006">
      <c r="A795" s="268" t="str">
        <f t="shared" si="12"/>
        <v>Problem Solving &amp; Decision Making|Officer|1</v>
      </c>
      <c r="B795" s="223" t="s">
        <v>558</v>
      </c>
      <c r="C795" s="226" t="s">
        <v>4</v>
      </c>
      <c r="D795" s="226">
        <v>1</v>
      </c>
      <c r="E795" s="227" t="s">
        <v>586</v>
      </c>
      <c r="F795" s="227">
        <v>2</v>
      </c>
      <c r="G795" s="276" t="s">
        <v>4393</v>
      </c>
      <c r="H795" s="276" t="s">
        <v>4394</v>
      </c>
      <c r="I795" s="276" t="s">
        <v>4395</v>
      </c>
      <c r="J795" s="276" t="s">
        <v>4396</v>
      </c>
      <c r="K795" s="276" t="s">
        <v>591</v>
      </c>
      <c r="L795" s="276" t="s">
        <v>592</v>
      </c>
      <c r="M795" s="276" t="s">
        <v>4397</v>
      </c>
      <c r="N795" s="276" t="s">
        <v>594</v>
      </c>
    </row>
    <row r="796" spans="1:14" ht="67.150000000000006">
      <c r="A796" s="268" t="str">
        <f t="shared" si="12"/>
        <v>Problem Solving &amp; Decision Making|Officer|1</v>
      </c>
      <c r="B796" s="223" t="s">
        <v>558</v>
      </c>
      <c r="C796" s="226" t="s">
        <v>4</v>
      </c>
      <c r="D796" s="226">
        <v>1</v>
      </c>
      <c r="E796" s="227" t="s">
        <v>586</v>
      </c>
      <c r="F796" s="227">
        <v>3</v>
      </c>
      <c r="G796" s="276" t="s">
        <v>4398</v>
      </c>
      <c r="H796" s="276" t="s">
        <v>4399</v>
      </c>
      <c r="I796" s="276" t="s">
        <v>4400</v>
      </c>
      <c r="J796" s="276" t="s">
        <v>4401</v>
      </c>
      <c r="K796" s="276" t="s">
        <v>591</v>
      </c>
      <c r="L796" s="276" t="s">
        <v>592</v>
      </c>
      <c r="M796" s="276" t="s">
        <v>4402</v>
      </c>
      <c r="N796" s="276" t="s">
        <v>594</v>
      </c>
    </row>
    <row r="797" spans="1:14" ht="50.45">
      <c r="A797" s="268" t="str">
        <f t="shared" si="12"/>
        <v>Problem Solving &amp; Decision Making|Officer|2</v>
      </c>
      <c r="B797" s="223" t="s">
        <v>558</v>
      </c>
      <c r="C797" s="226" t="s">
        <v>4</v>
      </c>
      <c r="D797" s="227">
        <v>2</v>
      </c>
      <c r="E797" s="227" t="s">
        <v>605</v>
      </c>
      <c r="F797" s="227">
        <v>1</v>
      </c>
      <c r="G797" s="276" t="s">
        <v>4403</v>
      </c>
      <c r="H797" s="276" t="s">
        <v>4404</v>
      </c>
      <c r="I797" s="276" t="s">
        <v>4405</v>
      </c>
      <c r="J797" s="276" t="s">
        <v>4406</v>
      </c>
      <c r="K797" s="276" t="s">
        <v>591</v>
      </c>
      <c r="L797" s="276" t="s">
        <v>592</v>
      </c>
      <c r="M797" s="276" t="s">
        <v>4407</v>
      </c>
      <c r="N797" s="276" t="s">
        <v>611</v>
      </c>
    </row>
    <row r="798" spans="1:14" ht="50.45">
      <c r="A798" s="268" t="str">
        <f t="shared" si="12"/>
        <v>Problem Solving &amp; Decision Making|Officer|2</v>
      </c>
      <c r="B798" s="223" t="s">
        <v>558</v>
      </c>
      <c r="C798" s="226" t="s">
        <v>4</v>
      </c>
      <c r="D798" s="227">
        <v>2</v>
      </c>
      <c r="E798" s="227" t="s">
        <v>605</v>
      </c>
      <c r="F798" s="227">
        <v>2</v>
      </c>
      <c r="G798" s="276" t="s">
        <v>4408</v>
      </c>
      <c r="H798" s="276" t="s">
        <v>4409</v>
      </c>
      <c r="I798" s="276" t="s">
        <v>4410</v>
      </c>
      <c r="J798" s="276" t="s">
        <v>4411</v>
      </c>
      <c r="K798" s="276" t="s">
        <v>591</v>
      </c>
      <c r="L798" s="276" t="s">
        <v>592</v>
      </c>
      <c r="M798" s="276" t="s">
        <v>4412</v>
      </c>
      <c r="N798" s="276" t="s">
        <v>611</v>
      </c>
    </row>
    <row r="799" spans="1:14" ht="50.45">
      <c r="A799" s="268" t="str">
        <f t="shared" si="12"/>
        <v>Problem Solving &amp; Decision Making|Officer|2</v>
      </c>
      <c r="B799" s="223" t="s">
        <v>558</v>
      </c>
      <c r="C799" s="226" t="s">
        <v>4</v>
      </c>
      <c r="D799" s="227">
        <v>2</v>
      </c>
      <c r="E799" s="227" t="s">
        <v>605</v>
      </c>
      <c r="F799" s="227">
        <v>3</v>
      </c>
      <c r="G799" s="276" t="s">
        <v>4413</v>
      </c>
      <c r="H799" s="276" t="s">
        <v>4414</v>
      </c>
      <c r="I799" s="276" t="s">
        <v>4415</v>
      </c>
      <c r="J799" s="276" t="s">
        <v>4416</v>
      </c>
      <c r="K799" s="276" t="s">
        <v>591</v>
      </c>
      <c r="L799" s="276" t="s">
        <v>592</v>
      </c>
      <c r="M799" s="276" t="s">
        <v>4417</v>
      </c>
      <c r="N799" s="276" t="s">
        <v>594</v>
      </c>
    </row>
    <row r="800" spans="1:14" ht="50.45">
      <c r="A800" s="268" t="str">
        <f t="shared" si="12"/>
        <v>Problem Solving &amp; Decision Making|Officer|3</v>
      </c>
      <c r="B800" s="223" t="s">
        <v>558</v>
      </c>
      <c r="C800" s="226" t="s">
        <v>4</v>
      </c>
      <c r="D800" s="227">
        <v>3</v>
      </c>
      <c r="E800" s="227" t="s">
        <v>623</v>
      </c>
      <c r="F800" s="227">
        <v>1</v>
      </c>
      <c r="G800" s="276" t="s">
        <v>4418</v>
      </c>
      <c r="H800" s="276" t="s">
        <v>4419</v>
      </c>
      <c r="I800" s="276" t="s">
        <v>4420</v>
      </c>
      <c r="J800" s="276" t="s">
        <v>4421</v>
      </c>
      <c r="K800" s="276" t="s">
        <v>591</v>
      </c>
      <c r="L800" s="276" t="s">
        <v>592</v>
      </c>
      <c r="M800" s="276" t="s">
        <v>4422</v>
      </c>
      <c r="N800" s="276" t="s">
        <v>4423</v>
      </c>
    </row>
    <row r="801" spans="1:14" ht="67.150000000000006">
      <c r="A801" s="268" t="str">
        <f t="shared" si="12"/>
        <v>Problem Solving &amp; Decision Making|Officer|3</v>
      </c>
      <c r="B801" s="223" t="s">
        <v>558</v>
      </c>
      <c r="C801" s="226" t="s">
        <v>4</v>
      </c>
      <c r="D801" s="227">
        <v>3</v>
      </c>
      <c r="E801" s="227" t="s">
        <v>623</v>
      </c>
      <c r="F801" s="227">
        <v>2</v>
      </c>
      <c r="G801" s="276" t="s">
        <v>4424</v>
      </c>
      <c r="H801" s="276" t="s">
        <v>4425</v>
      </c>
      <c r="I801" s="276" t="s">
        <v>4426</v>
      </c>
      <c r="J801" s="276" t="s">
        <v>4427</v>
      </c>
      <c r="K801" s="276" t="s">
        <v>591</v>
      </c>
      <c r="L801" s="276" t="s">
        <v>592</v>
      </c>
      <c r="M801" s="276" t="s">
        <v>4428</v>
      </c>
      <c r="N801" s="276" t="s">
        <v>594</v>
      </c>
    </row>
    <row r="802" spans="1:14" ht="50.45">
      <c r="A802" s="268" t="str">
        <f t="shared" si="12"/>
        <v>Problem Solving &amp; Decision Making|Officer|3</v>
      </c>
      <c r="B802" s="223" t="s">
        <v>558</v>
      </c>
      <c r="C802" s="226" t="s">
        <v>4</v>
      </c>
      <c r="D802" s="227">
        <v>3</v>
      </c>
      <c r="E802" s="227" t="s">
        <v>623</v>
      </c>
      <c r="F802" s="227">
        <v>3</v>
      </c>
      <c r="G802" s="276" t="s">
        <v>4429</v>
      </c>
      <c r="H802" s="276" t="s">
        <v>4430</v>
      </c>
      <c r="I802" s="276" t="s">
        <v>4431</v>
      </c>
      <c r="J802" s="276" t="s">
        <v>4432</v>
      </c>
      <c r="K802" s="276" t="s">
        <v>591</v>
      </c>
      <c r="L802" s="276" t="s">
        <v>592</v>
      </c>
      <c r="M802" s="276" t="s">
        <v>4433</v>
      </c>
      <c r="N802" s="276" t="s">
        <v>594</v>
      </c>
    </row>
    <row r="803" spans="1:14" ht="67.150000000000006">
      <c r="A803" s="268" t="str">
        <f t="shared" si="12"/>
        <v>Problem Solving &amp; Decision Making|Officer|4</v>
      </c>
      <c r="B803" s="223" t="s">
        <v>558</v>
      </c>
      <c r="C803" s="226" t="s">
        <v>4</v>
      </c>
      <c r="D803" s="227">
        <v>4</v>
      </c>
      <c r="E803" s="227" t="s">
        <v>641</v>
      </c>
      <c r="F803" s="227">
        <v>1</v>
      </c>
      <c r="G803" s="276" t="s">
        <v>4434</v>
      </c>
      <c r="H803" s="276" t="s">
        <v>4435</v>
      </c>
      <c r="I803" s="276" t="s">
        <v>4436</v>
      </c>
      <c r="J803" s="276" t="s">
        <v>4437</v>
      </c>
      <c r="K803" s="276" t="s">
        <v>591</v>
      </c>
      <c r="L803" s="276" t="s">
        <v>592</v>
      </c>
      <c r="M803" s="276" t="s">
        <v>4438</v>
      </c>
      <c r="N803" s="276" t="s">
        <v>622</v>
      </c>
    </row>
    <row r="804" spans="1:14" ht="67.150000000000006">
      <c r="A804" s="268" t="str">
        <f t="shared" si="12"/>
        <v>Problem Solving &amp; Decision Making|Officer|4</v>
      </c>
      <c r="B804" s="223" t="s">
        <v>558</v>
      </c>
      <c r="C804" s="226" t="s">
        <v>4</v>
      </c>
      <c r="D804" s="227">
        <v>4</v>
      </c>
      <c r="E804" s="227" t="s">
        <v>641</v>
      </c>
      <c r="F804" s="227">
        <v>2</v>
      </c>
      <c r="G804" s="276" t="s">
        <v>4439</v>
      </c>
      <c r="H804" s="276" t="s">
        <v>4440</v>
      </c>
      <c r="I804" s="276" t="s">
        <v>4441</v>
      </c>
      <c r="J804" s="276" t="s">
        <v>4442</v>
      </c>
      <c r="K804" s="276" t="s">
        <v>591</v>
      </c>
      <c r="L804" s="276" t="s">
        <v>592</v>
      </c>
      <c r="M804" s="276" t="s">
        <v>4443</v>
      </c>
      <c r="N804" s="276" t="s">
        <v>4444</v>
      </c>
    </row>
    <row r="805" spans="1:14" ht="50.45">
      <c r="A805" s="268" t="str">
        <f t="shared" si="12"/>
        <v>Problem Solving &amp; Decision Making|Officer|4</v>
      </c>
      <c r="B805" s="223" t="s">
        <v>558</v>
      </c>
      <c r="C805" s="226" t="s">
        <v>4</v>
      </c>
      <c r="D805" s="227">
        <v>4</v>
      </c>
      <c r="E805" s="227" t="s">
        <v>641</v>
      </c>
      <c r="F805" s="227">
        <v>3</v>
      </c>
      <c r="G805" s="276" t="s">
        <v>4445</v>
      </c>
      <c r="H805" s="276" t="s">
        <v>4446</v>
      </c>
      <c r="I805" s="276" t="s">
        <v>4447</v>
      </c>
      <c r="J805" s="276" t="s">
        <v>4448</v>
      </c>
      <c r="K805" s="276" t="s">
        <v>591</v>
      </c>
      <c r="L805" s="276" t="s">
        <v>592</v>
      </c>
      <c r="M805" s="276" t="s">
        <v>4449</v>
      </c>
      <c r="N805" s="276" t="s">
        <v>622</v>
      </c>
    </row>
    <row r="806" spans="1:14" ht="84">
      <c r="A806" s="268" t="str">
        <f t="shared" si="12"/>
        <v>Problem Solving &amp; Decision Making|Analyst|1</v>
      </c>
      <c r="B806" s="223" t="s">
        <v>558</v>
      </c>
      <c r="C806" s="226" t="s">
        <v>6</v>
      </c>
      <c r="D806" s="226">
        <v>1</v>
      </c>
      <c r="E806" s="227" t="s">
        <v>586</v>
      </c>
      <c r="F806" s="227">
        <v>1</v>
      </c>
      <c r="G806" s="279" t="s">
        <v>4450</v>
      </c>
      <c r="H806" s="279" t="s">
        <v>4451</v>
      </c>
      <c r="I806" s="279" t="s">
        <v>4452</v>
      </c>
      <c r="J806" s="279" t="s">
        <v>4453</v>
      </c>
      <c r="K806" s="279" t="s">
        <v>591</v>
      </c>
      <c r="L806" s="279" t="s">
        <v>592</v>
      </c>
      <c r="M806" s="279" t="s">
        <v>4454</v>
      </c>
      <c r="N806" s="279" t="s">
        <v>594</v>
      </c>
    </row>
    <row r="807" spans="1:14" ht="84">
      <c r="A807" s="268" t="str">
        <f t="shared" si="12"/>
        <v>Problem Solving &amp; Decision Making|Analyst|1</v>
      </c>
      <c r="B807" s="223" t="s">
        <v>558</v>
      </c>
      <c r="C807" s="226" t="s">
        <v>6</v>
      </c>
      <c r="D807" s="226">
        <v>1</v>
      </c>
      <c r="E807" s="227" t="s">
        <v>586</v>
      </c>
      <c r="F807" s="227">
        <v>2</v>
      </c>
      <c r="G807" s="279" t="s">
        <v>4455</v>
      </c>
      <c r="H807" s="279" t="s">
        <v>4456</v>
      </c>
      <c r="I807" s="279" t="s">
        <v>4457</v>
      </c>
      <c r="J807" s="279" t="s">
        <v>4458</v>
      </c>
      <c r="K807" s="279" t="s">
        <v>591</v>
      </c>
      <c r="L807" s="279" t="s">
        <v>592</v>
      </c>
      <c r="M807" s="279" t="s">
        <v>4459</v>
      </c>
      <c r="N807" s="279" t="s">
        <v>594</v>
      </c>
    </row>
    <row r="808" spans="1:14" ht="67.150000000000006">
      <c r="A808" s="268" t="str">
        <f t="shared" si="12"/>
        <v>Problem Solving &amp; Decision Making|Analyst|1</v>
      </c>
      <c r="B808" s="223" t="s">
        <v>558</v>
      </c>
      <c r="C808" s="226" t="s">
        <v>6</v>
      </c>
      <c r="D808" s="226">
        <v>1</v>
      </c>
      <c r="E808" s="227" t="s">
        <v>586</v>
      </c>
      <c r="F808" s="227">
        <v>3</v>
      </c>
      <c r="G808" s="279" t="s">
        <v>4460</v>
      </c>
      <c r="H808" s="279" t="s">
        <v>4461</v>
      </c>
      <c r="I808" s="279" t="s">
        <v>4462</v>
      </c>
      <c r="J808" s="279" t="s">
        <v>4463</v>
      </c>
      <c r="K808" s="279" t="s">
        <v>591</v>
      </c>
      <c r="L808" s="279" t="s">
        <v>592</v>
      </c>
      <c r="M808" s="279" t="s">
        <v>4464</v>
      </c>
      <c r="N808" s="279" t="s">
        <v>594</v>
      </c>
    </row>
    <row r="809" spans="1:14" ht="67.150000000000006">
      <c r="A809" s="268" t="str">
        <f t="shared" si="12"/>
        <v>Problem Solving &amp; Decision Making|Analyst|2</v>
      </c>
      <c r="B809" s="223" t="s">
        <v>558</v>
      </c>
      <c r="C809" s="226" t="s">
        <v>6</v>
      </c>
      <c r="D809" s="227">
        <v>2</v>
      </c>
      <c r="E809" s="227" t="s">
        <v>605</v>
      </c>
      <c r="F809" s="227">
        <v>1</v>
      </c>
      <c r="G809" s="279" t="s">
        <v>4135</v>
      </c>
      <c r="H809" s="279" t="s">
        <v>4465</v>
      </c>
      <c r="I809" s="279" t="s">
        <v>4466</v>
      </c>
      <c r="J809" s="279" t="s">
        <v>4467</v>
      </c>
      <c r="K809" s="279" t="s">
        <v>591</v>
      </c>
      <c r="L809" s="279" t="s">
        <v>592</v>
      </c>
      <c r="M809" s="279" t="s">
        <v>4468</v>
      </c>
      <c r="N809" s="279" t="s">
        <v>611</v>
      </c>
    </row>
    <row r="810" spans="1:14" ht="50.45">
      <c r="A810" s="268" t="str">
        <f t="shared" si="12"/>
        <v>Problem Solving &amp; Decision Making|Analyst|2</v>
      </c>
      <c r="B810" s="223" t="s">
        <v>558</v>
      </c>
      <c r="C810" s="226" t="s">
        <v>6</v>
      </c>
      <c r="D810" s="227">
        <v>2</v>
      </c>
      <c r="E810" s="227" t="s">
        <v>605</v>
      </c>
      <c r="F810" s="227">
        <v>2</v>
      </c>
      <c r="G810" s="279" t="s">
        <v>4469</v>
      </c>
      <c r="H810" s="279" t="s">
        <v>4470</v>
      </c>
      <c r="I810" s="279" t="s">
        <v>4471</v>
      </c>
      <c r="J810" s="279" t="s">
        <v>4472</v>
      </c>
      <c r="K810" s="279" t="s">
        <v>591</v>
      </c>
      <c r="L810" s="279" t="s">
        <v>592</v>
      </c>
      <c r="M810" s="279" t="s">
        <v>4473</v>
      </c>
      <c r="N810" s="279" t="s">
        <v>594</v>
      </c>
    </row>
    <row r="811" spans="1:14" ht="67.150000000000006">
      <c r="A811" s="268" t="str">
        <f t="shared" si="12"/>
        <v>Problem Solving &amp; Decision Making|Analyst|2</v>
      </c>
      <c r="B811" s="223" t="s">
        <v>558</v>
      </c>
      <c r="C811" s="226" t="s">
        <v>6</v>
      </c>
      <c r="D811" s="227">
        <v>2</v>
      </c>
      <c r="E811" s="227" t="s">
        <v>605</v>
      </c>
      <c r="F811" s="227">
        <v>3</v>
      </c>
      <c r="G811" s="279" t="s">
        <v>4474</v>
      </c>
      <c r="H811" s="279" t="s">
        <v>4475</v>
      </c>
      <c r="I811" s="279" t="s">
        <v>4476</v>
      </c>
      <c r="J811" s="279" t="s">
        <v>4477</v>
      </c>
      <c r="K811" s="279" t="s">
        <v>591</v>
      </c>
      <c r="L811" s="279" t="s">
        <v>592</v>
      </c>
      <c r="M811" s="279" t="s">
        <v>4478</v>
      </c>
      <c r="N811" s="279" t="s">
        <v>594</v>
      </c>
    </row>
    <row r="812" spans="1:14" ht="67.150000000000006">
      <c r="A812" s="268" t="str">
        <f t="shared" si="12"/>
        <v>Problem Solving &amp; Decision Making|Analyst|3</v>
      </c>
      <c r="B812" s="223" t="s">
        <v>558</v>
      </c>
      <c r="C812" s="226" t="s">
        <v>6</v>
      </c>
      <c r="D812" s="227">
        <v>3</v>
      </c>
      <c r="E812" s="227" t="s">
        <v>623</v>
      </c>
      <c r="F812" s="227">
        <v>1</v>
      </c>
      <c r="G812" s="279" t="s">
        <v>1056</v>
      </c>
      <c r="H812" s="279" t="s">
        <v>4479</v>
      </c>
      <c r="I812" s="279" t="s">
        <v>4480</v>
      </c>
      <c r="J812" s="279" t="s">
        <v>4481</v>
      </c>
      <c r="K812" s="279" t="s">
        <v>591</v>
      </c>
      <c r="L812" s="279" t="s">
        <v>592</v>
      </c>
      <c r="M812" s="279" t="s">
        <v>4482</v>
      </c>
      <c r="N812" s="279" t="s">
        <v>594</v>
      </c>
    </row>
    <row r="813" spans="1:14" ht="50.45">
      <c r="A813" s="268" t="str">
        <f t="shared" si="12"/>
        <v>Problem Solving &amp; Decision Making|Analyst|3</v>
      </c>
      <c r="B813" s="223" t="s">
        <v>558</v>
      </c>
      <c r="C813" s="226" t="s">
        <v>6</v>
      </c>
      <c r="D813" s="227">
        <v>3</v>
      </c>
      <c r="E813" s="227" t="s">
        <v>623</v>
      </c>
      <c r="F813" s="227">
        <v>2</v>
      </c>
      <c r="G813" s="279" t="s">
        <v>4483</v>
      </c>
      <c r="H813" s="279" t="s">
        <v>4484</v>
      </c>
      <c r="I813" s="279" t="s">
        <v>4485</v>
      </c>
      <c r="J813" s="279" t="s">
        <v>4486</v>
      </c>
      <c r="K813" s="279" t="s">
        <v>591</v>
      </c>
      <c r="L813" s="279" t="s">
        <v>592</v>
      </c>
      <c r="M813" s="279" t="s">
        <v>4487</v>
      </c>
      <c r="N813" s="279" t="s">
        <v>594</v>
      </c>
    </row>
    <row r="814" spans="1:14" ht="50.45">
      <c r="A814" s="268" t="str">
        <f t="shared" si="12"/>
        <v>Problem Solving &amp; Decision Making|Analyst|3</v>
      </c>
      <c r="B814" s="223" t="s">
        <v>558</v>
      </c>
      <c r="C814" s="226" t="s">
        <v>6</v>
      </c>
      <c r="D814" s="227">
        <v>3</v>
      </c>
      <c r="E814" s="227" t="s">
        <v>623</v>
      </c>
      <c r="F814" s="227">
        <v>3</v>
      </c>
      <c r="G814" s="279" t="s">
        <v>4488</v>
      </c>
      <c r="H814" s="279" t="s">
        <v>4489</v>
      </c>
      <c r="I814" s="279" t="s">
        <v>4490</v>
      </c>
      <c r="J814" s="279" t="s">
        <v>4491</v>
      </c>
      <c r="K814" s="279" t="s">
        <v>591</v>
      </c>
      <c r="L814" s="279" t="s">
        <v>592</v>
      </c>
      <c r="M814" s="279" t="s">
        <v>4492</v>
      </c>
      <c r="N814" s="279" t="s">
        <v>1853</v>
      </c>
    </row>
    <row r="815" spans="1:14" ht="84">
      <c r="A815" s="268" t="str">
        <f t="shared" si="12"/>
        <v>Problem Solving &amp; Decision Making|Analyst|4</v>
      </c>
      <c r="B815" s="223" t="s">
        <v>558</v>
      </c>
      <c r="C815" s="226" t="s">
        <v>6</v>
      </c>
      <c r="D815" s="227">
        <v>4</v>
      </c>
      <c r="E815" s="227" t="s">
        <v>641</v>
      </c>
      <c r="F815" s="227">
        <v>1</v>
      </c>
      <c r="G815" s="279" t="s">
        <v>4493</v>
      </c>
      <c r="H815" s="279" t="s">
        <v>4494</v>
      </c>
      <c r="I815" s="279" t="s">
        <v>4495</v>
      </c>
      <c r="J815" s="279" t="s">
        <v>4496</v>
      </c>
      <c r="K815" s="279" t="s">
        <v>591</v>
      </c>
      <c r="L815" s="279" t="s">
        <v>592</v>
      </c>
      <c r="M815" s="279" t="s">
        <v>4497</v>
      </c>
      <c r="N815" s="279" t="s">
        <v>622</v>
      </c>
    </row>
    <row r="816" spans="1:14" ht="67.150000000000006">
      <c r="A816" s="268" t="str">
        <f t="shared" si="12"/>
        <v>Problem Solving &amp; Decision Making|Analyst|4</v>
      </c>
      <c r="B816" s="223" t="s">
        <v>558</v>
      </c>
      <c r="C816" s="226" t="s">
        <v>6</v>
      </c>
      <c r="D816" s="227">
        <v>4</v>
      </c>
      <c r="E816" s="227" t="s">
        <v>641</v>
      </c>
      <c r="F816" s="227">
        <v>2</v>
      </c>
      <c r="G816" s="279" t="s">
        <v>4498</v>
      </c>
      <c r="H816" s="279" t="s">
        <v>4499</v>
      </c>
      <c r="I816" s="279" t="s">
        <v>4500</v>
      </c>
      <c r="J816" s="279" t="s">
        <v>4501</v>
      </c>
      <c r="K816" s="279" t="s">
        <v>591</v>
      </c>
      <c r="L816" s="279" t="s">
        <v>592</v>
      </c>
      <c r="M816" s="279" t="s">
        <v>4502</v>
      </c>
      <c r="N816" s="279" t="s">
        <v>4444</v>
      </c>
    </row>
    <row r="817" spans="1:14" ht="67.150000000000006">
      <c r="A817" s="268" t="str">
        <f t="shared" si="12"/>
        <v>Problem Solving &amp; Decision Making|Analyst|4</v>
      </c>
      <c r="B817" s="223" t="s">
        <v>558</v>
      </c>
      <c r="C817" s="226" t="s">
        <v>6</v>
      </c>
      <c r="D817" s="227">
        <v>4</v>
      </c>
      <c r="E817" s="227" t="s">
        <v>641</v>
      </c>
      <c r="F817" s="227">
        <v>3</v>
      </c>
      <c r="G817" s="279" t="s">
        <v>4503</v>
      </c>
      <c r="H817" s="279" t="s">
        <v>4504</v>
      </c>
      <c r="I817" s="279" t="s">
        <v>4505</v>
      </c>
      <c r="J817" s="279" t="s">
        <v>4506</v>
      </c>
      <c r="K817" s="279" t="s">
        <v>591</v>
      </c>
      <c r="L817" s="279" t="s">
        <v>592</v>
      </c>
      <c r="M817" s="279" t="s">
        <v>4507</v>
      </c>
      <c r="N817" s="279" t="s">
        <v>622</v>
      </c>
    </row>
    <row r="818" spans="1:14" ht="100.9">
      <c r="A818" s="268" t="str">
        <f t="shared" si="12"/>
        <v>Problem Solving &amp; Decision Making|Unit Head/Specialist|1</v>
      </c>
      <c r="B818" s="223" t="s">
        <v>558</v>
      </c>
      <c r="C818" s="227" t="s">
        <v>13</v>
      </c>
      <c r="D818" s="226">
        <v>1</v>
      </c>
      <c r="E818" s="227" t="s">
        <v>586</v>
      </c>
      <c r="F818" s="227">
        <v>1</v>
      </c>
      <c r="G818" s="279" t="s">
        <v>4508</v>
      </c>
      <c r="H818" s="279" t="s">
        <v>4509</v>
      </c>
      <c r="I818" s="279" t="s">
        <v>4510</v>
      </c>
      <c r="J818" s="279" t="s">
        <v>4511</v>
      </c>
      <c r="K818" s="279" t="s">
        <v>591</v>
      </c>
      <c r="L818" s="279" t="s">
        <v>592</v>
      </c>
      <c r="M818" s="279" t="s">
        <v>4512</v>
      </c>
      <c r="N818" s="279" t="s">
        <v>594</v>
      </c>
    </row>
    <row r="819" spans="1:14" ht="84">
      <c r="A819" s="268" t="str">
        <f t="shared" si="12"/>
        <v>Problem Solving &amp; Decision Making|Unit Head/Specialist|1</v>
      </c>
      <c r="B819" s="223" t="s">
        <v>558</v>
      </c>
      <c r="C819" s="227" t="s">
        <v>13</v>
      </c>
      <c r="D819" s="226">
        <v>1</v>
      </c>
      <c r="E819" s="227" t="s">
        <v>586</v>
      </c>
      <c r="F819" s="227">
        <v>2</v>
      </c>
      <c r="G819" s="279" t="s">
        <v>2395</v>
      </c>
      <c r="H819" s="279" t="s">
        <v>4513</v>
      </c>
      <c r="I819" s="279" t="s">
        <v>4514</v>
      </c>
      <c r="J819" s="279" t="s">
        <v>4515</v>
      </c>
      <c r="K819" s="279" t="s">
        <v>591</v>
      </c>
      <c r="L819" s="279" t="s">
        <v>592</v>
      </c>
      <c r="M819" s="279" t="s">
        <v>4516</v>
      </c>
      <c r="N819" s="279" t="s">
        <v>1568</v>
      </c>
    </row>
    <row r="820" spans="1:14" ht="67.150000000000006">
      <c r="A820" s="268" t="str">
        <f t="shared" si="12"/>
        <v>Problem Solving &amp; Decision Making|Unit Head/Specialist|1</v>
      </c>
      <c r="B820" s="223" t="s">
        <v>558</v>
      </c>
      <c r="C820" s="227" t="s">
        <v>13</v>
      </c>
      <c r="D820" s="226">
        <v>1</v>
      </c>
      <c r="E820" s="227" t="s">
        <v>586</v>
      </c>
      <c r="F820" s="227">
        <v>3</v>
      </c>
      <c r="G820" s="279" t="s">
        <v>2400</v>
      </c>
      <c r="H820" s="279" t="s">
        <v>4517</v>
      </c>
      <c r="I820" s="279" t="s">
        <v>4518</v>
      </c>
      <c r="J820" s="279" t="s">
        <v>2403</v>
      </c>
      <c r="K820" s="279" t="s">
        <v>591</v>
      </c>
      <c r="L820" s="279" t="s">
        <v>592</v>
      </c>
      <c r="M820" s="279" t="s">
        <v>4519</v>
      </c>
      <c r="N820" s="279" t="s">
        <v>594</v>
      </c>
    </row>
    <row r="821" spans="1:14" ht="67.150000000000006">
      <c r="A821" s="268" t="str">
        <f t="shared" si="12"/>
        <v>Problem Solving &amp; Decision Making|Unit Head/Specialist|2</v>
      </c>
      <c r="B821" s="223" t="s">
        <v>558</v>
      </c>
      <c r="C821" s="227" t="s">
        <v>13</v>
      </c>
      <c r="D821" s="227">
        <v>2</v>
      </c>
      <c r="E821" s="227" t="s">
        <v>605</v>
      </c>
      <c r="F821" s="227">
        <v>1</v>
      </c>
      <c r="G821" s="279" t="s">
        <v>2405</v>
      </c>
      <c r="H821" s="279" t="s">
        <v>2406</v>
      </c>
      <c r="I821" s="279" t="s">
        <v>4520</v>
      </c>
      <c r="J821" s="279" t="s">
        <v>4521</v>
      </c>
      <c r="K821" s="279" t="s">
        <v>591</v>
      </c>
      <c r="L821" s="279" t="s">
        <v>592</v>
      </c>
      <c r="M821" s="279" t="s">
        <v>4522</v>
      </c>
      <c r="N821" s="279" t="s">
        <v>611</v>
      </c>
    </row>
    <row r="822" spans="1:14" ht="67.150000000000006">
      <c r="A822" s="268" t="str">
        <f t="shared" si="12"/>
        <v>Problem Solving &amp; Decision Making|Unit Head/Specialist|2</v>
      </c>
      <c r="B822" s="223" t="s">
        <v>558</v>
      </c>
      <c r="C822" s="227" t="s">
        <v>13</v>
      </c>
      <c r="D822" s="227">
        <v>2</v>
      </c>
      <c r="E822" s="227" t="s">
        <v>605</v>
      </c>
      <c r="F822" s="227">
        <v>2</v>
      </c>
      <c r="G822" s="279" t="s">
        <v>4523</v>
      </c>
      <c r="H822" s="279" t="s">
        <v>4524</v>
      </c>
      <c r="I822" s="279" t="s">
        <v>4525</v>
      </c>
      <c r="J822" s="279" t="s">
        <v>4526</v>
      </c>
      <c r="K822" s="279" t="s">
        <v>591</v>
      </c>
      <c r="L822" s="279" t="s">
        <v>592</v>
      </c>
      <c r="M822" s="279" t="s">
        <v>4527</v>
      </c>
      <c r="N822" s="279" t="s">
        <v>622</v>
      </c>
    </row>
    <row r="823" spans="1:14" ht="50.45">
      <c r="A823" s="268" t="str">
        <f t="shared" si="12"/>
        <v>Problem Solving &amp; Decision Making|Unit Head/Specialist|2</v>
      </c>
      <c r="B823" s="223" t="s">
        <v>558</v>
      </c>
      <c r="C823" s="227" t="s">
        <v>13</v>
      </c>
      <c r="D823" s="227">
        <v>2</v>
      </c>
      <c r="E823" s="227" t="s">
        <v>605</v>
      </c>
      <c r="F823" s="227">
        <v>3</v>
      </c>
      <c r="G823" s="279" t="s">
        <v>2415</v>
      </c>
      <c r="H823" s="279" t="s">
        <v>2416</v>
      </c>
      <c r="I823" s="279" t="s">
        <v>4528</v>
      </c>
      <c r="J823" s="279" t="s">
        <v>4529</v>
      </c>
      <c r="K823" s="279" t="s">
        <v>591</v>
      </c>
      <c r="L823" s="279" t="s">
        <v>592</v>
      </c>
      <c r="M823" s="279" t="s">
        <v>4530</v>
      </c>
      <c r="N823" s="279" t="s">
        <v>622</v>
      </c>
    </row>
    <row r="824" spans="1:14" ht="67.150000000000006">
      <c r="A824" s="268" t="str">
        <f t="shared" si="12"/>
        <v>Problem Solving &amp; Decision Making|Unit Head/Specialist|3</v>
      </c>
      <c r="B824" s="223" t="s">
        <v>558</v>
      </c>
      <c r="C824" s="227" t="s">
        <v>13</v>
      </c>
      <c r="D824" s="227">
        <v>3</v>
      </c>
      <c r="E824" s="227" t="s">
        <v>623</v>
      </c>
      <c r="F824" s="227">
        <v>1</v>
      </c>
      <c r="G824" s="279" t="s">
        <v>4531</v>
      </c>
      <c r="H824" s="279" t="s">
        <v>4532</v>
      </c>
      <c r="I824" s="279" t="s">
        <v>4533</v>
      </c>
      <c r="J824" s="279" t="s">
        <v>4534</v>
      </c>
      <c r="K824" s="279" t="s">
        <v>591</v>
      </c>
      <c r="L824" s="279" t="s">
        <v>592</v>
      </c>
      <c r="M824" s="279" t="s">
        <v>4535</v>
      </c>
      <c r="N824" s="279" t="s">
        <v>594</v>
      </c>
    </row>
    <row r="825" spans="1:14" ht="67.150000000000006">
      <c r="A825" s="268" t="str">
        <f t="shared" si="12"/>
        <v>Problem Solving &amp; Decision Making|Unit Head/Specialist|3</v>
      </c>
      <c r="B825" s="223" t="s">
        <v>558</v>
      </c>
      <c r="C825" s="227" t="s">
        <v>13</v>
      </c>
      <c r="D825" s="227">
        <v>3</v>
      </c>
      <c r="E825" s="227" t="s">
        <v>623</v>
      </c>
      <c r="F825" s="227">
        <v>2</v>
      </c>
      <c r="G825" s="279" t="s">
        <v>4536</v>
      </c>
      <c r="H825" s="279" t="s">
        <v>4537</v>
      </c>
      <c r="I825" s="279" t="s">
        <v>4538</v>
      </c>
      <c r="J825" s="279" t="s">
        <v>2428</v>
      </c>
      <c r="K825" s="279" t="s">
        <v>591</v>
      </c>
      <c r="L825" s="279" t="s">
        <v>592</v>
      </c>
      <c r="M825" s="279" t="s">
        <v>4539</v>
      </c>
      <c r="N825" s="279" t="s">
        <v>622</v>
      </c>
    </row>
    <row r="826" spans="1:14" ht="100.9">
      <c r="A826" s="268" t="str">
        <f t="shared" si="12"/>
        <v>Problem Solving &amp; Decision Making|Unit Head/Specialist|3</v>
      </c>
      <c r="B826" s="223" t="s">
        <v>558</v>
      </c>
      <c r="C826" s="227" t="s">
        <v>13</v>
      </c>
      <c r="D826" s="227">
        <v>3</v>
      </c>
      <c r="E826" s="227" t="s">
        <v>623</v>
      </c>
      <c r="F826" s="227">
        <v>3</v>
      </c>
      <c r="G826" s="279" t="s">
        <v>4540</v>
      </c>
      <c r="H826" s="279" t="s">
        <v>4541</v>
      </c>
      <c r="I826" s="279" t="s">
        <v>4542</v>
      </c>
      <c r="J826" s="279" t="s">
        <v>1008</v>
      </c>
      <c r="K826" s="279" t="s">
        <v>591</v>
      </c>
      <c r="L826" s="279" t="s">
        <v>592</v>
      </c>
      <c r="M826" s="279" t="s">
        <v>4543</v>
      </c>
      <c r="N826" s="279" t="s">
        <v>640</v>
      </c>
    </row>
    <row r="827" spans="1:14" ht="67.150000000000006">
      <c r="A827" s="268" t="str">
        <f t="shared" si="12"/>
        <v>Problem Solving &amp; Decision Making|Unit Head/Specialist|4</v>
      </c>
      <c r="B827" s="223" t="s">
        <v>558</v>
      </c>
      <c r="C827" s="227" t="s">
        <v>13</v>
      </c>
      <c r="D827" s="227">
        <v>4</v>
      </c>
      <c r="E827" s="227" t="s">
        <v>641</v>
      </c>
      <c r="F827" s="227">
        <v>1</v>
      </c>
      <c r="G827" s="279" t="s">
        <v>4544</v>
      </c>
      <c r="H827" s="279" t="s">
        <v>4545</v>
      </c>
      <c r="I827" s="279" t="s">
        <v>4546</v>
      </c>
      <c r="J827" s="279" t="s">
        <v>4547</v>
      </c>
      <c r="K827" s="279" t="s">
        <v>591</v>
      </c>
      <c r="L827" s="279" t="s">
        <v>592</v>
      </c>
      <c r="M827" s="279" t="s">
        <v>4548</v>
      </c>
      <c r="N827" s="279" t="s">
        <v>622</v>
      </c>
    </row>
    <row r="828" spans="1:14" ht="50.45">
      <c r="A828" s="268" t="str">
        <f t="shared" si="12"/>
        <v>Problem Solving &amp; Decision Making|Unit Head/Specialist|4</v>
      </c>
      <c r="B828" s="223" t="s">
        <v>558</v>
      </c>
      <c r="C828" s="227" t="s">
        <v>13</v>
      </c>
      <c r="D828" s="227">
        <v>4</v>
      </c>
      <c r="E828" s="227" t="s">
        <v>641</v>
      </c>
      <c r="F828" s="227">
        <v>2</v>
      </c>
      <c r="G828" s="279" t="s">
        <v>4549</v>
      </c>
      <c r="H828" s="279" t="s">
        <v>2446</v>
      </c>
      <c r="I828" s="279" t="s">
        <v>4550</v>
      </c>
      <c r="J828" s="279" t="s">
        <v>4551</v>
      </c>
      <c r="K828" s="279" t="s">
        <v>591</v>
      </c>
      <c r="L828" s="279" t="s">
        <v>592</v>
      </c>
      <c r="M828" s="279" t="s">
        <v>4552</v>
      </c>
      <c r="N828" s="279" t="s">
        <v>622</v>
      </c>
    </row>
    <row r="829" spans="1:14" ht="67.150000000000006">
      <c r="A829" s="268" t="str">
        <f t="shared" si="12"/>
        <v>Problem Solving &amp; Decision Making|Unit Head/Specialist|4</v>
      </c>
      <c r="B829" s="223" t="s">
        <v>558</v>
      </c>
      <c r="C829" s="227" t="s">
        <v>13</v>
      </c>
      <c r="D829" s="227">
        <v>4</v>
      </c>
      <c r="E829" s="227" t="s">
        <v>641</v>
      </c>
      <c r="F829" s="227">
        <v>3</v>
      </c>
      <c r="G829" s="279" t="s">
        <v>4553</v>
      </c>
      <c r="H829" s="279" t="s">
        <v>4554</v>
      </c>
      <c r="I829" s="279" t="s">
        <v>4555</v>
      </c>
      <c r="J829" s="279" t="s">
        <v>4556</v>
      </c>
      <c r="K829" s="279" t="s">
        <v>591</v>
      </c>
      <c r="L829" s="279" t="s">
        <v>592</v>
      </c>
      <c r="M829" s="279" t="s">
        <v>4557</v>
      </c>
      <c r="N829" s="279" t="s">
        <v>622</v>
      </c>
    </row>
    <row r="830" spans="1:14" ht="100.9">
      <c r="A830" s="268" t="str">
        <f t="shared" si="12"/>
        <v>Problem Solving &amp; Decision Making|Department Head|1</v>
      </c>
      <c r="B830" s="223" t="s">
        <v>558</v>
      </c>
      <c r="C830" s="227" t="s">
        <v>779</v>
      </c>
      <c r="D830" s="226">
        <v>1</v>
      </c>
      <c r="E830" s="227" t="s">
        <v>586</v>
      </c>
      <c r="F830" s="227">
        <v>1</v>
      </c>
      <c r="G830" s="279" t="s">
        <v>4558</v>
      </c>
      <c r="H830" s="279" t="s">
        <v>4559</v>
      </c>
      <c r="I830" s="279" t="s">
        <v>4560</v>
      </c>
      <c r="J830" s="279" t="s">
        <v>4561</v>
      </c>
      <c r="K830" s="279" t="s">
        <v>591</v>
      </c>
      <c r="L830" s="279" t="s">
        <v>592</v>
      </c>
      <c r="M830" s="279" t="s">
        <v>4562</v>
      </c>
      <c r="N830" s="279" t="s">
        <v>594</v>
      </c>
    </row>
    <row r="831" spans="1:14" ht="67.150000000000006">
      <c r="A831" s="268" t="str">
        <f t="shared" si="12"/>
        <v>Problem Solving &amp; Decision Making|Department Head|1</v>
      </c>
      <c r="B831" s="223" t="s">
        <v>558</v>
      </c>
      <c r="C831" s="227" t="s">
        <v>779</v>
      </c>
      <c r="D831" s="226">
        <v>1</v>
      </c>
      <c r="E831" s="227" t="s">
        <v>586</v>
      </c>
      <c r="F831" s="227">
        <v>2</v>
      </c>
      <c r="G831" s="279" t="s">
        <v>4563</v>
      </c>
      <c r="H831" s="279" t="s">
        <v>4564</v>
      </c>
      <c r="I831" s="279" t="s">
        <v>4565</v>
      </c>
      <c r="J831" s="279" t="s">
        <v>4566</v>
      </c>
      <c r="K831" s="279" t="s">
        <v>591</v>
      </c>
      <c r="L831" s="279" t="s">
        <v>592</v>
      </c>
      <c r="M831" s="279" t="s">
        <v>4567</v>
      </c>
      <c r="N831" s="279" t="s">
        <v>594</v>
      </c>
    </row>
    <row r="832" spans="1:14" ht="67.150000000000006">
      <c r="A832" s="268" t="str">
        <f t="shared" si="12"/>
        <v>Problem Solving &amp; Decision Making|Department Head|1</v>
      </c>
      <c r="B832" s="223" t="s">
        <v>558</v>
      </c>
      <c r="C832" s="227" t="s">
        <v>779</v>
      </c>
      <c r="D832" s="226">
        <v>1</v>
      </c>
      <c r="E832" s="227" t="s">
        <v>586</v>
      </c>
      <c r="F832" s="227">
        <v>3</v>
      </c>
      <c r="G832" s="279" t="s">
        <v>4568</v>
      </c>
      <c r="H832" s="279" t="s">
        <v>4569</v>
      </c>
      <c r="I832" s="279" t="s">
        <v>4570</v>
      </c>
      <c r="J832" s="279" t="s">
        <v>4571</v>
      </c>
      <c r="K832" s="279" t="s">
        <v>591</v>
      </c>
      <c r="L832" s="279" t="s">
        <v>592</v>
      </c>
      <c r="M832" s="279" t="s">
        <v>4572</v>
      </c>
      <c r="N832" s="279" t="s">
        <v>622</v>
      </c>
    </row>
    <row r="833" spans="1:14" ht="67.150000000000006">
      <c r="A833" s="268" t="str">
        <f t="shared" si="12"/>
        <v>Problem Solving &amp; Decision Making|Department Head|2</v>
      </c>
      <c r="B833" s="223" t="s">
        <v>558</v>
      </c>
      <c r="C833" s="227" t="s">
        <v>779</v>
      </c>
      <c r="D833" s="227">
        <v>2</v>
      </c>
      <c r="E833" s="227" t="s">
        <v>605</v>
      </c>
      <c r="F833" s="227">
        <v>1</v>
      </c>
      <c r="G833" s="279" t="s">
        <v>4573</v>
      </c>
      <c r="H833" s="279" t="s">
        <v>4574</v>
      </c>
      <c r="I833" s="279" t="s">
        <v>4575</v>
      </c>
      <c r="J833" s="279" t="s">
        <v>4576</v>
      </c>
      <c r="K833" s="279" t="s">
        <v>591</v>
      </c>
      <c r="L833" s="279" t="s">
        <v>592</v>
      </c>
      <c r="M833" s="279" t="s">
        <v>4577</v>
      </c>
      <c r="N833" s="279" t="s">
        <v>611</v>
      </c>
    </row>
    <row r="834" spans="1:14" ht="50.45">
      <c r="A834" s="268" t="str">
        <f t="shared" si="12"/>
        <v>Problem Solving &amp; Decision Making|Department Head|2</v>
      </c>
      <c r="B834" s="223" t="s">
        <v>558</v>
      </c>
      <c r="C834" s="227" t="s">
        <v>779</v>
      </c>
      <c r="D834" s="227">
        <v>2</v>
      </c>
      <c r="E834" s="227" t="s">
        <v>605</v>
      </c>
      <c r="F834" s="227">
        <v>2</v>
      </c>
      <c r="G834" s="279" t="s">
        <v>4578</v>
      </c>
      <c r="H834" s="279" t="s">
        <v>4579</v>
      </c>
      <c r="I834" s="279" t="s">
        <v>4580</v>
      </c>
      <c r="J834" s="279" t="s">
        <v>4581</v>
      </c>
      <c r="K834" s="279" t="s">
        <v>591</v>
      </c>
      <c r="L834" s="279" t="s">
        <v>592</v>
      </c>
      <c r="M834" s="279" t="s">
        <v>4582</v>
      </c>
      <c r="N834" s="279" t="s">
        <v>622</v>
      </c>
    </row>
    <row r="835" spans="1:14" ht="67.150000000000006">
      <c r="A835" s="268" t="str">
        <f t="shared" ref="A835:A898" si="13">B835 &amp; "|" &amp; C835 &amp; "|" &amp; D835</f>
        <v>Problem Solving &amp; Decision Making|Department Head|2</v>
      </c>
      <c r="B835" s="223" t="s">
        <v>558</v>
      </c>
      <c r="C835" s="227" t="s">
        <v>779</v>
      </c>
      <c r="D835" s="227">
        <v>2</v>
      </c>
      <c r="E835" s="227" t="s">
        <v>605</v>
      </c>
      <c r="F835" s="227">
        <v>3</v>
      </c>
      <c r="G835" s="279" t="s">
        <v>4583</v>
      </c>
      <c r="H835" s="279" t="s">
        <v>4584</v>
      </c>
      <c r="I835" s="279" t="s">
        <v>4585</v>
      </c>
      <c r="J835" s="279" t="s">
        <v>4586</v>
      </c>
      <c r="K835" s="279" t="s">
        <v>591</v>
      </c>
      <c r="L835" s="279" t="s">
        <v>592</v>
      </c>
      <c r="M835" s="279" t="s">
        <v>4587</v>
      </c>
      <c r="N835" s="279" t="s">
        <v>622</v>
      </c>
    </row>
    <row r="836" spans="1:14" ht="84">
      <c r="A836" s="268" t="str">
        <f t="shared" si="13"/>
        <v>Problem Solving &amp; Decision Making|Department Head|3</v>
      </c>
      <c r="B836" s="223" t="s">
        <v>558</v>
      </c>
      <c r="C836" s="227" t="s">
        <v>779</v>
      </c>
      <c r="D836" s="227">
        <v>3</v>
      </c>
      <c r="E836" s="227" t="s">
        <v>623</v>
      </c>
      <c r="F836" s="227">
        <v>1</v>
      </c>
      <c r="G836" s="279" t="s">
        <v>4588</v>
      </c>
      <c r="H836" s="279" t="s">
        <v>4589</v>
      </c>
      <c r="I836" s="279" t="s">
        <v>4590</v>
      </c>
      <c r="J836" s="279" t="s">
        <v>4591</v>
      </c>
      <c r="K836" s="279" t="s">
        <v>591</v>
      </c>
      <c r="L836" s="279" t="s">
        <v>592</v>
      </c>
      <c r="M836" s="279" t="s">
        <v>4592</v>
      </c>
      <c r="N836" s="279" t="s">
        <v>594</v>
      </c>
    </row>
    <row r="837" spans="1:14" ht="67.150000000000006">
      <c r="A837" s="268" t="str">
        <f t="shared" si="13"/>
        <v>Problem Solving &amp; Decision Making|Department Head|3</v>
      </c>
      <c r="B837" s="223" t="s">
        <v>558</v>
      </c>
      <c r="C837" s="227" t="s">
        <v>779</v>
      </c>
      <c r="D837" s="227">
        <v>3</v>
      </c>
      <c r="E837" s="227" t="s">
        <v>623</v>
      </c>
      <c r="F837" s="227">
        <v>2</v>
      </c>
      <c r="G837" s="279" t="s">
        <v>4593</v>
      </c>
      <c r="H837" s="279" t="s">
        <v>4594</v>
      </c>
      <c r="I837" s="279" t="s">
        <v>4595</v>
      </c>
      <c r="J837" s="279" t="s">
        <v>4596</v>
      </c>
      <c r="K837" s="279" t="s">
        <v>591</v>
      </c>
      <c r="L837" s="279" t="s">
        <v>592</v>
      </c>
      <c r="M837" s="279" t="s">
        <v>4597</v>
      </c>
      <c r="N837" s="279" t="s">
        <v>4598</v>
      </c>
    </row>
    <row r="838" spans="1:14" ht="100.9">
      <c r="A838" s="268" t="str">
        <f t="shared" si="13"/>
        <v>Problem Solving &amp; Decision Making|Department Head|3</v>
      </c>
      <c r="B838" s="223" t="s">
        <v>558</v>
      </c>
      <c r="C838" s="227" t="s">
        <v>779</v>
      </c>
      <c r="D838" s="227">
        <v>3</v>
      </c>
      <c r="E838" s="227" t="s">
        <v>623</v>
      </c>
      <c r="F838" s="227">
        <v>3</v>
      </c>
      <c r="G838" s="279" t="s">
        <v>4599</v>
      </c>
      <c r="H838" s="279" t="s">
        <v>4600</v>
      </c>
      <c r="I838" s="279" t="s">
        <v>4601</v>
      </c>
      <c r="J838" s="279" t="s">
        <v>1008</v>
      </c>
      <c r="K838" s="279" t="s">
        <v>591</v>
      </c>
      <c r="L838" s="279" t="s">
        <v>592</v>
      </c>
      <c r="M838" s="279" t="s">
        <v>4602</v>
      </c>
      <c r="N838" s="279" t="s">
        <v>640</v>
      </c>
    </row>
    <row r="839" spans="1:14" ht="67.150000000000006">
      <c r="A839" s="268" t="str">
        <f t="shared" si="13"/>
        <v>Problem Solving &amp; Decision Making|Department Head|4</v>
      </c>
      <c r="B839" s="223" t="s">
        <v>558</v>
      </c>
      <c r="C839" s="227" t="s">
        <v>779</v>
      </c>
      <c r="D839" s="227">
        <v>4</v>
      </c>
      <c r="E839" s="227" t="s">
        <v>641</v>
      </c>
      <c r="F839" s="227">
        <v>1</v>
      </c>
      <c r="G839" s="279" t="s">
        <v>4603</v>
      </c>
      <c r="H839" s="279" t="s">
        <v>4604</v>
      </c>
      <c r="I839" s="279" t="s">
        <v>4605</v>
      </c>
      <c r="J839" s="279" t="s">
        <v>4606</v>
      </c>
      <c r="K839" s="279" t="s">
        <v>591</v>
      </c>
      <c r="L839" s="279" t="s">
        <v>592</v>
      </c>
      <c r="M839" s="279" t="s">
        <v>4607</v>
      </c>
      <c r="N839" s="279" t="s">
        <v>622</v>
      </c>
    </row>
    <row r="840" spans="1:14" ht="67.150000000000006">
      <c r="A840" s="268" t="str">
        <f t="shared" si="13"/>
        <v>Problem Solving &amp; Decision Making|Department Head|4</v>
      </c>
      <c r="B840" s="223" t="s">
        <v>558</v>
      </c>
      <c r="C840" s="227" t="s">
        <v>779</v>
      </c>
      <c r="D840" s="227">
        <v>4</v>
      </c>
      <c r="E840" s="227" t="s">
        <v>641</v>
      </c>
      <c r="F840" s="227">
        <v>2</v>
      </c>
      <c r="G840" s="279" t="s">
        <v>4608</v>
      </c>
      <c r="H840" s="279" t="s">
        <v>4609</v>
      </c>
      <c r="I840" s="279" t="s">
        <v>4610</v>
      </c>
      <c r="J840" s="279" t="s">
        <v>4611</v>
      </c>
      <c r="K840" s="279" t="s">
        <v>591</v>
      </c>
      <c r="L840" s="279" t="s">
        <v>592</v>
      </c>
      <c r="M840" s="279" t="s">
        <v>4612</v>
      </c>
      <c r="N840" s="279" t="s">
        <v>622</v>
      </c>
    </row>
    <row r="841" spans="1:14" ht="67.150000000000006">
      <c r="A841" s="268" t="str">
        <f t="shared" si="13"/>
        <v>Problem Solving &amp; Decision Making|Department Head|4</v>
      </c>
      <c r="B841" s="223" t="s">
        <v>558</v>
      </c>
      <c r="C841" s="227" t="s">
        <v>779</v>
      </c>
      <c r="D841" s="227">
        <v>4</v>
      </c>
      <c r="E841" s="227" t="s">
        <v>641</v>
      </c>
      <c r="F841" s="227">
        <v>3</v>
      </c>
      <c r="G841" s="279" t="s">
        <v>4613</v>
      </c>
      <c r="H841" s="279" t="s">
        <v>4614</v>
      </c>
      <c r="I841" s="279" t="s">
        <v>4615</v>
      </c>
      <c r="J841" s="279" t="s">
        <v>4616</v>
      </c>
      <c r="K841" s="279" t="s">
        <v>591</v>
      </c>
      <c r="L841" s="279" t="s">
        <v>592</v>
      </c>
      <c r="M841" s="279" t="s">
        <v>4617</v>
      </c>
      <c r="N841" s="279" t="s">
        <v>1928</v>
      </c>
    </row>
    <row r="842" spans="1:14" ht="67.150000000000006">
      <c r="A842" s="268" t="str">
        <f t="shared" si="13"/>
        <v>Problem Solving &amp; Decision Making|Division Head|1</v>
      </c>
      <c r="B842" s="223" t="s">
        <v>558</v>
      </c>
      <c r="C842" s="227" t="s">
        <v>838</v>
      </c>
      <c r="D842" s="226">
        <v>1</v>
      </c>
      <c r="E842" s="227" t="s">
        <v>586</v>
      </c>
      <c r="F842" s="227">
        <v>1</v>
      </c>
      <c r="G842" s="279" t="s">
        <v>4618</v>
      </c>
      <c r="H842" s="279" t="s">
        <v>4619</v>
      </c>
      <c r="I842" s="279" t="s">
        <v>4620</v>
      </c>
      <c r="J842" s="279" t="s">
        <v>4621</v>
      </c>
      <c r="K842" s="279" t="s">
        <v>591</v>
      </c>
      <c r="L842" s="279" t="s">
        <v>592</v>
      </c>
      <c r="M842" s="279" t="s">
        <v>4622</v>
      </c>
      <c r="N842" s="279" t="s">
        <v>594</v>
      </c>
    </row>
    <row r="843" spans="1:14" ht="50.45">
      <c r="A843" s="268" t="str">
        <f t="shared" si="13"/>
        <v>Problem Solving &amp; Decision Making|Division Head|1</v>
      </c>
      <c r="B843" s="223" t="s">
        <v>558</v>
      </c>
      <c r="C843" s="227" t="s">
        <v>838</v>
      </c>
      <c r="D843" s="226">
        <v>1</v>
      </c>
      <c r="E843" s="227" t="s">
        <v>586</v>
      </c>
      <c r="F843" s="227">
        <v>2</v>
      </c>
      <c r="G843" s="279" t="s">
        <v>1886</v>
      </c>
      <c r="H843" s="279" t="s">
        <v>4623</v>
      </c>
      <c r="I843" s="279" t="s">
        <v>4624</v>
      </c>
      <c r="J843" s="279" t="s">
        <v>4625</v>
      </c>
      <c r="K843" s="279" t="s">
        <v>591</v>
      </c>
      <c r="L843" s="279" t="s">
        <v>592</v>
      </c>
      <c r="M843" s="279" t="s">
        <v>4626</v>
      </c>
      <c r="N843" s="279" t="s">
        <v>594</v>
      </c>
    </row>
    <row r="844" spans="1:14" ht="50.45">
      <c r="A844" s="268" t="str">
        <f t="shared" si="13"/>
        <v>Problem Solving &amp; Decision Making|Division Head|1</v>
      </c>
      <c r="B844" s="223" t="s">
        <v>558</v>
      </c>
      <c r="C844" s="227" t="s">
        <v>838</v>
      </c>
      <c r="D844" s="226">
        <v>1</v>
      </c>
      <c r="E844" s="227" t="s">
        <v>586</v>
      </c>
      <c r="F844" s="227">
        <v>3</v>
      </c>
      <c r="G844" s="279" t="s">
        <v>4627</v>
      </c>
      <c r="H844" s="279" t="s">
        <v>4628</v>
      </c>
      <c r="I844" s="279" t="s">
        <v>4629</v>
      </c>
      <c r="J844" s="279" t="s">
        <v>4630</v>
      </c>
      <c r="K844" s="279" t="s">
        <v>591</v>
      </c>
      <c r="L844" s="279" t="s">
        <v>592</v>
      </c>
      <c r="M844" s="279" t="s">
        <v>4631</v>
      </c>
      <c r="N844" s="279" t="s">
        <v>594</v>
      </c>
    </row>
    <row r="845" spans="1:14" ht="67.150000000000006">
      <c r="A845" s="268" t="str">
        <f t="shared" si="13"/>
        <v>Problem Solving &amp; Decision Making|Division Head|2</v>
      </c>
      <c r="B845" s="223" t="s">
        <v>558</v>
      </c>
      <c r="C845" s="227" t="s">
        <v>838</v>
      </c>
      <c r="D845" s="227">
        <v>2</v>
      </c>
      <c r="E845" s="227" t="s">
        <v>605</v>
      </c>
      <c r="F845" s="227">
        <v>1</v>
      </c>
      <c r="G845" s="279" t="s">
        <v>4632</v>
      </c>
      <c r="H845" s="279" t="s">
        <v>4633</v>
      </c>
      <c r="I845" s="279" t="s">
        <v>4634</v>
      </c>
      <c r="J845" s="279" t="s">
        <v>4635</v>
      </c>
      <c r="K845" s="279" t="s">
        <v>591</v>
      </c>
      <c r="L845" s="279" t="s">
        <v>592</v>
      </c>
      <c r="M845" s="279" t="s">
        <v>4636</v>
      </c>
      <c r="N845" s="279" t="s">
        <v>611</v>
      </c>
    </row>
    <row r="846" spans="1:14" ht="50.45">
      <c r="A846" s="268" t="str">
        <f t="shared" si="13"/>
        <v>Problem Solving &amp; Decision Making|Division Head|2</v>
      </c>
      <c r="B846" s="223" t="s">
        <v>558</v>
      </c>
      <c r="C846" s="227" t="s">
        <v>838</v>
      </c>
      <c r="D846" s="227">
        <v>2</v>
      </c>
      <c r="E846" s="227" t="s">
        <v>605</v>
      </c>
      <c r="F846" s="227">
        <v>2</v>
      </c>
      <c r="G846" s="279" t="s">
        <v>4637</v>
      </c>
      <c r="H846" s="279" t="s">
        <v>4638</v>
      </c>
      <c r="I846" s="279" t="s">
        <v>4639</v>
      </c>
      <c r="J846" s="279" t="s">
        <v>4640</v>
      </c>
      <c r="K846" s="279" t="s">
        <v>591</v>
      </c>
      <c r="L846" s="279" t="s">
        <v>592</v>
      </c>
      <c r="M846" s="279" t="s">
        <v>4641</v>
      </c>
      <c r="N846" s="279" t="s">
        <v>622</v>
      </c>
    </row>
    <row r="847" spans="1:14" ht="50.45">
      <c r="A847" s="268" t="str">
        <f t="shared" si="13"/>
        <v>Problem Solving &amp; Decision Making|Division Head|2</v>
      </c>
      <c r="B847" s="223" t="s">
        <v>558</v>
      </c>
      <c r="C847" s="227" t="s">
        <v>838</v>
      </c>
      <c r="D847" s="227">
        <v>2</v>
      </c>
      <c r="E847" s="227" t="s">
        <v>605</v>
      </c>
      <c r="F847" s="227">
        <v>3</v>
      </c>
      <c r="G847" s="279" t="s">
        <v>4642</v>
      </c>
      <c r="H847" s="279" t="s">
        <v>4643</v>
      </c>
      <c r="I847" s="279" t="s">
        <v>4644</v>
      </c>
      <c r="J847" s="279" t="s">
        <v>4645</v>
      </c>
      <c r="K847" s="279" t="s">
        <v>591</v>
      </c>
      <c r="L847" s="279" t="s">
        <v>592</v>
      </c>
      <c r="M847" s="279" t="s">
        <v>4646</v>
      </c>
      <c r="N847" s="279" t="s">
        <v>622</v>
      </c>
    </row>
    <row r="848" spans="1:14" ht="67.150000000000006">
      <c r="A848" s="268" t="str">
        <f t="shared" si="13"/>
        <v>Problem Solving &amp; Decision Making|Division Head|3</v>
      </c>
      <c r="B848" s="223" t="s">
        <v>558</v>
      </c>
      <c r="C848" s="227" t="s">
        <v>838</v>
      </c>
      <c r="D848" s="227">
        <v>3</v>
      </c>
      <c r="E848" s="227" t="s">
        <v>623</v>
      </c>
      <c r="F848" s="227">
        <v>1</v>
      </c>
      <c r="G848" s="279" t="s">
        <v>1910</v>
      </c>
      <c r="H848" s="279" t="s">
        <v>1911</v>
      </c>
      <c r="I848" s="279" t="s">
        <v>4647</v>
      </c>
      <c r="J848" s="279" t="s">
        <v>4648</v>
      </c>
      <c r="K848" s="279" t="s">
        <v>591</v>
      </c>
      <c r="L848" s="279" t="s">
        <v>592</v>
      </c>
      <c r="M848" s="279" t="s">
        <v>2955</v>
      </c>
      <c r="N848" s="279" t="s">
        <v>594</v>
      </c>
    </row>
    <row r="849" spans="1:14" ht="50.45">
      <c r="A849" s="268" t="str">
        <f t="shared" si="13"/>
        <v>Problem Solving &amp; Decision Making|Division Head|3</v>
      </c>
      <c r="B849" s="223" t="s">
        <v>558</v>
      </c>
      <c r="C849" s="227" t="s">
        <v>838</v>
      </c>
      <c r="D849" s="227">
        <v>3</v>
      </c>
      <c r="E849" s="227" t="s">
        <v>623</v>
      </c>
      <c r="F849" s="227">
        <v>2</v>
      </c>
      <c r="G849" s="279" t="s">
        <v>4649</v>
      </c>
      <c r="H849" s="279" t="s">
        <v>4650</v>
      </c>
      <c r="I849" s="279" t="s">
        <v>4651</v>
      </c>
      <c r="J849" s="279" t="s">
        <v>817</v>
      </c>
      <c r="K849" s="279" t="s">
        <v>591</v>
      </c>
      <c r="L849" s="279" t="s">
        <v>592</v>
      </c>
      <c r="M849" s="279" t="s">
        <v>4652</v>
      </c>
      <c r="N849" s="279" t="s">
        <v>622</v>
      </c>
    </row>
    <row r="850" spans="1:14" ht="67.150000000000006">
      <c r="A850" s="268" t="str">
        <f t="shared" si="13"/>
        <v>Problem Solving &amp; Decision Making|Division Head|3</v>
      </c>
      <c r="B850" s="223" t="s">
        <v>558</v>
      </c>
      <c r="C850" s="227" t="s">
        <v>838</v>
      </c>
      <c r="D850" s="227">
        <v>3</v>
      </c>
      <c r="E850" s="227" t="s">
        <v>623</v>
      </c>
      <c r="F850" s="227">
        <v>3</v>
      </c>
      <c r="G850" s="279" t="s">
        <v>1919</v>
      </c>
      <c r="H850" s="279" t="s">
        <v>1920</v>
      </c>
      <c r="I850" s="279" t="s">
        <v>4653</v>
      </c>
      <c r="J850" s="279" t="s">
        <v>1008</v>
      </c>
      <c r="K850" s="279" t="s">
        <v>591</v>
      </c>
      <c r="L850" s="279" t="s">
        <v>592</v>
      </c>
      <c r="M850" s="279" t="s">
        <v>4654</v>
      </c>
      <c r="N850" s="279" t="s">
        <v>640</v>
      </c>
    </row>
    <row r="851" spans="1:14" ht="67.150000000000006">
      <c r="A851" s="268" t="str">
        <f t="shared" si="13"/>
        <v>Problem Solving &amp; Decision Making|Division Head|4</v>
      </c>
      <c r="B851" s="223" t="s">
        <v>558</v>
      </c>
      <c r="C851" s="227" t="s">
        <v>838</v>
      </c>
      <c r="D851" s="227">
        <v>4</v>
      </c>
      <c r="E851" s="227" t="s">
        <v>641</v>
      </c>
      <c r="F851" s="227">
        <v>1</v>
      </c>
      <c r="G851" s="279" t="s">
        <v>4655</v>
      </c>
      <c r="H851" s="279" t="s">
        <v>4656</v>
      </c>
      <c r="I851" s="279" t="s">
        <v>4657</v>
      </c>
      <c r="J851" s="279" t="s">
        <v>4658</v>
      </c>
      <c r="K851" s="279" t="s">
        <v>591</v>
      </c>
      <c r="L851" s="279" t="s">
        <v>592</v>
      </c>
      <c r="M851" s="279" t="s">
        <v>4659</v>
      </c>
      <c r="N851" s="279" t="s">
        <v>1928</v>
      </c>
    </row>
    <row r="852" spans="1:14" ht="50.45">
      <c r="A852" s="268" t="str">
        <f t="shared" si="13"/>
        <v>Problem Solving &amp; Decision Making|Division Head|4</v>
      </c>
      <c r="B852" s="223" t="s">
        <v>558</v>
      </c>
      <c r="C852" s="227" t="s">
        <v>838</v>
      </c>
      <c r="D852" s="227">
        <v>4</v>
      </c>
      <c r="E852" s="227" t="s">
        <v>641</v>
      </c>
      <c r="F852" s="227">
        <v>2</v>
      </c>
      <c r="G852" s="279" t="s">
        <v>4660</v>
      </c>
      <c r="H852" s="279" t="s">
        <v>4661</v>
      </c>
      <c r="I852" s="279" t="s">
        <v>4662</v>
      </c>
      <c r="J852" s="279" t="s">
        <v>4663</v>
      </c>
      <c r="K852" s="279" t="s">
        <v>591</v>
      </c>
      <c r="L852" s="279" t="s">
        <v>592</v>
      </c>
      <c r="M852" s="279" t="s">
        <v>4664</v>
      </c>
      <c r="N852" s="279" t="s">
        <v>622</v>
      </c>
    </row>
    <row r="853" spans="1:14" ht="67.150000000000006">
      <c r="A853" s="268" t="str">
        <f t="shared" si="13"/>
        <v>Problem Solving &amp; Decision Making|Division Head|4</v>
      </c>
      <c r="B853" s="223" t="s">
        <v>558</v>
      </c>
      <c r="C853" s="227" t="s">
        <v>838</v>
      </c>
      <c r="D853" s="227">
        <v>4</v>
      </c>
      <c r="E853" s="227" t="s">
        <v>641</v>
      </c>
      <c r="F853" s="227">
        <v>3</v>
      </c>
      <c r="G853" s="279" t="s">
        <v>4665</v>
      </c>
      <c r="H853" s="279" t="s">
        <v>4666</v>
      </c>
      <c r="I853" s="279" t="s">
        <v>4667</v>
      </c>
      <c r="J853" s="279" t="s">
        <v>4668</v>
      </c>
      <c r="K853" s="279" t="s">
        <v>591</v>
      </c>
      <c r="L853" s="279" t="s">
        <v>592</v>
      </c>
      <c r="M853" s="279" t="s">
        <v>4669</v>
      </c>
      <c r="N853" s="279" t="s">
        <v>622</v>
      </c>
    </row>
    <row r="854" spans="1:14" ht="67.150000000000006">
      <c r="A854" s="268" t="str">
        <f t="shared" si="13"/>
        <v>Problem Solving &amp; Decision Making|Director|1</v>
      </c>
      <c r="B854" s="223" t="s">
        <v>558</v>
      </c>
      <c r="C854" s="227" t="s">
        <v>898</v>
      </c>
      <c r="D854" s="226">
        <v>1</v>
      </c>
      <c r="E854" s="227" t="s">
        <v>586</v>
      </c>
      <c r="F854" s="227">
        <v>1</v>
      </c>
      <c r="G854" s="279" t="s">
        <v>1204</v>
      </c>
      <c r="H854" s="279" t="s">
        <v>1205</v>
      </c>
      <c r="I854" s="279" t="s">
        <v>4670</v>
      </c>
      <c r="J854" s="279" t="s">
        <v>4671</v>
      </c>
      <c r="K854" s="279" t="s">
        <v>591</v>
      </c>
      <c r="L854" s="279" t="s">
        <v>592</v>
      </c>
      <c r="M854" s="279" t="s">
        <v>4672</v>
      </c>
      <c r="N854" s="279" t="s">
        <v>594</v>
      </c>
    </row>
    <row r="855" spans="1:14" ht="67.150000000000006">
      <c r="A855" s="268" t="str">
        <f t="shared" si="13"/>
        <v>Problem Solving &amp; Decision Making|Director|1</v>
      </c>
      <c r="B855" s="223" t="s">
        <v>558</v>
      </c>
      <c r="C855" s="227" t="s">
        <v>898</v>
      </c>
      <c r="D855" s="226">
        <v>1</v>
      </c>
      <c r="E855" s="227" t="s">
        <v>586</v>
      </c>
      <c r="F855" s="227">
        <v>2</v>
      </c>
      <c r="G855" s="279" t="s">
        <v>1209</v>
      </c>
      <c r="H855" s="279" t="s">
        <v>1210</v>
      </c>
      <c r="I855" s="279" t="s">
        <v>4673</v>
      </c>
      <c r="J855" s="279" t="s">
        <v>4674</v>
      </c>
      <c r="K855" s="279" t="s">
        <v>591</v>
      </c>
      <c r="L855" s="279" t="s">
        <v>592</v>
      </c>
      <c r="M855" s="279" t="s">
        <v>4675</v>
      </c>
      <c r="N855" s="279" t="s">
        <v>594</v>
      </c>
    </row>
    <row r="856" spans="1:14" ht="50.45">
      <c r="A856" s="268" t="str">
        <f t="shared" si="13"/>
        <v>Problem Solving &amp; Decision Making|Director|1</v>
      </c>
      <c r="B856" s="223" t="s">
        <v>558</v>
      </c>
      <c r="C856" s="227" t="s">
        <v>898</v>
      </c>
      <c r="D856" s="226">
        <v>1</v>
      </c>
      <c r="E856" s="227" t="s">
        <v>586</v>
      </c>
      <c r="F856" s="227">
        <v>3</v>
      </c>
      <c r="G856" s="279" t="s">
        <v>1214</v>
      </c>
      <c r="H856" s="279" t="s">
        <v>4676</v>
      </c>
      <c r="I856" s="279" t="s">
        <v>4677</v>
      </c>
      <c r="J856" s="279" t="s">
        <v>4678</v>
      </c>
      <c r="K856" s="279" t="s">
        <v>591</v>
      </c>
      <c r="L856" s="279" t="s">
        <v>592</v>
      </c>
      <c r="M856" s="279" t="s">
        <v>4679</v>
      </c>
      <c r="N856" s="279" t="s">
        <v>916</v>
      </c>
    </row>
    <row r="857" spans="1:14" ht="67.150000000000006">
      <c r="A857" s="268" t="str">
        <f t="shared" si="13"/>
        <v>Problem Solving &amp; Decision Making|Director|2</v>
      </c>
      <c r="B857" s="223" t="s">
        <v>558</v>
      </c>
      <c r="C857" s="227" t="s">
        <v>898</v>
      </c>
      <c r="D857" s="227">
        <v>2</v>
      </c>
      <c r="E857" s="227" t="s">
        <v>605</v>
      </c>
      <c r="F857" s="227">
        <v>1</v>
      </c>
      <c r="G857" s="279" t="s">
        <v>1267</v>
      </c>
      <c r="H857" s="279" t="s">
        <v>1220</v>
      </c>
      <c r="I857" s="279" t="s">
        <v>4680</v>
      </c>
      <c r="J857" s="279" t="s">
        <v>4681</v>
      </c>
      <c r="K857" s="279" t="s">
        <v>591</v>
      </c>
      <c r="L857" s="279" t="s">
        <v>592</v>
      </c>
      <c r="M857" s="279" t="s">
        <v>4682</v>
      </c>
      <c r="N857" s="279" t="s">
        <v>922</v>
      </c>
    </row>
    <row r="858" spans="1:14" ht="67.150000000000006">
      <c r="A858" s="268" t="str">
        <f t="shared" si="13"/>
        <v>Problem Solving &amp; Decision Making|Director|2</v>
      </c>
      <c r="B858" s="223" t="s">
        <v>558</v>
      </c>
      <c r="C858" s="227" t="s">
        <v>898</v>
      </c>
      <c r="D858" s="227">
        <v>2</v>
      </c>
      <c r="E858" s="227" t="s">
        <v>605</v>
      </c>
      <c r="F858" s="227">
        <v>2</v>
      </c>
      <c r="G858" s="279" t="s">
        <v>4683</v>
      </c>
      <c r="H858" s="279" t="s">
        <v>4684</v>
      </c>
      <c r="I858" s="279" t="s">
        <v>4685</v>
      </c>
      <c r="J858" s="279" t="s">
        <v>4686</v>
      </c>
      <c r="K858" s="279" t="s">
        <v>591</v>
      </c>
      <c r="L858" s="279" t="s">
        <v>592</v>
      </c>
      <c r="M858" s="279" t="s">
        <v>4687</v>
      </c>
      <c r="N858" s="279" t="s">
        <v>1229</v>
      </c>
    </row>
    <row r="859" spans="1:14" ht="67.150000000000006">
      <c r="A859" s="268" t="str">
        <f t="shared" si="13"/>
        <v>Problem Solving &amp; Decision Making|Director|2</v>
      </c>
      <c r="B859" s="223" t="s">
        <v>558</v>
      </c>
      <c r="C859" s="227" t="s">
        <v>898</v>
      </c>
      <c r="D859" s="227">
        <v>2</v>
      </c>
      <c r="E859" s="227" t="s">
        <v>605</v>
      </c>
      <c r="F859" s="227">
        <v>3</v>
      </c>
      <c r="G859" s="279" t="s">
        <v>1230</v>
      </c>
      <c r="H859" s="279" t="s">
        <v>4688</v>
      </c>
      <c r="I859" s="279" t="s">
        <v>4689</v>
      </c>
      <c r="J859" s="279" t="s">
        <v>4690</v>
      </c>
      <c r="K859" s="279" t="s">
        <v>591</v>
      </c>
      <c r="L859" s="279" t="s">
        <v>592</v>
      </c>
      <c r="M859" s="279" t="s">
        <v>4691</v>
      </c>
      <c r="N859" s="279" t="s">
        <v>916</v>
      </c>
    </row>
    <row r="860" spans="1:14" ht="67.150000000000006">
      <c r="A860" s="268" t="str">
        <f t="shared" si="13"/>
        <v>Problem Solving &amp; Decision Making|Director|3</v>
      </c>
      <c r="B860" s="223" t="s">
        <v>558</v>
      </c>
      <c r="C860" s="227" t="s">
        <v>898</v>
      </c>
      <c r="D860" s="227">
        <v>3</v>
      </c>
      <c r="E860" s="227" t="s">
        <v>623</v>
      </c>
      <c r="F860" s="227">
        <v>1</v>
      </c>
      <c r="G860" s="279" t="s">
        <v>1235</v>
      </c>
      <c r="H860" s="279" t="s">
        <v>4692</v>
      </c>
      <c r="I860" s="279" t="s">
        <v>4693</v>
      </c>
      <c r="J860" s="279" t="s">
        <v>4694</v>
      </c>
      <c r="K860" s="279" t="s">
        <v>591</v>
      </c>
      <c r="L860" s="279" t="s">
        <v>592</v>
      </c>
      <c r="M860" s="279" t="s">
        <v>2955</v>
      </c>
      <c r="N860" s="279" t="s">
        <v>594</v>
      </c>
    </row>
    <row r="861" spans="1:14" ht="50.45">
      <c r="A861" s="268" t="str">
        <f t="shared" si="13"/>
        <v>Problem Solving &amp; Decision Making|Director|3</v>
      </c>
      <c r="B861" s="223" t="s">
        <v>558</v>
      </c>
      <c r="C861" s="227" t="s">
        <v>898</v>
      </c>
      <c r="D861" s="227">
        <v>3</v>
      </c>
      <c r="E861" s="227" t="s">
        <v>623</v>
      </c>
      <c r="F861" s="227">
        <v>2</v>
      </c>
      <c r="G861" s="279" t="s">
        <v>1240</v>
      </c>
      <c r="H861" s="279" t="s">
        <v>1241</v>
      </c>
      <c r="I861" s="279" t="s">
        <v>4695</v>
      </c>
      <c r="J861" s="279" t="s">
        <v>4696</v>
      </c>
      <c r="K861" s="279" t="s">
        <v>591</v>
      </c>
      <c r="L861" s="279" t="s">
        <v>592</v>
      </c>
      <c r="M861" s="279" t="s">
        <v>4697</v>
      </c>
      <c r="N861" s="279" t="s">
        <v>1245</v>
      </c>
    </row>
    <row r="862" spans="1:14" ht="84">
      <c r="A862" s="268" t="str">
        <f t="shared" si="13"/>
        <v>Problem Solving &amp; Decision Making|Director|3</v>
      </c>
      <c r="B862" s="223" t="s">
        <v>558</v>
      </c>
      <c r="C862" s="227" t="s">
        <v>898</v>
      </c>
      <c r="D862" s="227">
        <v>3</v>
      </c>
      <c r="E862" s="227" t="s">
        <v>623</v>
      </c>
      <c r="F862" s="227">
        <v>3</v>
      </c>
      <c r="G862" s="279" t="s">
        <v>1246</v>
      </c>
      <c r="H862" s="279" t="s">
        <v>1247</v>
      </c>
      <c r="I862" s="279" t="s">
        <v>4698</v>
      </c>
      <c r="J862" s="279" t="s">
        <v>4699</v>
      </c>
      <c r="K862" s="279" t="s">
        <v>591</v>
      </c>
      <c r="L862" s="279" t="s">
        <v>592</v>
      </c>
      <c r="M862" s="279" t="s">
        <v>4700</v>
      </c>
      <c r="N862" s="279" t="s">
        <v>640</v>
      </c>
    </row>
    <row r="863" spans="1:14" ht="67.150000000000006">
      <c r="A863" s="268" t="str">
        <f t="shared" si="13"/>
        <v>Problem Solving &amp; Decision Making|Director|4</v>
      </c>
      <c r="B863" s="223" t="s">
        <v>558</v>
      </c>
      <c r="C863" s="227" t="s">
        <v>898</v>
      </c>
      <c r="D863" s="227">
        <v>4</v>
      </c>
      <c r="E863" s="227" t="s">
        <v>641</v>
      </c>
      <c r="F863" s="227">
        <v>1</v>
      </c>
      <c r="G863" s="279" t="s">
        <v>4701</v>
      </c>
      <c r="H863" s="279" t="s">
        <v>4702</v>
      </c>
      <c r="I863" s="279" t="s">
        <v>4703</v>
      </c>
      <c r="J863" s="279" t="s">
        <v>4704</v>
      </c>
      <c r="K863" s="279" t="s">
        <v>591</v>
      </c>
      <c r="L863" s="279" t="s">
        <v>592</v>
      </c>
      <c r="M863" s="279" t="s">
        <v>4705</v>
      </c>
      <c r="N863" s="279" t="s">
        <v>4706</v>
      </c>
    </row>
    <row r="864" spans="1:14" ht="84">
      <c r="A864" s="268" t="str">
        <f t="shared" si="13"/>
        <v>Problem Solving &amp; Decision Making|Director|4</v>
      </c>
      <c r="B864" s="223" t="s">
        <v>558</v>
      </c>
      <c r="C864" s="227" t="s">
        <v>898</v>
      </c>
      <c r="D864" s="227">
        <v>4</v>
      </c>
      <c r="E864" s="227" t="s">
        <v>641</v>
      </c>
      <c r="F864" s="227">
        <v>2</v>
      </c>
      <c r="G864" s="279" t="s">
        <v>4707</v>
      </c>
      <c r="H864" s="279" t="s">
        <v>4708</v>
      </c>
      <c r="I864" s="279" t="s">
        <v>4709</v>
      </c>
      <c r="J864" s="279" t="s">
        <v>4710</v>
      </c>
      <c r="K864" s="279" t="s">
        <v>591</v>
      </c>
      <c r="L864" s="279" t="s">
        <v>592</v>
      </c>
      <c r="M864" s="279" t="s">
        <v>4711</v>
      </c>
      <c r="N864" s="279" t="s">
        <v>4712</v>
      </c>
    </row>
    <row r="865" spans="1:14" ht="50.45">
      <c r="A865" s="268" t="str">
        <f t="shared" si="13"/>
        <v>Problem Solving &amp; Decision Making|Director|4</v>
      </c>
      <c r="B865" s="223" t="s">
        <v>558</v>
      </c>
      <c r="C865" s="227" t="s">
        <v>898</v>
      </c>
      <c r="D865" s="227">
        <v>4</v>
      </c>
      <c r="E865" s="227" t="s">
        <v>641</v>
      </c>
      <c r="F865" s="227">
        <v>3</v>
      </c>
      <c r="G865" s="279" t="s">
        <v>1262</v>
      </c>
      <c r="H865" s="279" t="s">
        <v>4713</v>
      </c>
      <c r="I865" s="279" t="s">
        <v>4714</v>
      </c>
      <c r="J865" s="279" t="s">
        <v>4715</v>
      </c>
      <c r="K865" s="279" t="s">
        <v>591</v>
      </c>
      <c r="L865" s="279" t="s">
        <v>592</v>
      </c>
      <c r="M865" s="279" t="s">
        <v>4716</v>
      </c>
      <c r="N865" s="279" t="s">
        <v>916</v>
      </c>
    </row>
    <row r="866" spans="1:14" ht="84">
      <c r="A866" s="268" t="str">
        <f t="shared" si="13"/>
        <v>Strategic Thinking|Officer|1</v>
      </c>
      <c r="B866" s="223" t="s">
        <v>562</v>
      </c>
      <c r="C866" s="197" t="s">
        <v>4</v>
      </c>
      <c r="D866" s="197">
        <v>1</v>
      </c>
      <c r="E866" s="79" t="s">
        <v>586</v>
      </c>
      <c r="F866" s="79">
        <v>1</v>
      </c>
      <c r="G866" s="276" t="s">
        <v>4717</v>
      </c>
      <c r="H866" s="276" t="s">
        <v>4718</v>
      </c>
      <c r="I866" s="276" t="s">
        <v>4719</v>
      </c>
      <c r="J866" s="276" t="s">
        <v>4720</v>
      </c>
      <c r="K866" s="276" t="s">
        <v>591</v>
      </c>
      <c r="L866" s="276" t="s">
        <v>592</v>
      </c>
      <c r="M866" s="276" t="s">
        <v>4721</v>
      </c>
      <c r="N866" s="276" t="s">
        <v>1568</v>
      </c>
    </row>
    <row r="867" spans="1:14" ht="84">
      <c r="A867" s="268" t="str">
        <f t="shared" si="13"/>
        <v>Strategic Thinking|Officer|1</v>
      </c>
      <c r="B867" s="223" t="s">
        <v>562</v>
      </c>
      <c r="C867" s="197" t="s">
        <v>4</v>
      </c>
      <c r="D867" s="197">
        <v>1</v>
      </c>
      <c r="E867" s="79" t="s">
        <v>586</v>
      </c>
      <c r="F867" s="79">
        <v>2</v>
      </c>
      <c r="G867" s="276" t="s">
        <v>4722</v>
      </c>
      <c r="H867" s="276" t="s">
        <v>4723</v>
      </c>
      <c r="I867" s="276" t="s">
        <v>4724</v>
      </c>
      <c r="J867" s="276" t="s">
        <v>4725</v>
      </c>
      <c r="K867" s="276" t="s">
        <v>591</v>
      </c>
      <c r="L867" s="276" t="s">
        <v>592</v>
      </c>
      <c r="M867" s="276" t="s">
        <v>4726</v>
      </c>
      <c r="N867" s="276" t="s">
        <v>622</v>
      </c>
    </row>
    <row r="868" spans="1:14" ht="67.150000000000006">
      <c r="A868" s="268" t="str">
        <f t="shared" si="13"/>
        <v>Strategic Thinking|Officer|1</v>
      </c>
      <c r="B868" s="223" t="s">
        <v>562</v>
      </c>
      <c r="C868" s="197" t="s">
        <v>4</v>
      </c>
      <c r="D868" s="197">
        <v>1</v>
      </c>
      <c r="E868" s="79" t="s">
        <v>586</v>
      </c>
      <c r="F868" s="79">
        <v>3</v>
      </c>
      <c r="G868" s="276" t="s">
        <v>4727</v>
      </c>
      <c r="H868" s="276" t="s">
        <v>4728</v>
      </c>
      <c r="I868" s="276" t="s">
        <v>4729</v>
      </c>
      <c r="J868" s="276" t="s">
        <v>4730</v>
      </c>
      <c r="K868" s="276" t="s">
        <v>591</v>
      </c>
      <c r="L868" s="276" t="s">
        <v>592</v>
      </c>
      <c r="M868" s="276" t="s">
        <v>4731</v>
      </c>
      <c r="N868" s="276" t="s">
        <v>594</v>
      </c>
    </row>
    <row r="869" spans="1:14" ht="84">
      <c r="A869" s="268" t="str">
        <f t="shared" si="13"/>
        <v>Strategic Thinking|Officer|2</v>
      </c>
      <c r="B869" s="223" t="s">
        <v>562</v>
      </c>
      <c r="C869" s="197" t="s">
        <v>4</v>
      </c>
      <c r="D869" s="79">
        <v>2</v>
      </c>
      <c r="E869" s="79" t="s">
        <v>605</v>
      </c>
      <c r="F869" s="79">
        <v>1</v>
      </c>
      <c r="G869" s="276" t="s">
        <v>4732</v>
      </c>
      <c r="H869" s="276" t="s">
        <v>4733</v>
      </c>
      <c r="I869" s="276" t="s">
        <v>4734</v>
      </c>
      <c r="J869" s="276" t="s">
        <v>4735</v>
      </c>
      <c r="K869" s="276" t="s">
        <v>591</v>
      </c>
      <c r="L869" s="276" t="s">
        <v>592</v>
      </c>
      <c r="M869" s="276" t="s">
        <v>4736</v>
      </c>
      <c r="N869" s="276" t="s">
        <v>611</v>
      </c>
    </row>
    <row r="870" spans="1:14" ht="67.150000000000006">
      <c r="A870" s="268" t="str">
        <f t="shared" si="13"/>
        <v>Strategic Thinking|Officer|2</v>
      </c>
      <c r="B870" s="223" t="s">
        <v>562</v>
      </c>
      <c r="C870" s="197" t="s">
        <v>4</v>
      </c>
      <c r="D870" s="79">
        <v>2</v>
      </c>
      <c r="E870" s="79" t="s">
        <v>605</v>
      </c>
      <c r="F870" s="79">
        <v>2</v>
      </c>
      <c r="G870" s="276" t="s">
        <v>4737</v>
      </c>
      <c r="H870" s="276" t="s">
        <v>4738</v>
      </c>
      <c r="I870" s="276" t="s">
        <v>4739</v>
      </c>
      <c r="J870" s="276" t="s">
        <v>4740</v>
      </c>
      <c r="K870" s="276" t="s">
        <v>591</v>
      </c>
      <c r="L870" s="276" t="s">
        <v>592</v>
      </c>
      <c r="M870" s="276" t="s">
        <v>4741</v>
      </c>
      <c r="N870" s="276" t="s">
        <v>622</v>
      </c>
    </row>
    <row r="871" spans="1:14" ht="50.45">
      <c r="A871" s="268" t="str">
        <f t="shared" si="13"/>
        <v>Strategic Thinking|Officer|2</v>
      </c>
      <c r="B871" s="223" t="s">
        <v>562</v>
      </c>
      <c r="C871" s="197" t="s">
        <v>4</v>
      </c>
      <c r="D871" s="79">
        <v>2</v>
      </c>
      <c r="E871" s="79" t="s">
        <v>605</v>
      </c>
      <c r="F871" s="79">
        <v>3</v>
      </c>
      <c r="G871" s="276" t="s">
        <v>990</v>
      </c>
      <c r="H871" s="276" t="s">
        <v>4742</v>
      </c>
      <c r="I871" s="276" t="s">
        <v>4743</v>
      </c>
      <c r="J871" s="276" t="s">
        <v>4744</v>
      </c>
      <c r="K871" s="276" t="s">
        <v>591</v>
      </c>
      <c r="L871" s="276" t="s">
        <v>592</v>
      </c>
      <c r="M871" s="276" t="s">
        <v>4745</v>
      </c>
      <c r="N871" s="276" t="s">
        <v>594</v>
      </c>
    </row>
    <row r="872" spans="1:14" ht="84">
      <c r="A872" s="268" t="str">
        <f t="shared" si="13"/>
        <v>Strategic Thinking|Officer|3</v>
      </c>
      <c r="B872" s="223" t="s">
        <v>562</v>
      </c>
      <c r="C872" s="197" t="s">
        <v>4</v>
      </c>
      <c r="D872" s="79">
        <v>3</v>
      </c>
      <c r="E872" s="79" t="s">
        <v>623</v>
      </c>
      <c r="F872" s="79">
        <v>1</v>
      </c>
      <c r="G872" s="276" t="s">
        <v>4746</v>
      </c>
      <c r="H872" s="276" t="s">
        <v>4747</v>
      </c>
      <c r="I872" s="276" t="s">
        <v>4748</v>
      </c>
      <c r="J872" s="276" t="s">
        <v>4749</v>
      </c>
      <c r="K872" s="276" t="s">
        <v>591</v>
      </c>
      <c r="L872" s="276" t="s">
        <v>592</v>
      </c>
      <c r="M872" s="276" t="s">
        <v>4750</v>
      </c>
      <c r="N872" s="276" t="s">
        <v>622</v>
      </c>
    </row>
    <row r="873" spans="1:14" ht="84">
      <c r="A873" s="268" t="str">
        <f t="shared" si="13"/>
        <v>Strategic Thinking|Officer|3</v>
      </c>
      <c r="B873" s="223" t="s">
        <v>562</v>
      </c>
      <c r="C873" s="197" t="s">
        <v>4</v>
      </c>
      <c r="D873" s="79">
        <v>3</v>
      </c>
      <c r="E873" s="79" t="s">
        <v>623</v>
      </c>
      <c r="F873" s="79">
        <v>2</v>
      </c>
      <c r="G873" s="276" t="s">
        <v>4751</v>
      </c>
      <c r="H873" s="276" t="s">
        <v>4752</v>
      </c>
      <c r="I873" s="276" t="s">
        <v>4753</v>
      </c>
      <c r="J873" s="276" t="s">
        <v>4754</v>
      </c>
      <c r="K873" s="276" t="s">
        <v>591</v>
      </c>
      <c r="L873" s="276" t="s">
        <v>592</v>
      </c>
      <c r="M873" s="276" t="s">
        <v>4755</v>
      </c>
      <c r="N873" s="276" t="s">
        <v>594</v>
      </c>
    </row>
    <row r="874" spans="1:14" ht="117.6">
      <c r="A874" s="268" t="str">
        <f t="shared" si="13"/>
        <v>Strategic Thinking|Officer|3</v>
      </c>
      <c r="B874" s="223" t="s">
        <v>562</v>
      </c>
      <c r="C874" s="197" t="s">
        <v>4</v>
      </c>
      <c r="D874" s="79">
        <v>3</v>
      </c>
      <c r="E874" s="79" t="s">
        <v>623</v>
      </c>
      <c r="F874" s="79">
        <v>3</v>
      </c>
      <c r="G874" s="276" t="s">
        <v>4756</v>
      </c>
      <c r="H874" s="276" t="s">
        <v>4757</v>
      </c>
      <c r="I874" s="276" t="s">
        <v>4758</v>
      </c>
      <c r="J874" s="276" t="s">
        <v>1008</v>
      </c>
      <c r="K874" s="276" t="s">
        <v>591</v>
      </c>
      <c r="L874" s="276" t="s">
        <v>592</v>
      </c>
      <c r="M874" s="276" t="s">
        <v>4759</v>
      </c>
      <c r="N874" s="276" t="s">
        <v>640</v>
      </c>
    </row>
    <row r="875" spans="1:14" ht="67.150000000000006">
      <c r="A875" s="268" t="str">
        <f t="shared" si="13"/>
        <v>Strategic Thinking|Officer|4</v>
      </c>
      <c r="B875" s="223" t="s">
        <v>562</v>
      </c>
      <c r="C875" s="197" t="s">
        <v>4</v>
      </c>
      <c r="D875" s="79">
        <v>4</v>
      </c>
      <c r="E875" s="79" t="s">
        <v>641</v>
      </c>
      <c r="F875" s="79">
        <v>1</v>
      </c>
      <c r="G875" s="276" t="s">
        <v>4760</v>
      </c>
      <c r="H875" s="276" t="s">
        <v>4761</v>
      </c>
      <c r="I875" s="276" t="s">
        <v>4762</v>
      </c>
      <c r="J875" s="276" t="s">
        <v>4763</v>
      </c>
      <c r="K875" s="276" t="s">
        <v>591</v>
      </c>
      <c r="L875" s="276" t="s">
        <v>592</v>
      </c>
      <c r="M875" s="276" t="s">
        <v>4764</v>
      </c>
      <c r="N875" s="276" t="s">
        <v>622</v>
      </c>
    </row>
    <row r="876" spans="1:14" ht="84">
      <c r="A876" s="268" t="str">
        <f t="shared" si="13"/>
        <v>Strategic Thinking|Officer|4</v>
      </c>
      <c r="B876" s="223" t="s">
        <v>562</v>
      </c>
      <c r="C876" s="197" t="s">
        <v>4</v>
      </c>
      <c r="D876" s="79">
        <v>4</v>
      </c>
      <c r="E876" s="79" t="s">
        <v>641</v>
      </c>
      <c r="F876" s="79">
        <v>2</v>
      </c>
      <c r="G876" s="276" t="s">
        <v>4765</v>
      </c>
      <c r="H876" s="276" t="s">
        <v>4766</v>
      </c>
      <c r="I876" s="276" t="s">
        <v>4767</v>
      </c>
      <c r="J876" s="276" t="s">
        <v>4768</v>
      </c>
      <c r="K876" s="276" t="s">
        <v>591</v>
      </c>
      <c r="L876" s="276" t="s">
        <v>592</v>
      </c>
      <c r="M876" s="276" t="s">
        <v>4769</v>
      </c>
      <c r="N876" s="276" t="s">
        <v>622</v>
      </c>
    </row>
    <row r="877" spans="1:14" ht="84">
      <c r="A877" s="268" t="str">
        <f t="shared" si="13"/>
        <v>Strategic Thinking|Officer|4</v>
      </c>
      <c r="B877" s="223" t="s">
        <v>562</v>
      </c>
      <c r="C877" s="197" t="s">
        <v>4</v>
      </c>
      <c r="D877" s="79">
        <v>4</v>
      </c>
      <c r="E877" s="79" t="s">
        <v>641</v>
      </c>
      <c r="F877" s="79">
        <v>3</v>
      </c>
      <c r="G877" s="276" t="s">
        <v>4770</v>
      </c>
      <c r="H877" s="276" t="s">
        <v>4771</v>
      </c>
      <c r="I877" s="276" t="s">
        <v>4772</v>
      </c>
      <c r="J877" s="276" t="s">
        <v>4773</v>
      </c>
      <c r="K877" s="276" t="s">
        <v>591</v>
      </c>
      <c r="L877" s="276" t="s">
        <v>592</v>
      </c>
      <c r="M877" s="276" t="s">
        <v>4774</v>
      </c>
      <c r="N877" s="276" t="s">
        <v>1025</v>
      </c>
    </row>
    <row r="878" spans="1:14" ht="100.9">
      <c r="A878" s="268" t="str">
        <f t="shared" si="13"/>
        <v>Strategic Thinking|Analyst|1</v>
      </c>
      <c r="B878" s="223" t="s">
        <v>562</v>
      </c>
      <c r="C878" s="197" t="s">
        <v>6</v>
      </c>
      <c r="D878" s="197">
        <v>1</v>
      </c>
      <c r="E878" s="79" t="s">
        <v>586</v>
      </c>
      <c r="F878" s="79">
        <v>1</v>
      </c>
      <c r="G878" s="276" t="s">
        <v>4775</v>
      </c>
      <c r="H878" s="276" t="s">
        <v>4776</v>
      </c>
      <c r="I878" s="276" t="s">
        <v>4777</v>
      </c>
      <c r="J878" s="276" t="s">
        <v>4778</v>
      </c>
      <c r="K878" s="276" t="s">
        <v>591</v>
      </c>
      <c r="L878" s="276" t="s">
        <v>592</v>
      </c>
      <c r="M878" s="276" t="s">
        <v>4779</v>
      </c>
      <c r="N878" s="276" t="s">
        <v>594</v>
      </c>
    </row>
    <row r="879" spans="1:14" ht="84">
      <c r="A879" s="268" t="str">
        <f t="shared" si="13"/>
        <v>Strategic Thinking|Analyst|1</v>
      </c>
      <c r="B879" s="223" t="s">
        <v>562</v>
      </c>
      <c r="C879" s="197" t="s">
        <v>6</v>
      </c>
      <c r="D879" s="197">
        <v>1</v>
      </c>
      <c r="E879" s="79" t="s">
        <v>586</v>
      </c>
      <c r="F879" s="79">
        <v>2</v>
      </c>
      <c r="G879" s="276" t="s">
        <v>4780</v>
      </c>
      <c r="H879" s="276" t="s">
        <v>4781</v>
      </c>
      <c r="I879" s="276" t="s">
        <v>4782</v>
      </c>
      <c r="J879" s="276" t="s">
        <v>4783</v>
      </c>
      <c r="K879" s="276" t="s">
        <v>591</v>
      </c>
      <c r="L879" s="276" t="s">
        <v>592</v>
      </c>
      <c r="M879" s="276" t="s">
        <v>4784</v>
      </c>
      <c r="N879" s="276" t="s">
        <v>594</v>
      </c>
    </row>
    <row r="880" spans="1:14" ht="84">
      <c r="A880" s="268" t="str">
        <f t="shared" si="13"/>
        <v>Strategic Thinking|Analyst|1</v>
      </c>
      <c r="B880" s="223" t="s">
        <v>562</v>
      </c>
      <c r="C880" s="197" t="s">
        <v>6</v>
      </c>
      <c r="D880" s="197">
        <v>1</v>
      </c>
      <c r="E880" s="79" t="s">
        <v>586</v>
      </c>
      <c r="F880" s="79">
        <v>3</v>
      </c>
      <c r="G880" s="276" t="s">
        <v>4785</v>
      </c>
      <c r="H880" s="276" t="s">
        <v>4786</v>
      </c>
      <c r="I880" s="276" t="s">
        <v>4787</v>
      </c>
      <c r="J880" s="276" t="s">
        <v>4788</v>
      </c>
      <c r="K880" s="276" t="s">
        <v>591</v>
      </c>
      <c r="L880" s="276" t="s">
        <v>592</v>
      </c>
      <c r="M880" s="276" t="s">
        <v>4789</v>
      </c>
      <c r="N880" s="276" t="s">
        <v>594</v>
      </c>
    </row>
    <row r="881" spans="1:14" ht="84">
      <c r="A881" s="268" t="str">
        <f t="shared" si="13"/>
        <v>Strategic Thinking|Analyst|2</v>
      </c>
      <c r="B881" s="223" t="s">
        <v>562</v>
      </c>
      <c r="C881" s="197" t="s">
        <v>6</v>
      </c>
      <c r="D881" s="79">
        <v>2</v>
      </c>
      <c r="E881" s="79" t="s">
        <v>605</v>
      </c>
      <c r="F881" s="79">
        <v>1</v>
      </c>
      <c r="G881" s="276" t="s">
        <v>4790</v>
      </c>
      <c r="H881" s="276" t="s">
        <v>4791</v>
      </c>
      <c r="I881" s="276" t="s">
        <v>4792</v>
      </c>
      <c r="J881" s="276" t="s">
        <v>4793</v>
      </c>
      <c r="K881" s="276" t="s">
        <v>591</v>
      </c>
      <c r="L881" s="276" t="s">
        <v>592</v>
      </c>
      <c r="M881" s="276" t="s">
        <v>4794</v>
      </c>
      <c r="N881" s="276" t="s">
        <v>611</v>
      </c>
    </row>
    <row r="882" spans="1:14" ht="67.150000000000006">
      <c r="A882" s="268" t="str">
        <f t="shared" si="13"/>
        <v>Strategic Thinking|Analyst|2</v>
      </c>
      <c r="B882" s="223" t="s">
        <v>562</v>
      </c>
      <c r="C882" s="197" t="s">
        <v>6</v>
      </c>
      <c r="D882" s="79">
        <v>2</v>
      </c>
      <c r="E882" s="79" t="s">
        <v>605</v>
      </c>
      <c r="F882" s="79">
        <v>2</v>
      </c>
      <c r="G882" s="276" t="s">
        <v>4795</v>
      </c>
      <c r="H882" s="276" t="s">
        <v>4796</v>
      </c>
      <c r="I882" s="276" t="s">
        <v>4797</v>
      </c>
      <c r="J882" s="276" t="s">
        <v>4798</v>
      </c>
      <c r="K882" s="276" t="s">
        <v>591</v>
      </c>
      <c r="L882" s="276" t="s">
        <v>592</v>
      </c>
      <c r="M882" s="276" t="s">
        <v>4799</v>
      </c>
      <c r="N882" s="276" t="s">
        <v>4800</v>
      </c>
    </row>
    <row r="883" spans="1:14" ht="67.150000000000006">
      <c r="A883" s="268" t="str">
        <f t="shared" si="13"/>
        <v>Strategic Thinking|Analyst|2</v>
      </c>
      <c r="B883" s="223" t="s">
        <v>562</v>
      </c>
      <c r="C883" s="197" t="s">
        <v>6</v>
      </c>
      <c r="D883" s="79">
        <v>2</v>
      </c>
      <c r="E883" s="79" t="s">
        <v>605</v>
      </c>
      <c r="F883" s="79">
        <v>3</v>
      </c>
      <c r="G883" s="276" t="s">
        <v>4801</v>
      </c>
      <c r="H883" s="276" t="s">
        <v>4802</v>
      </c>
      <c r="I883" s="276" t="s">
        <v>4803</v>
      </c>
      <c r="J883" s="276" t="s">
        <v>4804</v>
      </c>
      <c r="K883" s="276" t="s">
        <v>591</v>
      </c>
      <c r="L883" s="276" t="s">
        <v>592</v>
      </c>
      <c r="M883" s="276" t="s">
        <v>4805</v>
      </c>
      <c r="N883" s="276" t="s">
        <v>4806</v>
      </c>
    </row>
    <row r="884" spans="1:14" ht="84">
      <c r="A884" s="268" t="str">
        <f t="shared" si="13"/>
        <v>Strategic Thinking|Analyst|3</v>
      </c>
      <c r="B884" s="223" t="s">
        <v>562</v>
      </c>
      <c r="C884" s="197" t="s">
        <v>6</v>
      </c>
      <c r="D884" s="79">
        <v>3</v>
      </c>
      <c r="E884" s="79" t="s">
        <v>623</v>
      </c>
      <c r="F884" s="79">
        <v>1</v>
      </c>
      <c r="G884" s="276" t="s">
        <v>4807</v>
      </c>
      <c r="H884" s="276" t="s">
        <v>4808</v>
      </c>
      <c r="I884" s="276" t="s">
        <v>4809</v>
      </c>
      <c r="J884" s="276" t="s">
        <v>4810</v>
      </c>
      <c r="K884" s="276" t="s">
        <v>591</v>
      </c>
      <c r="L884" s="276" t="s">
        <v>592</v>
      </c>
      <c r="M884" s="276" t="s">
        <v>4811</v>
      </c>
      <c r="N884" s="276" t="s">
        <v>594</v>
      </c>
    </row>
    <row r="885" spans="1:14" ht="84">
      <c r="A885" s="268" t="str">
        <f t="shared" si="13"/>
        <v>Strategic Thinking|Analyst|3</v>
      </c>
      <c r="B885" s="223" t="s">
        <v>562</v>
      </c>
      <c r="C885" s="197" t="s">
        <v>6</v>
      </c>
      <c r="D885" s="79">
        <v>3</v>
      </c>
      <c r="E885" s="79" t="s">
        <v>623</v>
      </c>
      <c r="F885" s="79">
        <v>2</v>
      </c>
      <c r="G885" s="276" t="s">
        <v>4812</v>
      </c>
      <c r="H885" s="276" t="s">
        <v>4813</v>
      </c>
      <c r="I885" s="276" t="s">
        <v>4814</v>
      </c>
      <c r="J885" s="276" t="s">
        <v>1486</v>
      </c>
      <c r="K885" s="276" t="s">
        <v>591</v>
      </c>
      <c r="L885" s="276" t="s">
        <v>592</v>
      </c>
      <c r="M885" s="276" t="s">
        <v>4815</v>
      </c>
      <c r="N885" s="276" t="s">
        <v>622</v>
      </c>
    </row>
    <row r="886" spans="1:14" ht="117.6">
      <c r="A886" s="268" t="str">
        <f t="shared" si="13"/>
        <v>Strategic Thinking|Analyst|3</v>
      </c>
      <c r="B886" s="223" t="s">
        <v>562</v>
      </c>
      <c r="C886" s="197" t="s">
        <v>6</v>
      </c>
      <c r="D886" s="79">
        <v>3</v>
      </c>
      <c r="E886" s="79" t="s">
        <v>623</v>
      </c>
      <c r="F886" s="79">
        <v>3</v>
      </c>
      <c r="G886" s="276" t="s">
        <v>4816</v>
      </c>
      <c r="H886" s="276" t="s">
        <v>4817</v>
      </c>
      <c r="I886" s="276" t="s">
        <v>4818</v>
      </c>
      <c r="J886" s="276" t="s">
        <v>1008</v>
      </c>
      <c r="K886" s="276" t="s">
        <v>591</v>
      </c>
      <c r="L886" s="276" t="s">
        <v>592</v>
      </c>
      <c r="M886" s="276" t="s">
        <v>4819</v>
      </c>
      <c r="N886" s="276" t="s">
        <v>640</v>
      </c>
    </row>
    <row r="887" spans="1:14" ht="84">
      <c r="A887" s="268" t="str">
        <f t="shared" si="13"/>
        <v>Strategic Thinking|Analyst|4</v>
      </c>
      <c r="B887" s="223" t="s">
        <v>562</v>
      </c>
      <c r="C887" s="197" t="s">
        <v>6</v>
      </c>
      <c r="D887" s="79">
        <v>4</v>
      </c>
      <c r="E887" s="79" t="s">
        <v>641</v>
      </c>
      <c r="F887" s="79">
        <v>1</v>
      </c>
      <c r="G887" s="276" t="s">
        <v>4820</v>
      </c>
      <c r="H887" s="276" t="s">
        <v>4821</v>
      </c>
      <c r="I887" s="276" t="s">
        <v>4822</v>
      </c>
      <c r="J887" s="276" t="s">
        <v>4823</v>
      </c>
      <c r="K887" s="276" t="s">
        <v>591</v>
      </c>
      <c r="L887" s="276" t="s">
        <v>592</v>
      </c>
      <c r="M887" s="276" t="s">
        <v>4824</v>
      </c>
      <c r="N887" s="276" t="s">
        <v>622</v>
      </c>
    </row>
    <row r="888" spans="1:14" ht="100.9">
      <c r="A888" s="268" t="str">
        <f t="shared" si="13"/>
        <v>Strategic Thinking|Analyst|4</v>
      </c>
      <c r="B888" s="223" t="s">
        <v>562</v>
      </c>
      <c r="C888" s="197" t="s">
        <v>6</v>
      </c>
      <c r="D888" s="79">
        <v>4</v>
      </c>
      <c r="E888" s="79" t="s">
        <v>641</v>
      </c>
      <c r="F888" s="79">
        <v>2</v>
      </c>
      <c r="G888" s="276" t="s">
        <v>4825</v>
      </c>
      <c r="H888" s="276" t="s">
        <v>4826</v>
      </c>
      <c r="I888" s="276" t="s">
        <v>4827</v>
      </c>
      <c r="J888" s="276" t="s">
        <v>4828</v>
      </c>
      <c r="K888" s="276" t="s">
        <v>591</v>
      </c>
      <c r="L888" s="276" t="s">
        <v>592</v>
      </c>
      <c r="M888" s="276" t="s">
        <v>4829</v>
      </c>
      <c r="N888" s="276" t="s">
        <v>622</v>
      </c>
    </row>
    <row r="889" spans="1:14" ht="100.9">
      <c r="A889" s="268" t="str">
        <f t="shared" si="13"/>
        <v>Strategic Thinking|Analyst|4</v>
      </c>
      <c r="B889" s="223" t="s">
        <v>562</v>
      </c>
      <c r="C889" s="197" t="s">
        <v>6</v>
      </c>
      <c r="D889" s="79">
        <v>4</v>
      </c>
      <c r="E889" s="79" t="s">
        <v>641</v>
      </c>
      <c r="F889" s="79">
        <v>3</v>
      </c>
      <c r="G889" s="276" t="s">
        <v>4830</v>
      </c>
      <c r="H889" s="276" t="s">
        <v>4831</v>
      </c>
      <c r="I889" s="276" t="s">
        <v>4832</v>
      </c>
      <c r="J889" s="276" t="s">
        <v>1387</v>
      </c>
      <c r="K889" s="276" t="s">
        <v>591</v>
      </c>
      <c r="L889" s="276" t="s">
        <v>592</v>
      </c>
      <c r="M889" s="276" t="s">
        <v>4833</v>
      </c>
      <c r="N889" s="276" t="s">
        <v>622</v>
      </c>
    </row>
    <row r="890" spans="1:14" ht="100.9">
      <c r="A890" s="268" t="str">
        <f t="shared" si="13"/>
        <v>Strategic Thinking|Unit Head/Specialist|1</v>
      </c>
      <c r="B890" s="223" t="s">
        <v>562</v>
      </c>
      <c r="C890" s="79" t="s">
        <v>13</v>
      </c>
      <c r="D890" s="197">
        <v>1</v>
      </c>
      <c r="E890" s="79" t="s">
        <v>586</v>
      </c>
      <c r="F890" s="79">
        <v>1</v>
      </c>
      <c r="G890" s="279" t="s">
        <v>4834</v>
      </c>
      <c r="H890" s="279" t="s">
        <v>4835</v>
      </c>
      <c r="I890" s="279" t="s">
        <v>4836</v>
      </c>
      <c r="J890" s="279" t="s">
        <v>4837</v>
      </c>
      <c r="K890" s="279" t="s">
        <v>591</v>
      </c>
      <c r="L890" s="279" t="s">
        <v>592</v>
      </c>
      <c r="M890" s="279" t="s">
        <v>4838</v>
      </c>
      <c r="N890" s="279" t="s">
        <v>594</v>
      </c>
    </row>
    <row r="891" spans="1:14" ht="67.150000000000006">
      <c r="A891" s="268" t="str">
        <f t="shared" si="13"/>
        <v>Strategic Thinking|Unit Head/Specialist|1</v>
      </c>
      <c r="B891" s="223" t="s">
        <v>562</v>
      </c>
      <c r="C891" s="79" t="s">
        <v>13</v>
      </c>
      <c r="D891" s="197">
        <v>1</v>
      </c>
      <c r="E891" s="79" t="s">
        <v>586</v>
      </c>
      <c r="F891" s="79">
        <v>2</v>
      </c>
      <c r="G891" s="279" t="s">
        <v>4839</v>
      </c>
      <c r="H891" s="279" t="s">
        <v>4840</v>
      </c>
      <c r="I891" s="279" t="s">
        <v>4841</v>
      </c>
      <c r="J891" s="279" t="s">
        <v>4842</v>
      </c>
      <c r="K891" s="279" t="s">
        <v>591</v>
      </c>
      <c r="L891" s="279" t="s">
        <v>592</v>
      </c>
      <c r="M891" s="279" t="s">
        <v>4843</v>
      </c>
      <c r="N891" s="279" t="s">
        <v>594</v>
      </c>
    </row>
    <row r="892" spans="1:14" ht="84">
      <c r="A892" s="268" t="str">
        <f t="shared" si="13"/>
        <v>Strategic Thinking|Unit Head/Specialist|1</v>
      </c>
      <c r="B892" s="223" t="s">
        <v>562</v>
      </c>
      <c r="C892" s="79" t="s">
        <v>13</v>
      </c>
      <c r="D892" s="197">
        <v>1</v>
      </c>
      <c r="E892" s="79" t="s">
        <v>586</v>
      </c>
      <c r="F892" s="79">
        <v>3</v>
      </c>
      <c r="G892" s="279" t="s">
        <v>4844</v>
      </c>
      <c r="H892" s="279" t="s">
        <v>4845</v>
      </c>
      <c r="I892" s="279" t="s">
        <v>4846</v>
      </c>
      <c r="J892" s="279" t="s">
        <v>4847</v>
      </c>
      <c r="K892" s="279" t="s">
        <v>591</v>
      </c>
      <c r="L892" s="279" t="s">
        <v>592</v>
      </c>
      <c r="M892" s="279" t="s">
        <v>4848</v>
      </c>
      <c r="N892" s="279" t="s">
        <v>594</v>
      </c>
    </row>
    <row r="893" spans="1:14" ht="84">
      <c r="A893" s="268" t="str">
        <f t="shared" si="13"/>
        <v>Strategic Thinking|Unit Head/Specialist|2</v>
      </c>
      <c r="B893" s="223" t="s">
        <v>562</v>
      </c>
      <c r="C893" s="79" t="s">
        <v>13</v>
      </c>
      <c r="D893" s="79">
        <v>2</v>
      </c>
      <c r="E893" s="79" t="s">
        <v>605</v>
      </c>
      <c r="F893" s="79">
        <v>1</v>
      </c>
      <c r="G893" s="279" t="s">
        <v>4849</v>
      </c>
      <c r="H893" s="279" t="s">
        <v>4850</v>
      </c>
      <c r="I893" s="279" t="s">
        <v>4851</v>
      </c>
      <c r="J893" s="279" t="s">
        <v>4852</v>
      </c>
      <c r="K893" s="279" t="s">
        <v>591</v>
      </c>
      <c r="L893" s="279" t="s">
        <v>592</v>
      </c>
      <c r="M893" s="279" t="s">
        <v>4853</v>
      </c>
      <c r="N893" s="279" t="s">
        <v>611</v>
      </c>
    </row>
    <row r="894" spans="1:14" ht="84">
      <c r="A894" s="268" t="str">
        <f t="shared" si="13"/>
        <v>Strategic Thinking|Unit Head/Specialist|2</v>
      </c>
      <c r="B894" s="223" t="s">
        <v>562</v>
      </c>
      <c r="C894" s="79" t="s">
        <v>13</v>
      </c>
      <c r="D894" s="79">
        <v>2</v>
      </c>
      <c r="E894" s="79" t="s">
        <v>605</v>
      </c>
      <c r="F894" s="79">
        <v>2</v>
      </c>
      <c r="G894" s="279" t="s">
        <v>4854</v>
      </c>
      <c r="H894" s="279" t="s">
        <v>4855</v>
      </c>
      <c r="I894" s="279" t="s">
        <v>4856</v>
      </c>
      <c r="J894" s="279" t="s">
        <v>4857</v>
      </c>
      <c r="K894" s="279" t="s">
        <v>591</v>
      </c>
      <c r="L894" s="279" t="s">
        <v>592</v>
      </c>
      <c r="M894" s="279" t="s">
        <v>4858</v>
      </c>
      <c r="N894" s="279" t="s">
        <v>622</v>
      </c>
    </row>
    <row r="895" spans="1:14" ht="67.150000000000006">
      <c r="A895" s="268" t="str">
        <f t="shared" si="13"/>
        <v>Strategic Thinking|Unit Head/Specialist|2</v>
      </c>
      <c r="B895" s="223" t="s">
        <v>562</v>
      </c>
      <c r="C895" s="79" t="s">
        <v>13</v>
      </c>
      <c r="D895" s="79">
        <v>2</v>
      </c>
      <c r="E895" s="79" t="s">
        <v>605</v>
      </c>
      <c r="F895" s="79">
        <v>3</v>
      </c>
      <c r="G895" s="279" t="s">
        <v>4859</v>
      </c>
      <c r="H895" s="279" t="s">
        <v>4860</v>
      </c>
      <c r="I895" s="279" t="s">
        <v>4861</v>
      </c>
      <c r="J895" s="279" t="s">
        <v>4862</v>
      </c>
      <c r="K895" s="279" t="s">
        <v>591</v>
      </c>
      <c r="L895" s="279" t="s">
        <v>592</v>
      </c>
      <c r="M895" s="279" t="s">
        <v>4863</v>
      </c>
      <c r="N895" s="279" t="s">
        <v>594</v>
      </c>
    </row>
    <row r="896" spans="1:14" ht="84">
      <c r="A896" s="268" t="str">
        <f t="shared" si="13"/>
        <v>Strategic Thinking|Unit Head/Specialist|3</v>
      </c>
      <c r="B896" s="223" t="s">
        <v>562</v>
      </c>
      <c r="C896" s="79" t="s">
        <v>13</v>
      </c>
      <c r="D896" s="79">
        <v>3</v>
      </c>
      <c r="E896" s="79" t="s">
        <v>623</v>
      </c>
      <c r="F896" s="79">
        <v>1</v>
      </c>
      <c r="G896" s="279" t="s">
        <v>4864</v>
      </c>
      <c r="H896" s="279" t="s">
        <v>4865</v>
      </c>
      <c r="I896" s="279" t="s">
        <v>4866</v>
      </c>
      <c r="J896" s="279" t="s">
        <v>4867</v>
      </c>
      <c r="K896" s="279" t="s">
        <v>591</v>
      </c>
      <c r="L896" s="279" t="s">
        <v>592</v>
      </c>
      <c r="M896" s="279" t="s">
        <v>4868</v>
      </c>
      <c r="N896" s="279" t="s">
        <v>594</v>
      </c>
    </row>
    <row r="897" spans="1:14" ht="100.9">
      <c r="A897" s="268" t="str">
        <f t="shared" si="13"/>
        <v>Strategic Thinking|Unit Head/Specialist|3</v>
      </c>
      <c r="B897" s="223" t="s">
        <v>562</v>
      </c>
      <c r="C897" s="79" t="s">
        <v>13</v>
      </c>
      <c r="D897" s="79">
        <v>3</v>
      </c>
      <c r="E897" s="79" t="s">
        <v>623</v>
      </c>
      <c r="F897" s="79">
        <v>2</v>
      </c>
      <c r="G897" s="279" t="s">
        <v>4869</v>
      </c>
      <c r="H897" s="279" t="s">
        <v>4870</v>
      </c>
      <c r="I897" s="279" t="s">
        <v>4871</v>
      </c>
      <c r="J897" s="279" t="s">
        <v>4872</v>
      </c>
      <c r="K897" s="279" t="s">
        <v>591</v>
      </c>
      <c r="L897" s="279" t="s">
        <v>592</v>
      </c>
      <c r="M897" s="279" t="s">
        <v>4873</v>
      </c>
      <c r="N897" s="279" t="s">
        <v>622</v>
      </c>
    </row>
    <row r="898" spans="1:14" ht="100.9">
      <c r="A898" s="268" t="str">
        <f t="shared" si="13"/>
        <v>Strategic Thinking|Unit Head/Specialist|3</v>
      </c>
      <c r="B898" s="223" t="s">
        <v>562</v>
      </c>
      <c r="C898" s="79" t="s">
        <v>13</v>
      </c>
      <c r="D898" s="79">
        <v>3</v>
      </c>
      <c r="E898" s="79" t="s">
        <v>623</v>
      </c>
      <c r="F898" s="79">
        <v>3</v>
      </c>
      <c r="G898" s="279" t="s">
        <v>4874</v>
      </c>
      <c r="H898" s="279" t="s">
        <v>4875</v>
      </c>
      <c r="I898" s="279" t="s">
        <v>4876</v>
      </c>
      <c r="J898" s="279" t="s">
        <v>1008</v>
      </c>
      <c r="K898" s="279" t="s">
        <v>591</v>
      </c>
      <c r="L898" s="279" t="s">
        <v>592</v>
      </c>
      <c r="M898" s="279" t="s">
        <v>4877</v>
      </c>
      <c r="N898" s="279" t="s">
        <v>640</v>
      </c>
    </row>
    <row r="899" spans="1:14" ht="84">
      <c r="A899" s="268" t="str">
        <f t="shared" ref="A899:A962" si="14">B899 &amp; "|" &amp; C899 &amp; "|" &amp; D899</f>
        <v>Strategic Thinking|Unit Head/Specialist|4</v>
      </c>
      <c r="B899" s="223" t="s">
        <v>562</v>
      </c>
      <c r="C899" s="79" t="s">
        <v>13</v>
      </c>
      <c r="D899" s="79">
        <v>4</v>
      </c>
      <c r="E899" s="79" t="s">
        <v>641</v>
      </c>
      <c r="F899" s="79">
        <v>1</v>
      </c>
      <c r="G899" s="279" t="s">
        <v>4878</v>
      </c>
      <c r="H899" s="279" t="s">
        <v>4879</v>
      </c>
      <c r="I899" s="279" t="s">
        <v>4880</v>
      </c>
      <c r="J899" s="279" t="s">
        <v>4881</v>
      </c>
      <c r="K899" s="279" t="s">
        <v>591</v>
      </c>
      <c r="L899" s="279" t="s">
        <v>592</v>
      </c>
      <c r="M899" s="279" t="s">
        <v>4882</v>
      </c>
      <c r="N899" s="279" t="s">
        <v>622</v>
      </c>
    </row>
    <row r="900" spans="1:14" ht="84">
      <c r="A900" s="268" t="str">
        <f t="shared" si="14"/>
        <v>Strategic Thinking|Unit Head/Specialist|4</v>
      </c>
      <c r="B900" s="223" t="s">
        <v>562</v>
      </c>
      <c r="C900" s="79" t="s">
        <v>13</v>
      </c>
      <c r="D900" s="79">
        <v>4</v>
      </c>
      <c r="E900" s="79" t="s">
        <v>641</v>
      </c>
      <c r="F900" s="79">
        <v>2</v>
      </c>
      <c r="G900" s="279" t="s">
        <v>4883</v>
      </c>
      <c r="H900" s="279" t="s">
        <v>4884</v>
      </c>
      <c r="I900" s="279" t="s">
        <v>4885</v>
      </c>
      <c r="J900" s="279" t="s">
        <v>4886</v>
      </c>
      <c r="K900" s="279" t="s">
        <v>591</v>
      </c>
      <c r="L900" s="279" t="s">
        <v>592</v>
      </c>
      <c r="M900" s="279" t="s">
        <v>4887</v>
      </c>
      <c r="N900" s="279" t="s">
        <v>622</v>
      </c>
    </row>
    <row r="901" spans="1:14" ht="100.9">
      <c r="A901" s="268" t="str">
        <f t="shared" si="14"/>
        <v>Strategic Thinking|Unit Head/Specialist|4</v>
      </c>
      <c r="B901" s="223" t="s">
        <v>562</v>
      </c>
      <c r="C901" s="79" t="s">
        <v>13</v>
      </c>
      <c r="D901" s="79">
        <v>4</v>
      </c>
      <c r="E901" s="79" t="s">
        <v>641</v>
      </c>
      <c r="F901" s="79">
        <v>3</v>
      </c>
      <c r="G901" s="279" t="s">
        <v>4888</v>
      </c>
      <c r="H901" s="279" t="s">
        <v>4889</v>
      </c>
      <c r="I901" s="279" t="s">
        <v>4890</v>
      </c>
      <c r="J901" s="279" t="s">
        <v>4891</v>
      </c>
      <c r="K901" s="279" t="s">
        <v>591</v>
      </c>
      <c r="L901" s="279" t="s">
        <v>592</v>
      </c>
      <c r="M901" s="279" t="s">
        <v>4892</v>
      </c>
      <c r="N901" s="279" t="s">
        <v>1928</v>
      </c>
    </row>
    <row r="902" spans="1:14" ht="100.9">
      <c r="A902" s="268" t="str">
        <f t="shared" si="14"/>
        <v>Strategic Thinking|Department Head|1</v>
      </c>
      <c r="B902" s="223" t="s">
        <v>562</v>
      </c>
      <c r="C902" s="79" t="s">
        <v>779</v>
      </c>
      <c r="D902" s="197">
        <v>1</v>
      </c>
      <c r="E902" s="79" t="s">
        <v>586</v>
      </c>
      <c r="F902" s="79">
        <v>1</v>
      </c>
      <c r="G902" s="276" t="s">
        <v>4893</v>
      </c>
      <c r="H902" s="276" t="s">
        <v>4894</v>
      </c>
      <c r="I902" s="276" t="s">
        <v>4895</v>
      </c>
      <c r="J902" s="276" t="s">
        <v>4896</v>
      </c>
      <c r="K902" s="276" t="s">
        <v>591</v>
      </c>
      <c r="L902" s="276" t="s">
        <v>592</v>
      </c>
      <c r="M902" s="276" t="s">
        <v>4897</v>
      </c>
      <c r="N902" s="276" t="s">
        <v>594</v>
      </c>
    </row>
    <row r="903" spans="1:14" ht="84">
      <c r="A903" s="268" t="str">
        <f t="shared" si="14"/>
        <v>Strategic Thinking|Department Head|1</v>
      </c>
      <c r="B903" s="223" t="s">
        <v>562</v>
      </c>
      <c r="C903" s="79" t="s">
        <v>779</v>
      </c>
      <c r="D903" s="197">
        <v>1</v>
      </c>
      <c r="E903" s="79" t="s">
        <v>586</v>
      </c>
      <c r="F903" s="79">
        <v>2</v>
      </c>
      <c r="G903" s="276" t="s">
        <v>4898</v>
      </c>
      <c r="H903" s="276" t="s">
        <v>4899</v>
      </c>
      <c r="I903" s="276" t="s">
        <v>4900</v>
      </c>
      <c r="J903" s="276" t="s">
        <v>4901</v>
      </c>
      <c r="K903" s="276" t="s">
        <v>591</v>
      </c>
      <c r="L903" s="276" t="s">
        <v>592</v>
      </c>
      <c r="M903" s="276" t="s">
        <v>4902</v>
      </c>
      <c r="N903" s="276" t="s">
        <v>622</v>
      </c>
    </row>
    <row r="904" spans="1:14" ht="100.9">
      <c r="A904" s="268" t="str">
        <f t="shared" si="14"/>
        <v>Strategic Thinking|Department Head|1</v>
      </c>
      <c r="B904" s="223" t="s">
        <v>562</v>
      </c>
      <c r="C904" s="79" t="s">
        <v>779</v>
      </c>
      <c r="D904" s="197">
        <v>1</v>
      </c>
      <c r="E904" s="79" t="s">
        <v>586</v>
      </c>
      <c r="F904" s="79">
        <v>3</v>
      </c>
      <c r="G904" s="276" t="s">
        <v>4903</v>
      </c>
      <c r="H904" s="276" t="s">
        <v>4904</v>
      </c>
      <c r="I904" s="276" t="s">
        <v>4905</v>
      </c>
      <c r="J904" s="276" t="s">
        <v>2129</v>
      </c>
      <c r="K904" s="276" t="s">
        <v>591</v>
      </c>
      <c r="L904" s="276" t="s">
        <v>592</v>
      </c>
      <c r="M904" s="276" t="s">
        <v>4906</v>
      </c>
      <c r="N904" s="276" t="s">
        <v>622</v>
      </c>
    </row>
    <row r="905" spans="1:14" ht="84">
      <c r="A905" s="268" t="str">
        <f t="shared" si="14"/>
        <v>Strategic Thinking|Department Head|2</v>
      </c>
      <c r="B905" s="223" t="s">
        <v>562</v>
      </c>
      <c r="C905" s="79" t="s">
        <v>779</v>
      </c>
      <c r="D905" s="79">
        <v>2</v>
      </c>
      <c r="E905" s="79" t="s">
        <v>605</v>
      </c>
      <c r="F905" s="79">
        <v>1</v>
      </c>
      <c r="G905" s="276" t="s">
        <v>4907</v>
      </c>
      <c r="H905" s="276" t="s">
        <v>4908</v>
      </c>
      <c r="I905" s="276" t="s">
        <v>4909</v>
      </c>
      <c r="J905" s="276" t="s">
        <v>4910</v>
      </c>
      <c r="K905" s="276" t="s">
        <v>591</v>
      </c>
      <c r="L905" s="276" t="s">
        <v>592</v>
      </c>
      <c r="M905" s="276" t="s">
        <v>4911</v>
      </c>
      <c r="N905" s="276" t="s">
        <v>611</v>
      </c>
    </row>
    <row r="906" spans="1:14" ht="67.150000000000006">
      <c r="A906" s="268" t="str">
        <f t="shared" si="14"/>
        <v>Strategic Thinking|Department Head|2</v>
      </c>
      <c r="B906" s="223" t="s">
        <v>562</v>
      </c>
      <c r="C906" s="79" t="s">
        <v>779</v>
      </c>
      <c r="D906" s="79">
        <v>2</v>
      </c>
      <c r="E906" s="79" t="s">
        <v>605</v>
      </c>
      <c r="F906" s="79">
        <v>2</v>
      </c>
      <c r="G906" s="276" t="s">
        <v>4912</v>
      </c>
      <c r="H906" s="276" t="s">
        <v>4913</v>
      </c>
      <c r="I906" s="276" t="s">
        <v>4914</v>
      </c>
      <c r="J906" s="276" t="s">
        <v>4915</v>
      </c>
      <c r="K906" s="276" t="s">
        <v>591</v>
      </c>
      <c r="L906" s="276" t="s">
        <v>592</v>
      </c>
      <c r="M906" s="276" t="s">
        <v>4916</v>
      </c>
      <c r="N906" s="276" t="s">
        <v>622</v>
      </c>
    </row>
    <row r="907" spans="1:14" ht="67.150000000000006">
      <c r="A907" s="268" t="str">
        <f t="shared" si="14"/>
        <v>Strategic Thinking|Department Head|2</v>
      </c>
      <c r="B907" s="223" t="s">
        <v>562</v>
      </c>
      <c r="C907" s="79" t="s">
        <v>779</v>
      </c>
      <c r="D907" s="79">
        <v>2</v>
      </c>
      <c r="E907" s="79" t="s">
        <v>605</v>
      </c>
      <c r="F907" s="79">
        <v>3</v>
      </c>
      <c r="G907" s="276" t="s">
        <v>4917</v>
      </c>
      <c r="H907" s="276" t="s">
        <v>4918</v>
      </c>
      <c r="I907" s="276" t="s">
        <v>4919</v>
      </c>
      <c r="J907" s="276" t="s">
        <v>4920</v>
      </c>
      <c r="K907" s="276" t="s">
        <v>591</v>
      </c>
      <c r="L907" s="276" t="s">
        <v>592</v>
      </c>
      <c r="M907" s="276" t="s">
        <v>4921</v>
      </c>
      <c r="N907" s="276" t="s">
        <v>594</v>
      </c>
    </row>
    <row r="908" spans="1:14" ht="100.9">
      <c r="A908" s="268" t="str">
        <f t="shared" si="14"/>
        <v>Strategic Thinking|Department Head|3</v>
      </c>
      <c r="B908" s="223" t="s">
        <v>562</v>
      </c>
      <c r="C908" s="79" t="s">
        <v>779</v>
      </c>
      <c r="D908" s="79">
        <v>3</v>
      </c>
      <c r="E908" s="79" t="s">
        <v>623</v>
      </c>
      <c r="F908" s="79">
        <v>1</v>
      </c>
      <c r="G908" s="276" t="s">
        <v>4922</v>
      </c>
      <c r="H908" s="276" t="s">
        <v>4923</v>
      </c>
      <c r="I908" s="276" t="s">
        <v>4924</v>
      </c>
      <c r="J908" s="276" t="s">
        <v>4925</v>
      </c>
      <c r="K908" s="276" t="s">
        <v>591</v>
      </c>
      <c r="L908" s="276" t="s">
        <v>592</v>
      </c>
      <c r="M908" s="276" t="s">
        <v>4926</v>
      </c>
      <c r="N908" s="276" t="s">
        <v>594</v>
      </c>
    </row>
    <row r="909" spans="1:14" ht="100.9">
      <c r="A909" s="268" t="str">
        <f t="shared" si="14"/>
        <v>Strategic Thinking|Department Head|3</v>
      </c>
      <c r="B909" s="223" t="s">
        <v>562</v>
      </c>
      <c r="C909" s="79" t="s">
        <v>779</v>
      </c>
      <c r="D909" s="79">
        <v>3</v>
      </c>
      <c r="E909" s="79" t="s">
        <v>623</v>
      </c>
      <c r="F909" s="79">
        <v>2</v>
      </c>
      <c r="G909" s="276" t="s">
        <v>4927</v>
      </c>
      <c r="H909" s="276" t="s">
        <v>4928</v>
      </c>
      <c r="I909" s="276" t="s">
        <v>4929</v>
      </c>
      <c r="J909" s="276" t="s">
        <v>817</v>
      </c>
      <c r="K909" s="276" t="s">
        <v>591</v>
      </c>
      <c r="L909" s="276" t="s">
        <v>592</v>
      </c>
      <c r="M909" s="276" t="s">
        <v>4930</v>
      </c>
      <c r="N909" s="276" t="s">
        <v>622</v>
      </c>
    </row>
    <row r="910" spans="1:14" ht="100.9">
      <c r="A910" s="268" t="str">
        <f t="shared" si="14"/>
        <v>Strategic Thinking|Department Head|3</v>
      </c>
      <c r="B910" s="223" t="s">
        <v>562</v>
      </c>
      <c r="C910" s="79" t="s">
        <v>779</v>
      </c>
      <c r="D910" s="79">
        <v>3</v>
      </c>
      <c r="E910" s="79" t="s">
        <v>623</v>
      </c>
      <c r="F910" s="79">
        <v>3</v>
      </c>
      <c r="G910" s="276" t="s">
        <v>4931</v>
      </c>
      <c r="H910" s="276" t="s">
        <v>4932</v>
      </c>
      <c r="I910" s="276" t="s">
        <v>4933</v>
      </c>
      <c r="J910" s="276" t="s">
        <v>1008</v>
      </c>
      <c r="K910" s="276" t="s">
        <v>591</v>
      </c>
      <c r="L910" s="276" t="s">
        <v>592</v>
      </c>
      <c r="M910" s="276" t="s">
        <v>4934</v>
      </c>
      <c r="N910" s="276" t="s">
        <v>640</v>
      </c>
    </row>
    <row r="911" spans="1:14" ht="100.9">
      <c r="A911" s="268" t="str">
        <f t="shared" si="14"/>
        <v>Strategic Thinking|Department Head|4</v>
      </c>
      <c r="B911" s="223" t="s">
        <v>562</v>
      </c>
      <c r="C911" s="79" t="s">
        <v>779</v>
      </c>
      <c r="D911" s="79">
        <v>4</v>
      </c>
      <c r="E911" s="79" t="s">
        <v>641</v>
      </c>
      <c r="F911" s="79">
        <v>1</v>
      </c>
      <c r="G911" s="276" t="s">
        <v>4935</v>
      </c>
      <c r="H911" s="276" t="s">
        <v>4936</v>
      </c>
      <c r="I911" s="276" t="s">
        <v>4937</v>
      </c>
      <c r="J911" s="276" t="s">
        <v>4938</v>
      </c>
      <c r="K911" s="276" t="s">
        <v>591</v>
      </c>
      <c r="L911" s="276" t="s">
        <v>592</v>
      </c>
      <c r="M911" s="276" t="s">
        <v>4939</v>
      </c>
      <c r="N911" s="276" t="s">
        <v>622</v>
      </c>
    </row>
    <row r="912" spans="1:14" ht="100.9">
      <c r="A912" s="268" t="str">
        <f t="shared" si="14"/>
        <v>Strategic Thinking|Department Head|4</v>
      </c>
      <c r="B912" s="223" t="s">
        <v>562</v>
      </c>
      <c r="C912" s="79" t="s">
        <v>779</v>
      </c>
      <c r="D912" s="79">
        <v>4</v>
      </c>
      <c r="E912" s="79" t="s">
        <v>641</v>
      </c>
      <c r="F912" s="79">
        <v>2</v>
      </c>
      <c r="G912" s="276" t="s">
        <v>4940</v>
      </c>
      <c r="H912" s="276" t="s">
        <v>4941</v>
      </c>
      <c r="I912" s="276" t="s">
        <v>4942</v>
      </c>
      <c r="J912" s="276" t="s">
        <v>4943</v>
      </c>
      <c r="K912" s="276" t="s">
        <v>591</v>
      </c>
      <c r="L912" s="276" t="s">
        <v>592</v>
      </c>
      <c r="M912" s="276" t="s">
        <v>4944</v>
      </c>
      <c r="N912" s="276" t="s">
        <v>622</v>
      </c>
    </row>
    <row r="913" spans="1:14" ht="100.9">
      <c r="A913" s="268" t="str">
        <f t="shared" si="14"/>
        <v>Strategic Thinking|Department Head|4</v>
      </c>
      <c r="B913" s="223" t="s">
        <v>562</v>
      </c>
      <c r="C913" s="79" t="s">
        <v>779</v>
      </c>
      <c r="D913" s="79">
        <v>4</v>
      </c>
      <c r="E913" s="79" t="s">
        <v>641</v>
      </c>
      <c r="F913" s="79">
        <v>3</v>
      </c>
      <c r="G913" s="276" t="s">
        <v>4945</v>
      </c>
      <c r="H913" s="276" t="s">
        <v>4946</v>
      </c>
      <c r="I913" s="276" t="s">
        <v>4947</v>
      </c>
      <c r="J913" s="276" t="s">
        <v>4948</v>
      </c>
      <c r="K913" s="276" t="s">
        <v>591</v>
      </c>
      <c r="L913" s="276" t="s">
        <v>592</v>
      </c>
      <c r="M913" s="276" t="s">
        <v>4949</v>
      </c>
      <c r="N913" s="276" t="s">
        <v>622</v>
      </c>
    </row>
    <row r="914" spans="1:14" ht="84">
      <c r="A914" s="268" t="str">
        <f t="shared" si="14"/>
        <v>Strategic Thinking|Division Head|1</v>
      </c>
      <c r="B914" s="223" t="s">
        <v>562</v>
      </c>
      <c r="C914" s="79" t="s">
        <v>838</v>
      </c>
      <c r="D914" s="197">
        <v>1</v>
      </c>
      <c r="E914" s="79" t="s">
        <v>586</v>
      </c>
      <c r="F914" s="79">
        <v>1</v>
      </c>
      <c r="G914" s="279" t="s">
        <v>4950</v>
      </c>
      <c r="H914" s="279" t="s">
        <v>4951</v>
      </c>
      <c r="I914" s="279" t="s">
        <v>4952</v>
      </c>
      <c r="J914" s="279" t="s">
        <v>4953</v>
      </c>
      <c r="K914" s="279" t="s">
        <v>591</v>
      </c>
      <c r="L914" s="279" t="s">
        <v>592</v>
      </c>
      <c r="M914" s="279" t="s">
        <v>4954</v>
      </c>
      <c r="N914" s="279" t="s">
        <v>594</v>
      </c>
    </row>
    <row r="915" spans="1:14" ht="84">
      <c r="A915" s="268" t="str">
        <f t="shared" si="14"/>
        <v>Strategic Thinking|Division Head|1</v>
      </c>
      <c r="B915" s="223" t="s">
        <v>562</v>
      </c>
      <c r="C915" s="79" t="s">
        <v>838</v>
      </c>
      <c r="D915" s="197">
        <v>1</v>
      </c>
      <c r="E915" s="79" t="s">
        <v>586</v>
      </c>
      <c r="F915" s="79">
        <v>2</v>
      </c>
      <c r="G915" s="279" t="s">
        <v>4955</v>
      </c>
      <c r="H915" s="279" t="s">
        <v>4956</v>
      </c>
      <c r="I915" s="279" t="s">
        <v>4957</v>
      </c>
      <c r="J915" s="279" t="s">
        <v>4958</v>
      </c>
      <c r="K915" s="279" t="s">
        <v>591</v>
      </c>
      <c r="L915" s="279" t="s">
        <v>592</v>
      </c>
      <c r="M915" s="279" t="s">
        <v>4959</v>
      </c>
      <c r="N915" s="279" t="s">
        <v>594</v>
      </c>
    </row>
    <row r="916" spans="1:14" ht="84">
      <c r="A916" s="268" t="str">
        <f t="shared" si="14"/>
        <v>Strategic Thinking|Division Head|1</v>
      </c>
      <c r="B916" s="223" t="s">
        <v>562</v>
      </c>
      <c r="C916" s="79" t="s">
        <v>838</v>
      </c>
      <c r="D916" s="197">
        <v>1</v>
      </c>
      <c r="E916" s="79" t="s">
        <v>586</v>
      </c>
      <c r="F916" s="79">
        <v>3</v>
      </c>
      <c r="G916" s="279" t="s">
        <v>4960</v>
      </c>
      <c r="H916" s="279" t="s">
        <v>4961</v>
      </c>
      <c r="I916" s="279" t="s">
        <v>4962</v>
      </c>
      <c r="J916" s="279" t="s">
        <v>4963</v>
      </c>
      <c r="K916" s="279" t="s">
        <v>591</v>
      </c>
      <c r="L916" s="279" t="s">
        <v>592</v>
      </c>
      <c r="M916" s="279" t="s">
        <v>4964</v>
      </c>
      <c r="N916" s="279" t="s">
        <v>594</v>
      </c>
    </row>
    <row r="917" spans="1:14" ht="84">
      <c r="A917" s="268" t="str">
        <f t="shared" si="14"/>
        <v>Strategic Thinking|Division Head|2</v>
      </c>
      <c r="B917" s="223" t="s">
        <v>562</v>
      </c>
      <c r="C917" s="79" t="s">
        <v>838</v>
      </c>
      <c r="D917" s="79">
        <v>2</v>
      </c>
      <c r="E917" s="79" t="s">
        <v>605</v>
      </c>
      <c r="F917" s="79">
        <v>1</v>
      </c>
      <c r="G917" s="279" t="s">
        <v>4965</v>
      </c>
      <c r="H917" s="279" t="s">
        <v>4966</v>
      </c>
      <c r="I917" s="279" t="s">
        <v>4967</v>
      </c>
      <c r="J917" s="279" t="s">
        <v>4968</v>
      </c>
      <c r="K917" s="279" t="s">
        <v>591</v>
      </c>
      <c r="L917" s="279" t="s">
        <v>592</v>
      </c>
      <c r="M917" s="279" t="s">
        <v>4969</v>
      </c>
      <c r="N917" s="279" t="s">
        <v>611</v>
      </c>
    </row>
    <row r="918" spans="1:14" ht="67.150000000000006">
      <c r="A918" s="268" t="str">
        <f t="shared" si="14"/>
        <v>Strategic Thinking|Division Head|2</v>
      </c>
      <c r="B918" s="223" t="s">
        <v>562</v>
      </c>
      <c r="C918" s="79" t="s">
        <v>838</v>
      </c>
      <c r="D918" s="79">
        <v>2</v>
      </c>
      <c r="E918" s="79" t="s">
        <v>605</v>
      </c>
      <c r="F918" s="79">
        <v>2</v>
      </c>
      <c r="G918" s="279" t="s">
        <v>4970</v>
      </c>
      <c r="H918" s="279" t="s">
        <v>4971</v>
      </c>
      <c r="I918" s="279" t="s">
        <v>4972</v>
      </c>
      <c r="J918" s="279" t="s">
        <v>4973</v>
      </c>
      <c r="K918" s="279" t="s">
        <v>591</v>
      </c>
      <c r="L918" s="279" t="s">
        <v>592</v>
      </c>
      <c r="M918" s="279" t="s">
        <v>4974</v>
      </c>
      <c r="N918" s="279" t="s">
        <v>622</v>
      </c>
    </row>
    <row r="919" spans="1:14" ht="67.150000000000006">
      <c r="A919" s="268" t="str">
        <f t="shared" si="14"/>
        <v>Strategic Thinking|Division Head|2</v>
      </c>
      <c r="B919" s="223" t="s">
        <v>562</v>
      </c>
      <c r="C919" s="79" t="s">
        <v>838</v>
      </c>
      <c r="D919" s="79">
        <v>2</v>
      </c>
      <c r="E919" s="79" t="s">
        <v>605</v>
      </c>
      <c r="F919" s="79">
        <v>3</v>
      </c>
      <c r="G919" s="279" t="s">
        <v>4975</v>
      </c>
      <c r="H919" s="279" t="s">
        <v>4976</v>
      </c>
      <c r="I919" s="279" t="s">
        <v>4977</v>
      </c>
      <c r="J919" s="279" t="s">
        <v>4978</v>
      </c>
      <c r="K919" s="279" t="s">
        <v>591</v>
      </c>
      <c r="L919" s="279" t="s">
        <v>592</v>
      </c>
      <c r="M919" s="279" t="s">
        <v>4979</v>
      </c>
      <c r="N919" s="279" t="s">
        <v>622</v>
      </c>
    </row>
    <row r="920" spans="1:14" ht="100.9">
      <c r="A920" s="268" t="str">
        <f t="shared" si="14"/>
        <v>Strategic Thinking|Division Head|3</v>
      </c>
      <c r="B920" s="223" t="s">
        <v>562</v>
      </c>
      <c r="C920" s="79" t="s">
        <v>838</v>
      </c>
      <c r="D920" s="79">
        <v>3</v>
      </c>
      <c r="E920" s="79" t="s">
        <v>623</v>
      </c>
      <c r="F920" s="79">
        <v>1</v>
      </c>
      <c r="G920" s="279" t="s">
        <v>1910</v>
      </c>
      <c r="H920" s="279" t="s">
        <v>1911</v>
      </c>
      <c r="I920" s="279" t="s">
        <v>4980</v>
      </c>
      <c r="J920" s="279" t="s">
        <v>4648</v>
      </c>
      <c r="K920" s="279" t="s">
        <v>591</v>
      </c>
      <c r="L920" s="279" t="s">
        <v>592</v>
      </c>
      <c r="M920" s="279" t="s">
        <v>4981</v>
      </c>
      <c r="N920" s="279" t="s">
        <v>594</v>
      </c>
    </row>
    <row r="921" spans="1:14" ht="100.9">
      <c r="A921" s="268" t="str">
        <f t="shared" si="14"/>
        <v>Strategic Thinking|Division Head|3</v>
      </c>
      <c r="B921" s="223" t="s">
        <v>562</v>
      </c>
      <c r="C921" s="79" t="s">
        <v>838</v>
      </c>
      <c r="D921" s="79">
        <v>3</v>
      </c>
      <c r="E921" s="79" t="s">
        <v>623</v>
      </c>
      <c r="F921" s="79">
        <v>2</v>
      </c>
      <c r="G921" s="279" t="s">
        <v>4982</v>
      </c>
      <c r="H921" s="279" t="s">
        <v>4983</v>
      </c>
      <c r="I921" s="279" t="s">
        <v>4984</v>
      </c>
      <c r="J921" s="279" t="s">
        <v>817</v>
      </c>
      <c r="K921" s="279" t="s">
        <v>591</v>
      </c>
      <c r="L921" s="279" t="s">
        <v>592</v>
      </c>
      <c r="M921" s="279" t="s">
        <v>4985</v>
      </c>
      <c r="N921" s="279" t="s">
        <v>622</v>
      </c>
    </row>
    <row r="922" spans="1:14" ht="100.9">
      <c r="A922" s="268" t="str">
        <f t="shared" si="14"/>
        <v>Strategic Thinking|Division Head|3</v>
      </c>
      <c r="B922" s="223" t="s">
        <v>562</v>
      </c>
      <c r="C922" s="79" t="s">
        <v>838</v>
      </c>
      <c r="D922" s="79">
        <v>3</v>
      </c>
      <c r="E922" s="79" t="s">
        <v>623</v>
      </c>
      <c r="F922" s="79">
        <v>3</v>
      </c>
      <c r="G922" s="279" t="s">
        <v>4986</v>
      </c>
      <c r="H922" s="279" t="s">
        <v>4987</v>
      </c>
      <c r="I922" s="279" t="s">
        <v>4988</v>
      </c>
      <c r="J922" s="279" t="s">
        <v>1008</v>
      </c>
      <c r="K922" s="279" t="s">
        <v>591</v>
      </c>
      <c r="L922" s="279" t="s">
        <v>592</v>
      </c>
      <c r="M922" s="279" t="s">
        <v>4989</v>
      </c>
      <c r="N922" s="279" t="s">
        <v>640</v>
      </c>
    </row>
    <row r="923" spans="1:14" ht="84">
      <c r="A923" s="268" t="str">
        <f t="shared" si="14"/>
        <v>Strategic Thinking|Division Head|4</v>
      </c>
      <c r="B923" s="223" t="s">
        <v>562</v>
      </c>
      <c r="C923" s="79" t="s">
        <v>838</v>
      </c>
      <c r="D923" s="79">
        <v>4</v>
      </c>
      <c r="E923" s="79" t="s">
        <v>641</v>
      </c>
      <c r="F923" s="79">
        <v>1</v>
      </c>
      <c r="G923" s="279" t="s">
        <v>4990</v>
      </c>
      <c r="H923" s="279" t="s">
        <v>4991</v>
      </c>
      <c r="I923" s="279" t="s">
        <v>4992</v>
      </c>
      <c r="J923" s="279" t="s">
        <v>4993</v>
      </c>
      <c r="K923" s="279" t="s">
        <v>591</v>
      </c>
      <c r="L923" s="279" t="s">
        <v>592</v>
      </c>
      <c r="M923" s="279" t="s">
        <v>4994</v>
      </c>
      <c r="N923" s="279" t="s">
        <v>3995</v>
      </c>
    </row>
    <row r="924" spans="1:14" ht="84">
      <c r="A924" s="268" t="str">
        <f t="shared" si="14"/>
        <v>Strategic Thinking|Division Head|4</v>
      </c>
      <c r="B924" s="223" t="s">
        <v>562</v>
      </c>
      <c r="C924" s="79" t="s">
        <v>838</v>
      </c>
      <c r="D924" s="79">
        <v>4</v>
      </c>
      <c r="E924" s="79" t="s">
        <v>641</v>
      </c>
      <c r="F924" s="79">
        <v>2</v>
      </c>
      <c r="G924" s="279" t="s">
        <v>4995</v>
      </c>
      <c r="H924" s="279" t="s">
        <v>4996</v>
      </c>
      <c r="I924" s="279" t="s">
        <v>4997</v>
      </c>
      <c r="J924" s="279" t="s">
        <v>4998</v>
      </c>
      <c r="K924" s="279" t="s">
        <v>591</v>
      </c>
      <c r="L924" s="279" t="s">
        <v>592</v>
      </c>
      <c r="M924" s="279" t="s">
        <v>4999</v>
      </c>
      <c r="N924" s="279" t="s">
        <v>622</v>
      </c>
    </row>
    <row r="925" spans="1:14" ht="100.9">
      <c r="A925" s="268" t="str">
        <f t="shared" si="14"/>
        <v>Strategic Thinking|Division Head|4</v>
      </c>
      <c r="B925" s="223" t="s">
        <v>562</v>
      </c>
      <c r="C925" s="79" t="s">
        <v>838</v>
      </c>
      <c r="D925" s="79">
        <v>4</v>
      </c>
      <c r="E925" s="79" t="s">
        <v>641</v>
      </c>
      <c r="F925" s="79">
        <v>3</v>
      </c>
      <c r="G925" s="279" t="s">
        <v>5000</v>
      </c>
      <c r="H925" s="279" t="s">
        <v>5001</v>
      </c>
      <c r="I925" s="279" t="s">
        <v>5002</v>
      </c>
      <c r="J925" s="279" t="s">
        <v>5003</v>
      </c>
      <c r="K925" s="279" t="s">
        <v>591</v>
      </c>
      <c r="L925" s="279" t="s">
        <v>592</v>
      </c>
      <c r="M925" s="279" t="s">
        <v>5004</v>
      </c>
      <c r="N925" s="279" t="s">
        <v>2936</v>
      </c>
    </row>
    <row r="926" spans="1:14" ht="100.9">
      <c r="A926" s="268" t="str">
        <f t="shared" si="14"/>
        <v>Strategic Thinking|Director|1</v>
      </c>
      <c r="B926" s="223" t="s">
        <v>562</v>
      </c>
      <c r="C926" s="79" t="s">
        <v>898</v>
      </c>
      <c r="D926" s="197">
        <v>1</v>
      </c>
      <c r="E926" s="79" t="s">
        <v>586</v>
      </c>
      <c r="F926" s="79">
        <v>1</v>
      </c>
      <c r="G926" s="276" t="s">
        <v>1204</v>
      </c>
      <c r="H926" s="276" t="s">
        <v>1205</v>
      </c>
      <c r="I926" s="276" t="s">
        <v>5005</v>
      </c>
      <c r="J926" s="276" t="s">
        <v>5006</v>
      </c>
      <c r="K926" s="276" t="s">
        <v>591</v>
      </c>
      <c r="L926" s="276" t="s">
        <v>592</v>
      </c>
      <c r="M926" s="276" t="s">
        <v>5007</v>
      </c>
      <c r="N926" s="276" t="s">
        <v>594</v>
      </c>
    </row>
    <row r="927" spans="1:14" ht="100.9">
      <c r="A927" s="268" t="str">
        <f t="shared" si="14"/>
        <v>Strategic Thinking|Director|1</v>
      </c>
      <c r="B927" s="223" t="s">
        <v>562</v>
      </c>
      <c r="C927" s="79" t="s">
        <v>898</v>
      </c>
      <c r="D927" s="197">
        <v>1</v>
      </c>
      <c r="E927" s="79" t="s">
        <v>586</v>
      </c>
      <c r="F927" s="79">
        <v>2</v>
      </c>
      <c r="G927" s="276" t="s">
        <v>5008</v>
      </c>
      <c r="H927" s="276" t="s">
        <v>5009</v>
      </c>
      <c r="I927" s="276" t="s">
        <v>5010</v>
      </c>
      <c r="J927" s="276" t="s">
        <v>5011</v>
      </c>
      <c r="K927" s="276" t="s">
        <v>591</v>
      </c>
      <c r="L927" s="276" t="s">
        <v>592</v>
      </c>
      <c r="M927" s="276" t="s">
        <v>5012</v>
      </c>
      <c r="N927" s="276" t="s">
        <v>594</v>
      </c>
    </row>
    <row r="928" spans="1:14" ht="100.9">
      <c r="A928" s="268" t="str">
        <f t="shared" si="14"/>
        <v>Strategic Thinking|Director|1</v>
      </c>
      <c r="B928" s="223" t="s">
        <v>562</v>
      </c>
      <c r="C928" s="79" t="s">
        <v>898</v>
      </c>
      <c r="D928" s="197">
        <v>1</v>
      </c>
      <c r="E928" s="79" t="s">
        <v>586</v>
      </c>
      <c r="F928" s="79">
        <v>3</v>
      </c>
      <c r="G928" s="276" t="s">
        <v>5013</v>
      </c>
      <c r="H928" s="276" t="s">
        <v>4676</v>
      </c>
      <c r="I928" s="276" t="s">
        <v>5014</v>
      </c>
      <c r="J928" s="276" t="s">
        <v>5015</v>
      </c>
      <c r="K928" s="276" t="s">
        <v>591</v>
      </c>
      <c r="L928" s="276" t="s">
        <v>592</v>
      </c>
      <c r="M928" s="276" t="s">
        <v>5016</v>
      </c>
      <c r="N928" s="276" t="s">
        <v>916</v>
      </c>
    </row>
    <row r="929" spans="1:14" ht="84">
      <c r="A929" s="268" t="str">
        <f t="shared" si="14"/>
        <v>Strategic Thinking|Director|2</v>
      </c>
      <c r="B929" s="223" t="s">
        <v>562</v>
      </c>
      <c r="C929" s="79" t="s">
        <v>898</v>
      </c>
      <c r="D929" s="79">
        <v>2</v>
      </c>
      <c r="E929" s="79" t="s">
        <v>605</v>
      </c>
      <c r="F929" s="79">
        <v>1</v>
      </c>
      <c r="G929" s="276" t="s">
        <v>5017</v>
      </c>
      <c r="H929" s="276" t="s">
        <v>5018</v>
      </c>
      <c r="I929" s="276" t="s">
        <v>5019</v>
      </c>
      <c r="J929" s="276" t="s">
        <v>5020</v>
      </c>
      <c r="K929" s="276" t="s">
        <v>591</v>
      </c>
      <c r="L929" s="276" t="s">
        <v>592</v>
      </c>
      <c r="M929" s="276" t="s">
        <v>5021</v>
      </c>
      <c r="N929" s="276" t="s">
        <v>922</v>
      </c>
    </row>
    <row r="930" spans="1:14" ht="84">
      <c r="A930" s="268" t="str">
        <f t="shared" si="14"/>
        <v>Strategic Thinking|Director|2</v>
      </c>
      <c r="B930" s="223" t="s">
        <v>562</v>
      </c>
      <c r="C930" s="79" t="s">
        <v>898</v>
      </c>
      <c r="D930" s="79">
        <v>2</v>
      </c>
      <c r="E930" s="79" t="s">
        <v>605</v>
      </c>
      <c r="F930" s="79">
        <v>2</v>
      </c>
      <c r="G930" s="276" t="s">
        <v>5022</v>
      </c>
      <c r="H930" s="276" t="s">
        <v>5023</v>
      </c>
      <c r="I930" s="276" t="s">
        <v>5024</v>
      </c>
      <c r="J930" s="276" t="s">
        <v>5025</v>
      </c>
      <c r="K930" s="276" t="s">
        <v>591</v>
      </c>
      <c r="L930" s="276" t="s">
        <v>592</v>
      </c>
      <c r="M930" s="276" t="s">
        <v>5026</v>
      </c>
      <c r="N930" s="276" t="s">
        <v>4712</v>
      </c>
    </row>
    <row r="931" spans="1:14" ht="67.150000000000006">
      <c r="A931" s="268" t="str">
        <f t="shared" si="14"/>
        <v>Strategic Thinking|Director|2</v>
      </c>
      <c r="B931" s="223" t="s">
        <v>562</v>
      </c>
      <c r="C931" s="79" t="s">
        <v>898</v>
      </c>
      <c r="D931" s="79">
        <v>2</v>
      </c>
      <c r="E931" s="79" t="s">
        <v>605</v>
      </c>
      <c r="F931" s="79">
        <v>3</v>
      </c>
      <c r="G931" s="276" t="s">
        <v>5027</v>
      </c>
      <c r="H931" s="276" t="s">
        <v>5028</v>
      </c>
      <c r="I931" s="276" t="s">
        <v>5029</v>
      </c>
      <c r="J931" s="276" t="s">
        <v>5030</v>
      </c>
      <c r="K931" s="276" t="s">
        <v>591</v>
      </c>
      <c r="L931" s="276" t="s">
        <v>592</v>
      </c>
      <c r="M931" s="276" t="s">
        <v>5031</v>
      </c>
      <c r="N931" s="276" t="s">
        <v>916</v>
      </c>
    </row>
    <row r="932" spans="1:14" ht="117.6">
      <c r="A932" s="268" t="str">
        <f t="shared" si="14"/>
        <v>Strategic Thinking|Director|3</v>
      </c>
      <c r="B932" s="223" t="s">
        <v>562</v>
      </c>
      <c r="C932" s="79" t="s">
        <v>898</v>
      </c>
      <c r="D932" s="79">
        <v>3</v>
      </c>
      <c r="E932" s="79" t="s">
        <v>623</v>
      </c>
      <c r="F932" s="79">
        <v>1</v>
      </c>
      <c r="G932" s="276" t="s">
        <v>1235</v>
      </c>
      <c r="H932" s="276" t="s">
        <v>5032</v>
      </c>
      <c r="I932" s="276" t="s">
        <v>5033</v>
      </c>
      <c r="J932" s="276" t="s">
        <v>4694</v>
      </c>
      <c r="K932" s="276" t="s">
        <v>591</v>
      </c>
      <c r="L932" s="276" t="s">
        <v>592</v>
      </c>
      <c r="M932" s="276" t="s">
        <v>5034</v>
      </c>
      <c r="N932" s="276" t="s">
        <v>594</v>
      </c>
    </row>
    <row r="933" spans="1:14" ht="100.9">
      <c r="A933" s="268" t="str">
        <f t="shared" si="14"/>
        <v>Strategic Thinking|Director|3</v>
      </c>
      <c r="B933" s="223" t="s">
        <v>562</v>
      </c>
      <c r="C933" s="79" t="s">
        <v>898</v>
      </c>
      <c r="D933" s="79">
        <v>3</v>
      </c>
      <c r="E933" s="79" t="s">
        <v>623</v>
      </c>
      <c r="F933" s="79">
        <v>2</v>
      </c>
      <c r="G933" s="276" t="s">
        <v>1240</v>
      </c>
      <c r="H933" s="276" t="s">
        <v>1241</v>
      </c>
      <c r="I933" s="276" t="s">
        <v>5035</v>
      </c>
      <c r="J933" s="276" t="s">
        <v>4696</v>
      </c>
      <c r="K933" s="276" t="s">
        <v>591</v>
      </c>
      <c r="L933" s="276" t="s">
        <v>592</v>
      </c>
      <c r="M933" s="276" t="s">
        <v>5036</v>
      </c>
      <c r="N933" s="276" t="s">
        <v>1245</v>
      </c>
    </row>
    <row r="934" spans="1:14" ht="134.44999999999999">
      <c r="A934" s="268" t="str">
        <f t="shared" si="14"/>
        <v>Strategic Thinking|Director|3</v>
      </c>
      <c r="B934" s="223" t="s">
        <v>562</v>
      </c>
      <c r="C934" s="79" t="s">
        <v>898</v>
      </c>
      <c r="D934" s="79">
        <v>3</v>
      </c>
      <c r="E934" s="79" t="s">
        <v>623</v>
      </c>
      <c r="F934" s="79">
        <v>3</v>
      </c>
      <c r="G934" s="276" t="s">
        <v>5037</v>
      </c>
      <c r="H934" s="276" t="s">
        <v>1247</v>
      </c>
      <c r="I934" s="276" t="s">
        <v>5038</v>
      </c>
      <c r="J934" s="276" t="s">
        <v>5039</v>
      </c>
      <c r="K934" s="276" t="s">
        <v>591</v>
      </c>
      <c r="L934" s="276" t="s">
        <v>592</v>
      </c>
      <c r="M934" s="276" t="s">
        <v>5040</v>
      </c>
      <c r="N934" s="276" t="s">
        <v>640</v>
      </c>
    </row>
    <row r="935" spans="1:14" ht="100.9">
      <c r="A935" s="268" t="str">
        <f t="shared" si="14"/>
        <v>Strategic Thinking|Director|4</v>
      </c>
      <c r="B935" s="223" t="s">
        <v>562</v>
      </c>
      <c r="C935" s="79" t="s">
        <v>898</v>
      </c>
      <c r="D935" s="79">
        <v>4</v>
      </c>
      <c r="E935" s="79" t="s">
        <v>641</v>
      </c>
      <c r="F935" s="79">
        <v>1</v>
      </c>
      <c r="G935" s="276" t="s">
        <v>5041</v>
      </c>
      <c r="H935" s="276" t="s">
        <v>5042</v>
      </c>
      <c r="I935" s="276" t="s">
        <v>5043</v>
      </c>
      <c r="J935" s="276" t="s">
        <v>5044</v>
      </c>
      <c r="K935" s="276" t="s">
        <v>591</v>
      </c>
      <c r="L935" s="276" t="s">
        <v>592</v>
      </c>
      <c r="M935" s="276" t="s">
        <v>5045</v>
      </c>
      <c r="N935" s="276" t="s">
        <v>4706</v>
      </c>
    </row>
    <row r="936" spans="1:14" ht="100.9">
      <c r="A936" s="268" t="str">
        <f t="shared" si="14"/>
        <v>Strategic Thinking|Director|4</v>
      </c>
      <c r="B936" s="223" t="s">
        <v>562</v>
      </c>
      <c r="C936" s="79" t="s">
        <v>898</v>
      </c>
      <c r="D936" s="79">
        <v>4</v>
      </c>
      <c r="E936" s="79" t="s">
        <v>641</v>
      </c>
      <c r="F936" s="79">
        <v>2</v>
      </c>
      <c r="G936" s="276" t="s">
        <v>5046</v>
      </c>
      <c r="H936" s="276" t="s">
        <v>5047</v>
      </c>
      <c r="I936" s="276" t="s">
        <v>5048</v>
      </c>
      <c r="J936" s="276" t="s">
        <v>5049</v>
      </c>
      <c r="K936" s="276" t="s">
        <v>591</v>
      </c>
      <c r="L936" s="276" t="s">
        <v>592</v>
      </c>
      <c r="M936" s="276" t="s">
        <v>5050</v>
      </c>
      <c r="N936" s="276" t="s">
        <v>5051</v>
      </c>
    </row>
    <row r="937" spans="1:14" ht="84">
      <c r="A937" s="268" t="str">
        <f t="shared" si="14"/>
        <v>Strategic Thinking|Director|4</v>
      </c>
      <c r="B937" s="223" t="s">
        <v>562</v>
      </c>
      <c r="C937" s="79" t="s">
        <v>898</v>
      </c>
      <c r="D937" s="79">
        <v>4</v>
      </c>
      <c r="E937" s="79" t="s">
        <v>641</v>
      </c>
      <c r="F937" s="79">
        <v>3</v>
      </c>
      <c r="G937" s="276" t="s">
        <v>5052</v>
      </c>
      <c r="H937" s="276" t="s">
        <v>5053</v>
      </c>
      <c r="I937" s="276" t="s">
        <v>5054</v>
      </c>
      <c r="J937" s="276" t="s">
        <v>5055</v>
      </c>
      <c r="K937" s="276" t="s">
        <v>591</v>
      </c>
      <c r="L937" s="276" t="s">
        <v>592</v>
      </c>
      <c r="M937" s="276" t="s">
        <v>5056</v>
      </c>
      <c r="N937" s="276" t="s">
        <v>916</v>
      </c>
    </row>
    <row r="938" spans="1:14" ht="52.9">
      <c r="A938" s="268" t="str">
        <f t="shared" si="14"/>
        <v>Teamwork|Officer|1</v>
      </c>
      <c r="B938" s="223" t="s">
        <v>5057</v>
      </c>
      <c r="C938" s="226" t="s">
        <v>4</v>
      </c>
      <c r="D938" s="226">
        <v>1</v>
      </c>
      <c r="E938" s="227" t="s">
        <v>586</v>
      </c>
      <c r="F938" s="227">
        <v>1</v>
      </c>
      <c r="G938" s="277" t="s">
        <v>5058</v>
      </c>
      <c r="H938" s="277" t="s">
        <v>5059</v>
      </c>
      <c r="I938" s="277" t="s">
        <v>5060</v>
      </c>
      <c r="J938" s="277" t="s">
        <v>5061</v>
      </c>
      <c r="K938" s="277" t="s">
        <v>591</v>
      </c>
      <c r="L938" s="277" t="s">
        <v>592</v>
      </c>
      <c r="M938" s="277" t="s">
        <v>5062</v>
      </c>
      <c r="N938" s="277" t="s">
        <v>594</v>
      </c>
    </row>
    <row r="939" spans="1:14" ht="39.6">
      <c r="A939" s="268" t="str">
        <f t="shared" si="14"/>
        <v>Teamwork|Officer|1</v>
      </c>
      <c r="B939" s="223" t="s">
        <v>5057</v>
      </c>
      <c r="C939" s="226" t="s">
        <v>4</v>
      </c>
      <c r="D939" s="226">
        <v>1</v>
      </c>
      <c r="E939" s="227" t="s">
        <v>586</v>
      </c>
      <c r="F939" s="227">
        <v>2</v>
      </c>
      <c r="G939" s="277" t="s">
        <v>5063</v>
      </c>
      <c r="H939" s="277" t="s">
        <v>5064</v>
      </c>
      <c r="I939" s="277" t="s">
        <v>5065</v>
      </c>
      <c r="J939" s="277" t="s">
        <v>5066</v>
      </c>
      <c r="K939" s="277" t="s">
        <v>591</v>
      </c>
      <c r="L939" s="277" t="s">
        <v>592</v>
      </c>
      <c r="M939" s="277" t="s">
        <v>5067</v>
      </c>
      <c r="N939" s="277" t="s">
        <v>594</v>
      </c>
    </row>
    <row r="940" spans="1:14" ht="52.9">
      <c r="A940" s="268" t="str">
        <f t="shared" si="14"/>
        <v>Teamwork|Officer|1</v>
      </c>
      <c r="B940" s="223" t="s">
        <v>5057</v>
      </c>
      <c r="C940" s="226" t="s">
        <v>4</v>
      </c>
      <c r="D940" s="226">
        <v>1</v>
      </c>
      <c r="E940" s="227" t="s">
        <v>586</v>
      </c>
      <c r="F940" s="227">
        <v>3</v>
      </c>
      <c r="G940" s="277" t="s">
        <v>5068</v>
      </c>
      <c r="H940" s="277" t="s">
        <v>5069</v>
      </c>
      <c r="I940" s="277" t="s">
        <v>5070</v>
      </c>
      <c r="J940" s="277" t="s">
        <v>5071</v>
      </c>
      <c r="K940" s="277" t="s">
        <v>591</v>
      </c>
      <c r="L940" s="277" t="s">
        <v>592</v>
      </c>
      <c r="M940" s="277" t="s">
        <v>5072</v>
      </c>
      <c r="N940" s="277" t="s">
        <v>594</v>
      </c>
    </row>
    <row r="941" spans="1:14" ht="28.9">
      <c r="A941" s="268" t="str">
        <f t="shared" si="14"/>
        <v>Teamwork|Officer|2</v>
      </c>
      <c r="B941" s="223" t="s">
        <v>5057</v>
      </c>
      <c r="C941" s="226" t="s">
        <v>4</v>
      </c>
      <c r="D941" s="227">
        <v>2</v>
      </c>
      <c r="E941" s="227" t="s">
        <v>605</v>
      </c>
      <c r="F941" s="227">
        <v>1</v>
      </c>
      <c r="G941" s="277" t="s">
        <v>5073</v>
      </c>
      <c r="H941" s="277" t="s">
        <v>5074</v>
      </c>
      <c r="I941" s="277" t="s">
        <v>5075</v>
      </c>
      <c r="J941" s="277" t="s">
        <v>5076</v>
      </c>
      <c r="K941" s="277" t="s">
        <v>591</v>
      </c>
      <c r="L941" s="277" t="s">
        <v>592</v>
      </c>
      <c r="M941" s="277" t="s">
        <v>5077</v>
      </c>
      <c r="N941" s="277" t="s">
        <v>611</v>
      </c>
    </row>
    <row r="942" spans="1:14" ht="39.6">
      <c r="A942" s="268" t="str">
        <f t="shared" si="14"/>
        <v>Teamwork|Officer|2</v>
      </c>
      <c r="B942" s="223" t="s">
        <v>5057</v>
      </c>
      <c r="C942" s="226" t="s">
        <v>4</v>
      </c>
      <c r="D942" s="227">
        <v>2</v>
      </c>
      <c r="E942" s="227" t="s">
        <v>605</v>
      </c>
      <c r="F942" s="227">
        <v>2</v>
      </c>
      <c r="G942" s="277" t="s">
        <v>5078</v>
      </c>
      <c r="H942" s="277" t="s">
        <v>5079</v>
      </c>
      <c r="I942" s="277" t="s">
        <v>5080</v>
      </c>
      <c r="J942" s="277" t="s">
        <v>5081</v>
      </c>
      <c r="K942" s="277" t="s">
        <v>591</v>
      </c>
      <c r="L942" s="277" t="s">
        <v>592</v>
      </c>
      <c r="M942" s="277" t="s">
        <v>5082</v>
      </c>
      <c r="N942" s="277" t="s">
        <v>737</v>
      </c>
    </row>
    <row r="943" spans="1:14" ht="39.6">
      <c r="A943" s="268" t="str">
        <f t="shared" si="14"/>
        <v>Teamwork|Officer|2</v>
      </c>
      <c r="B943" s="223" t="s">
        <v>5057</v>
      </c>
      <c r="C943" s="226" t="s">
        <v>4</v>
      </c>
      <c r="D943" s="227">
        <v>2</v>
      </c>
      <c r="E943" s="227" t="s">
        <v>605</v>
      </c>
      <c r="F943" s="227">
        <v>3</v>
      </c>
      <c r="G943" s="277" t="s">
        <v>5083</v>
      </c>
      <c r="H943" s="277" t="s">
        <v>5084</v>
      </c>
      <c r="I943" s="277" t="s">
        <v>5085</v>
      </c>
      <c r="J943" s="277" t="s">
        <v>5086</v>
      </c>
      <c r="K943" s="277" t="s">
        <v>591</v>
      </c>
      <c r="L943" s="277" t="s">
        <v>592</v>
      </c>
      <c r="M943" s="277" t="s">
        <v>5087</v>
      </c>
      <c r="N943" s="277" t="s">
        <v>594</v>
      </c>
    </row>
    <row r="944" spans="1:14" ht="39.6">
      <c r="A944" s="268" t="str">
        <f t="shared" si="14"/>
        <v>Teamwork|Officer|3</v>
      </c>
      <c r="B944" s="223" t="s">
        <v>5057</v>
      </c>
      <c r="C944" s="226" t="s">
        <v>4</v>
      </c>
      <c r="D944" s="227">
        <v>3</v>
      </c>
      <c r="E944" s="227" t="s">
        <v>623</v>
      </c>
      <c r="F944" s="227">
        <v>1</v>
      </c>
      <c r="G944" s="277" t="s">
        <v>5088</v>
      </c>
      <c r="H944" s="277" t="s">
        <v>5089</v>
      </c>
      <c r="I944" s="277" t="s">
        <v>5090</v>
      </c>
      <c r="J944" s="277" t="s">
        <v>5091</v>
      </c>
      <c r="K944" s="277" t="s">
        <v>591</v>
      </c>
      <c r="L944" s="277" t="s">
        <v>592</v>
      </c>
      <c r="M944" s="277" t="s">
        <v>5092</v>
      </c>
      <c r="N944" s="277" t="s">
        <v>5093</v>
      </c>
    </row>
    <row r="945" spans="1:14" ht="39.6">
      <c r="A945" s="268" t="str">
        <f t="shared" si="14"/>
        <v>Teamwork|Officer|3</v>
      </c>
      <c r="B945" s="223" t="s">
        <v>5057</v>
      </c>
      <c r="C945" s="226" t="s">
        <v>4</v>
      </c>
      <c r="D945" s="227">
        <v>3</v>
      </c>
      <c r="E945" s="227" t="s">
        <v>623</v>
      </c>
      <c r="F945" s="227">
        <v>2</v>
      </c>
      <c r="G945" s="277" t="s">
        <v>5094</v>
      </c>
      <c r="H945" s="277" t="s">
        <v>5095</v>
      </c>
      <c r="I945" s="277" t="s">
        <v>5096</v>
      </c>
      <c r="J945" s="277" t="s">
        <v>5097</v>
      </c>
      <c r="K945" s="277" t="s">
        <v>591</v>
      </c>
      <c r="L945" s="277" t="s">
        <v>592</v>
      </c>
      <c r="M945" s="277" t="s">
        <v>5098</v>
      </c>
      <c r="N945" s="277" t="s">
        <v>1669</v>
      </c>
    </row>
    <row r="946" spans="1:14" ht="39.6">
      <c r="A946" s="268" t="str">
        <f t="shared" si="14"/>
        <v>Teamwork|Officer|3</v>
      </c>
      <c r="B946" s="223" t="s">
        <v>5057</v>
      </c>
      <c r="C946" s="226" t="s">
        <v>4</v>
      </c>
      <c r="D946" s="227">
        <v>3</v>
      </c>
      <c r="E946" s="227" t="s">
        <v>623</v>
      </c>
      <c r="F946" s="227">
        <v>3</v>
      </c>
      <c r="G946" s="277" t="s">
        <v>5099</v>
      </c>
      <c r="H946" s="277" t="s">
        <v>5100</v>
      </c>
      <c r="I946" s="277" t="s">
        <v>5101</v>
      </c>
      <c r="J946" s="277" t="s">
        <v>5102</v>
      </c>
      <c r="K946" s="277" t="s">
        <v>591</v>
      </c>
      <c r="L946" s="277" t="s">
        <v>592</v>
      </c>
      <c r="M946" s="277" t="s">
        <v>5103</v>
      </c>
      <c r="N946" s="277" t="s">
        <v>622</v>
      </c>
    </row>
    <row r="947" spans="1:14" ht="39.6">
      <c r="A947" s="268" t="str">
        <f t="shared" si="14"/>
        <v>Teamwork|Officer|4</v>
      </c>
      <c r="B947" s="223" t="s">
        <v>5057</v>
      </c>
      <c r="C947" s="226" t="s">
        <v>4</v>
      </c>
      <c r="D947" s="227">
        <v>4</v>
      </c>
      <c r="E947" s="227" t="s">
        <v>641</v>
      </c>
      <c r="F947" s="227">
        <v>1</v>
      </c>
      <c r="G947" s="277" t="s">
        <v>5104</v>
      </c>
      <c r="H947" s="277" t="s">
        <v>5105</v>
      </c>
      <c r="I947" s="277" t="s">
        <v>5106</v>
      </c>
      <c r="J947" s="277" t="s">
        <v>5107</v>
      </c>
      <c r="K947" s="277" t="s">
        <v>591</v>
      </c>
      <c r="L947" s="277" t="s">
        <v>592</v>
      </c>
      <c r="M947" s="277" t="s">
        <v>5108</v>
      </c>
      <c r="N947" s="277" t="s">
        <v>622</v>
      </c>
    </row>
    <row r="948" spans="1:14" ht="52.9">
      <c r="A948" s="268" t="str">
        <f t="shared" si="14"/>
        <v>Teamwork|Officer|4</v>
      </c>
      <c r="B948" s="223" t="s">
        <v>5057</v>
      </c>
      <c r="C948" s="226" t="s">
        <v>4</v>
      </c>
      <c r="D948" s="227">
        <v>4</v>
      </c>
      <c r="E948" s="227" t="s">
        <v>641</v>
      </c>
      <c r="F948" s="227">
        <v>2</v>
      </c>
      <c r="G948" s="277" t="s">
        <v>5109</v>
      </c>
      <c r="H948" s="277" t="s">
        <v>5110</v>
      </c>
      <c r="I948" s="277" t="s">
        <v>5111</v>
      </c>
      <c r="J948" s="277" t="s">
        <v>5112</v>
      </c>
      <c r="K948" s="277" t="s">
        <v>591</v>
      </c>
      <c r="L948" s="277" t="s">
        <v>592</v>
      </c>
      <c r="M948" s="277" t="s">
        <v>5113</v>
      </c>
      <c r="N948" s="277" t="s">
        <v>5114</v>
      </c>
    </row>
    <row r="949" spans="1:14" ht="52.9">
      <c r="A949" s="268" t="str">
        <f t="shared" si="14"/>
        <v>Teamwork|Officer|4</v>
      </c>
      <c r="B949" s="223" t="s">
        <v>5057</v>
      </c>
      <c r="C949" s="226" t="s">
        <v>4</v>
      </c>
      <c r="D949" s="227">
        <v>4</v>
      </c>
      <c r="E949" s="227" t="s">
        <v>641</v>
      </c>
      <c r="F949" s="227">
        <v>3</v>
      </c>
      <c r="G949" s="277" t="s">
        <v>5115</v>
      </c>
      <c r="H949" s="277" t="s">
        <v>5116</v>
      </c>
      <c r="I949" s="277" t="s">
        <v>5117</v>
      </c>
      <c r="J949" s="277" t="s">
        <v>5118</v>
      </c>
      <c r="K949" s="277" t="s">
        <v>591</v>
      </c>
      <c r="L949" s="277" t="s">
        <v>592</v>
      </c>
      <c r="M949" s="277" t="s">
        <v>5119</v>
      </c>
      <c r="N949" s="277" t="s">
        <v>5120</v>
      </c>
    </row>
    <row r="950" spans="1:14" ht="67.150000000000006">
      <c r="A950" s="268" t="str">
        <f t="shared" si="14"/>
        <v>Teamwork|Analyst|1</v>
      </c>
      <c r="B950" s="223" t="s">
        <v>5057</v>
      </c>
      <c r="C950" s="226" t="s">
        <v>6</v>
      </c>
      <c r="D950" s="226">
        <v>1</v>
      </c>
      <c r="E950" s="227" t="s">
        <v>586</v>
      </c>
      <c r="F950" s="227">
        <v>1</v>
      </c>
      <c r="G950" s="279" t="s">
        <v>5121</v>
      </c>
      <c r="H950" s="279" t="s">
        <v>5122</v>
      </c>
      <c r="I950" s="279" t="s">
        <v>5123</v>
      </c>
      <c r="J950" s="279" t="s">
        <v>5124</v>
      </c>
      <c r="K950" s="279" t="s">
        <v>591</v>
      </c>
      <c r="L950" s="279" t="s">
        <v>592</v>
      </c>
      <c r="M950" s="279" t="s">
        <v>5125</v>
      </c>
      <c r="N950" s="279" t="s">
        <v>594</v>
      </c>
    </row>
    <row r="951" spans="1:14" ht="67.150000000000006">
      <c r="A951" s="268" t="str">
        <f t="shared" si="14"/>
        <v>Teamwork|Analyst|1</v>
      </c>
      <c r="B951" s="223" t="s">
        <v>5057</v>
      </c>
      <c r="C951" s="226" t="s">
        <v>6</v>
      </c>
      <c r="D951" s="226">
        <v>1</v>
      </c>
      <c r="E951" s="227" t="s">
        <v>586</v>
      </c>
      <c r="F951" s="227">
        <v>2</v>
      </c>
      <c r="G951" s="279" t="s">
        <v>5126</v>
      </c>
      <c r="H951" s="279" t="s">
        <v>5127</v>
      </c>
      <c r="I951" s="279" t="s">
        <v>5128</v>
      </c>
      <c r="J951" s="279" t="s">
        <v>5129</v>
      </c>
      <c r="K951" s="279" t="s">
        <v>591</v>
      </c>
      <c r="L951" s="279" t="s">
        <v>592</v>
      </c>
      <c r="M951" s="279" t="s">
        <v>5130</v>
      </c>
      <c r="N951" s="279" t="s">
        <v>622</v>
      </c>
    </row>
    <row r="952" spans="1:14" ht="67.150000000000006">
      <c r="A952" s="268" t="str">
        <f t="shared" si="14"/>
        <v>Teamwork|Analyst|1</v>
      </c>
      <c r="B952" s="223" t="s">
        <v>5057</v>
      </c>
      <c r="C952" s="226" t="s">
        <v>6</v>
      </c>
      <c r="D952" s="226">
        <v>1</v>
      </c>
      <c r="E952" s="227" t="s">
        <v>586</v>
      </c>
      <c r="F952" s="227">
        <v>3</v>
      </c>
      <c r="G952" s="279" t="s">
        <v>5131</v>
      </c>
      <c r="H952" s="279" t="s">
        <v>5132</v>
      </c>
      <c r="I952" s="279" t="s">
        <v>5133</v>
      </c>
      <c r="J952" s="279" t="s">
        <v>1642</v>
      </c>
      <c r="K952" s="279" t="s">
        <v>591</v>
      </c>
      <c r="L952" s="279" t="s">
        <v>592</v>
      </c>
      <c r="M952" s="279" t="s">
        <v>5134</v>
      </c>
      <c r="N952" s="279" t="s">
        <v>594</v>
      </c>
    </row>
    <row r="953" spans="1:14" ht="50.45">
      <c r="A953" s="268" t="str">
        <f t="shared" si="14"/>
        <v>Teamwork|Analyst|2</v>
      </c>
      <c r="B953" s="223" t="s">
        <v>5057</v>
      </c>
      <c r="C953" s="226" t="s">
        <v>6</v>
      </c>
      <c r="D953" s="227">
        <v>2</v>
      </c>
      <c r="E953" s="227" t="s">
        <v>605</v>
      </c>
      <c r="F953" s="227">
        <v>1</v>
      </c>
      <c r="G953" s="279" t="s">
        <v>5135</v>
      </c>
      <c r="H953" s="279" t="s">
        <v>5136</v>
      </c>
      <c r="I953" s="279" t="s">
        <v>5137</v>
      </c>
      <c r="J953" s="279" t="s">
        <v>5138</v>
      </c>
      <c r="K953" s="279" t="s">
        <v>591</v>
      </c>
      <c r="L953" s="279" t="s">
        <v>592</v>
      </c>
      <c r="M953" s="279" t="s">
        <v>5139</v>
      </c>
      <c r="N953" s="279" t="s">
        <v>737</v>
      </c>
    </row>
    <row r="954" spans="1:14" ht="50.45">
      <c r="A954" s="268" t="str">
        <f t="shared" si="14"/>
        <v>Teamwork|Analyst|2</v>
      </c>
      <c r="B954" s="223" t="s">
        <v>5057</v>
      </c>
      <c r="C954" s="226" t="s">
        <v>6</v>
      </c>
      <c r="D954" s="227">
        <v>2</v>
      </c>
      <c r="E954" s="227" t="s">
        <v>605</v>
      </c>
      <c r="F954" s="227">
        <v>2</v>
      </c>
      <c r="G954" s="279" t="s">
        <v>5140</v>
      </c>
      <c r="H954" s="279" t="s">
        <v>5141</v>
      </c>
      <c r="I954" s="279" t="s">
        <v>5142</v>
      </c>
      <c r="J954" s="279" t="s">
        <v>5143</v>
      </c>
      <c r="K954" s="279" t="s">
        <v>591</v>
      </c>
      <c r="L954" s="279" t="s">
        <v>592</v>
      </c>
      <c r="M954" s="279" t="s">
        <v>5144</v>
      </c>
      <c r="N954" s="279" t="s">
        <v>622</v>
      </c>
    </row>
    <row r="955" spans="1:14" ht="67.150000000000006">
      <c r="A955" s="268" t="str">
        <f t="shared" si="14"/>
        <v>Teamwork|Analyst|2</v>
      </c>
      <c r="B955" s="223" t="s">
        <v>5057</v>
      </c>
      <c r="C955" s="226" t="s">
        <v>6</v>
      </c>
      <c r="D955" s="227">
        <v>2</v>
      </c>
      <c r="E955" s="227" t="s">
        <v>605</v>
      </c>
      <c r="F955" s="227">
        <v>3</v>
      </c>
      <c r="G955" s="279" t="s">
        <v>5145</v>
      </c>
      <c r="H955" s="279" t="s">
        <v>5146</v>
      </c>
      <c r="I955" s="279" t="s">
        <v>5147</v>
      </c>
      <c r="J955" s="279" t="s">
        <v>5148</v>
      </c>
      <c r="K955" s="279" t="s">
        <v>591</v>
      </c>
      <c r="L955" s="279" t="s">
        <v>592</v>
      </c>
      <c r="M955" s="279" t="s">
        <v>5149</v>
      </c>
      <c r="N955" s="279" t="s">
        <v>737</v>
      </c>
    </row>
    <row r="956" spans="1:14" ht="50.45">
      <c r="A956" s="268" t="str">
        <f t="shared" si="14"/>
        <v>Teamwork|Analyst|3</v>
      </c>
      <c r="B956" s="223" t="s">
        <v>5057</v>
      </c>
      <c r="C956" s="226" t="s">
        <v>6</v>
      </c>
      <c r="D956" s="227">
        <v>3</v>
      </c>
      <c r="E956" s="227" t="s">
        <v>623</v>
      </c>
      <c r="F956" s="227">
        <v>1</v>
      </c>
      <c r="G956" s="279" t="s">
        <v>5150</v>
      </c>
      <c r="H956" s="279" t="s">
        <v>5151</v>
      </c>
      <c r="I956" s="279" t="s">
        <v>5152</v>
      </c>
      <c r="J956" s="279" t="s">
        <v>5153</v>
      </c>
      <c r="K956" s="279" t="s">
        <v>591</v>
      </c>
      <c r="L956" s="279" t="s">
        <v>592</v>
      </c>
      <c r="M956" s="279" t="s">
        <v>5154</v>
      </c>
      <c r="N956" s="279" t="s">
        <v>5155</v>
      </c>
    </row>
    <row r="957" spans="1:14" ht="50.45">
      <c r="A957" s="268" t="str">
        <f t="shared" si="14"/>
        <v>Teamwork|Analyst|3</v>
      </c>
      <c r="B957" s="223" t="s">
        <v>5057</v>
      </c>
      <c r="C957" s="226" t="s">
        <v>6</v>
      </c>
      <c r="D957" s="227">
        <v>3</v>
      </c>
      <c r="E957" s="227" t="s">
        <v>623</v>
      </c>
      <c r="F957" s="227">
        <v>2</v>
      </c>
      <c r="G957" s="279" t="s">
        <v>5156</v>
      </c>
      <c r="H957" s="279" t="s">
        <v>5157</v>
      </c>
      <c r="I957" s="279" t="s">
        <v>5158</v>
      </c>
      <c r="J957" s="279" t="s">
        <v>5159</v>
      </c>
      <c r="K957" s="279" t="s">
        <v>591</v>
      </c>
      <c r="L957" s="279" t="s">
        <v>592</v>
      </c>
      <c r="M957" s="279" t="s">
        <v>5160</v>
      </c>
      <c r="N957" s="279" t="s">
        <v>1859</v>
      </c>
    </row>
    <row r="958" spans="1:14" ht="67.150000000000006">
      <c r="A958" s="268" t="str">
        <f t="shared" si="14"/>
        <v>Teamwork|Analyst|3</v>
      </c>
      <c r="B958" s="223" t="s">
        <v>5057</v>
      </c>
      <c r="C958" s="226" t="s">
        <v>6</v>
      </c>
      <c r="D958" s="227">
        <v>3</v>
      </c>
      <c r="E958" s="227" t="s">
        <v>623</v>
      </c>
      <c r="F958" s="227">
        <v>3</v>
      </c>
      <c r="G958" s="279" t="s">
        <v>5161</v>
      </c>
      <c r="H958" s="279" t="s">
        <v>5162</v>
      </c>
      <c r="I958" s="279" t="s">
        <v>5163</v>
      </c>
      <c r="J958" s="279" t="s">
        <v>5164</v>
      </c>
      <c r="K958" s="279" t="s">
        <v>591</v>
      </c>
      <c r="L958" s="279" t="s">
        <v>592</v>
      </c>
      <c r="M958" s="279" t="s">
        <v>5165</v>
      </c>
      <c r="N958" s="279" t="s">
        <v>5166</v>
      </c>
    </row>
    <row r="959" spans="1:14" ht="67.150000000000006">
      <c r="A959" s="268" t="str">
        <f t="shared" si="14"/>
        <v>Teamwork|Analyst|4</v>
      </c>
      <c r="B959" s="223" t="s">
        <v>5057</v>
      </c>
      <c r="C959" s="226" t="s">
        <v>6</v>
      </c>
      <c r="D959" s="227">
        <v>4</v>
      </c>
      <c r="E959" s="227" t="s">
        <v>641</v>
      </c>
      <c r="F959" s="227">
        <v>1</v>
      </c>
      <c r="G959" s="279" t="s">
        <v>5167</v>
      </c>
      <c r="H959" s="279" t="s">
        <v>5168</v>
      </c>
      <c r="I959" s="279" t="s">
        <v>5169</v>
      </c>
      <c r="J959" s="279" t="s">
        <v>5170</v>
      </c>
      <c r="K959" s="279" t="s">
        <v>591</v>
      </c>
      <c r="L959" s="279" t="s">
        <v>592</v>
      </c>
      <c r="M959" s="279" t="s">
        <v>5171</v>
      </c>
      <c r="N959" s="279" t="s">
        <v>622</v>
      </c>
    </row>
    <row r="960" spans="1:14" ht="84">
      <c r="A960" s="268" t="str">
        <f t="shared" si="14"/>
        <v>Teamwork|Analyst|4</v>
      </c>
      <c r="B960" s="223" t="s">
        <v>5057</v>
      </c>
      <c r="C960" s="226" t="s">
        <v>6</v>
      </c>
      <c r="D960" s="227">
        <v>4</v>
      </c>
      <c r="E960" s="227" t="s">
        <v>641</v>
      </c>
      <c r="F960" s="227">
        <v>2</v>
      </c>
      <c r="G960" s="279" t="s">
        <v>5172</v>
      </c>
      <c r="H960" s="279" t="s">
        <v>5173</v>
      </c>
      <c r="I960" s="279" t="s">
        <v>5174</v>
      </c>
      <c r="J960" s="279" t="s">
        <v>5175</v>
      </c>
      <c r="K960" s="279" t="s">
        <v>591</v>
      </c>
      <c r="L960" s="279" t="s">
        <v>592</v>
      </c>
      <c r="M960" s="279" t="s">
        <v>5176</v>
      </c>
      <c r="N960" s="279" t="s">
        <v>622</v>
      </c>
    </row>
    <row r="961" spans="1:14" ht="50.45">
      <c r="A961" s="268" t="str">
        <f t="shared" si="14"/>
        <v>Teamwork|Analyst|4</v>
      </c>
      <c r="B961" s="223" t="s">
        <v>5057</v>
      </c>
      <c r="C961" s="226" t="s">
        <v>6</v>
      </c>
      <c r="D961" s="227">
        <v>4</v>
      </c>
      <c r="E961" s="227" t="s">
        <v>641</v>
      </c>
      <c r="F961" s="227">
        <v>3</v>
      </c>
      <c r="G961" s="279" t="s">
        <v>5177</v>
      </c>
      <c r="H961" s="279" t="s">
        <v>5178</v>
      </c>
      <c r="I961" s="279" t="s">
        <v>5179</v>
      </c>
      <c r="J961" s="279" t="s">
        <v>5180</v>
      </c>
      <c r="K961" s="279" t="s">
        <v>591</v>
      </c>
      <c r="L961" s="279" t="s">
        <v>592</v>
      </c>
      <c r="M961" s="279" t="s">
        <v>5181</v>
      </c>
      <c r="N961" s="279" t="s">
        <v>3415</v>
      </c>
    </row>
    <row r="962" spans="1:14" ht="84">
      <c r="A962" s="268" t="str">
        <f t="shared" si="14"/>
        <v>Teamwork|Unit Head/Specialist|1</v>
      </c>
      <c r="B962" s="223" t="s">
        <v>5057</v>
      </c>
      <c r="C962" s="227" t="s">
        <v>13</v>
      </c>
      <c r="D962" s="226">
        <v>1</v>
      </c>
      <c r="E962" s="227" t="s">
        <v>586</v>
      </c>
      <c r="F962" s="227">
        <v>1</v>
      </c>
      <c r="G962" s="276" t="s">
        <v>5182</v>
      </c>
      <c r="H962" s="276" t="s">
        <v>5183</v>
      </c>
      <c r="I962" s="276" t="s">
        <v>5184</v>
      </c>
      <c r="J962" s="276" t="s">
        <v>5185</v>
      </c>
      <c r="K962" s="276" t="s">
        <v>591</v>
      </c>
      <c r="L962" s="276" t="s">
        <v>592</v>
      </c>
      <c r="M962" s="276" t="s">
        <v>5186</v>
      </c>
      <c r="N962" s="276" t="s">
        <v>594</v>
      </c>
    </row>
    <row r="963" spans="1:14" ht="84">
      <c r="A963" s="268" t="str">
        <f t="shared" ref="A963:A1009" si="15">B963 &amp; "|" &amp; C963 &amp; "|" &amp; D963</f>
        <v>Teamwork|Unit Head/Specialist|1</v>
      </c>
      <c r="B963" s="223" t="s">
        <v>5057</v>
      </c>
      <c r="C963" s="227" t="s">
        <v>13</v>
      </c>
      <c r="D963" s="226">
        <v>1</v>
      </c>
      <c r="E963" s="227" t="s">
        <v>586</v>
      </c>
      <c r="F963" s="227">
        <v>2</v>
      </c>
      <c r="G963" s="276" t="s">
        <v>5187</v>
      </c>
      <c r="H963" s="276" t="s">
        <v>5188</v>
      </c>
      <c r="I963" s="276" t="s">
        <v>5189</v>
      </c>
      <c r="J963" s="276" t="s">
        <v>5190</v>
      </c>
      <c r="K963" s="276" t="s">
        <v>591</v>
      </c>
      <c r="L963" s="276" t="s">
        <v>592</v>
      </c>
      <c r="M963" s="276" t="s">
        <v>5191</v>
      </c>
      <c r="N963" s="276" t="s">
        <v>594</v>
      </c>
    </row>
    <row r="964" spans="1:14" ht="84">
      <c r="A964" s="268" t="str">
        <f t="shared" si="15"/>
        <v>Teamwork|Unit Head/Specialist|1</v>
      </c>
      <c r="B964" s="223" t="s">
        <v>5057</v>
      </c>
      <c r="C964" s="227" t="s">
        <v>13</v>
      </c>
      <c r="D964" s="226">
        <v>1</v>
      </c>
      <c r="E964" s="227" t="s">
        <v>586</v>
      </c>
      <c r="F964" s="227">
        <v>3</v>
      </c>
      <c r="G964" s="276" t="s">
        <v>5192</v>
      </c>
      <c r="H964" s="276" t="s">
        <v>5193</v>
      </c>
      <c r="I964" s="276" t="s">
        <v>5194</v>
      </c>
      <c r="J964" s="276" t="s">
        <v>5195</v>
      </c>
      <c r="K964" s="276" t="s">
        <v>591</v>
      </c>
      <c r="L964" s="276" t="s">
        <v>592</v>
      </c>
      <c r="M964" s="276" t="s">
        <v>5196</v>
      </c>
      <c r="N964" s="276" t="s">
        <v>622</v>
      </c>
    </row>
    <row r="965" spans="1:14" ht="50.45">
      <c r="A965" s="268" t="str">
        <f t="shared" si="15"/>
        <v>Teamwork|Unit Head/Specialist|2</v>
      </c>
      <c r="B965" s="223" t="s">
        <v>5057</v>
      </c>
      <c r="C965" s="227" t="s">
        <v>13</v>
      </c>
      <c r="D965" s="227">
        <v>2</v>
      </c>
      <c r="E965" s="227" t="s">
        <v>605</v>
      </c>
      <c r="F965" s="227">
        <v>1</v>
      </c>
      <c r="G965" s="276" t="s">
        <v>5197</v>
      </c>
      <c r="H965" s="276" t="s">
        <v>5198</v>
      </c>
      <c r="I965" s="276" t="s">
        <v>5199</v>
      </c>
      <c r="J965" s="276" t="s">
        <v>5200</v>
      </c>
      <c r="K965" s="276" t="s">
        <v>591</v>
      </c>
      <c r="L965" s="276" t="s">
        <v>592</v>
      </c>
      <c r="M965" s="276" t="s">
        <v>5201</v>
      </c>
      <c r="N965" s="276" t="s">
        <v>737</v>
      </c>
    </row>
    <row r="966" spans="1:14" ht="50.45">
      <c r="A966" s="268" t="str">
        <f t="shared" si="15"/>
        <v>Teamwork|Unit Head/Specialist|2</v>
      </c>
      <c r="B966" s="223" t="s">
        <v>5057</v>
      </c>
      <c r="C966" s="227" t="s">
        <v>13</v>
      </c>
      <c r="D966" s="227">
        <v>2</v>
      </c>
      <c r="E966" s="227" t="s">
        <v>605</v>
      </c>
      <c r="F966" s="227">
        <v>2</v>
      </c>
      <c r="G966" s="276" t="s">
        <v>5202</v>
      </c>
      <c r="H966" s="276" t="s">
        <v>5203</v>
      </c>
      <c r="I966" s="276" t="s">
        <v>5204</v>
      </c>
      <c r="J966" s="276" t="s">
        <v>5205</v>
      </c>
      <c r="K966" s="276" t="s">
        <v>591</v>
      </c>
      <c r="L966" s="276" t="s">
        <v>592</v>
      </c>
      <c r="M966" s="276" t="s">
        <v>5206</v>
      </c>
      <c r="N966" s="276" t="s">
        <v>737</v>
      </c>
    </row>
    <row r="967" spans="1:14" ht="67.150000000000006">
      <c r="A967" s="268" t="str">
        <f t="shared" si="15"/>
        <v>Teamwork|Unit Head/Specialist|2</v>
      </c>
      <c r="B967" s="223" t="s">
        <v>5057</v>
      </c>
      <c r="C967" s="227" t="s">
        <v>13</v>
      </c>
      <c r="D967" s="227">
        <v>2</v>
      </c>
      <c r="E967" s="227" t="s">
        <v>605</v>
      </c>
      <c r="F967" s="227">
        <v>3</v>
      </c>
      <c r="G967" s="276" t="s">
        <v>5207</v>
      </c>
      <c r="H967" s="276" t="s">
        <v>5208</v>
      </c>
      <c r="I967" s="276" t="s">
        <v>5209</v>
      </c>
      <c r="J967" s="276" t="s">
        <v>5210</v>
      </c>
      <c r="K967" s="276" t="s">
        <v>591</v>
      </c>
      <c r="L967" s="276" t="s">
        <v>592</v>
      </c>
      <c r="M967" s="276" t="s">
        <v>5211</v>
      </c>
      <c r="N967" s="276" t="s">
        <v>594</v>
      </c>
    </row>
    <row r="968" spans="1:14" ht="50.45">
      <c r="A968" s="268" t="str">
        <f t="shared" si="15"/>
        <v>Teamwork|Unit Head/Specialist|3</v>
      </c>
      <c r="B968" s="223" t="s">
        <v>5057</v>
      </c>
      <c r="C968" s="227" t="s">
        <v>13</v>
      </c>
      <c r="D968" s="227">
        <v>3</v>
      </c>
      <c r="E968" s="227" t="s">
        <v>623</v>
      </c>
      <c r="F968" s="227">
        <v>1</v>
      </c>
      <c r="G968" s="276" t="s">
        <v>5212</v>
      </c>
      <c r="H968" s="276" t="s">
        <v>5213</v>
      </c>
      <c r="I968" s="276" t="s">
        <v>5214</v>
      </c>
      <c r="J968" s="276" t="s">
        <v>5215</v>
      </c>
      <c r="K968" s="276" t="s">
        <v>591</v>
      </c>
      <c r="L968" s="276" t="s">
        <v>592</v>
      </c>
      <c r="M968" s="276" t="s">
        <v>5216</v>
      </c>
      <c r="N968" s="276" t="s">
        <v>5217</v>
      </c>
    </row>
    <row r="969" spans="1:14" ht="67.150000000000006">
      <c r="A969" s="268" t="str">
        <f t="shared" si="15"/>
        <v>Teamwork|Unit Head/Specialist|3</v>
      </c>
      <c r="B969" s="223" t="s">
        <v>5057</v>
      </c>
      <c r="C969" s="227" t="s">
        <v>13</v>
      </c>
      <c r="D969" s="227">
        <v>3</v>
      </c>
      <c r="E969" s="227" t="s">
        <v>623</v>
      </c>
      <c r="F969" s="227">
        <v>2</v>
      </c>
      <c r="G969" s="276" t="s">
        <v>5218</v>
      </c>
      <c r="H969" s="276" t="s">
        <v>5219</v>
      </c>
      <c r="I969" s="276" t="s">
        <v>5220</v>
      </c>
      <c r="J969" s="276" t="s">
        <v>5221</v>
      </c>
      <c r="K969" s="276" t="s">
        <v>591</v>
      </c>
      <c r="L969" s="276" t="s">
        <v>592</v>
      </c>
      <c r="M969" s="276" t="s">
        <v>5222</v>
      </c>
      <c r="N969" s="276" t="s">
        <v>5223</v>
      </c>
    </row>
    <row r="970" spans="1:14" ht="67.150000000000006">
      <c r="A970" s="268" t="str">
        <f t="shared" si="15"/>
        <v>Teamwork|Unit Head/Specialist|3</v>
      </c>
      <c r="B970" s="223" t="s">
        <v>5057</v>
      </c>
      <c r="C970" s="227" t="s">
        <v>13</v>
      </c>
      <c r="D970" s="227">
        <v>3</v>
      </c>
      <c r="E970" s="227" t="s">
        <v>623</v>
      </c>
      <c r="F970" s="227">
        <v>3</v>
      </c>
      <c r="G970" s="276" t="s">
        <v>5224</v>
      </c>
      <c r="H970" s="276" t="s">
        <v>5225</v>
      </c>
      <c r="I970" s="276" t="s">
        <v>5226</v>
      </c>
      <c r="J970" s="276" t="s">
        <v>5227</v>
      </c>
      <c r="K970" s="276" t="s">
        <v>591</v>
      </c>
      <c r="L970" s="276" t="s">
        <v>592</v>
      </c>
      <c r="M970" s="276" t="s">
        <v>5228</v>
      </c>
      <c r="N970" s="276" t="s">
        <v>5229</v>
      </c>
    </row>
    <row r="971" spans="1:14" ht="67.150000000000006">
      <c r="A971" s="268" t="str">
        <f t="shared" si="15"/>
        <v>Teamwork|Unit Head/Specialist|4</v>
      </c>
      <c r="B971" s="223" t="s">
        <v>5057</v>
      </c>
      <c r="C971" s="227" t="s">
        <v>13</v>
      </c>
      <c r="D971" s="227">
        <v>4</v>
      </c>
      <c r="E971" s="227" t="s">
        <v>641</v>
      </c>
      <c r="F971" s="227">
        <v>1</v>
      </c>
      <c r="G971" s="276" t="s">
        <v>5230</v>
      </c>
      <c r="H971" s="276" t="s">
        <v>5231</v>
      </c>
      <c r="I971" s="276" t="s">
        <v>5232</v>
      </c>
      <c r="J971" s="276" t="s">
        <v>5233</v>
      </c>
      <c r="K971" s="276" t="s">
        <v>591</v>
      </c>
      <c r="L971" s="276" t="s">
        <v>592</v>
      </c>
      <c r="M971" s="276" t="s">
        <v>5234</v>
      </c>
      <c r="N971" s="276" t="s">
        <v>622</v>
      </c>
    </row>
    <row r="972" spans="1:14" ht="50.45">
      <c r="A972" s="268" t="str">
        <f t="shared" si="15"/>
        <v>Teamwork|Unit Head/Specialist|4</v>
      </c>
      <c r="B972" s="223" t="s">
        <v>5057</v>
      </c>
      <c r="C972" s="227" t="s">
        <v>13</v>
      </c>
      <c r="D972" s="227">
        <v>4</v>
      </c>
      <c r="E972" s="227" t="s">
        <v>641</v>
      </c>
      <c r="F972" s="227">
        <v>2</v>
      </c>
      <c r="G972" s="276" t="s">
        <v>5235</v>
      </c>
      <c r="H972" s="276" t="s">
        <v>5236</v>
      </c>
      <c r="I972" s="276" t="s">
        <v>5237</v>
      </c>
      <c r="J972" s="276" t="s">
        <v>5238</v>
      </c>
      <c r="K972" s="276" t="s">
        <v>591</v>
      </c>
      <c r="L972" s="276" t="s">
        <v>592</v>
      </c>
      <c r="M972" s="276" t="s">
        <v>5239</v>
      </c>
      <c r="N972" s="276" t="s">
        <v>5240</v>
      </c>
    </row>
    <row r="973" spans="1:14" ht="67.150000000000006">
      <c r="A973" s="268" t="str">
        <f t="shared" si="15"/>
        <v>Teamwork|Unit Head/Specialist|4</v>
      </c>
      <c r="B973" s="223" t="s">
        <v>5057</v>
      </c>
      <c r="C973" s="227" t="s">
        <v>13</v>
      </c>
      <c r="D973" s="227">
        <v>4</v>
      </c>
      <c r="E973" s="227" t="s">
        <v>641</v>
      </c>
      <c r="F973" s="227">
        <v>3</v>
      </c>
      <c r="G973" s="276" t="s">
        <v>5241</v>
      </c>
      <c r="H973" s="276" t="s">
        <v>5242</v>
      </c>
      <c r="I973" s="276" t="s">
        <v>5243</v>
      </c>
      <c r="J973" s="276" t="s">
        <v>5244</v>
      </c>
      <c r="K973" s="276" t="s">
        <v>591</v>
      </c>
      <c r="L973" s="276" t="s">
        <v>592</v>
      </c>
      <c r="M973" s="276" t="s">
        <v>5245</v>
      </c>
      <c r="N973" s="276" t="s">
        <v>5246</v>
      </c>
    </row>
    <row r="974" spans="1:14" ht="84">
      <c r="A974" s="268" t="str">
        <f t="shared" si="15"/>
        <v>Teamwork|Department Head|1</v>
      </c>
      <c r="B974" s="223" t="s">
        <v>5057</v>
      </c>
      <c r="C974" s="227" t="s">
        <v>779</v>
      </c>
      <c r="D974" s="226">
        <v>1</v>
      </c>
      <c r="E974" s="227" t="s">
        <v>586</v>
      </c>
      <c r="F974" s="227">
        <v>1</v>
      </c>
      <c r="G974" s="276" t="s">
        <v>5247</v>
      </c>
      <c r="H974" s="276" t="s">
        <v>5248</v>
      </c>
      <c r="I974" s="276" t="s">
        <v>5249</v>
      </c>
      <c r="J974" s="276" t="s">
        <v>5250</v>
      </c>
      <c r="K974" s="276" t="s">
        <v>591</v>
      </c>
      <c r="L974" s="276" t="s">
        <v>592</v>
      </c>
      <c r="M974" s="276" t="s">
        <v>5251</v>
      </c>
      <c r="N974" s="276" t="s">
        <v>594</v>
      </c>
    </row>
    <row r="975" spans="1:14" ht="50.45">
      <c r="A975" s="268" t="str">
        <f t="shared" si="15"/>
        <v>Teamwork|Department Head|1</v>
      </c>
      <c r="B975" s="223" t="s">
        <v>5057</v>
      </c>
      <c r="C975" s="227" t="s">
        <v>779</v>
      </c>
      <c r="D975" s="226">
        <v>1</v>
      </c>
      <c r="E975" s="227" t="s">
        <v>586</v>
      </c>
      <c r="F975" s="227">
        <v>2</v>
      </c>
      <c r="G975" s="276" t="s">
        <v>5252</v>
      </c>
      <c r="H975" s="276" t="s">
        <v>5253</v>
      </c>
      <c r="I975" s="276" t="s">
        <v>5254</v>
      </c>
      <c r="J975" s="276" t="s">
        <v>4249</v>
      </c>
      <c r="K975" s="276" t="s">
        <v>591</v>
      </c>
      <c r="L975" s="276" t="s">
        <v>592</v>
      </c>
      <c r="M975" s="276" t="s">
        <v>5255</v>
      </c>
      <c r="N975" s="276" t="s">
        <v>594</v>
      </c>
    </row>
    <row r="976" spans="1:14" ht="50.45">
      <c r="A976" s="268" t="str">
        <f t="shared" si="15"/>
        <v>Teamwork|Department Head|1</v>
      </c>
      <c r="B976" s="223" t="s">
        <v>5057</v>
      </c>
      <c r="C976" s="227" t="s">
        <v>779</v>
      </c>
      <c r="D976" s="226">
        <v>1</v>
      </c>
      <c r="E976" s="227" t="s">
        <v>586</v>
      </c>
      <c r="F976" s="227">
        <v>3</v>
      </c>
      <c r="G976" s="276" t="s">
        <v>5256</v>
      </c>
      <c r="H976" s="276" t="s">
        <v>5257</v>
      </c>
      <c r="I976" s="276" t="s">
        <v>5258</v>
      </c>
      <c r="J976" s="276" t="s">
        <v>5259</v>
      </c>
      <c r="K976" s="276" t="s">
        <v>591</v>
      </c>
      <c r="L976" s="276" t="s">
        <v>592</v>
      </c>
      <c r="M976" s="276" t="s">
        <v>5260</v>
      </c>
      <c r="N976" s="276" t="s">
        <v>622</v>
      </c>
    </row>
    <row r="977" spans="1:14" ht="67.150000000000006">
      <c r="A977" s="268" t="str">
        <f t="shared" si="15"/>
        <v>Teamwork|Department Head|2</v>
      </c>
      <c r="B977" s="223" t="s">
        <v>5057</v>
      </c>
      <c r="C977" s="227" t="s">
        <v>779</v>
      </c>
      <c r="D977" s="227">
        <v>2</v>
      </c>
      <c r="E977" s="227" t="s">
        <v>605</v>
      </c>
      <c r="F977" s="227">
        <v>1</v>
      </c>
      <c r="G977" s="276" t="s">
        <v>5261</v>
      </c>
      <c r="H977" s="276" t="s">
        <v>5262</v>
      </c>
      <c r="I977" s="276" t="s">
        <v>5263</v>
      </c>
      <c r="J977" s="276" t="s">
        <v>5264</v>
      </c>
      <c r="K977" s="276" t="s">
        <v>591</v>
      </c>
      <c r="L977" s="276" t="s">
        <v>592</v>
      </c>
      <c r="M977" s="276" t="s">
        <v>5265</v>
      </c>
      <c r="N977" s="276" t="s">
        <v>611</v>
      </c>
    </row>
    <row r="978" spans="1:14" ht="50.45">
      <c r="A978" s="268" t="str">
        <f t="shared" si="15"/>
        <v>Teamwork|Department Head|2</v>
      </c>
      <c r="B978" s="223" t="s">
        <v>5057</v>
      </c>
      <c r="C978" s="227" t="s">
        <v>779</v>
      </c>
      <c r="D978" s="227">
        <v>2</v>
      </c>
      <c r="E978" s="227" t="s">
        <v>605</v>
      </c>
      <c r="F978" s="227">
        <v>2</v>
      </c>
      <c r="G978" s="276" t="s">
        <v>5266</v>
      </c>
      <c r="H978" s="276" t="s">
        <v>5267</v>
      </c>
      <c r="I978" s="276" t="s">
        <v>5268</v>
      </c>
      <c r="J978" s="276" t="s">
        <v>5269</v>
      </c>
      <c r="K978" s="276" t="s">
        <v>591</v>
      </c>
      <c r="L978" s="276" t="s">
        <v>592</v>
      </c>
      <c r="M978" s="276" t="s">
        <v>5270</v>
      </c>
      <c r="N978" s="276" t="s">
        <v>622</v>
      </c>
    </row>
    <row r="979" spans="1:14" ht="50.45">
      <c r="A979" s="268" t="str">
        <f t="shared" si="15"/>
        <v>Teamwork|Department Head|2</v>
      </c>
      <c r="B979" s="223" t="s">
        <v>5057</v>
      </c>
      <c r="C979" s="227" t="s">
        <v>779</v>
      </c>
      <c r="D979" s="227">
        <v>2</v>
      </c>
      <c r="E979" s="227" t="s">
        <v>605</v>
      </c>
      <c r="F979" s="227">
        <v>3</v>
      </c>
      <c r="G979" s="276" t="s">
        <v>5271</v>
      </c>
      <c r="H979" s="276" t="s">
        <v>5272</v>
      </c>
      <c r="I979" s="276" t="s">
        <v>5273</v>
      </c>
      <c r="J979" s="276" t="s">
        <v>5274</v>
      </c>
      <c r="K979" s="276" t="s">
        <v>591</v>
      </c>
      <c r="L979" s="276" t="s">
        <v>592</v>
      </c>
      <c r="M979" s="276" t="s">
        <v>5275</v>
      </c>
      <c r="N979" s="276" t="s">
        <v>622</v>
      </c>
    </row>
    <row r="980" spans="1:14" ht="50.45">
      <c r="A980" s="268" t="str">
        <f t="shared" si="15"/>
        <v>Teamwork|Department Head|3</v>
      </c>
      <c r="B980" s="223" t="s">
        <v>5057</v>
      </c>
      <c r="C980" s="227" t="s">
        <v>779</v>
      </c>
      <c r="D980" s="227">
        <v>3</v>
      </c>
      <c r="E980" s="227" t="s">
        <v>623</v>
      </c>
      <c r="F980" s="227">
        <v>1</v>
      </c>
      <c r="G980" s="276" t="s">
        <v>4588</v>
      </c>
      <c r="H980" s="276" t="s">
        <v>5276</v>
      </c>
      <c r="I980" s="276" t="s">
        <v>5277</v>
      </c>
      <c r="J980" s="276" t="s">
        <v>5278</v>
      </c>
      <c r="K980" s="276" t="s">
        <v>591</v>
      </c>
      <c r="L980" s="276" t="s">
        <v>592</v>
      </c>
      <c r="M980" s="276" t="s">
        <v>2839</v>
      </c>
      <c r="N980" s="276" t="s">
        <v>594</v>
      </c>
    </row>
    <row r="981" spans="1:14" ht="50.45">
      <c r="A981" s="268" t="str">
        <f t="shared" si="15"/>
        <v>Teamwork|Department Head|3</v>
      </c>
      <c r="B981" s="223" t="s">
        <v>5057</v>
      </c>
      <c r="C981" s="227" t="s">
        <v>779</v>
      </c>
      <c r="D981" s="227">
        <v>3</v>
      </c>
      <c r="E981" s="227" t="s">
        <v>623</v>
      </c>
      <c r="F981" s="227">
        <v>2</v>
      </c>
      <c r="G981" s="276" t="s">
        <v>5279</v>
      </c>
      <c r="H981" s="276" t="s">
        <v>5280</v>
      </c>
      <c r="I981" s="276" t="s">
        <v>5281</v>
      </c>
      <c r="J981" s="276" t="s">
        <v>5282</v>
      </c>
      <c r="K981" s="276" t="s">
        <v>591</v>
      </c>
      <c r="L981" s="276" t="s">
        <v>592</v>
      </c>
      <c r="M981" s="276" t="s">
        <v>5283</v>
      </c>
      <c r="N981" s="276" t="s">
        <v>4598</v>
      </c>
    </row>
    <row r="982" spans="1:14" ht="84">
      <c r="A982" s="268" t="str">
        <f t="shared" si="15"/>
        <v>Teamwork|Department Head|3</v>
      </c>
      <c r="B982" s="223" t="s">
        <v>5057</v>
      </c>
      <c r="C982" s="227" t="s">
        <v>779</v>
      </c>
      <c r="D982" s="227">
        <v>3</v>
      </c>
      <c r="E982" s="227" t="s">
        <v>623</v>
      </c>
      <c r="F982" s="227">
        <v>3</v>
      </c>
      <c r="G982" s="276" t="s">
        <v>5284</v>
      </c>
      <c r="H982" s="276" t="s">
        <v>5285</v>
      </c>
      <c r="I982" s="276" t="s">
        <v>5286</v>
      </c>
      <c r="J982" s="276" t="s">
        <v>638</v>
      </c>
      <c r="K982" s="276" t="s">
        <v>591</v>
      </c>
      <c r="L982" s="276" t="s">
        <v>592</v>
      </c>
      <c r="M982" s="276" t="s">
        <v>5287</v>
      </c>
      <c r="N982" s="276" t="s">
        <v>640</v>
      </c>
    </row>
    <row r="983" spans="1:14" ht="50.45">
      <c r="A983" s="268" t="str">
        <f t="shared" si="15"/>
        <v>Teamwork|Department Head|4</v>
      </c>
      <c r="B983" s="223" t="s">
        <v>5057</v>
      </c>
      <c r="C983" s="227" t="s">
        <v>779</v>
      </c>
      <c r="D983" s="227">
        <v>4</v>
      </c>
      <c r="E983" s="227" t="s">
        <v>641</v>
      </c>
      <c r="F983" s="227">
        <v>1</v>
      </c>
      <c r="G983" s="276" t="s">
        <v>5288</v>
      </c>
      <c r="H983" s="276" t="s">
        <v>5289</v>
      </c>
      <c r="I983" s="276" t="s">
        <v>5290</v>
      </c>
      <c r="J983" s="276" t="s">
        <v>5291</v>
      </c>
      <c r="K983" s="276" t="s">
        <v>591</v>
      </c>
      <c r="L983" s="276" t="s">
        <v>592</v>
      </c>
      <c r="M983" s="276" t="s">
        <v>5292</v>
      </c>
      <c r="N983" s="276" t="s">
        <v>622</v>
      </c>
    </row>
    <row r="984" spans="1:14" ht="50.45">
      <c r="A984" s="268" t="str">
        <f t="shared" si="15"/>
        <v>Teamwork|Department Head|4</v>
      </c>
      <c r="B984" s="223" t="s">
        <v>5057</v>
      </c>
      <c r="C984" s="227" t="s">
        <v>779</v>
      </c>
      <c r="D984" s="227">
        <v>4</v>
      </c>
      <c r="E984" s="227" t="s">
        <v>641</v>
      </c>
      <c r="F984" s="227">
        <v>2</v>
      </c>
      <c r="G984" s="276" t="s">
        <v>5293</v>
      </c>
      <c r="H984" s="276" t="s">
        <v>5294</v>
      </c>
      <c r="I984" s="276" t="s">
        <v>5295</v>
      </c>
      <c r="J984" s="276" t="s">
        <v>5296</v>
      </c>
      <c r="K984" s="276" t="s">
        <v>591</v>
      </c>
      <c r="L984" s="276" t="s">
        <v>592</v>
      </c>
      <c r="M984" s="276" t="s">
        <v>5297</v>
      </c>
      <c r="N984" s="276" t="s">
        <v>1928</v>
      </c>
    </row>
    <row r="985" spans="1:14" ht="50.45">
      <c r="A985" s="268" t="str">
        <f t="shared" si="15"/>
        <v>Teamwork|Department Head|4</v>
      </c>
      <c r="B985" s="223" t="s">
        <v>5057</v>
      </c>
      <c r="C985" s="227" t="s">
        <v>779</v>
      </c>
      <c r="D985" s="227">
        <v>4</v>
      </c>
      <c r="E985" s="227" t="s">
        <v>641</v>
      </c>
      <c r="F985" s="227">
        <v>3</v>
      </c>
      <c r="G985" s="276" t="s">
        <v>4613</v>
      </c>
      <c r="H985" s="276" t="s">
        <v>5298</v>
      </c>
      <c r="I985" s="276" t="s">
        <v>5299</v>
      </c>
      <c r="J985" s="276" t="s">
        <v>5300</v>
      </c>
      <c r="K985" s="276" t="s">
        <v>591</v>
      </c>
      <c r="L985" s="276" t="s">
        <v>592</v>
      </c>
      <c r="M985" s="276" t="s">
        <v>5301</v>
      </c>
      <c r="N985" s="276" t="s">
        <v>1928</v>
      </c>
    </row>
    <row r="986" spans="1:14" ht="84">
      <c r="A986" s="268" t="str">
        <f t="shared" si="15"/>
        <v>Teamwork|Division Head|1</v>
      </c>
      <c r="B986" s="223" t="s">
        <v>5057</v>
      </c>
      <c r="C986" s="227" t="s">
        <v>838</v>
      </c>
      <c r="D986" s="226">
        <v>1</v>
      </c>
      <c r="E986" s="227" t="s">
        <v>586</v>
      </c>
      <c r="F986" s="227">
        <v>1</v>
      </c>
      <c r="G986" s="276" t="s">
        <v>5302</v>
      </c>
      <c r="H986" s="276" t="s">
        <v>1508</v>
      </c>
      <c r="I986" s="276" t="s">
        <v>5303</v>
      </c>
      <c r="J986" s="276" t="s">
        <v>5304</v>
      </c>
      <c r="K986" s="276" t="s">
        <v>591</v>
      </c>
      <c r="L986" s="276" t="s">
        <v>592</v>
      </c>
      <c r="M986" s="276" t="s">
        <v>5305</v>
      </c>
      <c r="N986" s="276" t="s">
        <v>594</v>
      </c>
    </row>
    <row r="987" spans="1:14" ht="50.45">
      <c r="A987" s="268" t="str">
        <f t="shared" si="15"/>
        <v>Teamwork|Division Head|1</v>
      </c>
      <c r="B987" s="223" t="s">
        <v>5057</v>
      </c>
      <c r="C987" s="227" t="s">
        <v>838</v>
      </c>
      <c r="D987" s="226">
        <v>1</v>
      </c>
      <c r="E987" s="227" t="s">
        <v>586</v>
      </c>
      <c r="F987" s="227">
        <v>2</v>
      </c>
      <c r="G987" s="276" t="s">
        <v>5306</v>
      </c>
      <c r="H987" s="276" t="s">
        <v>5307</v>
      </c>
      <c r="I987" s="276" t="s">
        <v>5308</v>
      </c>
      <c r="J987" s="276" t="s">
        <v>5309</v>
      </c>
      <c r="K987" s="276" t="s">
        <v>591</v>
      </c>
      <c r="L987" s="276" t="s">
        <v>592</v>
      </c>
      <c r="M987" s="276" t="s">
        <v>5310</v>
      </c>
      <c r="N987" s="276" t="s">
        <v>594</v>
      </c>
    </row>
    <row r="988" spans="1:14" ht="50.45">
      <c r="A988" s="268" t="str">
        <f t="shared" si="15"/>
        <v>Teamwork|Division Head|1</v>
      </c>
      <c r="B988" s="223" t="s">
        <v>5057</v>
      </c>
      <c r="C988" s="227" t="s">
        <v>838</v>
      </c>
      <c r="D988" s="226">
        <v>1</v>
      </c>
      <c r="E988" s="227" t="s">
        <v>586</v>
      </c>
      <c r="F988" s="227">
        <v>3</v>
      </c>
      <c r="G988" s="276" t="s">
        <v>5311</v>
      </c>
      <c r="H988" s="276" t="s">
        <v>5312</v>
      </c>
      <c r="I988" s="276" t="s">
        <v>5313</v>
      </c>
      <c r="J988" s="276" t="s">
        <v>1642</v>
      </c>
      <c r="K988" s="276" t="s">
        <v>591</v>
      </c>
      <c r="L988" s="276" t="s">
        <v>592</v>
      </c>
      <c r="M988" s="276" t="s">
        <v>5314</v>
      </c>
      <c r="N988" s="276" t="s">
        <v>594</v>
      </c>
    </row>
    <row r="989" spans="1:14" ht="67.150000000000006">
      <c r="A989" s="268" t="str">
        <f t="shared" si="15"/>
        <v>Teamwork|Division Head|2</v>
      </c>
      <c r="B989" s="223" t="s">
        <v>5057</v>
      </c>
      <c r="C989" s="227" t="s">
        <v>838</v>
      </c>
      <c r="D989" s="227">
        <v>2</v>
      </c>
      <c r="E989" s="227" t="s">
        <v>605</v>
      </c>
      <c r="F989" s="227">
        <v>1</v>
      </c>
      <c r="G989" s="276" t="s">
        <v>5315</v>
      </c>
      <c r="H989" s="276" t="s">
        <v>5316</v>
      </c>
      <c r="I989" s="276" t="s">
        <v>5317</v>
      </c>
      <c r="J989" s="276" t="s">
        <v>5318</v>
      </c>
      <c r="K989" s="276" t="s">
        <v>591</v>
      </c>
      <c r="L989" s="276" t="s">
        <v>592</v>
      </c>
      <c r="M989" s="276" t="s">
        <v>5319</v>
      </c>
      <c r="N989" s="276" t="s">
        <v>611</v>
      </c>
    </row>
    <row r="990" spans="1:14" ht="50.45">
      <c r="A990" s="268" t="str">
        <f t="shared" si="15"/>
        <v>Teamwork|Division Head|2</v>
      </c>
      <c r="B990" s="223" t="s">
        <v>5057</v>
      </c>
      <c r="C990" s="227" t="s">
        <v>838</v>
      </c>
      <c r="D990" s="227">
        <v>2</v>
      </c>
      <c r="E990" s="227" t="s">
        <v>605</v>
      </c>
      <c r="F990" s="227">
        <v>2</v>
      </c>
      <c r="G990" s="276" t="s">
        <v>5320</v>
      </c>
      <c r="H990" s="276" t="s">
        <v>5321</v>
      </c>
      <c r="I990" s="276" t="s">
        <v>5322</v>
      </c>
      <c r="J990" s="276" t="s">
        <v>5323</v>
      </c>
      <c r="K990" s="276" t="s">
        <v>591</v>
      </c>
      <c r="L990" s="276" t="s">
        <v>592</v>
      </c>
      <c r="M990" s="276" t="s">
        <v>5324</v>
      </c>
      <c r="N990" s="276" t="s">
        <v>5325</v>
      </c>
    </row>
    <row r="991" spans="1:14" ht="50.45">
      <c r="A991" s="268" t="str">
        <f t="shared" si="15"/>
        <v>Teamwork|Division Head|2</v>
      </c>
      <c r="B991" s="223" t="s">
        <v>5057</v>
      </c>
      <c r="C991" s="227" t="s">
        <v>838</v>
      </c>
      <c r="D991" s="227">
        <v>2</v>
      </c>
      <c r="E991" s="227" t="s">
        <v>605</v>
      </c>
      <c r="F991" s="227">
        <v>3</v>
      </c>
      <c r="G991" s="276" t="s">
        <v>5326</v>
      </c>
      <c r="H991" s="276" t="s">
        <v>5327</v>
      </c>
      <c r="I991" s="276" t="s">
        <v>5328</v>
      </c>
      <c r="J991" s="276" t="s">
        <v>5329</v>
      </c>
      <c r="K991" s="276" t="s">
        <v>591</v>
      </c>
      <c r="L991" s="276" t="s">
        <v>592</v>
      </c>
      <c r="M991" s="276" t="s">
        <v>5330</v>
      </c>
      <c r="N991" s="276" t="s">
        <v>594</v>
      </c>
    </row>
    <row r="992" spans="1:14" ht="50.45">
      <c r="A992" s="268" t="str">
        <f t="shared" si="15"/>
        <v>Teamwork|Division Head|3</v>
      </c>
      <c r="B992" s="223" t="s">
        <v>5057</v>
      </c>
      <c r="C992" s="227" t="s">
        <v>838</v>
      </c>
      <c r="D992" s="227">
        <v>3</v>
      </c>
      <c r="E992" s="227" t="s">
        <v>623</v>
      </c>
      <c r="F992" s="227">
        <v>1</v>
      </c>
      <c r="G992" s="276" t="s">
        <v>5331</v>
      </c>
      <c r="H992" s="276" t="s">
        <v>5332</v>
      </c>
      <c r="I992" s="276" t="s">
        <v>5333</v>
      </c>
      <c r="J992" s="276" t="s">
        <v>936</v>
      </c>
      <c r="K992" s="276" t="s">
        <v>591</v>
      </c>
      <c r="L992" s="276" t="s">
        <v>592</v>
      </c>
      <c r="M992" s="276" t="s">
        <v>5334</v>
      </c>
      <c r="N992" s="276" t="s">
        <v>594</v>
      </c>
    </row>
    <row r="993" spans="1:14" ht="50.45">
      <c r="A993" s="268" t="str">
        <f t="shared" si="15"/>
        <v>Teamwork|Division Head|3</v>
      </c>
      <c r="B993" s="223" t="s">
        <v>5057</v>
      </c>
      <c r="C993" s="227" t="s">
        <v>838</v>
      </c>
      <c r="D993" s="227">
        <v>3</v>
      </c>
      <c r="E993" s="227" t="s">
        <v>623</v>
      </c>
      <c r="F993" s="227">
        <v>2</v>
      </c>
      <c r="G993" s="276" t="s">
        <v>5335</v>
      </c>
      <c r="H993" s="276" t="s">
        <v>5336</v>
      </c>
      <c r="I993" s="276" t="s">
        <v>5337</v>
      </c>
      <c r="J993" s="276" t="s">
        <v>5338</v>
      </c>
      <c r="K993" s="276" t="s">
        <v>591</v>
      </c>
      <c r="L993" s="276" t="s">
        <v>592</v>
      </c>
      <c r="M993" s="276" t="s">
        <v>5339</v>
      </c>
      <c r="N993" s="276" t="s">
        <v>622</v>
      </c>
    </row>
    <row r="994" spans="1:14" ht="67.150000000000006">
      <c r="A994" s="268" t="str">
        <f t="shared" si="15"/>
        <v>Teamwork|Division Head|3</v>
      </c>
      <c r="B994" s="223" t="s">
        <v>5057</v>
      </c>
      <c r="C994" s="227" t="s">
        <v>838</v>
      </c>
      <c r="D994" s="227">
        <v>3</v>
      </c>
      <c r="E994" s="227" t="s">
        <v>623</v>
      </c>
      <c r="F994" s="227">
        <v>3</v>
      </c>
      <c r="G994" s="276" t="s">
        <v>5340</v>
      </c>
      <c r="H994" s="276" t="s">
        <v>5341</v>
      </c>
      <c r="I994" s="276" t="s">
        <v>5342</v>
      </c>
      <c r="J994" s="276" t="s">
        <v>638</v>
      </c>
      <c r="K994" s="276" t="s">
        <v>591</v>
      </c>
      <c r="L994" s="276" t="s">
        <v>592</v>
      </c>
      <c r="M994" s="276" t="s">
        <v>5343</v>
      </c>
      <c r="N994" s="276" t="s">
        <v>640</v>
      </c>
    </row>
    <row r="995" spans="1:14" ht="67.150000000000006">
      <c r="A995" s="268" t="str">
        <f t="shared" si="15"/>
        <v>Teamwork|Division Head|4</v>
      </c>
      <c r="B995" s="223" t="s">
        <v>5057</v>
      </c>
      <c r="C995" s="227" t="s">
        <v>838</v>
      </c>
      <c r="D995" s="227">
        <v>4</v>
      </c>
      <c r="E995" s="227" t="s">
        <v>641</v>
      </c>
      <c r="F995" s="227">
        <v>1</v>
      </c>
      <c r="G995" s="276" t="s">
        <v>5344</v>
      </c>
      <c r="H995" s="276" t="s">
        <v>5345</v>
      </c>
      <c r="I995" s="276" t="s">
        <v>5346</v>
      </c>
      <c r="J995" s="276" t="s">
        <v>5347</v>
      </c>
      <c r="K995" s="276" t="s">
        <v>591</v>
      </c>
      <c r="L995" s="276" t="s">
        <v>592</v>
      </c>
      <c r="M995" s="276" t="s">
        <v>5348</v>
      </c>
      <c r="N995" s="276" t="s">
        <v>622</v>
      </c>
    </row>
    <row r="996" spans="1:14" ht="67.150000000000006">
      <c r="A996" s="268" t="str">
        <f t="shared" si="15"/>
        <v>Teamwork|Division Head|4</v>
      </c>
      <c r="B996" s="223" t="s">
        <v>5057</v>
      </c>
      <c r="C996" s="227" t="s">
        <v>838</v>
      </c>
      <c r="D996" s="227">
        <v>4</v>
      </c>
      <c r="E996" s="227" t="s">
        <v>641</v>
      </c>
      <c r="F996" s="227">
        <v>2</v>
      </c>
      <c r="G996" s="276" t="s">
        <v>5349</v>
      </c>
      <c r="H996" s="276" t="s">
        <v>5350</v>
      </c>
      <c r="I996" s="276" t="s">
        <v>5351</v>
      </c>
      <c r="J996" s="276" t="s">
        <v>5352</v>
      </c>
      <c r="K996" s="276" t="s">
        <v>591</v>
      </c>
      <c r="L996" s="276" t="s">
        <v>592</v>
      </c>
      <c r="M996" s="276" t="s">
        <v>5353</v>
      </c>
      <c r="N996" s="276" t="s">
        <v>622</v>
      </c>
    </row>
    <row r="997" spans="1:14" ht="50.45">
      <c r="A997" s="268" t="str">
        <f t="shared" si="15"/>
        <v>Teamwork|Division Head|4</v>
      </c>
      <c r="B997" s="223" t="s">
        <v>5057</v>
      </c>
      <c r="C997" s="227" t="s">
        <v>838</v>
      </c>
      <c r="D997" s="227">
        <v>4</v>
      </c>
      <c r="E997" s="227" t="s">
        <v>641</v>
      </c>
      <c r="F997" s="227">
        <v>3</v>
      </c>
      <c r="G997" s="276" t="s">
        <v>5354</v>
      </c>
      <c r="H997" s="276" t="s">
        <v>5355</v>
      </c>
      <c r="I997" s="276" t="s">
        <v>5356</v>
      </c>
      <c r="J997" s="276" t="s">
        <v>5357</v>
      </c>
      <c r="K997" s="276" t="s">
        <v>591</v>
      </c>
      <c r="L997" s="276" t="s">
        <v>592</v>
      </c>
      <c r="M997" s="276" t="s">
        <v>5358</v>
      </c>
      <c r="N997" s="276" t="s">
        <v>5359</v>
      </c>
    </row>
    <row r="998" spans="1:14" ht="67.150000000000006">
      <c r="A998" s="268" t="str">
        <f t="shared" si="15"/>
        <v>Teamwork|Director|1</v>
      </c>
      <c r="B998" s="223" t="s">
        <v>5057</v>
      </c>
      <c r="C998" s="227" t="s">
        <v>898</v>
      </c>
      <c r="D998" s="226">
        <v>1</v>
      </c>
      <c r="E998" s="227" t="s">
        <v>586</v>
      </c>
      <c r="F998" s="227">
        <v>1</v>
      </c>
      <c r="G998" s="279" t="s">
        <v>5360</v>
      </c>
      <c r="H998" s="279" t="s">
        <v>5361</v>
      </c>
      <c r="I998" s="279" t="s">
        <v>5362</v>
      </c>
      <c r="J998" s="279" t="s">
        <v>5363</v>
      </c>
      <c r="K998" s="279" t="s">
        <v>591</v>
      </c>
      <c r="L998" s="279" t="s">
        <v>592</v>
      </c>
      <c r="M998" s="279" t="s">
        <v>5364</v>
      </c>
      <c r="N998" s="279" t="s">
        <v>594</v>
      </c>
    </row>
    <row r="999" spans="1:14" ht="50.45">
      <c r="A999" s="268" t="str">
        <f t="shared" si="15"/>
        <v>Teamwork|Director|1</v>
      </c>
      <c r="B999" s="223" t="s">
        <v>5057</v>
      </c>
      <c r="C999" s="227" t="s">
        <v>898</v>
      </c>
      <c r="D999" s="226">
        <v>1</v>
      </c>
      <c r="E999" s="227" t="s">
        <v>586</v>
      </c>
      <c r="F999" s="227">
        <v>2</v>
      </c>
      <c r="G999" s="279" t="s">
        <v>5365</v>
      </c>
      <c r="H999" s="279" t="s">
        <v>5366</v>
      </c>
      <c r="I999" s="279" t="s">
        <v>5367</v>
      </c>
      <c r="J999" s="279" t="s">
        <v>5368</v>
      </c>
      <c r="K999" s="279" t="s">
        <v>591</v>
      </c>
      <c r="L999" s="279" t="s">
        <v>592</v>
      </c>
      <c r="M999" s="279" t="s">
        <v>5369</v>
      </c>
      <c r="N999" s="279" t="s">
        <v>594</v>
      </c>
    </row>
    <row r="1000" spans="1:14" ht="50.45">
      <c r="A1000" s="268" t="str">
        <f t="shared" si="15"/>
        <v>Teamwork|Director|1</v>
      </c>
      <c r="B1000" s="223" t="s">
        <v>5057</v>
      </c>
      <c r="C1000" s="227" t="s">
        <v>898</v>
      </c>
      <c r="D1000" s="226">
        <v>1</v>
      </c>
      <c r="E1000" s="227" t="s">
        <v>586</v>
      </c>
      <c r="F1000" s="227">
        <v>3</v>
      </c>
      <c r="G1000" s="279" t="s">
        <v>5370</v>
      </c>
      <c r="H1000" s="279" t="s">
        <v>5371</v>
      </c>
      <c r="I1000" s="279" t="s">
        <v>5372</v>
      </c>
      <c r="J1000" s="279" t="s">
        <v>5373</v>
      </c>
      <c r="K1000" s="279" t="s">
        <v>591</v>
      </c>
      <c r="L1000" s="279" t="s">
        <v>592</v>
      </c>
      <c r="M1000" s="279" t="s">
        <v>5374</v>
      </c>
      <c r="N1000" s="279" t="s">
        <v>622</v>
      </c>
    </row>
    <row r="1001" spans="1:14" ht="50.45">
      <c r="A1001" s="268" t="str">
        <f t="shared" si="15"/>
        <v>Teamwork|Director|2</v>
      </c>
      <c r="B1001" s="223" t="s">
        <v>5057</v>
      </c>
      <c r="C1001" s="227" t="s">
        <v>898</v>
      </c>
      <c r="D1001" s="227">
        <v>2</v>
      </c>
      <c r="E1001" s="227" t="s">
        <v>605</v>
      </c>
      <c r="F1001" s="227">
        <v>1</v>
      </c>
      <c r="G1001" s="279" t="s">
        <v>5375</v>
      </c>
      <c r="H1001" s="279" t="s">
        <v>5376</v>
      </c>
      <c r="I1001" s="279" t="s">
        <v>5377</v>
      </c>
      <c r="J1001" s="279" t="s">
        <v>5378</v>
      </c>
      <c r="K1001" s="279" t="s">
        <v>591</v>
      </c>
      <c r="L1001" s="279" t="s">
        <v>592</v>
      </c>
      <c r="M1001" s="279" t="s">
        <v>5379</v>
      </c>
      <c r="N1001" s="279" t="s">
        <v>611</v>
      </c>
    </row>
    <row r="1002" spans="1:14" ht="50.45">
      <c r="A1002" s="268" t="str">
        <f t="shared" si="15"/>
        <v>Teamwork|Director|2</v>
      </c>
      <c r="B1002" s="223" t="s">
        <v>5057</v>
      </c>
      <c r="C1002" s="227" t="s">
        <v>898</v>
      </c>
      <c r="D1002" s="227">
        <v>2</v>
      </c>
      <c r="E1002" s="227" t="s">
        <v>605</v>
      </c>
      <c r="F1002" s="227">
        <v>2</v>
      </c>
      <c r="G1002" s="279" t="s">
        <v>5380</v>
      </c>
      <c r="H1002" s="279" t="s">
        <v>5381</v>
      </c>
      <c r="I1002" s="279" t="s">
        <v>5382</v>
      </c>
      <c r="J1002" s="279" t="s">
        <v>5383</v>
      </c>
      <c r="K1002" s="279" t="s">
        <v>591</v>
      </c>
      <c r="L1002" s="279" t="s">
        <v>592</v>
      </c>
      <c r="M1002" s="279" t="s">
        <v>5384</v>
      </c>
      <c r="N1002" s="279" t="s">
        <v>611</v>
      </c>
    </row>
    <row r="1003" spans="1:14" ht="50.45">
      <c r="A1003" s="268" t="str">
        <f t="shared" si="15"/>
        <v>Teamwork|Director|2</v>
      </c>
      <c r="B1003" s="223" t="s">
        <v>5057</v>
      </c>
      <c r="C1003" s="227" t="s">
        <v>898</v>
      </c>
      <c r="D1003" s="227">
        <v>2</v>
      </c>
      <c r="E1003" s="227" t="s">
        <v>605</v>
      </c>
      <c r="F1003" s="227">
        <v>3</v>
      </c>
      <c r="G1003" s="279" t="s">
        <v>5385</v>
      </c>
      <c r="H1003" s="279" t="s">
        <v>5386</v>
      </c>
      <c r="I1003" s="279" t="s">
        <v>5387</v>
      </c>
      <c r="J1003" s="279" t="s">
        <v>5388</v>
      </c>
      <c r="K1003" s="279" t="s">
        <v>591</v>
      </c>
      <c r="L1003" s="279" t="s">
        <v>592</v>
      </c>
      <c r="M1003" s="279" t="s">
        <v>5389</v>
      </c>
      <c r="N1003" s="279" t="s">
        <v>622</v>
      </c>
    </row>
    <row r="1004" spans="1:14" ht="50.45">
      <c r="A1004" s="268" t="str">
        <f t="shared" si="15"/>
        <v>Teamwork|Director|3</v>
      </c>
      <c r="B1004" s="223" t="s">
        <v>5057</v>
      </c>
      <c r="C1004" s="227" t="s">
        <v>898</v>
      </c>
      <c r="D1004" s="227">
        <v>3</v>
      </c>
      <c r="E1004" s="227" t="s">
        <v>623</v>
      </c>
      <c r="F1004" s="227">
        <v>1</v>
      </c>
      <c r="G1004" s="279" t="s">
        <v>5390</v>
      </c>
      <c r="H1004" s="279" t="s">
        <v>5391</v>
      </c>
      <c r="I1004" s="279" t="s">
        <v>5392</v>
      </c>
      <c r="J1004" s="279" t="s">
        <v>5393</v>
      </c>
      <c r="K1004" s="279" t="s">
        <v>591</v>
      </c>
      <c r="L1004" s="279" t="s">
        <v>592</v>
      </c>
      <c r="M1004" s="279" t="s">
        <v>5394</v>
      </c>
      <c r="N1004" s="279" t="s">
        <v>5395</v>
      </c>
    </row>
    <row r="1005" spans="1:14" ht="50.45">
      <c r="A1005" s="268" t="str">
        <f t="shared" si="15"/>
        <v>Teamwork|Director|3</v>
      </c>
      <c r="B1005" s="223" t="s">
        <v>5057</v>
      </c>
      <c r="C1005" s="227" t="s">
        <v>898</v>
      </c>
      <c r="D1005" s="227">
        <v>3</v>
      </c>
      <c r="E1005" s="227" t="s">
        <v>623</v>
      </c>
      <c r="F1005" s="227">
        <v>2</v>
      </c>
      <c r="G1005" s="279" t="s">
        <v>5396</v>
      </c>
      <c r="H1005" s="279" t="s">
        <v>5397</v>
      </c>
      <c r="I1005" s="279" t="s">
        <v>5398</v>
      </c>
      <c r="J1005" s="279" t="s">
        <v>5399</v>
      </c>
      <c r="K1005" s="279" t="s">
        <v>591</v>
      </c>
      <c r="L1005" s="279" t="s">
        <v>592</v>
      </c>
      <c r="M1005" s="279" t="s">
        <v>5400</v>
      </c>
      <c r="N1005" s="279" t="s">
        <v>5401</v>
      </c>
    </row>
    <row r="1006" spans="1:14" ht="84">
      <c r="A1006" s="268" t="str">
        <f t="shared" si="15"/>
        <v>Teamwork|Director|3</v>
      </c>
      <c r="B1006" s="223" t="s">
        <v>5057</v>
      </c>
      <c r="C1006" s="227" t="s">
        <v>898</v>
      </c>
      <c r="D1006" s="227">
        <v>3</v>
      </c>
      <c r="E1006" s="227" t="s">
        <v>623</v>
      </c>
      <c r="F1006" s="227">
        <v>3</v>
      </c>
      <c r="G1006" s="279" t="s">
        <v>5402</v>
      </c>
      <c r="H1006" s="279" t="s">
        <v>5403</v>
      </c>
      <c r="I1006" s="279" t="s">
        <v>5404</v>
      </c>
      <c r="J1006" s="279" t="s">
        <v>5405</v>
      </c>
      <c r="K1006" s="279" t="s">
        <v>591</v>
      </c>
      <c r="L1006" s="279" t="s">
        <v>592</v>
      </c>
      <c r="M1006" s="279" t="s">
        <v>5406</v>
      </c>
      <c r="N1006" s="279" t="s">
        <v>640</v>
      </c>
    </row>
    <row r="1007" spans="1:14" ht="50.45">
      <c r="A1007" s="268" t="str">
        <f t="shared" si="15"/>
        <v>Teamwork|Director|4</v>
      </c>
      <c r="B1007" s="223" t="s">
        <v>5057</v>
      </c>
      <c r="C1007" s="227" t="s">
        <v>898</v>
      </c>
      <c r="D1007" s="227">
        <v>4</v>
      </c>
      <c r="E1007" s="227" t="s">
        <v>641</v>
      </c>
      <c r="F1007" s="227">
        <v>1</v>
      </c>
      <c r="G1007" s="279" t="s">
        <v>5407</v>
      </c>
      <c r="H1007" s="279" t="s">
        <v>3685</v>
      </c>
      <c r="I1007" s="279" t="s">
        <v>5408</v>
      </c>
      <c r="J1007" s="279" t="s">
        <v>5409</v>
      </c>
      <c r="K1007" s="279" t="s">
        <v>591</v>
      </c>
      <c r="L1007" s="279" t="s">
        <v>592</v>
      </c>
      <c r="M1007" s="279" t="s">
        <v>5410</v>
      </c>
      <c r="N1007" s="279" t="s">
        <v>3689</v>
      </c>
    </row>
    <row r="1008" spans="1:14" ht="50.45">
      <c r="A1008" s="268" t="str">
        <f t="shared" si="15"/>
        <v>Teamwork|Director|4</v>
      </c>
      <c r="B1008" s="223" t="s">
        <v>5057</v>
      </c>
      <c r="C1008" s="227" t="s">
        <v>898</v>
      </c>
      <c r="D1008" s="227">
        <v>4</v>
      </c>
      <c r="E1008" s="227" t="s">
        <v>641</v>
      </c>
      <c r="F1008" s="227">
        <v>2</v>
      </c>
      <c r="G1008" s="279" t="s">
        <v>5411</v>
      </c>
      <c r="H1008" s="279" t="s">
        <v>5412</v>
      </c>
      <c r="I1008" s="279" t="s">
        <v>5413</v>
      </c>
      <c r="J1008" s="279" t="s">
        <v>5414</v>
      </c>
      <c r="K1008" s="279" t="s">
        <v>591</v>
      </c>
      <c r="L1008" s="279" t="s">
        <v>592</v>
      </c>
      <c r="M1008" s="279" t="s">
        <v>5415</v>
      </c>
      <c r="N1008" s="279" t="s">
        <v>5416</v>
      </c>
    </row>
    <row r="1009" spans="1:14" ht="67.150000000000006">
      <c r="A1009" s="268" t="str">
        <f t="shared" si="15"/>
        <v>Teamwork|Director|4</v>
      </c>
      <c r="B1009" s="223" t="s">
        <v>5057</v>
      </c>
      <c r="C1009" s="227" t="s">
        <v>898</v>
      </c>
      <c r="D1009" s="227">
        <v>4</v>
      </c>
      <c r="E1009" s="227" t="s">
        <v>641</v>
      </c>
      <c r="F1009" s="227">
        <v>3</v>
      </c>
      <c r="G1009" s="279" t="s">
        <v>5417</v>
      </c>
      <c r="H1009" s="279" t="s">
        <v>5418</v>
      </c>
      <c r="I1009" s="279" t="s">
        <v>5419</v>
      </c>
      <c r="J1009" s="279" t="s">
        <v>5420</v>
      </c>
      <c r="K1009" s="279" t="s">
        <v>591</v>
      </c>
      <c r="L1009" s="279" t="s">
        <v>592</v>
      </c>
      <c r="M1009" s="279" t="s">
        <v>5421</v>
      </c>
      <c r="N1009" s="279" t="s">
        <v>5422</v>
      </c>
    </row>
  </sheetData>
  <phoneticPr fontId="59" type="noConversion"/>
  <conditionalFormatting sqref="G1:G1048576">
    <cfRule type="duplicateValues" dxfId="30"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9A50-6649-42FA-B609-D3C5697B34EB}">
  <dimension ref="Z1:BE37"/>
  <sheetViews>
    <sheetView topLeftCell="AO1" workbookViewId="0">
      <selection activeCell="BF21" sqref="BF21"/>
    </sheetView>
  </sheetViews>
  <sheetFormatPr defaultRowHeight="14.45"/>
  <cols>
    <col min="26" max="26" width="48.7109375" bestFit="1" customWidth="1"/>
    <col min="27" max="27" width="26.85546875" bestFit="1" customWidth="1"/>
    <col min="28" max="28" width="18.42578125" bestFit="1" customWidth="1"/>
    <col min="29" max="29" width="8" bestFit="1" customWidth="1"/>
    <col min="30" max="30" width="8" customWidth="1"/>
    <col min="31" max="31" width="35.85546875" bestFit="1" customWidth="1"/>
    <col min="32" max="32" width="5.140625" bestFit="1" customWidth="1"/>
    <col min="33" max="33" width="26.85546875" bestFit="1" customWidth="1"/>
    <col min="34" max="34" width="18.42578125" bestFit="1" customWidth="1"/>
    <col min="42" max="42" width="16" bestFit="1" customWidth="1"/>
    <col min="46" max="46" width="16" bestFit="1" customWidth="1"/>
    <col min="47" max="47" width="10.28515625" bestFit="1" customWidth="1"/>
    <col min="51" max="51" width="21.5703125" bestFit="1" customWidth="1"/>
    <col min="52" max="52" width="16" bestFit="1" customWidth="1"/>
    <col min="59" max="59" width="16" bestFit="1" customWidth="1"/>
    <col min="60" max="60" width="32.42578125" bestFit="1" customWidth="1"/>
    <col min="61" max="61" width="41.7109375" bestFit="1" customWidth="1"/>
  </cols>
  <sheetData>
    <row r="1" spans="26:57">
      <c r="Z1" t="s">
        <v>5423</v>
      </c>
      <c r="AA1" t="s">
        <v>5424</v>
      </c>
      <c r="AB1" t="s">
        <v>5425</v>
      </c>
      <c r="AC1" t="s">
        <v>5426</v>
      </c>
      <c r="AD1" t="s">
        <v>5427</v>
      </c>
      <c r="AE1" t="s">
        <v>5428</v>
      </c>
      <c r="AF1" t="s">
        <v>5429</v>
      </c>
      <c r="AG1" t="s">
        <v>5430</v>
      </c>
      <c r="AH1" t="s">
        <v>5431</v>
      </c>
      <c r="AP1" t="s">
        <v>5432</v>
      </c>
      <c r="AQ1" t="s">
        <v>5433</v>
      </c>
      <c r="AR1" t="s">
        <v>5434</v>
      </c>
      <c r="AS1" t="s">
        <v>5435</v>
      </c>
      <c r="AT1" t="s">
        <v>5436</v>
      </c>
      <c r="AU1" t="s">
        <v>5437</v>
      </c>
      <c r="AV1" t="s">
        <v>5438</v>
      </c>
      <c r="AW1" t="s">
        <v>5439</v>
      </c>
      <c r="AX1" t="s">
        <v>5440</v>
      </c>
      <c r="AY1" t="s">
        <v>5441</v>
      </c>
      <c r="AZ1" t="s">
        <v>5442</v>
      </c>
    </row>
    <row r="2" spans="26:57">
      <c r="Z2" t="str" cm="1">
        <f t="array" ref="Z2:Z13">_xlfn.LET(_xlpm.p,Kompetensi!$I$13:$I$52,_xlpm.t,(_xlpm.p&gt;=1)*(_xlpm.p&lt;=3),_xlpm.srt,_xlfn.SORTBY(_xlfn._xlws.FILTER(Kompetensi!$J$13:$J$52,_xlpm.t),_xlfn._xlws.FILTER(_xlpm.p,_xlpm.t)),_xlpm.idx,INT((_xlfn.SEQUENCE(12)-1)/4)+1,INDEX(_xlpm.srt,_xlpm.idx))</f>
        <v>Achievement Drive|Analyst|1</v>
      </c>
      <c r="AA2" t="str" cm="1">
        <f t="array" ref="AA2:AA13">_xlfn.VSTACK("Personal Development","Education-Based Development","Relation-Based Development","Experience-Based Development","Personal Development","Education-Based Development","Relation-Based Development","Experience-Based Development","Personal Development","Education-Based Development","Relation-Based Development","Experience-Based Development")</f>
        <v>Personal Development</v>
      </c>
      <c r="AB2" t="str" cm="1">
        <f t="array" ref="AB2:AB13">_xlfn.LET(_xlpm.p,Kompetensi!$I$13:$I$54,_xlpm.t,(_xlpm.p&gt;=1)*(_xlpm.p&lt;=3),_xlpm.srt,_xlfn.SORTBY(_xlfn._xlws.FILTER(Kompetensi!$A$13:$A$54,_xlpm.t),_xlfn._xlws.FILTER(_xlpm.p,_xlpm.t)),_xlpm.idx,INT((_xlfn.SEQUENCE(12)-1)/4)+1,INDEX(_xlpm.srt,_xlpm.idx))</f>
        <v>Achievement Drive</v>
      </c>
      <c r="AC2" cm="1">
        <f t="array" ref="AC2:AC13">_xlfn.LET(_xlpm.p,Kompetensi!$I$13:$I$54,_xlpm.t,(_xlpm.p&gt;=1)*(_xlpm.p&lt;=3),_xlpm.srt,_xlfn.SORTBY(_xlfn._xlws.FILTER(Kompetensi!$F$13:$F$54,_xlpm.t),_xlfn._xlws.FILTER(_xlpm.p,_xlpm.t)),_xlpm.idx,INT((_xlfn.SEQUENCE(12)-1)/4)+1,INDEX(_xlpm.srt,_xlpm.idx))</f>
        <v>2</v>
      </c>
      <c r="AD2" cm="1">
        <f t="array" ref="AD2:AD13">_xlfn.MAP(_xlfn.ANCHORARRAY($AC$2),_xlfn.LAMBDA(_xlpm.x,MIN(3,_xlpm.x)))</f>
        <v>2</v>
      </c>
      <c r="AE2" t="str" cm="1">
        <f t="array" ref="AE2:AE21">_xlfn.TAKE(_xlfn.DROP(_xlfn.REDUCE("",_xlfn.SEQUENCE(12),_xlfn.LAMBDA(_xlpm.acc,_xlpm.i,_xlfn.LET(_xlpm.g,INDEX($AD$2:$AD$13,_xlpm.i),_xlfn.VSTACK(_xlpm.acc,IF(_xlfn.SEQUENCE(_xlpm.g),INDEX($Z$2:$Z$13,_xlpm.i)))))),1),24)</f>
        <v>Achievement Drive|Analyst|1</v>
      </c>
      <c r="AF2" cm="1">
        <f t="array" ref="AF2:AF21">_xlfn.TAKE(_xlfn.DROP(_xlfn.REDUCE("",_xlfn.SEQUENCE(12),_xlfn.LAMBDA(_xlpm.acc,_xlpm.i,_xlfn.LET(_xlpm.g,INDEX($AD$2:$AD$13,_xlpm.i),_xlfn.VSTACK(_xlpm.acc,_xlfn.SEQUENCE(_xlpm.g))))),1),24)</f>
        <v>1</v>
      </c>
      <c r="AG2" t="str" cm="1">
        <f t="array" ref="AG2:AG21">_xlfn.TAKE(_xlfn.DROP(_xlfn.REDUCE("",_xlfn.SEQUENCE(12),_xlfn.LAMBDA(_xlpm.acc,_xlpm.i,_xlfn.LET(_xlpm.g,INDEX($AD$2:$AD$13,_xlpm.i),_xlfn.VSTACK(_xlpm.acc,IF(_xlfn.SEQUENCE(_xlpm.g),INDEX($AA$2:$AA$13,_xlpm.i)))))),1),24)</f>
        <v>Personal Development</v>
      </c>
      <c r="AH2" t="str" cm="1">
        <f t="array" ref="AH2:AH21">_xlfn.TAKE(_xlfn.DROP(_xlfn.REDUCE("",_xlfn.SEQUENCE(12),_xlfn.LAMBDA(_xlpm.acc,_xlpm.i,_xlfn.LET(_xlpm.g,INDEX($AD$2:$AD$13,_xlpm.i),_xlfn.VSTACK(_xlpm.acc,IF(_xlfn.SEQUENCE(_xlpm.g),INDEX($AB$2:$AB$13,_xlpm.i)))))),1),24)</f>
        <v>Achievement Drive</v>
      </c>
      <c r="AP2" t="str" cm="1">
        <f t="array" ref="AP2:AP4">_xlfn.LET(_xlpm.p,Kompetensi!$I$13:$I$52,_xlpm.t,(_xlpm.p&gt;=1)*(_xlpm.p&lt;=3),_xlpm.srt,_xlfn.SORTBY(_xlfn._xlws.FILTER(Kompetensi!$A$13:$A$52,_xlpm.t),_xlfn._xlws.FILTER(_xlpm.p,_xlpm.t)),_xlpm.srt)</f>
        <v>Achievement Drive</v>
      </c>
      <c r="AQ2">
        <f>1</f>
        <v>1</v>
      </c>
      <c r="AR2">
        <f>4</f>
        <v>4</v>
      </c>
      <c r="AS2">
        <f>AR2-AQ2</f>
        <v>3</v>
      </c>
      <c r="AT2" t="str" cm="1">
        <f t="array" ref="AT2:AT37">_xlfn.LET(_xlpm.k,_xlfn.ANCHORARRAY(AP2),_xlpm.idx,INT((_xlfn.SEQUENCE(36)-1)/12)+1,INDEX(_xlpm.k,_xlpm.idx))</f>
        <v>Achievement Drive</v>
      </c>
      <c r="AU2" cm="1">
        <f t="array" ref="AU2:AU37">MOD(INT((_xlfn.SEQUENCE(36)-1)/3),4)+1</f>
        <v>1</v>
      </c>
      <c r="AV2" cm="1">
        <f t="array" ref="AV2:AV37">MOD(_xlfn.SEQUENCE(36)-1,3)+2</f>
        <v>2</v>
      </c>
      <c r="AW2" cm="1">
        <f t="array" ref="AW2:AW37">_xlfn.EXPAND(1,36,1,1)</f>
        <v>1</v>
      </c>
      <c r="AX2" cm="1">
        <f t="array" ref="AX2:AX37">_xlfn.EXPAND(4,36,1,4)</f>
        <v>4</v>
      </c>
      <c r="AY2" t="str" cm="1">
        <f t="array" ref="AY2:AY37">_xlfn.EXPAND(Identitas!$D$5,36,1,Identitas!$D$5)</f>
        <v>Analyst</v>
      </c>
      <c r="AZ2" t="str" cm="1">
        <f t="array" aca="1" ref="AZ2:BE37" ca="1">_xlfn._xlws.FILTER(_xlfn.ANCHORARRAY(AT2):_xlfn.ANCHORARRAY(AY2),(_xlfn.ANCHORARRAY(AV2)&gt;=_xlfn.ANCHORARRAY(AW2)+1)*(_xlfn.ANCHORARRAY(AV2)&lt;=_xlfn.ANCHORARRAY(AX2)))</f>
        <v>Achievement Drive</v>
      </c>
      <c r="BA2">
        <f ca="1"/>
        <v>1</v>
      </c>
      <c r="BB2">
        <f ca="1"/>
        <v>2</v>
      </c>
      <c r="BC2">
        <f ca="1"/>
        <v>1</v>
      </c>
      <c r="BD2">
        <f ca="1"/>
        <v>4</v>
      </c>
      <c r="BE2" t="str">
        <f ca="1"/>
        <v>Analyst</v>
      </c>
    </row>
    <row r="3" spans="26:57">
      <c r="Z3" t="str">
        <v>Achievement Drive|Analyst|1</v>
      </c>
      <c r="AA3" t="str">
        <v>Education-Based Development</v>
      </c>
      <c r="AB3" t="str">
        <v>Achievement Drive</v>
      </c>
      <c r="AC3">
        <v>2</v>
      </c>
      <c r="AD3">
        <v>2</v>
      </c>
      <c r="AE3" t="str">
        <v>Achievement Drive|Analyst|1</v>
      </c>
      <c r="AF3">
        <v>2</v>
      </c>
      <c r="AG3" t="str">
        <v>Personal Development</v>
      </c>
      <c r="AH3" t="str">
        <v>Achievement Drive</v>
      </c>
      <c r="AP3" t="str">
        <v>Leadership</v>
      </c>
      <c r="AT3" t="str">
        <v>Achievement Drive</v>
      </c>
      <c r="AU3">
        <v>1</v>
      </c>
      <c r="AV3">
        <v>3</v>
      </c>
      <c r="AW3">
        <v>1</v>
      </c>
      <c r="AX3">
        <v>4</v>
      </c>
      <c r="AY3" t="str">
        <v>Analyst</v>
      </c>
      <c r="AZ3" t="str">
        <f ca="1"/>
        <v>Achievement Drive</v>
      </c>
      <c r="BA3">
        <f ca="1"/>
        <v>1</v>
      </c>
      <c r="BB3">
        <f ca="1"/>
        <v>3</v>
      </c>
      <c r="BC3">
        <f ca="1"/>
        <v>1</v>
      </c>
      <c r="BD3">
        <f ca="1"/>
        <v>4</v>
      </c>
      <c r="BE3" t="str">
        <f ca="1"/>
        <v>Analyst</v>
      </c>
    </row>
    <row r="4" spans="26:57">
      <c r="Z4" t="str">
        <v>Achievement Drive|Analyst|1</v>
      </c>
      <c r="AA4" t="str">
        <v>Relation-Based Development</v>
      </c>
      <c r="AB4" t="str">
        <v>Achievement Drive</v>
      </c>
      <c r="AC4">
        <v>2</v>
      </c>
      <c r="AD4">
        <v>2</v>
      </c>
      <c r="AE4" t="str">
        <v>Achievement Drive|Analyst|1</v>
      </c>
      <c r="AF4">
        <v>1</v>
      </c>
      <c r="AG4" t="str">
        <v>Education-Based Development</v>
      </c>
      <c r="AH4" t="str">
        <v>Achievement Drive</v>
      </c>
      <c r="AP4" t="str">
        <v>Analytical Thinking</v>
      </c>
      <c r="AT4" t="str">
        <v>Achievement Drive</v>
      </c>
      <c r="AU4">
        <v>1</v>
      </c>
      <c r="AV4">
        <v>4</v>
      </c>
      <c r="AW4">
        <v>1</v>
      </c>
      <c r="AX4">
        <v>4</v>
      </c>
      <c r="AY4" t="str">
        <v>Analyst</v>
      </c>
      <c r="AZ4" t="str">
        <f ca="1"/>
        <v>Achievement Drive</v>
      </c>
      <c r="BA4">
        <f ca="1"/>
        <v>1</v>
      </c>
      <c r="BB4">
        <f ca="1"/>
        <v>4</v>
      </c>
      <c r="BC4">
        <f ca="1"/>
        <v>1</v>
      </c>
      <c r="BD4">
        <f ca="1"/>
        <v>4</v>
      </c>
      <c r="BE4" t="str">
        <f ca="1"/>
        <v>Analyst</v>
      </c>
    </row>
    <row r="5" spans="26:57">
      <c r="Z5" t="str">
        <v>Achievement Drive|Analyst|1</v>
      </c>
      <c r="AA5" t="str">
        <v>Experience-Based Development</v>
      </c>
      <c r="AB5" t="str">
        <v>Achievement Drive</v>
      </c>
      <c r="AC5">
        <v>2</v>
      </c>
      <c r="AD5">
        <v>2</v>
      </c>
      <c r="AE5" t="str">
        <v>Achievement Drive|Analyst|1</v>
      </c>
      <c r="AF5">
        <v>2</v>
      </c>
      <c r="AG5" t="str">
        <v>Education-Based Development</v>
      </c>
      <c r="AH5" t="str">
        <v>Achievement Drive</v>
      </c>
      <c r="AT5" t="str">
        <v>Achievement Drive</v>
      </c>
      <c r="AU5">
        <v>2</v>
      </c>
      <c r="AV5">
        <v>2</v>
      </c>
      <c r="AW5">
        <v>1</v>
      </c>
      <c r="AX5">
        <v>4</v>
      </c>
      <c r="AY5" t="str">
        <v>Analyst</v>
      </c>
      <c r="AZ5" t="str">
        <f ca="1"/>
        <v>Achievement Drive</v>
      </c>
      <c r="BA5">
        <f ca="1"/>
        <v>2</v>
      </c>
      <c r="BB5">
        <f ca="1"/>
        <v>2</v>
      </c>
      <c r="BC5">
        <f ca="1"/>
        <v>1</v>
      </c>
      <c r="BD5">
        <f ca="1"/>
        <v>4</v>
      </c>
      <c r="BE5" t="str">
        <f ca="1"/>
        <v>Analyst</v>
      </c>
    </row>
    <row r="6" spans="26:57">
      <c r="Z6" t="str">
        <v>Leadership|Analyst|1</v>
      </c>
      <c r="AA6" t="str">
        <v>Personal Development</v>
      </c>
      <c r="AB6" t="str">
        <v>Leadership</v>
      </c>
      <c r="AC6">
        <v>2</v>
      </c>
      <c r="AD6">
        <v>2</v>
      </c>
      <c r="AE6" t="str">
        <v>Achievement Drive|Analyst|1</v>
      </c>
      <c r="AF6">
        <v>1</v>
      </c>
      <c r="AG6" t="str">
        <v>Relation-Based Development</v>
      </c>
      <c r="AH6" t="str">
        <v>Achievement Drive</v>
      </c>
      <c r="AT6" t="str">
        <v>Achievement Drive</v>
      </c>
      <c r="AU6">
        <v>2</v>
      </c>
      <c r="AV6">
        <v>3</v>
      </c>
      <c r="AW6">
        <v>1</v>
      </c>
      <c r="AX6">
        <v>4</v>
      </c>
      <c r="AY6" t="str">
        <v>Analyst</v>
      </c>
      <c r="AZ6" t="str">
        <f ca="1"/>
        <v>Achievement Drive</v>
      </c>
      <c r="BA6">
        <f ca="1"/>
        <v>2</v>
      </c>
      <c r="BB6">
        <f ca="1"/>
        <v>3</v>
      </c>
      <c r="BC6">
        <f ca="1"/>
        <v>1</v>
      </c>
      <c r="BD6">
        <f ca="1"/>
        <v>4</v>
      </c>
      <c r="BE6" t="str">
        <f ca="1"/>
        <v>Analyst</v>
      </c>
    </row>
    <row r="7" spans="26:57">
      <c r="Z7" t="str">
        <v>Leadership|Analyst|1</v>
      </c>
      <c r="AA7" t="str">
        <v>Education-Based Development</v>
      </c>
      <c r="AB7" t="str">
        <v>Leadership</v>
      </c>
      <c r="AC7">
        <v>2</v>
      </c>
      <c r="AD7">
        <v>2</v>
      </c>
      <c r="AE7" t="str">
        <v>Achievement Drive|Analyst|1</v>
      </c>
      <c r="AF7">
        <v>2</v>
      </c>
      <c r="AG7" t="str">
        <v>Relation-Based Development</v>
      </c>
      <c r="AH7" t="str">
        <v>Achievement Drive</v>
      </c>
      <c r="AT7" t="str">
        <v>Achievement Drive</v>
      </c>
      <c r="AU7">
        <v>2</v>
      </c>
      <c r="AV7">
        <v>4</v>
      </c>
      <c r="AW7">
        <v>1</v>
      </c>
      <c r="AX7">
        <v>4</v>
      </c>
      <c r="AY7" t="str">
        <v>Analyst</v>
      </c>
      <c r="AZ7" t="str">
        <f ca="1"/>
        <v>Achievement Drive</v>
      </c>
      <c r="BA7">
        <f ca="1"/>
        <v>2</v>
      </c>
      <c r="BB7">
        <f ca="1"/>
        <v>4</v>
      </c>
      <c r="BC7">
        <f ca="1"/>
        <v>1</v>
      </c>
      <c r="BD7">
        <f ca="1"/>
        <v>4</v>
      </c>
      <c r="BE7" t="str">
        <f ca="1"/>
        <v>Analyst</v>
      </c>
    </row>
    <row r="8" spans="26:57">
      <c r="Z8" t="str">
        <v>Leadership|Analyst|1</v>
      </c>
      <c r="AA8" t="str">
        <v>Relation-Based Development</v>
      </c>
      <c r="AB8" t="str">
        <v>Leadership</v>
      </c>
      <c r="AC8">
        <v>2</v>
      </c>
      <c r="AD8">
        <v>2</v>
      </c>
      <c r="AE8" t="str">
        <v>Achievement Drive|Analyst|1</v>
      </c>
      <c r="AF8">
        <v>1</v>
      </c>
      <c r="AG8" t="str">
        <v>Experience-Based Development</v>
      </c>
      <c r="AH8" t="str">
        <v>Achievement Drive</v>
      </c>
      <c r="AT8" t="str">
        <v>Achievement Drive</v>
      </c>
      <c r="AU8">
        <v>3</v>
      </c>
      <c r="AV8">
        <v>2</v>
      </c>
      <c r="AW8">
        <v>1</v>
      </c>
      <c r="AX8">
        <v>4</v>
      </c>
      <c r="AY8" t="str">
        <v>Analyst</v>
      </c>
      <c r="AZ8" t="str">
        <f ca="1"/>
        <v>Achievement Drive</v>
      </c>
      <c r="BA8">
        <f ca="1"/>
        <v>3</v>
      </c>
      <c r="BB8">
        <f ca="1"/>
        <v>2</v>
      </c>
      <c r="BC8">
        <f ca="1"/>
        <v>1</v>
      </c>
      <c r="BD8">
        <f ca="1"/>
        <v>4</v>
      </c>
      <c r="BE8" t="str">
        <f ca="1"/>
        <v>Analyst</v>
      </c>
    </row>
    <row r="9" spans="26:57">
      <c r="Z9" t="str">
        <v>Leadership|Analyst|1</v>
      </c>
      <c r="AA9" t="str">
        <v>Experience-Based Development</v>
      </c>
      <c r="AB9" t="str">
        <v>Leadership</v>
      </c>
      <c r="AC9">
        <v>2</v>
      </c>
      <c r="AD9">
        <v>2</v>
      </c>
      <c r="AE9" t="str">
        <v>Achievement Drive|Analyst|1</v>
      </c>
      <c r="AF9">
        <v>2</v>
      </c>
      <c r="AG9" t="str">
        <v>Experience-Based Development</v>
      </c>
      <c r="AH9" t="str">
        <v>Achievement Drive</v>
      </c>
      <c r="AT9" t="str">
        <v>Achievement Drive</v>
      </c>
      <c r="AU9">
        <v>3</v>
      </c>
      <c r="AV9">
        <v>3</v>
      </c>
      <c r="AW9">
        <v>1</v>
      </c>
      <c r="AX9">
        <v>4</v>
      </c>
      <c r="AY9" t="str">
        <v>Analyst</v>
      </c>
      <c r="AZ9" t="str">
        <f ca="1"/>
        <v>Achievement Drive</v>
      </c>
      <c r="BA9">
        <f ca="1"/>
        <v>3</v>
      </c>
      <c r="BB9">
        <f ca="1"/>
        <v>3</v>
      </c>
      <c r="BC9">
        <f ca="1"/>
        <v>1</v>
      </c>
      <c r="BD9">
        <f ca="1"/>
        <v>4</v>
      </c>
      <c r="BE9" t="str">
        <f ca="1"/>
        <v>Analyst</v>
      </c>
    </row>
    <row r="10" spans="26:57">
      <c r="Z10" t="str">
        <v>Analytical Thinking|Analyst|1</v>
      </c>
      <c r="AA10" t="str">
        <v>Personal Development</v>
      </c>
      <c r="AB10" t="str">
        <v>Analytical Thinking</v>
      </c>
      <c r="AC10">
        <v>1</v>
      </c>
      <c r="AD10">
        <v>1</v>
      </c>
      <c r="AE10" t="str">
        <v>Leadership|Analyst|1</v>
      </c>
      <c r="AF10">
        <v>1</v>
      </c>
      <c r="AG10" t="str">
        <v>Personal Development</v>
      </c>
      <c r="AH10" t="str">
        <v>Leadership</v>
      </c>
      <c r="AT10" t="str">
        <v>Achievement Drive</v>
      </c>
      <c r="AU10">
        <v>3</v>
      </c>
      <c r="AV10">
        <v>4</v>
      </c>
      <c r="AW10">
        <v>1</v>
      </c>
      <c r="AX10">
        <v>4</v>
      </c>
      <c r="AY10" t="str">
        <v>Analyst</v>
      </c>
      <c r="AZ10" t="str">
        <f ca="1"/>
        <v>Achievement Drive</v>
      </c>
      <c r="BA10">
        <f ca="1"/>
        <v>3</v>
      </c>
      <c r="BB10">
        <f ca="1"/>
        <v>4</v>
      </c>
      <c r="BC10">
        <f ca="1"/>
        <v>1</v>
      </c>
      <c r="BD10">
        <f ca="1"/>
        <v>4</v>
      </c>
      <c r="BE10" t="str">
        <f ca="1"/>
        <v>Analyst</v>
      </c>
    </row>
    <row r="11" spans="26:57">
      <c r="Z11" t="str">
        <v>Analytical Thinking|Analyst|1</v>
      </c>
      <c r="AA11" t="str">
        <v>Education-Based Development</v>
      </c>
      <c r="AB11" t="str">
        <v>Analytical Thinking</v>
      </c>
      <c r="AC11">
        <v>1</v>
      </c>
      <c r="AD11">
        <v>1</v>
      </c>
      <c r="AE11" t="str">
        <v>Leadership|Analyst|1</v>
      </c>
      <c r="AF11">
        <v>2</v>
      </c>
      <c r="AG11" t="str">
        <v>Personal Development</v>
      </c>
      <c r="AH11" t="str">
        <v>Leadership</v>
      </c>
      <c r="AT11" t="str">
        <v>Achievement Drive</v>
      </c>
      <c r="AU11">
        <v>4</v>
      </c>
      <c r="AV11">
        <v>2</v>
      </c>
      <c r="AW11">
        <v>1</v>
      </c>
      <c r="AX11">
        <v>4</v>
      </c>
      <c r="AY11" t="str">
        <v>Analyst</v>
      </c>
      <c r="AZ11" t="str">
        <f ca="1"/>
        <v>Achievement Drive</v>
      </c>
      <c r="BA11">
        <f ca="1"/>
        <v>4</v>
      </c>
      <c r="BB11">
        <f ca="1"/>
        <v>2</v>
      </c>
      <c r="BC11">
        <f ca="1"/>
        <v>1</v>
      </c>
      <c r="BD11">
        <f ca="1"/>
        <v>4</v>
      </c>
      <c r="BE11" t="str">
        <f ca="1"/>
        <v>Analyst</v>
      </c>
    </row>
    <row r="12" spans="26:57">
      <c r="Z12" t="str">
        <v>Analytical Thinking|Analyst|1</v>
      </c>
      <c r="AA12" t="str">
        <v>Relation-Based Development</v>
      </c>
      <c r="AB12" t="str">
        <v>Analytical Thinking</v>
      </c>
      <c r="AC12">
        <v>1</v>
      </c>
      <c r="AD12">
        <v>1</v>
      </c>
      <c r="AE12" t="str">
        <v>Leadership|Analyst|1</v>
      </c>
      <c r="AF12">
        <v>1</v>
      </c>
      <c r="AG12" t="str">
        <v>Education-Based Development</v>
      </c>
      <c r="AH12" t="str">
        <v>Leadership</v>
      </c>
      <c r="AT12" t="str">
        <v>Achievement Drive</v>
      </c>
      <c r="AU12">
        <v>4</v>
      </c>
      <c r="AV12">
        <v>3</v>
      </c>
      <c r="AW12">
        <v>1</v>
      </c>
      <c r="AX12">
        <v>4</v>
      </c>
      <c r="AY12" t="str">
        <v>Analyst</v>
      </c>
      <c r="AZ12" t="str">
        <f ca="1"/>
        <v>Achievement Drive</v>
      </c>
      <c r="BA12">
        <f ca="1"/>
        <v>4</v>
      </c>
      <c r="BB12">
        <f ca="1"/>
        <v>3</v>
      </c>
      <c r="BC12">
        <f ca="1"/>
        <v>1</v>
      </c>
      <c r="BD12">
        <f ca="1"/>
        <v>4</v>
      </c>
      <c r="BE12" t="str">
        <f ca="1"/>
        <v>Analyst</v>
      </c>
    </row>
    <row r="13" spans="26:57">
      <c r="Z13" t="str">
        <v>Analytical Thinking|Analyst|1</v>
      </c>
      <c r="AA13" t="str">
        <v>Experience-Based Development</v>
      </c>
      <c r="AB13" t="str">
        <v>Analytical Thinking</v>
      </c>
      <c r="AC13">
        <v>1</v>
      </c>
      <c r="AD13">
        <v>1</v>
      </c>
      <c r="AE13" t="str">
        <v>Leadership|Analyst|1</v>
      </c>
      <c r="AF13">
        <v>2</v>
      </c>
      <c r="AG13" t="str">
        <v>Education-Based Development</v>
      </c>
      <c r="AH13" t="str">
        <v>Leadership</v>
      </c>
      <c r="AT13" t="str">
        <v>Achievement Drive</v>
      </c>
      <c r="AU13">
        <v>4</v>
      </c>
      <c r="AV13">
        <v>4</v>
      </c>
      <c r="AW13">
        <v>1</v>
      </c>
      <c r="AX13">
        <v>4</v>
      </c>
      <c r="AY13" t="str">
        <v>Analyst</v>
      </c>
      <c r="AZ13" t="str">
        <f ca="1"/>
        <v>Achievement Drive</v>
      </c>
      <c r="BA13">
        <f ca="1"/>
        <v>4</v>
      </c>
      <c r="BB13">
        <f ca="1"/>
        <v>4</v>
      </c>
      <c r="BC13">
        <f ca="1"/>
        <v>1</v>
      </c>
      <c r="BD13">
        <f ca="1"/>
        <v>4</v>
      </c>
      <c r="BE13" t="str">
        <f ca="1"/>
        <v>Analyst</v>
      </c>
    </row>
    <row r="14" spans="26:57">
      <c r="AE14" t="str">
        <v>Leadership|Analyst|1</v>
      </c>
      <c r="AF14">
        <v>1</v>
      </c>
      <c r="AG14" t="str">
        <v>Relation-Based Development</v>
      </c>
      <c r="AH14" t="str">
        <v>Leadership</v>
      </c>
      <c r="AT14" t="str">
        <v>Leadership</v>
      </c>
      <c r="AU14">
        <v>1</v>
      </c>
      <c r="AV14">
        <v>2</v>
      </c>
      <c r="AW14">
        <v>1</v>
      </c>
      <c r="AX14">
        <v>4</v>
      </c>
      <c r="AY14" t="str">
        <v>Analyst</v>
      </c>
      <c r="AZ14" t="str">
        <f ca="1"/>
        <v>Leadership</v>
      </c>
      <c r="BA14">
        <f ca="1"/>
        <v>1</v>
      </c>
      <c r="BB14">
        <f ca="1"/>
        <v>2</v>
      </c>
      <c r="BC14">
        <f ca="1"/>
        <v>1</v>
      </c>
      <c r="BD14">
        <f ca="1"/>
        <v>4</v>
      </c>
      <c r="BE14" t="str">
        <f ca="1"/>
        <v>Analyst</v>
      </c>
    </row>
    <row r="15" spans="26:57">
      <c r="AE15" t="str">
        <v>Leadership|Analyst|1</v>
      </c>
      <c r="AF15">
        <v>2</v>
      </c>
      <c r="AG15" t="str">
        <v>Relation-Based Development</v>
      </c>
      <c r="AH15" t="str">
        <v>Leadership</v>
      </c>
      <c r="AT15" t="str">
        <v>Leadership</v>
      </c>
      <c r="AU15">
        <v>1</v>
      </c>
      <c r="AV15">
        <v>3</v>
      </c>
      <c r="AW15">
        <v>1</v>
      </c>
      <c r="AX15">
        <v>4</v>
      </c>
      <c r="AY15" t="str">
        <v>Analyst</v>
      </c>
      <c r="AZ15" t="str">
        <f ca="1"/>
        <v>Leadership</v>
      </c>
      <c r="BA15">
        <f ca="1"/>
        <v>1</v>
      </c>
      <c r="BB15">
        <f ca="1"/>
        <v>3</v>
      </c>
      <c r="BC15">
        <f ca="1"/>
        <v>1</v>
      </c>
      <c r="BD15">
        <f ca="1"/>
        <v>4</v>
      </c>
      <c r="BE15" t="str">
        <f ca="1"/>
        <v>Analyst</v>
      </c>
    </row>
    <row r="16" spans="26:57">
      <c r="AE16" t="str">
        <v>Leadership|Analyst|1</v>
      </c>
      <c r="AF16">
        <v>1</v>
      </c>
      <c r="AG16" t="str">
        <v>Experience-Based Development</v>
      </c>
      <c r="AH16" t="str">
        <v>Leadership</v>
      </c>
      <c r="AT16" t="str">
        <v>Leadership</v>
      </c>
      <c r="AU16">
        <v>1</v>
      </c>
      <c r="AV16">
        <v>4</v>
      </c>
      <c r="AW16">
        <v>1</v>
      </c>
      <c r="AX16">
        <v>4</v>
      </c>
      <c r="AY16" t="str">
        <v>Analyst</v>
      </c>
      <c r="AZ16" t="str">
        <f ca="1"/>
        <v>Leadership</v>
      </c>
      <c r="BA16">
        <f ca="1"/>
        <v>1</v>
      </c>
      <c r="BB16">
        <f ca="1"/>
        <v>4</v>
      </c>
      <c r="BC16">
        <f ca="1"/>
        <v>1</v>
      </c>
      <c r="BD16">
        <f ca="1"/>
        <v>4</v>
      </c>
      <c r="BE16" t="str">
        <f ca="1"/>
        <v>Analyst</v>
      </c>
    </row>
    <row r="17" spans="31:57">
      <c r="AE17" t="str">
        <v>Leadership|Analyst|1</v>
      </c>
      <c r="AF17">
        <v>2</v>
      </c>
      <c r="AG17" t="str">
        <v>Experience-Based Development</v>
      </c>
      <c r="AH17" t="str">
        <v>Leadership</v>
      </c>
      <c r="AT17" t="str">
        <v>Leadership</v>
      </c>
      <c r="AU17">
        <v>2</v>
      </c>
      <c r="AV17">
        <v>2</v>
      </c>
      <c r="AW17">
        <v>1</v>
      </c>
      <c r="AX17">
        <v>4</v>
      </c>
      <c r="AY17" t="str">
        <v>Analyst</v>
      </c>
      <c r="AZ17" t="str">
        <f ca="1"/>
        <v>Leadership</v>
      </c>
      <c r="BA17">
        <f ca="1"/>
        <v>2</v>
      </c>
      <c r="BB17">
        <f ca="1"/>
        <v>2</v>
      </c>
      <c r="BC17">
        <f ca="1"/>
        <v>1</v>
      </c>
      <c r="BD17">
        <f ca="1"/>
        <v>4</v>
      </c>
      <c r="BE17" t="str">
        <f ca="1"/>
        <v>Analyst</v>
      </c>
    </row>
    <row r="18" spans="31:57">
      <c r="AE18" t="str">
        <v>Analytical Thinking|Analyst|1</v>
      </c>
      <c r="AF18">
        <v>1</v>
      </c>
      <c r="AG18" t="str">
        <v>Personal Development</v>
      </c>
      <c r="AH18" t="str">
        <v>Analytical Thinking</v>
      </c>
      <c r="AT18" t="str">
        <v>Leadership</v>
      </c>
      <c r="AU18">
        <v>2</v>
      </c>
      <c r="AV18">
        <v>3</v>
      </c>
      <c r="AW18">
        <v>1</v>
      </c>
      <c r="AX18">
        <v>4</v>
      </c>
      <c r="AY18" t="str">
        <v>Analyst</v>
      </c>
      <c r="AZ18" t="str">
        <f ca="1"/>
        <v>Leadership</v>
      </c>
      <c r="BA18">
        <f ca="1"/>
        <v>2</v>
      </c>
      <c r="BB18">
        <f ca="1"/>
        <v>3</v>
      </c>
      <c r="BC18">
        <f ca="1"/>
        <v>1</v>
      </c>
      <c r="BD18">
        <f ca="1"/>
        <v>4</v>
      </c>
      <c r="BE18" t="str">
        <f ca="1"/>
        <v>Analyst</v>
      </c>
    </row>
    <row r="19" spans="31:57">
      <c r="AE19" t="str">
        <v>Analytical Thinking|Analyst|1</v>
      </c>
      <c r="AF19">
        <v>1</v>
      </c>
      <c r="AG19" t="str">
        <v>Education-Based Development</v>
      </c>
      <c r="AH19" t="str">
        <v>Analytical Thinking</v>
      </c>
      <c r="AT19" t="str">
        <v>Leadership</v>
      </c>
      <c r="AU19">
        <v>2</v>
      </c>
      <c r="AV19">
        <v>4</v>
      </c>
      <c r="AW19">
        <v>1</v>
      </c>
      <c r="AX19">
        <v>4</v>
      </c>
      <c r="AY19" t="str">
        <v>Analyst</v>
      </c>
      <c r="AZ19" t="str">
        <f ca="1"/>
        <v>Leadership</v>
      </c>
      <c r="BA19">
        <f ca="1"/>
        <v>2</v>
      </c>
      <c r="BB19">
        <f ca="1"/>
        <v>4</v>
      </c>
      <c r="BC19">
        <f ca="1"/>
        <v>1</v>
      </c>
      <c r="BD19">
        <f ca="1"/>
        <v>4</v>
      </c>
      <c r="BE19" t="str">
        <f ca="1"/>
        <v>Analyst</v>
      </c>
    </row>
    <row r="20" spans="31:57">
      <c r="AE20" t="str">
        <v>Analytical Thinking|Analyst|1</v>
      </c>
      <c r="AF20">
        <v>1</v>
      </c>
      <c r="AG20" t="str">
        <v>Relation-Based Development</v>
      </c>
      <c r="AH20" t="str">
        <v>Analytical Thinking</v>
      </c>
      <c r="AT20" t="str">
        <v>Leadership</v>
      </c>
      <c r="AU20">
        <v>3</v>
      </c>
      <c r="AV20">
        <v>2</v>
      </c>
      <c r="AW20">
        <v>1</v>
      </c>
      <c r="AX20">
        <v>4</v>
      </c>
      <c r="AY20" t="str">
        <v>Analyst</v>
      </c>
      <c r="AZ20" t="str">
        <f ca="1"/>
        <v>Leadership</v>
      </c>
      <c r="BA20">
        <f ca="1"/>
        <v>3</v>
      </c>
      <c r="BB20">
        <f ca="1"/>
        <v>2</v>
      </c>
      <c r="BC20">
        <f ca="1"/>
        <v>1</v>
      </c>
      <c r="BD20">
        <f ca="1"/>
        <v>4</v>
      </c>
      <c r="BE20" t="str">
        <f ca="1"/>
        <v>Analyst</v>
      </c>
    </row>
    <row r="21" spans="31:57">
      <c r="AE21" t="str">
        <v>Analytical Thinking|Analyst|1</v>
      </c>
      <c r="AF21">
        <v>1</v>
      </c>
      <c r="AG21" t="str">
        <v>Experience-Based Development</v>
      </c>
      <c r="AH21" t="str">
        <v>Analytical Thinking</v>
      </c>
      <c r="AT21" t="str">
        <v>Leadership</v>
      </c>
      <c r="AU21">
        <v>3</v>
      </c>
      <c r="AV21">
        <v>3</v>
      </c>
      <c r="AW21">
        <v>1</v>
      </c>
      <c r="AX21">
        <v>4</v>
      </c>
      <c r="AY21" t="str">
        <v>Analyst</v>
      </c>
      <c r="AZ21" t="str">
        <f ca="1"/>
        <v>Leadership</v>
      </c>
      <c r="BA21">
        <f ca="1"/>
        <v>3</v>
      </c>
      <c r="BB21">
        <f ca="1"/>
        <v>3</v>
      </c>
      <c r="BC21">
        <f ca="1"/>
        <v>1</v>
      </c>
      <c r="BD21">
        <f ca="1"/>
        <v>4</v>
      </c>
      <c r="BE21" t="str">
        <f ca="1"/>
        <v>Analyst</v>
      </c>
    </row>
    <row r="22" spans="31:57">
      <c r="AT22" t="str">
        <v>Leadership</v>
      </c>
      <c r="AU22">
        <v>3</v>
      </c>
      <c r="AV22">
        <v>4</v>
      </c>
      <c r="AW22">
        <v>1</v>
      </c>
      <c r="AX22">
        <v>4</v>
      </c>
      <c r="AY22" t="str">
        <v>Analyst</v>
      </c>
      <c r="AZ22" t="str">
        <f ca="1"/>
        <v>Leadership</v>
      </c>
      <c r="BA22">
        <f ca="1"/>
        <v>3</v>
      </c>
      <c r="BB22">
        <f ca="1"/>
        <v>4</v>
      </c>
      <c r="BC22">
        <f ca="1"/>
        <v>1</v>
      </c>
      <c r="BD22">
        <f ca="1"/>
        <v>4</v>
      </c>
      <c r="BE22" t="str">
        <f ca="1"/>
        <v>Analyst</v>
      </c>
    </row>
    <row r="23" spans="31:57">
      <c r="AT23" t="str">
        <v>Leadership</v>
      </c>
      <c r="AU23">
        <v>4</v>
      </c>
      <c r="AV23">
        <v>2</v>
      </c>
      <c r="AW23">
        <v>1</v>
      </c>
      <c r="AX23">
        <v>4</v>
      </c>
      <c r="AY23" t="str">
        <v>Analyst</v>
      </c>
      <c r="AZ23" t="str">
        <f ca="1"/>
        <v>Leadership</v>
      </c>
      <c r="BA23">
        <f ca="1"/>
        <v>4</v>
      </c>
      <c r="BB23">
        <f ca="1"/>
        <v>2</v>
      </c>
      <c r="BC23">
        <f ca="1"/>
        <v>1</v>
      </c>
      <c r="BD23">
        <f ca="1"/>
        <v>4</v>
      </c>
      <c r="BE23" t="str">
        <f ca="1"/>
        <v>Analyst</v>
      </c>
    </row>
    <row r="24" spans="31:57">
      <c r="AT24" t="str">
        <v>Leadership</v>
      </c>
      <c r="AU24">
        <v>4</v>
      </c>
      <c r="AV24">
        <v>3</v>
      </c>
      <c r="AW24">
        <v>1</v>
      </c>
      <c r="AX24">
        <v>4</v>
      </c>
      <c r="AY24" t="str">
        <v>Analyst</v>
      </c>
      <c r="AZ24" t="str">
        <f ca="1"/>
        <v>Leadership</v>
      </c>
      <c r="BA24">
        <f ca="1"/>
        <v>4</v>
      </c>
      <c r="BB24">
        <f ca="1"/>
        <v>3</v>
      </c>
      <c r="BC24">
        <f ca="1"/>
        <v>1</v>
      </c>
      <c r="BD24">
        <f ca="1"/>
        <v>4</v>
      </c>
      <c r="BE24" t="str">
        <f ca="1"/>
        <v>Analyst</v>
      </c>
    </row>
    <row r="25" spans="31:57">
      <c r="AT25" t="str">
        <v>Leadership</v>
      </c>
      <c r="AU25">
        <v>4</v>
      </c>
      <c r="AV25">
        <v>4</v>
      </c>
      <c r="AW25">
        <v>1</v>
      </c>
      <c r="AX25">
        <v>4</v>
      </c>
      <c r="AY25" t="str">
        <v>Analyst</v>
      </c>
      <c r="AZ25" t="str">
        <f ca="1"/>
        <v>Leadership</v>
      </c>
      <c r="BA25">
        <f ca="1"/>
        <v>4</v>
      </c>
      <c r="BB25">
        <f ca="1"/>
        <v>4</v>
      </c>
      <c r="BC25">
        <f ca="1"/>
        <v>1</v>
      </c>
      <c r="BD25">
        <f ca="1"/>
        <v>4</v>
      </c>
      <c r="BE25" t="str">
        <f ca="1"/>
        <v>Analyst</v>
      </c>
    </row>
    <row r="26" spans="31:57">
      <c r="AT26" t="str">
        <v>Analytical Thinking</v>
      </c>
      <c r="AU26">
        <v>1</v>
      </c>
      <c r="AV26">
        <v>2</v>
      </c>
      <c r="AW26">
        <v>1</v>
      </c>
      <c r="AX26">
        <v>4</v>
      </c>
      <c r="AY26" t="str">
        <v>Analyst</v>
      </c>
      <c r="AZ26" t="str">
        <f ca="1"/>
        <v>Analytical Thinking</v>
      </c>
      <c r="BA26">
        <f ca="1"/>
        <v>1</v>
      </c>
      <c r="BB26">
        <f ca="1"/>
        <v>2</v>
      </c>
      <c r="BC26">
        <f ca="1"/>
        <v>1</v>
      </c>
      <c r="BD26">
        <f ca="1"/>
        <v>4</v>
      </c>
      <c r="BE26" t="str">
        <f ca="1"/>
        <v>Analyst</v>
      </c>
    </row>
    <row r="27" spans="31:57">
      <c r="AT27" t="str">
        <v>Analytical Thinking</v>
      </c>
      <c r="AU27">
        <v>1</v>
      </c>
      <c r="AV27">
        <v>3</v>
      </c>
      <c r="AW27">
        <v>1</v>
      </c>
      <c r="AX27">
        <v>4</v>
      </c>
      <c r="AY27" t="str">
        <v>Analyst</v>
      </c>
      <c r="AZ27" t="str">
        <f ca="1"/>
        <v>Analytical Thinking</v>
      </c>
      <c r="BA27">
        <f ca="1"/>
        <v>1</v>
      </c>
      <c r="BB27">
        <f ca="1"/>
        <v>3</v>
      </c>
      <c r="BC27">
        <f ca="1"/>
        <v>1</v>
      </c>
      <c r="BD27">
        <f ca="1"/>
        <v>4</v>
      </c>
      <c r="BE27" t="str">
        <f ca="1"/>
        <v>Analyst</v>
      </c>
    </row>
    <row r="28" spans="31:57">
      <c r="AT28" t="str">
        <v>Analytical Thinking</v>
      </c>
      <c r="AU28">
        <v>1</v>
      </c>
      <c r="AV28">
        <v>4</v>
      </c>
      <c r="AW28">
        <v>1</v>
      </c>
      <c r="AX28">
        <v>4</v>
      </c>
      <c r="AY28" t="str">
        <v>Analyst</v>
      </c>
      <c r="AZ28" t="str">
        <f ca="1"/>
        <v>Analytical Thinking</v>
      </c>
      <c r="BA28">
        <f ca="1"/>
        <v>1</v>
      </c>
      <c r="BB28">
        <f ca="1"/>
        <v>4</v>
      </c>
      <c r="BC28">
        <f ca="1"/>
        <v>1</v>
      </c>
      <c r="BD28">
        <f ca="1"/>
        <v>4</v>
      </c>
      <c r="BE28" t="str">
        <f ca="1"/>
        <v>Analyst</v>
      </c>
    </row>
    <row r="29" spans="31:57">
      <c r="AT29" t="str">
        <v>Analytical Thinking</v>
      </c>
      <c r="AU29">
        <v>2</v>
      </c>
      <c r="AV29">
        <v>2</v>
      </c>
      <c r="AW29">
        <v>1</v>
      </c>
      <c r="AX29">
        <v>4</v>
      </c>
      <c r="AY29" t="str">
        <v>Analyst</v>
      </c>
      <c r="AZ29" t="str">
        <f ca="1"/>
        <v>Analytical Thinking</v>
      </c>
      <c r="BA29">
        <f ca="1"/>
        <v>2</v>
      </c>
      <c r="BB29">
        <f ca="1"/>
        <v>2</v>
      </c>
      <c r="BC29">
        <f ca="1"/>
        <v>1</v>
      </c>
      <c r="BD29">
        <f ca="1"/>
        <v>4</v>
      </c>
      <c r="BE29" t="str">
        <f ca="1"/>
        <v>Analyst</v>
      </c>
    </row>
    <row r="30" spans="31:57">
      <c r="AT30" t="str">
        <v>Analytical Thinking</v>
      </c>
      <c r="AU30">
        <v>2</v>
      </c>
      <c r="AV30">
        <v>3</v>
      </c>
      <c r="AW30">
        <v>1</v>
      </c>
      <c r="AX30">
        <v>4</v>
      </c>
      <c r="AY30" t="str">
        <v>Analyst</v>
      </c>
      <c r="AZ30" t="str">
        <f ca="1"/>
        <v>Analytical Thinking</v>
      </c>
      <c r="BA30">
        <f ca="1"/>
        <v>2</v>
      </c>
      <c r="BB30">
        <f ca="1"/>
        <v>3</v>
      </c>
      <c r="BC30">
        <f ca="1"/>
        <v>1</v>
      </c>
      <c r="BD30">
        <f ca="1"/>
        <v>4</v>
      </c>
      <c r="BE30" t="str">
        <f ca="1"/>
        <v>Analyst</v>
      </c>
    </row>
    <row r="31" spans="31:57">
      <c r="AT31" t="str">
        <v>Analytical Thinking</v>
      </c>
      <c r="AU31">
        <v>2</v>
      </c>
      <c r="AV31">
        <v>4</v>
      </c>
      <c r="AW31">
        <v>1</v>
      </c>
      <c r="AX31">
        <v>4</v>
      </c>
      <c r="AY31" t="str">
        <v>Analyst</v>
      </c>
      <c r="AZ31" t="str">
        <f ca="1"/>
        <v>Analytical Thinking</v>
      </c>
      <c r="BA31">
        <f ca="1"/>
        <v>2</v>
      </c>
      <c r="BB31">
        <f ca="1"/>
        <v>4</v>
      </c>
      <c r="BC31">
        <f ca="1"/>
        <v>1</v>
      </c>
      <c r="BD31">
        <f ca="1"/>
        <v>4</v>
      </c>
      <c r="BE31" t="str">
        <f ca="1"/>
        <v>Analyst</v>
      </c>
    </row>
    <row r="32" spans="31:57">
      <c r="AT32" t="str">
        <v>Analytical Thinking</v>
      </c>
      <c r="AU32">
        <v>3</v>
      </c>
      <c r="AV32">
        <v>2</v>
      </c>
      <c r="AW32">
        <v>1</v>
      </c>
      <c r="AX32">
        <v>4</v>
      </c>
      <c r="AY32" t="str">
        <v>Analyst</v>
      </c>
      <c r="AZ32" t="str">
        <f ca="1"/>
        <v>Analytical Thinking</v>
      </c>
      <c r="BA32">
        <f ca="1"/>
        <v>3</v>
      </c>
      <c r="BB32">
        <f ca="1"/>
        <v>2</v>
      </c>
      <c r="BC32">
        <f ca="1"/>
        <v>1</v>
      </c>
      <c r="BD32">
        <f ca="1"/>
        <v>4</v>
      </c>
      <c r="BE32" t="str">
        <f ca="1"/>
        <v>Analyst</v>
      </c>
    </row>
    <row r="33" spans="46:57">
      <c r="AT33" t="str">
        <v>Analytical Thinking</v>
      </c>
      <c r="AU33">
        <v>3</v>
      </c>
      <c r="AV33">
        <v>3</v>
      </c>
      <c r="AW33">
        <v>1</v>
      </c>
      <c r="AX33">
        <v>4</v>
      </c>
      <c r="AY33" t="str">
        <v>Analyst</v>
      </c>
      <c r="AZ33" t="str">
        <f ca="1"/>
        <v>Analytical Thinking</v>
      </c>
      <c r="BA33">
        <f ca="1"/>
        <v>3</v>
      </c>
      <c r="BB33">
        <f ca="1"/>
        <v>3</v>
      </c>
      <c r="BC33">
        <f ca="1"/>
        <v>1</v>
      </c>
      <c r="BD33">
        <f ca="1"/>
        <v>4</v>
      </c>
      <c r="BE33" t="str">
        <f ca="1"/>
        <v>Analyst</v>
      </c>
    </row>
    <row r="34" spans="46:57">
      <c r="AT34" t="str">
        <v>Analytical Thinking</v>
      </c>
      <c r="AU34">
        <v>3</v>
      </c>
      <c r="AV34">
        <v>4</v>
      </c>
      <c r="AW34">
        <v>1</v>
      </c>
      <c r="AX34">
        <v>4</v>
      </c>
      <c r="AY34" t="str">
        <v>Analyst</v>
      </c>
      <c r="AZ34" t="str">
        <f ca="1"/>
        <v>Analytical Thinking</v>
      </c>
      <c r="BA34">
        <f ca="1"/>
        <v>3</v>
      </c>
      <c r="BB34">
        <f ca="1"/>
        <v>4</v>
      </c>
      <c r="BC34">
        <f ca="1"/>
        <v>1</v>
      </c>
      <c r="BD34">
        <f ca="1"/>
        <v>4</v>
      </c>
      <c r="BE34" t="str">
        <f ca="1"/>
        <v>Analyst</v>
      </c>
    </row>
    <row r="35" spans="46:57">
      <c r="AT35" t="str">
        <v>Analytical Thinking</v>
      </c>
      <c r="AU35">
        <v>4</v>
      </c>
      <c r="AV35">
        <v>2</v>
      </c>
      <c r="AW35">
        <v>1</v>
      </c>
      <c r="AX35">
        <v>4</v>
      </c>
      <c r="AY35" t="str">
        <v>Analyst</v>
      </c>
      <c r="AZ35" t="str">
        <f ca="1"/>
        <v>Analytical Thinking</v>
      </c>
      <c r="BA35">
        <f ca="1"/>
        <v>4</v>
      </c>
      <c r="BB35">
        <f ca="1"/>
        <v>2</v>
      </c>
      <c r="BC35">
        <f ca="1"/>
        <v>1</v>
      </c>
      <c r="BD35">
        <f ca="1"/>
        <v>4</v>
      </c>
      <c r="BE35" t="str">
        <f ca="1"/>
        <v>Analyst</v>
      </c>
    </row>
    <row r="36" spans="46:57">
      <c r="AT36" t="str">
        <v>Analytical Thinking</v>
      </c>
      <c r="AU36">
        <v>4</v>
      </c>
      <c r="AV36">
        <v>3</v>
      </c>
      <c r="AW36">
        <v>1</v>
      </c>
      <c r="AX36">
        <v>4</v>
      </c>
      <c r="AY36" t="str">
        <v>Analyst</v>
      </c>
      <c r="AZ36" t="str">
        <f ca="1"/>
        <v>Analytical Thinking</v>
      </c>
      <c r="BA36">
        <f ca="1"/>
        <v>4</v>
      </c>
      <c r="BB36">
        <f ca="1"/>
        <v>3</v>
      </c>
      <c r="BC36">
        <f ca="1"/>
        <v>1</v>
      </c>
      <c r="BD36">
        <f ca="1"/>
        <v>4</v>
      </c>
      <c r="BE36" t="str">
        <f ca="1"/>
        <v>Analyst</v>
      </c>
    </row>
    <row r="37" spans="46:57">
      <c r="AT37" t="str">
        <v>Analytical Thinking</v>
      </c>
      <c r="AU37">
        <v>4</v>
      </c>
      <c r="AV37">
        <v>4</v>
      </c>
      <c r="AW37">
        <v>1</v>
      </c>
      <c r="AX37">
        <v>4</v>
      </c>
      <c r="AY37" t="str">
        <v>Analyst</v>
      </c>
      <c r="AZ37" t="str">
        <f ca="1"/>
        <v>Analytical Thinking</v>
      </c>
      <c r="BA37">
        <f ca="1"/>
        <v>4</v>
      </c>
      <c r="BB37">
        <f ca="1"/>
        <v>4</v>
      </c>
      <c r="BC37">
        <f ca="1"/>
        <v>1</v>
      </c>
      <c r="BD37">
        <f ca="1"/>
        <v>4</v>
      </c>
      <c r="BE37" t="str">
        <f ca="1"/>
        <v>Analyst</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0B2E-1E4D-456C-B077-6FF101FD2BB2}">
  <sheetPr>
    <tabColor rgb="FF00B050"/>
  </sheetPr>
  <dimension ref="A1:AR38"/>
  <sheetViews>
    <sheetView zoomScale="40" zoomScaleNormal="40" workbookViewId="0">
      <pane ySplit="14" topLeftCell="A22" activePane="bottomLeft" state="frozen"/>
      <selection pane="bottomLeft" activeCell="G47" sqref="G47"/>
    </sheetView>
  </sheetViews>
  <sheetFormatPr defaultColWidth="8.85546875" defaultRowHeight="15"/>
  <cols>
    <col min="1" max="1" width="26.28515625" style="1" bestFit="1" customWidth="1"/>
    <col min="2" max="2" width="29" style="1" bestFit="1" customWidth="1"/>
    <col min="3" max="3" width="32.42578125" style="1" bestFit="1" customWidth="1"/>
    <col min="4" max="4" width="8.85546875" style="2"/>
    <col min="5" max="5" width="55.85546875" style="1" bestFit="1" customWidth="1"/>
    <col min="6" max="6" width="55.28515625" style="1" customWidth="1"/>
    <col min="7" max="7" width="81.28515625" style="80" customWidth="1"/>
    <col min="8" max="8" width="55.85546875" style="80" customWidth="1"/>
    <col min="9" max="9" width="11" style="2" bestFit="1" customWidth="1"/>
    <col min="10" max="10" width="11.28515625" style="2" bestFit="1" customWidth="1"/>
    <col min="11" max="11" width="57.28515625" style="80" customWidth="1"/>
    <col min="12" max="12" width="16.5703125" style="1" customWidth="1"/>
    <col min="13" max="16384" width="8.85546875" style="1"/>
  </cols>
  <sheetData>
    <row r="1" spans="1:44">
      <c r="F1" s="12"/>
      <c r="G1" s="1"/>
      <c r="J1" s="194"/>
      <c r="K1" s="82"/>
      <c r="L1" s="82"/>
      <c r="M1" s="2"/>
      <c r="N1" s="80"/>
      <c r="O1" s="80"/>
      <c r="P1" s="80"/>
      <c r="Q1" s="80"/>
      <c r="R1" s="80"/>
      <c r="S1" s="80"/>
      <c r="T1" s="80"/>
      <c r="U1" s="2"/>
      <c r="V1" s="80"/>
      <c r="W1" s="80"/>
      <c r="X1" s="80"/>
      <c r="Y1" s="80"/>
      <c r="Z1" s="80"/>
      <c r="AA1" s="80"/>
      <c r="AB1" s="80"/>
      <c r="AC1" s="12"/>
      <c r="AD1" s="80"/>
      <c r="AE1" s="80"/>
      <c r="AF1" s="80"/>
      <c r="AG1" s="80"/>
      <c r="AH1" s="80"/>
      <c r="AI1" s="80"/>
      <c r="AJ1" s="80"/>
      <c r="AK1" s="12"/>
      <c r="AL1" s="80"/>
      <c r="AM1" s="80"/>
      <c r="AN1" s="80"/>
      <c r="AO1" s="80"/>
      <c r="AP1" s="80"/>
      <c r="AQ1" s="80"/>
      <c r="AR1" s="80"/>
    </row>
    <row r="2" spans="1:44">
      <c r="A2" s="1" t="str">
        <f>Identitas!B2</f>
        <v xml:space="preserve">Nama </v>
      </c>
      <c r="B2" s="84">
        <f>Identitas!D2</f>
        <v>0</v>
      </c>
      <c r="F2" s="12"/>
      <c r="G2" s="1"/>
      <c r="J2" s="194"/>
      <c r="K2" s="82"/>
      <c r="L2" s="82"/>
      <c r="M2" s="2"/>
      <c r="N2" s="80"/>
      <c r="O2" s="80"/>
      <c r="P2" s="80"/>
      <c r="Q2" s="80"/>
      <c r="R2" s="80"/>
      <c r="S2" s="80"/>
      <c r="T2" s="80"/>
      <c r="U2" s="2"/>
      <c r="V2" s="80"/>
      <c r="W2" s="80"/>
      <c r="X2" s="80"/>
      <c r="Y2" s="80"/>
      <c r="Z2" s="80"/>
      <c r="AA2" s="80"/>
      <c r="AB2" s="80"/>
      <c r="AC2" s="12"/>
      <c r="AD2" s="80"/>
      <c r="AE2" s="80"/>
      <c r="AF2" s="80"/>
      <c r="AG2" s="80"/>
      <c r="AH2" s="80"/>
      <c r="AI2" s="80"/>
      <c r="AJ2" s="80"/>
      <c r="AK2" s="12"/>
      <c r="AL2" s="80"/>
      <c r="AM2" s="80"/>
      <c r="AN2" s="80"/>
      <c r="AO2" s="80"/>
      <c r="AP2" s="80"/>
      <c r="AQ2" s="80"/>
      <c r="AR2" s="80"/>
    </row>
    <row r="3" spans="1:44">
      <c r="A3" s="1" t="str">
        <f>Identitas!B3</f>
        <v>Nama Atasan yang menilai</v>
      </c>
      <c r="B3" s="84">
        <f>Identitas!D3</f>
        <v>0</v>
      </c>
      <c r="F3" s="12"/>
      <c r="G3" s="1"/>
      <c r="J3" s="194"/>
      <c r="K3" s="82"/>
      <c r="L3" s="82"/>
      <c r="M3" s="2"/>
      <c r="N3" s="80"/>
      <c r="O3" s="80"/>
      <c r="P3" s="80"/>
      <c r="Q3" s="80"/>
      <c r="R3" s="80"/>
      <c r="S3" s="80"/>
      <c r="T3" s="80"/>
      <c r="U3" s="2"/>
      <c r="V3" s="80"/>
      <c r="W3" s="80"/>
      <c r="X3" s="80"/>
      <c r="Y3" s="80"/>
      <c r="Z3" s="80"/>
      <c r="AA3" s="80"/>
      <c r="AB3" s="80"/>
      <c r="AC3" s="12"/>
      <c r="AD3" s="80"/>
      <c r="AE3" s="80"/>
      <c r="AF3" s="80"/>
      <c r="AG3" s="80"/>
      <c r="AH3" s="80"/>
      <c r="AI3" s="80"/>
      <c r="AJ3" s="80"/>
      <c r="AK3" s="12"/>
      <c r="AL3" s="80"/>
      <c r="AM3" s="80"/>
      <c r="AN3" s="80"/>
      <c r="AO3" s="80"/>
      <c r="AP3" s="80"/>
      <c r="AQ3" s="80"/>
      <c r="AR3" s="80"/>
    </row>
    <row r="4" spans="1:44">
      <c r="A4" s="1" t="str">
        <f>Identitas!B4</f>
        <v>Level Saat Ini</v>
      </c>
      <c r="B4" s="84" t="str">
        <f>Identitas!D4</f>
        <v>Officer</v>
      </c>
      <c r="F4" s="12"/>
      <c r="G4" s="1"/>
      <c r="J4" s="194"/>
      <c r="K4" s="82"/>
      <c r="L4" s="82"/>
      <c r="M4" s="2"/>
      <c r="N4" s="80"/>
      <c r="O4" s="80"/>
      <c r="P4" s="80"/>
      <c r="Q4" s="80"/>
      <c r="R4" s="80"/>
      <c r="S4" s="80"/>
      <c r="T4" s="80"/>
      <c r="U4" s="2"/>
      <c r="V4" s="80"/>
      <c r="W4" s="80"/>
      <c r="X4" s="80"/>
      <c r="Y4" s="80"/>
      <c r="Z4" s="80"/>
      <c r="AA4" s="80"/>
      <c r="AB4" s="80"/>
      <c r="AC4" s="12"/>
      <c r="AD4" s="80"/>
      <c r="AE4" s="80"/>
      <c r="AF4" s="80"/>
      <c r="AG4" s="80"/>
      <c r="AH4" s="80"/>
      <c r="AI4" s="80"/>
      <c r="AJ4" s="80"/>
      <c r="AK4" s="12"/>
      <c r="AL4" s="80"/>
      <c r="AM4" s="80"/>
      <c r="AN4" s="80"/>
      <c r="AO4" s="80"/>
      <c r="AP4" s="80"/>
      <c r="AQ4" s="80"/>
      <c r="AR4" s="80"/>
    </row>
    <row r="5" spans="1:44">
      <c r="A5" s="1" t="str">
        <f>Identitas!B5</f>
        <v>Level Tujuan</v>
      </c>
      <c r="B5" s="84" t="str">
        <f>Identitas!D5</f>
        <v>Analyst</v>
      </c>
      <c r="F5" s="12"/>
      <c r="G5" s="1"/>
      <c r="J5" s="194"/>
      <c r="K5" s="82"/>
      <c r="L5" s="82"/>
      <c r="M5" s="2"/>
      <c r="N5" s="80"/>
      <c r="O5" s="80"/>
      <c r="P5" s="80"/>
      <c r="Q5" s="80"/>
      <c r="R5" s="80"/>
      <c r="S5" s="80"/>
      <c r="T5" s="80"/>
      <c r="U5" s="2"/>
      <c r="V5" s="80"/>
      <c r="W5" s="80"/>
      <c r="X5" s="80"/>
      <c r="Y5" s="80"/>
      <c r="Z5" s="80"/>
      <c r="AA5" s="80"/>
      <c r="AB5" s="80"/>
      <c r="AC5" s="12"/>
      <c r="AD5" s="80"/>
      <c r="AE5" s="80"/>
      <c r="AF5" s="80"/>
      <c r="AG5" s="80"/>
      <c r="AH5" s="80"/>
      <c r="AI5" s="80"/>
      <c r="AJ5" s="80"/>
      <c r="AK5" s="12"/>
      <c r="AL5" s="80"/>
      <c r="AM5" s="80"/>
      <c r="AN5" s="80"/>
      <c r="AO5" s="80"/>
      <c r="AP5" s="80"/>
      <c r="AQ5" s="80"/>
      <c r="AR5" s="80"/>
    </row>
    <row r="6" spans="1:44">
      <c r="A6" s="1" t="str">
        <f>Identitas!B7</f>
        <v>Unit</v>
      </c>
      <c r="B6" s="84">
        <f>Identitas!D7</f>
        <v>0</v>
      </c>
      <c r="F6" s="12"/>
      <c r="G6" s="1"/>
      <c r="J6" s="194"/>
      <c r="K6" s="82"/>
      <c r="L6" s="82"/>
      <c r="M6" s="2"/>
      <c r="N6" s="80"/>
      <c r="O6" s="80"/>
      <c r="P6" s="80"/>
      <c r="Q6" s="80"/>
      <c r="R6" s="80"/>
      <c r="S6" s="80"/>
      <c r="T6" s="80"/>
      <c r="U6" s="2"/>
      <c r="V6" s="80"/>
      <c r="W6" s="80"/>
      <c r="X6" s="80"/>
      <c r="Y6" s="80"/>
      <c r="Z6" s="80"/>
      <c r="AA6" s="80"/>
      <c r="AB6" s="80"/>
      <c r="AC6" s="12"/>
      <c r="AD6" s="80"/>
      <c r="AE6" s="80"/>
      <c r="AF6" s="80"/>
      <c r="AG6" s="80"/>
      <c r="AH6" s="80"/>
      <c r="AI6" s="80"/>
      <c r="AJ6" s="80"/>
      <c r="AK6" s="12"/>
      <c r="AL6" s="80"/>
      <c r="AM6" s="80"/>
      <c r="AN6" s="80"/>
      <c r="AO6" s="80"/>
      <c r="AP6" s="80"/>
      <c r="AQ6" s="80"/>
      <c r="AR6" s="80"/>
    </row>
    <row r="7" spans="1:44">
      <c r="A7" s="1" t="str">
        <f>Identitas!B8</f>
        <v>Departemen</v>
      </c>
      <c r="B7" s="84">
        <f>Identitas!D8</f>
        <v>0</v>
      </c>
      <c r="F7" s="12"/>
      <c r="G7" s="1"/>
      <c r="J7" s="194"/>
      <c r="K7" s="82"/>
      <c r="L7" s="82"/>
      <c r="M7" s="2"/>
      <c r="N7" s="80"/>
      <c r="O7" s="80"/>
      <c r="P7" s="80"/>
      <c r="Q7" s="80"/>
      <c r="R7" s="80"/>
      <c r="S7" s="80"/>
      <c r="T7" s="80"/>
      <c r="U7" s="2"/>
      <c r="V7" s="80"/>
      <c r="W7" s="80"/>
      <c r="X7" s="80"/>
      <c r="Y7" s="80"/>
      <c r="Z7" s="80"/>
      <c r="AA7" s="80"/>
      <c r="AB7" s="80"/>
      <c r="AC7" s="12"/>
      <c r="AD7" s="80"/>
      <c r="AE7" s="80"/>
      <c r="AF7" s="80"/>
      <c r="AG7" s="80"/>
      <c r="AH7" s="80"/>
      <c r="AI7" s="80"/>
      <c r="AJ7" s="80"/>
      <c r="AK7" s="12"/>
      <c r="AL7" s="80"/>
      <c r="AM7" s="80"/>
      <c r="AN7" s="80"/>
      <c r="AO7" s="80"/>
      <c r="AP7" s="80"/>
      <c r="AQ7" s="80"/>
      <c r="AR7" s="80"/>
    </row>
    <row r="8" spans="1:44">
      <c r="A8" s="1" t="str">
        <f>Identitas!B9</f>
        <v>Divisi</v>
      </c>
      <c r="B8" s="84">
        <f>Identitas!D9</f>
        <v>0</v>
      </c>
      <c r="F8" s="12"/>
      <c r="G8" s="1"/>
      <c r="J8" s="194"/>
      <c r="K8" s="82"/>
      <c r="L8" s="82"/>
      <c r="M8" s="2"/>
      <c r="N8" s="80"/>
      <c r="O8" s="80"/>
      <c r="P8" s="80"/>
      <c r="Q8" s="80"/>
      <c r="R8" s="80"/>
      <c r="S8" s="80"/>
      <c r="T8" s="80"/>
      <c r="U8" s="2"/>
      <c r="V8" s="80"/>
      <c r="W8" s="80"/>
      <c r="X8" s="80"/>
      <c r="Y8" s="80"/>
      <c r="Z8" s="80"/>
      <c r="AA8" s="80"/>
      <c r="AB8" s="80"/>
      <c r="AC8" s="12"/>
      <c r="AD8" s="80"/>
      <c r="AE8" s="80"/>
      <c r="AF8" s="80"/>
      <c r="AG8" s="80"/>
      <c r="AH8" s="80"/>
      <c r="AI8" s="80"/>
      <c r="AJ8" s="80"/>
      <c r="AK8" s="12"/>
      <c r="AL8" s="80"/>
      <c r="AM8" s="80"/>
      <c r="AN8" s="80"/>
      <c r="AO8" s="80"/>
      <c r="AP8" s="80"/>
      <c r="AQ8" s="80"/>
      <c r="AR8" s="80"/>
    </row>
    <row r="9" spans="1:44">
      <c r="A9" s="1" t="str">
        <f>Identitas!B10</f>
        <v>Direktorat</v>
      </c>
      <c r="B9" s="84">
        <f>Identitas!D10</f>
        <v>0</v>
      </c>
      <c r="F9" s="12"/>
      <c r="G9" s="1"/>
      <c r="J9" s="194"/>
      <c r="K9" s="82"/>
      <c r="L9" s="82"/>
      <c r="M9" s="2"/>
      <c r="N9" s="80"/>
      <c r="O9" s="80"/>
      <c r="P9" s="80"/>
      <c r="Q9" s="80"/>
      <c r="R9" s="80"/>
      <c r="S9" s="80"/>
      <c r="T9" s="80"/>
      <c r="U9" s="2"/>
      <c r="V9" s="80"/>
      <c r="W9" s="80"/>
      <c r="X9" s="80"/>
      <c r="Y9" s="80"/>
      <c r="Z9" s="80"/>
      <c r="AA9" s="80"/>
      <c r="AB9" s="80"/>
      <c r="AC9" s="12"/>
      <c r="AD9" s="80"/>
      <c r="AE9" s="80"/>
      <c r="AF9" s="80"/>
      <c r="AG9" s="80"/>
      <c r="AH9" s="80"/>
      <c r="AI9" s="80"/>
      <c r="AJ9" s="80"/>
      <c r="AK9" s="12"/>
      <c r="AL9" s="80"/>
      <c r="AM9" s="80"/>
      <c r="AN9" s="80"/>
      <c r="AO9" s="80"/>
      <c r="AP9" s="80"/>
      <c r="AQ9" s="80"/>
      <c r="AR9" s="80"/>
    </row>
    <row r="10" spans="1:44">
      <c r="A10" s="1" t="s">
        <v>5443</v>
      </c>
      <c r="B10" s="84"/>
      <c r="F10" s="12"/>
      <c r="G10" s="1"/>
      <c r="J10" s="194"/>
      <c r="K10" s="82"/>
      <c r="L10" s="82"/>
      <c r="M10" s="2"/>
      <c r="N10" s="80"/>
      <c r="O10" s="80"/>
      <c r="P10" s="80"/>
      <c r="Q10" s="80"/>
      <c r="R10" s="80"/>
      <c r="S10" s="80"/>
      <c r="T10" s="80"/>
      <c r="U10" s="2"/>
      <c r="V10" s="80"/>
      <c r="W10" s="80"/>
      <c r="X10" s="80"/>
      <c r="Y10" s="80"/>
      <c r="Z10" s="80"/>
      <c r="AA10" s="80"/>
      <c r="AB10" s="80"/>
      <c r="AC10" s="12"/>
      <c r="AD10" s="80"/>
      <c r="AE10" s="80"/>
      <c r="AF10" s="80"/>
      <c r="AG10" s="80"/>
      <c r="AH10" s="80"/>
      <c r="AI10" s="80"/>
      <c r="AJ10" s="80"/>
      <c r="AK10" s="12"/>
      <c r="AL10" s="80"/>
      <c r="AM10" s="80"/>
      <c r="AN10" s="80"/>
      <c r="AO10" s="80"/>
      <c r="AP10" s="80"/>
      <c r="AQ10" s="80"/>
      <c r="AR10" s="80"/>
    </row>
    <row r="11" spans="1:44">
      <c r="A11" s="1" t="s">
        <v>5444</v>
      </c>
      <c r="B11" s="84"/>
      <c r="F11" s="12"/>
      <c r="G11" s="1"/>
      <c r="J11" s="194"/>
      <c r="K11" s="82"/>
      <c r="L11" s="82"/>
      <c r="M11" s="2"/>
      <c r="N11" s="80"/>
      <c r="O11" s="80"/>
      <c r="P11" s="80"/>
      <c r="Q11" s="80"/>
      <c r="R11" s="80"/>
      <c r="S11" s="80"/>
      <c r="T11" s="80"/>
      <c r="U11" s="2"/>
      <c r="V11" s="80"/>
      <c r="W11" s="80"/>
      <c r="X11" s="80"/>
      <c r="Y11" s="80"/>
      <c r="Z11" s="80"/>
      <c r="AA11" s="80"/>
      <c r="AB11" s="80"/>
      <c r="AC11" s="12"/>
      <c r="AD11" s="80"/>
      <c r="AE11" s="80"/>
      <c r="AF11" s="80"/>
      <c r="AG11" s="80"/>
      <c r="AH11" s="80"/>
      <c r="AI11" s="80"/>
      <c r="AJ11" s="80"/>
      <c r="AK11" s="12"/>
      <c r="AL11" s="80"/>
      <c r="AM11" s="80"/>
      <c r="AN11" s="80"/>
      <c r="AO11" s="80"/>
      <c r="AP11" s="80"/>
      <c r="AQ11" s="80"/>
      <c r="AR11" s="80"/>
    </row>
    <row r="12" spans="1:44">
      <c r="B12" s="84"/>
      <c r="F12" s="12"/>
      <c r="G12" s="1"/>
      <c r="J12" s="194"/>
      <c r="K12" s="82"/>
      <c r="L12" s="82"/>
      <c r="M12" s="2"/>
      <c r="N12" s="80"/>
      <c r="O12" s="80"/>
      <c r="P12" s="80"/>
      <c r="Q12" s="80"/>
      <c r="R12" s="80"/>
      <c r="S12" s="80"/>
      <c r="T12" s="80"/>
      <c r="U12" s="2"/>
      <c r="V12" s="80"/>
      <c r="W12" s="80"/>
      <c r="X12" s="80"/>
      <c r="Y12" s="80"/>
      <c r="Z12" s="80"/>
      <c r="AA12" s="80"/>
      <c r="AB12" s="80"/>
      <c r="AC12" s="12"/>
      <c r="AD12" s="80"/>
      <c r="AE12" s="80"/>
      <c r="AF12" s="80"/>
      <c r="AG12" s="80"/>
      <c r="AH12" s="80"/>
      <c r="AI12" s="80"/>
      <c r="AJ12" s="80"/>
      <c r="AK12" s="12"/>
      <c r="AL12" s="80"/>
      <c r="AM12" s="80"/>
      <c r="AN12" s="80"/>
      <c r="AO12" s="80"/>
      <c r="AP12" s="80"/>
      <c r="AQ12" s="80"/>
      <c r="AR12" s="80"/>
    </row>
    <row r="13" spans="1:44">
      <c r="F13" s="12"/>
      <c r="G13" s="1"/>
      <c r="J13" s="194"/>
      <c r="K13" s="82"/>
      <c r="L13" s="82"/>
      <c r="M13" s="2"/>
      <c r="N13" s="80"/>
      <c r="O13" s="80"/>
      <c r="P13" s="80"/>
      <c r="Q13" s="80"/>
      <c r="R13" s="80"/>
      <c r="S13" s="80"/>
      <c r="T13" s="80"/>
      <c r="U13" s="2"/>
      <c r="V13" s="80"/>
      <c r="W13" s="80"/>
      <c r="X13" s="80"/>
      <c r="Y13" s="80"/>
      <c r="Z13" s="80"/>
      <c r="AA13" s="80"/>
      <c r="AB13" s="80"/>
      <c r="AC13" s="12"/>
      <c r="AD13" s="80"/>
      <c r="AE13" s="80"/>
      <c r="AF13" s="80"/>
      <c r="AG13" s="80"/>
      <c r="AH13" s="80"/>
      <c r="AI13" s="80"/>
      <c r="AJ13" s="80"/>
      <c r="AK13" s="12"/>
      <c r="AL13" s="80"/>
      <c r="AM13" s="80"/>
      <c r="AN13" s="80"/>
      <c r="AO13" s="80"/>
      <c r="AP13" s="80"/>
      <c r="AQ13" s="80"/>
      <c r="AR13" s="80"/>
    </row>
    <row r="14" spans="1:44" s="82" customFormat="1" ht="30">
      <c r="A14" s="215" t="s">
        <v>14</v>
      </c>
      <c r="B14" s="215" t="s">
        <v>538</v>
      </c>
      <c r="C14" s="184" t="s">
        <v>5445</v>
      </c>
      <c r="D14" s="184" t="s">
        <v>577</v>
      </c>
      <c r="E14" s="184" t="s">
        <v>5446</v>
      </c>
      <c r="F14" s="184" t="s">
        <v>579</v>
      </c>
      <c r="G14" s="184" t="s">
        <v>5447</v>
      </c>
      <c r="H14" s="184" t="s">
        <v>5448</v>
      </c>
      <c r="I14" s="184" t="s">
        <v>5449</v>
      </c>
      <c r="J14" s="184" t="s">
        <v>583</v>
      </c>
      <c r="K14" s="184" t="s">
        <v>5450</v>
      </c>
      <c r="L14" s="237" t="s">
        <v>585</v>
      </c>
    </row>
    <row r="15" spans="1:44" s="82" customFormat="1" ht="75">
      <c r="A15" s="234" cm="1">
        <f t="array" ref="A15:A34">_xlfn.SEQUENCE(ROWS(_xlfn.ANCHORARRAY(calc!AE2)))</f>
        <v>1</v>
      </c>
      <c r="B15" s="83" t="str" cm="1">
        <f t="array" ref="B15:B34">_xlfn.ANCHORARRAY(calc!AH2)</f>
        <v>Achievement Drive</v>
      </c>
      <c r="C15" s="83" t="str" cm="1">
        <f t="array" ref="C15:C34">_xlfn.ANCHORARRAY(calc!AG2)</f>
        <v>Personal Development</v>
      </c>
      <c r="D15" s="234" cm="1">
        <f t="array" ref="D15:D34">_xlfn.ANCHORARRAY(calc!AF2)</f>
        <v>1</v>
      </c>
      <c r="E15" s="83" t="str" cm="1">
        <f t="array" ref="E15:E34">_xlfn.MAP(_xlfn.ANCHORARRAY(calc!AE2),_xlfn.ANCHORARRAY(calc!AF2),_xlfn.LAMBDA(_xlpm.k,_xlpm.l,IFERROR(INDEX('sheet template'!$G$2:$G$1009,MATCH(1,('sheet template'!$A$2:$A$1009=_xlpm.k)*('sheet template'!$F$2:$F$1009=_xlpm.l),0)),"")))</f>
        <v>Log "Target yang Menghadapi Hambatan Berulang"</v>
      </c>
      <c r="F15" s="83" t="str" cm="1">
        <f t="array" ref="F15:F34">_xlfn.MAP(_xlfn.ANCHORARRAY(calc!AE2),_xlfn.ANCHORARRAY(calc!AF2),_xlfn.LAMBDA(_xlpm.k,_xlpm.l,IFERROR(INDEX('sheet template'!$H$2:$H$1009,MATCH(1,('sheet template'!$A$2:$A$1009=_xlpm.k)*('sheet template'!$F$2:$F$1009=_xlpm.l),0)),"")))</f>
        <v>Mengukur ketekunan pada target yang sulit dan berlangsung lama.</v>
      </c>
      <c r="G15" s="83" t="str" cm="1">
        <f t="array" ref="G15:G34">_xlfn.MAP(_xlfn.ANCHORARRAY(calc!AE2),_xlfn.ANCHORARRAY(calc!AF2),_xlfn.LAMBDA(_xlpm.k,_xlpm.l,IFERROR(INDEX('sheet template'!$I$2:$I$1009,MATCH(1,('sheet template'!$A$2:$A$1009=_xlpm.k)*('sheet template'!$F$2:$F$1009=_xlpm.l),0)),"")))</f>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15" s="83" t="str" cm="1">
        <f t="array" ref="H15:H34">_xlfn.MAP(_xlfn.ANCHORARRAY(calc!AE2),_xlfn.ANCHORARRAY(calc!AF2),_xlfn.LAMBDA(_xlpm.k,_xlpm.l,IFERROR(INDEX('sheet template'!$J$2:$J$1009,MATCH(1,('sheet template'!$A$2:$A$1009=_xlpm.k)*('sheet template'!$F$2:$F$1009=_xlpm.l),0)),"")))</f>
        <v>Log minimal 15 hambatan pada target yang sama; rentang waktu minimal 3 bulan.</v>
      </c>
      <c r="I15" s="234" t="str" cm="1">
        <f t="array" ref="I15:I34">_xlfn.MAP(_xlfn.ANCHORARRAY(calc!AE2),_xlfn.ANCHORARRAY(calc!AF2),_xlfn.LAMBDA(_xlpm.k,_xlpm.l,IFERROR(INDEX('sheet template'!$K$2:$K$1009,MATCH(1,('sheet template'!$A$2:$A$1009=_xlpm.k)*('sheet template'!$F$2:$F$1009=_xlpm.l),0)),"")))</f>
        <v>Bulan 1–12</v>
      </c>
      <c r="J15" s="234" t="str" cm="1">
        <f t="array" ref="J15:J34">_xlfn.MAP(_xlfn.ANCHORARRAY(calc!AE2),_xlfn.ANCHORARRAY(calc!AF2),_xlfn.LAMBDA(_xlpm.k,_xlpm.l,IFERROR(INDEX('sheet template'!$L$2:$L$1009,MATCH(1,('sheet template'!$A$2:$A$1009=_xlpm.k)*('sheet template'!$F$2:$F$1009=_xlpm.l),0)),"")))</f>
        <v>Bulanan</v>
      </c>
      <c r="K15" s="235" t="str" cm="1">
        <f t="array" ref="K15:K34">_xlfn.MAP(_xlfn.ANCHORARRAY(calc!AE2),_xlfn.ANCHORARRAY(calc!AF2),_xlfn.LAMBDA(_xlpm.k,_xlpm.l,IFERROR(INDEX('sheet template'!$M$2:$M$1009,MATCH(1,('sheet template'!$A$2:$A$1009=_xlpm.k)*('sheet template'!$F$2:$F$1009=_xlpm.l),0)),"")))</f>
        <v>Minimal 15 hambatan tercatat pada target yang SAMA, berlangsung minimal 3 bulan. Target tersebut tetap dikejar sampai akhir periode logging, tidak ditinggalkan di tengah jalan. Milestone Bulan 6: 8 hambatan tercatat, target masih dikejar.</v>
      </c>
      <c r="L15" s="83" t="str" cm="1">
        <f t="array" ref="L15:L34">_xlfn.MAP(_xlfn.ANCHORARRAY(calc!AE2),_xlfn.ANCHORARRAY(calc!AF2),_xlfn.LAMBDA(_xlpm.k,_xlpm.l,IFERROR(INDEX('sheet template'!$N$2:$N$1009,MATCH(1,('sheet template'!$A$2:$A$1009=_xlpm.k)*('sheet template'!$F$2:$F$1009=_xlpm.l),0)),"")))</f>
        <v>Mentor</v>
      </c>
    </row>
    <row r="16" spans="1:44" s="82" customFormat="1" ht="45">
      <c r="A16" s="234">
        <v>2</v>
      </c>
      <c r="B16" s="83" t="str">
        <v>Achievement Drive</v>
      </c>
      <c r="C16" s="83" t="str">
        <v>Personal Development</v>
      </c>
      <c r="D16" s="234">
        <v>2</v>
      </c>
      <c r="E16" s="83" t="str">
        <v>Jurnal Energi Mingguan pada Target yang Sulit</v>
      </c>
      <c r="F16" s="83" t="str">
        <v>Memantau naik-turunnya energi dan komitmen selama mengejar target sulit.</v>
      </c>
      <c r="G16" s="83" t="str">
        <v>Pilih 1 target sulit yang sedang dikejar. Setiap minggu, catat tingkat energi dan komitmen pada skala 1–5, beserta apa yang membuatnya naik atau turun.</v>
      </c>
      <c r="H16" s="83" t="str">
        <v>Jurnal mingguan minimal 20 minggu.</v>
      </c>
      <c r="I16" s="234" t="str">
        <v>Bulan 1–12</v>
      </c>
      <c r="J16" s="234" t="str">
        <v>Bulanan</v>
      </c>
      <c r="K16" s="235" t="str">
        <v>Minimal 20 entri mingguan. Meski energi tercatat turun pada sebagian minggu, target tetap dikejar tanpa terputus lebih dari 2 minggu berturut-turut.</v>
      </c>
      <c r="L16" s="83" t="str">
        <v>Mentor</v>
      </c>
    </row>
    <row r="17" spans="1:12" s="82" customFormat="1" ht="75">
      <c r="A17" s="234">
        <v>3</v>
      </c>
      <c r="B17" s="83" t="str">
        <v>Achievement Drive</v>
      </c>
      <c r="C17" s="83" t="str">
        <v>Education-Based Development</v>
      </c>
      <c r="D17" s="234">
        <v>1</v>
      </c>
      <c r="E17" s="83" t="str">
        <v>Log "Target yang Menghadapi Hambatan Berulang"</v>
      </c>
      <c r="F17" s="83" t="str">
        <v>Mengukur ketekunan pada target yang sulit dan berlangsung lama.</v>
      </c>
      <c r="G17" s="83" t="str">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17" s="83" t="str">
        <v>Log minimal 15 hambatan pada target yang sama; rentang waktu minimal 3 bulan.</v>
      </c>
      <c r="I17" s="234" t="str">
        <v>Bulan 1–12</v>
      </c>
      <c r="J17" s="234" t="str">
        <v>Bulanan</v>
      </c>
      <c r="K17" s="235" t="str">
        <v>Minimal 15 hambatan tercatat pada target yang SAMA, berlangsung minimal 3 bulan. Target tersebut tetap dikejar sampai akhir periode logging, tidak ditinggalkan di tengah jalan. Milestone Bulan 6: 8 hambatan tercatat, target masih dikejar.</v>
      </c>
      <c r="L17" s="83" t="str">
        <v>Mentor</v>
      </c>
    </row>
    <row r="18" spans="1:12" s="82" customFormat="1" ht="45">
      <c r="A18" s="234">
        <v>4</v>
      </c>
      <c r="B18" s="83" t="str">
        <v>Achievement Drive</v>
      </c>
      <c r="C18" s="83" t="str">
        <v>Education-Based Development</v>
      </c>
      <c r="D18" s="234">
        <v>2</v>
      </c>
      <c r="E18" s="83" t="str">
        <v>Jurnal Energi Mingguan pada Target yang Sulit</v>
      </c>
      <c r="F18" s="83" t="str">
        <v>Memantau naik-turunnya energi dan komitmen selama mengejar target sulit.</v>
      </c>
      <c r="G18" s="83" t="str">
        <v>Pilih 1 target sulit yang sedang dikejar. Setiap minggu, catat tingkat energi dan komitmen pada skala 1–5, beserta apa yang membuatnya naik atau turun.</v>
      </c>
      <c r="H18" s="83" t="str">
        <v>Jurnal mingguan minimal 20 minggu.</v>
      </c>
      <c r="I18" s="234" t="str">
        <v>Bulan 1–12</v>
      </c>
      <c r="J18" s="234" t="str">
        <v>Bulanan</v>
      </c>
      <c r="K18" s="235" t="str">
        <v>Minimal 20 entri mingguan. Meski energi tercatat turun pada sebagian minggu, target tetap dikejar tanpa terputus lebih dari 2 minggu berturut-turut.</v>
      </c>
      <c r="L18" s="83" t="str">
        <v>Mentor</v>
      </c>
    </row>
    <row r="19" spans="1:12" s="82" customFormat="1" ht="75">
      <c r="A19" s="234">
        <v>5</v>
      </c>
      <c r="B19" s="83" t="str">
        <v>Achievement Drive</v>
      </c>
      <c r="C19" s="83" t="str">
        <v>Relation-Based Development</v>
      </c>
      <c r="D19" s="234">
        <v>1</v>
      </c>
      <c r="E19" s="83" t="str">
        <v>Log "Target yang Menghadapi Hambatan Berulang"</v>
      </c>
      <c r="F19" s="83" t="str">
        <v>Mengukur ketekunan pada target yang sulit dan berlangsung lama.</v>
      </c>
      <c r="G19" s="83" t="str">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19" s="83" t="str">
        <v>Log minimal 15 hambatan pada target yang sama; rentang waktu minimal 3 bulan.</v>
      </c>
      <c r="I19" s="234" t="str">
        <v>Bulan 1–12</v>
      </c>
      <c r="J19" s="234" t="str">
        <v>Bulanan</v>
      </c>
      <c r="K19" s="235" t="str">
        <v>Minimal 15 hambatan tercatat pada target yang SAMA, berlangsung minimal 3 bulan. Target tersebut tetap dikejar sampai akhir periode logging, tidak ditinggalkan di tengah jalan. Milestone Bulan 6: 8 hambatan tercatat, target masih dikejar.</v>
      </c>
      <c r="L19" s="83" t="str">
        <v>Mentor</v>
      </c>
    </row>
    <row r="20" spans="1:12" s="82" customFormat="1" ht="45">
      <c r="A20" s="234">
        <v>6</v>
      </c>
      <c r="B20" s="83" t="str">
        <v>Achievement Drive</v>
      </c>
      <c r="C20" s="83" t="str">
        <v>Relation-Based Development</v>
      </c>
      <c r="D20" s="234">
        <v>2</v>
      </c>
      <c r="E20" s="83" t="str">
        <v>Jurnal Energi Mingguan pada Target yang Sulit</v>
      </c>
      <c r="F20" s="83" t="str">
        <v>Memantau naik-turunnya energi dan komitmen selama mengejar target sulit.</v>
      </c>
      <c r="G20" s="83" t="str">
        <v>Pilih 1 target sulit yang sedang dikejar. Setiap minggu, catat tingkat energi dan komitmen pada skala 1–5, beserta apa yang membuatnya naik atau turun.</v>
      </c>
      <c r="H20" s="83" t="str">
        <v>Jurnal mingguan minimal 20 minggu.</v>
      </c>
      <c r="I20" s="234" t="str">
        <v>Bulan 1–12</v>
      </c>
      <c r="J20" s="234" t="str">
        <v>Bulanan</v>
      </c>
      <c r="K20" s="235" t="str">
        <v>Minimal 20 entri mingguan. Meski energi tercatat turun pada sebagian minggu, target tetap dikejar tanpa terputus lebih dari 2 minggu berturut-turut.</v>
      </c>
      <c r="L20" s="83" t="str">
        <v>Mentor</v>
      </c>
    </row>
    <row r="21" spans="1:12" s="82" customFormat="1" ht="75">
      <c r="A21" s="234">
        <v>7</v>
      </c>
      <c r="B21" s="83" t="str">
        <v>Achievement Drive</v>
      </c>
      <c r="C21" s="83" t="str">
        <v>Experience-Based Development</v>
      </c>
      <c r="D21" s="234">
        <v>1</v>
      </c>
      <c r="E21" s="83" t="str">
        <v>Log "Target yang Menghadapi Hambatan Berulang"</v>
      </c>
      <c r="F21" s="83" t="str">
        <v>Mengukur ketekunan pada target yang sulit dan berlangsung lama.</v>
      </c>
      <c r="G21" s="83" t="str">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21" s="83" t="str">
        <v>Log minimal 15 hambatan pada target yang sama; rentang waktu minimal 3 bulan.</v>
      </c>
      <c r="I21" s="234" t="str">
        <v>Bulan 1–12</v>
      </c>
      <c r="J21" s="234" t="str">
        <v>Bulanan</v>
      </c>
      <c r="K21" s="235" t="str">
        <v>Minimal 15 hambatan tercatat pada target yang SAMA, berlangsung minimal 3 bulan. Target tersebut tetap dikejar sampai akhir periode logging, tidak ditinggalkan di tengah jalan. Milestone Bulan 6: 8 hambatan tercatat, target masih dikejar.</v>
      </c>
      <c r="L21" s="83" t="str">
        <v>Mentor</v>
      </c>
    </row>
    <row r="22" spans="1:12" s="82" customFormat="1" ht="45">
      <c r="A22" s="234">
        <v>8</v>
      </c>
      <c r="B22" s="83" t="str">
        <v>Achievement Drive</v>
      </c>
      <c r="C22" s="83" t="str">
        <v>Experience-Based Development</v>
      </c>
      <c r="D22" s="234">
        <v>2</v>
      </c>
      <c r="E22" s="83" t="str">
        <v>Jurnal Energi Mingguan pada Target yang Sulit</v>
      </c>
      <c r="F22" s="83" t="str">
        <v>Memantau naik-turunnya energi dan komitmen selama mengejar target sulit.</v>
      </c>
      <c r="G22" s="83" t="str">
        <v>Pilih 1 target sulit yang sedang dikejar. Setiap minggu, catat tingkat energi dan komitmen pada skala 1–5, beserta apa yang membuatnya naik atau turun.</v>
      </c>
      <c r="H22" s="83" t="str">
        <v>Jurnal mingguan minimal 20 minggu.</v>
      </c>
      <c r="I22" s="234" t="str">
        <v>Bulan 1–12</v>
      </c>
      <c r="J22" s="234" t="str">
        <v>Bulanan</v>
      </c>
      <c r="K22" s="235" t="str">
        <v>Minimal 20 entri mingguan. Meski energi tercatat turun pada sebagian minggu, target tetap dikejar tanpa terputus lebih dari 2 minggu berturut-turut.</v>
      </c>
      <c r="L22" s="83" t="str">
        <v>Mentor</v>
      </c>
    </row>
    <row r="23" spans="1:12" s="82" customFormat="1" ht="45">
      <c r="A23" s="234">
        <v>9</v>
      </c>
      <c r="B23" s="83" t="str">
        <v>Leadership</v>
      </c>
      <c r="C23" s="83" t="str">
        <v>Personal Development</v>
      </c>
      <c r="D23" s="234">
        <v>1</v>
      </c>
      <c r="E23" s="83" t="str">
        <v>Log "Dasar Saya Mengurutkan Pekerjaan Tim"</v>
      </c>
      <c r="F23" s="83" t="str">
        <v>Mengukur dasar yang dipakai untuk mengurutkan pekerjaan tim yang bersaing.</v>
      </c>
      <c r="G23" s="83" t="str">
        <v>Setiap kali menghadapi lebih dari 2 tugas tim yang bersaing memperebutkan waktu, catat: tugas apa saja, urutan yang peserta tetapkan, dan dasar sebenarnya.</v>
      </c>
      <c r="H23" s="83" t="str">
        <v>Log minimal 24 situasi. Termasuk rekap triwulanan.</v>
      </c>
      <c r="I23" s="234" t="str">
        <v>Bulan 1–12</v>
      </c>
      <c r="J23" s="234" t="str">
        <v>Bulanan</v>
      </c>
      <c r="K23" s="235" t="str">
        <v>Minimal 24 situasi tercatat. Proporsi berdasar dampak naik menjadi ≥50% pada triwulan 4. Milestone bulan ke-6: 12 situasi.</v>
      </c>
      <c r="L23" s="83" t="str">
        <v>Mentor</v>
      </c>
    </row>
    <row r="24" spans="1:12" s="82" customFormat="1" ht="30">
      <c r="A24" s="234">
        <v>10</v>
      </c>
      <c r="B24" s="83" t="str">
        <v>Leadership</v>
      </c>
      <c r="C24" s="83" t="str">
        <v>Personal Development</v>
      </c>
      <c r="D24" s="234">
        <v>2</v>
      </c>
      <c r="E24" s="83" t="str">
        <v>Latihan "Mengomunikasikan Prioritas kepada Tim"</v>
      </c>
      <c r="F24" s="83" t="str">
        <v>Melatih menjelaskan dasar urutan prioritas kepada tim, bukan hanya menetapkannya sendiri.</v>
      </c>
      <c r="G24" s="83" t="str">
        <v>Setiap kali menetapkan urutan prioritas untuk tugas tim, jelaskan kepada anggota tim dasarnya — mengapa tugas ini lebih dulu daripada yang lain.</v>
      </c>
      <c r="H24" s="83" t="str">
        <v>Log 20 komunikasi prioritas. Termasuk konfirmasi anggota tim.</v>
      </c>
      <c r="I24" s="234" t="str">
        <v>Bulan 1–12</v>
      </c>
      <c r="J24" s="234" t="str">
        <v>Bulanan</v>
      </c>
      <c r="K24" s="235" t="str">
        <v>Minimal 20 komunikasi tercatat. Minimal 15 dikonfirmasi anggota tim sebagai jelas dan masuk akal.</v>
      </c>
      <c r="L24" s="83" t="str">
        <v>Anggota Tim</v>
      </c>
    </row>
    <row r="25" spans="1:12" s="82" customFormat="1" ht="45">
      <c r="A25" s="234">
        <v>11</v>
      </c>
      <c r="B25" s="83" t="str">
        <v>Leadership</v>
      </c>
      <c r="C25" s="83" t="str">
        <v>Education-Based Development</v>
      </c>
      <c r="D25" s="234">
        <v>1</v>
      </c>
      <c r="E25" s="83" t="str">
        <v>Log "Dasar Saya Mengurutkan Pekerjaan Tim"</v>
      </c>
      <c r="F25" s="83" t="str">
        <v>Mengukur dasar yang dipakai untuk mengurutkan pekerjaan tim yang bersaing.</v>
      </c>
      <c r="G25" s="83" t="str">
        <v>Setiap kali menghadapi lebih dari 2 tugas tim yang bersaing memperebutkan waktu, catat: tugas apa saja, urutan yang peserta tetapkan, dan dasar sebenarnya.</v>
      </c>
      <c r="H25" s="83" t="str">
        <v>Log minimal 24 situasi. Termasuk rekap triwulanan.</v>
      </c>
      <c r="I25" s="234" t="str">
        <v>Bulan 1–12</v>
      </c>
      <c r="J25" s="234" t="str">
        <v>Bulanan</v>
      </c>
      <c r="K25" s="235" t="str">
        <v>Minimal 24 situasi tercatat. Proporsi berdasar dampak naik menjadi ≥50% pada triwulan 4. Milestone bulan ke-6: 12 situasi.</v>
      </c>
      <c r="L25" s="83" t="str">
        <v>Mentor</v>
      </c>
    </row>
    <row r="26" spans="1:12" s="82" customFormat="1" ht="30">
      <c r="A26" s="234">
        <v>12</v>
      </c>
      <c r="B26" s="83" t="str">
        <v>Leadership</v>
      </c>
      <c r="C26" s="83" t="str">
        <v>Education-Based Development</v>
      </c>
      <c r="D26" s="234">
        <v>2</v>
      </c>
      <c r="E26" s="83" t="str">
        <v>Latihan "Mengomunikasikan Prioritas kepada Tim"</v>
      </c>
      <c r="F26" s="83" t="str">
        <v>Melatih menjelaskan dasar urutan prioritas kepada tim, bukan hanya menetapkannya sendiri.</v>
      </c>
      <c r="G26" s="83" t="str">
        <v>Setiap kali menetapkan urutan prioritas untuk tugas tim, jelaskan kepada anggota tim dasarnya — mengapa tugas ini lebih dulu daripada yang lain.</v>
      </c>
      <c r="H26" s="83" t="str">
        <v>Log 20 komunikasi prioritas. Termasuk konfirmasi anggota tim.</v>
      </c>
      <c r="I26" s="234" t="str">
        <v>Bulan 1–12</v>
      </c>
      <c r="J26" s="234" t="str">
        <v>Bulanan</v>
      </c>
      <c r="K26" s="235" t="str">
        <v>Minimal 20 komunikasi tercatat. Minimal 15 dikonfirmasi anggota tim sebagai jelas dan masuk akal.</v>
      </c>
      <c r="L26" s="83" t="str">
        <v>Anggota Tim</v>
      </c>
    </row>
    <row r="27" spans="1:12" s="82" customFormat="1" ht="45">
      <c r="A27" s="234">
        <v>13</v>
      </c>
      <c r="B27" s="83" t="str">
        <v>Leadership</v>
      </c>
      <c r="C27" s="83" t="str">
        <v>Relation-Based Development</v>
      </c>
      <c r="D27" s="234">
        <v>1</v>
      </c>
      <c r="E27" s="83" t="str">
        <v>Log "Dasar Saya Mengurutkan Pekerjaan Tim"</v>
      </c>
      <c r="F27" s="83" t="str">
        <v>Mengukur dasar yang dipakai untuk mengurutkan pekerjaan tim yang bersaing.</v>
      </c>
      <c r="G27" s="83" t="str">
        <v>Setiap kali menghadapi lebih dari 2 tugas tim yang bersaing memperebutkan waktu, catat: tugas apa saja, urutan yang peserta tetapkan, dan dasar sebenarnya.</v>
      </c>
      <c r="H27" s="83" t="str">
        <v>Log minimal 24 situasi. Termasuk rekap triwulanan.</v>
      </c>
      <c r="I27" s="234" t="str">
        <v>Bulan 1–12</v>
      </c>
      <c r="J27" s="234" t="str">
        <v>Bulanan</v>
      </c>
      <c r="K27" s="235" t="str">
        <v>Minimal 24 situasi tercatat. Proporsi berdasar dampak naik menjadi ≥50% pada triwulan 4. Milestone bulan ke-6: 12 situasi.</v>
      </c>
      <c r="L27" s="83" t="str">
        <v>Mentor</v>
      </c>
    </row>
    <row r="28" spans="1:12" s="82" customFormat="1" ht="30">
      <c r="A28" s="234">
        <v>14</v>
      </c>
      <c r="B28" s="83" t="str">
        <v>Leadership</v>
      </c>
      <c r="C28" s="83" t="str">
        <v>Relation-Based Development</v>
      </c>
      <c r="D28" s="234">
        <v>2</v>
      </c>
      <c r="E28" s="83" t="str">
        <v>Latihan "Mengomunikasikan Prioritas kepada Tim"</v>
      </c>
      <c r="F28" s="83" t="str">
        <v>Melatih menjelaskan dasar urutan prioritas kepada tim, bukan hanya menetapkannya sendiri.</v>
      </c>
      <c r="G28" s="83" t="str">
        <v>Setiap kali menetapkan urutan prioritas untuk tugas tim, jelaskan kepada anggota tim dasarnya — mengapa tugas ini lebih dulu daripada yang lain.</v>
      </c>
      <c r="H28" s="83" t="str">
        <v>Log 20 komunikasi prioritas. Termasuk konfirmasi anggota tim.</v>
      </c>
      <c r="I28" s="234" t="str">
        <v>Bulan 1–12</v>
      </c>
      <c r="J28" s="234" t="str">
        <v>Bulanan</v>
      </c>
      <c r="K28" s="235" t="str">
        <v>Minimal 20 komunikasi tercatat. Minimal 15 dikonfirmasi anggota tim sebagai jelas dan masuk akal.</v>
      </c>
      <c r="L28" s="83" t="str">
        <v>Anggota Tim</v>
      </c>
    </row>
    <row r="29" spans="1:12" s="82" customFormat="1" ht="45">
      <c r="A29" s="234">
        <v>15</v>
      </c>
      <c r="B29" s="83" t="str">
        <v>Leadership</v>
      </c>
      <c r="C29" s="83" t="str">
        <v>Experience-Based Development</v>
      </c>
      <c r="D29" s="234">
        <v>1</v>
      </c>
      <c r="E29" s="83" t="str">
        <v>Log "Dasar Saya Mengurutkan Pekerjaan Tim"</v>
      </c>
      <c r="F29" s="83" t="str">
        <v>Mengukur dasar yang dipakai untuk mengurutkan pekerjaan tim yang bersaing.</v>
      </c>
      <c r="G29" s="83" t="str">
        <v>Setiap kali menghadapi lebih dari 2 tugas tim yang bersaing memperebutkan waktu, catat: tugas apa saja, urutan yang peserta tetapkan, dan dasar sebenarnya.</v>
      </c>
      <c r="H29" s="83" t="str">
        <v>Log minimal 24 situasi. Termasuk rekap triwulanan.</v>
      </c>
      <c r="I29" s="234" t="str">
        <v>Bulan 1–12</v>
      </c>
      <c r="J29" s="234" t="str">
        <v>Bulanan</v>
      </c>
      <c r="K29" s="235" t="str">
        <v>Minimal 24 situasi tercatat. Proporsi berdasar dampak naik menjadi ≥50% pada triwulan 4. Milestone bulan ke-6: 12 situasi.</v>
      </c>
      <c r="L29" s="83" t="str">
        <v>Mentor</v>
      </c>
    </row>
    <row r="30" spans="1:12" s="82" customFormat="1" ht="30">
      <c r="A30" s="234">
        <v>16</v>
      </c>
      <c r="B30" s="83" t="str">
        <v>Leadership</v>
      </c>
      <c r="C30" s="83" t="str">
        <v>Experience-Based Development</v>
      </c>
      <c r="D30" s="234">
        <v>2</v>
      </c>
      <c r="E30" s="83" t="str">
        <v>Latihan "Mengomunikasikan Prioritas kepada Tim"</v>
      </c>
      <c r="F30" s="83" t="str">
        <v>Melatih menjelaskan dasar urutan prioritas kepada tim, bukan hanya menetapkannya sendiri.</v>
      </c>
      <c r="G30" s="83" t="str">
        <v>Setiap kali menetapkan urutan prioritas untuk tugas tim, jelaskan kepada anggota tim dasarnya — mengapa tugas ini lebih dulu daripada yang lain.</v>
      </c>
      <c r="H30" s="83" t="str">
        <v>Log 20 komunikasi prioritas. Termasuk konfirmasi anggota tim.</v>
      </c>
      <c r="I30" s="234" t="str">
        <v>Bulan 1–12</v>
      </c>
      <c r="J30" s="234" t="str">
        <v>Bulanan</v>
      </c>
      <c r="K30" s="235" t="str">
        <v>Minimal 20 komunikasi tercatat. Minimal 15 dikonfirmasi anggota tim sebagai jelas dan masuk akal.</v>
      </c>
      <c r="L30" s="83" t="str">
        <v>Anggota Tim</v>
      </c>
    </row>
    <row r="31" spans="1:12" s="82" customFormat="1" ht="75">
      <c r="A31" s="234">
        <v>17</v>
      </c>
      <c r="B31" s="83" t="str">
        <v>Analytical Thinking</v>
      </c>
      <c r="C31" s="83" t="str">
        <v>Personal Development</v>
      </c>
      <c r="D31" s="234">
        <v>1</v>
      </c>
      <c r="E31" s="83" t="str">
        <v>Log "Yang Saya Terima Begitu Saja"</v>
      </c>
      <c r="F31" s="83" t="str">
        <v>Menyadari seberapa sering informasi dan arahan diterima tanpa diperiksa.</v>
      </c>
      <c r="G31" s="83" t="str">
        <v>Setiap arahan, laporan, atau usulan yang peserta terima, catat: apa premis atau klaim di dalamnya, apakah peserta mempertanyakannya, dan bila tidak — mengapa. Beri tanda khusus pada yang tidak dipertanyakan karena sungkan atau karena yang menyampaikan lebih senior.</v>
      </c>
      <c r="H31" s="83" t="str">
        <v>Log minimal 40 entri; rekap triwulanan proporsi yang dipertanyakan, dan proporsi yang tidak dipertanyakan karena sungkan. Termasuk rekap triwulanan.</v>
      </c>
      <c r="I31" s="234" t="str">
        <v>Bulan 1–12</v>
      </c>
      <c r="J31" s="234" t="str">
        <v>Bulanan</v>
      </c>
      <c r="K31" s="235" t="str">
        <v>Minimal 40 entri. Proporsi yang dipertanyakan naik dari baseline triwulan 1 menjadi ≥60% pada triwulan 4, DAN proporsi yang tidak dipertanyakan karena sungkan turun menjadi ≤15%. Milestone Bulan 6: 20 entri dan baseline terbentuk.</v>
      </c>
      <c r="L31" s="83" t="str">
        <v>Mentor</v>
      </c>
    </row>
    <row r="32" spans="1:12" s="82" customFormat="1" ht="75">
      <c r="A32" s="234">
        <v>18</v>
      </c>
      <c r="B32" s="83" t="str">
        <v>Analytical Thinking</v>
      </c>
      <c r="C32" s="83" t="str">
        <v>Education-Based Development</v>
      </c>
      <c r="D32" s="234">
        <v>1</v>
      </c>
      <c r="E32" s="83" t="str">
        <v>Log "Yang Saya Terima Begitu Saja"</v>
      </c>
      <c r="F32" s="83" t="str">
        <v>Menyadari seberapa sering informasi dan arahan diterima tanpa diperiksa.</v>
      </c>
      <c r="G32" s="83" t="str">
        <v>Setiap arahan, laporan, atau usulan yang peserta terima, catat: apa premis atau klaim di dalamnya, apakah peserta mempertanyakannya, dan bila tidak — mengapa. Beri tanda khusus pada yang tidak dipertanyakan karena sungkan atau karena yang menyampaikan lebih senior.</v>
      </c>
      <c r="H32" s="83" t="str">
        <v>Log minimal 40 entri; rekap triwulanan proporsi yang dipertanyakan, dan proporsi yang tidak dipertanyakan karena sungkan. Termasuk rekap triwulanan.</v>
      </c>
      <c r="I32" s="234" t="str">
        <v>Bulan 1–12</v>
      </c>
      <c r="J32" s="234" t="str">
        <v>Bulanan</v>
      </c>
      <c r="K32" s="235" t="str">
        <v>Minimal 40 entri. Proporsi yang dipertanyakan naik dari baseline triwulan 1 menjadi ≥60% pada triwulan 4, DAN proporsi yang tidak dipertanyakan karena sungkan turun menjadi ≤15%. Milestone Bulan 6: 20 entri dan baseline terbentuk.</v>
      </c>
      <c r="L32" s="83" t="str">
        <v>Mentor</v>
      </c>
    </row>
    <row r="33" spans="1:12" s="82" customFormat="1" ht="75">
      <c r="A33" s="234">
        <v>19</v>
      </c>
      <c r="B33" s="83" t="str">
        <v>Analytical Thinking</v>
      </c>
      <c r="C33" s="83" t="str">
        <v>Relation-Based Development</v>
      </c>
      <c r="D33" s="234">
        <v>1</v>
      </c>
      <c r="E33" s="83" t="str">
        <v>Log "Yang Saya Terima Begitu Saja"</v>
      </c>
      <c r="F33" s="83" t="str">
        <v>Menyadari seberapa sering informasi dan arahan diterima tanpa diperiksa.</v>
      </c>
      <c r="G33" s="83" t="str">
        <v>Setiap arahan, laporan, atau usulan yang peserta terima, catat: apa premis atau klaim di dalamnya, apakah peserta mempertanyakannya, dan bila tidak — mengapa. Beri tanda khusus pada yang tidak dipertanyakan karena sungkan atau karena yang menyampaikan lebih senior.</v>
      </c>
      <c r="H33" s="83" t="str">
        <v>Log minimal 40 entri; rekap triwulanan proporsi yang dipertanyakan, dan proporsi yang tidak dipertanyakan karena sungkan. Termasuk rekap triwulanan.</v>
      </c>
      <c r="I33" s="234" t="str">
        <v>Bulan 1–12</v>
      </c>
      <c r="J33" s="234" t="str">
        <v>Bulanan</v>
      </c>
      <c r="K33" s="235" t="str">
        <v>Minimal 40 entri. Proporsi yang dipertanyakan naik dari baseline triwulan 1 menjadi ≥60% pada triwulan 4, DAN proporsi yang tidak dipertanyakan karena sungkan turun menjadi ≤15%. Milestone Bulan 6: 20 entri dan baseline terbentuk.</v>
      </c>
      <c r="L33" s="83" t="str">
        <v>Mentor</v>
      </c>
    </row>
    <row r="34" spans="1:12" s="82" customFormat="1" ht="75">
      <c r="A34" s="234">
        <v>20</v>
      </c>
      <c r="B34" s="83" t="str">
        <v>Analytical Thinking</v>
      </c>
      <c r="C34" s="83" t="str">
        <v>Experience-Based Development</v>
      </c>
      <c r="D34" s="234">
        <v>1</v>
      </c>
      <c r="E34" s="83" t="str">
        <v>Log "Yang Saya Terima Begitu Saja"</v>
      </c>
      <c r="F34" s="83" t="str">
        <v>Menyadari seberapa sering informasi dan arahan diterima tanpa diperiksa.</v>
      </c>
      <c r="G34" s="83" t="str">
        <v>Setiap arahan, laporan, atau usulan yang peserta terima, catat: apa premis atau klaim di dalamnya, apakah peserta mempertanyakannya, dan bila tidak — mengapa. Beri tanda khusus pada yang tidak dipertanyakan karena sungkan atau karena yang menyampaikan lebih senior.</v>
      </c>
      <c r="H34" s="83" t="str">
        <v>Log minimal 40 entri; rekap triwulanan proporsi yang dipertanyakan, dan proporsi yang tidak dipertanyakan karena sungkan. Termasuk rekap triwulanan.</v>
      </c>
      <c r="I34" s="234" t="str">
        <v>Bulan 1–12</v>
      </c>
      <c r="J34" s="234" t="str">
        <v>Bulanan</v>
      </c>
      <c r="K34" s="235" t="str">
        <v>Minimal 40 entri. Proporsi yang dipertanyakan naik dari baseline triwulan 1 menjadi ≥60% pada triwulan 4, DAN proporsi yang tidak dipertanyakan karena sungkan turun menjadi ≤15%. Milestone Bulan 6: 20 entri dan baseline terbentuk.</v>
      </c>
      <c r="L34" s="83" t="str">
        <v>Mentor</v>
      </c>
    </row>
    <row r="35" spans="1:12" s="80" customFormat="1">
      <c r="A35" s="134"/>
      <c r="B35" s="134"/>
      <c r="C35" s="134"/>
      <c r="D35" s="238"/>
      <c r="E35" s="134"/>
      <c r="F35" s="134"/>
      <c r="G35" s="134"/>
      <c r="H35" s="134"/>
      <c r="I35" s="238"/>
      <c r="J35" s="238"/>
      <c r="K35" s="236"/>
      <c r="L35" s="134"/>
    </row>
    <row r="36" spans="1:12" s="80" customFormat="1">
      <c r="A36" s="134"/>
      <c r="B36" s="134"/>
      <c r="C36" s="134"/>
      <c r="D36" s="238"/>
      <c r="E36" s="134"/>
      <c r="F36" s="134"/>
      <c r="G36" s="134"/>
      <c r="H36" s="134"/>
      <c r="I36" s="238"/>
      <c r="J36" s="238"/>
      <c r="K36" s="236"/>
      <c r="L36" s="134"/>
    </row>
    <row r="37" spans="1:12" s="80" customFormat="1">
      <c r="A37" s="134"/>
      <c r="B37" s="134"/>
      <c r="C37" s="134"/>
      <c r="D37" s="238"/>
      <c r="E37" s="134"/>
      <c r="F37" s="134"/>
      <c r="G37" s="134"/>
      <c r="H37" s="134"/>
      <c r="I37" s="238"/>
      <c r="J37" s="238"/>
      <c r="K37" s="236"/>
      <c r="L37" s="134"/>
    </row>
    <row r="38" spans="1:12" s="80" customFormat="1">
      <c r="A38" s="134"/>
      <c r="B38" s="134"/>
      <c r="C38" s="134"/>
      <c r="D38" s="238"/>
      <c r="E38" s="134"/>
      <c r="F38" s="134"/>
      <c r="G38" s="134"/>
      <c r="H38" s="134"/>
      <c r="I38" s="238"/>
      <c r="J38" s="238"/>
      <c r="K38" s="236"/>
      <c r="L38" s="134"/>
    </row>
  </sheetData>
  <phoneticPr fontId="5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6E36F-8F4B-47C5-BEA7-D22BEF9FFA2B}">
  <sheetPr>
    <tabColor rgb="FF92D050"/>
  </sheetPr>
  <dimension ref="A1:AT39"/>
  <sheetViews>
    <sheetView zoomScale="25" zoomScaleNormal="25" workbookViewId="0">
      <selection activeCell="G27" sqref="G27"/>
    </sheetView>
  </sheetViews>
  <sheetFormatPr defaultColWidth="8.85546875" defaultRowHeight="14.45"/>
  <cols>
    <col min="1" max="1" width="26.28515625" style="223" bestFit="1" customWidth="1"/>
    <col min="2" max="2" width="29" style="223" bestFit="1" customWidth="1"/>
    <col min="3" max="3" width="32.42578125" style="223" bestFit="1" customWidth="1"/>
    <col min="4" max="4" width="0" style="197" hidden="1" customWidth="1"/>
    <col min="5" max="5" width="55.85546875" style="223" bestFit="1" customWidth="1"/>
    <col min="6" max="6" width="43.28515625" style="223" customWidth="1"/>
    <col min="7" max="7" width="81.28515625" style="223" customWidth="1"/>
    <col min="8" max="8" width="55.85546875" style="223" customWidth="1"/>
    <col min="9" max="9" width="19.140625" style="223" bestFit="1" customWidth="1"/>
    <col min="10" max="10" width="21.5703125" style="223" bestFit="1" customWidth="1"/>
    <col min="11" max="11" width="57.28515625" style="223" customWidth="1"/>
    <col min="12" max="12" width="20.28515625" style="223" bestFit="1" customWidth="1"/>
    <col min="13" max="13" width="11.5703125" style="197" customWidth="1"/>
    <col min="14" max="14" width="11.85546875" style="197" customWidth="1"/>
    <col min="15" max="15" width="8.85546875" style="223"/>
    <col min="16" max="16" width="13.140625" style="197" customWidth="1"/>
    <col min="17" max="17" width="16.5703125" style="223" customWidth="1"/>
    <col min="18" max="18" width="49.42578125" style="223" customWidth="1"/>
    <col min="19" max="16384" width="8.85546875" style="223"/>
  </cols>
  <sheetData>
    <row r="1" spans="1:46" s="217" customFormat="1" ht="15">
      <c r="D1" s="12"/>
      <c r="F1" s="12"/>
      <c r="H1" s="82"/>
      <c r="J1" s="82"/>
      <c r="K1" s="82"/>
      <c r="L1" s="82"/>
      <c r="M1" s="194"/>
      <c r="N1" s="194"/>
      <c r="O1" s="12"/>
      <c r="P1" s="194"/>
      <c r="Q1" s="82"/>
      <c r="R1" s="82"/>
      <c r="S1" s="82"/>
      <c r="T1" s="82"/>
      <c r="U1" s="82"/>
      <c r="V1" s="82"/>
      <c r="W1" s="12"/>
      <c r="X1" s="82"/>
      <c r="Y1" s="82"/>
      <c r="Z1" s="82"/>
      <c r="AA1" s="82"/>
      <c r="AB1" s="82"/>
      <c r="AC1" s="82"/>
      <c r="AD1" s="82"/>
      <c r="AE1" s="12"/>
      <c r="AF1" s="82"/>
      <c r="AG1" s="82"/>
      <c r="AH1" s="82"/>
      <c r="AI1" s="82"/>
      <c r="AJ1" s="82"/>
      <c r="AK1" s="82"/>
      <c r="AL1" s="82"/>
      <c r="AM1" s="12"/>
      <c r="AN1" s="82"/>
      <c r="AO1" s="82"/>
      <c r="AP1" s="82"/>
      <c r="AQ1" s="82"/>
      <c r="AR1" s="82"/>
      <c r="AS1" s="82"/>
      <c r="AT1" s="82"/>
    </row>
    <row r="2" spans="1:46" s="1" customFormat="1" ht="15">
      <c r="A2" s="1" t="str">
        <f>Identitas!B2</f>
        <v xml:space="preserve">Nama </v>
      </c>
      <c r="B2" s="84">
        <f>Identitas!D2</f>
        <v>0</v>
      </c>
      <c r="F2" s="12"/>
      <c r="H2" s="80"/>
      <c r="J2" s="82"/>
      <c r="K2" s="82"/>
      <c r="L2" s="82"/>
      <c r="M2" s="2"/>
      <c r="N2" s="80"/>
      <c r="O2" s="80"/>
      <c r="P2" s="80"/>
      <c r="Q2" s="80"/>
      <c r="R2" s="80"/>
      <c r="S2" s="80"/>
      <c r="T2" s="80"/>
      <c r="U2" s="2"/>
      <c r="V2" s="80"/>
      <c r="W2" s="80"/>
      <c r="X2" s="80"/>
      <c r="Y2" s="80"/>
      <c r="Z2" s="80"/>
      <c r="AA2" s="80"/>
      <c r="AB2" s="80"/>
      <c r="AC2" s="12"/>
      <c r="AD2" s="80"/>
      <c r="AE2" s="80"/>
      <c r="AF2" s="80"/>
      <c r="AG2" s="80"/>
      <c r="AH2" s="80"/>
      <c r="AI2" s="80"/>
      <c r="AJ2" s="80"/>
      <c r="AK2" s="12"/>
      <c r="AL2" s="80"/>
      <c r="AM2" s="80"/>
      <c r="AN2" s="80"/>
      <c r="AO2" s="80"/>
      <c r="AP2" s="80"/>
      <c r="AQ2" s="80"/>
      <c r="AR2" s="80"/>
    </row>
    <row r="3" spans="1:46" s="1" customFormat="1" ht="15">
      <c r="A3" s="1" t="str">
        <f>Identitas!B3</f>
        <v>Nama Atasan yang menilai</v>
      </c>
      <c r="B3" s="84">
        <f>Identitas!D3</f>
        <v>0</v>
      </c>
      <c r="F3" s="12"/>
      <c r="H3" s="80"/>
      <c r="J3" s="82"/>
      <c r="K3" s="82"/>
      <c r="L3" s="82"/>
      <c r="M3" s="2"/>
      <c r="N3" s="80"/>
      <c r="O3" s="80"/>
      <c r="P3" s="80"/>
      <c r="Q3" s="80"/>
      <c r="R3" s="80"/>
      <c r="S3" s="80"/>
      <c r="T3" s="80"/>
      <c r="U3" s="2"/>
      <c r="V3" s="80"/>
      <c r="W3" s="80"/>
      <c r="X3" s="80"/>
      <c r="Y3" s="80"/>
      <c r="Z3" s="80"/>
      <c r="AA3" s="80"/>
      <c r="AB3" s="80"/>
      <c r="AC3" s="12"/>
      <c r="AD3" s="80"/>
      <c r="AE3" s="80"/>
      <c r="AF3" s="80"/>
      <c r="AG3" s="80"/>
      <c r="AH3" s="80"/>
      <c r="AI3" s="80"/>
      <c r="AJ3" s="80"/>
      <c r="AK3" s="12"/>
      <c r="AL3" s="80"/>
      <c r="AM3" s="80"/>
      <c r="AN3" s="80"/>
      <c r="AO3" s="80"/>
      <c r="AP3" s="80"/>
      <c r="AQ3" s="80"/>
      <c r="AR3" s="80"/>
    </row>
    <row r="4" spans="1:46" s="1" customFormat="1" ht="15">
      <c r="A4" s="1" t="str">
        <f>Identitas!B4</f>
        <v>Level Saat Ini</v>
      </c>
      <c r="B4" s="84" t="str">
        <f>Identitas!D4</f>
        <v>Officer</v>
      </c>
      <c r="F4" s="12"/>
      <c r="H4" s="80"/>
      <c r="J4" s="82"/>
      <c r="K4" s="82"/>
      <c r="L4" s="82"/>
      <c r="M4" s="2"/>
      <c r="N4" s="80"/>
      <c r="O4" s="80"/>
      <c r="P4" s="80"/>
      <c r="Q4" s="80"/>
      <c r="R4" s="80"/>
      <c r="S4" s="80"/>
      <c r="T4" s="80"/>
      <c r="U4" s="2"/>
      <c r="V4" s="80"/>
      <c r="W4" s="80"/>
      <c r="X4" s="80"/>
      <c r="Y4" s="80"/>
      <c r="Z4" s="80"/>
      <c r="AA4" s="80"/>
      <c r="AB4" s="80"/>
      <c r="AC4" s="12"/>
      <c r="AD4" s="80"/>
      <c r="AE4" s="80"/>
      <c r="AF4" s="80"/>
      <c r="AG4" s="80"/>
      <c r="AH4" s="80"/>
      <c r="AI4" s="80"/>
      <c r="AJ4" s="80"/>
      <c r="AK4" s="12"/>
      <c r="AL4" s="80"/>
      <c r="AM4" s="80"/>
      <c r="AN4" s="80"/>
      <c r="AO4" s="80"/>
      <c r="AP4" s="80"/>
      <c r="AQ4" s="80"/>
      <c r="AR4" s="80"/>
    </row>
    <row r="5" spans="1:46" s="1" customFormat="1" ht="15">
      <c r="A5" s="1" t="str">
        <f>Identitas!B5</f>
        <v>Level Tujuan</v>
      </c>
      <c r="B5" s="84" t="str">
        <f>Identitas!D5</f>
        <v>Analyst</v>
      </c>
      <c r="F5" s="12"/>
      <c r="H5" s="80"/>
      <c r="J5" s="82"/>
      <c r="K5" s="82"/>
      <c r="L5" s="82"/>
      <c r="M5" s="2"/>
      <c r="N5" s="80"/>
      <c r="O5" s="80"/>
      <c r="P5" s="80"/>
      <c r="Q5" s="80"/>
      <c r="R5" s="80"/>
      <c r="S5" s="80"/>
      <c r="T5" s="80"/>
      <c r="U5" s="2"/>
      <c r="V5" s="80"/>
      <c r="W5" s="80"/>
      <c r="X5" s="80"/>
      <c r="Y5" s="80"/>
      <c r="Z5" s="80"/>
      <c r="AA5" s="80"/>
      <c r="AB5" s="80"/>
      <c r="AC5" s="12"/>
      <c r="AD5" s="80"/>
      <c r="AE5" s="80"/>
      <c r="AF5" s="80"/>
      <c r="AG5" s="80"/>
      <c r="AH5" s="80"/>
      <c r="AI5" s="80"/>
      <c r="AJ5" s="80"/>
      <c r="AK5" s="12"/>
      <c r="AL5" s="80"/>
      <c r="AM5" s="80"/>
      <c r="AN5" s="80"/>
      <c r="AO5" s="80"/>
      <c r="AP5" s="80"/>
      <c r="AQ5" s="80"/>
      <c r="AR5" s="80"/>
    </row>
    <row r="6" spans="1:46" s="1" customFormat="1" ht="15">
      <c r="A6" s="1" t="str">
        <f>Identitas!B7</f>
        <v>Unit</v>
      </c>
      <c r="B6" s="84">
        <f>Identitas!D7</f>
        <v>0</v>
      </c>
      <c r="F6" s="12"/>
      <c r="H6" s="80"/>
      <c r="J6" s="82"/>
      <c r="K6" s="82"/>
      <c r="L6" s="82"/>
      <c r="M6" s="2"/>
      <c r="N6" s="80"/>
      <c r="O6" s="80"/>
      <c r="P6" s="80"/>
      <c r="Q6" s="80"/>
      <c r="R6" s="80"/>
      <c r="S6" s="80"/>
      <c r="T6" s="80"/>
      <c r="U6" s="2"/>
      <c r="V6" s="80"/>
      <c r="W6" s="80"/>
      <c r="X6" s="80"/>
      <c r="Y6" s="80"/>
      <c r="Z6" s="80"/>
      <c r="AA6" s="80"/>
      <c r="AB6" s="80"/>
      <c r="AC6" s="12"/>
      <c r="AD6" s="80"/>
      <c r="AE6" s="80"/>
      <c r="AF6" s="80"/>
      <c r="AG6" s="80"/>
      <c r="AH6" s="80"/>
      <c r="AI6" s="80"/>
      <c r="AJ6" s="80"/>
      <c r="AK6" s="12"/>
      <c r="AL6" s="80"/>
      <c r="AM6" s="80"/>
      <c r="AN6" s="80"/>
      <c r="AO6" s="80"/>
      <c r="AP6" s="80"/>
      <c r="AQ6" s="80"/>
      <c r="AR6" s="80"/>
    </row>
    <row r="7" spans="1:46" s="1" customFormat="1" ht="15">
      <c r="A7" s="1" t="str">
        <f>Identitas!B8</f>
        <v>Departemen</v>
      </c>
      <c r="B7" s="84">
        <f>Identitas!D8</f>
        <v>0</v>
      </c>
      <c r="F7" s="12"/>
      <c r="H7" s="80"/>
      <c r="J7" s="82"/>
      <c r="K7" s="82"/>
      <c r="L7" s="82"/>
      <c r="M7" s="2"/>
      <c r="N7" s="80"/>
      <c r="O7" s="80"/>
      <c r="P7" s="80"/>
      <c r="Q7" s="80"/>
      <c r="R7" s="80"/>
      <c r="S7" s="80"/>
      <c r="T7" s="80"/>
      <c r="U7" s="2"/>
      <c r="V7" s="80"/>
      <c r="W7" s="80"/>
      <c r="X7" s="80"/>
      <c r="Y7" s="80"/>
      <c r="Z7" s="80"/>
      <c r="AA7" s="80"/>
      <c r="AB7" s="80"/>
      <c r="AC7" s="12"/>
      <c r="AD7" s="80"/>
      <c r="AE7" s="80"/>
      <c r="AF7" s="80"/>
      <c r="AG7" s="80"/>
      <c r="AH7" s="80"/>
      <c r="AI7" s="80"/>
      <c r="AJ7" s="80"/>
      <c r="AK7" s="12"/>
      <c r="AL7" s="80"/>
      <c r="AM7" s="80"/>
      <c r="AN7" s="80"/>
      <c r="AO7" s="80"/>
      <c r="AP7" s="80"/>
      <c r="AQ7" s="80"/>
      <c r="AR7" s="80"/>
    </row>
    <row r="8" spans="1:46" s="1" customFormat="1" ht="15">
      <c r="A8" s="1" t="str">
        <f>Identitas!B9</f>
        <v>Divisi</v>
      </c>
      <c r="B8" s="84">
        <f>Identitas!D9</f>
        <v>0</v>
      </c>
      <c r="F8" s="12"/>
      <c r="H8" s="80"/>
      <c r="J8" s="82"/>
      <c r="K8" s="82"/>
      <c r="L8" s="82"/>
      <c r="M8" s="2"/>
      <c r="N8" s="80"/>
      <c r="O8" s="80"/>
      <c r="P8" s="80"/>
      <c r="Q8" s="80"/>
      <c r="R8" s="80"/>
      <c r="S8" s="80"/>
      <c r="T8" s="80"/>
      <c r="U8" s="2"/>
      <c r="V8" s="80"/>
      <c r="W8" s="80"/>
      <c r="X8" s="80"/>
      <c r="Y8" s="80"/>
      <c r="Z8" s="80"/>
      <c r="AA8" s="80"/>
      <c r="AB8" s="80"/>
      <c r="AC8" s="12"/>
      <c r="AD8" s="80"/>
      <c r="AE8" s="80"/>
      <c r="AF8" s="80"/>
      <c r="AG8" s="80"/>
      <c r="AH8" s="80"/>
      <c r="AI8" s="80"/>
      <c r="AJ8" s="80"/>
      <c r="AK8" s="12"/>
      <c r="AL8" s="80"/>
      <c r="AM8" s="80"/>
      <c r="AN8" s="80"/>
      <c r="AO8" s="80"/>
      <c r="AP8" s="80"/>
      <c r="AQ8" s="80"/>
      <c r="AR8" s="80"/>
    </row>
    <row r="9" spans="1:46" s="1" customFormat="1" ht="15">
      <c r="A9" s="1" t="str">
        <f>Identitas!B10</f>
        <v>Direktorat</v>
      </c>
      <c r="B9" s="84">
        <f>Identitas!D10</f>
        <v>0</v>
      </c>
      <c r="F9" s="12"/>
      <c r="H9" s="80"/>
      <c r="J9" s="82"/>
      <c r="K9" s="82"/>
      <c r="L9" s="82"/>
      <c r="M9" s="2"/>
      <c r="N9" s="80"/>
      <c r="O9" s="80"/>
      <c r="P9" s="80"/>
      <c r="Q9" s="80"/>
      <c r="R9" s="80"/>
      <c r="S9" s="80"/>
      <c r="T9" s="80"/>
      <c r="U9" s="2"/>
      <c r="V9" s="80"/>
      <c r="W9" s="80"/>
      <c r="X9" s="80"/>
      <c r="Y9" s="80"/>
      <c r="Z9" s="80"/>
      <c r="AA9" s="80"/>
      <c r="AB9" s="80"/>
      <c r="AC9" s="12"/>
      <c r="AD9" s="80"/>
      <c r="AE9" s="80"/>
      <c r="AF9" s="80"/>
      <c r="AG9" s="80"/>
      <c r="AH9" s="80"/>
      <c r="AI9" s="80"/>
      <c r="AJ9" s="80"/>
      <c r="AK9" s="12"/>
      <c r="AL9" s="80"/>
      <c r="AM9" s="80"/>
      <c r="AN9" s="80"/>
      <c r="AO9" s="80"/>
      <c r="AP9" s="80"/>
      <c r="AQ9" s="80"/>
      <c r="AR9" s="80"/>
    </row>
    <row r="10" spans="1:46" s="1" customFormat="1" ht="15">
      <c r="A10" s="1" t="s">
        <v>5443</v>
      </c>
      <c r="B10" s="84"/>
      <c r="F10" s="12"/>
      <c r="H10" s="80"/>
      <c r="J10" s="82"/>
      <c r="K10" s="82"/>
      <c r="L10" s="82"/>
      <c r="M10" s="2"/>
      <c r="N10" s="80"/>
      <c r="O10" s="80"/>
      <c r="P10" s="80"/>
      <c r="Q10" s="80"/>
      <c r="R10" s="80"/>
      <c r="S10" s="80"/>
      <c r="T10" s="80"/>
      <c r="U10" s="2"/>
      <c r="V10" s="80"/>
      <c r="W10" s="80"/>
      <c r="X10" s="80"/>
      <c r="Y10" s="80"/>
      <c r="Z10" s="80"/>
      <c r="AA10" s="80"/>
      <c r="AB10" s="80"/>
      <c r="AC10" s="12"/>
      <c r="AD10" s="80"/>
      <c r="AE10" s="80"/>
      <c r="AF10" s="80"/>
      <c r="AG10" s="80"/>
      <c r="AH10" s="80"/>
      <c r="AI10" s="80"/>
      <c r="AJ10" s="80"/>
      <c r="AK10" s="12"/>
      <c r="AL10" s="80"/>
      <c r="AM10" s="80"/>
      <c r="AN10" s="80"/>
      <c r="AO10" s="80"/>
      <c r="AP10" s="80"/>
      <c r="AQ10" s="80"/>
      <c r="AR10" s="80"/>
    </row>
    <row r="11" spans="1:46" s="1" customFormat="1" ht="15">
      <c r="A11" s="1" t="s">
        <v>5444</v>
      </c>
      <c r="B11" s="84"/>
      <c r="F11" s="12"/>
      <c r="H11" s="80"/>
      <c r="J11" s="82"/>
      <c r="K11" s="82"/>
      <c r="L11" s="82"/>
      <c r="M11" s="2"/>
      <c r="N11" s="80"/>
      <c r="O11" s="80"/>
      <c r="P11" s="80"/>
      <c r="Q11" s="80"/>
      <c r="R11" s="80"/>
      <c r="S11" s="80"/>
      <c r="T11" s="80"/>
      <c r="U11" s="2"/>
      <c r="V11" s="80"/>
      <c r="W11" s="80"/>
      <c r="X11" s="80"/>
      <c r="Y11" s="80"/>
      <c r="Z11" s="80"/>
      <c r="AA11" s="80"/>
      <c r="AB11" s="80"/>
      <c r="AC11" s="12"/>
      <c r="AD11" s="80"/>
      <c r="AE11" s="80"/>
      <c r="AF11" s="80"/>
      <c r="AG11" s="80"/>
      <c r="AH11" s="80"/>
      <c r="AI11" s="80"/>
      <c r="AJ11" s="80"/>
      <c r="AK11" s="12"/>
      <c r="AL11" s="80"/>
      <c r="AM11" s="80"/>
      <c r="AN11" s="80"/>
      <c r="AO11" s="80"/>
      <c r="AP11" s="80"/>
      <c r="AQ11" s="80"/>
      <c r="AR11" s="80"/>
    </row>
    <row r="12" spans="1:46" s="217" customFormat="1" ht="15">
      <c r="B12" s="218"/>
      <c r="D12" s="12"/>
      <c r="F12" s="12"/>
      <c r="H12" s="82"/>
      <c r="J12" s="82"/>
      <c r="K12" s="82"/>
      <c r="L12" s="82"/>
      <c r="M12" s="194"/>
      <c r="N12" s="194"/>
      <c r="O12" s="12"/>
      <c r="P12" s="194"/>
      <c r="Q12" s="82"/>
      <c r="R12" s="82"/>
      <c r="S12" s="82"/>
      <c r="T12" s="82"/>
      <c r="U12" s="82"/>
      <c r="V12" s="82"/>
      <c r="W12" s="12"/>
      <c r="X12" s="82"/>
      <c r="Y12" s="82"/>
      <c r="Z12" s="82"/>
      <c r="AA12" s="82"/>
      <c r="AB12" s="82"/>
      <c r="AC12" s="82"/>
      <c r="AD12" s="82"/>
      <c r="AE12" s="12"/>
      <c r="AF12" s="82"/>
      <c r="AG12" s="82"/>
      <c r="AH12" s="82"/>
      <c r="AI12" s="82"/>
      <c r="AJ12" s="82"/>
      <c r="AK12" s="82"/>
      <c r="AL12" s="82"/>
      <c r="AM12" s="12"/>
      <c r="AN12" s="82"/>
      <c r="AO12" s="82"/>
      <c r="AP12" s="82"/>
      <c r="AQ12" s="82"/>
      <c r="AR12" s="82"/>
      <c r="AS12" s="82"/>
      <c r="AT12" s="82"/>
    </row>
    <row r="13" spans="1:46" s="217" customFormat="1" ht="15">
      <c r="D13" s="12"/>
      <c r="F13" s="12"/>
      <c r="H13" s="82"/>
      <c r="J13" s="82"/>
      <c r="K13" s="82"/>
      <c r="L13" s="82"/>
      <c r="M13" s="194"/>
      <c r="N13" s="194"/>
      <c r="O13" s="12"/>
      <c r="P13" s="194"/>
      <c r="Q13" s="82"/>
      <c r="R13" s="82"/>
      <c r="S13" s="82"/>
      <c r="T13" s="82"/>
      <c r="U13" s="82"/>
      <c r="V13" s="82"/>
      <c r="W13" s="12"/>
      <c r="X13" s="82"/>
      <c r="Y13" s="82"/>
      <c r="Z13" s="82"/>
      <c r="AA13" s="82"/>
      <c r="AB13" s="82"/>
      <c r="AC13" s="82"/>
      <c r="AD13" s="82"/>
      <c r="AE13" s="12"/>
      <c r="AF13" s="82"/>
      <c r="AG13" s="82"/>
      <c r="AH13" s="82"/>
      <c r="AI13" s="82"/>
      <c r="AJ13" s="82"/>
      <c r="AK13" s="82"/>
      <c r="AL13" s="82"/>
      <c r="AM13" s="12"/>
      <c r="AN13" s="82"/>
      <c r="AO13" s="82"/>
      <c r="AP13" s="82"/>
      <c r="AQ13" s="82"/>
      <c r="AR13" s="82"/>
      <c r="AS13" s="82"/>
      <c r="AT13" s="82"/>
    </row>
    <row r="14" spans="1:46" s="217" customFormat="1" ht="30">
      <c r="A14" s="215" t="s">
        <v>14</v>
      </c>
      <c r="B14" s="215" t="s">
        <v>538</v>
      </c>
      <c r="C14" s="184" t="s">
        <v>5445</v>
      </c>
      <c r="D14" s="184" t="s">
        <v>577</v>
      </c>
      <c r="E14" s="184" t="s">
        <v>5446</v>
      </c>
      <c r="F14" s="184" t="s">
        <v>579</v>
      </c>
      <c r="G14" s="184" t="s">
        <v>5447</v>
      </c>
      <c r="H14" s="184" t="s">
        <v>5448</v>
      </c>
      <c r="I14" s="184" t="s">
        <v>5449</v>
      </c>
      <c r="J14" s="184" t="s">
        <v>583</v>
      </c>
      <c r="K14" s="184" t="s">
        <v>5451</v>
      </c>
      <c r="L14" s="184" t="s">
        <v>585</v>
      </c>
      <c r="M14" s="184" t="s">
        <v>5452</v>
      </c>
      <c r="N14" s="184" t="s">
        <v>5453</v>
      </c>
      <c r="O14" s="184" t="s">
        <v>513</v>
      </c>
      <c r="P14" s="184" t="s">
        <v>5454</v>
      </c>
      <c r="Q14" s="184" t="s">
        <v>5455</v>
      </c>
      <c r="R14" s="184" t="s">
        <v>5456</v>
      </c>
    </row>
    <row r="15" spans="1:46" ht="57.6">
      <c r="A15" s="117">
        <f>'aktivitas pengembangan.'!A15</f>
        <v>1</v>
      </c>
      <c r="B15" s="220" t="str">
        <f>'aktivitas pengembangan.'!B15</f>
        <v>Achievement Drive</v>
      </c>
      <c r="C15" s="220" t="str">
        <f>'aktivitas pengembangan.'!C15</f>
        <v>Personal Development</v>
      </c>
      <c r="D15" s="225">
        <f>'aktivitas pengembangan.'!D15</f>
        <v>1</v>
      </c>
      <c r="E15" s="220" t="str">
        <f>'aktivitas pengembangan.'!E15</f>
        <v>Log "Target yang Menghadapi Hambatan Berulang"</v>
      </c>
      <c r="F15" s="220" t="str">
        <f>'aktivitas pengembangan.'!F15</f>
        <v>Mengukur ketekunan pada target yang sulit dan berlangsung lama.</v>
      </c>
      <c r="G15" s="220" t="str">
        <f>'aktivitas pengembangan.'!G15</f>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15" s="220" t="str">
        <f>'aktivitas pengembangan.'!H15</f>
        <v>Log minimal 15 hambatan pada target yang sama; rentang waktu minimal 3 bulan.</v>
      </c>
      <c r="I15" s="220" t="str">
        <f>'aktivitas pengembangan.'!I15</f>
        <v>Bulan 1–12</v>
      </c>
      <c r="J15" s="220" t="str">
        <f>'aktivitas pengembangan.'!J15</f>
        <v>Bulanan</v>
      </c>
      <c r="K15" s="220" t="str">
        <f>'aktivitas pengembangan.'!K15</f>
        <v>Minimal 15 hambatan tercatat pada target yang SAMA, berlangsung minimal 3 bulan. Target tersebut tetap dikejar sampai akhir periode logging, tidak ditinggalkan di tengah jalan. Milestone Bulan 6: 8 hambatan tercatat, target masih dikejar.</v>
      </c>
      <c r="L15" s="219" t="str">
        <f>'aktivitas pengembangan.'!L15</f>
        <v>Mentor</v>
      </c>
      <c r="M15" s="117">
        <f ca="1">RANDBETWEEN(1,5)</f>
        <v>3</v>
      </c>
      <c r="N15" s="117">
        <f ca="1">RANDBETWEEN(1,5)</f>
        <v>4</v>
      </c>
      <c r="O15" s="221">
        <f ca="1">N15/M15</f>
        <v>1.3333333333333333</v>
      </c>
      <c r="P15" s="224">
        <f ca="1">IF(O15*5 &gt; 5, 5, MAX(O15*5, 1))</f>
        <v>5</v>
      </c>
      <c r="Q15" s="216" t="s">
        <v>5457</v>
      </c>
      <c r="R15" s="219"/>
    </row>
    <row r="16" spans="1:46" ht="43.15">
      <c r="A16" s="117">
        <f>'aktivitas pengembangan.'!A16</f>
        <v>2</v>
      </c>
      <c r="B16" s="220" t="str">
        <f>'aktivitas pengembangan.'!B16</f>
        <v>Achievement Drive</v>
      </c>
      <c r="C16" s="220" t="str">
        <f>'aktivitas pengembangan.'!C16</f>
        <v>Personal Development</v>
      </c>
      <c r="D16" s="225">
        <f>'aktivitas pengembangan.'!D16</f>
        <v>2</v>
      </c>
      <c r="E16" s="220" t="str">
        <f>'aktivitas pengembangan.'!E16</f>
        <v>Jurnal Energi Mingguan pada Target yang Sulit</v>
      </c>
      <c r="F16" s="220" t="str">
        <f>'aktivitas pengembangan.'!F16</f>
        <v>Memantau naik-turunnya energi dan komitmen selama mengejar target sulit.</v>
      </c>
      <c r="G16" s="220" t="str">
        <f>'aktivitas pengembangan.'!G16</f>
        <v>Pilih 1 target sulit yang sedang dikejar. Setiap minggu, catat tingkat energi dan komitmen pada skala 1–5, beserta apa yang membuatnya naik atau turun.</v>
      </c>
      <c r="H16" s="220" t="str">
        <f>'aktivitas pengembangan.'!H16</f>
        <v>Jurnal mingguan minimal 20 minggu.</v>
      </c>
      <c r="I16" s="220" t="str">
        <f>'aktivitas pengembangan.'!I16</f>
        <v>Bulan 1–12</v>
      </c>
      <c r="J16" s="220" t="str">
        <f>'aktivitas pengembangan.'!J16</f>
        <v>Bulanan</v>
      </c>
      <c r="K16" s="220" t="str">
        <f>'aktivitas pengembangan.'!K16</f>
        <v>Minimal 20 entri mingguan. Meski energi tercatat turun pada sebagian minggu, target tetap dikejar tanpa terputus lebih dari 2 minggu berturut-turut.</v>
      </c>
      <c r="L16" s="219" t="str">
        <f>'aktivitas pengembangan.'!L16</f>
        <v>Mentor</v>
      </c>
      <c r="M16" s="117">
        <f t="shared" ref="M16:N38" ca="1" si="0">RANDBETWEEN(1,5)</f>
        <v>2</v>
      </c>
      <c r="N16" s="117">
        <f t="shared" ca="1" si="0"/>
        <v>1</v>
      </c>
      <c r="O16" s="221">
        <f t="shared" ref="O16:O38" ca="1" si="1">N16/M16</f>
        <v>0.5</v>
      </c>
      <c r="P16" s="224">
        <f t="shared" ref="P16:P38" ca="1" si="2">IF(O16*5 &gt; 5, 5, MAX(O16*5, 1))</f>
        <v>2.5</v>
      </c>
      <c r="Q16" s="216" t="s">
        <v>5457</v>
      </c>
      <c r="R16" s="219"/>
    </row>
    <row r="17" spans="1:18" ht="57.6">
      <c r="A17" s="117">
        <f>'aktivitas pengembangan.'!A17</f>
        <v>3</v>
      </c>
      <c r="B17" s="220" t="str">
        <f>'aktivitas pengembangan.'!B17</f>
        <v>Achievement Drive</v>
      </c>
      <c r="C17" s="220" t="str">
        <f>'aktivitas pengembangan.'!C17</f>
        <v>Education-Based Development</v>
      </c>
      <c r="D17" s="225">
        <f>'aktivitas pengembangan.'!D17</f>
        <v>1</v>
      </c>
      <c r="E17" s="220" t="str">
        <f>'aktivitas pengembangan.'!E17</f>
        <v>Log "Target yang Menghadapi Hambatan Berulang"</v>
      </c>
      <c r="F17" s="220" t="str">
        <f>'aktivitas pengembangan.'!F17</f>
        <v>Mengukur ketekunan pada target yang sulit dan berlangsung lama.</v>
      </c>
      <c r="G17" s="220" t="str">
        <f>'aktivitas pengembangan.'!G17</f>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17" s="220" t="str">
        <f>'aktivitas pengembangan.'!H17</f>
        <v>Log minimal 15 hambatan pada target yang sama; rentang waktu minimal 3 bulan.</v>
      </c>
      <c r="I17" s="220" t="str">
        <f>'aktivitas pengembangan.'!I17</f>
        <v>Bulan 1–12</v>
      </c>
      <c r="J17" s="220" t="str">
        <f>'aktivitas pengembangan.'!J17</f>
        <v>Bulanan</v>
      </c>
      <c r="K17" s="220" t="str">
        <f>'aktivitas pengembangan.'!K17</f>
        <v>Minimal 15 hambatan tercatat pada target yang SAMA, berlangsung minimal 3 bulan. Target tersebut tetap dikejar sampai akhir periode logging, tidak ditinggalkan di tengah jalan. Milestone Bulan 6: 8 hambatan tercatat, target masih dikejar.</v>
      </c>
      <c r="L17" s="219" t="str">
        <f>'aktivitas pengembangan.'!L17</f>
        <v>Mentor</v>
      </c>
      <c r="M17" s="117">
        <f t="shared" ca="1" si="0"/>
        <v>4</v>
      </c>
      <c r="N17" s="117">
        <f t="shared" ca="1" si="0"/>
        <v>4</v>
      </c>
      <c r="O17" s="221">
        <f t="shared" ca="1" si="1"/>
        <v>1</v>
      </c>
      <c r="P17" s="224">
        <f t="shared" ca="1" si="2"/>
        <v>5</v>
      </c>
      <c r="Q17" s="216" t="s">
        <v>5457</v>
      </c>
      <c r="R17" s="219"/>
    </row>
    <row r="18" spans="1:18" ht="43.15">
      <c r="A18" s="117">
        <f>'aktivitas pengembangan.'!A18</f>
        <v>4</v>
      </c>
      <c r="B18" s="220" t="str">
        <f>'aktivitas pengembangan.'!B18</f>
        <v>Achievement Drive</v>
      </c>
      <c r="C18" s="220" t="str">
        <f>'aktivitas pengembangan.'!C18</f>
        <v>Education-Based Development</v>
      </c>
      <c r="D18" s="225">
        <f>'aktivitas pengembangan.'!D18</f>
        <v>2</v>
      </c>
      <c r="E18" s="220" t="str">
        <f>'aktivitas pengembangan.'!E18</f>
        <v>Jurnal Energi Mingguan pada Target yang Sulit</v>
      </c>
      <c r="F18" s="220" t="str">
        <f>'aktivitas pengembangan.'!F18</f>
        <v>Memantau naik-turunnya energi dan komitmen selama mengejar target sulit.</v>
      </c>
      <c r="G18" s="220" t="str">
        <f>'aktivitas pengembangan.'!G18</f>
        <v>Pilih 1 target sulit yang sedang dikejar. Setiap minggu, catat tingkat energi dan komitmen pada skala 1–5, beserta apa yang membuatnya naik atau turun.</v>
      </c>
      <c r="H18" s="220" t="str">
        <f>'aktivitas pengembangan.'!H18</f>
        <v>Jurnal mingguan minimal 20 minggu.</v>
      </c>
      <c r="I18" s="220" t="str">
        <f>'aktivitas pengembangan.'!I18</f>
        <v>Bulan 1–12</v>
      </c>
      <c r="J18" s="220" t="str">
        <f>'aktivitas pengembangan.'!J18</f>
        <v>Bulanan</v>
      </c>
      <c r="K18" s="220" t="str">
        <f>'aktivitas pengembangan.'!K18</f>
        <v>Minimal 20 entri mingguan. Meski energi tercatat turun pada sebagian minggu, target tetap dikejar tanpa terputus lebih dari 2 minggu berturut-turut.</v>
      </c>
      <c r="L18" s="219" t="str">
        <f>'aktivitas pengembangan.'!L18</f>
        <v>Mentor</v>
      </c>
      <c r="M18" s="117">
        <f t="shared" ca="1" si="0"/>
        <v>5</v>
      </c>
      <c r="N18" s="117">
        <f t="shared" ca="1" si="0"/>
        <v>4</v>
      </c>
      <c r="O18" s="221">
        <f t="shared" ca="1" si="1"/>
        <v>0.8</v>
      </c>
      <c r="P18" s="224">
        <f t="shared" ca="1" si="2"/>
        <v>4</v>
      </c>
      <c r="Q18" s="216" t="s">
        <v>5457</v>
      </c>
      <c r="R18" s="219"/>
    </row>
    <row r="19" spans="1:18" ht="57.6">
      <c r="A19" s="117">
        <f>'aktivitas pengembangan.'!A19</f>
        <v>5</v>
      </c>
      <c r="B19" s="220" t="str">
        <f>'aktivitas pengembangan.'!B19</f>
        <v>Achievement Drive</v>
      </c>
      <c r="C19" s="220" t="str">
        <f>'aktivitas pengembangan.'!C19</f>
        <v>Relation-Based Development</v>
      </c>
      <c r="D19" s="225">
        <f>'aktivitas pengembangan.'!D19</f>
        <v>1</v>
      </c>
      <c r="E19" s="220" t="str">
        <f>'aktivitas pengembangan.'!E19</f>
        <v>Log "Target yang Menghadapi Hambatan Berulang"</v>
      </c>
      <c r="F19" s="220" t="str">
        <f>'aktivitas pengembangan.'!F19</f>
        <v>Mengukur ketekunan pada target yang sulit dan berlangsung lama.</v>
      </c>
      <c r="G19" s="220" t="str">
        <f>'aktivitas pengembangan.'!G19</f>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19" s="220" t="str">
        <f>'aktivitas pengembangan.'!H19</f>
        <v>Log minimal 15 hambatan pada target yang sama; rentang waktu minimal 3 bulan.</v>
      </c>
      <c r="I19" s="220" t="str">
        <f>'aktivitas pengembangan.'!I19</f>
        <v>Bulan 1–12</v>
      </c>
      <c r="J19" s="220" t="str">
        <f>'aktivitas pengembangan.'!J19</f>
        <v>Bulanan</v>
      </c>
      <c r="K19" s="220" t="str">
        <f>'aktivitas pengembangan.'!K19</f>
        <v>Minimal 15 hambatan tercatat pada target yang SAMA, berlangsung minimal 3 bulan. Target tersebut tetap dikejar sampai akhir periode logging, tidak ditinggalkan di tengah jalan. Milestone Bulan 6: 8 hambatan tercatat, target masih dikejar.</v>
      </c>
      <c r="L19" s="219" t="str">
        <f>'aktivitas pengembangan.'!L19</f>
        <v>Mentor</v>
      </c>
      <c r="M19" s="117">
        <f t="shared" ca="1" si="0"/>
        <v>2</v>
      </c>
      <c r="N19" s="117">
        <f t="shared" ca="1" si="0"/>
        <v>5</v>
      </c>
      <c r="O19" s="221">
        <f t="shared" ca="1" si="1"/>
        <v>2.5</v>
      </c>
      <c r="P19" s="224">
        <f t="shared" ca="1" si="2"/>
        <v>5</v>
      </c>
      <c r="Q19" s="216" t="s">
        <v>5457</v>
      </c>
      <c r="R19" s="219"/>
    </row>
    <row r="20" spans="1:18" ht="43.15">
      <c r="A20" s="117">
        <f>'aktivitas pengembangan.'!A20</f>
        <v>6</v>
      </c>
      <c r="B20" s="220" t="str">
        <f>'aktivitas pengembangan.'!B20</f>
        <v>Achievement Drive</v>
      </c>
      <c r="C20" s="220" t="str">
        <f>'aktivitas pengembangan.'!C20</f>
        <v>Relation-Based Development</v>
      </c>
      <c r="D20" s="225">
        <f>'aktivitas pengembangan.'!D20</f>
        <v>2</v>
      </c>
      <c r="E20" s="220" t="str">
        <f>'aktivitas pengembangan.'!E20</f>
        <v>Jurnal Energi Mingguan pada Target yang Sulit</v>
      </c>
      <c r="F20" s="220" t="str">
        <f>'aktivitas pengembangan.'!F20</f>
        <v>Memantau naik-turunnya energi dan komitmen selama mengejar target sulit.</v>
      </c>
      <c r="G20" s="220" t="str">
        <f>'aktivitas pengembangan.'!G20</f>
        <v>Pilih 1 target sulit yang sedang dikejar. Setiap minggu, catat tingkat energi dan komitmen pada skala 1–5, beserta apa yang membuatnya naik atau turun.</v>
      </c>
      <c r="H20" s="220" t="str">
        <f>'aktivitas pengembangan.'!H20</f>
        <v>Jurnal mingguan minimal 20 minggu.</v>
      </c>
      <c r="I20" s="220" t="str">
        <f>'aktivitas pengembangan.'!I20</f>
        <v>Bulan 1–12</v>
      </c>
      <c r="J20" s="220" t="str">
        <f>'aktivitas pengembangan.'!J20</f>
        <v>Bulanan</v>
      </c>
      <c r="K20" s="220" t="str">
        <f>'aktivitas pengembangan.'!K20</f>
        <v>Minimal 20 entri mingguan. Meski energi tercatat turun pada sebagian minggu, target tetap dikejar tanpa terputus lebih dari 2 minggu berturut-turut.</v>
      </c>
      <c r="L20" s="219" t="str">
        <f>'aktivitas pengembangan.'!L20</f>
        <v>Mentor</v>
      </c>
      <c r="M20" s="117">
        <f t="shared" ca="1" si="0"/>
        <v>2</v>
      </c>
      <c r="N20" s="117">
        <f t="shared" ca="1" si="0"/>
        <v>5</v>
      </c>
      <c r="O20" s="221">
        <f t="shared" ca="1" si="1"/>
        <v>2.5</v>
      </c>
      <c r="P20" s="224">
        <f t="shared" ca="1" si="2"/>
        <v>5</v>
      </c>
      <c r="Q20" s="216" t="s">
        <v>5457</v>
      </c>
      <c r="R20" s="219"/>
    </row>
    <row r="21" spans="1:18" ht="57.6">
      <c r="A21" s="117">
        <f>'aktivitas pengembangan.'!A21</f>
        <v>7</v>
      </c>
      <c r="B21" s="220" t="str">
        <f>'aktivitas pengembangan.'!B21</f>
        <v>Achievement Drive</v>
      </c>
      <c r="C21" s="220" t="str">
        <f>'aktivitas pengembangan.'!C21</f>
        <v>Experience-Based Development</v>
      </c>
      <c r="D21" s="225">
        <f>'aktivitas pengembangan.'!D21</f>
        <v>1</v>
      </c>
      <c r="E21" s="220" t="str">
        <f>'aktivitas pengembangan.'!E21</f>
        <v>Log "Target yang Menghadapi Hambatan Berulang"</v>
      </c>
      <c r="F21" s="220" t="str">
        <f>'aktivitas pengembangan.'!F21</f>
        <v>Mengukur ketekunan pada target yang sulit dan berlangsung lama.</v>
      </c>
      <c r="G21" s="220" t="str">
        <f>'aktivitas pengembangan.'!G21</f>
        <v>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v>
      </c>
      <c r="H21" s="220" t="str">
        <f>'aktivitas pengembangan.'!H21</f>
        <v>Log minimal 15 hambatan pada target yang sama; rentang waktu minimal 3 bulan.</v>
      </c>
      <c r="I21" s="220" t="str">
        <f>'aktivitas pengembangan.'!I21</f>
        <v>Bulan 1–12</v>
      </c>
      <c r="J21" s="220" t="str">
        <f>'aktivitas pengembangan.'!J21</f>
        <v>Bulanan</v>
      </c>
      <c r="K21" s="220" t="str">
        <f>'aktivitas pengembangan.'!K21</f>
        <v>Minimal 15 hambatan tercatat pada target yang SAMA, berlangsung minimal 3 bulan. Target tersebut tetap dikejar sampai akhir periode logging, tidak ditinggalkan di tengah jalan. Milestone Bulan 6: 8 hambatan tercatat, target masih dikejar.</v>
      </c>
      <c r="L21" s="219" t="str">
        <f>'aktivitas pengembangan.'!L21</f>
        <v>Mentor</v>
      </c>
      <c r="M21" s="117">
        <f t="shared" ca="1" si="0"/>
        <v>3</v>
      </c>
      <c r="N21" s="117">
        <f t="shared" ca="1" si="0"/>
        <v>1</v>
      </c>
      <c r="O21" s="221">
        <f t="shared" ca="1" si="1"/>
        <v>0.33333333333333331</v>
      </c>
      <c r="P21" s="224">
        <f t="shared" ca="1" si="2"/>
        <v>1.6666666666666665</v>
      </c>
      <c r="Q21" s="216" t="s">
        <v>5457</v>
      </c>
      <c r="R21" s="219"/>
    </row>
    <row r="22" spans="1:18" ht="43.15">
      <c r="A22" s="117">
        <f>'aktivitas pengembangan.'!A22</f>
        <v>8</v>
      </c>
      <c r="B22" s="220" t="str">
        <f>'aktivitas pengembangan.'!B22</f>
        <v>Achievement Drive</v>
      </c>
      <c r="C22" s="220" t="str">
        <f>'aktivitas pengembangan.'!C22</f>
        <v>Experience-Based Development</v>
      </c>
      <c r="D22" s="225">
        <f>'aktivitas pengembangan.'!D22</f>
        <v>2</v>
      </c>
      <c r="E22" s="220" t="str">
        <f>'aktivitas pengembangan.'!E22</f>
        <v>Jurnal Energi Mingguan pada Target yang Sulit</v>
      </c>
      <c r="F22" s="220" t="str">
        <f>'aktivitas pengembangan.'!F22</f>
        <v>Memantau naik-turunnya energi dan komitmen selama mengejar target sulit.</v>
      </c>
      <c r="G22" s="220" t="str">
        <f>'aktivitas pengembangan.'!G22</f>
        <v>Pilih 1 target sulit yang sedang dikejar. Setiap minggu, catat tingkat energi dan komitmen pada skala 1–5, beserta apa yang membuatnya naik atau turun.</v>
      </c>
      <c r="H22" s="220" t="str">
        <f>'aktivitas pengembangan.'!H22</f>
        <v>Jurnal mingguan minimal 20 minggu.</v>
      </c>
      <c r="I22" s="220" t="str">
        <f>'aktivitas pengembangan.'!I22</f>
        <v>Bulan 1–12</v>
      </c>
      <c r="J22" s="220" t="str">
        <f>'aktivitas pengembangan.'!J22</f>
        <v>Bulanan</v>
      </c>
      <c r="K22" s="220" t="str">
        <f>'aktivitas pengembangan.'!K22</f>
        <v>Minimal 20 entri mingguan. Meski energi tercatat turun pada sebagian minggu, target tetap dikejar tanpa terputus lebih dari 2 minggu berturut-turut.</v>
      </c>
      <c r="L22" s="219" t="str">
        <f>'aktivitas pengembangan.'!L22</f>
        <v>Mentor</v>
      </c>
      <c r="M22" s="117">
        <f t="shared" ca="1" si="0"/>
        <v>2</v>
      </c>
      <c r="N22" s="117">
        <f t="shared" ca="1" si="0"/>
        <v>4</v>
      </c>
      <c r="O22" s="221">
        <f t="shared" ca="1" si="1"/>
        <v>2</v>
      </c>
      <c r="P22" s="224">
        <f t="shared" ca="1" si="2"/>
        <v>5</v>
      </c>
      <c r="Q22" s="216" t="s">
        <v>5457</v>
      </c>
      <c r="R22" s="219"/>
    </row>
    <row r="23" spans="1:18" ht="28.9">
      <c r="A23" s="117">
        <f>'aktivitas pengembangan.'!A23</f>
        <v>9</v>
      </c>
      <c r="B23" s="220" t="str">
        <f>'aktivitas pengembangan.'!B23</f>
        <v>Leadership</v>
      </c>
      <c r="C23" s="220" t="str">
        <f>'aktivitas pengembangan.'!C23</f>
        <v>Personal Development</v>
      </c>
      <c r="D23" s="225">
        <f>'aktivitas pengembangan.'!D23</f>
        <v>1</v>
      </c>
      <c r="E23" s="220" t="str">
        <f>'aktivitas pengembangan.'!E23</f>
        <v>Log "Dasar Saya Mengurutkan Pekerjaan Tim"</v>
      </c>
      <c r="F23" s="220" t="str">
        <f>'aktivitas pengembangan.'!F23</f>
        <v>Mengukur dasar yang dipakai untuk mengurutkan pekerjaan tim yang bersaing.</v>
      </c>
      <c r="G23" s="220" t="str">
        <f>'aktivitas pengembangan.'!G23</f>
        <v>Setiap kali menghadapi lebih dari 2 tugas tim yang bersaing memperebutkan waktu, catat: tugas apa saja, urutan yang peserta tetapkan, dan dasar sebenarnya.</v>
      </c>
      <c r="H23" s="220" t="str">
        <f>'aktivitas pengembangan.'!H23</f>
        <v>Log minimal 24 situasi. Termasuk rekap triwulanan.</v>
      </c>
      <c r="I23" s="220" t="str">
        <f>'aktivitas pengembangan.'!I23</f>
        <v>Bulan 1–12</v>
      </c>
      <c r="J23" s="220" t="str">
        <f>'aktivitas pengembangan.'!J23</f>
        <v>Bulanan</v>
      </c>
      <c r="K23" s="220" t="str">
        <f>'aktivitas pengembangan.'!K23</f>
        <v>Minimal 24 situasi tercatat. Proporsi berdasar dampak naik menjadi ≥50% pada triwulan 4. Milestone bulan ke-6: 12 situasi.</v>
      </c>
      <c r="L23" s="219" t="str">
        <f>'aktivitas pengembangan.'!L23</f>
        <v>Mentor</v>
      </c>
      <c r="M23" s="117">
        <f t="shared" ca="1" si="0"/>
        <v>2</v>
      </c>
      <c r="N23" s="117">
        <f t="shared" ca="1" si="0"/>
        <v>4</v>
      </c>
      <c r="O23" s="221">
        <f t="shared" ca="1" si="1"/>
        <v>2</v>
      </c>
      <c r="P23" s="224">
        <f t="shared" ca="1" si="2"/>
        <v>5</v>
      </c>
      <c r="Q23" s="216" t="s">
        <v>5457</v>
      </c>
      <c r="R23" s="219"/>
    </row>
    <row r="24" spans="1:18" ht="28.9">
      <c r="A24" s="117">
        <f>'aktivitas pengembangan.'!A24</f>
        <v>10</v>
      </c>
      <c r="B24" s="220" t="str">
        <f>'aktivitas pengembangan.'!B24</f>
        <v>Leadership</v>
      </c>
      <c r="C24" s="220" t="str">
        <f>'aktivitas pengembangan.'!C24</f>
        <v>Personal Development</v>
      </c>
      <c r="D24" s="225">
        <f>'aktivitas pengembangan.'!D24</f>
        <v>2</v>
      </c>
      <c r="E24" s="220" t="str">
        <f>'aktivitas pengembangan.'!E24</f>
        <v>Latihan "Mengomunikasikan Prioritas kepada Tim"</v>
      </c>
      <c r="F24" s="220" t="str">
        <f>'aktivitas pengembangan.'!F24</f>
        <v>Melatih menjelaskan dasar urutan prioritas kepada tim, bukan hanya menetapkannya sendiri.</v>
      </c>
      <c r="G24" s="220" t="str">
        <f>'aktivitas pengembangan.'!G24</f>
        <v>Setiap kali menetapkan urutan prioritas untuk tugas tim, jelaskan kepada anggota tim dasarnya — mengapa tugas ini lebih dulu daripada yang lain.</v>
      </c>
      <c r="H24" s="220" t="str">
        <f>'aktivitas pengembangan.'!H24</f>
        <v>Log 20 komunikasi prioritas. Termasuk konfirmasi anggota tim.</v>
      </c>
      <c r="I24" s="220" t="str">
        <f>'aktivitas pengembangan.'!I24</f>
        <v>Bulan 1–12</v>
      </c>
      <c r="J24" s="220" t="str">
        <f>'aktivitas pengembangan.'!J24</f>
        <v>Bulanan</v>
      </c>
      <c r="K24" s="220" t="str">
        <f>'aktivitas pengembangan.'!K24</f>
        <v>Minimal 20 komunikasi tercatat. Minimal 15 dikonfirmasi anggota tim sebagai jelas dan masuk akal.</v>
      </c>
      <c r="L24" s="219" t="str">
        <f>'aktivitas pengembangan.'!L24</f>
        <v>Anggota Tim</v>
      </c>
      <c r="M24" s="117">
        <f t="shared" ca="1" si="0"/>
        <v>3</v>
      </c>
      <c r="N24" s="117">
        <f t="shared" ca="1" si="0"/>
        <v>3</v>
      </c>
      <c r="O24" s="221">
        <f t="shared" ca="1" si="1"/>
        <v>1</v>
      </c>
      <c r="P24" s="224">
        <f t="shared" ca="1" si="2"/>
        <v>5</v>
      </c>
      <c r="Q24" s="216" t="s">
        <v>5457</v>
      </c>
      <c r="R24" s="219"/>
    </row>
    <row r="25" spans="1:18" ht="28.9">
      <c r="A25" s="117">
        <f>'aktivitas pengembangan.'!A25</f>
        <v>11</v>
      </c>
      <c r="B25" s="220" t="str">
        <f>'aktivitas pengembangan.'!B25</f>
        <v>Leadership</v>
      </c>
      <c r="C25" s="220" t="str">
        <f>'aktivitas pengembangan.'!C25</f>
        <v>Education-Based Development</v>
      </c>
      <c r="D25" s="225">
        <f>'aktivitas pengembangan.'!D25</f>
        <v>1</v>
      </c>
      <c r="E25" s="220" t="str">
        <f>'aktivitas pengembangan.'!E25</f>
        <v>Log "Dasar Saya Mengurutkan Pekerjaan Tim"</v>
      </c>
      <c r="F25" s="220" t="str">
        <f>'aktivitas pengembangan.'!F25</f>
        <v>Mengukur dasar yang dipakai untuk mengurutkan pekerjaan tim yang bersaing.</v>
      </c>
      <c r="G25" s="220" t="str">
        <f>'aktivitas pengembangan.'!G25</f>
        <v>Setiap kali menghadapi lebih dari 2 tugas tim yang bersaing memperebutkan waktu, catat: tugas apa saja, urutan yang peserta tetapkan, dan dasar sebenarnya.</v>
      </c>
      <c r="H25" s="220" t="str">
        <f>'aktivitas pengembangan.'!H25</f>
        <v>Log minimal 24 situasi. Termasuk rekap triwulanan.</v>
      </c>
      <c r="I25" s="220" t="str">
        <f>'aktivitas pengembangan.'!I25</f>
        <v>Bulan 1–12</v>
      </c>
      <c r="J25" s="220" t="str">
        <f>'aktivitas pengembangan.'!J25</f>
        <v>Bulanan</v>
      </c>
      <c r="K25" s="220" t="str">
        <f>'aktivitas pengembangan.'!K25</f>
        <v>Minimal 24 situasi tercatat. Proporsi berdasar dampak naik menjadi ≥50% pada triwulan 4. Milestone bulan ke-6: 12 situasi.</v>
      </c>
      <c r="L25" s="219" t="str">
        <f>'aktivitas pengembangan.'!L25</f>
        <v>Mentor</v>
      </c>
      <c r="M25" s="117">
        <f t="shared" ca="1" si="0"/>
        <v>5</v>
      </c>
      <c r="N25" s="117">
        <f t="shared" ca="1" si="0"/>
        <v>4</v>
      </c>
      <c r="O25" s="221">
        <f t="shared" ca="1" si="1"/>
        <v>0.8</v>
      </c>
      <c r="P25" s="224">
        <f t="shared" ca="1" si="2"/>
        <v>4</v>
      </c>
      <c r="Q25" s="216" t="s">
        <v>5457</v>
      </c>
      <c r="R25" s="219"/>
    </row>
    <row r="26" spans="1:18" ht="28.9">
      <c r="A26" s="117">
        <f>'aktivitas pengembangan.'!A26</f>
        <v>12</v>
      </c>
      <c r="B26" s="220" t="str">
        <f>'aktivitas pengembangan.'!B26</f>
        <v>Leadership</v>
      </c>
      <c r="C26" s="220" t="str">
        <f>'aktivitas pengembangan.'!C26</f>
        <v>Education-Based Development</v>
      </c>
      <c r="D26" s="225">
        <f>'aktivitas pengembangan.'!D26</f>
        <v>2</v>
      </c>
      <c r="E26" s="220" t="str">
        <f>'aktivitas pengembangan.'!E26</f>
        <v>Latihan "Mengomunikasikan Prioritas kepada Tim"</v>
      </c>
      <c r="F26" s="220" t="str">
        <f>'aktivitas pengembangan.'!F26</f>
        <v>Melatih menjelaskan dasar urutan prioritas kepada tim, bukan hanya menetapkannya sendiri.</v>
      </c>
      <c r="G26" s="220" t="str">
        <f>'aktivitas pengembangan.'!G26</f>
        <v>Setiap kali menetapkan urutan prioritas untuk tugas tim, jelaskan kepada anggota tim dasarnya — mengapa tugas ini lebih dulu daripada yang lain.</v>
      </c>
      <c r="H26" s="220" t="str">
        <f>'aktivitas pengembangan.'!H26</f>
        <v>Log 20 komunikasi prioritas. Termasuk konfirmasi anggota tim.</v>
      </c>
      <c r="I26" s="220" t="str">
        <f>'aktivitas pengembangan.'!I26</f>
        <v>Bulan 1–12</v>
      </c>
      <c r="J26" s="220" t="str">
        <f>'aktivitas pengembangan.'!J26</f>
        <v>Bulanan</v>
      </c>
      <c r="K26" s="220" t="str">
        <f>'aktivitas pengembangan.'!K26</f>
        <v>Minimal 20 komunikasi tercatat. Minimal 15 dikonfirmasi anggota tim sebagai jelas dan masuk akal.</v>
      </c>
      <c r="L26" s="219" t="str">
        <f>'aktivitas pengembangan.'!L26</f>
        <v>Anggota Tim</v>
      </c>
      <c r="M26" s="117">
        <f t="shared" ca="1" si="0"/>
        <v>3</v>
      </c>
      <c r="N26" s="117">
        <f t="shared" ca="1" si="0"/>
        <v>1</v>
      </c>
      <c r="O26" s="221">
        <f t="shared" ca="1" si="1"/>
        <v>0.33333333333333331</v>
      </c>
      <c r="P26" s="224">
        <f t="shared" ca="1" si="2"/>
        <v>1.6666666666666665</v>
      </c>
      <c r="Q26" s="216" t="s">
        <v>5457</v>
      </c>
      <c r="R26" s="219"/>
    </row>
    <row r="27" spans="1:18" ht="28.9">
      <c r="A27" s="117">
        <f>'aktivitas pengembangan.'!A27</f>
        <v>13</v>
      </c>
      <c r="B27" s="220" t="str">
        <f>'aktivitas pengembangan.'!B27</f>
        <v>Leadership</v>
      </c>
      <c r="C27" s="220" t="str">
        <f>'aktivitas pengembangan.'!C27</f>
        <v>Relation-Based Development</v>
      </c>
      <c r="D27" s="225">
        <f>'aktivitas pengembangan.'!D27</f>
        <v>1</v>
      </c>
      <c r="E27" s="220" t="str">
        <f>'aktivitas pengembangan.'!E27</f>
        <v>Log "Dasar Saya Mengurutkan Pekerjaan Tim"</v>
      </c>
      <c r="F27" s="220" t="str">
        <f>'aktivitas pengembangan.'!F27</f>
        <v>Mengukur dasar yang dipakai untuk mengurutkan pekerjaan tim yang bersaing.</v>
      </c>
      <c r="G27" s="220" t="str">
        <f>'aktivitas pengembangan.'!G27</f>
        <v>Setiap kali menghadapi lebih dari 2 tugas tim yang bersaing memperebutkan waktu, catat: tugas apa saja, urutan yang peserta tetapkan, dan dasar sebenarnya.</v>
      </c>
      <c r="H27" s="220" t="str">
        <f>'aktivitas pengembangan.'!H27</f>
        <v>Log minimal 24 situasi. Termasuk rekap triwulanan.</v>
      </c>
      <c r="I27" s="220" t="str">
        <f>'aktivitas pengembangan.'!I27</f>
        <v>Bulan 1–12</v>
      </c>
      <c r="J27" s="220" t="str">
        <f>'aktivitas pengembangan.'!J27</f>
        <v>Bulanan</v>
      </c>
      <c r="K27" s="220" t="str">
        <f>'aktivitas pengembangan.'!K27</f>
        <v>Minimal 24 situasi tercatat. Proporsi berdasar dampak naik menjadi ≥50% pada triwulan 4. Milestone bulan ke-6: 12 situasi.</v>
      </c>
      <c r="L27" s="219" t="str">
        <f>'aktivitas pengembangan.'!L27</f>
        <v>Mentor</v>
      </c>
      <c r="M27" s="117">
        <f t="shared" ca="1" si="0"/>
        <v>5</v>
      </c>
      <c r="N27" s="117">
        <f t="shared" ca="1" si="0"/>
        <v>1</v>
      </c>
      <c r="O27" s="221">
        <f t="shared" ca="1" si="1"/>
        <v>0.2</v>
      </c>
      <c r="P27" s="224">
        <f t="shared" ca="1" si="2"/>
        <v>1</v>
      </c>
      <c r="Q27" s="216" t="s">
        <v>5457</v>
      </c>
      <c r="R27" s="219"/>
    </row>
    <row r="28" spans="1:18" ht="28.9">
      <c r="A28" s="117">
        <f>'aktivitas pengembangan.'!A28</f>
        <v>14</v>
      </c>
      <c r="B28" s="220" t="str">
        <f>'aktivitas pengembangan.'!B28</f>
        <v>Leadership</v>
      </c>
      <c r="C28" s="220" t="str">
        <f>'aktivitas pengembangan.'!C28</f>
        <v>Relation-Based Development</v>
      </c>
      <c r="D28" s="225">
        <f>'aktivitas pengembangan.'!D28</f>
        <v>2</v>
      </c>
      <c r="E28" s="220" t="str">
        <f>'aktivitas pengembangan.'!E28</f>
        <v>Latihan "Mengomunikasikan Prioritas kepada Tim"</v>
      </c>
      <c r="F28" s="220" t="str">
        <f>'aktivitas pengembangan.'!F28</f>
        <v>Melatih menjelaskan dasar urutan prioritas kepada tim, bukan hanya menetapkannya sendiri.</v>
      </c>
      <c r="G28" s="220" t="str">
        <f>'aktivitas pengembangan.'!G28</f>
        <v>Setiap kali menetapkan urutan prioritas untuk tugas tim, jelaskan kepada anggota tim dasarnya — mengapa tugas ini lebih dulu daripada yang lain.</v>
      </c>
      <c r="H28" s="220" t="str">
        <f>'aktivitas pengembangan.'!H28</f>
        <v>Log 20 komunikasi prioritas. Termasuk konfirmasi anggota tim.</v>
      </c>
      <c r="I28" s="220" t="str">
        <f>'aktivitas pengembangan.'!I28</f>
        <v>Bulan 1–12</v>
      </c>
      <c r="J28" s="220" t="str">
        <f>'aktivitas pengembangan.'!J28</f>
        <v>Bulanan</v>
      </c>
      <c r="K28" s="220" t="str">
        <f>'aktivitas pengembangan.'!K28</f>
        <v>Minimal 20 komunikasi tercatat. Minimal 15 dikonfirmasi anggota tim sebagai jelas dan masuk akal.</v>
      </c>
      <c r="L28" s="219" t="str">
        <f>'aktivitas pengembangan.'!L28</f>
        <v>Anggota Tim</v>
      </c>
      <c r="M28" s="117">
        <f t="shared" ca="1" si="0"/>
        <v>2</v>
      </c>
      <c r="N28" s="117">
        <f t="shared" ca="1" si="0"/>
        <v>2</v>
      </c>
      <c r="O28" s="221">
        <f t="shared" ca="1" si="1"/>
        <v>1</v>
      </c>
      <c r="P28" s="224">
        <f t="shared" ca="1" si="2"/>
        <v>5</v>
      </c>
      <c r="Q28" s="216" t="s">
        <v>5457</v>
      </c>
      <c r="R28" s="219"/>
    </row>
    <row r="29" spans="1:18" ht="28.9">
      <c r="A29" s="117">
        <f>'aktivitas pengembangan.'!A29</f>
        <v>15</v>
      </c>
      <c r="B29" s="220" t="str">
        <f>'aktivitas pengembangan.'!B29</f>
        <v>Leadership</v>
      </c>
      <c r="C29" s="220" t="str">
        <f>'aktivitas pengembangan.'!C29</f>
        <v>Experience-Based Development</v>
      </c>
      <c r="D29" s="225">
        <f>'aktivitas pengembangan.'!D29</f>
        <v>1</v>
      </c>
      <c r="E29" s="220" t="str">
        <f>'aktivitas pengembangan.'!E29</f>
        <v>Log "Dasar Saya Mengurutkan Pekerjaan Tim"</v>
      </c>
      <c r="F29" s="220" t="str">
        <f>'aktivitas pengembangan.'!F29</f>
        <v>Mengukur dasar yang dipakai untuk mengurutkan pekerjaan tim yang bersaing.</v>
      </c>
      <c r="G29" s="220" t="str">
        <f>'aktivitas pengembangan.'!G29</f>
        <v>Setiap kali menghadapi lebih dari 2 tugas tim yang bersaing memperebutkan waktu, catat: tugas apa saja, urutan yang peserta tetapkan, dan dasar sebenarnya.</v>
      </c>
      <c r="H29" s="220" t="str">
        <f>'aktivitas pengembangan.'!H29</f>
        <v>Log minimal 24 situasi. Termasuk rekap triwulanan.</v>
      </c>
      <c r="I29" s="220" t="str">
        <f>'aktivitas pengembangan.'!I29</f>
        <v>Bulan 1–12</v>
      </c>
      <c r="J29" s="220" t="str">
        <f>'aktivitas pengembangan.'!J29</f>
        <v>Bulanan</v>
      </c>
      <c r="K29" s="220" t="str">
        <f>'aktivitas pengembangan.'!K29</f>
        <v>Minimal 24 situasi tercatat. Proporsi berdasar dampak naik menjadi ≥50% pada triwulan 4. Milestone bulan ke-6: 12 situasi.</v>
      </c>
      <c r="L29" s="219" t="str">
        <f>'aktivitas pengembangan.'!L29</f>
        <v>Mentor</v>
      </c>
      <c r="M29" s="117">
        <f t="shared" ca="1" si="0"/>
        <v>4</v>
      </c>
      <c r="N29" s="117">
        <f t="shared" ca="1" si="0"/>
        <v>5</v>
      </c>
      <c r="O29" s="221">
        <f t="shared" ca="1" si="1"/>
        <v>1.25</v>
      </c>
      <c r="P29" s="224">
        <f t="shared" ca="1" si="2"/>
        <v>5</v>
      </c>
      <c r="Q29" s="216" t="s">
        <v>5457</v>
      </c>
      <c r="R29" s="219"/>
    </row>
    <row r="30" spans="1:18" ht="28.9">
      <c r="A30" s="117">
        <f>'aktivitas pengembangan.'!A30</f>
        <v>16</v>
      </c>
      <c r="B30" s="220" t="str">
        <f>'aktivitas pengembangan.'!B30</f>
        <v>Leadership</v>
      </c>
      <c r="C30" s="220" t="str">
        <f>'aktivitas pengembangan.'!C30</f>
        <v>Experience-Based Development</v>
      </c>
      <c r="D30" s="225">
        <f>'aktivitas pengembangan.'!D30</f>
        <v>2</v>
      </c>
      <c r="E30" s="220" t="str">
        <f>'aktivitas pengembangan.'!E30</f>
        <v>Latihan "Mengomunikasikan Prioritas kepada Tim"</v>
      </c>
      <c r="F30" s="220" t="str">
        <f>'aktivitas pengembangan.'!F30</f>
        <v>Melatih menjelaskan dasar urutan prioritas kepada tim, bukan hanya menetapkannya sendiri.</v>
      </c>
      <c r="G30" s="220" t="str">
        <f>'aktivitas pengembangan.'!G30</f>
        <v>Setiap kali menetapkan urutan prioritas untuk tugas tim, jelaskan kepada anggota tim dasarnya — mengapa tugas ini lebih dulu daripada yang lain.</v>
      </c>
      <c r="H30" s="220" t="str">
        <f>'aktivitas pengembangan.'!H30</f>
        <v>Log 20 komunikasi prioritas. Termasuk konfirmasi anggota tim.</v>
      </c>
      <c r="I30" s="220" t="str">
        <f>'aktivitas pengembangan.'!I30</f>
        <v>Bulan 1–12</v>
      </c>
      <c r="J30" s="220" t="str">
        <f>'aktivitas pengembangan.'!J30</f>
        <v>Bulanan</v>
      </c>
      <c r="K30" s="220" t="str">
        <f>'aktivitas pengembangan.'!K30</f>
        <v>Minimal 20 komunikasi tercatat. Minimal 15 dikonfirmasi anggota tim sebagai jelas dan masuk akal.</v>
      </c>
      <c r="L30" s="219" t="str">
        <f>'aktivitas pengembangan.'!L30</f>
        <v>Anggota Tim</v>
      </c>
      <c r="M30" s="117">
        <f t="shared" ca="1" si="0"/>
        <v>5</v>
      </c>
      <c r="N30" s="117">
        <f t="shared" ca="1" si="0"/>
        <v>2</v>
      </c>
      <c r="O30" s="221">
        <f t="shared" ca="1" si="1"/>
        <v>0.4</v>
      </c>
      <c r="P30" s="224">
        <f t="shared" ca="1" si="2"/>
        <v>2</v>
      </c>
      <c r="Q30" s="216" t="s">
        <v>5457</v>
      </c>
      <c r="R30" s="219"/>
    </row>
    <row r="31" spans="1:18" ht="57.6">
      <c r="A31" s="117">
        <f>'aktivitas pengembangan.'!A31</f>
        <v>17</v>
      </c>
      <c r="B31" s="220" t="str">
        <f>'aktivitas pengembangan.'!B31</f>
        <v>Analytical Thinking</v>
      </c>
      <c r="C31" s="220" t="str">
        <f>'aktivitas pengembangan.'!C31</f>
        <v>Personal Development</v>
      </c>
      <c r="D31" s="225">
        <f>'aktivitas pengembangan.'!D31</f>
        <v>1</v>
      </c>
      <c r="E31" s="220" t="str">
        <f>'aktivitas pengembangan.'!E31</f>
        <v>Log "Yang Saya Terima Begitu Saja"</v>
      </c>
      <c r="F31" s="220" t="str">
        <f>'aktivitas pengembangan.'!F31</f>
        <v>Menyadari seberapa sering informasi dan arahan diterima tanpa diperiksa.</v>
      </c>
      <c r="G31" s="220" t="str">
        <f>'aktivitas pengembangan.'!G31</f>
        <v>Setiap arahan, laporan, atau usulan yang peserta terima, catat: apa premis atau klaim di dalamnya, apakah peserta mempertanyakannya, dan bila tidak — mengapa. Beri tanda khusus pada yang tidak dipertanyakan karena sungkan atau karena yang menyampaikan lebih senior.</v>
      </c>
      <c r="H31" s="220" t="str">
        <f>'aktivitas pengembangan.'!H31</f>
        <v>Log minimal 40 entri; rekap triwulanan proporsi yang dipertanyakan, dan proporsi yang tidak dipertanyakan karena sungkan. Termasuk rekap triwulanan.</v>
      </c>
      <c r="I31" s="220" t="str">
        <f>'aktivitas pengembangan.'!I31</f>
        <v>Bulan 1–12</v>
      </c>
      <c r="J31" s="220" t="str">
        <f>'aktivitas pengembangan.'!J31</f>
        <v>Bulanan</v>
      </c>
      <c r="K31" s="220" t="str">
        <f>'aktivitas pengembangan.'!K31</f>
        <v>Minimal 40 entri. Proporsi yang dipertanyakan naik dari baseline triwulan 1 menjadi ≥60% pada triwulan 4, DAN proporsi yang tidak dipertanyakan karena sungkan turun menjadi ≤15%. Milestone Bulan 6: 20 entri dan baseline terbentuk.</v>
      </c>
      <c r="L31" s="219" t="str">
        <f>'aktivitas pengembangan.'!L31</f>
        <v>Mentor</v>
      </c>
      <c r="M31" s="117">
        <f t="shared" ca="1" si="0"/>
        <v>3</v>
      </c>
      <c r="N31" s="117">
        <f t="shared" ca="1" si="0"/>
        <v>2</v>
      </c>
      <c r="O31" s="221">
        <f t="shared" ca="1" si="1"/>
        <v>0.66666666666666663</v>
      </c>
      <c r="P31" s="224">
        <f t="shared" ca="1" si="2"/>
        <v>3.333333333333333</v>
      </c>
      <c r="Q31" s="216" t="s">
        <v>5457</v>
      </c>
      <c r="R31" s="219"/>
    </row>
    <row r="32" spans="1:18" ht="57.6">
      <c r="A32" s="117">
        <f>'aktivitas pengembangan.'!A32</f>
        <v>18</v>
      </c>
      <c r="B32" s="220" t="str">
        <f>'aktivitas pengembangan.'!B32</f>
        <v>Analytical Thinking</v>
      </c>
      <c r="C32" s="220" t="str">
        <f>'aktivitas pengembangan.'!C32</f>
        <v>Education-Based Development</v>
      </c>
      <c r="D32" s="225">
        <f>'aktivitas pengembangan.'!D32</f>
        <v>1</v>
      </c>
      <c r="E32" s="220" t="str">
        <f>'aktivitas pengembangan.'!E32</f>
        <v>Log "Yang Saya Terima Begitu Saja"</v>
      </c>
      <c r="F32" s="220" t="str">
        <f>'aktivitas pengembangan.'!F32</f>
        <v>Menyadari seberapa sering informasi dan arahan diterima tanpa diperiksa.</v>
      </c>
      <c r="G32" s="220" t="str">
        <f>'aktivitas pengembangan.'!G32</f>
        <v>Setiap arahan, laporan, atau usulan yang peserta terima, catat: apa premis atau klaim di dalamnya, apakah peserta mempertanyakannya, dan bila tidak — mengapa. Beri tanda khusus pada yang tidak dipertanyakan karena sungkan atau karena yang menyampaikan lebih senior.</v>
      </c>
      <c r="H32" s="220" t="str">
        <f>'aktivitas pengembangan.'!H32</f>
        <v>Log minimal 40 entri; rekap triwulanan proporsi yang dipertanyakan, dan proporsi yang tidak dipertanyakan karena sungkan. Termasuk rekap triwulanan.</v>
      </c>
      <c r="I32" s="220" t="str">
        <f>'aktivitas pengembangan.'!I32</f>
        <v>Bulan 1–12</v>
      </c>
      <c r="J32" s="220" t="str">
        <f>'aktivitas pengembangan.'!J32</f>
        <v>Bulanan</v>
      </c>
      <c r="K32" s="220" t="str">
        <f>'aktivitas pengembangan.'!K32</f>
        <v>Minimal 40 entri. Proporsi yang dipertanyakan naik dari baseline triwulan 1 menjadi ≥60% pada triwulan 4, DAN proporsi yang tidak dipertanyakan karena sungkan turun menjadi ≤15%. Milestone Bulan 6: 20 entri dan baseline terbentuk.</v>
      </c>
      <c r="L32" s="219" t="str">
        <f>'aktivitas pengembangan.'!L32</f>
        <v>Mentor</v>
      </c>
      <c r="M32" s="117">
        <f t="shared" ca="1" si="0"/>
        <v>3</v>
      </c>
      <c r="N32" s="117">
        <f t="shared" ca="1" si="0"/>
        <v>1</v>
      </c>
      <c r="O32" s="221">
        <f t="shared" ca="1" si="1"/>
        <v>0.33333333333333331</v>
      </c>
      <c r="P32" s="224">
        <f t="shared" ca="1" si="2"/>
        <v>1.6666666666666665</v>
      </c>
      <c r="Q32" s="216" t="s">
        <v>5457</v>
      </c>
      <c r="R32" s="219"/>
    </row>
    <row r="33" spans="1:18" ht="57.6">
      <c r="A33" s="117">
        <f>'aktivitas pengembangan.'!A33</f>
        <v>19</v>
      </c>
      <c r="B33" s="220" t="str">
        <f>'aktivitas pengembangan.'!B33</f>
        <v>Analytical Thinking</v>
      </c>
      <c r="C33" s="220" t="str">
        <f>'aktivitas pengembangan.'!C33</f>
        <v>Relation-Based Development</v>
      </c>
      <c r="D33" s="225">
        <f>'aktivitas pengembangan.'!D33</f>
        <v>1</v>
      </c>
      <c r="E33" s="220" t="str">
        <f>'aktivitas pengembangan.'!E33</f>
        <v>Log "Yang Saya Terima Begitu Saja"</v>
      </c>
      <c r="F33" s="220" t="str">
        <f>'aktivitas pengembangan.'!F33</f>
        <v>Menyadari seberapa sering informasi dan arahan diterima tanpa diperiksa.</v>
      </c>
      <c r="G33" s="220" t="str">
        <f>'aktivitas pengembangan.'!G33</f>
        <v>Setiap arahan, laporan, atau usulan yang peserta terima, catat: apa premis atau klaim di dalamnya, apakah peserta mempertanyakannya, dan bila tidak — mengapa. Beri tanda khusus pada yang tidak dipertanyakan karena sungkan atau karena yang menyampaikan lebih senior.</v>
      </c>
      <c r="H33" s="220" t="str">
        <f>'aktivitas pengembangan.'!H33</f>
        <v>Log minimal 40 entri; rekap triwulanan proporsi yang dipertanyakan, dan proporsi yang tidak dipertanyakan karena sungkan. Termasuk rekap triwulanan.</v>
      </c>
      <c r="I33" s="220" t="str">
        <f>'aktivitas pengembangan.'!I33</f>
        <v>Bulan 1–12</v>
      </c>
      <c r="J33" s="220" t="str">
        <f>'aktivitas pengembangan.'!J33</f>
        <v>Bulanan</v>
      </c>
      <c r="K33" s="220" t="str">
        <f>'aktivitas pengembangan.'!K33</f>
        <v>Minimal 40 entri. Proporsi yang dipertanyakan naik dari baseline triwulan 1 menjadi ≥60% pada triwulan 4, DAN proporsi yang tidak dipertanyakan karena sungkan turun menjadi ≤15%. Milestone Bulan 6: 20 entri dan baseline terbentuk.</v>
      </c>
      <c r="L33" s="219" t="str">
        <f>'aktivitas pengembangan.'!L33</f>
        <v>Mentor</v>
      </c>
      <c r="M33" s="117">
        <f t="shared" ca="1" si="0"/>
        <v>2</v>
      </c>
      <c r="N33" s="117">
        <f t="shared" ca="1" si="0"/>
        <v>4</v>
      </c>
      <c r="O33" s="221">
        <f t="shared" ca="1" si="1"/>
        <v>2</v>
      </c>
      <c r="P33" s="224">
        <f t="shared" ca="1" si="2"/>
        <v>5</v>
      </c>
      <c r="Q33" s="216" t="s">
        <v>5457</v>
      </c>
      <c r="R33" s="219"/>
    </row>
    <row r="34" spans="1:18" ht="57.6">
      <c r="A34" s="117">
        <f>'aktivitas pengembangan.'!A34</f>
        <v>20</v>
      </c>
      <c r="B34" s="220" t="str">
        <f>'aktivitas pengembangan.'!B34</f>
        <v>Analytical Thinking</v>
      </c>
      <c r="C34" s="220" t="str">
        <f>'aktivitas pengembangan.'!C34</f>
        <v>Experience-Based Development</v>
      </c>
      <c r="D34" s="225">
        <f>'aktivitas pengembangan.'!D34</f>
        <v>1</v>
      </c>
      <c r="E34" s="220" t="str">
        <f>'aktivitas pengembangan.'!E34</f>
        <v>Log "Yang Saya Terima Begitu Saja"</v>
      </c>
      <c r="F34" s="220" t="str">
        <f>'aktivitas pengembangan.'!F34</f>
        <v>Menyadari seberapa sering informasi dan arahan diterima tanpa diperiksa.</v>
      </c>
      <c r="G34" s="220" t="str">
        <f>'aktivitas pengembangan.'!G34</f>
        <v>Setiap arahan, laporan, atau usulan yang peserta terima, catat: apa premis atau klaim di dalamnya, apakah peserta mempertanyakannya, dan bila tidak — mengapa. Beri tanda khusus pada yang tidak dipertanyakan karena sungkan atau karena yang menyampaikan lebih senior.</v>
      </c>
      <c r="H34" s="220" t="str">
        <f>'aktivitas pengembangan.'!H34</f>
        <v>Log minimal 40 entri; rekap triwulanan proporsi yang dipertanyakan, dan proporsi yang tidak dipertanyakan karena sungkan. Termasuk rekap triwulanan.</v>
      </c>
      <c r="I34" s="220" t="str">
        <f>'aktivitas pengembangan.'!I34</f>
        <v>Bulan 1–12</v>
      </c>
      <c r="J34" s="220" t="str">
        <f>'aktivitas pengembangan.'!J34</f>
        <v>Bulanan</v>
      </c>
      <c r="K34" s="220" t="str">
        <f>'aktivitas pengembangan.'!K34</f>
        <v>Minimal 40 entri. Proporsi yang dipertanyakan naik dari baseline triwulan 1 menjadi ≥60% pada triwulan 4, DAN proporsi yang tidak dipertanyakan karena sungkan turun menjadi ≤15%. Milestone Bulan 6: 20 entri dan baseline terbentuk.</v>
      </c>
      <c r="L34" s="219" t="str">
        <f>'aktivitas pengembangan.'!L34</f>
        <v>Mentor</v>
      </c>
      <c r="M34" s="117">
        <f t="shared" ca="1" si="0"/>
        <v>3</v>
      </c>
      <c r="N34" s="117">
        <f t="shared" ca="1" si="0"/>
        <v>5</v>
      </c>
      <c r="O34" s="221">
        <f t="shared" ca="1" si="1"/>
        <v>1.6666666666666667</v>
      </c>
      <c r="P34" s="224">
        <f t="shared" ca="1" si="2"/>
        <v>5</v>
      </c>
      <c r="Q34" s="216" t="s">
        <v>5457</v>
      </c>
      <c r="R34" s="219"/>
    </row>
    <row r="35" spans="1:18" ht="15">
      <c r="A35" s="117">
        <f>'aktivitas pengembangan.'!A35</f>
        <v>0</v>
      </c>
      <c r="B35" s="220">
        <f>'aktivitas pengembangan.'!B35</f>
        <v>0</v>
      </c>
      <c r="C35" s="220">
        <f>'aktivitas pengembangan.'!C35</f>
        <v>0</v>
      </c>
      <c r="D35" s="225">
        <f>'aktivitas pengembangan.'!D35</f>
        <v>0</v>
      </c>
      <c r="E35" s="220">
        <f>'aktivitas pengembangan.'!E35</f>
        <v>0</v>
      </c>
      <c r="F35" s="220">
        <f>'aktivitas pengembangan.'!F35</f>
        <v>0</v>
      </c>
      <c r="G35" s="220">
        <f>'aktivitas pengembangan.'!G35</f>
        <v>0</v>
      </c>
      <c r="H35" s="220">
        <f>'aktivitas pengembangan.'!H35</f>
        <v>0</v>
      </c>
      <c r="I35" s="220">
        <f>'aktivitas pengembangan.'!I35</f>
        <v>0</v>
      </c>
      <c r="J35" s="220">
        <f>'aktivitas pengembangan.'!J35</f>
        <v>0</v>
      </c>
      <c r="K35" s="220">
        <f>'aktivitas pengembangan.'!K35</f>
        <v>0</v>
      </c>
      <c r="L35" s="219">
        <f>'aktivitas pengembangan.'!L35</f>
        <v>0</v>
      </c>
      <c r="M35" s="117">
        <v>0</v>
      </c>
      <c r="N35" s="117">
        <v>0</v>
      </c>
      <c r="O35" s="221" t="e">
        <f t="shared" si="1"/>
        <v>#DIV/0!</v>
      </c>
      <c r="P35" s="224" t="e">
        <f t="shared" si="2"/>
        <v>#DIV/0!</v>
      </c>
      <c r="Q35" s="216" t="s">
        <v>5457</v>
      </c>
      <c r="R35" s="219"/>
    </row>
    <row r="36" spans="1:18" ht="15">
      <c r="A36" s="117">
        <f>'aktivitas pengembangan.'!A36</f>
        <v>0</v>
      </c>
      <c r="B36" s="220">
        <f>'aktivitas pengembangan.'!B36</f>
        <v>0</v>
      </c>
      <c r="C36" s="220">
        <f>'aktivitas pengembangan.'!C36</f>
        <v>0</v>
      </c>
      <c r="D36" s="225">
        <f>'aktivitas pengembangan.'!D36</f>
        <v>0</v>
      </c>
      <c r="E36" s="220">
        <f>'aktivitas pengembangan.'!E36</f>
        <v>0</v>
      </c>
      <c r="F36" s="220">
        <f>'aktivitas pengembangan.'!F36</f>
        <v>0</v>
      </c>
      <c r="G36" s="220">
        <f>'aktivitas pengembangan.'!G36</f>
        <v>0</v>
      </c>
      <c r="H36" s="220">
        <f>'aktivitas pengembangan.'!H36</f>
        <v>0</v>
      </c>
      <c r="I36" s="220">
        <f>'aktivitas pengembangan.'!I36</f>
        <v>0</v>
      </c>
      <c r="J36" s="220">
        <f>'aktivitas pengembangan.'!J36</f>
        <v>0</v>
      </c>
      <c r="K36" s="220">
        <f>'aktivitas pengembangan.'!K36</f>
        <v>0</v>
      </c>
      <c r="L36" s="219">
        <f>'aktivitas pengembangan.'!L36</f>
        <v>0</v>
      </c>
      <c r="M36" s="117">
        <v>0</v>
      </c>
      <c r="N36" s="117">
        <v>0</v>
      </c>
      <c r="O36" s="221" t="e">
        <f t="shared" si="1"/>
        <v>#DIV/0!</v>
      </c>
      <c r="P36" s="224" t="e">
        <f t="shared" si="2"/>
        <v>#DIV/0!</v>
      </c>
      <c r="Q36" s="216" t="s">
        <v>5457</v>
      </c>
      <c r="R36" s="219"/>
    </row>
    <row r="37" spans="1:18" ht="15">
      <c r="A37" s="117">
        <f>'aktivitas pengembangan.'!A37</f>
        <v>0</v>
      </c>
      <c r="B37" s="220">
        <f>'aktivitas pengembangan.'!B37</f>
        <v>0</v>
      </c>
      <c r="C37" s="220">
        <f>'aktivitas pengembangan.'!C37</f>
        <v>0</v>
      </c>
      <c r="D37" s="225">
        <f>'aktivitas pengembangan.'!D37</f>
        <v>0</v>
      </c>
      <c r="E37" s="220">
        <f>'aktivitas pengembangan.'!E37</f>
        <v>0</v>
      </c>
      <c r="F37" s="220">
        <f>'aktivitas pengembangan.'!F37</f>
        <v>0</v>
      </c>
      <c r="G37" s="220">
        <f>'aktivitas pengembangan.'!G37</f>
        <v>0</v>
      </c>
      <c r="H37" s="220">
        <f>'aktivitas pengembangan.'!H37</f>
        <v>0</v>
      </c>
      <c r="I37" s="220">
        <f>'aktivitas pengembangan.'!I37</f>
        <v>0</v>
      </c>
      <c r="J37" s="220">
        <f>'aktivitas pengembangan.'!J37</f>
        <v>0</v>
      </c>
      <c r="K37" s="220">
        <f>'aktivitas pengembangan.'!K37</f>
        <v>0</v>
      </c>
      <c r="L37" s="219">
        <f>'aktivitas pengembangan.'!L37</f>
        <v>0</v>
      </c>
      <c r="M37" s="117">
        <v>0</v>
      </c>
      <c r="N37" s="117">
        <v>0</v>
      </c>
      <c r="O37" s="221" t="e">
        <f t="shared" si="1"/>
        <v>#DIV/0!</v>
      </c>
      <c r="P37" s="224" t="e">
        <f t="shared" si="2"/>
        <v>#DIV/0!</v>
      </c>
      <c r="Q37" s="216" t="s">
        <v>5457</v>
      </c>
      <c r="R37" s="219"/>
    </row>
    <row r="38" spans="1:18" ht="15">
      <c r="A38" s="117">
        <f>'aktivitas pengembangan.'!A38</f>
        <v>0</v>
      </c>
      <c r="B38" s="220">
        <f>'aktivitas pengembangan.'!B38</f>
        <v>0</v>
      </c>
      <c r="C38" s="220">
        <f>'aktivitas pengembangan.'!C38</f>
        <v>0</v>
      </c>
      <c r="D38" s="225">
        <f>'aktivitas pengembangan.'!D38</f>
        <v>0</v>
      </c>
      <c r="E38" s="220">
        <f>'aktivitas pengembangan.'!E38</f>
        <v>0</v>
      </c>
      <c r="F38" s="220">
        <f>'aktivitas pengembangan.'!F38</f>
        <v>0</v>
      </c>
      <c r="G38" s="220">
        <f>'aktivitas pengembangan.'!G38</f>
        <v>0</v>
      </c>
      <c r="H38" s="220">
        <f>'aktivitas pengembangan.'!H38</f>
        <v>0</v>
      </c>
      <c r="I38" s="220">
        <f>'aktivitas pengembangan.'!I38</f>
        <v>0</v>
      </c>
      <c r="J38" s="220">
        <f>'aktivitas pengembangan.'!J38</f>
        <v>0</v>
      </c>
      <c r="K38" s="220">
        <f>'aktivitas pengembangan.'!K38</f>
        <v>0</v>
      </c>
      <c r="L38" s="219">
        <f>'aktivitas pengembangan.'!L38</f>
        <v>0</v>
      </c>
      <c r="M38" s="117">
        <v>0</v>
      </c>
      <c r="N38" s="117">
        <v>0</v>
      </c>
      <c r="O38" s="221" t="e">
        <f t="shared" si="1"/>
        <v>#DIV/0!</v>
      </c>
      <c r="P38" s="224" t="e">
        <f t="shared" si="2"/>
        <v>#DIV/0!</v>
      </c>
      <c r="Q38" s="216" t="s">
        <v>5457</v>
      </c>
      <c r="R38" s="219"/>
    </row>
    <row r="39" spans="1:18">
      <c r="C39" s="219"/>
      <c r="D39" s="117"/>
      <c r="E39" s="219"/>
      <c r="F39" s="219"/>
      <c r="G39" s="219"/>
      <c r="H39" s="219"/>
      <c r="I39" s="219"/>
      <c r="J39" s="219"/>
      <c r="K39" s="219"/>
      <c r="L39" s="219"/>
      <c r="M39" s="117"/>
      <c r="N39" s="117"/>
      <c r="O39" s="222"/>
      <c r="P39" s="224" t="e">
        <f ca="1">AVERAGE(P15:P38)</f>
        <v>#DIV/0!</v>
      </c>
      <c r="Q39" s="219"/>
      <c r="R39" s="219"/>
    </row>
  </sheetData>
  <autoFilter ref="A14:R39" xr:uid="{CB86E36F-8F4B-47C5-BEA7-D22BEF9FFA2B}"/>
  <dataValidations count="1">
    <dataValidation type="list" sqref="Q15:Q38" xr:uid="{6584EA99-F3F5-4533-92FE-35F28DB0EBD4}">
      <formula1>"Belum Mulai,Berjalan,Selesai,Tertunda"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D9C1-82FF-4CD4-9322-62135A2680A1}">
  <dimension ref="A2:C15"/>
  <sheetViews>
    <sheetView workbookViewId="0">
      <selection activeCell="B7" sqref="B7"/>
    </sheetView>
  </sheetViews>
  <sheetFormatPr defaultRowHeight="14.45"/>
  <cols>
    <col min="1" max="1" width="29.28515625" bestFit="1" customWidth="1"/>
    <col min="2" max="2" width="19.85546875" customWidth="1"/>
  </cols>
  <sheetData>
    <row r="2" spans="1:3">
      <c r="A2" t="s">
        <v>555</v>
      </c>
      <c r="B2" s="226" t="s">
        <v>4</v>
      </c>
      <c r="C2">
        <v>1</v>
      </c>
    </row>
    <row r="3" spans="1:3">
      <c r="A3" t="s">
        <v>556</v>
      </c>
      <c r="B3" s="226" t="s">
        <v>6</v>
      </c>
      <c r="C3">
        <v>2</v>
      </c>
    </row>
    <row r="4" spans="1:3">
      <c r="A4" t="s">
        <v>557</v>
      </c>
      <c r="B4" s="227" t="s">
        <v>13</v>
      </c>
      <c r="C4">
        <v>3</v>
      </c>
    </row>
    <row r="5" spans="1:3">
      <c r="A5" t="s">
        <v>558</v>
      </c>
      <c r="B5" s="227" t="s">
        <v>779</v>
      </c>
      <c r="C5">
        <v>4</v>
      </c>
    </row>
    <row r="6" spans="1:3">
      <c r="A6" t="s">
        <v>559</v>
      </c>
      <c r="B6" s="227" t="s">
        <v>838</v>
      </c>
      <c r="C6">
        <v>5</v>
      </c>
    </row>
    <row r="7" spans="1:3">
      <c r="A7" t="s">
        <v>560</v>
      </c>
      <c r="B7" s="227" t="s">
        <v>898</v>
      </c>
    </row>
    <row r="8" spans="1:3">
      <c r="A8" t="s">
        <v>561</v>
      </c>
    </row>
    <row r="9" spans="1:3">
      <c r="A9" t="s">
        <v>562</v>
      </c>
    </row>
    <row r="10" spans="1:3">
      <c r="A10" t="s">
        <v>563</v>
      </c>
    </row>
    <row r="11" spans="1:3">
      <c r="A11" t="s">
        <v>564</v>
      </c>
    </row>
    <row r="12" spans="1:3">
      <c r="A12" t="s">
        <v>565</v>
      </c>
    </row>
    <row r="13" spans="1:3">
      <c r="A13" t="s">
        <v>566</v>
      </c>
    </row>
    <row r="14" spans="1:3">
      <c r="A14" t="s">
        <v>567</v>
      </c>
    </row>
    <row r="15" spans="1:3">
      <c r="A15" t="s">
        <v>568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2E56-35C1-4728-8E27-04E95638B4E5}">
  <dimension ref="A1:D337"/>
  <sheetViews>
    <sheetView zoomScaleNormal="100" workbookViewId="0">
      <selection activeCell="A2" sqref="A2"/>
    </sheetView>
  </sheetViews>
  <sheetFormatPr defaultRowHeight="14.45"/>
  <cols>
    <col min="1" max="1" width="30.7109375" bestFit="1" customWidth="1"/>
    <col min="2" max="2" width="19" style="76" customWidth="1"/>
    <col min="3" max="3" width="10.42578125" style="76" bestFit="1" customWidth="1"/>
    <col min="4" max="4" width="70.7109375" bestFit="1" customWidth="1"/>
    <col min="5" max="5" width="13.85546875" bestFit="1" customWidth="1"/>
    <col min="6" max="6" width="5.28515625" bestFit="1" customWidth="1"/>
  </cols>
  <sheetData>
    <row r="1" spans="1:4">
      <c r="A1" t="s">
        <v>538</v>
      </c>
      <c r="B1" s="76" t="s">
        <v>5458</v>
      </c>
      <c r="C1" s="76" t="s">
        <v>5459</v>
      </c>
      <c r="D1" t="s">
        <v>5460</v>
      </c>
    </row>
    <row r="2" spans="1:4" s="76" customFormat="1">
      <c r="A2" s="252" t="str" cm="1">
        <f t="array" ref="A2:A337">INDEX(list!$A$2:$A$16,INT((_xlfn.SEQUENCE(336)-1)/24)+1)</f>
        <v>Achievement Drive</v>
      </c>
      <c r="B2" s="76" t="str" cm="1">
        <f t="array" ref="B2:B337">INDEX(list!$B$2:$B$7,MOD(INT((_xlfn.SEQUENCE(336)-1)/4),6)+1)</f>
        <v>Officer</v>
      </c>
      <c r="C2" s="76" cm="1">
        <f t="array" ref="C2:C337">MOD(_xlfn.SEQUENCE(336)-1,4)+1</f>
        <v>1</v>
      </c>
      <c r="D2" t="s">
        <v>5461</v>
      </c>
    </row>
    <row r="3" spans="1:4">
      <c r="A3" s="223" t="str">
        <v>Achievement Drive</v>
      </c>
      <c r="B3" s="197" t="str">
        <v>Officer</v>
      </c>
      <c r="C3" s="197">
        <v>2</v>
      </c>
      <c r="D3" t="s">
        <v>5462</v>
      </c>
    </row>
    <row r="4" spans="1:4">
      <c r="A4" s="223" t="str">
        <v>Achievement Drive</v>
      </c>
      <c r="B4" s="197" t="str">
        <v>Officer</v>
      </c>
      <c r="C4" s="79">
        <v>3</v>
      </c>
      <c r="D4" t="s">
        <v>5463</v>
      </c>
    </row>
    <row r="5" spans="1:4">
      <c r="A5" s="223" t="str">
        <v>Achievement Drive</v>
      </c>
      <c r="B5" s="197" t="str">
        <v>Officer</v>
      </c>
      <c r="C5" s="76">
        <v>4</v>
      </c>
      <c r="D5" t="s">
        <v>5464</v>
      </c>
    </row>
    <row r="6" spans="1:4">
      <c r="A6" s="223" t="str">
        <v>Achievement Drive</v>
      </c>
      <c r="B6" s="197" t="str">
        <v>Analyst</v>
      </c>
      <c r="C6" s="76">
        <v>1</v>
      </c>
      <c r="D6" t="s">
        <v>5465</v>
      </c>
    </row>
    <row r="7" spans="1:4">
      <c r="A7" s="223" t="str">
        <v>Achievement Drive</v>
      </c>
      <c r="B7" s="226" t="str">
        <v>Analyst</v>
      </c>
      <c r="C7" s="197">
        <v>2</v>
      </c>
      <c r="D7" t="s">
        <v>5466</v>
      </c>
    </row>
    <row r="8" spans="1:4">
      <c r="A8" s="223" t="str">
        <v>Achievement Drive</v>
      </c>
      <c r="B8" s="226" t="str">
        <v>Analyst</v>
      </c>
      <c r="C8" s="79">
        <v>3</v>
      </c>
      <c r="D8" t="s">
        <v>5467</v>
      </c>
    </row>
    <row r="9" spans="1:4">
      <c r="A9" s="223" t="str">
        <v>Achievement Drive</v>
      </c>
      <c r="B9" s="226" t="str">
        <v>Analyst</v>
      </c>
      <c r="C9" s="76">
        <v>4</v>
      </c>
      <c r="D9" t="s">
        <v>5468</v>
      </c>
    </row>
    <row r="10" spans="1:4">
      <c r="A10" s="223" t="str">
        <v>Achievement Drive</v>
      </c>
      <c r="B10" s="226" t="str">
        <v>Unit Head/Specialist</v>
      </c>
      <c r="C10" s="76">
        <v>1</v>
      </c>
      <c r="D10" t="s">
        <v>5469</v>
      </c>
    </row>
    <row r="11" spans="1:4">
      <c r="A11" s="223" t="str">
        <v>Achievement Drive</v>
      </c>
      <c r="B11" s="227" t="str">
        <v>Unit Head/Specialist</v>
      </c>
      <c r="C11" s="197">
        <v>2</v>
      </c>
      <c r="D11" t="s">
        <v>5470</v>
      </c>
    </row>
    <row r="12" spans="1:4">
      <c r="A12" s="223" t="str">
        <v>Achievement Drive</v>
      </c>
      <c r="B12" s="227" t="str">
        <v>Unit Head/Specialist</v>
      </c>
      <c r="C12" s="79">
        <v>3</v>
      </c>
      <c r="D12" t="s">
        <v>5471</v>
      </c>
    </row>
    <row r="13" spans="1:4">
      <c r="A13" s="223" t="str">
        <v>Achievement Drive</v>
      </c>
      <c r="B13" s="227" t="str">
        <v>Unit Head/Specialist</v>
      </c>
      <c r="C13" s="76">
        <v>4</v>
      </c>
      <c r="D13" t="s">
        <v>5472</v>
      </c>
    </row>
    <row r="14" spans="1:4">
      <c r="A14" s="223" t="str">
        <v>Achievement Drive</v>
      </c>
      <c r="B14" s="227" t="str">
        <v>Department Head</v>
      </c>
      <c r="C14" s="76">
        <v>1</v>
      </c>
      <c r="D14" t="s">
        <v>5473</v>
      </c>
    </row>
    <row r="15" spans="1:4">
      <c r="A15" s="223" t="str">
        <v>Achievement Drive</v>
      </c>
      <c r="B15" s="227" t="str">
        <v>Department Head</v>
      </c>
      <c r="C15" s="197">
        <v>2</v>
      </c>
      <c r="D15" t="s">
        <v>5474</v>
      </c>
    </row>
    <row r="16" spans="1:4">
      <c r="A16" s="223" t="str">
        <v>Achievement Drive</v>
      </c>
      <c r="B16" s="227" t="str">
        <v>Department Head</v>
      </c>
      <c r="C16" s="79">
        <v>3</v>
      </c>
      <c r="D16" t="s">
        <v>5475</v>
      </c>
    </row>
    <row r="17" spans="1:4">
      <c r="A17" s="223" t="str">
        <v>Achievement Drive</v>
      </c>
      <c r="B17" s="227" t="str">
        <v>Department Head</v>
      </c>
      <c r="C17" s="76">
        <v>4</v>
      </c>
      <c r="D17" t="s">
        <v>5476</v>
      </c>
    </row>
    <row r="18" spans="1:4">
      <c r="A18" s="223" t="str">
        <v>Achievement Drive</v>
      </c>
      <c r="B18" s="227" t="str">
        <v>Division Head</v>
      </c>
      <c r="C18" s="76">
        <v>1</v>
      </c>
      <c r="D18" t="s">
        <v>5477</v>
      </c>
    </row>
    <row r="19" spans="1:4">
      <c r="A19" s="223" t="str">
        <v>Achievement Drive</v>
      </c>
      <c r="B19" s="227" t="str">
        <v>Division Head</v>
      </c>
      <c r="C19" s="197">
        <v>2</v>
      </c>
      <c r="D19" t="s">
        <v>5478</v>
      </c>
    </row>
    <row r="20" spans="1:4">
      <c r="A20" s="223" t="str">
        <v>Achievement Drive</v>
      </c>
      <c r="B20" s="227" t="str">
        <v>Division Head</v>
      </c>
      <c r="C20" s="79">
        <v>3</v>
      </c>
      <c r="D20" t="s">
        <v>5479</v>
      </c>
    </row>
    <row r="21" spans="1:4">
      <c r="A21" s="223" t="str">
        <v>Achievement Drive</v>
      </c>
      <c r="B21" s="227" t="str">
        <v>Division Head</v>
      </c>
      <c r="C21" s="76">
        <v>4</v>
      </c>
      <c r="D21" t="s">
        <v>5480</v>
      </c>
    </row>
    <row r="22" spans="1:4">
      <c r="A22" s="223" t="str">
        <v>Achievement Drive</v>
      </c>
      <c r="B22" s="227" t="str">
        <v>Director</v>
      </c>
      <c r="C22" s="76">
        <v>1</v>
      </c>
      <c r="D22" t="s">
        <v>5481</v>
      </c>
    </row>
    <row r="23" spans="1:4">
      <c r="A23" s="223" t="str">
        <v>Achievement Drive</v>
      </c>
      <c r="B23" s="227" t="str">
        <v>Director</v>
      </c>
      <c r="C23" s="197">
        <v>2</v>
      </c>
      <c r="D23" t="s">
        <v>5482</v>
      </c>
    </row>
    <row r="24" spans="1:4">
      <c r="A24" s="223" t="str">
        <v>Achievement Drive</v>
      </c>
      <c r="B24" s="227" t="str">
        <v>Director</v>
      </c>
      <c r="C24" s="79">
        <v>3</v>
      </c>
      <c r="D24" t="s">
        <v>5483</v>
      </c>
    </row>
    <row r="25" spans="1:4">
      <c r="A25" s="223" t="str">
        <v>Achievement Drive</v>
      </c>
      <c r="B25" s="227" t="str">
        <v>Director</v>
      </c>
      <c r="C25" s="76">
        <v>4</v>
      </c>
      <c r="D25" t="s">
        <v>5484</v>
      </c>
    </row>
    <row r="26" spans="1:4">
      <c r="A26" s="223" t="str">
        <v>Developing Oneself</v>
      </c>
      <c r="B26" s="230" t="str">
        <v>Officer</v>
      </c>
      <c r="C26" s="76">
        <v>1</v>
      </c>
      <c r="D26" t="s">
        <v>5485</v>
      </c>
    </row>
    <row r="27" spans="1:4">
      <c r="A27" t="str">
        <v>Developing Oneself</v>
      </c>
      <c r="B27" s="76" t="str">
        <v>Officer</v>
      </c>
      <c r="C27" s="76">
        <v>2</v>
      </c>
      <c r="D27" t="s">
        <v>5486</v>
      </c>
    </row>
    <row r="28" spans="1:4">
      <c r="A28" t="str">
        <v>Developing Oneself</v>
      </c>
      <c r="B28" s="76" t="str">
        <v>Officer</v>
      </c>
      <c r="C28" s="76">
        <v>3</v>
      </c>
      <c r="D28" t="s">
        <v>5487</v>
      </c>
    </row>
    <row r="29" spans="1:4">
      <c r="A29" t="str">
        <v>Developing Oneself</v>
      </c>
      <c r="B29" s="76" t="str">
        <v>Officer</v>
      </c>
      <c r="C29" s="76">
        <v>4</v>
      </c>
      <c r="D29" t="s">
        <v>5488</v>
      </c>
    </row>
    <row r="30" spans="1:4">
      <c r="A30" t="str">
        <v>Developing Oneself</v>
      </c>
      <c r="B30" s="76" t="str">
        <v>Analyst</v>
      </c>
      <c r="C30" s="76">
        <v>1</v>
      </c>
      <c r="D30" t="s">
        <v>5489</v>
      </c>
    </row>
    <row r="31" spans="1:4">
      <c r="A31" t="str">
        <v>Developing Oneself</v>
      </c>
      <c r="B31" s="76" t="str">
        <v>Analyst</v>
      </c>
      <c r="C31" s="76">
        <v>2</v>
      </c>
      <c r="D31" t="s">
        <v>5490</v>
      </c>
    </row>
    <row r="32" spans="1:4">
      <c r="A32" t="str">
        <v>Developing Oneself</v>
      </c>
      <c r="B32" s="76" t="str">
        <v>Analyst</v>
      </c>
      <c r="C32" s="76">
        <v>3</v>
      </c>
      <c r="D32" t="s">
        <v>5491</v>
      </c>
    </row>
    <row r="33" spans="1:4">
      <c r="A33" t="str">
        <v>Developing Oneself</v>
      </c>
      <c r="B33" s="76" t="str">
        <v>Analyst</v>
      </c>
      <c r="C33" s="76">
        <v>4</v>
      </c>
      <c r="D33" t="s">
        <v>5492</v>
      </c>
    </row>
    <row r="34" spans="1:4">
      <c r="A34" t="str">
        <v>Developing Oneself</v>
      </c>
      <c r="B34" s="76" t="str">
        <v>Unit Head/Specialist</v>
      </c>
      <c r="C34" s="76">
        <v>1</v>
      </c>
      <c r="D34" t="s">
        <v>5493</v>
      </c>
    </row>
    <row r="35" spans="1:4">
      <c r="A35" t="str">
        <v>Developing Oneself</v>
      </c>
      <c r="B35" s="76" t="str">
        <v>Unit Head/Specialist</v>
      </c>
      <c r="C35" s="76">
        <v>2</v>
      </c>
      <c r="D35" t="s">
        <v>5494</v>
      </c>
    </row>
    <row r="36" spans="1:4">
      <c r="A36" t="str">
        <v>Developing Oneself</v>
      </c>
      <c r="B36" s="76" t="str">
        <v>Unit Head/Specialist</v>
      </c>
      <c r="C36" s="76">
        <v>3</v>
      </c>
      <c r="D36" t="s">
        <v>5495</v>
      </c>
    </row>
    <row r="37" spans="1:4">
      <c r="A37" t="str">
        <v>Developing Oneself</v>
      </c>
      <c r="B37" s="76" t="str">
        <v>Unit Head/Specialist</v>
      </c>
      <c r="C37" s="76">
        <v>4</v>
      </c>
      <c r="D37" t="s">
        <v>5496</v>
      </c>
    </row>
    <row r="38" spans="1:4">
      <c r="A38" t="str">
        <v>Developing Oneself</v>
      </c>
      <c r="B38" s="76" t="str">
        <v>Department Head</v>
      </c>
      <c r="C38" s="76">
        <v>1</v>
      </c>
      <c r="D38" t="s">
        <v>5497</v>
      </c>
    </row>
    <row r="39" spans="1:4">
      <c r="A39" t="str">
        <v>Developing Oneself</v>
      </c>
      <c r="B39" s="76" t="str">
        <v>Department Head</v>
      </c>
      <c r="C39" s="76">
        <v>2</v>
      </c>
      <c r="D39" t="s">
        <v>5498</v>
      </c>
    </row>
    <row r="40" spans="1:4">
      <c r="A40" t="str">
        <v>Developing Oneself</v>
      </c>
      <c r="B40" s="76" t="str">
        <v>Department Head</v>
      </c>
      <c r="C40" s="76">
        <v>3</v>
      </c>
      <c r="D40" t="s">
        <v>5499</v>
      </c>
    </row>
    <row r="41" spans="1:4">
      <c r="A41" t="str">
        <v>Developing Oneself</v>
      </c>
      <c r="B41" s="76" t="str">
        <v>Department Head</v>
      </c>
      <c r="C41" s="76">
        <v>4</v>
      </c>
      <c r="D41" t="s">
        <v>5500</v>
      </c>
    </row>
    <row r="42" spans="1:4">
      <c r="A42" t="str">
        <v>Developing Oneself</v>
      </c>
      <c r="B42" s="76" t="str">
        <v>Division Head</v>
      </c>
      <c r="C42" s="76">
        <v>1</v>
      </c>
      <c r="D42" t="s">
        <v>5501</v>
      </c>
    </row>
    <row r="43" spans="1:4">
      <c r="A43" t="str">
        <v>Developing Oneself</v>
      </c>
      <c r="B43" s="76" t="str">
        <v>Division Head</v>
      </c>
      <c r="C43" s="76">
        <v>2</v>
      </c>
      <c r="D43" t="s">
        <v>5502</v>
      </c>
    </row>
    <row r="44" spans="1:4">
      <c r="A44" t="str">
        <v>Developing Oneself</v>
      </c>
      <c r="B44" s="76" t="str">
        <v>Division Head</v>
      </c>
      <c r="C44" s="76">
        <v>3</v>
      </c>
      <c r="D44" t="s">
        <v>5503</v>
      </c>
    </row>
    <row r="45" spans="1:4">
      <c r="A45" t="str">
        <v>Developing Oneself</v>
      </c>
      <c r="B45" s="76" t="str">
        <v>Division Head</v>
      </c>
      <c r="C45" s="76">
        <v>4</v>
      </c>
      <c r="D45" t="s">
        <v>5504</v>
      </c>
    </row>
    <row r="46" spans="1:4">
      <c r="A46" t="str">
        <v>Developing Oneself</v>
      </c>
      <c r="B46" s="76" t="str">
        <v>Director</v>
      </c>
      <c r="C46" s="76">
        <v>1</v>
      </c>
      <c r="D46" t="s">
        <v>5505</v>
      </c>
    </row>
    <row r="47" spans="1:4">
      <c r="A47" t="str">
        <v>Developing Oneself</v>
      </c>
      <c r="B47" s="76" t="str">
        <v>Director</v>
      </c>
      <c r="C47" s="76">
        <v>2</v>
      </c>
      <c r="D47" t="s">
        <v>5506</v>
      </c>
    </row>
    <row r="48" spans="1:4">
      <c r="A48" t="str">
        <v>Developing Oneself</v>
      </c>
      <c r="B48" s="76" t="str">
        <v>Director</v>
      </c>
      <c r="C48" s="76">
        <v>3</v>
      </c>
      <c r="D48" t="s">
        <v>5507</v>
      </c>
    </row>
    <row r="49" spans="1:4">
      <c r="A49" t="str">
        <v>Developing Oneself</v>
      </c>
      <c r="B49" s="76" t="str">
        <v>Director</v>
      </c>
      <c r="C49" s="76">
        <v>4</v>
      </c>
      <c r="D49" t="s">
        <v>5508</v>
      </c>
    </row>
    <row r="50" spans="1:4">
      <c r="A50" t="str">
        <v>Planning &amp; Organizing</v>
      </c>
      <c r="B50" s="76" t="str">
        <v>Officer</v>
      </c>
      <c r="C50" s="76">
        <v>1</v>
      </c>
      <c r="D50" t="s">
        <v>5509</v>
      </c>
    </row>
    <row r="51" spans="1:4">
      <c r="A51" t="str">
        <v>Planning &amp; Organizing</v>
      </c>
      <c r="B51" s="76" t="str">
        <v>Officer</v>
      </c>
      <c r="C51" s="76">
        <v>2</v>
      </c>
      <c r="D51" t="s">
        <v>5510</v>
      </c>
    </row>
    <row r="52" spans="1:4">
      <c r="A52" t="str">
        <v>Planning &amp; Organizing</v>
      </c>
      <c r="B52" s="76" t="str">
        <v>Officer</v>
      </c>
      <c r="C52" s="76">
        <v>3</v>
      </c>
      <c r="D52" t="s">
        <v>5511</v>
      </c>
    </row>
    <row r="53" spans="1:4">
      <c r="A53" t="str">
        <v>Planning &amp; Organizing</v>
      </c>
      <c r="B53" s="76" t="str">
        <v>Officer</v>
      </c>
      <c r="C53" s="76">
        <v>4</v>
      </c>
      <c r="D53" t="s">
        <v>5512</v>
      </c>
    </row>
    <row r="54" spans="1:4">
      <c r="A54" t="str">
        <v>Planning &amp; Organizing</v>
      </c>
      <c r="B54" s="76" t="str">
        <v>Analyst</v>
      </c>
      <c r="C54" s="76">
        <v>1</v>
      </c>
      <c r="D54" t="s">
        <v>5513</v>
      </c>
    </row>
    <row r="55" spans="1:4">
      <c r="A55" t="str">
        <v>Planning &amp; Organizing</v>
      </c>
      <c r="B55" s="76" t="str">
        <v>Analyst</v>
      </c>
      <c r="C55" s="76">
        <v>2</v>
      </c>
      <c r="D55" t="s">
        <v>5514</v>
      </c>
    </row>
    <row r="56" spans="1:4">
      <c r="A56" t="str">
        <v>Planning &amp; Organizing</v>
      </c>
      <c r="B56" s="76" t="str">
        <v>Analyst</v>
      </c>
      <c r="C56" s="76">
        <v>3</v>
      </c>
      <c r="D56" t="s">
        <v>5515</v>
      </c>
    </row>
    <row r="57" spans="1:4">
      <c r="A57" t="str">
        <v>Planning &amp; Organizing</v>
      </c>
      <c r="B57" s="76" t="str">
        <v>Analyst</v>
      </c>
      <c r="C57" s="76">
        <v>4</v>
      </c>
      <c r="D57" t="s">
        <v>5516</v>
      </c>
    </row>
    <row r="58" spans="1:4">
      <c r="A58" t="str">
        <v>Planning &amp; Organizing</v>
      </c>
      <c r="B58" s="76" t="str">
        <v>Unit Head/Specialist</v>
      </c>
      <c r="C58" s="76">
        <v>1</v>
      </c>
      <c r="D58" t="s">
        <v>5517</v>
      </c>
    </row>
    <row r="59" spans="1:4">
      <c r="A59" t="str">
        <v>Planning &amp; Organizing</v>
      </c>
      <c r="B59" s="76" t="str">
        <v>Unit Head/Specialist</v>
      </c>
      <c r="C59" s="76">
        <v>2</v>
      </c>
      <c r="D59" t="s">
        <v>5518</v>
      </c>
    </row>
    <row r="60" spans="1:4">
      <c r="A60" t="str">
        <v>Planning &amp; Organizing</v>
      </c>
      <c r="B60" s="76" t="str">
        <v>Unit Head/Specialist</v>
      </c>
      <c r="C60" s="76">
        <v>3</v>
      </c>
      <c r="D60" t="s">
        <v>5519</v>
      </c>
    </row>
    <row r="61" spans="1:4">
      <c r="A61" t="str">
        <v>Planning &amp; Organizing</v>
      </c>
      <c r="B61" s="76" t="str">
        <v>Unit Head/Specialist</v>
      </c>
      <c r="C61" s="76">
        <v>4</v>
      </c>
      <c r="D61" t="s">
        <v>5520</v>
      </c>
    </row>
    <row r="62" spans="1:4">
      <c r="A62" t="str">
        <v>Planning &amp; Organizing</v>
      </c>
      <c r="B62" s="76" t="str">
        <v>Department Head</v>
      </c>
      <c r="C62" s="76">
        <v>1</v>
      </c>
      <c r="D62" t="s">
        <v>5521</v>
      </c>
    </row>
    <row r="63" spans="1:4">
      <c r="A63" t="str">
        <v>Planning &amp; Organizing</v>
      </c>
      <c r="B63" s="76" t="str">
        <v>Department Head</v>
      </c>
      <c r="C63" s="76">
        <v>2</v>
      </c>
      <c r="D63" t="s">
        <v>5522</v>
      </c>
    </row>
    <row r="64" spans="1:4">
      <c r="A64" t="str">
        <v>Planning &amp; Organizing</v>
      </c>
      <c r="B64" s="76" t="str">
        <v>Department Head</v>
      </c>
      <c r="C64" s="76">
        <v>3</v>
      </c>
      <c r="D64" t="s">
        <v>5523</v>
      </c>
    </row>
    <row r="65" spans="1:4">
      <c r="A65" t="str">
        <v>Planning &amp; Organizing</v>
      </c>
      <c r="B65" s="76" t="str">
        <v>Department Head</v>
      </c>
      <c r="C65" s="76">
        <v>4</v>
      </c>
      <c r="D65" t="s">
        <v>5524</v>
      </c>
    </row>
    <row r="66" spans="1:4">
      <c r="A66" t="str">
        <v>Planning &amp; Organizing</v>
      </c>
      <c r="B66" s="76" t="str">
        <v>Division Head</v>
      </c>
      <c r="C66" s="76">
        <v>1</v>
      </c>
      <c r="D66" t="s">
        <v>5477</v>
      </c>
    </row>
    <row r="67" spans="1:4">
      <c r="A67" t="str">
        <v>Planning &amp; Organizing</v>
      </c>
      <c r="B67" s="76" t="str">
        <v>Division Head</v>
      </c>
      <c r="C67" s="76">
        <v>2</v>
      </c>
      <c r="D67" t="s">
        <v>5478</v>
      </c>
    </row>
    <row r="68" spans="1:4">
      <c r="A68" t="str">
        <v>Planning &amp; Organizing</v>
      </c>
      <c r="B68" s="76" t="str">
        <v>Division Head</v>
      </c>
      <c r="C68" s="76">
        <v>3</v>
      </c>
      <c r="D68" t="s">
        <v>5479</v>
      </c>
    </row>
    <row r="69" spans="1:4">
      <c r="A69" t="str">
        <v>Planning &amp; Organizing</v>
      </c>
      <c r="B69" s="76" t="str">
        <v>Division Head</v>
      </c>
      <c r="C69" s="76">
        <v>4</v>
      </c>
      <c r="D69" t="s">
        <v>5525</v>
      </c>
    </row>
    <row r="70" spans="1:4">
      <c r="A70" t="str">
        <v>Planning &amp; Organizing</v>
      </c>
      <c r="B70" s="76" t="str">
        <v>Director</v>
      </c>
      <c r="C70" s="76">
        <v>1</v>
      </c>
      <c r="D70" t="s">
        <v>5526</v>
      </c>
    </row>
    <row r="71" spans="1:4">
      <c r="A71" t="str">
        <v>Planning &amp; Organizing</v>
      </c>
      <c r="B71" s="76" t="str">
        <v>Director</v>
      </c>
      <c r="C71" s="76">
        <v>2</v>
      </c>
      <c r="D71" t="s">
        <v>5482</v>
      </c>
    </row>
    <row r="72" spans="1:4">
      <c r="A72" t="str">
        <v>Planning &amp; Organizing</v>
      </c>
      <c r="B72" s="76" t="str">
        <v>Director</v>
      </c>
      <c r="C72" s="76">
        <v>3</v>
      </c>
      <c r="D72" t="s">
        <v>5527</v>
      </c>
    </row>
    <row r="73" spans="1:4">
      <c r="A73" t="str">
        <v>Planning &amp; Organizing</v>
      </c>
      <c r="B73" s="76" t="str">
        <v>Director</v>
      </c>
      <c r="C73" s="76">
        <v>4</v>
      </c>
      <c r="D73" t="s">
        <v>5528</v>
      </c>
    </row>
    <row r="74" spans="1:4">
      <c r="A74" t="str">
        <v>Problem Solving &amp; Decision Making</v>
      </c>
      <c r="B74" s="76" t="str">
        <v>Officer</v>
      </c>
      <c r="C74" s="76">
        <v>1</v>
      </c>
      <c r="D74" t="s">
        <v>5529</v>
      </c>
    </row>
    <row r="75" spans="1:4">
      <c r="A75" t="str">
        <v>Problem Solving &amp; Decision Making</v>
      </c>
      <c r="B75" s="76" t="str">
        <v>Officer</v>
      </c>
      <c r="C75" s="76">
        <v>2</v>
      </c>
      <c r="D75" t="s">
        <v>5530</v>
      </c>
    </row>
    <row r="76" spans="1:4">
      <c r="A76" t="str">
        <v>Problem Solving &amp; Decision Making</v>
      </c>
      <c r="B76" s="76" t="str">
        <v>Officer</v>
      </c>
      <c r="C76" s="76">
        <v>3</v>
      </c>
      <c r="D76" t="s">
        <v>5531</v>
      </c>
    </row>
    <row r="77" spans="1:4">
      <c r="A77" t="str">
        <v>Problem Solving &amp; Decision Making</v>
      </c>
      <c r="B77" s="76" t="str">
        <v>Officer</v>
      </c>
      <c r="C77" s="76">
        <v>4</v>
      </c>
      <c r="D77" t="s">
        <v>5532</v>
      </c>
    </row>
    <row r="78" spans="1:4">
      <c r="A78" t="str">
        <v>Problem Solving &amp; Decision Making</v>
      </c>
      <c r="B78" s="76" t="str">
        <v>Analyst</v>
      </c>
      <c r="C78" s="76">
        <v>1</v>
      </c>
      <c r="D78" t="s">
        <v>5513</v>
      </c>
    </row>
    <row r="79" spans="1:4">
      <c r="A79" t="str">
        <v>Problem Solving &amp; Decision Making</v>
      </c>
      <c r="B79" s="76" t="str">
        <v>Analyst</v>
      </c>
      <c r="C79" s="76">
        <v>2</v>
      </c>
      <c r="D79" t="s">
        <v>5533</v>
      </c>
    </row>
    <row r="80" spans="1:4">
      <c r="A80" t="str">
        <v>Problem Solving &amp; Decision Making</v>
      </c>
      <c r="B80" s="76" t="str">
        <v>Analyst</v>
      </c>
      <c r="C80" s="76">
        <v>3</v>
      </c>
      <c r="D80" t="s">
        <v>5534</v>
      </c>
    </row>
    <row r="81" spans="1:4">
      <c r="A81" t="str">
        <v>Problem Solving &amp; Decision Making</v>
      </c>
      <c r="B81" s="76" t="str">
        <v>Analyst</v>
      </c>
      <c r="C81" s="76">
        <v>4</v>
      </c>
      <c r="D81" t="s">
        <v>5535</v>
      </c>
    </row>
    <row r="82" spans="1:4">
      <c r="A82" t="str">
        <v>Problem Solving &amp; Decision Making</v>
      </c>
      <c r="B82" s="76" t="str">
        <v>Unit Head/Specialist</v>
      </c>
      <c r="C82" s="76">
        <v>1</v>
      </c>
      <c r="D82" t="s">
        <v>5517</v>
      </c>
    </row>
    <row r="83" spans="1:4">
      <c r="A83" t="str">
        <v>Problem Solving &amp; Decision Making</v>
      </c>
      <c r="B83" s="76" t="str">
        <v>Unit Head/Specialist</v>
      </c>
      <c r="C83" s="76">
        <v>2</v>
      </c>
      <c r="D83" t="s">
        <v>5518</v>
      </c>
    </row>
    <row r="84" spans="1:4">
      <c r="A84" t="str">
        <v>Problem Solving &amp; Decision Making</v>
      </c>
      <c r="B84" s="76" t="str">
        <v>Unit Head/Specialist</v>
      </c>
      <c r="C84" s="76">
        <v>3</v>
      </c>
      <c r="D84" t="s">
        <v>5536</v>
      </c>
    </row>
    <row r="85" spans="1:4">
      <c r="A85" t="str">
        <v>Problem Solving &amp; Decision Making</v>
      </c>
      <c r="B85" s="76" t="str">
        <v>Unit Head/Specialist</v>
      </c>
      <c r="C85" s="76">
        <v>4</v>
      </c>
      <c r="D85" t="s">
        <v>5520</v>
      </c>
    </row>
    <row r="86" spans="1:4">
      <c r="A86" t="str">
        <v>Problem Solving &amp; Decision Making</v>
      </c>
      <c r="B86" s="76" t="str">
        <v>Department Head</v>
      </c>
      <c r="C86" s="76">
        <v>1</v>
      </c>
      <c r="D86" t="s">
        <v>5537</v>
      </c>
    </row>
    <row r="87" spans="1:4">
      <c r="A87" t="str">
        <v>Problem Solving &amp; Decision Making</v>
      </c>
      <c r="B87" s="76" t="str">
        <v>Department Head</v>
      </c>
      <c r="C87" s="76">
        <v>2</v>
      </c>
      <c r="D87" t="s">
        <v>5538</v>
      </c>
    </row>
    <row r="88" spans="1:4">
      <c r="A88" t="str">
        <v>Problem Solving &amp; Decision Making</v>
      </c>
      <c r="B88" s="76" t="str">
        <v>Department Head</v>
      </c>
      <c r="C88" s="76">
        <v>3</v>
      </c>
      <c r="D88" t="s">
        <v>5539</v>
      </c>
    </row>
    <row r="89" spans="1:4">
      <c r="A89" t="str">
        <v>Problem Solving &amp; Decision Making</v>
      </c>
      <c r="B89" s="76" t="str">
        <v>Department Head</v>
      </c>
      <c r="C89" s="76">
        <v>4</v>
      </c>
      <c r="D89" t="s">
        <v>5540</v>
      </c>
    </row>
    <row r="90" spans="1:4">
      <c r="A90" t="str">
        <v>Problem Solving &amp; Decision Making</v>
      </c>
      <c r="B90" s="76" t="str">
        <v>Division Head</v>
      </c>
      <c r="C90" s="76">
        <v>1</v>
      </c>
      <c r="D90" t="s">
        <v>5541</v>
      </c>
    </row>
    <row r="91" spans="1:4">
      <c r="A91" t="str">
        <v>Problem Solving &amp; Decision Making</v>
      </c>
      <c r="B91" s="76" t="str">
        <v>Division Head</v>
      </c>
      <c r="C91" s="76">
        <v>2</v>
      </c>
      <c r="D91" t="s">
        <v>5542</v>
      </c>
    </row>
    <row r="92" spans="1:4">
      <c r="A92" t="str">
        <v>Problem Solving &amp; Decision Making</v>
      </c>
      <c r="B92" s="76" t="str">
        <v>Division Head</v>
      </c>
      <c r="C92" s="76">
        <v>3</v>
      </c>
      <c r="D92" t="s">
        <v>5543</v>
      </c>
    </row>
    <row r="93" spans="1:4">
      <c r="A93" t="str">
        <v>Problem Solving &amp; Decision Making</v>
      </c>
      <c r="B93" s="76" t="str">
        <v>Division Head</v>
      </c>
      <c r="C93" s="76">
        <v>4</v>
      </c>
      <c r="D93" t="s">
        <v>5544</v>
      </c>
    </row>
    <row r="94" spans="1:4">
      <c r="A94" t="str">
        <v>Problem Solving &amp; Decision Making</v>
      </c>
      <c r="B94" s="76" t="str">
        <v>Director</v>
      </c>
      <c r="C94" s="76">
        <v>1</v>
      </c>
      <c r="D94" t="s">
        <v>5545</v>
      </c>
    </row>
    <row r="95" spans="1:4">
      <c r="A95" t="str">
        <v>Problem Solving &amp; Decision Making</v>
      </c>
      <c r="B95" s="76" t="str">
        <v>Director</v>
      </c>
      <c r="C95" s="76">
        <v>2</v>
      </c>
      <c r="D95" t="s">
        <v>5546</v>
      </c>
    </row>
    <row r="96" spans="1:4">
      <c r="A96" t="str">
        <v>Problem Solving &amp; Decision Making</v>
      </c>
      <c r="B96" s="76" t="str">
        <v>Director</v>
      </c>
      <c r="C96" s="76">
        <v>3</v>
      </c>
      <c r="D96" t="s">
        <v>5547</v>
      </c>
    </row>
    <row r="97" spans="1:4">
      <c r="A97" t="str">
        <v>Problem Solving &amp; Decision Making</v>
      </c>
      <c r="B97" s="76" t="str">
        <v>Director</v>
      </c>
      <c r="C97" s="76">
        <v>4</v>
      </c>
      <c r="D97" t="s">
        <v>5548</v>
      </c>
    </row>
    <row r="98" spans="1:4">
      <c r="A98" t="str">
        <v>Controlling &amp; Corrective Action</v>
      </c>
      <c r="B98" s="76" t="str">
        <v>Officer</v>
      </c>
      <c r="C98" s="76">
        <v>1</v>
      </c>
      <c r="D98" t="s">
        <v>5509</v>
      </c>
    </row>
    <row r="99" spans="1:4">
      <c r="A99" t="str">
        <v>Controlling &amp; Corrective Action</v>
      </c>
      <c r="B99" s="76" t="str">
        <v>Officer</v>
      </c>
      <c r="C99" s="76">
        <v>2</v>
      </c>
      <c r="D99" t="s">
        <v>5510</v>
      </c>
    </row>
    <row r="100" spans="1:4">
      <c r="A100" t="str">
        <v>Controlling &amp; Corrective Action</v>
      </c>
      <c r="B100" s="76" t="str">
        <v>Officer</v>
      </c>
      <c r="C100" s="76">
        <v>3</v>
      </c>
      <c r="D100" t="s">
        <v>5511</v>
      </c>
    </row>
    <row r="101" spans="1:4">
      <c r="A101" t="str">
        <v>Controlling &amp; Corrective Action</v>
      </c>
      <c r="B101" s="76" t="str">
        <v>Officer</v>
      </c>
      <c r="C101" s="76">
        <v>4</v>
      </c>
      <c r="D101" t="s">
        <v>5549</v>
      </c>
    </row>
    <row r="102" spans="1:4">
      <c r="A102" t="str">
        <v>Controlling &amp; Corrective Action</v>
      </c>
      <c r="B102" s="76" t="str">
        <v>Analyst</v>
      </c>
      <c r="C102" s="76">
        <v>1</v>
      </c>
      <c r="D102" t="s">
        <v>5550</v>
      </c>
    </row>
    <row r="103" spans="1:4">
      <c r="A103" t="str">
        <v>Controlling &amp; Corrective Action</v>
      </c>
      <c r="B103" s="76" t="str">
        <v>Analyst</v>
      </c>
      <c r="C103" s="76">
        <v>2</v>
      </c>
      <c r="D103" t="s">
        <v>5551</v>
      </c>
    </row>
    <row r="104" spans="1:4">
      <c r="A104" t="str">
        <v>Controlling &amp; Corrective Action</v>
      </c>
      <c r="B104" s="76" t="str">
        <v>Analyst</v>
      </c>
      <c r="C104" s="76">
        <v>3</v>
      </c>
      <c r="D104" t="s">
        <v>5552</v>
      </c>
    </row>
    <row r="105" spans="1:4">
      <c r="A105" t="str">
        <v>Controlling &amp; Corrective Action</v>
      </c>
      <c r="B105" s="76" t="str">
        <v>Analyst</v>
      </c>
      <c r="C105" s="76">
        <v>4</v>
      </c>
      <c r="D105" t="s">
        <v>5553</v>
      </c>
    </row>
    <row r="106" spans="1:4">
      <c r="A106" t="str">
        <v>Controlling &amp; Corrective Action</v>
      </c>
      <c r="B106" s="76" t="str">
        <v>Unit Head/Specialist</v>
      </c>
      <c r="C106" s="76">
        <v>1</v>
      </c>
      <c r="D106" t="s">
        <v>5554</v>
      </c>
    </row>
    <row r="107" spans="1:4">
      <c r="A107" t="str">
        <v>Controlling &amp; Corrective Action</v>
      </c>
      <c r="B107" s="76" t="str">
        <v>Unit Head/Specialist</v>
      </c>
      <c r="C107" s="76">
        <v>2</v>
      </c>
      <c r="D107" t="s">
        <v>5470</v>
      </c>
    </row>
    <row r="108" spans="1:4">
      <c r="A108" t="str">
        <v>Controlling &amp; Corrective Action</v>
      </c>
      <c r="B108" s="76" t="str">
        <v>Unit Head/Specialist</v>
      </c>
      <c r="C108" s="76">
        <v>3</v>
      </c>
      <c r="D108" t="s">
        <v>5471</v>
      </c>
    </row>
    <row r="109" spans="1:4">
      <c r="A109" t="str">
        <v>Controlling &amp; Corrective Action</v>
      </c>
      <c r="B109" s="76" t="str">
        <v>Unit Head/Specialist</v>
      </c>
      <c r="C109" s="76">
        <v>4</v>
      </c>
      <c r="D109" t="s">
        <v>5472</v>
      </c>
    </row>
    <row r="110" spans="1:4">
      <c r="A110" t="str">
        <v>Controlling &amp; Corrective Action</v>
      </c>
      <c r="B110" s="76" t="str">
        <v>Department Head</v>
      </c>
      <c r="C110" s="76">
        <v>1</v>
      </c>
      <c r="D110" t="s">
        <v>5555</v>
      </c>
    </row>
    <row r="111" spans="1:4">
      <c r="A111" t="str">
        <v>Controlling &amp; Corrective Action</v>
      </c>
      <c r="B111" s="76" t="str">
        <v>Department Head</v>
      </c>
      <c r="C111" s="76">
        <v>2</v>
      </c>
      <c r="D111" t="s">
        <v>5556</v>
      </c>
    </row>
    <row r="112" spans="1:4">
      <c r="A112" t="str">
        <v>Controlling &amp; Corrective Action</v>
      </c>
      <c r="B112" s="76" t="str">
        <v>Department Head</v>
      </c>
      <c r="C112" s="76">
        <v>3</v>
      </c>
      <c r="D112" t="s">
        <v>5557</v>
      </c>
    </row>
    <row r="113" spans="1:4">
      <c r="A113" t="str">
        <v>Controlling &amp; Corrective Action</v>
      </c>
      <c r="B113" s="76" t="str">
        <v>Department Head</v>
      </c>
      <c r="C113" s="76">
        <v>4</v>
      </c>
      <c r="D113" t="s">
        <v>5558</v>
      </c>
    </row>
    <row r="114" spans="1:4">
      <c r="A114" t="str">
        <v>Controlling &amp; Corrective Action</v>
      </c>
      <c r="B114" s="76" t="str">
        <v>Division Head</v>
      </c>
      <c r="C114" s="76">
        <v>1</v>
      </c>
      <c r="D114" t="s">
        <v>5477</v>
      </c>
    </row>
    <row r="115" spans="1:4">
      <c r="A115" t="str">
        <v>Controlling &amp; Corrective Action</v>
      </c>
      <c r="B115" s="76" t="str">
        <v>Division Head</v>
      </c>
      <c r="C115" s="76">
        <v>2</v>
      </c>
      <c r="D115" t="s">
        <v>5478</v>
      </c>
    </row>
    <row r="116" spans="1:4">
      <c r="A116" t="str">
        <v>Controlling &amp; Corrective Action</v>
      </c>
      <c r="B116" s="76" t="str">
        <v>Division Head</v>
      </c>
      <c r="C116" s="76">
        <v>3</v>
      </c>
      <c r="D116" t="s">
        <v>5479</v>
      </c>
    </row>
    <row r="117" spans="1:4">
      <c r="A117" t="str">
        <v>Controlling &amp; Corrective Action</v>
      </c>
      <c r="B117" s="76" t="str">
        <v>Division Head</v>
      </c>
      <c r="C117" s="76">
        <v>4</v>
      </c>
      <c r="D117" t="s">
        <v>5525</v>
      </c>
    </row>
    <row r="118" spans="1:4">
      <c r="A118" t="str">
        <v>Controlling &amp; Corrective Action</v>
      </c>
      <c r="B118" s="76" t="str">
        <v>Director</v>
      </c>
      <c r="C118" s="76">
        <v>1</v>
      </c>
      <c r="D118" t="s">
        <v>5559</v>
      </c>
    </row>
    <row r="119" spans="1:4">
      <c r="A119" t="str">
        <v>Controlling &amp; Corrective Action</v>
      </c>
      <c r="B119" s="76" t="str">
        <v>Director</v>
      </c>
      <c r="C119" s="76">
        <v>2</v>
      </c>
      <c r="D119" t="s">
        <v>5482</v>
      </c>
    </row>
    <row r="120" spans="1:4">
      <c r="A120" t="str">
        <v>Controlling &amp; Corrective Action</v>
      </c>
      <c r="B120" s="76" t="str">
        <v>Director</v>
      </c>
      <c r="C120" s="76">
        <v>3</v>
      </c>
      <c r="D120" t="s">
        <v>5560</v>
      </c>
    </row>
    <row r="121" spans="1:4">
      <c r="A121" t="str">
        <v>Controlling &amp; Corrective Action</v>
      </c>
      <c r="B121" s="76" t="str">
        <v>Director</v>
      </c>
      <c r="C121" s="76">
        <v>4</v>
      </c>
      <c r="D121" t="s">
        <v>5561</v>
      </c>
    </row>
    <row r="122" spans="1:4">
      <c r="A122" t="str">
        <v>Analytical Thinking</v>
      </c>
      <c r="B122" s="76" t="str">
        <v>Officer</v>
      </c>
      <c r="C122" s="76">
        <v>1</v>
      </c>
      <c r="D122" t="s">
        <v>5562</v>
      </c>
    </row>
    <row r="123" spans="1:4">
      <c r="A123" t="str">
        <v>Analytical Thinking</v>
      </c>
      <c r="B123" s="76" t="str">
        <v>Officer</v>
      </c>
      <c r="C123" s="76">
        <v>2</v>
      </c>
      <c r="D123" t="s">
        <v>5563</v>
      </c>
    </row>
    <row r="124" spans="1:4">
      <c r="A124" t="str">
        <v>Analytical Thinking</v>
      </c>
      <c r="B124" s="76" t="str">
        <v>Officer</v>
      </c>
      <c r="C124" s="76">
        <v>3</v>
      </c>
      <c r="D124" t="s">
        <v>5564</v>
      </c>
    </row>
    <row r="125" spans="1:4">
      <c r="A125" t="str">
        <v>Analytical Thinking</v>
      </c>
      <c r="B125" s="76" t="str">
        <v>Officer</v>
      </c>
      <c r="C125" s="76">
        <v>4</v>
      </c>
      <c r="D125" t="s">
        <v>5565</v>
      </c>
    </row>
    <row r="126" spans="1:4">
      <c r="A126" t="str">
        <v>Analytical Thinking</v>
      </c>
      <c r="B126" s="76" t="str">
        <v>Analyst</v>
      </c>
      <c r="C126" s="76">
        <v>1</v>
      </c>
      <c r="D126" t="s">
        <v>5513</v>
      </c>
    </row>
    <row r="127" spans="1:4">
      <c r="A127" t="str">
        <v>Analytical Thinking</v>
      </c>
      <c r="B127" s="76" t="str">
        <v>Analyst</v>
      </c>
      <c r="C127" s="76">
        <v>2</v>
      </c>
      <c r="D127" t="s">
        <v>5533</v>
      </c>
    </row>
    <row r="128" spans="1:4">
      <c r="A128" t="str">
        <v>Analytical Thinking</v>
      </c>
      <c r="B128" s="76" t="str">
        <v>Analyst</v>
      </c>
      <c r="C128" s="76">
        <v>3</v>
      </c>
      <c r="D128" t="s">
        <v>5534</v>
      </c>
    </row>
    <row r="129" spans="1:4">
      <c r="A129" t="str">
        <v>Analytical Thinking</v>
      </c>
      <c r="B129" s="76" t="str">
        <v>Analyst</v>
      </c>
      <c r="C129" s="76">
        <v>4</v>
      </c>
      <c r="D129" t="s">
        <v>5535</v>
      </c>
    </row>
    <row r="130" spans="1:4">
      <c r="A130" t="str">
        <v>Analytical Thinking</v>
      </c>
      <c r="B130" s="76" t="str">
        <v>Unit Head/Specialist</v>
      </c>
      <c r="C130" s="76">
        <v>1</v>
      </c>
      <c r="D130" t="s">
        <v>5566</v>
      </c>
    </row>
    <row r="131" spans="1:4">
      <c r="A131" t="str">
        <v>Analytical Thinking</v>
      </c>
      <c r="B131" s="76" t="str">
        <v>Unit Head/Specialist</v>
      </c>
      <c r="C131" s="76">
        <v>2</v>
      </c>
      <c r="D131" t="s">
        <v>5567</v>
      </c>
    </row>
    <row r="132" spans="1:4">
      <c r="A132" t="str">
        <v>Analytical Thinking</v>
      </c>
      <c r="B132" s="76" t="str">
        <v>Unit Head/Specialist</v>
      </c>
      <c r="C132" s="76">
        <v>3</v>
      </c>
      <c r="D132" t="s">
        <v>5568</v>
      </c>
    </row>
    <row r="133" spans="1:4">
      <c r="A133" t="str">
        <v>Analytical Thinking</v>
      </c>
      <c r="B133" s="76" t="str">
        <v>Unit Head/Specialist</v>
      </c>
      <c r="C133" s="76">
        <v>4</v>
      </c>
      <c r="D133" t="s">
        <v>5569</v>
      </c>
    </row>
    <row r="134" spans="1:4">
      <c r="A134" t="str">
        <v>Analytical Thinking</v>
      </c>
      <c r="B134" s="76" t="str">
        <v>Department Head</v>
      </c>
      <c r="C134" s="76">
        <v>1</v>
      </c>
      <c r="D134" t="s">
        <v>5570</v>
      </c>
    </row>
    <row r="135" spans="1:4">
      <c r="A135" t="str">
        <v>Analytical Thinking</v>
      </c>
      <c r="B135" s="76" t="str">
        <v>Department Head</v>
      </c>
      <c r="C135" s="76">
        <v>2</v>
      </c>
      <c r="D135" t="s">
        <v>5571</v>
      </c>
    </row>
    <row r="136" spans="1:4">
      <c r="A136" t="str">
        <v>Analytical Thinking</v>
      </c>
      <c r="B136" s="76" t="str">
        <v>Department Head</v>
      </c>
      <c r="C136" s="76">
        <v>3</v>
      </c>
      <c r="D136" t="s">
        <v>5572</v>
      </c>
    </row>
    <row r="137" spans="1:4">
      <c r="A137" t="str">
        <v>Analytical Thinking</v>
      </c>
      <c r="B137" s="76" t="str">
        <v>Department Head</v>
      </c>
      <c r="C137" s="76">
        <v>4</v>
      </c>
      <c r="D137" t="s">
        <v>5573</v>
      </c>
    </row>
    <row r="138" spans="1:4">
      <c r="A138" t="str">
        <v>Analytical Thinking</v>
      </c>
      <c r="B138" s="76" t="str">
        <v>Division Head</v>
      </c>
      <c r="C138" s="76">
        <v>1</v>
      </c>
      <c r="D138" t="s">
        <v>5574</v>
      </c>
    </row>
    <row r="139" spans="1:4">
      <c r="A139" t="str">
        <v>Analytical Thinking</v>
      </c>
      <c r="B139" s="76" t="str">
        <v>Division Head</v>
      </c>
      <c r="C139" s="76">
        <v>2</v>
      </c>
      <c r="D139" t="s">
        <v>5542</v>
      </c>
    </row>
    <row r="140" spans="1:4">
      <c r="A140" t="str">
        <v>Analytical Thinking</v>
      </c>
      <c r="B140" s="76" t="str">
        <v>Division Head</v>
      </c>
      <c r="C140" s="76">
        <v>3</v>
      </c>
      <c r="D140" t="s">
        <v>5575</v>
      </c>
    </row>
    <row r="141" spans="1:4">
      <c r="A141" t="str">
        <v>Analytical Thinking</v>
      </c>
      <c r="B141" s="76" t="str">
        <v>Division Head</v>
      </c>
      <c r="C141" s="76">
        <v>4</v>
      </c>
      <c r="D141" t="s">
        <v>5576</v>
      </c>
    </row>
    <row r="142" spans="1:4">
      <c r="A142" t="str">
        <v>Analytical Thinking</v>
      </c>
      <c r="B142" s="76" t="str">
        <v>Director</v>
      </c>
      <c r="C142" s="76">
        <v>1</v>
      </c>
      <c r="D142" t="s">
        <v>5545</v>
      </c>
    </row>
    <row r="143" spans="1:4">
      <c r="A143" t="str">
        <v>Analytical Thinking</v>
      </c>
      <c r="B143" s="76" t="str">
        <v>Director</v>
      </c>
      <c r="C143" s="76">
        <v>2</v>
      </c>
      <c r="D143" t="s">
        <v>5577</v>
      </c>
    </row>
    <row r="144" spans="1:4">
      <c r="A144" t="str">
        <v>Analytical Thinking</v>
      </c>
      <c r="B144" s="76" t="str">
        <v>Director</v>
      </c>
      <c r="C144" s="76">
        <v>3</v>
      </c>
      <c r="D144" t="s">
        <v>5547</v>
      </c>
    </row>
    <row r="145" spans="1:4">
      <c r="A145" t="str">
        <v>Analytical Thinking</v>
      </c>
      <c r="B145" s="76" t="str">
        <v>Director</v>
      </c>
      <c r="C145" s="76">
        <v>4</v>
      </c>
      <c r="D145" t="s">
        <v>5578</v>
      </c>
    </row>
    <row r="146" spans="1:4">
      <c r="A146" t="str">
        <v>Managing Change</v>
      </c>
      <c r="B146" s="76" t="str">
        <v>Officer</v>
      </c>
      <c r="C146" s="76">
        <v>1</v>
      </c>
      <c r="D146" t="s">
        <v>5579</v>
      </c>
    </row>
    <row r="147" spans="1:4">
      <c r="A147" t="str">
        <v>Managing Change</v>
      </c>
      <c r="B147" s="76" t="str">
        <v>Officer</v>
      </c>
      <c r="C147" s="76">
        <v>2</v>
      </c>
      <c r="D147" t="s">
        <v>5580</v>
      </c>
    </row>
    <row r="148" spans="1:4">
      <c r="A148" t="str">
        <v>Managing Change</v>
      </c>
      <c r="B148" s="76" t="str">
        <v>Officer</v>
      </c>
      <c r="C148" s="76">
        <v>3</v>
      </c>
      <c r="D148" t="s">
        <v>5581</v>
      </c>
    </row>
    <row r="149" spans="1:4">
      <c r="A149" t="str">
        <v>Managing Change</v>
      </c>
      <c r="B149" s="76" t="str">
        <v>Officer</v>
      </c>
      <c r="C149" s="76">
        <v>4</v>
      </c>
      <c r="D149" t="s">
        <v>5582</v>
      </c>
    </row>
    <row r="150" spans="1:4">
      <c r="A150" t="str">
        <v>Managing Change</v>
      </c>
      <c r="B150" s="76" t="str">
        <v>Analyst</v>
      </c>
      <c r="C150" s="76">
        <v>1</v>
      </c>
      <c r="D150" t="s">
        <v>5583</v>
      </c>
    </row>
    <row r="151" spans="1:4">
      <c r="A151" t="str">
        <v>Managing Change</v>
      </c>
      <c r="B151" s="76" t="str">
        <v>Analyst</v>
      </c>
      <c r="C151" s="76">
        <v>2</v>
      </c>
      <c r="D151" t="s">
        <v>5584</v>
      </c>
    </row>
    <row r="152" spans="1:4">
      <c r="A152" t="str">
        <v>Managing Change</v>
      </c>
      <c r="B152" s="76" t="str">
        <v>Analyst</v>
      </c>
      <c r="C152" s="76">
        <v>3</v>
      </c>
      <c r="D152" t="s">
        <v>5585</v>
      </c>
    </row>
    <row r="153" spans="1:4">
      <c r="A153" t="str">
        <v>Managing Change</v>
      </c>
      <c r="B153" s="76" t="str">
        <v>Analyst</v>
      </c>
      <c r="C153" s="76">
        <v>4</v>
      </c>
      <c r="D153" t="s">
        <v>5586</v>
      </c>
    </row>
    <row r="154" spans="1:4">
      <c r="A154" t="str">
        <v>Managing Change</v>
      </c>
      <c r="B154" s="76" t="str">
        <v>Unit Head/Specialist</v>
      </c>
      <c r="C154" s="76">
        <v>1</v>
      </c>
      <c r="D154" t="s">
        <v>5587</v>
      </c>
    </row>
    <row r="155" spans="1:4">
      <c r="A155" t="str">
        <v>Managing Change</v>
      </c>
      <c r="B155" s="76" t="str">
        <v>Unit Head/Specialist</v>
      </c>
      <c r="C155" s="76">
        <v>2</v>
      </c>
      <c r="D155" t="s">
        <v>5588</v>
      </c>
    </row>
    <row r="156" spans="1:4">
      <c r="A156" t="str">
        <v>Managing Change</v>
      </c>
      <c r="B156" s="76" t="str">
        <v>Unit Head/Specialist</v>
      </c>
      <c r="C156" s="76">
        <v>3</v>
      </c>
      <c r="D156" t="s">
        <v>5589</v>
      </c>
    </row>
    <row r="157" spans="1:4">
      <c r="A157" t="str">
        <v>Managing Change</v>
      </c>
      <c r="B157" s="76" t="str">
        <v>Unit Head/Specialist</v>
      </c>
      <c r="C157" s="76">
        <v>4</v>
      </c>
      <c r="D157" t="s">
        <v>5590</v>
      </c>
    </row>
    <row r="158" spans="1:4">
      <c r="A158" t="str">
        <v>Managing Change</v>
      </c>
      <c r="B158" s="76" t="str">
        <v>Department Head</v>
      </c>
      <c r="C158" s="76">
        <v>1</v>
      </c>
      <c r="D158" t="s">
        <v>5591</v>
      </c>
    </row>
    <row r="159" spans="1:4">
      <c r="A159" t="str">
        <v>Managing Change</v>
      </c>
      <c r="B159" s="76" t="str">
        <v>Department Head</v>
      </c>
      <c r="C159" s="76">
        <v>2</v>
      </c>
      <c r="D159" t="s">
        <v>5592</v>
      </c>
    </row>
    <row r="160" spans="1:4">
      <c r="A160" t="str">
        <v>Managing Change</v>
      </c>
      <c r="B160" s="76" t="str">
        <v>Department Head</v>
      </c>
      <c r="C160" s="76">
        <v>3</v>
      </c>
      <c r="D160" t="s">
        <v>5593</v>
      </c>
    </row>
    <row r="161" spans="1:4">
      <c r="A161" t="str">
        <v>Managing Change</v>
      </c>
      <c r="B161" s="76" t="str">
        <v>Department Head</v>
      </c>
      <c r="C161" s="76">
        <v>4</v>
      </c>
      <c r="D161" t="s">
        <v>5594</v>
      </c>
    </row>
    <row r="162" spans="1:4">
      <c r="A162" t="str">
        <v>Managing Change</v>
      </c>
      <c r="B162" s="76" t="str">
        <v>Division Head</v>
      </c>
      <c r="C162" s="76">
        <v>1</v>
      </c>
      <c r="D162" t="s">
        <v>5595</v>
      </c>
    </row>
    <row r="163" spans="1:4">
      <c r="A163" t="str">
        <v>Managing Change</v>
      </c>
      <c r="B163" s="76" t="str">
        <v>Division Head</v>
      </c>
      <c r="C163" s="76">
        <v>2</v>
      </c>
      <c r="D163" t="s">
        <v>5596</v>
      </c>
    </row>
    <row r="164" spans="1:4">
      <c r="A164" t="str">
        <v>Managing Change</v>
      </c>
      <c r="B164" s="76" t="str">
        <v>Division Head</v>
      </c>
      <c r="C164" s="76">
        <v>3</v>
      </c>
      <c r="D164" t="s">
        <v>5597</v>
      </c>
    </row>
    <row r="165" spans="1:4">
      <c r="A165" t="str">
        <v>Managing Change</v>
      </c>
      <c r="B165" s="76" t="str">
        <v>Division Head</v>
      </c>
      <c r="C165" s="76">
        <v>4</v>
      </c>
      <c r="D165" t="s">
        <v>5598</v>
      </c>
    </row>
    <row r="166" spans="1:4">
      <c r="A166" t="str">
        <v>Managing Change</v>
      </c>
      <c r="B166" s="76" t="str">
        <v>Director</v>
      </c>
      <c r="C166" s="76">
        <v>1</v>
      </c>
      <c r="D166" t="s">
        <v>5599</v>
      </c>
    </row>
    <row r="167" spans="1:4">
      <c r="A167" t="str">
        <v>Managing Change</v>
      </c>
      <c r="B167" s="76" t="str">
        <v>Director</v>
      </c>
      <c r="C167" s="76">
        <v>2</v>
      </c>
      <c r="D167" t="s">
        <v>5600</v>
      </c>
    </row>
    <row r="168" spans="1:4">
      <c r="A168" t="str">
        <v>Managing Change</v>
      </c>
      <c r="B168" s="76" t="str">
        <v>Director</v>
      </c>
      <c r="C168" s="76">
        <v>3</v>
      </c>
      <c r="D168" t="s">
        <v>5601</v>
      </c>
    </row>
    <row r="169" spans="1:4">
      <c r="A169" t="str">
        <v>Managing Change</v>
      </c>
      <c r="B169" s="76" t="str">
        <v>Director</v>
      </c>
      <c r="C169" s="76">
        <v>4</v>
      </c>
      <c r="D169" t="s">
        <v>5602</v>
      </c>
    </row>
    <row r="170" spans="1:4">
      <c r="A170" t="str">
        <v>Strategic Thinking</v>
      </c>
      <c r="B170" s="76" t="str">
        <v>Officer</v>
      </c>
      <c r="C170" s="76">
        <v>1</v>
      </c>
      <c r="D170" t="s">
        <v>5603</v>
      </c>
    </row>
    <row r="171" spans="1:4">
      <c r="A171" t="str">
        <v>Strategic Thinking</v>
      </c>
      <c r="B171" s="76" t="str">
        <v>Officer</v>
      </c>
      <c r="C171" s="76">
        <v>2</v>
      </c>
      <c r="D171" t="s">
        <v>5563</v>
      </c>
    </row>
    <row r="172" spans="1:4">
      <c r="A172" t="str">
        <v>Strategic Thinking</v>
      </c>
      <c r="B172" s="76" t="str">
        <v>Officer</v>
      </c>
      <c r="C172" s="76">
        <v>3</v>
      </c>
      <c r="D172" t="s">
        <v>5564</v>
      </c>
    </row>
    <row r="173" spans="1:4">
      <c r="A173" t="str">
        <v>Strategic Thinking</v>
      </c>
      <c r="B173" s="76" t="str">
        <v>Officer</v>
      </c>
      <c r="C173" s="76">
        <v>4</v>
      </c>
      <c r="D173" t="s">
        <v>5604</v>
      </c>
    </row>
    <row r="174" spans="1:4">
      <c r="A174" t="str">
        <v>Strategic Thinking</v>
      </c>
      <c r="B174" s="76" t="str">
        <v>Analyst</v>
      </c>
      <c r="C174" s="76">
        <v>1</v>
      </c>
      <c r="D174" t="s">
        <v>5605</v>
      </c>
    </row>
    <row r="175" spans="1:4">
      <c r="A175" t="str">
        <v>Strategic Thinking</v>
      </c>
      <c r="B175" s="76" t="str">
        <v>Analyst</v>
      </c>
      <c r="C175" s="76">
        <v>2</v>
      </c>
      <c r="D175" t="s">
        <v>5606</v>
      </c>
    </row>
    <row r="176" spans="1:4">
      <c r="A176" t="str">
        <v>Strategic Thinking</v>
      </c>
      <c r="B176" s="76" t="str">
        <v>Analyst</v>
      </c>
      <c r="C176" s="76">
        <v>3</v>
      </c>
      <c r="D176" t="s">
        <v>5607</v>
      </c>
    </row>
    <row r="177" spans="1:4">
      <c r="A177" t="str">
        <v>Strategic Thinking</v>
      </c>
      <c r="B177" s="76" t="str">
        <v>Analyst</v>
      </c>
      <c r="C177" s="76">
        <v>4</v>
      </c>
      <c r="D177" t="s">
        <v>5608</v>
      </c>
    </row>
    <row r="178" spans="1:4">
      <c r="A178" t="str">
        <v>Strategic Thinking</v>
      </c>
      <c r="B178" s="76" t="str">
        <v>Unit Head/Specialist</v>
      </c>
      <c r="C178" s="76">
        <v>1</v>
      </c>
      <c r="D178" t="s">
        <v>5609</v>
      </c>
    </row>
    <row r="179" spans="1:4">
      <c r="A179" t="str">
        <v>Strategic Thinking</v>
      </c>
      <c r="B179" s="76" t="str">
        <v>Unit Head/Specialist</v>
      </c>
      <c r="C179" s="76">
        <v>2</v>
      </c>
      <c r="D179" t="s">
        <v>5610</v>
      </c>
    </row>
    <row r="180" spans="1:4">
      <c r="A180" t="str">
        <v>Strategic Thinking</v>
      </c>
      <c r="B180" s="76" t="str">
        <v>Unit Head/Specialist</v>
      </c>
      <c r="C180" s="76">
        <v>3</v>
      </c>
      <c r="D180" t="s">
        <v>5611</v>
      </c>
    </row>
    <row r="181" spans="1:4">
      <c r="A181" t="str">
        <v>Strategic Thinking</v>
      </c>
      <c r="B181" s="76" t="str">
        <v>Unit Head/Specialist</v>
      </c>
      <c r="C181" s="76">
        <v>4</v>
      </c>
      <c r="D181" t="s">
        <v>5612</v>
      </c>
    </row>
    <row r="182" spans="1:4">
      <c r="A182" t="str">
        <v>Strategic Thinking</v>
      </c>
      <c r="B182" s="76" t="str">
        <v>Department Head</v>
      </c>
      <c r="C182" s="76">
        <v>1</v>
      </c>
      <c r="D182" t="s">
        <v>5613</v>
      </c>
    </row>
    <row r="183" spans="1:4">
      <c r="A183" t="str">
        <v>Strategic Thinking</v>
      </c>
      <c r="B183" s="76" t="str">
        <v>Department Head</v>
      </c>
      <c r="C183" s="76">
        <v>2</v>
      </c>
      <c r="D183" t="s">
        <v>5522</v>
      </c>
    </row>
    <row r="184" spans="1:4">
      <c r="A184" t="str">
        <v>Strategic Thinking</v>
      </c>
      <c r="B184" s="76" t="str">
        <v>Department Head</v>
      </c>
      <c r="C184" s="76">
        <v>3</v>
      </c>
      <c r="D184" t="s">
        <v>5614</v>
      </c>
    </row>
    <row r="185" spans="1:4">
      <c r="A185" t="str">
        <v>Strategic Thinking</v>
      </c>
      <c r="B185" s="76" t="str">
        <v>Department Head</v>
      </c>
      <c r="C185" s="76">
        <v>4</v>
      </c>
      <c r="D185" t="s">
        <v>5615</v>
      </c>
    </row>
    <row r="186" spans="1:4">
      <c r="A186" t="str">
        <v>Strategic Thinking</v>
      </c>
      <c r="B186" s="76" t="str">
        <v>Division Head</v>
      </c>
      <c r="C186" s="76">
        <v>1</v>
      </c>
      <c r="D186" t="s">
        <v>5616</v>
      </c>
    </row>
    <row r="187" spans="1:4">
      <c r="A187" t="str">
        <v>Strategic Thinking</v>
      </c>
      <c r="B187" s="76" t="str">
        <v>Division Head</v>
      </c>
      <c r="C187" s="76">
        <v>2</v>
      </c>
      <c r="D187" t="s">
        <v>5542</v>
      </c>
    </row>
    <row r="188" spans="1:4">
      <c r="A188" t="str">
        <v>Strategic Thinking</v>
      </c>
      <c r="B188" s="76" t="str">
        <v>Division Head</v>
      </c>
      <c r="C188" s="76">
        <v>3</v>
      </c>
      <c r="D188" t="s">
        <v>5576</v>
      </c>
    </row>
    <row r="189" spans="1:4">
      <c r="A189" t="str">
        <v>Strategic Thinking</v>
      </c>
      <c r="B189" s="76" t="str">
        <v>Division Head</v>
      </c>
      <c r="C189" s="76">
        <v>4</v>
      </c>
      <c r="D189" t="s">
        <v>5617</v>
      </c>
    </row>
    <row r="190" spans="1:4">
      <c r="A190" t="str">
        <v>Strategic Thinking</v>
      </c>
      <c r="B190" s="76" t="str">
        <v>Director</v>
      </c>
      <c r="C190" s="76">
        <v>1</v>
      </c>
      <c r="D190" t="s">
        <v>5545</v>
      </c>
    </row>
    <row r="191" spans="1:4">
      <c r="A191" t="str">
        <v>Strategic Thinking</v>
      </c>
      <c r="B191" s="76" t="str">
        <v>Director</v>
      </c>
      <c r="C191" s="76">
        <v>2</v>
      </c>
      <c r="D191" t="s">
        <v>5546</v>
      </c>
    </row>
    <row r="192" spans="1:4">
      <c r="A192" t="str">
        <v>Strategic Thinking</v>
      </c>
      <c r="B192" s="76" t="str">
        <v>Director</v>
      </c>
      <c r="C192" s="76">
        <v>3</v>
      </c>
      <c r="D192" t="s">
        <v>5618</v>
      </c>
    </row>
    <row r="193" spans="1:4">
      <c r="A193" t="str">
        <v>Strategic Thinking</v>
      </c>
      <c r="B193" s="76" t="str">
        <v>Director</v>
      </c>
      <c r="C193" s="76">
        <v>4</v>
      </c>
      <c r="D193" t="s">
        <v>5619</v>
      </c>
    </row>
    <row r="194" spans="1:4">
      <c r="A194" t="str">
        <v>Conceptual Thinking</v>
      </c>
      <c r="B194" s="76" t="str">
        <v>Officer</v>
      </c>
      <c r="C194" s="76">
        <v>1</v>
      </c>
      <c r="D194" t="s">
        <v>5562</v>
      </c>
    </row>
    <row r="195" spans="1:4">
      <c r="A195" t="str">
        <v>Conceptual Thinking</v>
      </c>
      <c r="B195" s="76" t="str">
        <v>Officer</v>
      </c>
      <c r="C195" s="76">
        <v>2</v>
      </c>
      <c r="D195" t="s">
        <v>5620</v>
      </c>
    </row>
    <row r="196" spans="1:4">
      <c r="A196" t="str">
        <v>Conceptual Thinking</v>
      </c>
      <c r="B196" s="76" t="str">
        <v>Officer</v>
      </c>
      <c r="C196" s="76">
        <v>3</v>
      </c>
      <c r="D196" t="s">
        <v>5564</v>
      </c>
    </row>
    <row r="197" spans="1:4">
      <c r="A197" t="str">
        <v>Conceptual Thinking</v>
      </c>
      <c r="B197" s="76" t="str">
        <v>Officer</v>
      </c>
      <c r="C197" s="76">
        <v>4</v>
      </c>
      <c r="D197" t="s">
        <v>5621</v>
      </c>
    </row>
    <row r="198" spans="1:4">
      <c r="A198" t="str">
        <v>Conceptual Thinking</v>
      </c>
      <c r="B198" s="76" t="str">
        <v>Analyst</v>
      </c>
      <c r="C198" s="76">
        <v>1</v>
      </c>
      <c r="D198" t="s">
        <v>5605</v>
      </c>
    </row>
    <row r="199" spans="1:4">
      <c r="A199" t="str">
        <v>Conceptual Thinking</v>
      </c>
      <c r="B199" s="76" t="str">
        <v>Analyst</v>
      </c>
      <c r="C199" s="76">
        <v>2</v>
      </c>
      <c r="D199" t="s">
        <v>5622</v>
      </c>
    </row>
    <row r="200" spans="1:4">
      <c r="A200" t="str">
        <v>Conceptual Thinking</v>
      </c>
      <c r="B200" s="76" t="str">
        <v>Analyst</v>
      </c>
      <c r="C200" s="76">
        <v>3</v>
      </c>
      <c r="D200" t="s">
        <v>5606</v>
      </c>
    </row>
    <row r="201" spans="1:4">
      <c r="A201" t="str">
        <v>Conceptual Thinking</v>
      </c>
      <c r="B201" s="76" t="str">
        <v>Analyst</v>
      </c>
      <c r="C201" s="76">
        <v>4</v>
      </c>
      <c r="D201" t="s">
        <v>5607</v>
      </c>
    </row>
    <row r="202" spans="1:4">
      <c r="A202" t="str">
        <v>Conceptual Thinking</v>
      </c>
      <c r="B202" s="76" t="str">
        <v>Unit Head/Specialist</v>
      </c>
      <c r="C202" s="76">
        <v>1</v>
      </c>
      <c r="D202" t="s">
        <v>5623</v>
      </c>
    </row>
    <row r="203" spans="1:4">
      <c r="A203" t="str">
        <v>Conceptual Thinking</v>
      </c>
      <c r="B203" s="76" t="str">
        <v>Unit Head/Specialist</v>
      </c>
      <c r="C203" s="76">
        <v>2</v>
      </c>
      <c r="D203" t="s">
        <v>5624</v>
      </c>
    </row>
    <row r="204" spans="1:4">
      <c r="A204" t="str">
        <v>Conceptual Thinking</v>
      </c>
      <c r="B204" s="76" t="str">
        <v>Unit Head/Specialist</v>
      </c>
      <c r="C204" s="76">
        <v>3</v>
      </c>
      <c r="D204" t="s">
        <v>5625</v>
      </c>
    </row>
    <row r="205" spans="1:4">
      <c r="A205" t="str">
        <v>Conceptual Thinking</v>
      </c>
      <c r="B205" s="76" t="str">
        <v>Unit Head/Specialist</v>
      </c>
      <c r="C205" s="76">
        <v>4</v>
      </c>
      <c r="D205" t="s">
        <v>5626</v>
      </c>
    </row>
    <row r="206" spans="1:4">
      <c r="A206" t="str">
        <v>Conceptual Thinking</v>
      </c>
      <c r="B206" s="76" t="str">
        <v>Department Head</v>
      </c>
      <c r="C206" s="76">
        <v>1</v>
      </c>
      <c r="D206" t="s">
        <v>5627</v>
      </c>
    </row>
    <row r="207" spans="1:4">
      <c r="A207" t="str">
        <v>Conceptual Thinking</v>
      </c>
      <c r="B207" s="76" t="str">
        <v>Department Head</v>
      </c>
      <c r="C207" s="76">
        <v>2</v>
      </c>
      <c r="D207" t="s">
        <v>5628</v>
      </c>
    </row>
    <row r="208" spans="1:4">
      <c r="A208" t="str">
        <v>Conceptual Thinking</v>
      </c>
      <c r="B208" s="76" t="str">
        <v>Department Head</v>
      </c>
      <c r="C208" s="76">
        <v>3</v>
      </c>
      <c r="D208" t="s">
        <v>5629</v>
      </c>
    </row>
    <row r="209" spans="1:4">
      <c r="A209" t="str">
        <v>Conceptual Thinking</v>
      </c>
      <c r="B209" s="76" t="str">
        <v>Department Head</v>
      </c>
      <c r="C209" s="76">
        <v>4</v>
      </c>
      <c r="D209" t="s">
        <v>5540</v>
      </c>
    </row>
    <row r="210" spans="1:4">
      <c r="A210" t="str">
        <v>Conceptual Thinking</v>
      </c>
      <c r="B210" s="76" t="str">
        <v>Division Head</v>
      </c>
      <c r="C210" s="76">
        <v>1</v>
      </c>
      <c r="D210" t="s">
        <v>5541</v>
      </c>
    </row>
    <row r="211" spans="1:4">
      <c r="A211" t="str">
        <v>Conceptual Thinking</v>
      </c>
      <c r="B211" s="76" t="str">
        <v>Division Head</v>
      </c>
      <c r="C211" s="76">
        <v>2</v>
      </c>
      <c r="D211" t="s">
        <v>5542</v>
      </c>
    </row>
    <row r="212" spans="1:4">
      <c r="A212" t="str">
        <v>Conceptual Thinking</v>
      </c>
      <c r="B212" s="76" t="str">
        <v>Division Head</v>
      </c>
      <c r="C212" s="76">
        <v>3</v>
      </c>
      <c r="D212" t="s">
        <v>5576</v>
      </c>
    </row>
    <row r="213" spans="1:4">
      <c r="A213" t="str">
        <v>Conceptual Thinking</v>
      </c>
      <c r="B213" s="76" t="str">
        <v>Division Head</v>
      </c>
      <c r="C213" s="76">
        <v>4</v>
      </c>
      <c r="D213" t="s">
        <v>5630</v>
      </c>
    </row>
    <row r="214" spans="1:4">
      <c r="A214" t="str">
        <v>Conceptual Thinking</v>
      </c>
      <c r="B214" s="76" t="str">
        <v>Director</v>
      </c>
      <c r="C214" s="76">
        <v>1</v>
      </c>
      <c r="D214" t="s">
        <v>5545</v>
      </c>
    </row>
    <row r="215" spans="1:4">
      <c r="A215" t="str">
        <v>Conceptual Thinking</v>
      </c>
      <c r="B215" s="76" t="str">
        <v>Director</v>
      </c>
      <c r="C215" s="76">
        <v>2</v>
      </c>
      <c r="D215" t="s">
        <v>5631</v>
      </c>
    </row>
    <row r="216" spans="1:4">
      <c r="A216" t="str">
        <v>Conceptual Thinking</v>
      </c>
      <c r="B216" s="76" t="str">
        <v>Director</v>
      </c>
      <c r="C216" s="76">
        <v>3</v>
      </c>
      <c r="D216" t="s">
        <v>5618</v>
      </c>
    </row>
    <row r="217" spans="1:4">
      <c r="A217" t="str">
        <v>Conceptual Thinking</v>
      </c>
      <c r="B217" s="76" t="str">
        <v>Director</v>
      </c>
      <c r="C217" s="76">
        <v>4</v>
      </c>
      <c r="D217" t="s">
        <v>5632</v>
      </c>
    </row>
    <row r="218" spans="1:4">
      <c r="A218" t="str">
        <v>Leadership</v>
      </c>
      <c r="B218" s="76" t="str">
        <v>Officer</v>
      </c>
      <c r="C218" s="76">
        <v>1</v>
      </c>
      <c r="D218" t="s">
        <v>5461</v>
      </c>
    </row>
    <row r="219" spans="1:4">
      <c r="A219" t="str">
        <v>Leadership</v>
      </c>
      <c r="B219" s="76" t="str">
        <v>Officer</v>
      </c>
      <c r="C219" s="76">
        <v>2</v>
      </c>
      <c r="D219" t="s">
        <v>5462</v>
      </c>
    </row>
    <row r="220" spans="1:4">
      <c r="A220" t="str">
        <v>Leadership</v>
      </c>
      <c r="B220" s="76" t="str">
        <v>Officer</v>
      </c>
      <c r="C220" s="76">
        <v>3</v>
      </c>
      <c r="D220" t="s">
        <v>5633</v>
      </c>
    </row>
    <row r="221" spans="1:4">
      <c r="A221" t="str">
        <v>Leadership</v>
      </c>
      <c r="B221" s="76" t="str">
        <v>Officer</v>
      </c>
      <c r="C221" s="76">
        <v>4</v>
      </c>
      <c r="D221" t="s">
        <v>5634</v>
      </c>
    </row>
    <row r="222" spans="1:4">
      <c r="A222" t="str">
        <v>Leadership</v>
      </c>
      <c r="B222" s="76" t="str">
        <v>Analyst</v>
      </c>
      <c r="C222" s="76">
        <v>1</v>
      </c>
      <c r="D222" t="s">
        <v>5635</v>
      </c>
    </row>
    <row r="223" spans="1:4">
      <c r="A223" t="str">
        <v>Leadership</v>
      </c>
      <c r="B223" s="76" t="str">
        <v>Analyst</v>
      </c>
      <c r="C223" s="76">
        <v>2</v>
      </c>
      <c r="D223" t="s">
        <v>5636</v>
      </c>
    </row>
    <row r="224" spans="1:4">
      <c r="A224" t="str">
        <v>Leadership</v>
      </c>
      <c r="B224" s="76" t="str">
        <v>Analyst</v>
      </c>
      <c r="C224" s="76">
        <v>3</v>
      </c>
      <c r="D224" t="s">
        <v>5516</v>
      </c>
    </row>
    <row r="225" spans="1:4">
      <c r="A225" t="str">
        <v>Leadership</v>
      </c>
      <c r="B225" s="76" t="str">
        <v>Analyst</v>
      </c>
      <c r="C225" s="76">
        <v>4</v>
      </c>
      <c r="D225" t="s">
        <v>5637</v>
      </c>
    </row>
    <row r="226" spans="1:4">
      <c r="A226" t="str">
        <v>Leadership</v>
      </c>
      <c r="B226" s="76" t="str">
        <v>Unit Head/Specialist</v>
      </c>
      <c r="C226" s="76">
        <v>1</v>
      </c>
      <c r="D226" t="s">
        <v>5638</v>
      </c>
    </row>
    <row r="227" spans="1:4">
      <c r="A227" t="str">
        <v>Leadership</v>
      </c>
      <c r="B227" s="76" t="str">
        <v>Unit Head/Specialist</v>
      </c>
      <c r="C227" s="76">
        <v>2</v>
      </c>
      <c r="D227" t="s">
        <v>5639</v>
      </c>
    </row>
    <row r="228" spans="1:4">
      <c r="A228" t="str">
        <v>Leadership</v>
      </c>
      <c r="B228" s="76" t="str">
        <v>Unit Head/Specialist</v>
      </c>
      <c r="C228" s="76">
        <v>3</v>
      </c>
      <c r="D228" t="s">
        <v>5640</v>
      </c>
    </row>
    <row r="229" spans="1:4">
      <c r="A229" t="str">
        <v>Leadership</v>
      </c>
      <c r="B229" s="76" t="str">
        <v>Unit Head/Specialist</v>
      </c>
      <c r="C229" s="76">
        <v>4</v>
      </c>
      <c r="D229" t="s">
        <v>5641</v>
      </c>
    </row>
    <row r="230" spans="1:4">
      <c r="A230" t="str">
        <v>Leadership</v>
      </c>
      <c r="B230" s="76" t="str">
        <v>Department Head</v>
      </c>
      <c r="C230" s="76">
        <v>1</v>
      </c>
      <c r="D230" t="s">
        <v>5642</v>
      </c>
    </row>
    <row r="231" spans="1:4">
      <c r="A231" t="str">
        <v>Leadership</v>
      </c>
      <c r="B231" s="76" t="str">
        <v>Department Head</v>
      </c>
      <c r="C231" s="76">
        <v>2</v>
      </c>
      <c r="D231" t="s">
        <v>5643</v>
      </c>
    </row>
    <row r="232" spans="1:4">
      <c r="A232" t="str">
        <v>Leadership</v>
      </c>
      <c r="B232" s="76" t="str">
        <v>Department Head</v>
      </c>
      <c r="C232" s="76">
        <v>3</v>
      </c>
      <c r="D232" t="s">
        <v>5644</v>
      </c>
    </row>
    <row r="233" spans="1:4">
      <c r="A233" t="str">
        <v>Leadership</v>
      </c>
      <c r="B233" s="76" t="str">
        <v>Department Head</v>
      </c>
      <c r="C233" s="76">
        <v>4</v>
      </c>
      <c r="D233" t="s">
        <v>5645</v>
      </c>
    </row>
    <row r="234" spans="1:4">
      <c r="A234" t="str">
        <v>Leadership</v>
      </c>
      <c r="B234" s="76" t="str">
        <v>Division Head</v>
      </c>
      <c r="C234" s="76">
        <v>1</v>
      </c>
      <c r="D234" t="s">
        <v>5646</v>
      </c>
    </row>
    <row r="235" spans="1:4">
      <c r="A235" t="str">
        <v>Leadership</v>
      </c>
      <c r="B235" s="76" t="str">
        <v>Division Head</v>
      </c>
      <c r="C235" s="76">
        <v>2</v>
      </c>
      <c r="D235" t="s">
        <v>5647</v>
      </c>
    </row>
    <row r="236" spans="1:4">
      <c r="A236" t="str">
        <v>Leadership</v>
      </c>
      <c r="B236" s="76" t="str">
        <v>Division Head</v>
      </c>
      <c r="C236" s="76">
        <v>3</v>
      </c>
      <c r="D236" t="s">
        <v>5648</v>
      </c>
    </row>
    <row r="237" spans="1:4">
      <c r="A237" t="str">
        <v>Leadership</v>
      </c>
      <c r="B237" s="76" t="str">
        <v>Division Head</v>
      </c>
      <c r="C237" s="76">
        <v>4</v>
      </c>
      <c r="D237" t="s">
        <v>5649</v>
      </c>
    </row>
    <row r="238" spans="1:4">
      <c r="A238" t="str">
        <v>Leadership</v>
      </c>
      <c r="B238" s="76" t="str">
        <v>Director</v>
      </c>
      <c r="C238" s="76">
        <v>1</v>
      </c>
      <c r="D238" t="s">
        <v>5650</v>
      </c>
    </row>
    <row r="239" spans="1:4">
      <c r="A239" t="str">
        <v>Leadership</v>
      </c>
      <c r="B239" s="76" t="str">
        <v>Director</v>
      </c>
      <c r="C239" s="76">
        <v>2</v>
      </c>
      <c r="D239" t="s">
        <v>5651</v>
      </c>
    </row>
    <row r="240" spans="1:4">
      <c r="A240" t="str">
        <v>Leadership</v>
      </c>
      <c r="B240" s="76" t="str">
        <v>Director</v>
      </c>
      <c r="C240" s="76">
        <v>3</v>
      </c>
      <c r="D240" t="s">
        <v>5652</v>
      </c>
    </row>
    <row r="241" spans="1:4">
      <c r="A241" t="str">
        <v>Leadership</v>
      </c>
      <c r="B241" s="76" t="str">
        <v>Director</v>
      </c>
      <c r="C241" s="76">
        <v>4</v>
      </c>
      <c r="D241" t="s">
        <v>5482</v>
      </c>
    </row>
    <row r="242" spans="1:4">
      <c r="A242" t="str">
        <v>Developing Others</v>
      </c>
      <c r="B242" s="76" t="str">
        <v>Officer</v>
      </c>
      <c r="C242" s="76">
        <v>1</v>
      </c>
      <c r="D242" t="s">
        <v>5579</v>
      </c>
    </row>
    <row r="243" spans="1:4">
      <c r="A243" t="str">
        <v>Developing Others</v>
      </c>
      <c r="B243" s="76" t="str">
        <v>Officer</v>
      </c>
      <c r="C243" s="76">
        <v>2</v>
      </c>
      <c r="D243" t="s">
        <v>5653</v>
      </c>
    </row>
    <row r="244" spans="1:4">
      <c r="A244" t="str">
        <v>Developing Others</v>
      </c>
      <c r="B244" s="76" t="str">
        <v>Officer</v>
      </c>
      <c r="C244" s="76">
        <v>3</v>
      </c>
      <c r="D244" t="s">
        <v>5654</v>
      </c>
    </row>
    <row r="245" spans="1:4">
      <c r="A245" t="str">
        <v>Developing Others</v>
      </c>
      <c r="B245" s="76" t="str">
        <v>Officer</v>
      </c>
      <c r="C245" s="76">
        <v>4</v>
      </c>
      <c r="D245" t="s">
        <v>5655</v>
      </c>
    </row>
    <row r="246" spans="1:4">
      <c r="A246" t="str">
        <v>Developing Others</v>
      </c>
      <c r="B246" s="76" t="str">
        <v>Analyst</v>
      </c>
      <c r="C246" s="76">
        <v>1</v>
      </c>
      <c r="D246" t="s">
        <v>5656</v>
      </c>
    </row>
    <row r="247" spans="1:4">
      <c r="A247" t="str">
        <v>Developing Others</v>
      </c>
      <c r="B247" s="76" t="str">
        <v>Analyst</v>
      </c>
      <c r="C247" s="76">
        <v>2</v>
      </c>
      <c r="D247" t="s">
        <v>5657</v>
      </c>
    </row>
    <row r="248" spans="1:4">
      <c r="A248" t="str">
        <v>Developing Others</v>
      </c>
      <c r="B248" s="76" t="str">
        <v>Analyst</v>
      </c>
      <c r="C248" s="76">
        <v>3</v>
      </c>
      <c r="D248" t="s">
        <v>5658</v>
      </c>
    </row>
    <row r="249" spans="1:4">
      <c r="A249" t="str">
        <v>Developing Others</v>
      </c>
      <c r="B249" s="76" t="str">
        <v>Analyst</v>
      </c>
      <c r="C249" s="76">
        <v>4</v>
      </c>
      <c r="D249" t="s">
        <v>5659</v>
      </c>
    </row>
    <row r="250" spans="1:4">
      <c r="A250" t="str">
        <v>Developing Others</v>
      </c>
      <c r="B250" s="76" t="str">
        <v>Unit Head/Specialist</v>
      </c>
      <c r="C250" s="76">
        <v>1</v>
      </c>
      <c r="D250" t="s">
        <v>5660</v>
      </c>
    </row>
    <row r="251" spans="1:4">
      <c r="A251" t="str">
        <v>Developing Others</v>
      </c>
      <c r="B251" s="76" t="str">
        <v>Unit Head/Specialist</v>
      </c>
      <c r="C251" s="76">
        <v>2</v>
      </c>
      <c r="D251" t="s">
        <v>5661</v>
      </c>
    </row>
    <row r="252" spans="1:4">
      <c r="A252" t="str">
        <v>Developing Others</v>
      </c>
      <c r="B252" s="76" t="str">
        <v>Unit Head/Specialist</v>
      </c>
      <c r="C252" s="76">
        <v>3</v>
      </c>
      <c r="D252" t="s">
        <v>5662</v>
      </c>
    </row>
    <row r="253" spans="1:4">
      <c r="A253" t="str">
        <v>Developing Others</v>
      </c>
      <c r="B253" s="76" t="str">
        <v>Unit Head/Specialist</v>
      </c>
      <c r="C253" s="76">
        <v>4</v>
      </c>
      <c r="D253" t="s">
        <v>5663</v>
      </c>
    </row>
    <row r="254" spans="1:4">
      <c r="A254" t="str">
        <v>Developing Others</v>
      </c>
      <c r="B254" s="76" t="str">
        <v>Department Head</v>
      </c>
      <c r="C254" s="76">
        <v>1</v>
      </c>
      <c r="D254" t="s">
        <v>5664</v>
      </c>
    </row>
    <row r="255" spans="1:4">
      <c r="A255" t="str">
        <v>Developing Others</v>
      </c>
      <c r="B255" s="76" t="str">
        <v>Department Head</v>
      </c>
      <c r="C255" s="76">
        <v>2</v>
      </c>
      <c r="D255" t="s">
        <v>5665</v>
      </c>
    </row>
    <row r="256" spans="1:4">
      <c r="A256" t="str">
        <v>Developing Others</v>
      </c>
      <c r="B256" s="76" t="str">
        <v>Department Head</v>
      </c>
      <c r="C256" s="76">
        <v>3</v>
      </c>
      <c r="D256" t="s">
        <v>5666</v>
      </c>
    </row>
    <row r="257" spans="1:4">
      <c r="A257" t="str">
        <v>Developing Others</v>
      </c>
      <c r="B257" s="76" t="str">
        <v>Department Head</v>
      </c>
      <c r="C257" s="76">
        <v>4</v>
      </c>
      <c r="D257" t="s">
        <v>5667</v>
      </c>
    </row>
    <row r="258" spans="1:4">
      <c r="A258" t="str">
        <v>Developing Others</v>
      </c>
      <c r="B258" s="76" t="str">
        <v>Division Head</v>
      </c>
      <c r="C258" s="76">
        <v>1</v>
      </c>
      <c r="D258" t="s">
        <v>5668</v>
      </c>
    </row>
    <row r="259" spans="1:4">
      <c r="A259" t="str">
        <v>Developing Others</v>
      </c>
      <c r="B259" s="76" t="str">
        <v>Division Head</v>
      </c>
      <c r="C259" s="76">
        <v>2</v>
      </c>
      <c r="D259" t="s">
        <v>5669</v>
      </c>
    </row>
    <row r="260" spans="1:4">
      <c r="A260" t="str">
        <v>Developing Others</v>
      </c>
      <c r="B260" s="76" t="str">
        <v>Division Head</v>
      </c>
      <c r="C260" s="76">
        <v>3</v>
      </c>
      <c r="D260" t="s">
        <v>5670</v>
      </c>
    </row>
    <row r="261" spans="1:4">
      <c r="A261" t="str">
        <v>Developing Others</v>
      </c>
      <c r="B261" s="76" t="str">
        <v>Division Head</v>
      </c>
      <c r="C261" s="76">
        <v>4</v>
      </c>
      <c r="D261" t="s">
        <v>5671</v>
      </c>
    </row>
    <row r="262" spans="1:4">
      <c r="A262" t="str">
        <v>Developing Others</v>
      </c>
      <c r="B262" s="76" t="str">
        <v>Director</v>
      </c>
      <c r="C262" s="76">
        <v>1</v>
      </c>
      <c r="D262" t="s">
        <v>5672</v>
      </c>
    </row>
    <row r="263" spans="1:4">
      <c r="A263" t="str">
        <v>Developing Others</v>
      </c>
      <c r="B263" s="76" t="str">
        <v>Director</v>
      </c>
      <c r="C263" s="76">
        <v>2</v>
      </c>
      <c r="D263" t="s">
        <v>5673</v>
      </c>
    </row>
    <row r="264" spans="1:4">
      <c r="A264" t="str">
        <v>Developing Others</v>
      </c>
      <c r="B264" s="76" t="str">
        <v>Director</v>
      </c>
      <c r="C264" s="76">
        <v>3</v>
      </c>
      <c r="D264" t="s">
        <v>5674</v>
      </c>
    </row>
    <row r="265" spans="1:4">
      <c r="A265" t="str">
        <v>Developing Others</v>
      </c>
      <c r="B265" s="76" t="str">
        <v>Director</v>
      </c>
      <c r="C265" s="76">
        <v>4</v>
      </c>
      <c r="D265" t="s">
        <v>5675</v>
      </c>
    </row>
    <row r="266" spans="1:4">
      <c r="A266" t="str">
        <v>Team Work</v>
      </c>
      <c r="B266" s="76" t="str">
        <v>Officer</v>
      </c>
      <c r="C266" s="76">
        <v>1</v>
      </c>
      <c r="D266" t="s">
        <v>5676</v>
      </c>
    </row>
    <row r="267" spans="1:4">
      <c r="A267" t="str">
        <v>Team Work</v>
      </c>
      <c r="B267" s="76" t="str">
        <v>Officer</v>
      </c>
      <c r="C267" s="76">
        <v>2</v>
      </c>
      <c r="D267" t="s">
        <v>5677</v>
      </c>
    </row>
    <row r="268" spans="1:4">
      <c r="A268" t="str">
        <v>Team Work</v>
      </c>
      <c r="B268" s="76" t="str">
        <v>Officer</v>
      </c>
      <c r="C268" s="76">
        <v>3</v>
      </c>
      <c r="D268" t="s">
        <v>5678</v>
      </c>
    </row>
    <row r="269" spans="1:4">
      <c r="A269" t="str">
        <v>Team Work</v>
      </c>
      <c r="B269" s="76" t="str">
        <v>Officer</v>
      </c>
      <c r="C269" s="76">
        <v>4</v>
      </c>
      <c r="D269" t="s">
        <v>5679</v>
      </c>
    </row>
    <row r="270" spans="1:4">
      <c r="A270" t="str">
        <v>Team Work</v>
      </c>
      <c r="B270" s="76" t="str">
        <v>Analyst</v>
      </c>
      <c r="C270" s="76">
        <v>1</v>
      </c>
      <c r="D270" t="s">
        <v>5680</v>
      </c>
    </row>
    <row r="271" spans="1:4">
      <c r="A271" t="str">
        <v>Team Work</v>
      </c>
      <c r="B271" s="76" t="str">
        <v>Analyst</v>
      </c>
      <c r="C271" s="76">
        <v>2</v>
      </c>
      <c r="D271" t="s">
        <v>5681</v>
      </c>
    </row>
    <row r="272" spans="1:4">
      <c r="A272" t="str">
        <v>Team Work</v>
      </c>
      <c r="B272" s="76" t="str">
        <v>Analyst</v>
      </c>
      <c r="C272" s="76">
        <v>3</v>
      </c>
      <c r="D272" t="s">
        <v>5682</v>
      </c>
    </row>
    <row r="273" spans="1:4">
      <c r="A273" t="str">
        <v>Team Work</v>
      </c>
      <c r="B273" s="76" t="str">
        <v>Analyst</v>
      </c>
      <c r="C273" s="76">
        <v>4</v>
      </c>
      <c r="D273" t="s">
        <v>5683</v>
      </c>
    </row>
    <row r="274" spans="1:4">
      <c r="A274" t="str">
        <v>Team Work</v>
      </c>
      <c r="B274" s="76" t="str">
        <v>Unit Head/Specialist</v>
      </c>
      <c r="C274" s="76">
        <v>1</v>
      </c>
      <c r="D274" t="s">
        <v>5684</v>
      </c>
    </row>
    <row r="275" spans="1:4">
      <c r="A275" t="str">
        <v>Team Work</v>
      </c>
      <c r="B275" s="76" t="str">
        <v>Unit Head/Specialist</v>
      </c>
      <c r="C275" s="76">
        <v>2</v>
      </c>
      <c r="D275" t="s">
        <v>5685</v>
      </c>
    </row>
    <row r="276" spans="1:4">
      <c r="A276" t="str">
        <v>Team Work</v>
      </c>
      <c r="B276" s="76" t="str">
        <v>Unit Head/Specialist</v>
      </c>
      <c r="C276" s="76">
        <v>3</v>
      </c>
      <c r="D276" t="s">
        <v>5686</v>
      </c>
    </row>
    <row r="277" spans="1:4">
      <c r="A277" t="str">
        <v>Team Work</v>
      </c>
      <c r="B277" s="76" t="str">
        <v>Unit Head/Specialist</v>
      </c>
      <c r="C277" s="76">
        <v>4</v>
      </c>
      <c r="D277" t="s">
        <v>5687</v>
      </c>
    </row>
    <row r="278" spans="1:4">
      <c r="A278" t="str">
        <v>Team Work</v>
      </c>
      <c r="B278" s="76" t="str">
        <v>Department Head</v>
      </c>
      <c r="C278" s="76">
        <v>1</v>
      </c>
      <c r="D278" t="s">
        <v>5688</v>
      </c>
    </row>
    <row r="279" spans="1:4">
      <c r="A279" t="str">
        <v>Team Work</v>
      </c>
      <c r="B279" s="76" t="str">
        <v>Department Head</v>
      </c>
      <c r="C279" s="76">
        <v>2</v>
      </c>
      <c r="D279" t="s">
        <v>5689</v>
      </c>
    </row>
    <row r="280" spans="1:4">
      <c r="A280" t="str">
        <v>Team Work</v>
      </c>
      <c r="B280" s="76" t="str">
        <v>Department Head</v>
      </c>
      <c r="C280" s="76">
        <v>3</v>
      </c>
      <c r="D280" t="s">
        <v>5690</v>
      </c>
    </row>
    <row r="281" spans="1:4">
      <c r="A281" t="str">
        <v>Team Work</v>
      </c>
      <c r="B281" s="76" t="str">
        <v>Department Head</v>
      </c>
      <c r="C281" s="76">
        <v>4</v>
      </c>
      <c r="D281" t="s">
        <v>5691</v>
      </c>
    </row>
    <row r="282" spans="1:4">
      <c r="A282" t="str">
        <v>Team Work</v>
      </c>
      <c r="B282" s="76" t="str">
        <v>Division Head</v>
      </c>
      <c r="C282" s="76">
        <v>1</v>
      </c>
      <c r="D282" t="s">
        <v>5692</v>
      </c>
    </row>
    <row r="283" spans="1:4">
      <c r="A283" t="str">
        <v>Team Work</v>
      </c>
      <c r="B283" s="76" t="str">
        <v>Division Head</v>
      </c>
      <c r="C283" s="76">
        <v>2</v>
      </c>
      <c r="D283" t="s">
        <v>5693</v>
      </c>
    </row>
    <row r="284" spans="1:4">
      <c r="A284" t="str">
        <v>Team Work</v>
      </c>
      <c r="B284" s="76" t="str">
        <v>Division Head</v>
      </c>
      <c r="C284" s="76">
        <v>3</v>
      </c>
      <c r="D284" t="s">
        <v>5694</v>
      </c>
    </row>
    <row r="285" spans="1:4">
      <c r="A285" t="str">
        <v>Team Work</v>
      </c>
      <c r="B285" s="76" t="str">
        <v>Division Head</v>
      </c>
      <c r="C285" s="76">
        <v>4</v>
      </c>
      <c r="D285" t="s">
        <v>5695</v>
      </c>
    </row>
    <row r="286" spans="1:4">
      <c r="A286" t="str">
        <v>Team Work</v>
      </c>
      <c r="B286" s="76" t="str">
        <v>Director</v>
      </c>
      <c r="C286" s="76">
        <v>1</v>
      </c>
      <c r="D286" t="s">
        <v>5650</v>
      </c>
    </row>
    <row r="287" spans="1:4">
      <c r="A287" t="str">
        <v>Team Work</v>
      </c>
      <c r="B287" s="76" t="str">
        <v>Director</v>
      </c>
      <c r="C287" s="76">
        <v>2</v>
      </c>
      <c r="D287" t="s">
        <v>5696</v>
      </c>
    </row>
    <row r="288" spans="1:4">
      <c r="A288" t="str">
        <v>Team Work</v>
      </c>
      <c r="B288" s="76" t="str">
        <v>Director</v>
      </c>
      <c r="C288" s="76">
        <v>3</v>
      </c>
      <c r="D288" t="s">
        <v>5697</v>
      </c>
    </row>
    <row r="289" spans="1:4">
      <c r="A289" t="str">
        <v>Team Work</v>
      </c>
      <c r="B289" s="76" t="str">
        <v>Director</v>
      </c>
      <c r="C289" s="76">
        <v>4</v>
      </c>
      <c r="D289" t="s">
        <v>5698</v>
      </c>
    </row>
    <row r="290" spans="1:4">
      <c r="A290" t="str">
        <v>Communication &amp; Deal with Others</v>
      </c>
      <c r="B290" s="76" t="str">
        <v>Officer</v>
      </c>
      <c r="C290" s="76">
        <v>1</v>
      </c>
      <c r="D290" t="s">
        <v>5699</v>
      </c>
    </row>
    <row r="291" spans="1:4">
      <c r="A291" t="str">
        <v>Communication &amp; Deal with Others</v>
      </c>
      <c r="B291" s="76" t="str">
        <v>Officer</v>
      </c>
      <c r="C291" s="76">
        <v>2</v>
      </c>
      <c r="D291" t="s">
        <v>5700</v>
      </c>
    </row>
    <row r="292" spans="1:4">
      <c r="A292" t="str">
        <v>Communication &amp; Deal with Others</v>
      </c>
      <c r="B292" s="76" t="str">
        <v>Officer</v>
      </c>
      <c r="C292" s="76">
        <v>3</v>
      </c>
      <c r="D292" t="s">
        <v>5701</v>
      </c>
    </row>
    <row r="293" spans="1:4">
      <c r="A293" t="str">
        <v>Communication &amp; Deal with Others</v>
      </c>
      <c r="B293" s="76" t="str">
        <v>Officer</v>
      </c>
      <c r="C293" s="76">
        <v>4</v>
      </c>
      <c r="D293" t="s">
        <v>5702</v>
      </c>
    </row>
    <row r="294" spans="1:4">
      <c r="A294" t="str">
        <v>Communication &amp; Deal with Others</v>
      </c>
      <c r="B294" s="76" t="str">
        <v>Analyst</v>
      </c>
      <c r="C294" s="76">
        <v>1</v>
      </c>
      <c r="D294" t="s">
        <v>5605</v>
      </c>
    </row>
    <row r="295" spans="1:4">
      <c r="A295" t="str">
        <v>Communication &amp; Deal with Others</v>
      </c>
      <c r="B295" s="76" t="str">
        <v>Analyst</v>
      </c>
      <c r="C295" s="76">
        <v>2</v>
      </c>
      <c r="D295" t="s">
        <v>5606</v>
      </c>
    </row>
    <row r="296" spans="1:4">
      <c r="A296" t="str">
        <v>Communication &amp; Deal with Others</v>
      </c>
      <c r="B296" s="76" t="str">
        <v>Analyst</v>
      </c>
      <c r="C296" s="76">
        <v>3</v>
      </c>
      <c r="D296" t="s">
        <v>5607</v>
      </c>
    </row>
    <row r="297" spans="1:4">
      <c r="A297" t="str">
        <v>Communication &amp; Deal with Others</v>
      </c>
      <c r="B297" s="76" t="str">
        <v>Analyst</v>
      </c>
      <c r="C297" s="76">
        <v>4</v>
      </c>
      <c r="D297" t="s">
        <v>5608</v>
      </c>
    </row>
    <row r="298" spans="1:4">
      <c r="A298" t="str">
        <v>Communication &amp; Deal with Others</v>
      </c>
      <c r="B298" s="76" t="str">
        <v>Unit Head/Specialist</v>
      </c>
      <c r="C298" s="76">
        <v>1</v>
      </c>
      <c r="D298" t="s">
        <v>5703</v>
      </c>
    </row>
    <row r="299" spans="1:4">
      <c r="A299" t="str">
        <v>Communication &amp; Deal with Others</v>
      </c>
      <c r="B299" s="76" t="str">
        <v>Unit Head/Specialist</v>
      </c>
      <c r="C299" s="76">
        <v>2</v>
      </c>
      <c r="D299" t="s">
        <v>5704</v>
      </c>
    </row>
    <row r="300" spans="1:4">
      <c r="A300" t="str">
        <v>Communication &amp; Deal with Others</v>
      </c>
      <c r="B300" s="76" t="str">
        <v>Unit Head/Specialist</v>
      </c>
      <c r="C300" s="76">
        <v>3</v>
      </c>
      <c r="D300" t="s">
        <v>5705</v>
      </c>
    </row>
    <row r="301" spans="1:4">
      <c r="A301" t="str">
        <v>Communication &amp; Deal with Others</v>
      </c>
      <c r="B301" s="76" t="str">
        <v>Unit Head/Specialist</v>
      </c>
      <c r="C301" s="76">
        <v>4</v>
      </c>
      <c r="D301" t="s">
        <v>5706</v>
      </c>
    </row>
    <row r="302" spans="1:4">
      <c r="A302" t="str">
        <v>Communication &amp; Deal with Others</v>
      </c>
      <c r="B302" s="76" t="str">
        <v>Department Head</v>
      </c>
      <c r="C302" s="76">
        <v>1</v>
      </c>
      <c r="D302" t="s">
        <v>5707</v>
      </c>
    </row>
    <row r="303" spans="1:4">
      <c r="A303" t="str">
        <v>Communication &amp; Deal with Others</v>
      </c>
      <c r="B303" s="76" t="str">
        <v>Department Head</v>
      </c>
      <c r="C303" s="76">
        <v>2</v>
      </c>
      <c r="D303" t="s">
        <v>5708</v>
      </c>
    </row>
    <row r="304" spans="1:4">
      <c r="A304" t="str">
        <v>Communication &amp; Deal with Others</v>
      </c>
      <c r="B304" s="76" t="str">
        <v>Department Head</v>
      </c>
      <c r="C304" s="76">
        <v>3</v>
      </c>
      <c r="D304" t="s">
        <v>5709</v>
      </c>
    </row>
    <row r="305" spans="1:4">
      <c r="A305" t="str">
        <v>Communication &amp; Deal with Others</v>
      </c>
      <c r="B305" s="76" t="str">
        <v>Department Head</v>
      </c>
      <c r="C305" s="76">
        <v>4</v>
      </c>
      <c r="D305" t="s">
        <v>5710</v>
      </c>
    </row>
    <row r="306" spans="1:4">
      <c r="A306" t="str">
        <v>Communication &amp; Deal with Others</v>
      </c>
      <c r="B306" s="76" t="str">
        <v>Division Head</v>
      </c>
      <c r="C306" s="76">
        <v>1</v>
      </c>
      <c r="D306" t="s">
        <v>5711</v>
      </c>
    </row>
    <row r="307" spans="1:4">
      <c r="A307" t="str">
        <v>Communication &amp; Deal with Others</v>
      </c>
      <c r="B307" s="76" t="str">
        <v>Division Head</v>
      </c>
      <c r="C307" s="76">
        <v>2</v>
      </c>
      <c r="D307" t="s">
        <v>5693</v>
      </c>
    </row>
    <row r="308" spans="1:4">
      <c r="A308" t="str">
        <v>Communication &amp; Deal with Others</v>
      </c>
      <c r="B308" s="76" t="str">
        <v>Division Head</v>
      </c>
      <c r="C308" s="76">
        <v>3</v>
      </c>
      <c r="D308" t="s">
        <v>5694</v>
      </c>
    </row>
    <row r="309" spans="1:4">
      <c r="A309" t="str">
        <v>Communication &amp; Deal with Others</v>
      </c>
      <c r="B309" s="76" t="str">
        <v>Division Head</v>
      </c>
      <c r="C309" s="76">
        <v>4</v>
      </c>
      <c r="D309" t="s">
        <v>5712</v>
      </c>
    </row>
    <row r="310" spans="1:4">
      <c r="A310" t="str">
        <v>Communication &amp; Deal with Others</v>
      </c>
      <c r="B310" s="76" t="str">
        <v>Director</v>
      </c>
      <c r="C310" s="76">
        <v>1</v>
      </c>
      <c r="D310" t="s">
        <v>5650</v>
      </c>
    </row>
    <row r="311" spans="1:4">
      <c r="A311" t="str">
        <v>Communication &amp; Deal with Others</v>
      </c>
      <c r="B311" s="76" t="str">
        <v>Director</v>
      </c>
      <c r="C311" s="76">
        <v>2</v>
      </c>
      <c r="D311" t="s">
        <v>5713</v>
      </c>
    </row>
    <row r="312" spans="1:4">
      <c r="A312" t="str">
        <v>Communication &amp; Deal with Others</v>
      </c>
      <c r="B312" s="76" t="str">
        <v>Director</v>
      </c>
      <c r="C312" s="76">
        <v>3</v>
      </c>
      <c r="D312" t="s">
        <v>5696</v>
      </c>
    </row>
    <row r="313" spans="1:4">
      <c r="A313" t="str">
        <v>Communication &amp; Deal with Others</v>
      </c>
      <c r="B313" s="76" t="str">
        <v>Director</v>
      </c>
      <c r="C313" s="76">
        <v>4</v>
      </c>
      <c r="D313" t="s">
        <v>5714</v>
      </c>
    </row>
    <row r="314" spans="1:4">
      <c r="A314" t="str">
        <v>Customer Focus</v>
      </c>
      <c r="B314" s="76" t="str">
        <v>Officer</v>
      </c>
      <c r="C314" s="76">
        <v>1</v>
      </c>
      <c r="D314" t="s">
        <v>5509</v>
      </c>
    </row>
    <row r="315" spans="1:4">
      <c r="A315" t="str">
        <v>Customer Focus</v>
      </c>
      <c r="B315" s="76" t="str">
        <v>Officer</v>
      </c>
      <c r="C315" s="76">
        <v>2</v>
      </c>
      <c r="D315" t="s">
        <v>5510</v>
      </c>
    </row>
    <row r="316" spans="1:4">
      <c r="A316" t="str">
        <v>Customer Focus</v>
      </c>
      <c r="B316" s="76" t="str">
        <v>Officer</v>
      </c>
      <c r="C316" s="76">
        <v>3</v>
      </c>
      <c r="D316" t="s">
        <v>5511</v>
      </c>
    </row>
    <row r="317" spans="1:4">
      <c r="A317" t="str">
        <v>Customer Focus</v>
      </c>
      <c r="B317" s="76" t="str">
        <v>Officer</v>
      </c>
      <c r="C317" s="76">
        <v>4</v>
      </c>
      <c r="D317" t="s">
        <v>5715</v>
      </c>
    </row>
    <row r="318" spans="1:4">
      <c r="A318" t="str">
        <v>Customer Focus</v>
      </c>
      <c r="B318" s="76" t="str">
        <v>Analyst</v>
      </c>
      <c r="C318" s="76">
        <v>1</v>
      </c>
      <c r="D318" t="s">
        <v>5656</v>
      </c>
    </row>
    <row r="319" spans="1:4">
      <c r="A319" t="str">
        <v>Customer Focus</v>
      </c>
      <c r="B319" s="76" t="str">
        <v>Analyst</v>
      </c>
      <c r="C319" s="76">
        <v>2</v>
      </c>
      <c r="D319" t="s">
        <v>5716</v>
      </c>
    </row>
    <row r="320" spans="1:4">
      <c r="A320" t="str">
        <v>Customer Focus</v>
      </c>
      <c r="B320" s="76" t="str">
        <v>Analyst</v>
      </c>
      <c r="C320" s="76">
        <v>3</v>
      </c>
      <c r="D320" t="s">
        <v>5717</v>
      </c>
    </row>
    <row r="321" spans="1:4">
      <c r="A321" t="str">
        <v>Customer Focus</v>
      </c>
      <c r="B321" s="76" t="str">
        <v>Analyst</v>
      </c>
      <c r="C321" s="76">
        <v>4</v>
      </c>
      <c r="D321" t="s">
        <v>5718</v>
      </c>
    </row>
    <row r="322" spans="1:4">
      <c r="A322" t="str">
        <v>Customer Focus</v>
      </c>
      <c r="B322" s="76" t="str">
        <v>Unit Head/Specialist</v>
      </c>
      <c r="C322" s="76">
        <v>1</v>
      </c>
      <c r="D322" t="s">
        <v>5517</v>
      </c>
    </row>
    <row r="323" spans="1:4">
      <c r="A323" t="str">
        <v>Customer Focus</v>
      </c>
      <c r="B323" s="76" t="str">
        <v>Unit Head/Specialist</v>
      </c>
      <c r="C323" s="76">
        <v>2</v>
      </c>
      <c r="D323" t="s">
        <v>5518</v>
      </c>
    </row>
    <row r="324" spans="1:4">
      <c r="A324" t="str">
        <v>Customer Focus</v>
      </c>
      <c r="B324" s="76" t="str">
        <v>Unit Head/Specialist</v>
      </c>
      <c r="C324" s="76">
        <v>3</v>
      </c>
      <c r="D324" t="s">
        <v>5719</v>
      </c>
    </row>
    <row r="325" spans="1:4">
      <c r="A325" t="str">
        <v>Customer Focus</v>
      </c>
      <c r="B325" s="76" t="str">
        <v>Unit Head/Specialist</v>
      </c>
      <c r="C325" s="76">
        <v>4</v>
      </c>
      <c r="D325" t="s">
        <v>5720</v>
      </c>
    </row>
    <row r="326" spans="1:4">
      <c r="A326" t="str">
        <v>Customer Focus</v>
      </c>
      <c r="B326" s="76" t="str">
        <v>Department Head</v>
      </c>
      <c r="C326" s="76">
        <v>1</v>
      </c>
      <c r="D326" t="s">
        <v>5721</v>
      </c>
    </row>
    <row r="327" spans="1:4">
      <c r="A327" t="str">
        <v>Customer Focus</v>
      </c>
      <c r="B327" s="76" t="str">
        <v>Department Head</v>
      </c>
      <c r="C327" s="76">
        <v>2</v>
      </c>
      <c r="D327" t="s">
        <v>5722</v>
      </c>
    </row>
    <row r="328" spans="1:4">
      <c r="A328" t="str">
        <v>Customer Focus</v>
      </c>
      <c r="B328" s="76" t="str">
        <v>Department Head</v>
      </c>
      <c r="C328" s="76">
        <v>3</v>
      </c>
      <c r="D328" t="s">
        <v>5723</v>
      </c>
    </row>
    <row r="329" spans="1:4">
      <c r="A329" t="str">
        <v>Customer Focus</v>
      </c>
      <c r="B329" s="76" t="str">
        <v>Department Head</v>
      </c>
      <c r="C329" s="76">
        <v>4</v>
      </c>
      <c r="D329" t="s">
        <v>5724</v>
      </c>
    </row>
    <row r="330" spans="1:4">
      <c r="A330" t="str">
        <v>Customer Focus</v>
      </c>
      <c r="B330" s="76" t="str">
        <v>Division Head</v>
      </c>
      <c r="C330" s="76">
        <v>1</v>
      </c>
      <c r="D330" t="s">
        <v>5725</v>
      </c>
    </row>
    <row r="331" spans="1:4">
      <c r="A331" t="str">
        <v>Customer Focus</v>
      </c>
      <c r="B331" s="76" t="str">
        <v>Division Head</v>
      </c>
      <c r="C331" s="76">
        <v>2</v>
      </c>
      <c r="D331" t="s">
        <v>5726</v>
      </c>
    </row>
    <row r="332" spans="1:4">
      <c r="A332" t="str">
        <v>Customer Focus</v>
      </c>
      <c r="B332" s="76" t="str">
        <v>Division Head</v>
      </c>
      <c r="C332" s="76">
        <v>3</v>
      </c>
      <c r="D332" t="s">
        <v>5727</v>
      </c>
    </row>
    <row r="333" spans="1:4">
      <c r="A333" t="str">
        <v>Customer Focus</v>
      </c>
      <c r="B333" s="76" t="str">
        <v>Division Head</v>
      </c>
      <c r="C333" s="76">
        <v>4</v>
      </c>
      <c r="D333" t="s">
        <v>5728</v>
      </c>
    </row>
    <row r="334" spans="1:4">
      <c r="A334" t="str">
        <v>Customer Focus</v>
      </c>
      <c r="B334" s="76" t="str">
        <v>Director</v>
      </c>
      <c r="C334" s="76">
        <v>1</v>
      </c>
      <c r="D334" t="s">
        <v>5729</v>
      </c>
    </row>
    <row r="335" spans="1:4">
      <c r="A335" t="str">
        <v>Customer Focus</v>
      </c>
      <c r="B335" s="76" t="str">
        <v>Director</v>
      </c>
      <c r="C335" s="76">
        <v>2</v>
      </c>
      <c r="D335" t="s">
        <v>5482</v>
      </c>
    </row>
    <row r="336" spans="1:4">
      <c r="A336" t="str">
        <v>Customer Focus</v>
      </c>
      <c r="B336" s="76" t="str">
        <v>Director</v>
      </c>
      <c r="C336" s="76">
        <v>3</v>
      </c>
      <c r="D336" t="s">
        <v>5730</v>
      </c>
    </row>
    <row r="337" spans="1:4">
      <c r="A337" t="str">
        <v>Customer Focus</v>
      </c>
      <c r="B337" s="76" t="str">
        <v>Director</v>
      </c>
      <c r="C337" s="76">
        <v>4</v>
      </c>
      <c r="D337" t="s">
        <v>5561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35A9-A4AD-4CD9-9A87-B2407234879D}">
  <dimension ref="A1:H337"/>
  <sheetViews>
    <sheetView topLeftCell="E59" zoomScaleNormal="100" workbookViewId="0">
      <selection activeCell="H11" sqref="H11"/>
    </sheetView>
  </sheetViews>
  <sheetFormatPr defaultRowHeight="14.45"/>
  <cols>
    <col min="1" max="1" width="30.7109375" style="223" bestFit="1" customWidth="1"/>
    <col min="2" max="2" width="19" style="223" customWidth="1"/>
    <col min="3" max="3" width="11.7109375" style="197" bestFit="1" customWidth="1"/>
    <col min="4" max="8" width="41.42578125" customWidth="1"/>
  </cols>
  <sheetData>
    <row r="1" spans="1:8">
      <c r="A1" s="223" t="s">
        <v>5731</v>
      </c>
      <c r="B1" s="223" t="s">
        <v>5732</v>
      </c>
      <c r="C1" s="197" t="s">
        <v>5733</v>
      </c>
      <c r="D1" t="s">
        <v>5734</v>
      </c>
      <c r="E1" t="s">
        <v>5735</v>
      </c>
      <c r="F1" t="s">
        <v>5736</v>
      </c>
      <c r="G1" t="s">
        <v>5737</v>
      </c>
      <c r="H1" t="s">
        <v>5738</v>
      </c>
    </row>
    <row r="2" spans="1:8" ht="22.9">
      <c r="A2" s="223" t="str" cm="1">
        <f t="array" ref="A2:A337">INDEX(list!$A$2:$A$16,INT((_xlfn.SEQUENCE(336)-1)/24)+1)</f>
        <v>Achievement Drive</v>
      </c>
      <c r="B2" s="226" t="str" cm="1">
        <f t="array" ref="B2:B337">INDEX(list!$B$2:$B$7,MOD(INT((_xlfn.SEQUENCE(336)-1)/4),6)+1)</f>
        <v>Officer</v>
      </c>
      <c r="C2" s="197" cm="1">
        <f t="array" ref="C2:C337">MOD(_xlfn.SEQUENCE(336)-1,4)+1</f>
        <v>1</v>
      </c>
      <c r="D2" s="228" t="s">
        <v>5739</v>
      </c>
      <c r="E2" s="228" t="s">
        <v>5740</v>
      </c>
      <c r="F2" s="228" t="s">
        <v>5741</v>
      </c>
      <c r="G2" s="229" t="s">
        <v>5742</v>
      </c>
      <c r="H2" s="228" t="s">
        <v>5743</v>
      </c>
    </row>
    <row r="3" spans="1:8" ht="22.9">
      <c r="A3" s="223" t="str">
        <v>Achievement Drive</v>
      </c>
      <c r="B3" s="226" t="str">
        <v>Officer</v>
      </c>
      <c r="C3" s="79">
        <v>2</v>
      </c>
      <c r="D3" s="228" t="s">
        <v>5744</v>
      </c>
      <c r="E3" s="228" t="s">
        <v>5745</v>
      </c>
      <c r="F3" s="228" t="s">
        <v>5746</v>
      </c>
      <c r="G3" s="229" t="s">
        <v>5747</v>
      </c>
      <c r="H3" s="228" t="s">
        <v>5748</v>
      </c>
    </row>
    <row r="4" spans="1:8" ht="22.9">
      <c r="A4" s="223" t="str">
        <v>Achievement Drive</v>
      </c>
      <c r="B4" s="226" t="str">
        <v>Officer</v>
      </c>
      <c r="C4" s="197">
        <v>3</v>
      </c>
      <c r="D4" s="228" t="s">
        <v>5749</v>
      </c>
      <c r="E4" s="228" t="s">
        <v>5750</v>
      </c>
      <c r="F4" s="228" t="s">
        <v>5751</v>
      </c>
      <c r="G4" s="229" t="s">
        <v>5752</v>
      </c>
      <c r="H4" s="228" t="s">
        <v>5753</v>
      </c>
    </row>
    <row r="5" spans="1:8" ht="22.9">
      <c r="A5" s="223" t="str">
        <v>Achievement Drive</v>
      </c>
      <c r="B5" s="226" t="str">
        <v>Officer</v>
      </c>
      <c r="C5" s="197">
        <v>4</v>
      </c>
      <c r="D5" s="228" t="s">
        <v>5754</v>
      </c>
      <c r="E5" s="228" t="s">
        <v>5755</v>
      </c>
      <c r="F5" s="228" t="s">
        <v>5756</v>
      </c>
      <c r="G5" s="229" t="s">
        <v>5757</v>
      </c>
      <c r="H5" s="228" t="s">
        <v>5758</v>
      </c>
    </row>
    <row r="6" spans="1:8" ht="22.9">
      <c r="A6" s="223" t="str">
        <v>Achievement Drive</v>
      </c>
      <c r="B6" s="226" t="str">
        <v>Analyst</v>
      </c>
      <c r="C6" s="197">
        <v>1</v>
      </c>
      <c r="D6" s="228" t="s">
        <v>5759</v>
      </c>
      <c r="E6" s="228" t="s">
        <v>5760</v>
      </c>
      <c r="F6" s="228" t="s">
        <v>5761</v>
      </c>
      <c r="G6" s="229" t="s">
        <v>5762</v>
      </c>
      <c r="H6" s="228" t="s">
        <v>5763</v>
      </c>
    </row>
    <row r="7" spans="1:8" ht="22.9">
      <c r="A7" s="223" t="str">
        <v>Achievement Drive</v>
      </c>
      <c r="B7" s="226" t="str">
        <v>Analyst</v>
      </c>
      <c r="C7" s="79">
        <v>2</v>
      </c>
      <c r="D7" s="228" t="s">
        <v>5764</v>
      </c>
      <c r="E7" s="228" t="s">
        <v>5765</v>
      </c>
      <c r="F7" s="228" t="s">
        <v>5766</v>
      </c>
      <c r="G7" s="229" t="s">
        <v>5767</v>
      </c>
      <c r="H7" s="228" t="s">
        <v>5768</v>
      </c>
    </row>
    <row r="8" spans="1:8" ht="34.15">
      <c r="A8" s="223" t="str">
        <v>Achievement Drive</v>
      </c>
      <c r="B8" s="226" t="str">
        <v>Analyst</v>
      </c>
      <c r="C8" s="197">
        <v>3</v>
      </c>
      <c r="D8" s="228" t="s">
        <v>5769</v>
      </c>
      <c r="E8" s="228" t="s">
        <v>5770</v>
      </c>
      <c r="F8" s="228" t="s">
        <v>5771</v>
      </c>
      <c r="G8" s="229" t="s">
        <v>5772</v>
      </c>
      <c r="H8" s="228" t="s">
        <v>5773</v>
      </c>
    </row>
    <row r="9" spans="1:8" ht="22.9">
      <c r="A9" s="223" t="str">
        <v>Achievement Drive</v>
      </c>
      <c r="B9" s="226" t="str">
        <v>Analyst</v>
      </c>
      <c r="C9" s="197">
        <v>4</v>
      </c>
      <c r="D9" s="228" t="s">
        <v>5774</v>
      </c>
      <c r="E9" s="228" t="s">
        <v>5775</v>
      </c>
      <c r="F9" s="228" t="s">
        <v>5776</v>
      </c>
      <c r="G9" s="229" t="s">
        <v>5777</v>
      </c>
      <c r="H9" s="228" t="s">
        <v>5778</v>
      </c>
    </row>
    <row r="10" spans="1:8" ht="22.9">
      <c r="A10" s="223" t="str">
        <v>Achievement Drive</v>
      </c>
      <c r="B10" s="227" t="str">
        <v>Unit Head/Specialist</v>
      </c>
      <c r="C10" s="197">
        <v>1</v>
      </c>
      <c r="D10" s="228" t="s">
        <v>5779</v>
      </c>
      <c r="E10" s="228" t="s">
        <v>5780</v>
      </c>
      <c r="F10" s="228" t="s">
        <v>5781</v>
      </c>
      <c r="G10" s="229" t="s">
        <v>5782</v>
      </c>
      <c r="H10" s="228" t="s">
        <v>5783</v>
      </c>
    </row>
    <row r="11" spans="1:8" ht="22.9">
      <c r="A11" s="223" t="str">
        <v>Achievement Drive</v>
      </c>
      <c r="B11" s="227" t="str">
        <v>Unit Head/Specialist</v>
      </c>
      <c r="C11" s="79">
        <v>2</v>
      </c>
      <c r="D11" s="228" t="s">
        <v>5784</v>
      </c>
      <c r="E11" s="228" t="s">
        <v>5785</v>
      </c>
      <c r="F11" s="228" t="s">
        <v>5786</v>
      </c>
      <c r="G11" s="229" t="s">
        <v>5787</v>
      </c>
      <c r="H11" s="228" t="s">
        <v>5788</v>
      </c>
    </row>
    <row r="12" spans="1:8" ht="34.15">
      <c r="A12" s="223" t="str">
        <v>Achievement Drive</v>
      </c>
      <c r="B12" s="227" t="str">
        <v>Unit Head/Specialist</v>
      </c>
      <c r="C12" s="197">
        <v>3</v>
      </c>
      <c r="D12" s="228" t="s">
        <v>5789</v>
      </c>
      <c r="E12" s="228" t="s">
        <v>5790</v>
      </c>
      <c r="F12" s="228" t="s">
        <v>5791</v>
      </c>
      <c r="G12" s="229" t="s">
        <v>5792</v>
      </c>
      <c r="H12" s="228" t="s">
        <v>5793</v>
      </c>
    </row>
    <row r="13" spans="1:8" ht="22.9">
      <c r="A13" s="223" t="str">
        <v>Achievement Drive</v>
      </c>
      <c r="B13" s="227" t="str">
        <v>Unit Head/Specialist</v>
      </c>
      <c r="C13" s="197">
        <v>4</v>
      </c>
      <c r="D13" s="228" t="s">
        <v>5794</v>
      </c>
      <c r="E13" s="228" t="s">
        <v>5795</v>
      </c>
      <c r="F13" s="228" t="s">
        <v>5796</v>
      </c>
      <c r="G13" s="229" t="s">
        <v>5797</v>
      </c>
      <c r="H13" s="228" t="s">
        <v>5798</v>
      </c>
    </row>
    <row r="14" spans="1:8" ht="22.9">
      <c r="A14" s="223" t="str">
        <v>Achievement Drive</v>
      </c>
      <c r="B14" s="227" t="str">
        <v>Department Head</v>
      </c>
      <c r="C14" s="197">
        <v>1</v>
      </c>
      <c r="D14" s="228" t="s">
        <v>5799</v>
      </c>
      <c r="E14" s="228" t="s">
        <v>5800</v>
      </c>
      <c r="F14" s="228" t="s">
        <v>5801</v>
      </c>
      <c r="G14" s="229" t="s">
        <v>5802</v>
      </c>
      <c r="H14" s="228" t="s">
        <v>5803</v>
      </c>
    </row>
    <row r="15" spans="1:8" ht="34.15">
      <c r="A15" s="223" t="str">
        <v>Achievement Drive</v>
      </c>
      <c r="B15" s="227" t="str">
        <v>Department Head</v>
      </c>
      <c r="C15" s="79">
        <v>2</v>
      </c>
      <c r="D15" s="228" t="s">
        <v>5804</v>
      </c>
      <c r="E15" s="228" t="s">
        <v>5805</v>
      </c>
      <c r="F15" s="228" t="s">
        <v>5806</v>
      </c>
      <c r="G15" s="229" t="s">
        <v>5807</v>
      </c>
      <c r="H15" s="228" t="s">
        <v>5808</v>
      </c>
    </row>
    <row r="16" spans="1:8" ht="22.9">
      <c r="A16" s="223" t="str">
        <v>Achievement Drive</v>
      </c>
      <c r="B16" s="227" t="str">
        <v>Department Head</v>
      </c>
      <c r="C16" s="197">
        <v>3</v>
      </c>
      <c r="D16" s="228" t="s">
        <v>5809</v>
      </c>
      <c r="E16" s="228" t="s">
        <v>5810</v>
      </c>
      <c r="F16" s="228" t="s">
        <v>5811</v>
      </c>
      <c r="G16" s="229" t="s">
        <v>5812</v>
      </c>
      <c r="H16" s="228" t="s">
        <v>5813</v>
      </c>
    </row>
    <row r="17" spans="1:8" ht="22.9">
      <c r="A17" s="223" t="str">
        <v>Achievement Drive</v>
      </c>
      <c r="B17" s="227" t="str">
        <v>Department Head</v>
      </c>
      <c r="C17" s="197">
        <v>4</v>
      </c>
      <c r="D17" s="228" t="s">
        <v>5814</v>
      </c>
      <c r="E17" s="228" t="s">
        <v>5815</v>
      </c>
      <c r="F17" s="228" t="s">
        <v>5816</v>
      </c>
      <c r="G17" s="229" t="s">
        <v>5817</v>
      </c>
      <c r="H17" s="228" t="s">
        <v>5818</v>
      </c>
    </row>
    <row r="18" spans="1:8" ht="22.9">
      <c r="A18" s="223" t="str">
        <v>Achievement Drive</v>
      </c>
      <c r="B18" s="227" t="str">
        <v>Division Head</v>
      </c>
      <c r="C18" s="197">
        <v>1</v>
      </c>
      <c r="D18" s="228" t="s">
        <v>5819</v>
      </c>
      <c r="E18" s="228" t="s">
        <v>5820</v>
      </c>
      <c r="F18" s="228" t="s">
        <v>5821</v>
      </c>
      <c r="G18" s="229" t="s">
        <v>5822</v>
      </c>
      <c r="H18" s="228" t="s">
        <v>5823</v>
      </c>
    </row>
    <row r="19" spans="1:8" ht="34.15">
      <c r="A19" s="223" t="str">
        <v>Achievement Drive</v>
      </c>
      <c r="B19" s="227" t="str">
        <v>Division Head</v>
      </c>
      <c r="C19" s="79">
        <v>2</v>
      </c>
      <c r="D19" s="228" t="s">
        <v>5824</v>
      </c>
      <c r="E19" s="228" t="s">
        <v>5825</v>
      </c>
      <c r="F19" s="228" t="s">
        <v>5826</v>
      </c>
      <c r="G19" s="229" t="s">
        <v>5827</v>
      </c>
      <c r="H19" s="228" t="s">
        <v>5828</v>
      </c>
    </row>
    <row r="20" spans="1:8" ht="34.15">
      <c r="A20" s="223" t="str">
        <v>Achievement Drive</v>
      </c>
      <c r="B20" s="227" t="str">
        <v>Division Head</v>
      </c>
      <c r="C20" s="197">
        <v>3</v>
      </c>
      <c r="D20" s="228" t="s">
        <v>5829</v>
      </c>
      <c r="E20" s="228" t="s">
        <v>5830</v>
      </c>
      <c r="F20" s="228" t="s">
        <v>5831</v>
      </c>
      <c r="G20" s="229" t="s">
        <v>5832</v>
      </c>
      <c r="H20" s="228" t="s">
        <v>5833</v>
      </c>
    </row>
    <row r="21" spans="1:8" ht="22.9">
      <c r="A21" s="223" t="str">
        <v>Achievement Drive</v>
      </c>
      <c r="B21" s="227" t="str">
        <v>Division Head</v>
      </c>
      <c r="C21" s="197">
        <v>4</v>
      </c>
      <c r="D21" s="228" t="s">
        <v>5834</v>
      </c>
      <c r="E21" s="228" t="s">
        <v>5835</v>
      </c>
      <c r="F21" s="228" t="s">
        <v>5836</v>
      </c>
      <c r="G21" s="229" t="s">
        <v>5837</v>
      </c>
      <c r="H21" s="228" t="s">
        <v>5838</v>
      </c>
    </row>
    <row r="22" spans="1:8" ht="34.15">
      <c r="A22" s="223" t="str">
        <v>Achievement Drive</v>
      </c>
      <c r="B22" s="227" t="str">
        <v>Director</v>
      </c>
      <c r="C22" s="197">
        <v>1</v>
      </c>
      <c r="D22" s="228" t="s">
        <v>5839</v>
      </c>
      <c r="E22" s="228" t="s">
        <v>5840</v>
      </c>
      <c r="F22" s="228" t="s">
        <v>5841</v>
      </c>
      <c r="G22" s="229" t="s">
        <v>5842</v>
      </c>
      <c r="H22" s="228" t="s">
        <v>5843</v>
      </c>
    </row>
    <row r="23" spans="1:8" ht="34.15">
      <c r="A23" s="223" t="str">
        <v>Achievement Drive</v>
      </c>
      <c r="B23" s="227" t="str">
        <v>Director</v>
      </c>
      <c r="C23" s="79">
        <v>2</v>
      </c>
      <c r="D23" s="228" t="s">
        <v>5844</v>
      </c>
      <c r="E23" s="228" t="s">
        <v>5845</v>
      </c>
      <c r="F23" s="228" t="s">
        <v>5846</v>
      </c>
      <c r="G23" s="229" t="s">
        <v>5847</v>
      </c>
      <c r="H23" s="228" t="s">
        <v>5848</v>
      </c>
    </row>
    <row r="24" spans="1:8" ht="34.15">
      <c r="A24" s="223" t="str">
        <v>Achievement Drive</v>
      </c>
      <c r="B24" s="227" t="str">
        <v>Director</v>
      </c>
      <c r="C24" s="197">
        <v>3</v>
      </c>
      <c r="D24" s="228" t="s">
        <v>5849</v>
      </c>
      <c r="E24" s="228" t="s">
        <v>5850</v>
      </c>
      <c r="F24" s="228" t="s">
        <v>5851</v>
      </c>
      <c r="G24" s="229" t="s">
        <v>5852</v>
      </c>
      <c r="H24" s="228" t="s">
        <v>5853</v>
      </c>
    </row>
    <row r="25" spans="1:8" ht="22.9">
      <c r="A25" s="223" t="str">
        <v>Achievement Drive</v>
      </c>
      <c r="B25" s="227" t="str">
        <v>Director</v>
      </c>
      <c r="C25" s="197">
        <v>4</v>
      </c>
      <c r="D25" s="228" t="s">
        <v>5854</v>
      </c>
      <c r="E25" s="228" t="s">
        <v>5855</v>
      </c>
      <c r="F25" s="228" t="s">
        <v>5856</v>
      </c>
      <c r="G25" s="229" t="s">
        <v>5857</v>
      </c>
      <c r="H25" s="228" t="s">
        <v>5858</v>
      </c>
    </row>
    <row r="26" spans="1:8" ht="22.9">
      <c r="A26" s="223" t="str">
        <v>Developing Oneself</v>
      </c>
      <c r="B26" s="226" t="str">
        <v>Officer</v>
      </c>
      <c r="C26" s="197">
        <v>1</v>
      </c>
      <c r="D26" s="228" t="s">
        <v>5859</v>
      </c>
      <c r="E26" s="228" t="s">
        <v>5860</v>
      </c>
      <c r="F26" s="228" t="s">
        <v>5861</v>
      </c>
      <c r="G26" s="229" t="s">
        <v>5862</v>
      </c>
      <c r="H26" s="228" t="s">
        <v>5863</v>
      </c>
    </row>
    <row r="27" spans="1:8" ht="22.9">
      <c r="A27" s="223" t="str">
        <v>Developing Oneself</v>
      </c>
      <c r="B27" s="226" t="str">
        <v>Officer</v>
      </c>
      <c r="C27" s="79">
        <v>2</v>
      </c>
      <c r="D27" s="228" t="s">
        <v>5864</v>
      </c>
      <c r="E27" s="228" t="s">
        <v>5865</v>
      </c>
      <c r="F27" s="228" t="s">
        <v>5866</v>
      </c>
      <c r="G27" s="229" t="s">
        <v>5867</v>
      </c>
      <c r="H27" s="228" t="s">
        <v>5868</v>
      </c>
    </row>
    <row r="28" spans="1:8" ht="34.15">
      <c r="A28" s="223" t="str">
        <v>Developing Oneself</v>
      </c>
      <c r="B28" s="226" t="str">
        <v>Officer</v>
      </c>
      <c r="C28" s="197">
        <v>3</v>
      </c>
      <c r="D28" s="228" t="s">
        <v>5869</v>
      </c>
      <c r="E28" s="228" t="s">
        <v>5870</v>
      </c>
      <c r="F28" s="228" t="s">
        <v>5871</v>
      </c>
      <c r="G28" s="229" t="s">
        <v>5872</v>
      </c>
      <c r="H28" s="228" t="s">
        <v>5873</v>
      </c>
    </row>
    <row r="29" spans="1:8" ht="22.9">
      <c r="A29" s="223" t="str">
        <v>Developing Oneself</v>
      </c>
      <c r="B29" s="226" t="str">
        <v>Officer</v>
      </c>
      <c r="C29" s="197">
        <v>4</v>
      </c>
      <c r="D29" s="228" t="s">
        <v>5874</v>
      </c>
      <c r="E29" s="228" t="s">
        <v>5875</v>
      </c>
      <c r="F29" s="228" t="s">
        <v>5876</v>
      </c>
      <c r="G29" s="229" t="s">
        <v>5877</v>
      </c>
      <c r="H29" s="228" t="s">
        <v>5878</v>
      </c>
    </row>
    <row r="30" spans="1:8" ht="22.9">
      <c r="A30" s="223" t="str">
        <v>Developing Oneself</v>
      </c>
      <c r="B30" s="226" t="str">
        <v>Analyst</v>
      </c>
      <c r="C30" s="197">
        <v>1</v>
      </c>
      <c r="D30" s="228" t="s">
        <v>5879</v>
      </c>
      <c r="E30" s="228" t="s">
        <v>5880</v>
      </c>
      <c r="F30" s="228" t="s">
        <v>5881</v>
      </c>
      <c r="G30" s="229" t="s">
        <v>5882</v>
      </c>
      <c r="H30" s="228" t="s">
        <v>5883</v>
      </c>
    </row>
    <row r="31" spans="1:8" ht="22.9">
      <c r="A31" s="223" t="str">
        <v>Developing Oneself</v>
      </c>
      <c r="B31" s="226" t="str">
        <v>Analyst</v>
      </c>
      <c r="C31" s="79">
        <v>2</v>
      </c>
      <c r="D31" s="228" t="s">
        <v>5884</v>
      </c>
      <c r="E31" s="228" t="s">
        <v>5885</v>
      </c>
      <c r="F31" s="228" t="s">
        <v>5886</v>
      </c>
      <c r="G31" s="229" t="s">
        <v>5887</v>
      </c>
      <c r="H31" s="228" t="s">
        <v>5888</v>
      </c>
    </row>
    <row r="32" spans="1:8" ht="22.9">
      <c r="A32" s="223" t="str">
        <v>Developing Oneself</v>
      </c>
      <c r="B32" s="226" t="str">
        <v>Analyst</v>
      </c>
      <c r="C32" s="197">
        <v>3</v>
      </c>
      <c r="D32" s="228" t="s">
        <v>5889</v>
      </c>
      <c r="E32" s="228" t="s">
        <v>5890</v>
      </c>
      <c r="F32" s="228" t="s">
        <v>5891</v>
      </c>
      <c r="G32" s="229" t="s">
        <v>5892</v>
      </c>
      <c r="H32" s="228" t="s">
        <v>5893</v>
      </c>
    </row>
    <row r="33" spans="1:8" ht="22.9">
      <c r="A33" s="223" t="str">
        <v>Developing Oneself</v>
      </c>
      <c r="B33" s="226" t="str">
        <v>Analyst</v>
      </c>
      <c r="C33" s="197">
        <v>4</v>
      </c>
      <c r="D33" s="228" t="s">
        <v>5894</v>
      </c>
      <c r="E33" s="228" t="s">
        <v>5895</v>
      </c>
      <c r="F33" s="228" t="s">
        <v>5896</v>
      </c>
      <c r="G33" s="229" t="s">
        <v>5897</v>
      </c>
      <c r="H33" s="228" t="s">
        <v>5898</v>
      </c>
    </row>
    <row r="34" spans="1:8" ht="22.9">
      <c r="A34" s="223" t="str">
        <v>Developing Oneself</v>
      </c>
      <c r="B34" s="227" t="str">
        <v>Unit Head/Specialist</v>
      </c>
      <c r="C34" s="197">
        <v>1</v>
      </c>
      <c r="D34" s="228" t="s">
        <v>5899</v>
      </c>
      <c r="E34" s="228" t="s">
        <v>5900</v>
      </c>
      <c r="F34" s="228" t="s">
        <v>5901</v>
      </c>
      <c r="G34" s="229" t="s">
        <v>5902</v>
      </c>
      <c r="H34" s="228" t="s">
        <v>5903</v>
      </c>
    </row>
    <row r="35" spans="1:8" ht="34.15">
      <c r="A35" s="223" t="str">
        <v>Developing Oneself</v>
      </c>
      <c r="B35" s="227" t="str">
        <v>Unit Head/Specialist</v>
      </c>
      <c r="C35" s="79">
        <v>2</v>
      </c>
      <c r="D35" s="228" t="s">
        <v>5904</v>
      </c>
      <c r="E35" s="228" t="s">
        <v>5905</v>
      </c>
      <c r="F35" s="228" t="s">
        <v>5906</v>
      </c>
      <c r="G35" s="229" t="s">
        <v>5907</v>
      </c>
      <c r="H35" s="228" t="s">
        <v>5908</v>
      </c>
    </row>
    <row r="36" spans="1:8" ht="22.9">
      <c r="A36" s="223" t="str">
        <v>Developing Oneself</v>
      </c>
      <c r="B36" s="227" t="str">
        <v>Unit Head/Specialist</v>
      </c>
      <c r="C36" s="197">
        <v>3</v>
      </c>
      <c r="D36" s="228" t="s">
        <v>5909</v>
      </c>
      <c r="E36" s="228" t="s">
        <v>5910</v>
      </c>
      <c r="F36" s="228" t="s">
        <v>5911</v>
      </c>
      <c r="G36" s="229" t="s">
        <v>5912</v>
      </c>
      <c r="H36" s="228" t="s">
        <v>5913</v>
      </c>
    </row>
    <row r="37" spans="1:8" ht="22.9">
      <c r="A37" s="223" t="str">
        <v>Developing Oneself</v>
      </c>
      <c r="B37" s="227" t="str">
        <v>Unit Head/Specialist</v>
      </c>
      <c r="C37" s="197">
        <v>4</v>
      </c>
      <c r="D37" s="228" t="s">
        <v>5914</v>
      </c>
      <c r="E37" s="228" t="s">
        <v>5915</v>
      </c>
      <c r="F37" s="228" t="s">
        <v>5916</v>
      </c>
      <c r="G37" s="229" t="s">
        <v>5917</v>
      </c>
      <c r="H37" s="228" t="s">
        <v>5918</v>
      </c>
    </row>
    <row r="38" spans="1:8" ht="34.15">
      <c r="A38" s="223" t="str">
        <v>Developing Oneself</v>
      </c>
      <c r="B38" s="227" t="str">
        <v>Department Head</v>
      </c>
      <c r="C38" s="197">
        <v>1</v>
      </c>
      <c r="D38" s="228" t="s">
        <v>5919</v>
      </c>
      <c r="E38" s="228" t="s">
        <v>5920</v>
      </c>
      <c r="F38" s="228" t="s">
        <v>5921</v>
      </c>
      <c r="G38" s="229" t="s">
        <v>5922</v>
      </c>
      <c r="H38" s="228" t="s">
        <v>5923</v>
      </c>
    </row>
    <row r="39" spans="1:8" ht="22.9">
      <c r="A39" s="223" t="str">
        <v>Developing Oneself</v>
      </c>
      <c r="B39" s="227" t="str">
        <v>Department Head</v>
      </c>
      <c r="C39" s="79">
        <v>2</v>
      </c>
      <c r="D39" s="228" t="s">
        <v>5924</v>
      </c>
      <c r="E39" s="228" t="s">
        <v>5925</v>
      </c>
      <c r="F39" s="228" t="s">
        <v>5926</v>
      </c>
      <c r="G39" s="229" t="s">
        <v>5927</v>
      </c>
      <c r="H39" s="228" t="s">
        <v>5928</v>
      </c>
    </row>
    <row r="40" spans="1:8" ht="22.9">
      <c r="A40" s="223" t="str">
        <v>Developing Oneself</v>
      </c>
      <c r="B40" s="227" t="str">
        <v>Department Head</v>
      </c>
      <c r="C40" s="197">
        <v>3</v>
      </c>
      <c r="D40" s="228" t="s">
        <v>5929</v>
      </c>
      <c r="E40" s="228" t="s">
        <v>5930</v>
      </c>
      <c r="F40" s="228" t="s">
        <v>5931</v>
      </c>
      <c r="G40" s="229" t="s">
        <v>5932</v>
      </c>
      <c r="H40" s="228" t="s">
        <v>5933</v>
      </c>
    </row>
    <row r="41" spans="1:8" ht="34.15">
      <c r="A41" s="223" t="str">
        <v>Developing Oneself</v>
      </c>
      <c r="B41" s="227" t="str">
        <v>Department Head</v>
      </c>
      <c r="C41" s="197">
        <v>4</v>
      </c>
      <c r="D41" s="228" t="s">
        <v>5934</v>
      </c>
      <c r="E41" s="228" t="s">
        <v>5935</v>
      </c>
      <c r="F41" s="228" t="s">
        <v>5936</v>
      </c>
      <c r="G41" s="229" t="s">
        <v>5937</v>
      </c>
      <c r="H41" s="228" t="s">
        <v>5938</v>
      </c>
    </row>
    <row r="42" spans="1:8" ht="22.9">
      <c r="A42" s="223" t="str">
        <v>Developing Oneself</v>
      </c>
      <c r="B42" s="227" t="str">
        <v>Division Head</v>
      </c>
      <c r="C42" s="197">
        <v>1</v>
      </c>
      <c r="D42" s="228" t="s">
        <v>5939</v>
      </c>
      <c r="E42" s="228" t="s">
        <v>5940</v>
      </c>
      <c r="F42" s="228" t="s">
        <v>5941</v>
      </c>
      <c r="G42" s="229" t="s">
        <v>5942</v>
      </c>
      <c r="H42" s="228" t="s">
        <v>5943</v>
      </c>
    </row>
    <row r="43" spans="1:8" ht="22.9">
      <c r="A43" s="223" t="str">
        <v>Developing Oneself</v>
      </c>
      <c r="B43" s="227" t="str">
        <v>Division Head</v>
      </c>
      <c r="C43" s="79">
        <v>2</v>
      </c>
      <c r="D43" s="228" t="s">
        <v>5944</v>
      </c>
      <c r="E43" s="228" t="s">
        <v>5945</v>
      </c>
      <c r="F43" s="228" t="s">
        <v>5946</v>
      </c>
      <c r="G43" s="229" t="s">
        <v>5947</v>
      </c>
      <c r="H43" s="228" t="s">
        <v>5948</v>
      </c>
    </row>
    <row r="44" spans="1:8" ht="22.9">
      <c r="A44" s="223" t="str">
        <v>Developing Oneself</v>
      </c>
      <c r="B44" s="227" t="str">
        <v>Division Head</v>
      </c>
      <c r="C44" s="197">
        <v>3</v>
      </c>
      <c r="D44" s="228" t="s">
        <v>5949</v>
      </c>
      <c r="E44" s="228" t="s">
        <v>5950</v>
      </c>
      <c r="F44" s="228" t="s">
        <v>5951</v>
      </c>
      <c r="G44" s="229" t="s">
        <v>5952</v>
      </c>
      <c r="H44" s="228" t="s">
        <v>5953</v>
      </c>
    </row>
    <row r="45" spans="1:8" ht="22.9">
      <c r="A45" s="223" t="str">
        <v>Developing Oneself</v>
      </c>
      <c r="B45" s="227" t="str">
        <v>Division Head</v>
      </c>
      <c r="C45" s="197">
        <v>4</v>
      </c>
      <c r="D45" s="228" t="s">
        <v>5954</v>
      </c>
      <c r="E45" s="228" t="s">
        <v>5955</v>
      </c>
      <c r="F45" s="228" t="s">
        <v>5956</v>
      </c>
      <c r="G45" s="229" t="s">
        <v>5957</v>
      </c>
      <c r="H45" s="228" t="s">
        <v>5958</v>
      </c>
    </row>
    <row r="46" spans="1:8" ht="34.15">
      <c r="A46" s="223" t="str">
        <v>Developing Oneself</v>
      </c>
      <c r="B46" s="227" t="str">
        <v>Director</v>
      </c>
      <c r="C46" s="197">
        <v>1</v>
      </c>
      <c r="D46" s="228" t="s">
        <v>5959</v>
      </c>
      <c r="E46" s="228" t="s">
        <v>5960</v>
      </c>
      <c r="F46" s="228" t="s">
        <v>5961</v>
      </c>
      <c r="G46" s="229" t="s">
        <v>5962</v>
      </c>
      <c r="H46" s="228" t="s">
        <v>5963</v>
      </c>
    </row>
    <row r="47" spans="1:8" ht="22.9">
      <c r="A47" s="223" t="str">
        <v>Developing Oneself</v>
      </c>
      <c r="B47" s="227" t="str">
        <v>Director</v>
      </c>
      <c r="C47" s="79">
        <v>2</v>
      </c>
      <c r="D47" s="228" t="s">
        <v>5964</v>
      </c>
      <c r="E47" s="228" t="s">
        <v>5965</v>
      </c>
      <c r="F47" s="228" t="s">
        <v>5966</v>
      </c>
      <c r="G47" s="229" t="s">
        <v>5967</v>
      </c>
      <c r="H47" s="228" t="s">
        <v>5968</v>
      </c>
    </row>
    <row r="48" spans="1:8" ht="22.9">
      <c r="A48" s="223" t="str">
        <v>Developing Oneself</v>
      </c>
      <c r="B48" s="227" t="str">
        <v>Director</v>
      </c>
      <c r="C48" s="197">
        <v>3</v>
      </c>
      <c r="D48" s="228" t="s">
        <v>5969</v>
      </c>
      <c r="E48" s="228" t="s">
        <v>5970</v>
      </c>
      <c r="F48" s="228" t="s">
        <v>5971</v>
      </c>
      <c r="G48" s="229" t="s">
        <v>5972</v>
      </c>
      <c r="H48" s="228" t="s">
        <v>5973</v>
      </c>
    </row>
    <row r="49" spans="1:8" ht="34.15">
      <c r="A49" s="223" t="str">
        <v>Developing Oneself</v>
      </c>
      <c r="B49" s="227" t="str">
        <v>Director</v>
      </c>
      <c r="C49" s="197">
        <v>4</v>
      </c>
      <c r="D49" s="228" t="s">
        <v>5974</v>
      </c>
      <c r="E49" s="228" t="s">
        <v>5975</v>
      </c>
      <c r="F49" s="228" t="s">
        <v>5976</v>
      </c>
      <c r="G49" s="229" t="s">
        <v>5977</v>
      </c>
      <c r="H49" s="228" t="s">
        <v>5978</v>
      </c>
    </row>
    <row r="50" spans="1:8" ht="22.9">
      <c r="A50" s="223" t="str">
        <v>Planning &amp; Organizing</v>
      </c>
      <c r="B50" s="223" t="str">
        <v>Officer</v>
      </c>
      <c r="C50" s="197">
        <v>1</v>
      </c>
      <c r="D50" s="228" t="s">
        <v>5979</v>
      </c>
      <c r="E50" s="228" t="s">
        <v>5980</v>
      </c>
      <c r="F50" s="228" t="s">
        <v>5981</v>
      </c>
      <c r="G50" s="229" t="s">
        <v>5982</v>
      </c>
      <c r="H50" s="228" t="s">
        <v>5983</v>
      </c>
    </row>
    <row r="51" spans="1:8" ht="22.9">
      <c r="A51" s="223" t="str">
        <v>Planning &amp; Organizing</v>
      </c>
      <c r="B51" s="223" t="str">
        <v>Officer</v>
      </c>
      <c r="C51" s="197">
        <v>2</v>
      </c>
      <c r="D51" s="228" t="s">
        <v>5984</v>
      </c>
      <c r="E51" s="228" t="s">
        <v>5985</v>
      </c>
      <c r="F51" s="228" t="s">
        <v>5986</v>
      </c>
      <c r="G51" s="229" t="s">
        <v>5987</v>
      </c>
      <c r="H51" s="228" t="s">
        <v>5988</v>
      </c>
    </row>
    <row r="52" spans="1:8" ht="22.9">
      <c r="A52" s="223" t="str">
        <v>Planning &amp; Organizing</v>
      </c>
      <c r="B52" s="223" t="str">
        <v>Officer</v>
      </c>
      <c r="C52" s="197">
        <v>3</v>
      </c>
      <c r="D52" s="228" t="s">
        <v>5989</v>
      </c>
      <c r="E52" s="228" t="s">
        <v>5990</v>
      </c>
      <c r="F52" s="228" t="s">
        <v>5991</v>
      </c>
      <c r="G52" s="229" t="s">
        <v>5992</v>
      </c>
      <c r="H52" s="228" t="s">
        <v>5993</v>
      </c>
    </row>
    <row r="53" spans="1:8" ht="22.9">
      <c r="A53" s="223" t="str">
        <v>Planning &amp; Organizing</v>
      </c>
      <c r="B53" s="223" t="str">
        <v>Officer</v>
      </c>
      <c r="C53" s="197">
        <v>4</v>
      </c>
      <c r="D53" s="228" t="s">
        <v>5994</v>
      </c>
      <c r="E53" s="228" t="s">
        <v>5995</v>
      </c>
      <c r="F53" s="228" t="s">
        <v>5996</v>
      </c>
      <c r="G53" s="229" t="s">
        <v>5997</v>
      </c>
      <c r="H53" s="228" t="s">
        <v>5998</v>
      </c>
    </row>
    <row r="54" spans="1:8" ht="22.9">
      <c r="A54" s="223" t="str">
        <v>Planning &amp; Organizing</v>
      </c>
      <c r="B54" s="223" t="str">
        <v>Analyst</v>
      </c>
      <c r="C54" s="197">
        <v>1</v>
      </c>
      <c r="D54" s="228" t="s">
        <v>5999</v>
      </c>
      <c r="E54" s="228" t="s">
        <v>6000</v>
      </c>
      <c r="F54" s="228" t="s">
        <v>6001</v>
      </c>
      <c r="G54" s="229" t="s">
        <v>6002</v>
      </c>
      <c r="H54" s="228" t="s">
        <v>6003</v>
      </c>
    </row>
    <row r="55" spans="1:8" ht="34.15">
      <c r="A55" s="223" t="str">
        <v>Planning &amp; Organizing</v>
      </c>
      <c r="B55" s="223" t="str">
        <v>Analyst</v>
      </c>
      <c r="C55" s="197">
        <v>2</v>
      </c>
      <c r="D55" s="228" t="s">
        <v>6004</v>
      </c>
      <c r="E55" s="228" t="s">
        <v>6005</v>
      </c>
      <c r="F55" s="228" t="s">
        <v>6006</v>
      </c>
      <c r="G55" s="229" t="s">
        <v>6007</v>
      </c>
      <c r="H55" s="228" t="s">
        <v>6008</v>
      </c>
    </row>
    <row r="56" spans="1:8" ht="22.9">
      <c r="A56" s="223" t="str">
        <v>Planning &amp; Organizing</v>
      </c>
      <c r="B56" s="223" t="str">
        <v>Analyst</v>
      </c>
      <c r="C56" s="197">
        <v>3</v>
      </c>
      <c r="D56" s="228" t="s">
        <v>6009</v>
      </c>
      <c r="E56" s="228" t="s">
        <v>6010</v>
      </c>
      <c r="F56" s="228" t="s">
        <v>6011</v>
      </c>
      <c r="G56" s="229" t="s">
        <v>6012</v>
      </c>
      <c r="H56" s="228" t="s">
        <v>6013</v>
      </c>
    </row>
    <row r="57" spans="1:8" ht="34.15">
      <c r="A57" s="223" t="str">
        <v>Planning &amp; Organizing</v>
      </c>
      <c r="B57" s="223" t="str">
        <v>Analyst</v>
      </c>
      <c r="C57" s="197">
        <v>4</v>
      </c>
      <c r="D57" s="228" t="s">
        <v>6014</v>
      </c>
      <c r="E57" s="228" t="s">
        <v>6015</v>
      </c>
      <c r="F57" s="228" t="s">
        <v>6016</v>
      </c>
      <c r="G57" s="229" t="s">
        <v>6017</v>
      </c>
      <c r="H57" s="228" t="s">
        <v>6018</v>
      </c>
    </row>
    <row r="58" spans="1:8" ht="22.9">
      <c r="A58" s="223" t="str">
        <v>Planning &amp; Organizing</v>
      </c>
      <c r="B58" s="223" t="str">
        <v>Unit Head/Specialist</v>
      </c>
      <c r="C58" s="197">
        <v>1</v>
      </c>
      <c r="D58" s="228" t="s">
        <v>6019</v>
      </c>
      <c r="E58" s="228" t="s">
        <v>6020</v>
      </c>
      <c r="F58" s="228" t="s">
        <v>6021</v>
      </c>
      <c r="G58" s="229" t="s">
        <v>6022</v>
      </c>
      <c r="H58" s="228" t="s">
        <v>6023</v>
      </c>
    </row>
    <row r="59" spans="1:8" ht="22.9">
      <c r="A59" s="223" t="str">
        <v>Planning &amp; Organizing</v>
      </c>
      <c r="B59" s="223" t="str">
        <v>Unit Head/Specialist</v>
      </c>
      <c r="C59" s="197">
        <v>2</v>
      </c>
      <c r="D59" s="228" t="s">
        <v>6024</v>
      </c>
      <c r="E59" s="228" t="s">
        <v>6025</v>
      </c>
      <c r="F59" s="228" t="s">
        <v>6026</v>
      </c>
      <c r="G59" s="229" t="s">
        <v>6027</v>
      </c>
      <c r="H59" s="228" t="s">
        <v>6028</v>
      </c>
    </row>
    <row r="60" spans="1:8" ht="22.9">
      <c r="A60" s="223" t="str">
        <v>Planning &amp; Organizing</v>
      </c>
      <c r="B60" s="223" t="str">
        <v>Unit Head/Specialist</v>
      </c>
      <c r="C60" s="197">
        <v>3</v>
      </c>
      <c r="D60" s="228" t="s">
        <v>6029</v>
      </c>
      <c r="E60" s="228" t="s">
        <v>6030</v>
      </c>
      <c r="F60" s="228" t="s">
        <v>6031</v>
      </c>
      <c r="G60" s="229" t="s">
        <v>6032</v>
      </c>
      <c r="H60" s="228" t="s">
        <v>6033</v>
      </c>
    </row>
    <row r="61" spans="1:8" ht="22.9">
      <c r="A61" s="223" t="str">
        <v>Planning &amp; Organizing</v>
      </c>
      <c r="B61" s="223" t="str">
        <v>Unit Head/Specialist</v>
      </c>
      <c r="C61" s="197">
        <v>4</v>
      </c>
      <c r="D61" s="228" t="s">
        <v>6034</v>
      </c>
      <c r="E61" s="228" t="s">
        <v>6035</v>
      </c>
      <c r="F61" s="228" t="s">
        <v>6036</v>
      </c>
      <c r="G61" s="229" t="s">
        <v>6037</v>
      </c>
      <c r="H61" s="228" t="s">
        <v>6038</v>
      </c>
    </row>
    <row r="62" spans="1:8" ht="22.9">
      <c r="A62" s="223" t="str">
        <v>Planning &amp; Organizing</v>
      </c>
      <c r="B62" s="223" t="str">
        <v>Department Head</v>
      </c>
      <c r="C62" s="197">
        <v>1</v>
      </c>
      <c r="D62" s="228" t="s">
        <v>6039</v>
      </c>
      <c r="E62" s="228" t="s">
        <v>6040</v>
      </c>
      <c r="F62" s="228" t="s">
        <v>6041</v>
      </c>
      <c r="G62" s="229" t="s">
        <v>6042</v>
      </c>
      <c r="H62" s="228" t="s">
        <v>6043</v>
      </c>
    </row>
    <row r="63" spans="1:8" ht="22.9">
      <c r="A63" s="223" t="str">
        <v>Planning &amp; Organizing</v>
      </c>
      <c r="B63" s="223" t="str">
        <v>Department Head</v>
      </c>
      <c r="C63" s="197">
        <v>2</v>
      </c>
      <c r="D63" s="228" t="s">
        <v>6044</v>
      </c>
      <c r="E63" s="228" t="s">
        <v>6045</v>
      </c>
      <c r="F63" s="228" t="s">
        <v>6046</v>
      </c>
      <c r="G63" s="229" t="s">
        <v>6047</v>
      </c>
      <c r="H63" s="228" t="s">
        <v>6048</v>
      </c>
    </row>
    <row r="64" spans="1:8" ht="22.9">
      <c r="A64" s="223" t="str">
        <v>Planning &amp; Organizing</v>
      </c>
      <c r="B64" s="223" t="str">
        <v>Department Head</v>
      </c>
      <c r="C64" s="197">
        <v>3</v>
      </c>
      <c r="D64" s="228" t="s">
        <v>6049</v>
      </c>
      <c r="E64" s="228" t="s">
        <v>6050</v>
      </c>
      <c r="F64" s="228" t="s">
        <v>6051</v>
      </c>
      <c r="G64" s="229" t="s">
        <v>6052</v>
      </c>
      <c r="H64" s="228" t="s">
        <v>6053</v>
      </c>
    </row>
    <row r="65" spans="1:8" ht="22.9">
      <c r="A65" s="223" t="str">
        <v>Planning &amp; Organizing</v>
      </c>
      <c r="B65" s="223" t="str">
        <v>Department Head</v>
      </c>
      <c r="C65" s="197">
        <v>4</v>
      </c>
      <c r="D65" s="228" t="s">
        <v>6054</v>
      </c>
      <c r="E65" s="228" t="s">
        <v>6055</v>
      </c>
      <c r="F65" s="228" t="s">
        <v>6056</v>
      </c>
      <c r="G65" s="229" t="s">
        <v>6057</v>
      </c>
      <c r="H65" s="228" t="s">
        <v>6058</v>
      </c>
    </row>
    <row r="66" spans="1:8" ht="22.9">
      <c r="A66" s="223" t="str">
        <v>Planning &amp; Organizing</v>
      </c>
      <c r="B66" s="223" t="str">
        <v>Division Head</v>
      </c>
      <c r="C66" s="197">
        <v>1</v>
      </c>
      <c r="D66" s="228" t="s">
        <v>6059</v>
      </c>
      <c r="E66" s="228" t="s">
        <v>5820</v>
      </c>
      <c r="F66" s="228" t="s">
        <v>6060</v>
      </c>
      <c r="G66" s="229" t="s">
        <v>6061</v>
      </c>
      <c r="H66" s="228" t="s">
        <v>5823</v>
      </c>
    </row>
    <row r="67" spans="1:8" ht="22.9">
      <c r="A67" s="223" t="str">
        <v>Planning &amp; Organizing</v>
      </c>
      <c r="B67" s="223" t="str">
        <v>Division Head</v>
      </c>
      <c r="C67" s="197">
        <v>2</v>
      </c>
      <c r="D67" s="228" t="s">
        <v>5824</v>
      </c>
      <c r="E67" s="228" t="s">
        <v>6062</v>
      </c>
      <c r="F67" s="228" t="s">
        <v>6063</v>
      </c>
      <c r="G67" s="229" t="s">
        <v>6064</v>
      </c>
      <c r="H67" s="228" t="s">
        <v>5828</v>
      </c>
    </row>
    <row r="68" spans="1:8" ht="22.9">
      <c r="A68" s="223" t="str">
        <v>Planning &amp; Organizing</v>
      </c>
      <c r="B68" s="223" t="str">
        <v>Division Head</v>
      </c>
      <c r="C68" s="197">
        <v>3</v>
      </c>
      <c r="D68" s="228" t="s">
        <v>5829</v>
      </c>
      <c r="E68" s="228" t="s">
        <v>6065</v>
      </c>
      <c r="F68" s="228" t="s">
        <v>5831</v>
      </c>
      <c r="G68" s="229" t="s">
        <v>6066</v>
      </c>
      <c r="H68" s="228" t="s">
        <v>5833</v>
      </c>
    </row>
    <row r="69" spans="1:8" ht="22.9">
      <c r="A69" s="223" t="str">
        <v>Planning &amp; Organizing</v>
      </c>
      <c r="B69" s="223" t="str">
        <v>Division Head</v>
      </c>
      <c r="C69" s="197">
        <v>4</v>
      </c>
      <c r="D69" s="228" t="s">
        <v>6067</v>
      </c>
      <c r="E69" s="228" t="s">
        <v>6068</v>
      </c>
      <c r="F69" s="228" t="s">
        <v>6069</v>
      </c>
      <c r="G69" s="229" t="s">
        <v>6070</v>
      </c>
      <c r="H69" s="228" t="s">
        <v>6071</v>
      </c>
    </row>
    <row r="70" spans="1:8" ht="22.9">
      <c r="A70" s="223" t="str">
        <v>Planning &amp; Organizing</v>
      </c>
      <c r="B70" s="223" t="str">
        <v>Director</v>
      </c>
      <c r="C70" s="197">
        <v>1</v>
      </c>
      <c r="D70" s="228" t="s">
        <v>6072</v>
      </c>
      <c r="E70" s="228" t="s">
        <v>5840</v>
      </c>
      <c r="F70" s="228" t="s">
        <v>5841</v>
      </c>
      <c r="G70" s="229" t="s">
        <v>6073</v>
      </c>
      <c r="H70" s="228" t="s">
        <v>6074</v>
      </c>
    </row>
    <row r="71" spans="1:8" ht="22.9">
      <c r="A71" s="223" t="str">
        <v>Planning &amp; Organizing</v>
      </c>
      <c r="B71" s="223" t="str">
        <v>Director</v>
      </c>
      <c r="C71" s="197">
        <v>2</v>
      </c>
      <c r="D71" s="228" t="s">
        <v>6075</v>
      </c>
      <c r="E71" s="228" t="s">
        <v>5845</v>
      </c>
      <c r="F71" s="228" t="s">
        <v>6076</v>
      </c>
      <c r="G71" s="229" t="s">
        <v>6077</v>
      </c>
      <c r="H71" s="228" t="s">
        <v>5848</v>
      </c>
    </row>
    <row r="72" spans="1:8" ht="22.9">
      <c r="A72" s="223" t="str">
        <v>Planning &amp; Organizing</v>
      </c>
      <c r="B72" s="223" t="str">
        <v>Director</v>
      </c>
      <c r="C72" s="197">
        <v>3</v>
      </c>
      <c r="D72" s="228" t="s">
        <v>6078</v>
      </c>
      <c r="E72" s="228" t="s">
        <v>6079</v>
      </c>
      <c r="F72" s="228" t="s">
        <v>6080</v>
      </c>
      <c r="G72" s="229" t="s">
        <v>6081</v>
      </c>
      <c r="H72" s="228" t="s">
        <v>6082</v>
      </c>
    </row>
    <row r="73" spans="1:8" ht="34.15">
      <c r="A73" s="223" t="str">
        <v>Planning &amp; Organizing</v>
      </c>
      <c r="B73" s="223" t="str">
        <v>Director</v>
      </c>
      <c r="C73" s="197">
        <v>4</v>
      </c>
      <c r="D73" s="228" t="s">
        <v>6083</v>
      </c>
      <c r="E73" s="228" t="s">
        <v>6084</v>
      </c>
      <c r="F73" s="228" t="s">
        <v>6085</v>
      </c>
      <c r="G73" s="229" t="s">
        <v>6086</v>
      </c>
      <c r="H73" s="228" t="s">
        <v>6087</v>
      </c>
    </row>
    <row r="74" spans="1:8" ht="22.9">
      <c r="A74" s="223" t="str">
        <v>Problem Solving &amp; Decision Making</v>
      </c>
      <c r="B74" s="223" t="str">
        <v>Officer</v>
      </c>
      <c r="C74" s="197">
        <v>1</v>
      </c>
      <c r="D74" s="228" t="s">
        <v>6088</v>
      </c>
      <c r="E74" s="228" t="s">
        <v>6089</v>
      </c>
      <c r="F74" s="228" t="s">
        <v>6090</v>
      </c>
      <c r="G74" s="229" t="s">
        <v>6091</v>
      </c>
      <c r="H74" s="228" t="s">
        <v>6092</v>
      </c>
    </row>
    <row r="75" spans="1:8" ht="22.9">
      <c r="A75" s="223" t="str">
        <v>Problem Solving &amp; Decision Making</v>
      </c>
      <c r="B75" s="223" t="str">
        <v>Officer</v>
      </c>
      <c r="C75" s="197">
        <v>2</v>
      </c>
      <c r="D75" s="228" t="s">
        <v>6093</v>
      </c>
      <c r="E75" s="228" t="s">
        <v>6094</v>
      </c>
      <c r="F75" s="228" t="s">
        <v>6095</v>
      </c>
      <c r="G75" s="229" t="s">
        <v>6096</v>
      </c>
      <c r="H75" s="228" t="s">
        <v>6097</v>
      </c>
    </row>
    <row r="76" spans="1:8" ht="22.9">
      <c r="A76" s="223" t="str">
        <v>Problem Solving &amp; Decision Making</v>
      </c>
      <c r="B76" s="223" t="str">
        <v>Officer</v>
      </c>
      <c r="C76" s="197">
        <v>3</v>
      </c>
      <c r="D76" s="228" t="s">
        <v>6098</v>
      </c>
      <c r="E76" s="228" t="s">
        <v>6099</v>
      </c>
      <c r="F76" s="228" t="s">
        <v>6100</v>
      </c>
      <c r="G76" s="229" t="s">
        <v>6101</v>
      </c>
      <c r="H76" s="228" t="s">
        <v>6102</v>
      </c>
    </row>
    <row r="77" spans="1:8" ht="34.15">
      <c r="A77" s="223" t="str">
        <v>Problem Solving &amp; Decision Making</v>
      </c>
      <c r="B77" s="223" t="str">
        <v>Officer</v>
      </c>
      <c r="C77" s="197">
        <v>4</v>
      </c>
      <c r="D77" s="228" t="s">
        <v>6103</v>
      </c>
      <c r="E77" s="228" t="s">
        <v>6104</v>
      </c>
      <c r="F77" s="228" t="s">
        <v>6105</v>
      </c>
      <c r="G77" s="229" t="s">
        <v>6106</v>
      </c>
      <c r="H77" s="228" t="s">
        <v>6107</v>
      </c>
    </row>
    <row r="78" spans="1:8" ht="22.9">
      <c r="A78" s="223" t="str">
        <v>Problem Solving &amp; Decision Making</v>
      </c>
      <c r="B78" s="223" t="str">
        <v>Analyst</v>
      </c>
      <c r="C78" s="197">
        <v>1</v>
      </c>
      <c r="D78" s="228" t="s">
        <v>6108</v>
      </c>
      <c r="E78" s="228" t="s">
        <v>6109</v>
      </c>
      <c r="F78" s="228" t="s">
        <v>6110</v>
      </c>
      <c r="G78" s="229" t="s">
        <v>6111</v>
      </c>
      <c r="H78" s="228" t="s">
        <v>6112</v>
      </c>
    </row>
    <row r="79" spans="1:8" ht="34.15">
      <c r="A79" s="223" t="str">
        <v>Problem Solving &amp; Decision Making</v>
      </c>
      <c r="B79" s="223" t="str">
        <v>Analyst</v>
      </c>
      <c r="C79" s="197">
        <v>2</v>
      </c>
      <c r="D79" s="228" t="s">
        <v>6113</v>
      </c>
      <c r="E79" s="228" t="s">
        <v>6114</v>
      </c>
      <c r="F79" s="228" t="s">
        <v>6115</v>
      </c>
      <c r="G79" s="229" t="s">
        <v>6116</v>
      </c>
      <c r="H79" s="228" t="s">
        <v>6117</v>
      </c>
    </row>
    <row r="80" spans="1:8" ht="45.6">
      <c r="A80" s="223" t="str">
        <v>Problem Solving &amp; Decision Making</v>
      </c>
      <c r="B80" s="223" t="str">
        <v>Analyst</v>
      </c>
      <c r="C80" s="197">
        <v>3</v>
      </c>
      <c r="D80" s="228" t="s">
        <v>6118</v>
      </c>
      <c r="E80" s="228" t="s">
        <v>6119</v>
      </c>
      <c r="F80" s="228" t="s">
        <v>6120</v>
      </c>
      <c r="G80" s="229" t="s">
        <v>6121</v>
      </c>
      <c r="H80" s="228" t="s">
        <v>6122</v>
      </c>
    </row>
    <row r="81" spans="1:8" ht="34.15">
      <c r="A81" s="223" t="str">
        <v>Problem Solving &amp; Decision Making</v>
      </c>
      <c r="B81" s="223" t="str">
        <v>Analyst</v>
      </c>
      <c r="C81" s="197">
        <v>4</v>
      </c>
      <c r="D81" s="228" t="s">
        <v>6123</v>
      </c>
      <c r="E81" s="228" t="s">
        <v>6124</v>
      </c>
      <c r="F81" s="228" t="s">
        <v>6125</v>
      </c>
      <c r="G81" s="229" t="s">
        <v>6126</v>
      </c>
      <c r="H81" s="228" t="s">
        <v>6127</v>
      </c>
    </row>
    <row r="82" spans="1:8" ht="22.9">
      <c r="A82" s="223" t="str">
        <v>Problem Solving &amp; Decision Making</v>
      </c>
      <c r="B82" s="223" t="str">
        <v>Unit Head/Specialist</v>
      </c>
      <c r="C82" s="197">
        <v>1</v>
      </c>
      <c r="D82" s="228" t="s">
        <v>6019</v>
      </c>
      <c r="E82" s="228" t="s">
        <v>6128</v>
      </c>
      <c r="F82" s="228" t="s">
        <v>6129</v>
      </c>
      <c r="G82" s="229" t="s">
        <v>6130</v>
      </c>
      <c r="H82" s="228" t="s">
        <v>6023</v>
      </c>
    </row>
    <row r="83" spans="1:8" ht="22.9">
      <c r="A83" s="223" t="str">
        <v>Problem Solving &amp; Decision Making</v>
      </c>
      <c r="B83" s="223" t="str">
        <v>Unit Head/Specialist</v>
      </c>
      <c r="C83" s="197">
        <v>2</v>
      </c>
      <c r="D83" s="228" t="s">
        <v>6131</v>
      </c>
      <c r="E83" s="228" t="s">
        <v>6025</v>
      </c>
      <c r="F83" s="228" t="s">
        <v>6132</v>
      </c>
      <c r="G83" s="229" t="s">
        <v>6133</v>
      </c>
      <c r="H83" s="228" t="s">
        <v>6028</v>
      </c>
    </row>
    <row r="84" spans="1:8" ht="34.15">
      <c r="A84" s="223" t="str">
        <v>Problem Solving &amp; Decision Making</v>
      </c>
      <c r="B84" s="223" t="str">
        <v>Unit Head/Specialist</v>
      </c>
      <c r="C84" s="197">
        <v>3</v>
      </c>
      <c r="D84" s="228" t="s">
        <v>6134</v>
      </c>
      <c r="E84" s="228" t="s">
        <v>6135</v>
      </c>
      <c r="F84" s="228" t="s">
        <v>6136</v>
      </c>
      <c r="G84" s="229" t="s">
        <v>6137</v>
      </c>
      <c r="H84" s="228" t="s">
        <v>6138</v>
      </c>
    </row>
    <row r="85" spans="1:8" ht="34.15">
      <c r="A85" s="223" t="str">
        <v>Problem Solving &amp; Decision Making</v>
      </c>
      <c r="B85" s="223" t="str">
        <v>Unit Head/Specialist</v>
      </c>
      <c r="C85" s="197">
        <v>4</v>
      </c>
      <c r="D85" s="228" t="s">
        <v>6034</v>
      </c>
      <c r="E85" s="228" t="s">
        <v>6139</v>
      </c>
      <c r="F85" s="228" t="s">
        <v>6140</v>
      </c>
      <c r="G85" s="229" t="s">
        <v>6141</v>
      </c>
      <c r="H85" s="228" t="s">
        <v>6038</v>
      </c>
    </row>
    <row r="86" spans="1:8" ht="22.9">
      <c r="A86" s="223" t="str">
        <v>Problem Solving &amp; Decision Making</v>
      </c>
      <c r="B86" s="223" t="str">
        <v>Department Head</v>
      </c>
      <c r="C86" s="197">
        <v>1</v>
      </c>
      <c r="D86" s="228" t="s">
        <v>6142</v>
      </c>
      <c r="E86" s="228" t="s">
        <v>6143</v>
      </c>
      <c r="F86" s="228" t="s">
        <v>6144</v>
      </c>
      <c r="G86" s="229" t="s">
        <v>6145</v>
      </c>
      <c r="H86" s="228" t="s">
        <v>6146</v>
      </c>
    </row>
    <row r="87" spans="1:8" ht="34.15">
      <c r="A87" s="223" t="str">
        <v>Problem Solving &amp; Decision Making</v>
      </c>
      <c r="B87" s="223" t="str">
        <v>Department Head</v>
      </c>
      <c r="C87" s="197">
        <v>2</v>
      </c>
      <c r="D87" s="228" t="s">
        <v>6147</v>
      </c>
      <c r="E87" s="228" t="s">
        <v>6148</v>
      </c>
      <c r="F87" s="228" t="s">
        <v>6149</v>
      </c>
      <c r="G87" s="229" t="s">
        <v>6150</v>
      </c>
      <c r="H87" s="228" t="s">
        <v>6151</v>
      </c>
    </row>
    <row r="88" spans="1:8" ht="22.9">
      <c r="A88" s="223" t="str">
        <v>Problem Solving &amp; Decision Making</v>
      </c>
      <c r="B88" s="223" t="str">
        <v>Department Head</v>
      </c>
      <c r="C88" s="197">
        <v>3</v>
      </c>
      <c r="D88" s="228" t="s">
        <v>6152</v>
      </c>
      <c r="E88" s="228" t="s">
        <v>6153</v>
      </c>
      <c r="F88" s="228" t="s">
        <v>6154</v>
      </c>
      <c r="G88" s="229" t="s">
        <v>6155</v>
      </c>
      <c r="H88" s="228" t="s">
        <v>6156</v>
      </c>
    </row>
    <row r="89" spans="1:8" ht="34.15">
      <c r="A89" s="223" t="str">
        <v>Problem Solving &amp; Decision Making</v>
      </c>
      <c r="B89" s="223" t="str">
        <v>Department Head</v>
      </c>
      <c r="C89" s="197">
        <v>4</v>
      </c>
      <c r="D89" s="228" t="s">
        <v>6157</v>
      </c>
      <c r="E89" s="228" t="s">
        <v>6158</v>
      </c>
      <c r="F89" s="228" t="s">
        <v>6159</v>
      </c>
      <c r="G89" s="229" t="s">
        <v>6160</v>
      </c>
      <c r="H89" s="228" t="s">
        <v>6161</v>
      </c>
    </row>
    <row r="90" spans="1:8" ht="22.9">
      <c r="A90" s="223" t="str">
        <v>Problem Solving &amp; Decision Making</v>
      </c>
      <c r="B90" s="223" t="str">
        <v>Division Head</v>
      </c>
      <c r="C90" s="197">
        <v>1</v>
      </c>
      <c r="D90" s="228" t="s">
        <v>6162</v>
      </c>
      <c r="E90" s="228" t="s">
        <v>6163</v>
      </c>
      <c r="F90" s="228" t="s">
        <v>6164</v>
      </c>
      <c r="G90" s="229" t="s">
        <v>6165</v>
      </c>
      <c r="H90" s="228" t="s">
        <v>6166</v>
      </c>
    </row>
    <row r="91" spans="1:8" ht="22.9">
      <c r="A91" s="223" t="str">
        <v>Problem Solving &amp; Decision Making</v>
      </c>
      <c r="B91" s="223" t="str">
        <v>Division Head</v>
      </c>
      <c r="C91" s="197">
        <v>2</v>
      </c>
      <c r="D91" s="228" t="s">
        <v>6167</v>
      </c>
      <c r="E91" s="228" t="s">
        <v>6168</v>
      </c>
      <c r="F91" s="228" t="s">
        <v>6169</v>
      </c>
      <c r="G91" s="229" t="s">
        <v>6170</v>
      </c>
      <c r="H91" s="228" t="s">
        <v>6171</v>
      </c>
    </row>
    <row r="92" spans="1:8" ht="22.9">
      <c r="A92" s="223" t="str">
        <v>Problem Solving &amp; Decision Making</v>
      </c>
      <c r="B92" s="223" t="str">
        <v>Division Head</v>
      </c>
      <c r="C92" s="197">
        <v>3</v>
      </c>
      <c r="D92" s="228" t="s">
        <v>6172</v>
      </c>
      <c r="E92" s="228" t="s">
        <v>6173</v>
      </c>
      <c r="F92" s="228" t="s">
        <v>6174</v>
      </c>
      <c r="G92" s="229" t="s">
        <v>6175</v>
      </c>
      <c r="H92" s="228" t="s">
        <v>6176</v>
      </c>
    </row>
    <row r="93" spans="1:8" ht="34.15">
      <c r="A93" s="223" t="str">
        <v>Problem Solving &amp; Decision Making</v>
      </c>
      <c r="B93" s="223" t="str">
        <v>Division Head</v>
      </c>
      <c r="C93" s="197">
        <v>4</v>
      </c>
      <c r="D93" s="228" t="s">
        <v>6177</v>
      </c>
      <c r="E93" s="228" t="s">
        <v>6178</v>
      </c>
      <c r="F93" s="228" t="s">
        <v>6179</v>
      </c>
      <c r="G93" s="229" t="s">
        <v>6180</v>
      </c>
      <c r="H93" s="228" t="s">
        <v>6181</v>
      </c>
    </row>
    <row r="94" spans="1:8" ht="22.9">
      <c r="A94" s="223" t="str">
        <v>Problem Solving &amp; Decision Making</v>
      </c>
      <c r="B94" s="223" t="str">
        <v>Director</v>
      </c>
      <c r="C94" s="197">
        <v>1</v>
      </c>
      <c r="D94" s="228" t="s">
        <v>6182</v>
      </c>
      <c r="E94" s="228" t="s">
        <v>6183</v>
      </c>
      <c r="F94" s="228" t="s">
        <v>6184</v>
      </c>
      <c r="G94" s="229" t="s">
        <v>6185</v>
      </c>
      <c r="H94" s="228" t="s">
        <v>6186</v>
      </c>
    </row>
    <row r="95" spans="1:8" ht="22.9">
      <c r="A95" s="223" t="str">
        <v>Problem Solving &amp; Decision Making</v>
      </c>
      <c r="B95" s="223" t="str">
        <v>Director</v>
      </c>
      <c r="C95" s="197">
        <v>2</v>
      </c>
      <c r="D95" s="228" t="s">
        <v>6187</v>
      </c>
      <c r="E95" s="228" t="s">
        <v>6188</v>
      </c>
      <c r="F95" s="228" t="s">
        <v>6189</v>
      </c>
      <c r="G95" s="229" t="s">
        <v>6190</v>
      </c>
      <c r="H95" s="228" t="s">
        <v>6191</v>
      </c>
    </row>
    <row r="96" spans="1:8" ht="22.9">
      <c r="A96" s="223" t="str">
        <v>Problem Solving &amp; Decision Making</v>
      </c>
      <c r="B96" s="223" t="str">
        <v>Director</v>
      </c>
      <c r="C96" s="197">
        <v>3</v>
      </c>
      <c r="D96" s="228" t="s">
        <v>6192</v>
      </c>
      <c r="E96" s="228" t="s">
        <v>6193</v>
      </c>
      <c r="F96" s="228" t="s">
        <v>6194</v>
      </c>
      <c r="G96" s="229" t="s">
        <v>6195</v>
      </c>
      <c r="H96" s="228" t="s">
        <v>6196</v>
      </c>
    </row>
    <row r="97" spans="1:8" ht="34.15">
      <c r="A97" s="223" t="str">
        <v>Problem Solving &amp; Decision Making</v>
      </c>
      <c r="B97" s="223" t="str">
        <v>Director</v>
      </c>
      <c r="C97" s="197">
        <v>4</v>
      </c>
      <c r="D97" s="228" t="s">
        <v>6197</v>
      </c>
      <c r="E97" s="228" t="s">
        <v>6198</v>
      </c>
      <c r="F97" s="228" t="s">
        <v>6199</v>
      </c>
      <c r="G97" s="229" t="s">
        <v>6200</v>
      </c>
      <c r="H97" s="228" t="s">
        <v>6201</v>
      </c>
    </row>
    <row r="98" spans="1:8" ht="34.15">
      <c r="A98" s="223" t="str">
        <v>Controlling &amp; Corrective Action</v>
      </c>
      <c r="B98" s="223" t="str">
        <v>Officer</v>
      </c>
      <c r="C98" s="197">
        <v>1</v>
      </c>
      <c r="D98" s="228" t="s">
        <v>6202</v>
      </c>
      <c r="E98" s="228" t="s">
        <v>6203</v>
      </c>
      <c r="F98" s="228" t="s">
        <v>5981</v>
      </c>
      <c r="G98" s="229" t="s">
        <v>6204</v>
      </c>
      <c r="H98" s="228" t="s">
        <v>6205</v>
      </c>
    </row>
    <row r="99" spans="1:8" ht="22.9">
      <c r="A99" s="223" t="str">
        <v>Controlling &amp; Corrective Action</v>
      </c>
      <c r="B99" s="223" t="str">
        <v>Officer</v>
      </c>
      <c r="C99" s="197">
        <v>2</v>
      </c>
      <c r="D99" s="228" t="s">
        <v>6206</v>
      </c>
      <c r="E99" s="228" t="s">
        <v>6207</v>
      </c>
      <c r="F99" s="228" t="s">
        <v>5986</v>
      </c>
      <c r="G99" s="229" t="s">
        <v>6208</v>
      </c>
      <c r="H99" s="228" t="s">
        <v>5988</v>
      </c>
    </row>
    <row r="100" spans="1:8" ht="22.9">
      <c r="A100" s="223" t="str">
        <v>Controlling &amp; Corrective Action</v>
      </c>
      <c r="B100" s="223" t="str">
        <v>Officer</v>
      </c>
      <c r="C100" s="197">
        <v>3</v>
      </c>
      <c r="D100" s="228" t="s">
        <v>5989</v>
      </c>
      <c r="E100" s="228" t="s">
        <v>5990</v>
      </c>
      <c r="F100" s="228" t="s">
        <v>5991</v>
      </c>
      <c r="G100" s="229" t="s">
        <v>6209</v>
      </c>
      <c r="H100" s="228" t="s">
        <v>6210</v>
      </c>
    </row>
    <row r="101" spans="1:8" ht="34.15">
      <c r="A101" s="223" t="str">
        <v>Controlling &amp; Corrective Action</v>
      </c>
      <c r="B101" s="223" t="str">
        <v>Officer</v>
      </c>
      <c r="C101" s="197">
        <v>4</v>
      </c>
      <c r="D101" s="228" t="s">
        <v>5994</v>
      </c>
      <c r="E101" s="228" t="s">
        <v>5995</v>
      </c>
      <c r="F101" s="228" t="s">
        <v>5996</v>
      </c>
      <c r="G101" s="229" t="s">
        <v>6211</v>
      </c>
      <c r="H101" s="228" t="s">
        <v>5998</v>
      </c>
    </row>
    <row r="102" spans="1:8" ht="22.9">
      <c r="A102" s="223" t="str">
        <v>Controlling &amp; Corrective Action</v>
      </c>
      <c r="B102" s="223" t="str">
        <v>Analyst</v>
      </c>
      <c r="C102" s="197">
        <v>1</v>
      </c>
      <c r="D102" s="228" t="s">
        <v>6212</v>
      </c>
      <c r="E102" s="228" t="s">
        <v>6213</v>
      </c>
      <c r="F102" s="228" t="s">
        <v>6214</v>
      </c>
      <c r="G102" s="229" t="s">
        <v>6215</v>
      </c>
      <c r="H102" s="228" t="s">
        <v>6216</v>
      </c>
    </row>
    <row r="103" spans="1:8" ht="22.9">
      <c r="A103" s="223" t="str">
        <v>Controlling &amp; Corrective Action</v>
      </c>
      <c r="B103" s="223" t="str">
        <v>Analyst</v>
      </c>
      <c r="C103" s="197">
        <v>2</v>
      </c>
      <c r="D103" s="228" t="s">
        <v>6217</v>
      </c>
      <c r="E103" s="228" t="s">
        <v>6218</v>
      </c>
      <c r="F103" s="228" t="s">
        <v>6219</v>
      </c>
      <c r="G103" s="229" t="s">
        <v>6220</v>
      </c>
      <c r="H103" s="228" t="s">
        <v>6221</v>
      </c>
    </row>
    <row r="104" spans="1:8" ht="34.15">
      <c r="A104" s="223" t="str">
        <v>Controlling &amp; Corrective Action</v>
      </c>
      <c r="B104" s="223" t="str">
        <v>Analyst</v>
      </c>
      <c r="C104" s="197">
        <v>3</v>
      </c>
      <c r="D104" s="228" t="s">
        <v>6222</v>
      </c>
      <c r="E104" s="228" t="s">
        <v>6223</v>
      </c>
      <c r="F104" s="228" t="s">
        <v>6224</v>
      </c>
      <c r="G104" s="229" t="s">
        <v>6225</v>
      </c>
      <c r="H104" s="228" t="s">
        <v>6226</v>
      </c>
    </row>
    <row r="105" spans="1:8" ht="22.9">
      <c r="A105" s="223" t="str">
        <v>Controlling &amp; Corrective Action</v>
      </c>
      <c r="B105" s="223" t="str">
        <v>Analyst</v>
      </c>
      <c r="C105" s="197">
        <v>4</v>
      </c>
      <c r="D105" s="228" t="s">
        <v>6227</v>
      </c>
      <c r="E105" s="228" t="s">
        <v>6228</v>
      </c>
      <c r="F105" s="228" t="s">
        <v>6229</v>
      </c>
      <c r="G105" s="229" t="s">
        <v>6230</v>
      </c>
      <c r="H105" s="228" t="s">
        <v>6231</v>
      </c>
    </row>
    <row r="106" spans="1:8" ht="22.9">
      <c r="A106" s="223" t="str">
        <v>Controlling &amp; Corrective Action</v>
      </c>
      <c r="B106" s="223" t="str">
        <v>Unit Head/Specialist</v>
      </c>
      <c r="C106" s="197">
        <v>1</v>
      </c>
      <c r="D106" s="228" t="s">
        <v>6232</v>
      </c>
      <c r="E106" s="228" t="s">
        <v>6233</v>
      </c>
      <c r="F106" s="228" t="s">
        <v>6234</v>
      </c>
      <c r="G106" s="229" t="s">
        <v>6235</v>
      </c>
      <c r="H106" s="228" t="s">
        <v>6236</v>
      </c>
    </row>
    <row r="107" spans="1:8" ht="34.15">
      <c r="A107" s="223" t="str">
        <v>Controlling &amp; Corrective Action</v>
      </c>
      <c r="B107" s="223" t="str">
        <v>Unit Head/Specialist</v>
      </c>
      <c r="C107" s="197">
        <v>2</v>
      </c>
      <c r="D107" s="228" t="s">
        <v>6237</v>
      </c>
      <c r="E107" s="228" t="s">
        <v>6238</v>
      </c>
      <c r="F107" s="228" t="s">
        <v>6239</v>
      </c>
      <c r="G107" s="229" t="s">
        <v>6240</v>
      </c>
      <c r="H107" s="228" t="s">
        <v>6241</v>
      </c>
    </row>
    <row r="108" spans="1:8" ht="45.6">
      <c r="A108" s="223" t="str">
        <v>Controlling &amp; Corrective Action</v>
      </c>
      <c r="B108" s="223" t="str">
        <v>Unit Head/Specialist</v>
      </c>
      <c r="C108" s="197">
        <v>3</v>
      </c>
      <c r="D108" s="228" t="s">
        <v>6242</v>
      </c>
      <c r="E108" s="228" t="s">
        <v>6243</v>
      </c>
      <c r="F108" s="228" t="s">
        <v>6244</v>
      </c>
      <c r="G108" s="229" t="s">
        <v>6245</v>
      </c>
      <c r="H108" s="228" t="s">
        <v>6246</v>
      </c>
    </row>
    <row r="109" spans="1:8" ht="34.15">
      <c r="A109" s="223" t="str">
        <v>Controlling &amp; Corrective Action</v>
      </c>
      <c r="B109" s="223" t="str">
        <v>Unit Head/Specialist</v>
      </c>
      <c r="C109" s="197">
        <v>4</v>
      </c>
      <c r="D109" s="228" t="s">
        <v>6247</v>
      </c>
      <c r="E109" s="228" t="s">
        <v>6248</v>
      </c>
      <c r="F109" s="228" t="s">
        <v>5796</v>
      </c>
      <c r="G109" s="229" t="s">
        <v>6249</v>
      </c>
      <c r="H109" s="228" t="s">
        <v>6250</v>
      </c>
    </row>
    <row r="110" spans="1:8" ht="34.15">
      <c r="A110" s="223" t="str">
        <v>Controlling &amp; Corrective Action</v>
      </c>
      <c r="B110" s="223" t="str">
        <v>Department Head</v>
      </c>
      <c r="C110" s="197">
        <v>1</v>
      </c>
      <c r="D110" s="228" t="s">
        <v>6251</v>
      </c>
      <c r="E110" s="228" t="s">
        <v>6252</v>
      </c>
      <c r="F110" s="228" t="s">
        <v>6253</v>
      </c>
      <c r="G110" s="229" t="s">
        <v>6254</v>
      </c>
      <c r="H110" s="228" t="s">
        <v>6255</v>
      </c>
    </row>
    <row r="111" spans="1:8" ht="34.15">
      <c r="A111" s="223" t="str">
        <v>Controlling &amp; Corrective Action</v>
      </c>
      <c r="B111" s="223" t="str">
        <v>Department Head</v>
      </c>
      <c r="C111" s="197">
        <v>2</v>
      </c>
      <c r="D111" s="228" t="s">
        <v>6256</v>
      </c>
      <c r="E111" s="228" t="s">
        <v>6257</v>
      </c>
      <c r="F111" s="228" t="s">
        <v>6258</v>
      </c>
      <c r="G111" s="229" t="s">
        <v>6259</v>
      </c>
      <c r="H111" s="228" t="s">
        <v>6260</v>
      </c>
    </row>
    <row r="112" spans="1:8" ht="22.9">
      <c r="A112" s="223" t="str">
        <v>Controlling &amp; Corrective Action</v>
      </c>
      <c r="B112" s="223" t="str">
        <v>Department Head</v>
      </c>
      <c r="C112" s="197">
        <v>3</v>
      </c>
      <c r="D112" s="228" t="s">
        <v>6261</v>
      </c>
      <c r="E112" s="228" t="s">
        <v>6262</v>
      </c>
      <c r="F112" s="228" t="s">
        <v>6263</v>
      </c>
      <c r="G112" s="229" t="s">
        <v>6264</v>
      </c>
      <c r="H112" s="228" t="s">
        <v>6265</v>
      </c>
    </row>
    <row r="113" spans="1:8" ht="34.15">
      <c r="A113" s="223" t="str">
        <v>Controlling &amp; Corrective Action</v>
      </c>
      <c r="B113" s="223" t="str">
        <v>Department Head</v>
      </c>
      <c r="C113" s="197">
        <v>4</v>
      </c>
      <c r="D113" s="228" t="s">
        <v>6266</v>
      </c>
      <c r="E113" s="228" t="s">
        <v>6267</v>
      </c>
      <c r="F113" s="228" t="s">
        <v>6268</v>
      </c>
      <c r="G113" s="229" t="s">
        <v>6269</v>
      </c>
      <c r="H113" s="228" t="s">
        <v>6270</v>
      </c>
    </row>
    <row r="114" spans="1:8" ht="34.15">
      <c r="A114" s="223" t="str">
        <v>Controlling &amp; Corrective Action</v>
      </c>
      <c r="B114" s="223" t="str">
        <v>Division Head</v>
      </c>
      <c r="C114" s="197">
        <v>1</v>
      </c>
      <c r="D114" s="228" t="s">
        <v>6271</v>
      </c>
      <c r="E114" s="228" t="s">
        <v>6272</v>
      </c>
      <c r="F114" s="228" t="s">
        <v>6273</v>
      </c>
      <c r="G114" s="229" t="s">
        <v>6274</v>
      </c>
      <c r="H114" s="228" t="s">
        <v>6275</v>
      </c>
    </row>
    <row r="115" spans="1:8" ht="34.15">
      <c r="A115" s="223" t="str">
        <v>Controlling &amp; Corrective Action</v>
      </c>
      <c r="B115" s="223" t="str">
        <v>Division Head</v>
      </c>
      <c r="C115" s="197">
        <v>2</v>
      </c>
      <c r="D115" s="228" t="s">
        <v>6276</v>
      </c>
      <c r="E115" s="228" t="s">
        <v>6277</v>
      </c>
      <c r="F115" s="228" t="s">
        <v>5826</v>
      </c>
      <c r="G115" s="229" t="s">
        <v>6278</v>
      </c>
      <c r="H115" s="228" t="s">
        <v>6279</v>
      </c>
    </row>
    <row r="116" spans="1:8" ht="34.15">
      <c r="A116" s="223" t="str">
        <v>Controlling &amp; Corrective Action</v>
      </c>
      <c r="B116" s="223" t="str">
        <v>Division Head</v>
      </c>
      <c r="C116" s="197">
        <v>3</v>
      </c>
      <c r="D116" s="228" t="s">
        <v>6280</v>
      </c>
      <c r="E116" s="228" t="s">
        <v>6281</v>
      </c>
      <c r="F116" s="228" t="s">
        <v>6282</v>
      </c>
      <c r="G116" s="229" t="s">
        <v>6283</v>
      </c>
      <c r="H116" s="228" t="s">
        <v>6284</v>
      </c>
    </row>
    <row r="117" spans="1:8" ht="34.15">
      <c r="A117" s="223" t="str">
        <v>Controlling &amp; Corrective Action</v>
      </c>
      <c r="B117" s="223" t="str">
        <v>Division Head</v>
      </c>
      <c r="C117" s="197">
        <v>4</v>
      </c>
      <c r="D117" s="228" t="s">
        <v>6285</v>
      </c>
      <c r="E117" s="228" t="s">
        <v>6286</v>
      </c>
      <c r="F117" s="228" t="s">
        <v>6287</v>
      </c>
      <c r="G117" s="229" t="s">
        <v>6288</v>
      </c>
      <c r="H117" s="228" t="s">
        <v>6071</v>
      </c>
    </row>
    <row r="118" spans="1:8" ht="34.15">
      <c r="A118" s="223" t="str">
        <v>Controlling &amp; Corrective Action</v>
      </c>
      <c r="B118" s="223" t="str">
        <v>Director</v>
      </c>
      <c r="C118" s="197">
        <v>1</v>
      </c>
      <c r="D118" s="228" t="s">
        <v>6289</v>
      </c>
      <c r="E118" s="228" t="s">
        <v>6290</v>
      </c>
      <c r="F118" s="228" t="s">
        <v>6291</v>
      </c>
      <c r="G118" s="229" t="s">
        <v>6292</v>
      </c>
      <c r="H118" s="228" t="s">
        <v>6293</v>
      </c>
    </row>
    <row r="119" spans="1:8" ht="34.15">
      <c r="A119" s="223" t="str">
        <v>Controlling &amp; Corrective Action</v>
      </c>
      <c r="B119" s="223" t="str">
        <v>Director</v>
      </c>
      <c r="C119" s="197">
        <v>2</v>
      </c>
      <c r="D119" s="228" t="s">
        <v>6294</v>
      </c>
      <c r="E119" s="228" t="s">
        <v>6295</v>
      </c>
      <c r="F119" s="228" t="s">
        <v>6296</v>
      </c>
      <c r="G119" s="229" t="s">
        <v>6297</v>
      </c>
      <c r="H119" s="228" t="s">
        <v>6298</v>
      </c>
    </row>
    <row r="120" spans="1:8" ht="34.15">
      <c r="A120" s="223" t="str">
        <v>Controlling &amp; Corrective Action</v>
      </c>
      <c r="B120" s="223" t="str">
        <v>Director</v>
      </c>
      <c r="C120" s="197">
        <v>3</v>
      </c>
      <c r="D120" s="228" t="s">
        <v>6299</v>
      </c>
      <c r="E120" s="228" t="s">
        <v>6300</v>
      </c>
      <c r="F120" s="228" t="s">
        <v>6080</v>
      </c>
      <c r="G120" s="229" t="s">
        <v>6301</v>
      </c>
      <c r="H120" s="228" t="s">
        <v>6302</v>
      </c>
    </row>
    <row r="121" spans="1:8" ht="34.15">
      <c r="A121" s="223" t="str">
        <v>Controlling &amp; Corrective Action</v>
      </c>
      <c r="B121" s="223" t="str">
        <v>Director</v>
      </c>
      <c r="C121" s="197">
        <v>4</v>
      </c>
      <c r="D121" s="228" t="s">
        <v>6303</v>
      </c>
      <c r="E121" s="228" t="s">
        <v>6304</v>
      </c>
      <c r="F121" s="228" t="s">
        <v>6305</v>
      </c>
      <c r="G121" s="229" t="s">
        <v>6306</v>
      </c>
      <c r="H121" s="228" t="s">
        <v>6307</v>
      </c>
    </row>
    <row r="122" spans="1:8" ht="34.15">
      <c r="A122" s="223" t="str">
        <v>Analytical Thinking</v>
      </c>
      <c r="B122" s="223" t="str">
        <v>Officer</v>
      </c>
      <c r="C122" s="197">
        <v>1</v>
      </c>
      <c r="D122" s="228" t="s">
        <v>6308</v>
      </c>
      <c r="E122" s="228" t="s">
        <v>6309</v>
      </c>
      <c r="F122" s="228" t="s">
        <v>6310</v>
      </c>
      <c r="G122" s="229" t="s">
        <v>6311</v>
      </c>
      <c r="H122" s="228" t="s">
        <v>6312</v>
      </c>
    </row>
    <row r="123" spans="1:8" ht="34.15">
      <c r="A123" s="223" t="str">
        <v>Analytical Thinking</v>
      </c>
      <c r="B123" s="223" t="str">
        <v>Officer</v>
      </c>
      <c r="C123" s="197">
        <v>2</v>
      </c>
      <c r="D123" s="228" t="s">
        <v>6313</v>
      </c>
      <c r="E123" s="228" t="s">
        <v>6314</v>
      </c>
      <c r="F123" s="228" t="s">
        <v>6315</v>
      </c>
      <c r="G123" s="229" t="s">
        <v>6316</v>
      </c>
      <c r="H123" s="228" t="s">
        <v>6317</v>
      </c>
    </row>
    <row r="124" spans="1:8" ht="22.9">
      <c r="A124" s="223" t="str">
        <v>Analytical Thinking</v>
      </c>
      <c r="B124" s="223" t="str">
        <v>Officer</v>
      </c>
      <c r="C124" s="197">
        <v>3</v>
      </c>
      <c r="D124" s="228" t="s">
        <v>6318</v>
      </c>
      <c r="E124" s="228" t="s">
        <v>6319</v>
      </c>
      <c r="F124" s="228" t="s">
        <v>6320</v>
      </c>
      <c r="G124" s="229" t="s">
        <v>6321</v>
      </c>
      <c r="H124" s="228" t="s">
        <v>6322</v>
      </c>
    </row>
    <row r="125" spans="1:8" ht="34.15">
      <c r="A125" s="223" t="str">
        <v>Analytical Thinking</v>
      </c>
      <c r="B125" s="223" t="str">
        <v>Officer</v>
      </c>
      <c r="C125" s="197">
        <v>4</v>
      </c>
      <c r="D125" s="228" t="s">
        <v>6323</v>
      </c>
      <c r="E125" s="228" t="s">
        <v>6324</v>
      </c>
      <c r="F125" s="228" t="s">
        <v>6325</v>
      </c>
      <c r="G125" s="229" t="s">
        <v>6326</v>
      </c>
      <c r="H125" s="228" t="s">
        <v>6327</v>
      </c>
    </row>
    <row r="126" spans="1:8" ht="22.9">
      <c r="A126" s="223" t="str">
        <v>Analytical Thinking</v>
      </c>
      <c r="B126" s="223" t="str">
        <v>Analyst</v>
      </c>
      <c r="C126" s="197">
        <v>1</v>
      </c>
      <c r="D126" s="228" t="s">
        <v>6328</v>
      </c>
      <c r="E126" s="228" t="s">
        <v>6329</v>
      </c>
      <c r="F126" s="228" t="s">
        <v>6330</v>
      </c>
      <c r="G126" s="229" t="s">
        <v>6331</v>
      </c>
      <c r="H126" s="228" t="s">
        <v>6332</v>
      </c>
    </row>
    <row r="127" spans="1:8" ht="34.15">
      <c r="A127" s="223" t="str">
        <v>Analytical Thinking</v>
      </c>
      <c r="B127" s="223" t="str">
        <v>Analyst</v>
      </c>
      <c r="C127" s="197">
        <v>2</v>
      </c>
      <c r="D127" s="228" t="s">
        <v>6333</v>
      </c>
      <c r="E127" s="228" t="s">
        <v>6334</v>
      </c>
      <c r="F127" s="228" t="s">
        <v>6335</v>
      </c>
      <c r="G127" s="229" t="s">
        <v>6336</v>
      </c>
      <c r="H127" s="228" t="s">
        <v>6337</v>
      </c>
    </row>
    <row r="128" spans="1:8" ht="34.15">
      <c r="A128" s="223" t="str">
        <v>Analytical Thinking</v>
      </c>
      <c r="B128" s="223" t="str">
        <v>Analyst</v>
      </c>
      <c r="C128" s="197">
        <v>3</v>
      </c>
      <c r="D128" s="228" t="s">
        <v>6338</v>
      </c>
      <c r="E128" s="228" t="s">
        <v>6339</v>
      </c>
      <c r="F128" s="228" t="s">
        <v>6340</v>
      </c>
      <c r="G128" s="229" t="s">
        <v>6341</v>
      </c>
      <c r="H128" s="228" t="s">
        <v>6122</v>
      </c>
    </row>
    <row r="129" spans="1:8" ht="34.15">
      <c r="A129" s="223" t="str">
        <v>Analytical Thinking</v>
      </c>
      <c r="B129" s="223" t="str">
        <v>Analyst</v>
      </c>
      <c r="C129" s="197">
        <v>4</v>
      </c>
      <c r="D129" s="228" t="s">
        <v>6342</v>
      </c>
      <c r="E129" s="228" t="s">
        <v>6343</v>
      </c>
      <c r="F129" s="228" t="s">
        <v>6344</v>
      </c>
      <c r="G129" s="229" t="s">
        <v>6345</v>
      </c>
      <c r="H129" s="228" t="s">
        <v>6346</v>
      </c>
    </row>
    <row r="130" spans="1:8" ht="34.15">
      <c r="A130" s="223" t="str">
        <v>Analytical Thinking</v>
      </c>
      <c r="B130" s="223" t="str">
        <v>Unit Head/Specialist</v>
      </c>
      <c r="C130" s="197">
        <v>1</v>
      </c>
      <c r="D130" s="228" t="s">
        <v>6347</v>
      </c>
      <c r="E130" s="228" t="s">
        <v>6348</v>
      </c>
      <c r="F130" s="228" t="s">
        <v>6349</v>
      </c>
      <c r="G130" s="229" t="s">
        <v>6350</v>
      </c>
      <c r="H130" s="228" t="s">
        <v>6351</v>
      </c>
    </row>
    <row r="131" spans="1:8" ht="34.15">
      <c r="A131" s="223" t="str">
        <v>Analytical Thinking</v>
      </c>
      <c r="B131" s="223" t="str">
        <v>Unit Head/Specialist</v>
      </c>
      <c r="C131" s="197">
        <v>2</v>
      </c>
      <c r="D131" s="228" t="s">
        <v>6352</v>
      </c>
      <c r="E131" s="228" t="s">
        <v>6353</v>
      </c>
      <c r="F131" s="228" t="s">
        <v>6354</v>
      </c>
      <c r="G131" s="229" t="s">
        <v>6355</v>
      </c>
      <c r="H131" s="228" t="s">
        <v>6356</v>
      </c>
    </row>
    <row r="132" spans="1:8" ht="34.15">
      <c r="A132" s="223" t="str">
        <v>Analytical Thinking</v>
      </c>
      <c r="B132" s="223" t="str">
        <v>Unit Head/Specialist</v>
      </c>
      <c r="C132" s="197">
        <v>3</v>
      </c>
      <c r="D132" s="228" t="s">
        <v>6357</v>
      </c>
      <c r="E132" s="228" t="s">
        <v>6358</v>
      </c>
      <c r="F132" s="228" t="s">
        <v>6359</v>
      </c>
      <c r="G132" s="229" t="s">
        <v>6360</v>
      </c>
      <c r="H132" s="228" t="s">
        <v>6361</v>
      </c>
    </row>
    <row r="133" spans="1:8" ht="34.15">
      <c r="A133" s="223" t="str">
        <v>Analytical Thinking</v>
      </c>
      <c r="B133" s="223" t="str">
        <v>Unit Head/Specialist</v>
      </c>
      <c r="C133" s="197">
        <v>4</v>
      </c>
      <c r="D133" s="228" t="s">
        <v>6362</v>
      </c>
      <c r="E133" s="228" t="s">
        <v>6363</v>
      </c>
      <c r="F133" s="228" t="s">
        <v>6364</v>
      </c>
      <c r="G133" s="229" t="s">
        <v>6365</v>
      </c>
      <c r="H133" s="228" t="s">
        <v>6366</v>
      </c>
    </row>
    <row r="134" spans="1:8" ht="34.15">
      <c r="A134" s="223" t="str">
        <v>Analytical Thinking</v>
      </c>
      <c r="B134" s="223" t="str">
        <v>Department Head</v>
      </c>
      <c r="C134" s="197">
        <v>1</v>
      </c>
      <c r="D134" s="228" t="s">
        <v>6367</v>
      </c>
      <c r="E134" s="228" t="s">
        <v>6368</v>
      </c>
      <c r="F134" s="228" t="s">
        <v>6369</v>
      </c>
      <c r="G134" s="229" t="s">
        <v>6370</v>
      </c>
      <c r="H134" s="228" t="s">
        <v>6371</v>
      </c>
    </row>
    <row r="135" spans="1:8" ht="34.15">
      <c r="A135" s="223" t="str">
        <v>Analytical Thinking</v>
      </c>
      <c r="B135" s="223" t="str">
        <v>Department Head</v>
      </c>
      <c r="C135" s="197">
        <v>2</v>
      </c>
      <c r="D135" s="228" t="s">
        <v>6372</v>
      </c>
      <c r="E135" s="228" t="s">
        <v>6373</v>
      </c>
      <c r="F135" s="228" t="s">
        <v>6374</v>
      </c>
      <c r="G135" s="229" t="s">
        <v>6375</v>
      </c>
      <c r="H135" s="228" t="s">
        <v>6376</v>
      </c>
    </row>
    <row r="136" spans="1:8" ht="34.15">
      <c r="A136" s="223" t="str">
        <v>Analytical Thinking</v>
      </c>
      <c r="B136" s="223" t="str">
        <v>Department Head</v>
      </c>
      <c r="C136" s="197">
        <v>3</v>
      </c>
      <c r="D136" s="228" t="s">
        <v>6377</v>
      </c>
      <c r="E136" s="228" t="s">
        <v>6378</v>
      </c>
      <c r="F136" s="228" t="s">
        <v>6379</v>
      </c>
      <c r="G136" s="229" t="s">
        <v>6380</v>
      </c>
      <c r="H136" s="228" t="s">
        <v>6381</v>
      </c>
    </row>
    <row r="137" spans="1:8" ht="34.15">
      <c r="A137" s="223" t="str">
        <v>Analytical Thinking</v>
      </c>
      <c r="B137" s="223" t="str">
        <v>Department Head</v>
      </c>
      <c r="C137" s="197">
        <v>4</v>
      </c>
      <c r="D137" s="228" t="s">
        <v>6382</v>
      </c>
      <c r="E137" s="228" t="s">
        <v>6383</v>
      </c>
      <c r="F137" s="228" t="s">
        <v>6384</v>
      </c>
      <c r="G137" s="229" t="s">
        <v>6385</v>
      </c>
      <c r="H137" s="228" t="s">
        <v>6386</v>
      </c>
    </row>
    <row r="138" spans="1:8" ht="34.15">
      <c r="A138" s="223" t="str">
        <v>Analytical Thinking</v>
      </c>
      <c r="B138" s="223" t="str">
        <v>Division Head</v>
      </c>
      <c r="C138" s="197">
        <v>1</v>
      </c>
      <c r="D138" s="228" t="s">
        <v>6387</v>
      </c>
      <c r="E138" s="228" t="s">
        <v>6388</v>
      </c>
      <c r="F138" s="228" t="s">
        <v>6389</v>
      </c>
      <c r="G138" s="229" t="s">
        <v>6390</v>
      </c>
      <c r="H138" s="228" t="s">
        <v>6391</v>
      </c>
    </row>
    <row r="139" spans="1:8" ht="34.15">
      <c r="A139" s="223" t="str">
        <v>Analytical Thinking</v>
      </c>
      <c r="B139" s="223" t="str">
        <v>Division Head</v>
      </c>
      <c r="C139" s="197">
        <v>2</v>
      </c>
      <c r="D139" s="228" t="s">
        <v>6392</v>
      </c>
      <c r="E139" s="228" t="s">
        <v>6393</v>
      </c>
      <c r="F139" s="228" t="s">
        <v>6394</v>
      </c>
      <c r="G139" s="229" t="s">
        <v>6395</v>
      </c>
      <c r="H139" s="228" t="s">
        <v>6396</v>
      </c>
    </row>
    <row r="140" spans="1:8" ht="45.6">
      <c r="A140" s="223" t="str">
        <v>Analytical Thinking</v>
      </c>
      <c r="B140" s="223" t="str">
        <v>Division Head</v>
      </c>
      <c r="C140" s="197">
        <v>3</v>
      </c>
      <c r="D140" s="228" t="s">
        <v>6397</v>
      </c>
      <c r="E140" s="228" t="s">
        <v>6398</v>
      </c>
      <c r="F140" s="228" t="s">
        <v>6399</v>
      </c>
      <c r="G140" s="229" t="s">
        <v>6400</v>
      </c>
      <c r="H140" s="228" t="s">
        <v>6401</v>
      </c>
    </row>
    <row r="141" spans="1:8" ht="45.6">
      <c r="A141" s="223" t="str">
        <v>Analytical Thinking</v>
      </c>
      <c r="B141" s="223" t="str">
        <v>Division Head</v>
      </c>
      <c r="C141" s="197">
        <v>4</v>
      </c>
      <c r="D141" s="228" t="s">
        <v>6402</v>
      </c>
      <c r="E141" s="228" t="s">
        <v>6403</v>
      </c>
      <c r="F141" s="228" t="s">
        <v>6404</v>
      </c>
      <c r="G141" s="229" t="s">
        <v>6405</v>
      </c>
      <c r="H141" s="228" t="s">
        <v>6406</v>
      </c>
    </row>
    <row r="142" spans="1:8" ht="45.6">
      <c r="A142" s="223" t="str">
        <v>Analytical Thinking</v>
      </c>
      <c r="B142" s="223" t="str">
        <v>Director</v>
      </c>
      <c r="C142" s="197">
        <v>1</v>
      </c>
      <c r="D142" s="228" t="s">
        <v>6407</v>
      </c>
      <c r="E142" s="228" t="s">
        <v>6408</v>
      </c>
      <c r="F142" s="228" t="s">
        <v>6409</v>
      </c>
      <c r="G142" s="229" t="s">
        <v>6410</v>
      </c>
      <c r="H142" s="228" t="s">
        <v>6411</v>
      </c>
    </row>
    <row r="143" spans="1:8" ht="34.15">
      <c r="A143" s="223" t="str">
        <v>Analytical Thinking</v>
      </c>
      <c r="B143" s="223" t="str">
        <v>Director</v>
      </c>
      <c r="C143" s="197">
        <v>2</v>
      </c>
      <c r="D143" s="228" t="s">
        <v>6412</v>
      </c>
      <c r="E143" s="228" t="s">
        <v>6413</v>
      </c>
      <c r="F143" s="228" t="s">
        <v>6414</v>
      </c>
      <c r="G143" s="229" t="s">
        <v>6415</v>
      </c>
      <c r="H143" s="228" t="s">
        <v>6416</v>
      </c>
    </row>
    <row r="144" spans="1:8" ht="45.6">
      <c r="A144" s="223" t="str">
        <v>Analytical Thinking</v>
      </c>
      <c r="B144" s="223" t="str">
        <v>Director</v>
      </c>
      <c r="C144" s="197">
        <v>3</v>
      </c>
      <c r="D144" s="228" t="s">
        <v>6417</v>
      </c>
      <c r="E144" s="228" t="s">
        <v>6418</v>
      </c>
      <c r="F144" s="228" t="s">
        <v>6419</v>
      </c>
      <c r="G144" s="229" t="s">
        <v>6420</v>
      </c>
      <c r="H144" s="228" t="s">
        <v>6421</v>
      </c>
    </row>
    <row r="145" spans="1:8" ht="34.15">
      <c r="A145" s="223" t="str">
        <v>Analytical Thinking</v>
      </c>
      <c r="B145" s="223" t="str">
        <v>Director</v>
      </c>
      <c r="C145" s="197">
        <v>4</v>
      </c>
      <c r="D145" s="228" t="s">
        <v>6422</v>
      </c>
      <c r="E145" s="228" t="s">
        <v>6423</v>
      </c>
      <c r="F145" s="228" t="s">
        <v>6424</v>
      </c>
      <c r="G145" s="229" t="s">
        <v>6425</v>
      </c>
      <c r="H145" s="228" t="s">
        <v>6426</v>
      </c>
    </row>
    <row r="146" spans="1:8" ht="45.6">
      <c r="A146" s="223" t="str">
        <v>Managing Change</v>
      </c>
      <c r="B146" s="223" t="str">
        <v>Officer</v>
      </c>
      <c r="C146" s="197">
        <v>1</v>
      </c>
      <c r="D146" s="228" t="s">
        <v>6427</v>
      </c>
      <c r="E146" s="228" t="s">
        <v>6428</v>
      </c>
      <c r="F146" s="228" t="s">
        <v>6429</v>
      </c>
      <c r="G146" s="229" t="s">
        <v>6430</v>
      </c>
      <c r="H146" s="228" t="s">
        <v>6431</v>
      </c>
    </row>
    <row r="147" spans="1:8" ht="34.15">
      <c r="A147" s="223" t="str">
        <v>Managing Change</v>
      </c>
      <c r="B147" s="223" t="str">
        <v>Officer</v>
      </c>
      <c r="C147" s="197">
        <v>2</v>
      </c>
      <c r="D147" s="228" t="s">
        <v>6432</v>
      </c>
      <c r="E147" s="228" t="s">
        <v>6433</v>
      </c>
      <c r="F147" s="228" t="s">
        <v>6434</v>
      </c>
      <c r="G147" s="229" t="s">
        <v>6435</v>
      </c>
      <c r="H147" s="228" t="s">
        <v>6436</v>
      </c>
    </row>
    <row r="148" spans="1:8" ht="34.15">
      <c r="A148" s="223" t="str">
        <v>Managing Change</v>
      </c>
      <c r="B148" s="223" t="str">
        <v>Officer</v>
      </c>
      <c r="C148" s="197">
        <v>3</v>
      </c>
      <c r="D148" s="228" t="s">
        <v>6437</v>
      </c>
      <c r="E148" s="228" t="s">
        <v>6438</v>
      </c>
      <c r="F148" s="228" t="s">
        <v>6439</v>
      </c>
      <c r="G148" s="229" t="s">
        <v>6440</v>
      </c>
      <c r="H148" s="228" t="s">
        <v>6441</v>
      </c>
    </row>
    <row r="149" spans="1:8" ht="34.15">
      <c r="A149" s="223" t="str">
        <v>Managing Change</v>
      </c>
      <c r="B149" s="223" t="str">
        <v>Officer</v>
      </c>
      <c r="C149" s="197">
        <v>4</v>
      </c>
      <c r="D149" s="228" t="s">
        <v>6442</v>
      </c>
      <c r="E149" s="228" t="s">
        <v>6443</v>
      </c>
      <c r="F149" s="228" t="s">
        <v>6444</v>
      </c>
      <c r="G149" s="229" t="s">
        <v>6445</v>
      </c>
      <c r="H149" s="228" t="s">
        <v>6446</v>
      </c>
    </row>
    <row r="150" spans="1:8" ht="34.15">
      <c r="A150" s="223" t="str">
        <v>Managing Change</v>
      </c>
      <c r="B150" s="223" t="str">
        <v>Analyst</v>
      </c>
      <c r="C150" s="197">
        <v>1</v>
      </c>
      <c r="D150" s="228" t="s">
        <v>6447</v>
      </c>
      <c r="E150" s="228" t="s">
        <v>6448</v>
      </c>
      <c r="F150" s="228" t="s">
        <v>6449</v>
      </c>
      <c r="G150" s="229" t="s">
        <v>6450</v>
      </c>
      <c r="H150" s="228" t="s">
        <v>6451</v>
      </c>
    </row>
    <row r="151" spans="1:8" ht="34.15">
      <c r="A151" s="223" t="str">
        <v>Managing Change</v>
      </c>
      <c r="B151" s="223" t="str">
        <v>Analyst</v>
      </c>
      <c r="C151" s="197">
        <v>2</v>
      </c>
      <c r="D151" s="228" t="s">
        <v>6452</v>
      </c>
      <c r="E151" s="228" t="s">
        <v>6453</v>
      </c>
      <c r="F151" s="228" t="s">
        <v>6454</v>
      </c>
      <c r="G151" s="229" t="s">
        <v>6455</v>
      </c>
      <c r="H151" s="228" t="s">
        <v>6456</v>
      </c>
    </row>
    <row r="152" spans="1:8" ht="34.15">
      <c r="A152" s="223" t="str">
        <v>Managing Change</v>
      </c>
      <c r="B152" s="223" t="str">
        <v>Analyst</v>
      </c>
      <c r="C152" s="197">
        <v>3</v>
      </c>
      <c r="D152" s="228" t="s">
        <v>6457</v>
      </c>
      <c r="E152" s="228" t="s">
        <v>6458</v>
      </c>
      <c r="F152" s="228" t="s">
        <v>6459</v>
      </c>
      <c r="G152" s="229" t="s">
        <v>6460</v>
      </c>
      <c r="H152" s="228" t="s">
        <v>6461</v>
      </c>
    </row>
    <row r="153" spans="1:8" ht="45.6">
      <c r="A153" s="223" t="str">
        <v>Managing Change</v>
      </c>
      <c r="B153" s="223" t="str">
        <v>Analyst</v>
      </c>
      <c r="C153" s="197">
        <v>4</v>
      </c>
      <c r="D153" s="228" t="s">
        <v>6462</v>
      </c>
      <c r="E153" s="228" t="s">
        <v>6463</v>
      </c>
      <c r="F153" s="228" t="s">
        <v>6464</v>
      </c>
      <c r="G153" s="229" t="s">
        <v>6465</v>
      </c>
      <c r="H153" s="228" t="s">
        <v>6466</v>
      </c>
    </row>
    <row r="154" spans="1:8" ht="34.15">
      <c r="A154" s="223" t="str">
        <v>Managing Change</v>
      </c>
      <c r="B154" s="223" t="str">
        <v>Unit Head/Specialist</v>
      </c>
      <c r="C154" s="197">
        <v>1</v>
      </c>
      <c r="D154" s="228" t="s">
        <v>6467</v>
      </c>
      <c r="E154" s="228" t="s">
        <v>6468</v>
      </c>
      <c r="F154" s="228" t="s">
        <v>6469</v>
      </c>
      <c r="G154" s="229" t="s">
        <v>6470</v>
      </c>
      <c r="H154" s="228" t="s">
        <v>6471</v>
      </c>
    </row>
    <row r="155" spans="1:8" ht="45.6">
      <c r="A155" s="223" t="str">
        <v>Managing Change</v>
      </c>
      <c r="B155" s="223" t="str">
        <v>Unit Head/Specialist</v>
      </c>
      <c r="C155" s="197">
        <v>2</v>
      </c>
      <c r="D155" s="228" t="s">
        <v>6472</v>
      </c>
      <c r="E155" s="228" t="s">
        <v>6473</v>
      </c>
      <c r="F155" s="228" t="s">
        <v>6474</v>
      </c>
      <c r="G155" s="229" t="s">
        <v>6475</v>
      </c>
      <c r="H155" s="228" t="s">
        <v>6476</v>
      </c>
    </row>
    <row r="156" spans="1:8" ht="34.15">
      <c r="A156" s="223" t="str">
        <v>Managing Change</v>
      </c>
      <c r="B156" s="223" t="str">
        <v>Unit Head/Specialist</v>
      </c>
      <c r="C156" s="197">
        <v>3</v>
      </c>
      <c r="D156" s="228" t="s">
        <v>6477</v>
      </c>
      <c r="E156" s="228" t="s">
        <v>6478</v>
      </c>
      <c r="F156" s="228" t="s">
        <v>6479</v>
      </c>
      <c r="G156" s="229" t="s">
        <v>6480</v>
      </c>
      <c r="H156" s="228" t="s">
        <v>6481</v>
      </c>
    </row>
    <row r="157" spans="1:8" ht="45.6">
      <c r="A157" s="223" t="str">
        <v>Managing Change</v>
      </c>
      <c r="B157" s="223" t="str">
        <v>Unit Head/Specialist</v>
      </c>
      <c r="C157" s="197">
        <v>4</v>
      </c>
      <c r="D157" s="228" t="s">
        <v>6482</v>
      </c>
      <c r="E157" s="228" t="s">
        <v>6483</v>
      </c>
      <c r="F157" s="228" t="s">
        <v>6484</v>
      </c>
      <c r="G157" s="229" t="s">
        <v>6485</v>
      </c>
      <c r="H157" s="228" t="s">
        <v>6486</v>
      </c>
    </row>
    <row r="158" spans="1:8" ht="34.15">
      <c r="A158" s="223" t="str">
        <v>Managing Change</v>
      </c>
      <c r="B158" s="223" t="str">
        <v>Department Head</v>
      </c>
      <c r="C158" s="197">
        <v>1</v>
      </c>
      <c r="D158" s="228" t="s">
        <v>6487</v>
      </c>
      <c r="E158" s="228" t="s">
        <v>6488</v>
      </c>
      <c r="F158" s="228" t="s">
        <v>6489</v>
      </c>
      <c r="G158" s="229" t="s">
        <v>6490</v>
      </c>
      <c r="H158" s="228" t="s">
        <v>6491</v>
      </c>
    </row>
    <row r="159" spans="1:8" ht="34.15">
      <c r="A159" s="223" t="str">
        <v>Managing Change</v>
      </c>
      <c r="B159" s="223" t="str">
        <v>Department Head</v>
      </c>
      <c r="C159" s="197">
        <v>2</v>
      </c>
      <c r="D159" s="228" t="s">
        <v>6492</v>
      </c>
      <c r="E159" s="228" t="s">
        <v>6493</v>
      </c>
      <c r="F159" s="228" t="s">
        <v>6494</v>
      </c>
      <c r="G159" s="229" t="s">
        <v>6495</v>
      </c>
      <c r="H159" s="228" t="s">
        <v>6496</v>
      </c>
    </row>
    <row r="160" spans="1:8" ht="57">
      <c r="A160" s="223" t="str">
        <v>Managing Change</v>
      </c>
      <c r="B160" s="223" t="str">
        <v>Department Head</v>
      </c>
      <c r="C160" s="197">
        <v>3</v>
      </c>
      <c r="D160" s="228" t="s">
        <v>6497</v>
      </c>
      <c r="E160" s="228" t="s">
        <v>6498</v>
      </c>
      <c r="F160" s="228" t="s">
        <v>6499</v>
      </c>
      <c r="G160" s="229" t="s">
        <v>6500</v>
      </c>
      <c r="H160" s="228" t="s">
        <v>6501</v>
      </c>
    </row>
    <row r="161" spans="1:8" ht="45.6">
      <c r="A161" s="223" t="str">
        <v>Managing Change</v>
      </c>
      <c r="B161" s="223" t="str">
        <v>Department Head</v>
      </c>
      <c r="C161" s="197">
        <v>4</v>
      </c>
      <c r="D161" s="228" t="s">
        <v>6502</v>
      </c>
      <c r="E161" s="228" t="s">
        <v>6503</v>
      </c>
      <c r="F161" s="228" t="s">
        <v>6504</v>
      </c>
      <c r="G161" s="229" t="s">
        <v>6505</v>
      </c>
      <c r="H161" s="228" t="s">
        <v>6506</v>
      </c>
    </row>
    <row r="162" spans="1:8" ht="34.15">
      <c r="A162" s="223" t="str">
        <v>Managing Change</v>
      </c>
      <c r="B162" s="223" t="str">
        <v>Division Head</v>
      </c>
      <c r="C162" s="197">
        <v>1</v>
      </c>
      <c r="D162" s="228" t="s">
        <v>6507</v>
      </c>
      <c r="E162" s="228" t="s">
        <v>6508</v>
      </c>
      <c r="F162" s="228" t="s">
        <v>6509</v>
      </c>
      <c r="G162" s="229" t="s">
        <v>6510</v>
      </c>
      <c r="H162" s="228" t="s">
        <v>6511</v>
      </c>
    </row>
    <row r="163" spans="1:8" ht="34.15">
      <c r="A163" s="223" t="str">
        <v>Managing Change</v>
      </c>
      <c r="B163" s="223" t="str">
        <v>Division Head</v>
      </c>
      <c r="C163" s="197">
        <v>2</v>
      </c>
      <c r="D163" s="228" t="s">
        <v>6512</v>
      </c>
      <c r="E163" s="228" t="s">
        <v>6513</v>
      </c>
      <c r="F163" s="228" t="s">
        <v>6514</v>
      </c>
      <c r="G163" s="229" t="s">
        <v>6515</v>
      </c>
      <c r="H163" s="228" t="s">
        <v>6516</v>
      </c>
    </row>
    <row r="164" spans="1:8" ht="45.6">
      <c r="A164" s="223" t="str">
        <v>Managing Change</v>
      </c>
      <c r="B164" s="223" t="str">
        <v>Division Head</v>
      </c>
      <c r="C164" s="197">
        <v>3</v>
      </c>
      <c r="D164" s="228" t="s">
        <v>6517</v>
      </c>
      <c r="E164" s="228" t="s">
        <v>6518</v>
      </c>
      <c r="F164" s="228" t="s">
        <v>6519</v>
      </c>
      <c r="G164" s="229" t="s">
        <v>6520</v>
      </c>
      <c r="H164" s="228" t="s">
        <v>6521</v>
      </c>
    </row>
    <row r="165" spans="1:8" ht="45.6">
      <c r="A165" s="223" t="str">
        <v>Managing Change</v>
      </c>
      <c r="B165" s="223" t="str">
        <v>Division Head</v>
      </c>
      <c r="C165" s="197">
        <v>4</v>
      </c>
      <c r="D165" s="228" t="s">
        <v>6522</v>
      </c>
      <c r="E165" s="228" t="s">
        <v>6523</v>
      </c>
      <c r="F165" s="228" t="s">
        <v>6524</v>
      </c>
      <c r="G165" s="229" t="s">
        <v>6525</v>
      </c>
      <c r="H165" s="228" t="s">
        <v>6526</v>
      </c>
    </row>
    <row r="166" spans="1:8" ht="45.6">
      <c r="A166" s="223" t="str">
        <v>Managing Change</v>
      </c>
      <c r="B166" s="223" t="str">
        <v>Director</v>
      </c>
      <c r="C166" s="197">
        <v>1</v>
      </c>
      <c r="D166" s="228" t="s">
        <v>6527</v>
      </c>
      <c r="E166" s="228" t="s">
        <v>6528</v>
      </c>
      <c r="F166" s="228" t="s">
        <v>6529</v>
      </c>
      <c r="G166" s="229" t="s">
        <v>6530</v>
      </c>
      <c r="H166" s="228" t="s">
        <v>6531</v>
      </c>
    </row>
    <row r="167" spans="1:8" ht="45.6">
      <c r="A167" s="223" t="str">
        <v>Managing Change</v>
      </c>
      <c r="B167" s="223" t="str">
        <v>Director</v>
      </c>
      <c r="C167" s="197">
        <v>2</v>
      </c>
      <c r="D167" s="228" t="s">
        <v>6532</v>
      </c>
      <c r="E167" s="228" t="s">
        <v>6533</v>
      </c>
      <c r="F167" s="228" t="s">
        <v>6534</v>
      </c>
      <c r="G167" s="229" t="s">
        <v>6535</v>
      </c>
      <c r="H167" s="228" t="s">
        <v>6536</v>
      </c>
    </row>
    <row r="168" spans="1:8" ht="34.15">
      <c r="A168" s="223" t="str">
        <v>Managing Change</v>
      </c>
      <c r="B168" s="223" t="str">
        <v>Director</v>
      </c>
      <c r="C168" s="197">
        <v>3</v>
      </c>
      <c r="D168" s="228" t="s">
        <v>6537</v>
      </c>
      <c r="E168" s="228" t="s">
        <v>6538</v>
      </c>
      <c r="F168" s="228" t="s">
        <v>6539</v>
      </c>
      <c r="G168" s="229" t="s">
        <v>6540</v>
      </c>
      <c r="H168" s="228" t="s">
        <v>6541</v>
      </c>
    </row>
    <row r="169" spans="1:8" ht="57">
      <c r="A169" s="223" t="str">
        <v>Managing Change</v>
      </c>
      <c r="B169" s="223" t="str">
        <v>Director</v>
      </c>
      <c r="C169" s="197">
        <v>4</v>
      </c>
      <c r="D169" s="228" t="s">
        <v>6542</v>
      </c>
      <c r="E169" s="228" t="s">
        <v>6543</v>
      </c>
      <c r="F169" s="228" t="s">
        <v>6544</v>
      </c>
      <c r="G169" s="229" t="s">
        <v>6545</v>
      </c>
      <c r="H169" s="228" t="s">
        <v>6546</v>
      </c>
    </row>
    <row r="170" spans="1:8" ht="34.15">
      <c r="A170" s="223" t="str">
        <v>Strategic Thinking</v>
      </c>
      <c r="B170" s="223" t="str">
        <v>Officer</v>
      </c>
      <c r="C170" s="197">
        <v>1</v>
      </c>
      <c r="D170" s="228" t="s">
        <v>6547</v>
      </c>
      <c r="E170" s="228" t="s">
        <v>6548</v>
      </c>
      <c r="F170" s="228" t="s">
        <v>6549</v>
      </c>
      <c r="G170" s="229" t="s">
        <v>6550</v>
      </c>
      <c r="H170" s="228" t="s">
        <v>6551</v>
      </c>
    </row>
    <row r="171" spans="1:8" ht="34.15">
      <c r="A171" s="223" t="str">
        <v>Strategic Thinking</v>
      </c>
      <c r="B171" s="223" t="str">
        <v>Officer</v>
      </c>
      <c r="C171" s="197">
        <v>2</v>
      </c>
      <c r="D171" s="228" t="s">
        <v>6552</v>
      </c>
      <c r="E171" s="228" t="s">
        <v>6553</v>
      </c>
      <c r="F171" s="228" t="s">
        <v>6315</v>
      </c>
      <c r="G171" s="229" t="s">
        <v>6554</v>
      </c>
      <c r="H171" s="228" t="s">
        <v>6555</v>
      </c>
    </row>
    <row r="172" spans="1:8" ht="22.9">
      <c r="A172" s="223" t="str">
        <v>Strategic Thinking</v>
      </c>
      <c r="B172" s="223" t="str">
        <v>Officer</v>
      </c>
      <c r="C172" s="197">
        <v>3</v>
      </c>
      <c r="D172" s="228" t="s">
        <v>6556</v>
      </c>
      <c r="E172" s="228" t="s">
        <v>6557</v>
      </c>
      <c r="F172" s="228" t="s">
        <v>6320</v>
      </c>
      <c r="G172" s="229" t="s">
        <v>6321</v>
      </c>
      <c r="H172" s="228" t="s">
        <v>6322</v>
      </c>
    </row>
    <row r="173" spans="1:8" ht="45.6">
      <c r="A173" s="223" t="str">
        <v>Strategic Thinking</v>
      </c>
      <c r="B173" s="223" t="str">
        <v>Officer</v>
      </c>
      <c r="C173" s="197">
        <v>4</v>
      </c>
      <c r="D173" s="228" t="s">
        <v>6558</v>
      </c>
      <c r="E173" s="228" t="s">
        <v>6559</v>
      </c>
      <c r="F173" s="228" t="s">
        <v>6560</v>
      </c>
      <c r="G173" s="229" t="s">
        <v>6561</v>
      </c>
      <c r="H173" s="228" t="s">
        <v>6562</v>
      </c>
    </row>
    <row r="174" spans="1:8" ht="34.15">
      <c r="A174" s="223" t="str">
        <v>Strategic Thinking</v>
      </c>
      <c r="B174" s="223" t="str">
        <v>Analyst</v>
      </c>
      <c r="C174" s="197">
        <v>1</v>
      </c>
      <c r="D174" s="228" t="s">
        <v>6563</v>
      </c>
      <c r="E174" s="228" t="s">
        <v>6564</v>
      </c>
      <c r="F174" s="228" t="s">
        <v>6565</v>
      </c>
      <c r="G174" s="229" t="s">
        <v>6566</v>
      </c>
      <c r="H174" s="228" t="s">
        <v>6567</v>
      </c>
    </row>
    <row r="175" spans="1:8" ht="45.6">
      <c r="A175" s="223" t="str">
        <v>Strategic Thinking</v>
      </c>
      <c r="B175" s="223" t="str">
        <v>Analyst</v>
      </c>
      <c r="C175" s="197">
        <v>2</v>
      </c>
      <c r="D175" s="228" t="s">
        <v>6568</v>
      </c>
      <c r="E175" s="228" t="s">
        <v>6569</v>
      </c>
      <c r="F175" s="228" t="s">
        <v>6570</v>
      </c>
      <c r="G175" s="229" t="s">
        <v>6571</v>
      </c>
      <c r="H175" s="228" t="s">
        <v>6572</v>
      </c>
    </row>
    <row r="176" spans="1:8" ht="34.15">
      <c r="A176" s="223" t="str">
        <v>Strategic Thinking</v>
      </c>
      <c r="B176" s="223" t="str">
        <v>Analyst</v>
      </c>
      <c r="C176" s="197">
        <v>3</v>
      </c>
      <c r="D176" s="228" t="s">
        <v>6573</v>
      </c>
      <c r="E176" s="228" t="s">
        <v>6574</v>
      </c>
      <c r="F176" s="228" t="s">
        <v>6575</v>
      </c>
      <c r="G176" s="229" t="s">
        <v>6576</v>
      </c>
      <c r="H176" s="228" t="s">
        <v>6577</v>
      </c>
    </row>
    <row r="177" spans="1:8" ht="45.6">
      <c r="A177" s="223" t="str">
        <v>Strategic Thinking</v>
      </c>
      <c r="B177" s="223" t="str">
        <v>Analyst</v>
      </c>
      <c r="C177" s="197">
        <v>4</v>
      </c>
      <c r="D177" s="228" t="s">
        <v>6578</v>
      </c>
      <c r="E177" s="228" t="s">
        <v>6579</v>
      </c>
      <c r="F177" s="228" t="s">
        <v>6580</v>
      </c>
      <c r="G177" s="229" t="s">
        <v>6581</v>
      </c>
      <c r="H177" s="228" t="s">
        <v>6582</v>
      </c>
    </row>
    <row r="178" spans="1:8" ht="34.15">
      <c r="A178" s="223" t="str">
        <v>Strategic Thinking</v>
      </c>
      <c r="B178" s="223" t="str">
        <v>Unit Head/Specialist</v>
      </c>
      <c r="C178" s="197">
        <v>1</v>
      </c>
      <c r="D178" s="228" t="s">
        <v>6583</v>
      </c>
      <c r="E178" s="228" t="s">
        <v>6584</v>
      </c>
      <c r="F178" s="228" t="s">
        <v>6585</v>
      </c>
      <c r="G178" s="229" t="s">
        <v>6586</v>
      </c>
      <c r="H178" s="228" t="s">
        <v>6587</v>
      </c>
    </row>
    <row r="179" spans="1:8" ht="57">
      <c r="A179" s="223" t="str">
        <v>Strategic Thinking</v>
      </c>
      <c r="B179" s="223" t="str">
        <v>Unit Head/Specialist</v>
      </c>
      <c r="C179" s="197">
        <v>2</v>
      </c>
      <c r="D179" s="228" t="s">
        <v>6588</v>
      </c>
      <c r="E179" s="228" t="s">
        <v>6589</v>
      </c>
      <c r="F179" s="228" t="s">
        <v>6590</v>
      </c>
      <c r="G179" s="229" t="s">
        <v>6591</v>
      </c>
      <c r="H179" s="228" t="s">
        <v>6592</v>
      </c>
    </row>
    <row r="180" spans="1:8" ht="34.15">
      <c r="A180" s="223" t="str">
        <v>Strategic Thinking</v>
      </c>
      <c r="B180" s="223" t="str">
        <v>Unit Head/Specialist</v>
      </c>
      <c r="C180" s="197">
        <v>3</v>
      </c>
      <c r="D180" s="228" t="s">
        <v>6593</v>
      </c>
      <c r="E180" s="228" t="s">
        <v>6594</v>
      </c>
      <c r="F180" s="228" t="s">
        <v>6595</v>
      </c>
      <c r="G180" s="229" t="s">
        <v>6596</v>
      </c>
      <c r="H180" s="228" t="s">
        <v>6597</v>
      </c>
    </row>
    <row r="181" spans="1:8" ht="45.6">
      <c r="A181" s="223" t="str">
        <v>Strategic Thinking</v>
      </c>
      <c r="B181" s="223" t="str">
        <v>Unit Head/Specialist</v>
      </c>
      <c r="C181" s="197">
        <v>4</v>
      </c>
      <c r="D181" s="228" t="s">
        <v>6598</v>
      </c>
      <c r="E181" s="228" t="s">
        <v>6599</v>
      </c>
      <c r="F181" s="228" t="s">
        <v>6600</v>
      </c>
      <c r="G181" s="229" t="s">
        <v>6601</v>
      </c>
      <c r="H181" s="228" t="s">
        <v>6602</v>
      </c>
    </row>
    <row r="182" spans="1:8" ht="34.15">
      <c r="A182" s="223" t="str">
        <v>Strategic Thinking</v>
      </c>
      <c r="B182" s="223" t="str">
        <v>Department Head</v>
      </c>
      <c r="C182" s="197">
        <v>1</v>
      </c>
      <c r="D182" s="228" t="s">
        <v>6603</v>
      </c>
      <c r="E182" s="228" t="s">
        <v>6604</v>
      </c>
      <c r="F182" s="228" t="s">
        <v>6605</v>
      </c>
      <c r="G182" s="229" t="s">
        <v>6606</v>
      </c>
      <c r="H182" s="228" t="s">
        <v>6607</v>
      </c>
    </row>
    <row r="183" spans="1:8" ht="34.15">
      <c r="A183" s="223" t="str">
        <v>Strategic Thinking</v>
      </c>
      <c r="B183" s="223" t="str">
        <v>Department Head</v>
      </c>
      <c r="C183" s="197">
        <v>2</v>
      </c>
      <c r="D183" s="228" t="s">
        <v>6608</v>
      </c>
      <c r="E183" s="228" t="s">
        <v>6609</v>
      </c>
      <c r="F183" s="228" t="s">
        <v>6610</v>
      </c>
      <c r="G183" s="229" t="s">
        <v>6611</v>
      </c>
      <c r="H183" s="228" t="s">
        <v>6612</v>
      </c>
    </row>
    <row r="184" spans="1:8" ht="34.15">
      <c r="A184" s="223" t="str">
        <v>Strategic Thinking</v>
      </c>
      <c r="B184" s="223" t="str">
        <v>Department Head</v>
      </c>
      <c r="C184" s="197">
        <v>3</v>
      </c>
      <c r="D184" s="228" t="s">
        <v>6613</v>
      </c>
      <c r="E184" s="228" t="s">
        <v>6614</v>
      </c>
      <c r="F184" s="228" t="s">
        <v>6615</v>
      </c>
      <c r="G184" s="229" t="s">
        <v>6616</v>
      </c>
      <c r="H184" s="228" t="s">
        <v>6617</v>
      </c>
    </row>
    <row r="185" spans="1:8" ht="45.6">
      <c r="A185" s="223" t="str">
        <v>Strategic Thinking</v>
      </c>
      <c r="B185" s="223" t="str">
        <v>Department Head</v>
      </c>
      <c r="C185" s="197">
        <v>4</v>
      </c>
      <c r="D185" s="228" t="s">
        <v>6618</v>
      </c>
      <c r="E185" s="228" t="s">
        <v>6619</v>
      </c>
      <c r="F185" s="228" t="s">
        <v>6620</v>
      </c>
      <c r="G185" s="229" t="s">
        <v>6621</v>
      </c>
      <c r="H185" s="228" t="s">
        <v>6622</v>
      </c>
    </row>
    <row r="186" spans="1:8" ht="34.15">
      <c r="A186" s="223" t="str">
        <v>Strategic Thinking</v>
      </c>
      <c r="B186" s="223" t="str">
        <v>Division Head</v>
      </c>
      <c r="C186" s="197">
        <v>1</v>
      </c>
      <c r="D186" s="228" t="s">
        <v>6623</v>
      </c>
      <c r="E186" s="228" t="s">
        <v>6388</v>
      </c>
      <c r="F186" s="228" t="s">
        <v>6389</v>
      </c>
      <c r="G186" s="229" t="s">
        <v>6390</v>
      </c>
      <c r="H186" s="228" t="s">
        <v>6391</v>
      </c>
    </row>
    <row r="187" spans="1:8" ht="34.15">
      <c r="A187" s="223" t="str">
        <v>Strategic Thinking</v>
      </c>
      <c r="B187" s="223" t="str">
        <v>Division Head</v>
      </c>
      <c r="C187" s="197">
        <v>2</v>
      </c>
      <c r="D187" s="228" t="s">
        <v>6624</v>
      </c>
      <c r="E187" s="228" t="s">
        <v>6625</v>
      </c>
      <c r="F187" s="228" t="s">
        <v>6626</v>
      </c>
      <c r="G187" s="229" t="s">
        <v>6627</v>
      </c>
      <c r="H187" s="228" t="s">
        <v>6628</v>
      </c>
    </row>
    <row r="188" spans="1:8" ht="45.6">
      <c r="A188" s="223" t="str">
        <v>Strategic Thinking</v>
      </c>
      <c r="B188" s="223" t="str">
        <v>Division Head</v>
      </c>
      <c r="C188" s="197">
        <v>3</v>
      </c>
      <c r="D188" s="228" t="s">
        <v>6629</v>
      </c>
      <c r="E188" s="228" t="s">
        <v>6403</v>
      </c>
      <c r="F188" s="228" t="s">
        <v>6630</v>
      </c>
      <c r="G188" s="229" t="s">
        <v>6405</v>
      </c>
      <c r="H188" s="228" t="s">
        <v>6406</v>
      </c>
    </row>
    <row r="189" spans="1:8" ht="34.15">
      <c r="A189" s="223" t="str">
        <v>Strategic Thinking</v>
      </c>
      <c r="B189" s="223" t="str">
        <v>Division Head</v>
      </c>
      <c r="C189" s="197">
        <v>4</v>
      </c>
      <c r="D189" s="228" t="s">
        <v>6631</v>
      </c>
      <c r="E189" s="228" t="s">
        <v>6632</v>
      </c>
      <c r="F189" s="228" t="s">
        <v>6633</v>
      </c>
      <c r="G189" s="229" t="s">
        <v>6634</v>
      </c>
      <c r="H189" s="228" t="s">
        <v>6635</v>
      </c>
    </row>
    <row r="190" spans="1:8" ht="45.6">
      <c r="A190" s="223" t="str">
        <v>Strategic Thinking</v>
      </c>
      <c r="B190" s="223" t="str">
        <v>Director</v>
      </c>
      <c r="C190" s="197">
        <v>1</v>
      </c>
      <c r="D190" s="228" t="s">
        <v>6636</v>
      </c>
      <c r="E190" s="228" t="s">
        <v>6637</v>
      </c>
      <c r="F190" s="228" t="s">
        <v>6409</v>
      </c>
      <c r="G190" s="229" t="s">
        <v>6410</v>
      </c>
      <c r="H190" s="228" t="s">
        <v>6638</v>
      </c>
    </row>
    <row r="191" spans="1:8" ht="34.15">
      <c r="A191" s="223" t="str">
        <v>Strategic Thinking</v>
      </c>
      <c r="B191" s="223" t="str">
        <v>Director</v>
      </c>
      <c r="C191" s="197">
        <v>2</v>
      </c>
      <c r="D191" s="228" t="s">
        <v>6639</v>
      </c>
      <c r="E191" s="228" t="s">
        <v>6640</v>
      </c>
      <c r="F191" s="228" t="s">
        <v>6641</v>
      </c>
      <c r="G191" s="229" t="s">
        <v>6642</v>
      </c>
      <c r="H191" s="228" t="s">
        <v>6643</v>
      </c>
    </row>
    <row r="192" spans="1:8" ht="45.6">
      <c r="A192" s="223" t="str">
        <v>Strategic Thinking</v>
      </c>
      <c r="B192" s="223" t="str">
        <v>Director</v>
      </c>
      <c r="C192" s="197">
        <v>3</v>
      </c>
      <c r="D192" s="228" t="s">
        <v>6417</v>
      </c>
      <c r="E192" s="228" t="s">
        <v>6418</v>
      </c>
      <c r="F192" s="228" t="s">
        <v>6644</v>
      </c>
      <c r="G192" s="229" t="s">
        <v>6420</v>
      </c>
      <c r="H192" s="228" t="s">
        <v>6645</v>
      </c>
    </row>
    <row r="193" spans="1:8" ht="34.15">
      <c r="A193" s="223" t="str">
        <v>Strategic Thinking</v>
      </c>
      <c r="B193" s="223" t="str">
        <v>Director</v>
      </c>
      <c r="C193" s="197">
        <v>4</v>
      </c>
      <c r="D193" s="228" t="s">
        <v>6646</v>
      </c>
      <c r="E193" s="228" t="s">
        <v>6647</v>
      </c>
      <c r="F193" s="228" t="s">
        <v>6648</v>
      </c>
      <c r="G193" s="229" t="s">
        <v>6649</v>
      </c>
      <c r="H193" s="228" t="s">
        <v>6650</v>
      </c>
    </row>
    <row r="194" spans="1:8" ht="22.9">
      <c r="A194" s="223" t="str">
        <v>Conceptual Thinking</v>
      </c>
      <c r="B194" s="223" t="str">
        <v>Officer</v>
      </c>
      <c r="C194" s="197">
        <v>1</v>
      </c>
      <c r="D194" s="228" t="s">
        <v>6651</v>
      </c>
      <c r="E194" s="228" t="s">
        <v>6652</v>
      </c>
      <c r="F194" s="228" t="s">
        <v>6653</v>
      </c>
      <c r="G194" s="229" t="s">
        <v>6654</v>
      </c>
      <c r="H194" s="228" t="s">
        <v>6655</v>
      </c>
    </row>
    <row r="195" spans="1:8" ht="34.15">
      <c r="A195" s="223" t="str">
        <v>Conceptual Thinking</v>
      </c>
      <c r="B195" s="223" t="str">
        <v>Officer</v>
      </c>
      <c r="C195" s="197">
        <v>2</v>
      </c>
      <c r="D195" s="228" t="s">
        <v>6656</v>
      </c>
      <c r="E195" s="228" t="s">
        <v>6657</v>
      </c>
      <c r="F195" s="228" t="s">
        <v>6658</v>
      </c>
      <c r="G195" s="229" t="s">
        <v>6659</v>
      </c>
      <c r="H195" s="228" t="s">
        <v>6660</v>
      </c>
    </row>
    <row r="196" spans="1:8">
      <c r="A196" s="223" t="str">
        <v>Conceptual Thinking</v>
      </c>
      <c r="B196" s="223" t="str">
        <v>Officer</v>
      </c>
      <c r="C196" s="197">
        <v>3</v>
      </c>
      <c r="D196" s="228" t="s">
        <v>6661</v>
      </c>
      <c r="E196" s="228" t="s">
        <v>6662</v>
      </c>
      <c r="F196" s="228" t="s">
        <v>6663</v>
      </c>
      <c r="G196" s="229" t="s">
        <v>6664</v>
      </c>
      <c r="H196" s="228" t="s">
        <v>6665</v>
      </c>
    </row>
    <row r="197" spans="1:8" ht="22.9">
      <c r="A197" s="223" t="str">
        <v>Conceptual Thinking</v>
      </c>
      <c r="B197" s="223" t="str">
        <v>Officer</v>
      </c>
      <c r="C197" s="197">
        <v>4</v>
      </c>
      <c r="D197" s="228" t="s">
        <v>6666</v>
      </c>
      <c r="E197" s="228" t="s">
        <v>6667</v>
      </c>
      <c r="F197" s="228" t="s">
        <v>6668</v>
      </c>
      <c r="G197" s="229" t="s">
        <v>6669</v>
      </c>
      <c r="H197" s="228" t="s">
        <v>6670</v>
      </c>
    </row>
    <row r="198" spans="1:8" ht="22.9">
      <c r="A198" s="223" t="str">
        <v>Conceptual Thinking</v>
      </c>
      <c r="B198" s="223" t="str">
        <v>Analyst</v>
      </c>
      <c r="C198" s="197">
        <v>1</v>
      </c>
      <c r="D198" s="228" t="s">
        <v>6671</v>
      </c>
      <c r="E198" s="228" t="s">
        <v>6672</v>
      </c>
      <c r="F198" s="228" t="s">
        <v>6673</v>
      </c>
      <c r="G198" s="229" t="s">
        <v>6674</v>
      </c>
      <c r="H198" s="228" t="s">
        <v>6675</v>
      </c>
    </row>
    <row r="199" spans="1:8" ht="34.15">
      <c r="A199" s="223" t="str">
        <v>Conceptual Thinking</v>
      </c>
      <c r="B199" s="223" t="str">
        <v>Analyst</v>
      </c>
      <c r="C199" s="197">
        <v>2</v>
      </c>
      <c r="D199" s="228" t="s">
        <v>6676</v>
      </c>
      <c r="E199" s="228" t="s">
        <v>6677</v>
      </c>
      <c r="F199" s="228" t="s">
        <v>6678</v>
      </c>
      <c r="G199" s="229" t="s">
        <v>6679</v>
      </c>
      <c r="H199" s="228" t="s">
        <v>6680</v>
      </c>
    </row>
    <row r="200" spans="1:8" ht="22.9">
      <c r="A200" s="223" t="str">
        <v>Conceptual Thinking</v>
      </c>
      <c r="B200" s="223" t="str">
        <v>Analyst</v>
      </c>
      <c r="C200" s="197">
        <v>3</v>
      </c>
      <c r="D200" s="228" t="s">
        <v>6681</v>
      </c>
      <c r="E200" s="228" t="s">
        <v>6682</v>
      </c>
      <c r="F200" s="228" t="s">
        <v>6683</v>
      </c>
      <c r="G200" s="229" t="s">
        <v>6684</v>
      </c>
      <c r="H200" s="228" t="s">
        <v>6685</v>
      </c>
    </row>
    <row r="201" spans="1:8" ht="22.9">
      <c r="A201" s="223" t="str">
        <v>Conceptual Thinking</v>
      </c>
      <c r="B201" s="223" t="str">
        <v>Analyst</v>
      </c>
      <c r="C201" s="197">
        <v>4</v>
      </c>
      <c r="D201" s="228" t="s">
        <v>6686</v>
      </c>
      <c r="E201" s="228" t="s">
        <v>6687</v>
      </c>
      <c r="F201" s="228" t="s">
        <v>6688</v>
      </c>
      <c r="G201" s="229" t="s">
        <v>6689</v>
      </c>
      <c r="H201" s="228" t="s">
        <v>6690</v>
      </c>
    </row>
    <row r="202" spans="1:8" ht="22.9">
      <c r="A202" s="223" t="str">
        <v>Conceptual Thinking</v>
      </c>
      <c r="B202" s="223" t="str">
        <v>Unit Head/Specialist</v>
      </c>
      <c r="C202" s="197">
        <v>1</v>
      </c>
      <c r="D202" s="228" t="s">
        <v>6691</v>
      </c>
      <c r="E202" s="228" t="s">
        <v>6692</v>
      </c>
      <c r="F202" s="228" t="s">
        <v>6693</v>
      </c>
      <c r="G202" s="229" t="s">
        <v>6694</v>
      </c>
      <c r="H202" s="228" t="s">
        <v>6695</v>
      </c>
    </row>
    <row r="203" spans="1:8" ht="34.15">
      <c r="A203" s="223" t="str">
        <v>Conceptual Thinking</v>
      </c>
      <c r="B203" s="223" t="str">
        <v>Unit Head/Specialist</v>
      </c>
      <c r="C203" s="197">
        <v>2</v>
      </c>
      <c r="D203" s="228" t="s">
        <v>6696</v>
      </c>
      <c r="E203" s="228" t="s">
        <v>6697</v>
      </c>
      <c r="F203" s="228" t="s">
        <v>6698</v>
      </c>
      <c r="G203" s="229" t="s">
        <v>6699</v>
      </c>
      <c r="H203" s="228" t="s">
        <v>6700</v>
      </c>
    </row>
    <row r="204" spans="1:8" ht="34.15">
      <c r="A204" s="223" t="str">
        <v>Conceptual Thinking</v>
      </c>
      <c r="B204" s="223" t="str">
        <v>Unit Head/Specialist</v>
      </c>
      <c r="C204" s="197">
        <v>3</v>
      </c>
      <c r="D204" s="228" t="s">
        <v>6701</v>
      </c>
      <c r="E204" s="228" t="s">
        <v>6702</v>
      </c>
      <c r="F204" s="228" t="s">
        <v>6703</v>
      </c>
      <c r="G204" s="229" t="s">
        <v>6704</v>
      </c>
      <c r="H204" s="228" t="s">
        <v>6705</v>
      </c>
    </row>
    <row r="205" spans="1:8" ht="22.9">
      <c r="A205" s="223" t="str">
        <v>Conceptual Thinking</v>
      </c>
      <c r="B205" s="223" t="str">
        <v>Unit Head/Specialist</v>
      </c>
      <c r="C205" s="197">
        <v>4</v>
      </c>
      <c r="D205" s="228" t="s">
        <v>6706</v>
      </c>
      <c r="E205" s="228" t="s">
        <v>6707</v>
      </c>
      <c r="F205" s="228" t="s">
        <v>6708</v>
      </c>
      <c r="G205" s="229" t="s">
        <v>6709</v>
      </c>
      <c r="H205" s="228" t="s">
        <v>6710</v>
      </c>
    </row>
    <row r="206" spans="1:8" ht="22.9">
      <c r="A206" s="223" t="str">
        <v>Conceptual Thinking</v>
      </c>
      <c r="B206" s="223" t="str">
        <v>Department Head</v>
      </c>
      <c r="C206" s="197">
        <v>1</v>
      </c>
      <c r="D206" s="228" t="s">
        <v>6711</v>
      </c>
      <c r="E206" s="228" t="s">
        <v>6712</v>
      </c>
      <c r="F206" s="228" t="s">
        <v>6713</v>
      </c>
      <c r="G206" s="229" t="s">
        <v>6714</v>
      </c>
      <c r="H206" s="228" t="s">
        <v>6715</v>
      </c>
    </row>
    <row r="207" spans="1:8" ht="22.9">
      <c r="A207" s="223" t="str">
        <v>Conceptual Thinking</v>
      </c>
      <c r="B207" s="223" t="str">
        <v>Department Head</v>
      </c>
      <c r="C207" s="197">
        <v>2</v>
      </c>
      <c r="D207" s="228" t="s">
        <v>6716</v>
      </c>
      <c r="E207" s="228" t="s">
        <v>6717</v>
      </c>
      <c r="F207" s="228" t="s">
        <v>6718</v>
      </c>
      <c r="G207" s="229" t="s">
        <v>6719</v>
      </c>
      <c r="H207" s="228" t="s">
        <v>6720</v>
      </c>
    </row>
    <row r="208" spans="1:8" ht="22.9">
      <c r="A208" s="223" t="str">
        <v>Conceptual Thinking</v>
      </c>
      <c r="B208" s="223" t="str">
        <v>Department Head</v>
      </c>
      <c r="C208" s="197">
        <v>3</v>
      </c>
      <c r="D208" s="228" t="s">
        <v>6721</v>
      </c>
      <c r="E208" s="228" t="s">
        <v>6722</v>
      </c>
      <c r="F208" s="228" t="s">
        <v>6723</v>
      </c>
      <c r="G208" s="229" t="s">
        <v>6724</v>
      </c>
      <c r="H208" s="228" t="s">
        <v>6725</v>
      </c>
    </row>
    <row r="209" spans="1:8" ht="22.9">
      <c r="A209" s="223" t="str">
        <v>Conceptual Thinking</v>
      </c>
      <c r="B209" s="223" t="str">
        <v>Department Head</v>
      </c>
      <c r="C209" s="197">
        <v>4</v>
      </c>
      <c r="D209" s="228" t="s">
        <v>6726</v>
      </c>
      <c r="E209" s="228" t="s">
        <v>6727</v>
      </c>
      <c r="F209" s="228" t="s">
        <v>6159</v>
      </c>
      <c r="G209" s="229" t="s">
        <v>6728</v>
      </c>
      <c r="H209" s="228" t="s">
        <v>6729</v>
      </c>
    </row>
    <row r="210" spans="1:8" ht="22.9">
      <c r="A210" s="223" t="str">
        <v>Conceptual Thinking</v>
      </c>
      <c r="B210" s="223" t="str">
        <v>Division Head</v>
      </c>
      <c r="C210" s="197">
        <v>1</v>
      </c>
      <c r="D210" s="228" t="s">
        <v>6730</v>
      </c>
      <c r="E210" s="228" t="s">
        <v>6163</v>
      </c>
      <c r="F210" s="228" t="s">
        <v>6164</v>
      </c>
      <c r="G210" s="229" t="s">
        <v>6731</v>
      </c>
      <c r="H210" s="228" t="s">
        <v>6732</v>
      </c>
    </row>
    <row r="211" spans="1:8" ht="22.9">
      <c r="A211" s="223" t="str">
        <v>Conceptual Thinking</v>
      </c>
      <c r="B211" s="223" t="str">
        <v>Division Head</v>
      </c>
      <c r="C211" s="197">
        <v>2</v>
      </c>
      <c r="D211" s="228" t="s">
        <v>6733</v>
      </c>
      <c r="E211" s="228" t="s">
        <v>6734</v>
      </c>
      <c r="F211" s="228" t="s">
        <v>6735</v>
      </c>
      <c r="G211" s="229" t="s">
        <v>6736</v>
      </c>
      <c r="H211" s="228" t="s">
        <v>6737</v>
      </c>
    </row>
    <row r="212" spans="1:8" ht="22.9">
      <c r="A212" s="223" t="str">
        <v>Conceptual Thinking</v>
      </c>
      <c r="B212" s="223" t="str">
        <v>Division Head</v>
      </c>
      <c r="C212" s="197">
        <v>3</v>
      </c>
      <c r="D212" s="228" t="s">
        <v>6738</v>
      </c>
      <c r="E212" s="228" t="s">
        <v>6173</v>
      </c>
      <c r="F212" s="228" t="s">
        <v>6739</v>
      </c>
      <c r="G212" s="229" t="s">
        <v>6740</v>
      </c>
      <c r="H212" s="228" t="s">
        <v>6176</v>
      </c>
    </row>
    <row r="213" spans="1:8" ht="34.15">
      <c r="A213" s="223" t="str">
        <v>Conceptual Thinking</v>
      </c>
      <c r="B213" s="223" t="str">
        <v>Division Head</v>
      </c>
      <c r="C213" s="197">
        <v>4</v>
      </c>
      <c r="D213" s="228" t="s">
        <v>6741</v>
      </c>
      <c r="E213" s="228" t="s">
        <v>5834</v>
      </c>
      <c r="F213" s="228" t="s">
        <v>6742</v>
      </c>
      <c r="G213" s="229" t="s">
        <v>6743</v>
      </c>
      <c r="H213" s="228" t="s">
        <v>5838</v>
      </c>
    </row>
    <row r="214" spans="1:8" ht="22.9">
      <c r="A214" s="223" t="str">
        <v>Conceptual Thinking</v>
      </c>
      <c r="B214" s="223" t="str">
        <v>Director</v>
      </c>
      <c r="C214" s="197">
        <v>1</v>
      </c>
      <c r="D214" s="228" t="s">
        <v>6182</v>
      </c>
      <c r="E214" s="228" t="s">
        <v>6183</v>
      </c>
      <c r="F214" s="228" t="s">
        <v>6744</v>
      </c>
      <c r="G214" s="229" t="s">
        <v>6185</v>
      </c>
      <c r="H214" s="228" t="s">
        <v>6186</v>
      </c>
    </row>
    <row r="215" spans="1:8" ht="34.15">
      <c r="A215" s="223" t="str">
        <v>Conceptual Thinking</v>
      </c>
      <c r="B215" s="223" t="str">
        <v>Director</v>
      </c>
      <c r="C215" s="197">
        <v>2</v>
      </c>
      <c r="D215" s="228" t="s">
        <v>6745</v>
      </c>
      <c r="E215" s="228" t="s">
        <v>6746</v>
      </c>
      <c r="F215" s="228" t="s">
        <v>6747</v>
      </c>
      <c r="G215" s="229" t="s">
        <v>6748</v>
      </c>
      <c r="H215" s="228" t="s">
        <v>6749</v>
      </c>
    </row>
    <row r="216" spans="1:8" ht="22.9">
      <c r="A216" s="223" t="str">
        <v>Conceptual Thinking</v>
      </c>
      <c r="B216" s="223" t="str">
        <v>Director</v>
      </c>
      <c r="C216" s="197">
        <v>3</v>
      </c>
      <c r="D216" s="228" t="s">
        <v>6192</v>
      </c>
      <c r="E216" s="228" t="s">
        <v>6193</v>
      </c>
      <c r="F216" s="228" t="s">
        <v>6194</v>
      </c>
      <c r="G216" s="229" t="s">
        <v>6195</v>
      </c>
      <c r="H216" s="228" t="s">
        <v>6196</v>
      </c>
    </row>
    <row r="217" spans="1:8" ht="45.6">
      <c r="A217" s="223" t="str">
        <v>Conceptual Thinking</v>
      </c>
      <c r="B217" s="223" t="str">
        <v>Director</v>
      </c>
      <c r="C217" s="197">
        <v>4</v>
      </c>
      <c r="D217" s="228" t="s">
        <v>6750</v>
      </c>
      <c r="E217" s="228" t="s">
        <v>6751</v>
      </c>
      <c r="F217" s="228" t="s">
        <v>6752</v>
      </c>
      <c r="G217" s="229" t="s">
        <v>6753</v>
      </c>
      <c r="H217" s="228" t="s">
        <v>6754</v>
      </c>
    </row>
    <row r="218" spans="1:8" ht="22.9">
      <c r="A218" s="223" t="str">
        <v>Leadership</v>
      </c>
      <c r="B218" s="223" t="str">
        <v>Officer</v>
      </c>
      <c r="C218" s="197">
        <v>1</v>
      </c>
      <c r="D218" s="228" t="s">
        <v>6755</v>
      </c>
      <c r="E218" s="228" t="s">
        <v>6756</v>
      </c>
      <c r="F218" s="228" t="s">
        <v>6757</v>
      </c>
      <c r="G218" s="229" t="s">
        <v>6758</v>
      </c>
      <c r="H218" s="228" t="s">
        <v>6759</v>
      </c>
    </row>
    <row r="219" spans="1:8" ht="22.9">
      <c r="A219" s="223" t="str">
        <v>Leadership</v>
      </c>
      <c r="B219" s="223" t="str">
        <v>Officer</v>
      </c>
      <c r="C219" s="197">
        <v>2</v>
      </c>
      <c r="D219" s="228" t="s">
        <v>6760</v>
      </c>
      <c r="E219" s="228" t="s">
        <v>6761</v>
      </c>
      <c r="F219" s="228" t="s">
        <v>6762</v>
      </c>
      <c r="G219" s="229" t="s">
        <v>6763</v>
      </c>
      <c r="H219" s="228" t="s">
        <v>6764</v>
      </c>
    </row>
    <row r="220" spans="1:8" ht="22.9">
      <c r="A220" s="223" t="str">
        <v>Leadership</v>
      </c>
      <c r="B220" s="223" t="str">
        <v>Officer</v>
      </c>
      <c r="C220" s="197">
        <v>3</v>
      </c>
      <c r="D220" s="228" t="s">
        <v>6765</v>
      </c>
      <c r="E220" s="228" t="s">
        <v>5755</v>
      </c>
      <c r="F220" s="228" t="s">
        <v>5756</v>
      </c>
      <c r="G220" s="229" t="s">
        <v>6766</v>
      </c>
      <c r="H220" s="228" t="s">
        <v>6767</v>
      </c>
    </row>
    <row r="221" spans="1:8" ht="22.9">
      <c r="A221" s="223" t="str">
        <v>Leadership</v>
      </c>
      <c r="B221" s="223" t="str">
        <v>Officer</v>
      </c>
      <c r="C221" s="197">
        <v>4</v>
      </c>
      <c r="D221" s="228" t="s">
        <v>6768</v>
      </c>
      <c r="E221" s="228" t="s">
        <v>6769</v>
      </c>
      <c r="F221" s="228" t="s">
        <v>6770</v>
      </c>
      <c r="G221" s="229" t="s">
        <v>6771</v>
      </c>
      <c r="H221" s="228" t="s">
        <v>6772</v>
      </c>
    </row>
    <row r="222" spans="1:8" ht="22.9">
      <c r="A222" s="223" t="str">
        <v>Leadership</v>
      </c>
      <c r="B222" s="223" t="str">
        <v>Analyst</v>
      </c>
      <c r="C222" s="197">
        <v>1</v>
      </c>
      <c r="D222" s="228" t="s">
        <v>6004</v>
      </c>
      <c r="E222" s="228" t="s">
        <v>6773</v>
      </c>
      <c r="F222" s="228" t="s">
        <v>6774</v>
      </c>
      <c r="G222" s="229" t="s">
        <v>6775</v>
      </c>
      <c r="H222" s="228" t="s">
        <v>6776</v>
      </c>
    </row>
    <row r="223" spans="1:8" ht="22.9">
      <c r="A223" s="223" t="str">
        <v>Leadership</v>
      </c>
      <c r="B223" s="223" t="str">
        <v>Analyst</v>
      </c>
      <c r="C223" s="197">
        <v>2</v>
      </c>
      <c r="D223" s="228" t="s">
        <v>6777</v>
      </c>
      <c r="E223" s="228" t="s">
        <v>6778</v>
      </c>
      <c r="F223" s="228" t="s">
        <v>6779</v>
      </c>
      <c r="G223" s="229" t="s">
        <v>6780</v>
      </c>
      <c r="H223" s="228" t="s">
        <v>6781</v>
      </c>
    </row>
    <row r="224" spans="1:8" ht="22.9">
      <c r="A224" s="223" t="str">
        <v>Leadership</v>
      </c>
      <c r="B224" s="223" t="str">
        <v>Analyst</v>
      </c>
      <c r="C224" s="197">
        <v>3</v>
      </c>
      <c r="D224" s="228" t="s">
        <v>6014</v>
      </c>
      <c r="E224" s="228" t="s">
        <v>6015</v>
      </c>
      <c r="F224" s="228" t="s">
        <v>6782</v>
      </c>
      <c r="G224" s="229" t="s">
        <v>6783</v>
      </c>
      <c r="H224" s="228" t="s">
        <v>6784</v>
      </c>
    </row>
    <row r="225" spans="1:8" ht="22.9">
      <c r="A225" s="223" t="str">
        <v>Leadership</v>
      </c>
      <c r="B225" s="223" t="str">
        <v>Analyst</v>
      </c>
      <c r="C225" s="197">
        <v>4</v>
      </c>
      <c r="D225" s="228" t="s">
        <v>6785</v>
      </c>
      <c r="E225" s="228" t="s">
        <v>6786</v>
      </c>
      <c r="F225" s="228" t="s">
        <v>6787</v>
      </c>
      <c r="G225" s="229" t="s">
        <v>6788</v>
      </c>
      <c r="H225" s="228" t="s">
        <v>6789</v>
      </c>
    </row>
    <row r="226" spans="1:8" ht="22.9">
      <c r="A226" s="223" t="str">
        <v>Leadership</v>
      </c>
      <c r="B226" s="223" t="str">
        <v>Unit Head/Specialist</v>
      </c>
      <c r="C226" s="197">
        <v>1</v>
      </c>
      <c r="D226" s="228" t="s">
        <v>6790</v>
      </c>
      <c r="E226" s="228" t="s">
        <v>6791</v>
      </c>
      <c r="F226" s="228" t="s">
        <v>6792</v>
      </c>
      <c r="G226" s="229" t="s">
        <v>6793</v>
      </c>
      <c r="H226" s="228" t="s">
        <v>6794</v>
      </c>
    </row>
    <row r="227" spans="1:8" ht="22.9">
      <c r="A227" s="223" t="str">
        <v>Leadership</v>
      </c>
      <c r="B227" s="223" t="str">
        <v>Unit Head/Specialist</v>
      </c>
      <c r="C227" s="197">
        <v>2</v>
      </c>
      <c r="D227" s="228" t="s">
        <v>6795</v>
      </c>
      <c r="E227" s="228" t="s">
        <v>6796</v>
      </c>
      <c r="F227" s="228" t="s">
        <v>6797</v>
      </c>
      <c r="G227" s="229" t="s">
        <v>6798</v>
      </c>
      <c r="H227" s="228" t="s">
        <v>6799</v>
      </c>
    </row>
    <row r="228" spans="1:8" ht="22.9">
      <c r="A228" s="223" t="str">
        <v>Leadership</v>
      </c>
      <c r="B228" s="223" t="str">
        <v>Unit Head/Specialist</v>
      </c>
      <c r="C228" s="197">
        <v>3</v>
      </c>
      <c r="D228" s="228" t="s">
        <v>6800</v>
      </c>
      <c r="E228" s="228" t="s">
        <v>6801</v>
      </c>
      <c r="F228" s="228" t="s">
        <v>6802</v>
      </c>
      <c r="G228" s="229" t="s">
        <v>6803</v>
      </c>
      <c r="H228" s="228" t="s">
        <v>6804</v>
      </c>
    </row>
    <row r="229" spans="1:8" ht="22.9">
      <c r="A229" s="223" t="str">
        <v>Leadership</v>
      </c>
      <c r="B229" s="223" t="str">
        <v>Unit Head/Specialist</v>
      </c>
      <c r="C229" s="197">
        <v>4</v>
      </c>
      <c r="D229" s="228" t="s">
        <v>6805</v>
      </c>
      <c r="E229" s="228" t="s">
        <v>6806</v>
      </c>
      <c r="F229" s="228" t="s">
        <v>6807</v>
      </c>
      <c r="G229" s="229" t="s">
        <v>6808</v>
      </c>
      <c r="H229" s="228" t="s">
        <v>6809</v>
      </c>
    </row>
    <row r="230" spans="1:8" ht="22.9">
      <c r="A230" s="223" t="str">
        <v>Leadership</v>
      </c>
      <c r="B230" s="223" t="str">
        <v>Department Head</v>
      </c>
      <c r="C230" s="197">
        <v>1</v>
      </c>
      <c r="D230" s="228" t="s">
        <v>6810</v>
      </c>
      <c r="E230" s="228" t="s">
        <v>6811</v>
      </c>
      <c r="F230" s="228" t="s">
        <v>6812</v>
      </c>
      <c r="G230" s="229" t="s">
        <v>6813</v>
      </c>
      <c r="H230" s="228" t="s">
        <v>6814</v>
      </c>
    </row>
    <row r="231" spans="1:8" ht="22.9">
      <c r="A231" s="223" t="str">
        <v>Leadership</v>
      </c>
      <c r="B231" s="223" t="str">
        <v>Department Head</v>
      </c>
      <c r="C231" s="197">
        <v>2</v>
      </c>
      <c r="D231" s="228" t="s">
        <v>6815</v>
      </c>
      <c r="E231" s="228" t="s">
        <v>6816</v>
      </c>
      <c r="F231" s="228" t="s">
        <v>6817</v>
      </c>
      <c r="G231" s="229" t="s">
        <v>6818</v>
      </c>
      <c r="H231" s="228" t="s">
        <v>6819</v>
      </c>
    </row>
    <row r="232" spans="1:8" ht="22.9">
      <c r="A232" s="223" t="str">
        <v>Leadership</v>
      </c>
      <c r="B232" s="223" t="str">
        <v>Department Head</v>
      </c>
      <c r="C232" s="197">
        <v>3</v>
      </c>
      <c r="D232" s="228" t="s">
        <v>6820</v>
      </c>
      <c r="E232" s="228" t="s">
        <v>6821</v>
      </c>
      <c r="F232" s="228" t="s">
        <v>6822</v>
      </c>
      <c r="G232" s="229" t="s">
        <v>6823</v>
      </c>
      <c r="H232" s="228" t="s">
        <v>6824</v>
      </c>
    </row>
    <row r="233" spans="1:8" ht="34.15">
      <c r="A233" s="223" t="str">
        <v>Leadership</v>
      </c>
      <c r="B233" s="223" t="str">
        <v>Department Head</v>
      </c>
      <c r="C233" s="197">
        <v>4</v>
      </c>
      <c r="D233" s="228" t="s">
        <v>6825</v>
      </c>
      <c r="E233" s="228" t="s">
        <v>6826</v>
      </c>
      <c r="F233" s="228" t="s">
        <v>6827</v>
      </c>
      <c r="G233" s="229" t="s">
        <v>6828</v>
      </c>
      <c r="H233" s="228" t="s">
        <v>6829</v>
      </c>
    </row>
    <row r="234" spans="1:8" ht="22.9">
      <c r="A234" s="223" t="str">
        <v>Leadership</v>
      </c>
      <c r="B234" s="223" t="str">
        <v>Division Head</v>
      </c>
      <c r="C234" s="197">
        <v>1</v>
      </c>
      <c r="D234" s="228" t="s">
        <v>6830</v>
      </c>
      <c r="E234" s="228" t="s">
        <v>6831</v>
      </c>
      <c r="F234" s="228" t="s">
        <v>6832</v>
      </c>
      <c r="G234" s="229" t="s">
        <v>196</v>
      </c>
      <c r="H234" s="228" t="s">
        <v>6833</v>
      </c>
    </row>
    <row r="235" spans="1:8" ht="22.9">
      <c r="A235" s="223" t="str">
        <v>Leadership</v>
      </c>
      <c r="B235" s="223" t="str">
        <v>Division Head</v>
      </c>
      <c r="C235" s="197">
        <v>2</v>
      </c>
      <c r="D235" s="228" t="s">
        <v>5939</v>
      </c>
      <c r="E235" s="228" t="s">
        <v>5940</v>
      </c>
      <c r="F235" s="228" t="s">
        <v>6834</v>
      </c>
      <c r="G235" s="229" t="s">
        <v>6835</v>
      </c>
      <c r="H235" s="228" t="s">
        <v>6836</v>
      </c>
    </row>
    <row r="236" spans="1:8" ht="22.9">
      <c r="A236" s="223" t="str">
        <v>Leadership</v>
      </c>
      <c r="B236" s="223" t="str">
        <v>Division Head</v>
      </c>
      <c r="C236" s="197">
        <v>3</v>
      </c>
      <c r="D236" s="228" t="s">
        <v>6837</v>
      </c>
      <c r="E236" s="228" t="s">
        <v>6838</v>
      </c>
      <c r="F236" s="228" t="s">
        <v>6839</v>
      </c>
      <c r="G236" s="229" t="s">
        <v>6840</v>
      </c>
      <c r="H236" s="228" t="s">
        <v>6841</v>
      </c>
    </row>
    <row r="237" spans="1:8">
      <c r="A237" s="223" t="str">
        <v>Leadership</v>
      </c>
      <c r="B237" s="223" t="str">
        <v>Division Head</v>
      </c>
      <c r="C237" s="197">
        <v>4</v>
      </c>
      <c r="D237" s="228" t="s">
        <v>6842</v>
      </c>
      <c r="E237" s="228" t="s">
        <v>6843</v>
      </c>
      <c r="F237" s="228" t="s">
        <v>6844</v>
      </c>
      <c r="G237" s="229" t="s">
        <v>6845</v>
      </c>
      <c r="H237" s="228" t="s">
        <v>5953</v>
      </c>
    </row>
    <row r="238" spans="1:8" ht="22.9">
      <c r="A238" s="223" t="str">
        <v>Leadership</v>
      </c>
      <c r="B238" s="223" t="str">
        <v>Director</v>
      </c>
      <c r="C238" s="197">
        <v>1</v>
      </c>
      <c r="D238" s="228" t="s">
        <v>6846</v>
      </c>
      <c r="E238" s="228" t="s">
        <v>6847</v>
      </c>
      <c r="F238" s="228" t="s">
        <v>6848</v>
      </c>
      <c r="G238" s="229" t="s">
        <v>6849</v>
      </c>
      <c r="H238" s="228" t="s">
        <v>6850</v>
      </c>
    </row>
    <row r="239" spans="1:8" ht="34.15">
      <c r="A239" s="223" t="str">
        <v>Leadership</v>
      </c>
      <c r="B239" s="223" t="str">
        <v>Director</v>
      </c>
      <c r="C239" s="197">
        <v>2</v>
      </c>
      <c r="D239" s="228" t="s">
        <v>6851</v>
      </c>
      <c r="E239" s="228" t="s">
        <v>5840</v>
      </c>
      <c r="F239" s="228" t="s">
        <v>5841</v>
      </c>
      <c r="G239" s="229" t="s">
        <v>6852</v>
      </c>
      <c r="H239" s="228" t="s">
        <v>6853</v>
      </c>
    </row>
    <row r="240" spans="1:8" ht="22.9">
      <c r="A240" s="223" t="str">
        <v>Leadership</v>
      </c>
      <c r="B240" s="223" t="str">
        <v>Director</v>
      </c>
      <c r="C240" s="197">
        <v>3</v>
      </c>
      <c r="D240" s="228" t="s">
        <v>6854</v>
      </c>
      <c r="E240" s="228" t="s">
        <v>6855</v>
      </c>
      <c r="F240" s="228" t="s">
        <v>6856</v>
      </c>
      <c r="G240" s="229" t="s">
        <v>6857</v>
      </c>
      <c r="H240" s="228" t="s">
        <v>6858</v>
      </c>
    </row>
    <row r="241" spans="1:8" ht="22.9">
      <c r="A241" s="223" t="str">
        <v>Leadership</v>
      </c>
      <c r="B241" s="223" t="str">
        <v>Director</v>
      </c>
      <c r="C241" s="197">
        <v>4</v>
      </c>
      <c r="D241" s="228" t="s">
        <v>6075</v>
      </c>
      <c r="E241" s="228" t="s">
        <v>5845</v>
      </c>
      <c r="F241" s="228" t="s">
        <v>6076</v>
      </c>
      <c r="G241" s="229" t="s">
        <v>6077</v>
      </c>
      <c r="H241" s="228" t="s">
        <v>5848</v>
      </c>
    </row>
    <row r="242" spans="1:8" ht="22.9">
      <c r="A242" s="223" t="str">
        <v>Developing Others</v>
      </c>
      <c r="B242" s="223" t="str">
        <v>Officer</v>
      </c>
      <c r="C242" s="197">
        <v>1</v>
      </c>
      <c r="D242" s="228" t="s">
        <v>6859</v>
      </c>
      <c r="E242" s="228" t="s">
        <v>6860</v>
      </c>
      <c r="F242" s="228" t="s">
        <v>6861</v>
      </c>
      <c r="G242" s="229" t="s">
        <v>6862</v>
      </c>
      <c r="H242" s="228" t="s">
        <v>6863</v>
      </c>
    </row>
    <row r="243" spans="1:8" ht="22.9">
      <c r="A243" s="223" t="str">
        <v>Developing Others</v>
      </c>
      <c r="B243" s="223" t="str">
        <v>Officer</v>
      </c>
      <c r="C243" s="197">
        <v>2</v>
      </c>
      <c r="D243" s="228" t="s">
        <v>6864</v>
      </c>
      <c r="E243" s="228" t="s">
        <v>6865</v>
      </c>
      <c r="F243" s="228" t="s">
        <v>6866</v>
      </c>
      <c r="G243" s="229" t="s">
        <v>6867</v>
      </c>
      <c r="H243" s="228" t="s">
        <v>6868</v>
      </c>
    </row>
    <row r="244" spans="1:8" ht="22.9">
      <c r="A244" s="223" t="str">
        <v>Developing Others</v>
      </c>
      <c r="B244" s="223" t="str">
        <v>Officer</v>
      </c>
      <c r="C244" s="197">
        <v>3</v>
      </c>
      <c r="D244" s="228" t="s">
        <v>6869</v>
      </c>
      <c r="E244" s="228" t="s">
        <v>6870</v>
      </c>
      <c r="F244" s="228" t="s">
        <v>6871</v>
      </c>
      <c r="G244" s="229" t="s">
        <v>6872</v>
      </c>
      <c r="H244" s="228" t="s">
        <v>6873</v>
      </c>
    </row>
    <row r="245" spans="1:8" ht="22.9">
      <c r="A245" s="223" t="str">
        <v>Developing Others</v>
      </c>
      <c r="B245" s="223" t="str">
        <v>Officer</v>
      </c>
      <c r="C245" s="197">
        <v>4</v>
      </c>
      <c r="D245" s="228" t="s">
        <v>6874</v>
      </c>
      <c r="E245" s="228" t="s">
        <v>6875</v>
      </c>
      <c r="F245" s="228" t="s">
        <v>6876</v>
      </c>
      <c r="G245" s="229" t="s">
        <v>6877</v>
      </c>
      <c r="H245" s="228" t="s">
        <v>6878</v>
      </c>
    </row>
    <row r="246" spans="1:8" ht="22.9">
      <c r="A246" s="223" t="str">
        <v>Developing Others</v>
      </c>
      <c r="B246" s="223" t="str">
        <v>Analyst</v>
      </c>
      <c r="C246" s="197">
        <v>1</v>
      </c>
      <c r="D246" s="228" t="s">
        <v>6879</v>
      </c>
      <c r="E246" s="228" t="s">
        <v>6880</v>
      </c>
      <c r="F246" s="228" t="s">
        <v>6881</v>
      </c>
      <c r="G246" s="229" t="s">
        <v>6882</v>
      </c>
      <c r="H246" s="228" t="s">
        <v>6883</v>
      </c>
    </row>
    <row r="247" spans="1:8" ht="22.9">
      <c r="A247" s="223" t="str">
        <v>Developing Others</v>
      </c>
      <c r="B247" s="223" t="str">
        <v>Analyst</v>
      </c>
      <c r="C247" s="197">
        <v>2</v>
      </c>
      <c r="D247" s="228" t="s">
        <v>6884</v>
      </c>
      <c r="E247" s="228" t="s">
        <v>6885</v>
      </c>
      <c r="F247" s="228" t="s">
        <v>6886</v>
      </c>
      <c r="G247" s="229" t="s">
        <v>6887</v>
      </c>
      <c r="H247" s="228" t="s">
        <v>6888</v>
      </c>
    </row>
    <row r="248" spans="1:8" ht="22.9">
      <c r="A248" s="223" t="str">
        <v>Developing Others</v>
      </c>
      <c r="B248" s="223" t="str">
        <v>Analyst</v>
      </c>
      <c r="C248" s="197">
        <v>3</v>
      </c>
      <c r="D248" s="228" t="s">
        <v>6889</v>
      </c>
      <c r="E248" s="228" t="s">
        <v>6890</v>
      </c>
      <c r="F248" s="228" t="s">
        <v>6891</v>
      </c>
      <c r="G248" s="229" t="s">
        <v>6892</v>
      </c>
      <c r="H248" s="228" t="s">
        <v>6893</v>
      </c>
    </row>
    <row r="249" spans="1:8" ht="22.9">
      <c r="A249" s="223" t="str">
        <v>Developing Others</v>
      </c>
      <c r="B249" s="223" t="str">
        <v>Analyst</v>
      </c>
      <c r="C249" s="197">
        <v>4</v>
      </c>
      <c r="D249" s="228" t="s">
        <v>6894</v>
      </c>
      <c r="E249" s="228" t="s">
        <v>6895</v>
      </c>
      <c r="F249" s="228" t="s">
        <v>6896</v>
      </c>
      <c r="G249" s="229" t="s">
        <v>6897</v>
      </c>
      <c r="H249" s="228" t="s">
        <v>6898</v>
      </c>
    </row>
    <row r="250" spans="1:8" ht="22.9">
      <c r="A250" s="223" t="str">
        <v>Developing Others</v>
      </c>
      <c r="B250" s="223" t="str">
        <v>Unit Head/Specialist</v>
      </c>
      <c r="C250" s="197">
        <v>1</v>
      </c>
      <c r="D250" s="228" t="s">
        <v>6899</v>
      </c>
      <c r="E250" s="228" t="s">
        <v>6900</v>
      </c>
      <c r="F250" s="228" t="s">
        <v>6901</v>
      </c>
      <c r="G250" s="229" t="s">
        <v>6902</v>
      </c>
      <c r="H250" s="228" t="s">
        <v>6903</v>
      </c>
    </row>
    <row r="251" spans="1:8" ht="22.9">
      <c r="A251" s="223" t="str">
        <v>Developing Others</v>
      </c>
      <c r="B251" s="223" t="str">
        <v>Unit Head/Specialist</v>
      </c>
      <c r="C251" s="197">
        <v>2</v>
      </c>
      <c r="D251" s="228" t="s">
        <v>6904</v>
      </c>
      <c r="E251" s="228" t="s">
        <v>6905</v>
      </c>
      <c r="F251" s="228" t="s">
        <v>6906</v>
      </c>
      <c r="G251" s="229" t="s">
        <v>6907</v>
      </c>
      <c r="H251" s="228" t="s">
        <v>6908</v>
      </c>
    </row>
    <row r="252" spans="1:8" ht="22.9">
      <c r="A252" s="223" t="str">
        <v>Developing Others</v>
      </c>
      <c r="B252" s="223" t="str">
        <v>Unit Head/Specialist</v>
      </c>
      <c r="C252" s="197">
        <v>3</v>
      </c>
      <c r="D252" s="228" t="s">
        <v>6909</v>
      </c>
      <c r="E252" s="228" t="s">
        <v>6910</v>
      </c>
      <c r="F252" s="228" t="s">
        <v>6911</v>
      </c>
      <c r="G252" s="229" t="s">
        <v>6912</v>
      </c>
      <c r="H252" s="228" t="s">
        <v>6913</v>
      </c>
    </row>
    <row r="253" spans="1:8" ht="34.15">
      <c r="A253" s="223" t="str">
        <v>Developing Others</v>
      </c>
      <c r="B253" s="223" t="str">
        <v>Unit Head/Specialist</v>
      </c>
      <c r="C253" s="197">
        <v>4</v>
      </c>
      <c r="D253" s="228" t="s">
        <v>6914</v>
      </c>
      <c r="E253" s="228" t="s">
        <v>6915</v>
      </c>
      <c r="F253" s="228" t="s">
        <v>6916</v>
      </c>
      <c r="G253" s="229" t="s">
        <v>6917</v>
      </c>
      <c r="H253" s="228" t="s">
        <v>6918</v>
      </c>
    </row>
    <row r="254" spans="1:8" ht="22.9">
      <c r="A254" s="223" t="str">
        <v>Developing Others</v>
      </c>
      <c r="B254" s="223" t="str">
        <v>Department Head</v>
      </c>
      <c r="C254" s="197">
        <v>1</v>
      </c>
      <c r="D254" s="228" t="s">
        <v>6919</v>
      </c>
      <c r="E254" s="228" t="s">
        <v>6920</v>
      </c>
      <c r="F254" s="228" t="s">
        <v>6921</v>
      </c>
      <c r="G254" s="229" t="s">
        <v>6922</v>
      </c>
      <c r="H254" s="228" t="s">
        <v>6923</v>
      </c>
    </row>
    <row r="255" spans="1:8" ht="22.9">
      <c r="A255" s="223" t="str">
        <v>Developing Others</v>
      </c>
      <c r="B255" s="223" t="str">
        <v>Department Head</v>
      </c>
      <c r="C255" s="197">
        <v>2</v>
      </c>
      <c r="D255" s="228" t="s">
        <v>6924</v>
      </c>
      <c r="E255" s="228" t="s">
        <v>6925</v>
      </c>
      <c r="F255" s="228" t="s">
        <v>6926</v>
      </c>
      <c r="G255" s="229" t="s">
        <v>6927</v>
      </c>
      <c r="H255" s="228" t="s">
        <v>6928</v>
      </c>
    </row>
    <row r="256" spans="1:8" ht="22.9">
      <c r="A256" s="223" t="str">
        <v>Developing Others</v>
      </c>
      <c r="B256" s="223" t="str">
        <v>Department Head</v>
      </c>
      <c r="C256" s="197">
        <v>3</v>
      </c>
      <c r="D256" s="228" t="s">
        <v>6929</v>
      </c>
      <c r="E256" s="228" t="s">
        <v>6930</v>
      </c>
      <c r="F256" s="228" t="s">
        <v>6931</v>
      </c>
      <c r="G256" s="229" t="s">
        <v>6932</v>
      </c>
      <c r="H256" s="228" t="s">
        <v>6933</v>
      </c>
    </row>
    <row r="257" spans="1:8" ht="22.9">
      <c r="A257" s="223" t="str">
        <v>Developing Others</v>
      </c>
      <c r="B257" s="223" t="str">
        <v>Department Head</v>
      </c>
      <c r="C257" s="197">
        <v>4</v>
      </c>
      <c r="D257" s="228" t="s">
        <v>6934</v>
      </c>
      <c r="E257" s="228" t="s">
        <v>6935</v>
      </c>
      <c r="F257" s="228" t="s">
        <v>6936</v>
      </c>
      <c r="G257" s="229" t="s">
        <v>6937</v>
      </c>
      <c r="H257" s="228" t="s">
        <v>6938</v>
      </c>
    </row>
    <row r="258" spans="1:8" ht="22.9">
      <c r="A258" s="223" t="str">
        <v>Developing Others</v>
      </c>
      <c r="B258" s="223" t="str">
        <v>Division Head</v>
      </c>
      <c r="C258" s="197">
        <v>1</v>
      </c>
      <c r="D258" s="228" t="s">
        <v>6939</v>
      </c>
      <c r="E258" s="228" t="s">
        <v>6940</v>
      </c>
      <c r="F258" s="228" t="s">
        <v>6941</v>
      </c>
      <c r="G258" s="229" t="s">
        <v>6942</v>
      </c>
      <c r="H258" s="228" t="s">
        <v>6943</v>
      </c>
    </row>
    <row r="259" spans="1:8" ht="22.9">
      <c r="A259" s="223" t="str">
        <v>Developing Others</v>
      </c>
      <c r="B259" s="223" t="str">
        <v>Division Head</v>
      </c>
      <c r="C259" s="197">
        <v>2</v>
      </c>
      <c r="D259" s="228" t="s">
        <v>6944</v>
      </c>
      <c r="E259" s="228" t="s">
        <v>6945</v>
      </c>
      <c r="F259" s="228" t="s">
        <v>6946</v>
      </c>
      <c r="G259" s="229" t="s">
        <v>6947</v>
      </c>
      <c r="H259" s="228" t="s">
        <v>6948</v>
      </c>
    </row>
    <row r="260" spans="1:8" ht="34.15">
      <c r="A260" s="223" t="str">
        <v>Developing Others</v>
      </c>
      <c r="B260" s="223" t="str">
        <v>Division Head</v>
      </c>
      <c r="C260" s="197">
        <v>3</v>
      </c>
      <c r="D260" s="228" t="s">
        <v>6949</v>
      </c>
      <c r="E260" s="228" t="s">
        <v>6950</v>
      </c>
      <c r="F260" s="228" t="s">
        <v>6951</v>
      </c>
      <c r="G260" s="229" t="s">
        <v>6952</v>
      </c>
      <c r="H260" s="228" t="s">
        <v>6953</v>
      </c>
    </row>
    <row r="261" spans="1:8" ht="22.9">
      <c r="A261" s="223" t="str">
        <v>Developing Others</v>
      </c>
      <c r="B261" s="223" t="str">
        <v>Division Head</v>
      </c>
      <c r="C261" s="197">
        <v>4</v>
      </c>
      <c r="D261" s="228" t="s">
        <v>6954</v>
      </c>
      <c r="E261" s="228" t="s">
        <v>6955</v>
      </c>
      <c r="F261" s="228" t="s">
        <v>6956</v>
      </c>
      <c r="G261" s="229" t="s">
        <v>6957</v>
      </c>
      <c r="H261" s="228" t="s">
        <v>6958</v>
      </c>
    </row>
    <row r="262" spans="1:8" ht="34.15">
      <c r="A262" s="223" t="str">
        <v>Developing Others</v>
      </c>
      <c r="B262" s="223" t="str">
        <v>Director</v>
      </c>
      <c r="C262" s="197">
        <v>1</v>
      </c>
      <c r="D262" s="228" t="s">
        <v>6959</v>
      </c>
      <c r="E262" s="228" t="s">
        <v>6960</v>
      </c>
      <c r="F262" s="228" t="s">
        <v>6961</v>
      </c>
      <c r="G262" s="229" t="s">
        <v>6962</v>
      </c>
      <c r="H262" s="228" t="s">
        <v>6963</v>
      </c>
    </row>
    <row r="263" spans="1:8" ht="34.15">
      <c r="A263" s="223" t="str">
        <v>Developing Others</v>
      </c>
      <c r="B263" s="223" t="str">
        <v>Director</v>
      </c>
      <c r="C263" s="197">
        <v>2</v>
      </c>
      <c r="D263" s="228" t="s">
        <v>6964</v>
      </c>
      <c r="E263" s="228" t="s">
        <v>6965</v>
      </c>
      <c r="F263" s="228" t="s">
        <v>6966</v>
      </c>
      <c r="G263" s="229" t="s">
        <v>6967</v>
      </c>
      <c r="H263" s="228" t="s">
        <v>6968</v>
      </c>
    </row>
    <row r="264" spans="1:8" ht="22.9">
      <c r="A264" s="223" t="str">
        <v>Developing Others</v>
      </c>
      <c r="B264" s="223" t="str">
        <v>Director</v>
      </c>
      <c r="C264" s="197">
        <v>3</v>
      </c>
      <c r="D264" s="228" t="s">
        <v>6969</v>
      </c>
      <c r="E264" s="228" t="s">
        <v>6970</v>
      </c>
      <c r="F264" s="228" t="s">
        <v>6971</v>
      </c>
      <c r="G264" s="229" t="s">
        <v>6972</v>
      </c>
      <c r="H264" s="228" t="s">
        <v>6973</v>
      </c>
    </row>
    <row r="265" spans="1:8" ht="34.15">
      <c r="A265" s="223" t="str">
        <v>Developing Others</v>
      </c>
      <c r="B265" s="223" t="str">
        <v>Director</v>
      </c>
      <c r="C265" s="197">
        <v>4</v>
      </c>
      <c r="D265" s="228" t="s">
        <v>6974</v>
      </c>
      <c r="E265" s="228" t="s">
        <v>6975</v>
      </c>
      <c r="F265" s="228" t="s">
        <v>6976</v>
      </c>
      <c r="G265" s="229" t="s">
        <v>6977</v>
      </c>
      <c r="H265" s="228" t="s">
        <v>6978</v>
      </c>
    </row>
    <row r="266" spans="1:8" ht="22.9">
      <c r="A266" s="223" t="str">
        <v>Team Work</v>
      </c>
      <c r="B266" s="223" t="str">
        <v>Officer</v>
      </c>
      <c r="C266" s="197">
        <v>1</v>
      </c>
      <c r="D266" s="228" t="s">
        <v>6979</v>
      </c>
      <c r="E266" s="228" t="s">
        <v>6980</v>
      </c>
      <c r="F266" s="228" t="s">
        <v>6981</v>
      </c>
      <c r="G266" s="229" t="s">
        <v>6982</v>
      </c>
      <c r="H266" s="228" t="s">
        <v>6983</v>
      </c>
    </row>
    <row r="267" spans="1:8" ht="34.15">
      <c r="A267" s="223" t="str">
        <v>Team Work</v>
      </c>
      <c r="B267" s="223" t="str">
        <v>Officer</v>
      </c>
      <c r="C267" s="197">
        <v>2</v>
      </c>
      <c r="D267" s="228" t="s">
        <v>6984</v>
      </c>
      <c r="E267" s="228" t="s">
        <v>6985</v>
      </c>
      <c r="F267" s="228" t="s">
        <v>6986</v>
      </c>
      <c r="G267" s="229" t="s">
        <v>6987</v>
      </c>
      <c r="H267" s="228" t="s">
        <v>6988</v>
      </c>
    </row>
    <row r="268" spans="1:8" ht="34.15">
      <c r="A268" s="223" t="str">
        <v>Team Work</v>
      </c>
      <c r="B268" s="223" t="str">
        <v>Officer</v>
      </c>
      <c r="C268" s="197">
        <v>3</v>
      </c>
      <c r="D268" s="228" t="s">
        <v>6989</v>
      </c>
      <c r="E268" s="228" t="s">
        <v>6990</v>
      </c>
      <c r="F268" s="228" t="s">
        <v>6991</v>
      </c>
      <c r="G268" s="229" t="s">
        <v>6992</v>
      </c>
      <c r="H268" s="228" t="s">
        <v>6993</v>
      </c>
    </row>
    <row r="269" spans="1:8" ht="22.9">
      <c r="A269" s="223" t="str">
        <v>Team Work</v>
      </c>
      <c r="B269" s="223" t="str">
        <v>Officer</v>
      </c>
      <c r="C269" s="197">
        <v>4</v>
      </c>
      <c r="D269" s="228" t="s">
        <v>6994</v>
      </c>
      <c r="E269" s="228" t="s">
        <v>6995</v>
      </c>
      <c r="F269" s="228" t="s">
        <v>6996</v>
      </c>
      <c r="G269" s="229" t="s">
        <v>6997</v>
      </c>
      <c r="H269" s="228" t="s">
        <v>6998</v>
      </c>
    </row>
    <row r="270" spans="1:8" ht="22.9">
      <c r="A270" s="223" t="str">
        <v>Team Work</v>
      </c>
      <c r="B270" s="223" t="str">
        <v>Analyst</v>
      </c>
      <c r="C270" s="197">
        <v>1</v>
      </c>
      <c r="D270" s="228" t="s">
        <v>6999</v>
      </c>
      <c r="E270" s="228" t="s">
        <v>7000</v>
      </c>
      <c r="F270" s="228" t="s">
        <v>7001</v>
      </c>
      <c r="G270" s="229" t="s">
        <v>7002</v>
      </c>
      <c r="H270" s="228" t="s">
        <v>7003</v>
      </c>
    </row>
    <row r="271" spans="1:8" ht="34.15">
      <c r="A271" s="223" t="str">
        <v>Team Work</v>
      </c>
      <c r="B271" s="223" t="str">
        <v>Analyst</v>
      </c>
      <c r="C271" s="197">
        <v>2</v>
      </c>
      <c r="D271" s="228" t="s">
        <v>7004</v>
      </c>
      <c r="E271" s="228" t="s">
        <v>7005</v>
      </c>
      <c r="F271" s="228" t="s">
        <v>7006</v>
      </c>
      <c r="G271" s="229" t="s">
        <v>7007</v>
      </c>
      <c r="H271" s="228" t="s">
        <v>7008</v>
      </c>
    </row>
    <row r="272" spans="1:8" ht="34.15">
      <c r="A272" s="223" t="str">
        <v>Team Work</v>
      </c>
      <c r="B272" s="223" t="str">
        <v>Analyst</v>
      </c>
      <c r="C272" s="197">
        <v>3</v>
      </c>
      <c r="D272" s="228" t="s">
        <v>7009</v>
      </c>
      <c r="E272" s="228" t="s">
        <v>7010</v>
      </c>
      <c r="F272" s="228" t="s">
        <v>7011</v>
      </c>
      <c r="G272" s="229" t="s">
        <v>7012</v>
      </c>
      <c r="H272" s="228" t="s">
        <v>7013</v>
      </c>
    </row>
    <row r="273" spans="1:8" ht="22.9">
      <c r="A273" s="223" t="str">
        <v>Team Work</v>
      </c>
      <c r="B273" s="223" t="str">
        <v>Analyst</v>
      </c>
      <c r="C273" s="197">
        <v>4</v>
      </c>
      <c r="D273" s="228" t="s">
        <v>7014</v>
      </c>
      <c r="E273" s="228" t="s">
        <v>7015</v>
      </c>
      <c r="F273" s="228" t="s">
        <v>7016</v>
      </c>
      <c r="G273" s="229" t="s">
        <v>7017</v>
      </c>
      <c r="H273" s="228" t="s">
        <v>7018</v>
      </c>
    </row>
    <row r="274" spans="1:8" ht="34.15">
      <c r="A274" s="223" t="str">
        <v>Team Work</v>
      </c>
      <c r="B274" s="223" t="str">
        <v>Unit Head/Specialist</v>
      </c>
      <c r="C274" s="197">
        <v>1</v>
      </c>
      <c r="D274" s="228" t="s">
        <v>7019</v>
      </c>
      <c r="E274" s="228" t="s">
        <v>7020</v>
      </c>
      <c r="F274" s="228" t="s">
        <v>7021</v>
      </c>
      <c r="G274" s="229" t="s">
        <v>7022</v>
      </c>
      <c r="H274" s="228" t="s">
        <v>7023</v>
      </c>
    </row>
    <row r="275" spans="1:8" ht="34.15">
      <c r="A275" s="223" t="str">
        <v>Team Work</v>
      </c>
      <c r="B275" s="223" t="str">
        <v>Unit Head/Specialist</v>
      </c>
      <c r="C275" s="197">
        <v>2</v>
      </c>
      <c r="D275" s="228" t="s">
        <v>7024</v>
      </c>
      <c r="E275" s="228" t="s">
        <v>7025</v>
      </c>
      <c r="F275" s="228" t="s">
        <v>7026</v>
      </c>
      <c r="G275" s="229" t="s">
        <v>7027</v>
      </c>
      <c r="H275" s="228" t="s">
        <v>7028</v>
      </c>
    </row>
    <row r="276" spans="1:8" ht="34.15">
      <c r="A276" s="223" t="str">
        <v>Team Work</v>
      </c>
      <c r="B276" s="223" t="str">
        <v>Unit Head/Specialist</v>
      </c>
      <c r="C276" s="197">
        <v>3</v>
      </c>
      <c r="D276" s="228" t="s">
        <v>7029</v>
      </c>
      <c r="E276" s="228" t="s">
        <v>7030</v>
      </c>
      <c r="F276" s="228" t="s">
        <v>7031</v>
      </c>
      <c r="G276" s="229" t="s">
        <v>7032</v>
      </c>
      <c r="H276" s="228" t="s">
        <v>7033</v>
      </c>
    </row>
    <row r="277" spans="1:8" ht="34.15">
      <c r="A277" s="223" t="str">
        <v>Team Work</v>
      </c>
      <c r="B277" s="223" t="str">
        <v>Unit Head/Specialist</v>
      </c>
      <c r="C277" s="197">
        <v>4</v>
      </c>
      <c r="D277" s="228" t="s">
        <v>7034</v>
      </c>
      <c r="E277" s="228" t="s">
        <v>7035</v>
      </c>
      <c r="F277" s="228" t="s">
        <v>7036</v>
      </c>
      <c r="G277" s="229" t="s">
        <v>7037</v>
      </c>
      <c r="H277" s="228" t="s">
        <v>7038</v>
      </c>
    </row>
    <row r="278" spans="1:8" ht="22.9">
      <c r="A278" s="223" t="str">
        <v>Team Work</v>
      </c>
      <c r="B278" s="223" t="str">
        <v>Department Head</v>
      </c>
      <c r="C278" s="197">
        <v>1</v>
      </c>
      <c r="D278" s="228" t="s">
        <v>7039</v>
      </c>
      <c r="E278" s="228" t="s">
        <v>6143</v>
      </c>
      <c r="F278" s="228" t="s">
        <v>7040</v>
      </c>
      <c r="G278" s="229" t="s">
        <v>7041</v>
      </c>
      <c r="H278" s="228" t="s">
        <v>7042</v>
      </c>
    </row>
    <row r="279" spans="1:8" ht="34.15">
      <c r="A279" s="223" t="str">
        <v>Team Work</v>
      </c>
      <c r="B279" s="223" t="str">
        <v>Department Head</v>
      </c>
      <c r="C279" s="197">
        <v>2</v>
      </c>
      <c r="D279" s="228" t="s">
        <v>7043</v>
      </c>
      <c r="E279" s="228" t="s">
        <v>7044</v>
      </c>
      <c r="F279" s="228" t="s">
        <v>7045</v>
      </c>
      <c r="G279" s="229" t="s">
        <v>7046</v>
      </c>
      <c r="H279" s="228" t="s">
        <v>7047</v>
      </c>
    </row>
    <row r="280" spans="1:8" ht="22.9">
      <c r="A280" s="223" t="str">
        <v>Team Work</v>
      </c>
      <c r="B280" s="223" t="str">
        <v>Department Head</v>
      </c>
      <c r="C280" s="197">
        <v>3</v>
      </c>
      <c r="D280" s="228" t="s">
        <v>7048</v>
      </c>
      <c r="E280" s="228" t="s">
        <v>6153</v>
      </c>
      <c r="F280" s="228" t="s">
        <v>7049</v>
      </c>
      <c r="G280" s="229" t="s">
        <v>7050</v>
      </c>
      <c r="H280" s="228" t="s">
        <v>7051</v>
      </c>
    </row>
    <row r="281" spans="1:8" ht="34.15">
      <c r="A281" s="223" t="str">
        <v>Team Work</v>
      </c>
      <c r="B281" s="223" t="str">
        <v>Department Head</v>
      </c>
      <c r="C281" s="197">
        <v>4</v>
      </c>
      <c r="D281" s="228" t="s">
        <v>7052</v>
      </c>
      <c r="E281" s="228" t="s">
        <v>7053</v>
      </c>
      <c r="F281" s="228" t="s">
        <v>7054</v>
      </c>
      <c r="G281" s="229" t="s">
        <v>7055</v>
      </c>
      <c r="H281" s="228" t="s">
        <v>7056</v>
      </c>
    </row>
    <row r="282" spans="1:8" ht="22.9">
      <c r="A282" s="223" t="str">
        <v>Team Work</v>
      </c>
      <c r="B282" s="223" t="str">
        <v>Division Head</v>
      </c>
      <c r="C282" s="197">
        <v>1</v>
      </c>
      <c r="D282" s="228" t="s">
        <v>7057</v>
      </c>
      <c r="E282" s="228" t="s">
        <v>7058</v>
      </c>
      <c r="F282" s="228" t="s">
        <v>7059</v>
      </c>
      <c r="G282" s="229" t="s">
        <v>7060</v>
      </c>
      <c r="H282" s="228" t="s">
        <v>7061</v>
      </c>
    </row>
    <row r="283" spans="1:8" ht="22.9">
      <c r="A283" s="223" t="str">
        <v>Team Work</v>
      </c>
      <c r="B283" s="223" t="str">
        <v>Division Head</v>
      </c>
      <c r="C283" s="197">
        <v>2</v>
      </c>
      <c r="D283" s="228" t="s">
        <v>7062</v>
      </c>
      <c r="E283" s="228" t="s">
        <v>7063</v>
      </c>
      <c r="F283" s="228" t="s">
        <v>7064</v>
      </c>
      <c r="G283" s="229" t="s">
        <v>7065</v>
      </c>
      <c r="H283" s="228" t="s">
        <v>7066</v>
      </c>
    </row>
    <row r="284" spans="1:8" ht="22.9">
      <c r="A284" s="223" t="str">
        <v>Team Work</v>
      </c>
      <c r="B284" s="223" t="str">
        <v>Division Head</v>
      </c>
      <c r="C284" s="197">
        <v>3</v>
      </c>
      <c r="D284" s="228" t="s">
        <v>7067</v>
      </c>
      <c r="E284" s="228" t="s">
        <v>7068</v>
      </c>
      <c r="F284" s="228" t="s">
        <v>7069</v>
      </c>
      <c r="G284" s="229" t="s">
        <v>7070</v>
      </c>
      <c r="H284" s="228" t="s">
        <v>7071</v>
      </c>
    </row>
    <row r="285" spans="1:8" ht="22.9">
      <c r="A285" s="223" t="str">
        <v>Team Work</v>
      </c>
      <c r="B285" s="223" t="str">
        <v>Division Head</v>
      </c>
      <c r="C285" s="197">
        <v>4</v>
      </c>
      <c r="D285" s="228" t="s">
        <v>7072</v>
      </c>
      <c r="E285" s="228" t="s">
        <v>7073</v>
      </c>
      <c r="F285" s="228" t="s">
        <v>7074</v>
      </c>
      <c r="G285" s="229" t="s">
        <v>7075</v>
      </c>
      <c r="H285" s="228" t="s">
        <v>7076</v>
      </c>
    </row>
    <row r="286" spans="1:8" ht="34.15">
      <c r="A286" s="223" t="str">
        <v>Team Work</v>
      </c>
      <c r="B286" s="223" t="str">
        <v>Director</v>
      </c>
      <c r="C286" s="197">
        <v>1</v>
      </c>
      <c r="D286" s="228" t="s">
        <v>7077</v>
      </c>
      <c r="E286" s="228" t="s">
        <v>6847</v>
      </c>
      <c r="F286" s="228" t="s">
        <v>7078</v>
      </c>
      <c r="G286" s="229" t="s">
        <v>7079</v>
      </c>
      <c r="H286" s="228" t="s">
        <v>7080</v>
      </c>
    </row>
    <row r="287" spans="1:8" ht="22.9">
      <c r="A287" s="223" t="str">
        <v>Team Work</v>
      </c>
      <c r="B287" s="223" t="str">
        <v>Director</v>
      </c>
      <c r="C287" s="197">
        <v>2</v>
      </c>
      <c r="D287" s="228" t="s">
        <v>7081</v>
      </c>
      <c r="E287" s="228" t="s">
        <v>7082</v>
      </c>
      <c r="F287" s="228" t="s">
        <v>7083</v>
      </c>
      <c r="G287" s="229" t="s">
        <v>7084</v>
      </c>
      <c r="H287" s="228" t="s">
        <v>7085</v>
      </c>
    </row>
    <row r="288" spans="1:8" ht="22.9">
      <c r="A288" s="223" t="str">
        <v>Team Work</v>
      </c>
      <c r="B288" s="223" t="str">
        <v>Director</v>
      </c>
      <c r="C288" s="197">
        <v>3</v>
      </c>
      <c r="D288" s="228" t="s">
        <v>7086</v>
      </c>
      <c r="E288" s="228" t="s">
        <v>7087</v>
      </c>
      <c r="F288" s="228" t="s">
        <v>7088</v>
      </c>
      <c r="G288" s="229" t="s">
        <v>7089</v>
      </c>
      <c r="H288" s="228" t="s">
        <v>7090</v>
      </c>
    </row>
    <row r="289" spans="1:8" ht="34.15">
      <c r="A289" s="223" t="str">
        <v>Team Work</v>
      </c>
      <c r="B289" s="223" t="str">
        <v>Director</v>
      </c>
      <c r="C289" s="197">
        <v>4</v>
      </c>
      <c r="D289" s="228" t="s">
        <v>7091</v>
      </c>
      <c r="E289" s="228" t="s">
        <v>7092</v>
      </c>
      <c r="F289" s="228" t="s">
        <v>7093</v>
      </c>
      <c r="G289" s="229" t="s">
        <v>7094</v>
      </c>
      <c r="H289" s="228" t="s">
        <v>7095</v>
      </c>
    </row>
    <row r="290" spans="1:8" ht="34.15">
      <c r="A290" s="223" t="str">
        <v>Communication &amp; Deal with Others</v>
      </c>
      <c r="B290" s="223" t="str">
        <v>Officer</v>
      </c>
      <c r="C290" s="197">
        <v>1</v>
      </c>
      <c r="D290" s="228" t="s">
        <v>7096</v>
      </c>
      <c r="E290" s="228" t="s">
        <v>7097</v>
      </c>
      <c r="F290" s="228" t="s">
        <v>7098</v>
      </c>
      <c r="G290" s="229" t="s">
        <v>7099</v>
      </c>
      <c r="H290" s="228" t="s">
        <v>7100</v>
      </c>
    </row>
    <row r="291" spans="1:8" ht="34.15">
      <c r="A291" s="223" t="str">
        <v>Communication &amp; Deal with Others</v>
      </c>
      <c r="B291" s="223" t="str">
        <v>Officer</v>
      </c>
      <c r="C291" s="197">
        <v>2</v>
      </c>
      <c r="D291" s="228" t="s">
        <v>7101</v>
      </c>
      <c r="E291" s="228" t="s">
        <v>7102</v>
      </c>
      <c r="F291" s="228" t="s">
        <v>7103</v>
      </c>
      <c r="G291" s="229" t="s">
        <v>7104</v>
      </c>
      <c r="H291" s="228" t="s">
        <v>7105</v>
      </c>
    </row>
    <row r="292" spans="1:8" ht="34.15">
      <c r="A292" s="223" t="str">
        <v>Communication &amp; Deal with Others</v>
      </c>
      <c r="B292" s="223" t="str">
        <v>Officer</v>
      </c>
      <c r="C292" s="197">
        <v>3</v>
      </c>
      <c r="D292" s="228" t="s">
        <v>7106</v>
      </c>
      <c r="E292" s="228" t="s">
        <v>7107</v>
      </c>
      <c r="F292" s="228" t="s">
        <v>7108</v>
      </c>
      <c r="G292" s="229" t="s">
        <v>7109</v>
      </c>
      <c r="H292" s="228" t="s">
        <v>7110</v>
      </c>
    </row>
    <row r="293" spans="1:8" ht="45.6">
      <c r="A293" s="223" t="str">
        <v>Communication &amp; Deal with Others</v>
      </c>
      <c r="B293" s="223" t="str">
        <v>Officer</v>
      </c>
      <c r="C293" s="197">
        <v>4</v>
      </c>
      <c r="D293" s="228" t="s">
        <v>7111</v>
      </c>
      <c r="E293" s="228" t="s">
        <v>7112</v>
      </c>
      <c r="F293" s="228" t="s">
        <v>7113</v>
      </c>
      <c r="G293" s="229" t="s">
        <v>7114</v>
      </c>
      <c r="H293" s="228" t="s">
        <v>7115</v>
      </c>
    </row>
    <row r="294" spans="1:8" ht="34.15">
      <c r="A294" s="223" t="str">
        <v>Communication &amp; Deal with Others</v>
      </c>
      <c r="B294" s="223" t="str">
        <v>Analyst</v>
      </c>
      <c r="C294" s="197">
        <v>1</v>
      </c>
      <c r="D294" s="228" t="s">
        <v>7116</v>
      </c>
      <c r="E294" s="228" t="s">
        <v>7117</v>
      </c>
      <c r="F294" s="228" t="s">
        <v>7118</v>
      </c>
      <c r="G294" s="229" t="s">
        <v>7119</v>
      </c>
      <c r="H294" s="228" t="s">
        <v>7120</v>
      </c>
    </row>
    <row r="295" spans="1:8" ht="45.6">
      <c r="A295" s="223" t="str">
        <v>Communication &amp; Deal with Others</v>
      </c>
      <c r="B295" s="223" t="str">
        <v>Analyst</v>
      </c>
      <c r="C295" s="197">
        <v>2</v>
      </c>
      <c r="D295" s="228" t="s">
        <v>7121</v>
      </c>
      <c r="E295" s="228" t="s">
        <v>7122</v>
      </c>
      <c r="F295" s="228" t="s">
        <v>6570</v>
      </c>
      <c r="G295" s="229" t="s">
        <v>7123</v>
      </c>
      <c r="H295" s="228" t="s">
        <v>7124</v>
      </c>
    </row>
    <row r="296" spans="1:8" ht="34.15">
      <c r="A296" s="223" t="str">
        <v>Communication &amp; Deal with Others</v>
      </c>
      <c r="B296" s="223" t="str">
        <v>Analyst</v>
      </c>
      <c r="C296" s="197">
        <v>3</v>
      </c>
      <c r="D296" s="228" t="s">
        <v>7125</v>
      </c>
      <c r="E296" s="228" t="s">
        <v>7126</v>
      </c>
      <c r="F296" s="228" t="s">
        <v>7127</v>
      </c>
      <c r="G296" s="229" t="s">
        <v>7128</v>
      </c>
      <c r="H296" s="228" t="s">
        <v>7129</v>
      </c>
    </row>
    <row r="297" spans="1:8" ht="34.15">
      <c r="A297" s="223" t="str">
        <v>Communication &amp; Deal with Others</v>
      </c>
      <c r="B297" s="223" t="str">
        <v>Analyst</v>
      </c>
      <c r="C297" s="197">
        <v>4</v>
      </c>
      <c r="D297" s="228" t="s">
        <v>7130</v>
      </c>
      <c r="E297" s="228" t="s">
        <v>7131</v>
      </c>
      <c r="F297" s="228" t="s">
        <v>7132</v>
      </c>
      <c r="G297" s="229" t="s">
        <v>6581</v>
      </c>
      <c r="H297" s="228" t="s">
        <v>7133</v>
      </c>
    </row>
    <row r="298" spans="1:8" ht="34.15">
      <c r="A298" s="223" t="str">
        <v>Communication &amp; Deal with Others</v>
      </c>
      <c r="B298" s="223" t="str">
        <v>Unit Head/Specialist</v>
      </c>
      <c r="C298" s="197">
        <v>1</v>
      </c>
      <c r="D298" s="228" t="s">
        <v>7134</v>
      </c>
      <c r="E298" s="228" t="s">
        <v>7135</v>
      </c>
      <c r="F298" s="228" t="s">
        <v>7136</v>
      </c>
      <c r="G298" s="229" t="s">
        <v>7137</v>
      </c>
      <c r="H298" s="228" t="s">
        <v>7138</v>
      </c>
    </row>
    <row r="299" spans="1:8" ht="45.6">
      <c r="A299" s="223" t="str">
        <v>Communication &amp; Deal with Others</v>
      </c>
      <c r="B299" s="223" t="str">
        <v>Unit Head/Specialist</v>
      </c>
      <c r="C299" s="197">
        <v>2</v>
      </c>
      <c r="D299" s="228" t="s">
        <v>7139</v>
      </c>
      <c r="E299" s="228" t="s">
        <v>7140</v>
      </c>
      <c r="F299" s="228" t="s">
        <v>7141</v>
      </c>
      <c r="G299" s="229" t="s">
        <v>7142</v>
      </c>
      <c r="H299" s="228" t="s">
        <v>7143</v>
      </c>
    </row>
    <row r="300" spans="1:8" ht="34.15">
      <c r="A300" s="223" t="str">
        <v>Communication &amp; Deal with Others</v>
      </c>
      <c r="B300" s="223" t="str">
        <v>Unit Head/Specialist</v>
      </c>
      <c r="C300" s="197">
        <v>3</v>
      </c>
      <c r="D300" s="228" t="s">
        <v>7144</v>
      </c>
      <c r="E300" s="228" t="s">
        <v>7145</v>
      </c>
      <c r="F300" s="228" t="s">
        <v>7146</v>
      </c>
      <c r="G300" s="229" t="s">
        <v>7147</v>
      </c>
      <c r="H300" s="228" t="s">
        <v>7148</v>
      </c>
    </row>
    <row r="301" spans="1:8" ht="45.6">
      <c r="A301" s="223" t="str">
        <v>Communication &amp; Deal with Others</v>
      </c>
      <c r="B301" s="223" t="str">
        <v>Unit Head/Specialist</v>
      </c>
      <c r="C301" s="197">
        <v>4</v>
      </c>
      <c r="D301" s="228" t="s">
        <v>7149</v>
      </c>
      <c r="E301" s="228" t="s">
        <v>7150</v>
      </c>
      <c r="F301" s="228" t="s">
        <v>7151</v>
      </c>
      <c r="G301" s="229" t="s">
        <v>7152</v>
      </c>
      <c r="H301" s="228" t="s">
        <v>7153</v>
      </c>
    </row>
    <row r="302" spans="1:8" ht="34.15">
      <c r="A302" s="223" t="str">
        <v>Communication &amp; Deal with Others</v>
      </c>
      <c r="B302" s="223" t="str">
        <v>Department Head</v>
      </c>
      <c r="C302" s="197">
        <v>1</v>
      </c>
      <c r="D302" s="228" t="s">
        <v>7154</v>
      </c>
      <c r="E302" s="228" t="s">
        <v>7155</v>
      </c>
      <c r="F302" s="228" t="s">
        <v>7156</v>
      </c>
      <c r="G302" s="229" t="s">
        <v>7157</v>
      </c>
      <c r="H302" s="228" t="s">
        <v>7158</v>
      </c>
    </row>
    <row r="303" spans="1:8" ht="34.15">
      <c r="A303" s="223" t="str">
        <v>Communication &amp; Deal with Others</v>
      </c>
      <c r="B303" s="223" t="str">
        <v>Department Head</v>
      </c>
      <c r="C303" s="197">
        <v>2</v>
      </c>
      <c r="D303" s="228" t="s">
        <v>7159</v>
      </c>
      <c r="E303" s="228" t="s">
        <v>7160</v>
      </c>
      <c r="F303" s="228" t="s">
        <v>7161</v>
      </c>
      <c r="G303" s="229" t="s">
        <v>7162</v>
      </c>
      <c r="H303" s="228" t="s">
        <v>7163</v>
      </c>
    </row>
    <row r="304" spans="1:8" ht="45.6">
      <c r="A304" s="223" t="str">
        <v>Communication &amp; Deal with Others</v>
      </c>
      <c r="B304" s="223" t="str">
        <v>Department Head</v>
      </c>
      <c r="C304" s="197">
        <v>3</v>
      </c>
      <c r="D304" s="228" t="s">
        <v>7164</v>
      </c>
      <c r="E304" s="228" t="s">
        <v>7165</v>
      </c>
      <c r="F304" s="228" t="s">
        <v>7166</v>
      </c>
      <c r="G304" s="229" t="s">
        <v>7167</v>
      </c>
      <c r="H304" s="228" t="s">
        <v>7168</v>
      </c>
    </row>
    <row r="305" spans="1:8" ht="45.6">
      <c r="A305" s="223" t="str">
        <v>Communication &amp; Deal with Others</v>
      </c>
      <c r="B305" s="223" t="str">
        <v>Department Head</v>
      </c>
      <c r="C305" s="197">
        <v>4</v>
      </c>
      <c r="D305" s="228" t="s">
        <v>7169</v>
      </c>
      <c r="E305" s="228" t="s">
        <v>7170</v>
      </c>
      <c r="F305" s="228" t="s">
        <v>7171</v>
      </c>
      <c r="G305" s="229" t="s">
        <v>7172</v>
      </c>
      <c r="H305" s="228" t="s">
        <v>7173</v>
      </c>
    </row>
    <row r="306" spans="1:8" ht="45.6">
      <c r="A306" s="223" t="str">
        <v>Communication &amp; Deal with Others</v>
      </c>
      <c r="B306" s="223" t="str">
        <v>Division Head</v>
      </c>
      <c r="C306" s="197">
        <v>1</v>
      </c>
      <c r="D306" s="228" t="s">
        <v>7174</v>
      </c>
      <c r="E306" s="228" t="s">
        <v>7175</v>
      </c>
      <c r="F306" s="228" t="s">
        <v>7176</v>
      </c>
      <c r="G306" s="229" t="s">
        <v>7177</v>
      </c>
      <c r="H306" s="228" t="s">
        <v>7178</v>
      </c>
    </row>
    <row r="307" spans="1:8" ht="45.6">
      <c r="A307" s="223" t="str">
        <v>Communication &amp; Deal with Others</v>
      </c>
      <c r="B307" s="223" t="str">
        <v>Division Head</v>
      </c>
      <c r="C307" s="197">
        <v>2</v>
      </c>
      <c r="D307" s="228" t="s">
        <v>7179</v>
      </c>
      <c r="E307" s="228" t="s">
        <v>7180</v>
      </c>
      <c r="F307" s="228" t="s">
        <v>7181</v>
      </c>
      <c r="G307" s="229" t="s">
        <v>7182</v>
      </c>
      <c r="H307" s="228" t="s">
        <v>7183</v>
      </c>
    </row>
    <row r="308" spans="1:8" ht="45.6">
      <c r="A308" s="223" t="str">
        <v>Communication &amp; Deal with Others</v>
      </c>
      <c r="B308" s="223" t="str">
        <v>Division Head</v>
      </c>
      <c r="C308" s="197">
        <v>3</v>
      </c>
      <c r="D308" s="228" t="s">
        <v>7184</v>
      </c>
      <c r="E308" s="228" t="s">
        <v>7185</v>
      </c>
      <c r="F308" s="228" t="s">
        <v>7186</v>
      </c>
      <c r="G308" s="229" t="s">
        <v>7187</v>
      </c>
      <c r="H308" s="228" t="s">
        <v>7188</v>
      </c>
    </row>
    <row r="309" spans="1:8" ht="34.15">
      <c r="A309" s="223" t="str">
        <v>Communication &amp; Deal with Others</v>
      </c>
      <c r="B309" s="223" t="str">
        <v>Division Head</v>
      </c>
      <c r="C309" s="197">
        <v>4</v>
      </c>
      <c r="D309" s="228" t="s">
        <v>7189</v>
      </c>
      <c r="E309" s="228" t="s">
        <v>7190</v>
      </c>
      <c r="F309" s="228" t="s">
        <v>7191</v>
      </c>
      <c r="G309" s="229" t="s">
        <v>7192</v>
      </c>
      <c r="H309" s="228" t="s">
        <v>7193</v>
      </c>
    </row>
    <row r="310" spans="1:8" ht="34.15">
      <c r="A310" s="223" t="str">
        <v>Communication &amp; Deal with Others</v>
      </c>
      <c r="B310" s="223" t="str">
        <v>Director</v>
      </c>
      <c r="C310" s="197">
        <v>1</v>
      </c>
      <c r="D310" s="228" t="s">
        <v>7194</v>
      </c>
      <c r="E310" s="228" t="s">
        <v>7195</v>
      </c>
      <c r="F310" s="228" t="s">
        <v>7196</v>
      </c>
      <c r="G310" s="229" t="s">
        <v>7197</v>
      </c>
      <c r="H310" s="228" t="s">
        <v>7198</v>
      </c>
    </row>
    <row r="311" spans="1:8" ht="34.15">
      <c r="A311" s="223" t="str">
        <v>Communication &amp; Deal with Others</v>
      </c>
      <c r="B311" s="223" t="str">
        <v>Director</v>
      </c>
      <c r="C311" s="197">
        <v>2</v>
      </c>
      <c r="D311" s="228" t="s">
        <v>7199</v>
      </c>
      <c r="E311" s="228" t="s">
        <v>7200</v>
      </c>
      <c r="F311" s="228" t="s">
        <v>7201</v>
      </c>
      <c r="G311" s="229" t="s">
        <v>7202</v>
      </c>
      <c r="H311" s="228" t="s">
        <v>7203</v>
      </c>
    </row>
    <row r="312" spans="1:8" ht="45.6">
      <c r="A312" s="223" t="str">
        <v>Communication &amp; Deal with Others</v>
      </c>
      <c r="B312" s="223" t="str">
        <v>Director</v>
      </c>
      <c r="C312" s="197">
        <v>3</v>
      </c>
      <c r="D312" s="228" t="s">
        <v>7204</v>
      </c>
      <c r="E312" s="228" t="s">
        <v>7205</v>
      </c>
      <c r="F312" s="228" t="s">
        <v>7206</v>
      </c>
      <c r="G312" s="229" t="s">
        <v>7207</v>
      </c>
      <c r="H312" s="228" t="s">
        <v>7208</v>
      </c>
    </row>
    <row r="313" spans="1:8" ht="45.6">
      <c r="A313" s="223" t="str">
        <v>Communication &amp; Deal with Others</v>
      </c>
      <c r="B313" s="223" t="str">
        <v>Director</v>
      </c>
      <c r="C313" s="197">
        <v>4</v>
      </c>
      <c r="D313" s="228" t="s">
        <v>7209</v>
      </c>
      <c r="E313" s="228" t="s">
        <v>7210</v>
      </c>
      <c r="F313" s="228" t="s">
        <v>7211</v>
      </c>
      <c r="G313" s="229" t="s">
        <v>7212</v>
      </c>
      <c r="H313" s="228" t="s">
        <v>7213</v>
      </c>
    </row>
    <row r="314" spans="1:8" ht="34.15">
      <c r="A314" s="223" t="str">
        <v>Customer Focus</v>
      </c>
      <c r="B314" s="223" t="str">
        <v>Officer</v>
      </c>
      <c r="C314" s="197">
        <v>1</v>
      </c>
      <c r="D314" s="228" t="s">
        <v>7214</v>
      </c>
      <c r="E314" s="228" t="s">
        <v>7215</v>
      </c>
      <c r="F314" s="228" t="s">
        <v>7216</v>
      </c>
      <c r="G314" s="229" t="s">
        <v>7217</v>
      </c>
      <c r="H314" s="228" t="s">
        <v>7218</v>
      </c>
    </row>
    <row r="315" spans="1:8" ht="34.15">
      <c r="A315" s="223" t="str">
        <v>Customer Focus</v>
      </c>
      <c r="B315" s="223" t="str">
        <v>Officer</v>
      </c>
      <c r="C315" s="197">
        <v>2</v>
      </c>
      <c r="D315" s="228" t="s">
        <v>7219</v>
      </c>
      <c r="E315" s="228" t="s">
        <v>7220</v>
      </c>
      <c r="F315" s="228" t="s">
        <v>7221</v>
      </c>
      <c r="G315" s="229" t="s">
        <v>7222</v>
      </c>
      <c r="H315" s="228" t="s">
        <v>7223</v>
      </c>
    </row>
    <row r="316" spans="1:8" ht="34.15">
      <c r="A316" s="223" t="str">
        <v>Customer Focus</v>
      </c>
      <c r="B316" s="223" t="str">
        <v>Officer</v>
      </c>
      <c r="C316" s="197">
        <v>3</v>
      </c>
      <c r="D316" s="228" t="s">
        <v>7224</v>
      </c>
      <c r="E316" s="228" t="s">
        <v>7225</v>
      </c>
      <c r="F316" s="228" t="s">
        <v>7226</v>
      </c>
      <c r="G316" s="229" t="s">
        <v>7227</v>
      </c>
      <c r="H316" s="228" t="s">
        <v>7228</v>
      </c>
    </row>
    <row r="317" spans="1:8" ht="45.6">
      <c r="A317" s="223" t="str">
        <v>Customer Focus</v>
      </c>
      <c r="B317" s="223" t="str">
        <v>Officer</v>
      </c>
      <c r="C317" s="197">
        <v>4</v>
      </c>
      <c r="D317" s="228" t="s">
        <v>7229</v>
      </c>
      <c r="E317" s="228" t="s">
        <v>7230</v>
      </c>
      <c r="F317" s="228" t="s">
        <v>7231</v>
      </c>
      <c r="G317" s="229" t="s">
        <v>7232</v>
      </c>
      <c r="H317" s="228" t="s">
        <v>7233</v>
      </c>
    </row>
    <row r="318" spans="1:8" ht="45.6">
      <c r="A318" s="223" t="str">
        <v>Customer Focus</v>
      </c>
      <c r="B318" s="223" t="str">
        <v>Analyst</v>
      </c>
      <c r="C318" s="197">
        <v>1</v>
      </c>
      <c r="D318" s="228" t="s">
        <v>7234</v>
      </c>
      <c r="E318" s="228" t="s">
        <v>7235</v>
      </c>
      <c r="F318" s="228" t="s">
        <v>7236</v>
      </c>
      <c r="G318" s="229" t="s">
        <v>7237</v>
      </c>
      <c r="H318" s="228" t="s">
        <v>7238</v>
      </c>
    </row>
    <row r="319" spans="1:8" ht="34.15">
      <c r="A319" s="223" t="str">
        <v>Customer Focus</v>
      </c>
      <c r="B319" s="223" t="str">
        <v>Analyst</v>
      </c>
      <c r="C319" s="197">
        <v>2</v>
      </c>
      <c r="D319" s="228" t="s">
        <v>7239</v>
      </c>
      <c r="E319" s="228" t="s">
        <v>7240</v>
      </c>
      <c r="F319" s="228" t="s">
        <v>7241</v>
      </c>
      <c r="G319" s="229" t="s">
        <v>7242</v>
      </c>
      <c r="H319" s="228" t="s">
        <v>7243</v>
      </c>
    </row>
    <row r="320" spans="1:8" ht="34.15">
      <c r="A320" s="223" t="str">
        <v>Customer Focus</v>
      </c>
      <c r="B320" s="223" t="str">
        <v>Analyst</v>
      </c>
      <c r="C320" s="197">
        <v>3</v>
      </c>
      <c r="D320" s="228" t="s">
        <v>7244</v>
      </c>
      <c r="E320" s="228" t="s">
        <v>7245</v>
      </c>
      <c r="F320" s="228" t="s">
        <v>7246</v>
      </c>
      <c r="G320" s="229" t="s">
        <v>7247</v>
      </c>
      <c r="H320" s="228" t="s">
        <v>7248</v>
      </c>
    </row>
    <row r="321" spans="1:8" ht="34.15">
      <c r="A321" s="223" t="str">
        <v>Customer Focus</v>
      </c>
      <c r="B321" s="223" t="str">
        <v>Analyst</v>
      </c>
      <c r="C321" s="197">
        <v>4</v>
      </c>
      <c r="D321" s="228" t="s">
        <v>7249</v>
      </c>
      <c r="E321" s="228" t="s">
        <v>7250</v>
      </c>
      <c r="F321" s="228" t="s">
        <v>7251</v>
      </c>
      <c r="G321" s="229" t="s">
        <v>7252</v>
      </c>
      <c r="H321" s="228" t="s">
        <v>7253</v>
      </c>
    </row>
    <row r="322" spans="1:8" ht="45.6">
      <c r="A322" s="223" t="str">
        <v>Customer Focus</v>
      </c>
      <c r="B322" s="223" t="str">
        <v>Unit Head/Specialist</v>
      </c>
      <c r="C322" s="197">
        <v>1</v>
      </c>
      <c r="D322" s="228" t="s">
        <v>7254</v>
      </c>
      <c r="E322" s="228" t="s">
        <v>7255</v>
      </c>
      <c r="F322" s="228" t="s">
        <v>7256</v>
      </c>
      <c r="G322" s="229" t="s">
        <v>7257</v>
      </c>
      <c r="H322" s="228" t="s">
        <v>7258</v>
      </c>
    </row>
    <row r="323" spans="1:8" ht="34.15">
      <c r="A323" s="223" t="str">
        <v>Customer Focus</v>
      </c>
      <c r="B323" s="223" t="str">
        <v>Unit Head/Specialist</v>
      </c>
      <c r="C323" s="197">
        <v>2</v>
      </c>
      <c r="D323" s="228" t="s">
        <v>7259</v>
      </c>
      <c r="E323" s="228" t="s">
        <v>7260</v>
      </c>
      <c r="F323" s="228" t="s">
        <v>7261</v>
      </c>
      <c r="G323" s="229" t="s">
        <v>7262</v>
      </c>
      <c r="H323" s="228" t="s">
        <v>7263</v>
      </c>
    </row>
    <row r="324" spans="1:8" ht="45.6">
      <c r="A324" s="223" t="str">
        <v>Customer Focus</v>
      </c>
      <c r="B324" s="223" t="str">
        <v>Unit Head/Specialist</v>
      </c>
      <c r="C324" s="197">
        <v>3</v>
      </c>
      <c r="D324" s="228" t="s">
        <v>7264</v>
      </c>
      <c r="E324" s="228" t="s">
        <v>7265</v>
      </c>
      <c r="F324" s="228" t="s">
        <v>7266</v>
      </c>
      <c r="G324" s="229" t="s">
        <v>7267</v>
      </c>
      <c r="H324" s="228" t="s">
        <v>7268</v>
      </c>
    </row>
    <row r="325" spans="1:8" ht="34.15">
      <c r="A325" s="223" t="str">
        <v>Customer Focus</v>
      </c>
      <c r="B325" s="223" t="str">
        <v>Unit Head/Specialist</v>
      </c>
      <c r="C325" s="197">
        <v>4</v>
      </c>
      <c r="D325" s="228" t="s">
        <v>7269</v>
      </c>
      <c r="E325" s="228" t="s">
        <v>7270</v>
      </c>
      <c r="F325" s="228" t="s">
        <v>7271</v>
      </c>
      <c r="G325" s="229" t="s">
        <v>7272</v>
      </c>
      <c r="H325" s="228" t="s">
        <v>7273</v>
      </c>
    </row>
    <row r="326" spans="1:8" ht="34.15">
      <c r="A326" s="223" t="str">
        <v>Customer Focus</v>
      </c>
      <c r="B326" s="223" t="str">
        <v>Department Head</v>
      </c>
      <c r="C326" s="197">
        <v>1</v>
      </c>
      <c r="D326" s="228" t="s">
        <v>7274</v>
      </c>
      <c r="E326" s="228" t="s">
        <v>7275</v>
      </c>
      <c r="F326" s="228" t="s">
        <v>7276</v>
      </c>
      <c r="G326" s="229" t="s">
        <v>7277</v>
      </c>
      <c r="H326" s="228" t="s">
        <v>7278</v>
      </c>
    </row>
    <row r="327" spans="1:8" ht="45.6">
      <c r="A327" s="223" t="str">
        <v>Customer Focus</v>
      </c>
      <c r="B327" s="223" t="str">
        <v>Department Head</v>
      </c>
      <c r="C327" s="197">
        <v>2</v>
      </c>
      <c r="D327" s="228" t="s">
        <v>7279</v>
      </c>
      <c r="E327" s="228" t="s">
        <v>7280</v>
      </c>
      <c r="F327" s="228" t="s">
        <v>7281</v>
      </c>
      <c r="G327" s="229" t="s">
        <v>7282</v>
      </c>
      <c r="H327" s="228" t="s">
        <v>7283</v>
      </c>
    </row>
    <row r="328" spans="1:8" ht="45.6">
      <c r="A328" s="223" t="str">
        <v>Customer Focus</v>
      </c>
      <c r="B328" s="223" t="str">
        <v>Department Head</v>
      </c>
      <c r="C328" s="197">
        <v>3</v>
      </c>
      <c r="D328" s="228" t="s">
        <v>7284</v>
      </c>
      <c r="E328" s="228" t="s">
        <v>7285</v>
      </c>
      <c r="F328" s="228" t="s">
        <v>7286</v>
      </c>
      <c r="G328" s="229" t="s">
        <v>7287</v>
      </c>
      <c r="H328" s="228" t="s">
        <v>7288</v>
      </c>
    </row>
    <row r="329" spans="1:8" ht="45.6">
      <c r="A329" s="223" t="str">
        <v>Customer Focus</v>
      </c>
      <c r="B329" s="223" t="str">
        <v>Department Head</v>
      </c>
      <c r="C329" s="197">
        <v>4</v>
      </c>
      <c r="D329" s="228" t="s">
        <v>7289</v>
      </c>
      <c r="E329" s="228" t="s">
        <v>7290</v>
      </c>
      <c r="F329" s="228" t="s">
        <v>7291</v>
      </c>
      <c r="G329" s="229" t="s">
        <v>7292</v>
      </c>
      <c r="H329" s="228" t="s">
        <v>7293</v>
      </c>
    </row>
    <row r="330" spans="1:8" ht="68.45">
      <c r="A330" s="223" t="str">
        <v>Customer Focus</v>
      </c>
      <c r="B330" s="223" t="str">
        <v>Division Head</v>
      </c>
      <c r="C330" s="197">
        <v>1</v>
      </c>
      <c r="D330" s="228" t="s">
        <v>7294</v>
      </c>
      <c r="E330" s="228" t="s">
        <v>7295</v>
      </c>
      <c r="F330" s="228" t="s">
        <v>7296</v>
      </c>
      <c r="G330" s="229" t="s">
        <v>7297</v>
      </c>
      <c r="H330" s="228" t="s">
        <v>7298</v>
      </c>
    </row>
    <row r="331" spans="1:8" ht="57">
      <c r="A331" s="223" t="str">
        <v>Customer Focus</v>
      </c>
      <c r="B331" s="223" t="str">
        <v>Division Head</v>
      </c>
      <c r="C331" s="197">
        <v>2</v>
      </c>
      <c r="D331" s="228" t="s">
        <v>7299</v>
      </c>
      <c r="E331" s="228" t="s">
        <v>7300</v>
      </c>
      <c r="F331" s="228" t="s">
        <v>7301</v>
      </c>
      <c r="G331" s="229" t="s">
        <v>7302</v>
      </c>
      <c r="H331" s="228" t="s">
        <v>7303</v>
      </c>
    </row>
    <row r="332" spans="1:8" ht="45.6">
      <c r="A332" s="223" t="str">
        <v>Customer Focus</v>
      </c>
      <c r="B332" s="223" t="str">
        <v>Division Head</v>
      </c>
      <c r="C332" s="197">
        <v>3</v>
      </c>
      <c r="D332" s="228" t="s">
        <v>7304</v>
      </c>
      <c r="E332" s="228" t="s">
        <v>7305</v>
      </c>
      <c r="F332" s="228" t="s">
        <v>7306</v>
      </c>
      <c r="G332" s="229" t="s">
        <v>7307</v>
      </c>
      <c r="H332" s="228" t="s">
        <v>7308</v>
      </c>
    </row>
    <row r="333" spans="1:8" ht="34.15">
      <c r="A333" s="223" t="str">
        <v>Customer Focus</v>
      </c>
      <c r="B333" s="223" t="str">
        <v>Division Head</v>
      </c>
      <c r="C333" s="197">
        <v>4</v>
      </c>
      <c r="D333" s="228" t="s">
        <v>7309</v>
      </c>
      <c r="E333" s="228" t="s">
        <v>7310</v>
      </c>
      <c r="F333" s="228" t="s">
        <v>7311</v>
      </c>
      <c r="G333" s="229" t="s">
        <v>7312</v>
      </c>
      <c r="H333" s="228" t="s">
        <v>7313</v>
      </c>
    </row>
    <row r="334" spans="1:8" ht="45.6">
      <c r="A334" s="223" t="str">
        <v>Customer Focus</v>
      </c>
      <c r="B334" s="223" t="str">
        <v>Director</v>
      </c>
      <c r="C334" s="197">
        <v>1</v>
      </c>
      <c r="D334" s="228" t="s">
        <v>7314</v>
      </c>
      <c r="E334" s="228" t="s">
        <v>7315</v>
      </c>
      <c r="F334" s="228" t="s">
        <v>7316</v>
      </c>
      <c r="G334" s="229" t="s">
        <v>7317</v>
      </c>
      <c r="H334" s="228" t="s">
        <v>7318</v>
      </c>
    </row>
    <row r="335" spans="1:8" ht="45.6">
      <c r="A335" s="223" t="str">
        <v>Customer Focus</v>
      </c>
      <c r="B335" s="223" t="str">
        <v>Director</v>
      </c>
      <c r="C335" s="197">
        <v>2</v>
      </c>
      <c r="D335" s="228" t="s">
        <v>7319</v>
      </c>
      <c r="E335" s="228" t="s">
        <v>7320</v>
      </c>
      <c r="F335" s="228" t="s">
        <v>6296</v>
      </c>
      <c r="G335" s="229" t="s">
        <v>7321</v>
      </c>
      <c r="H335" s="228" t="s">
        <v>7322</v>
      </c>
    </row>
    <row r="336" spans="1:8" ht="45.6">
      <c r="A336" s="223" t="str">
        <v>Customer Focus</v>
      </c>
      <c r="B336" s="223" t="str">
        <v>Director</v>
      </c>
      <c r="C336" s="197">
        <v>3</v>
      </c>
      <c r="D336" s="228" t="s">
        <v>7323</v>
      </c>
      <c r="E336" s="228" t="s">
        <v>7324</v>
      </c>
      <c r="F336" s="228" t="s">
        <v>7325</v>
      </c>
      <c r="G336" s="229" t="s">
        <v>7326</v>
      </c>
      <c r="H336" s="228" t="s">
        <v>7327</v>
      </c>
    </row>
    <row r="337" spans="1:8" ht="57">
      <c r="A337" s="223" t="str">
        <v>Customer Focus</v>
      </c>
      <c r="B337" s="223" t="str">
        <v>Director</v>
      </c>
      <c r="C337" s="197">
        <v>4</v>
      </c>
      <c r="D337" s="228" t="s">
        <v>7328</v>
      </c>
      <c r="E337" s="228" t="s">
        <v>7329</v>
      </c>
      <c r="F337" s="228" t="s">
        <v>7330</v>
      </c>
      <c r="G337" s="229" t="s">
        <v>7331</v>
      </c>
      <c r="H337" s="228" t="s">
        <v>7332</v>
      </c>
    </row>
  </sheetData>
  <phoneticPr fontId="59"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E364-1A31-4004-865F-85CDDF97F630}">
  <dimension ref="A1:G1681"/>
  <sheetViews>
    <sheetView topLeftCell="B1" zoomScale="70" zoomScaleNormal="70" workbookViewId="0">
      <selection activeCell="B2" sqref="B2"/>
    </sheetView>
  </sheetViews>
  <sheetFormatPr defaultRowHeight="14.45"/>
  <cols>
    <col min="1" max="1" width="27.42578125" bestFit="1" customWidth="1"/>
    <col min="2" max="2" width="30.7109375" bestFit="1" customWidth="1"/>
    <col min="3" max="3" width="18" bestFit="1" customWidth="1"/>
    <col min="4" max="4" width="8" style="76" bestFit="1" customWidth="1"/>
    <col min="5" max="5" width="70.7109375" bestFit="1" customWidth="1"/>
    <col min="6" max="6" width="4.7109375" style="76" bestFit="1" customWidth="1"/>
    <col min="7" max="7" width="50.7109375" style="56" customWidth="1"/>
  </cols>
  <sheetData>
    <row r="1" spans="1:7">
      <c r="A1" t="s">
        <v>7333</v>
      </c>
      <c r="B1" t="s">
        <v>7334</v>
      </c>
      <c r="C1" t="s">
        <v>7335</v>
      </c>
      <c r="D1" s="76" t="s">
        <v>7336</v>
      </c>
      <c r="E1" t="s">
        <v>7337</v>
      </c>
      <c r="F1" s="76" t="s">
        <v>7338</v>
      </c>
      <c r="G1" s="56" t="s">
        <v>7339</v>
      </c>
    </row>
    <row r="2" spans="1:7">
      <c r="A2" t="str">
        <f>B2&amp;"|"&amp;C2&amp;"|"&amp;D2&amp;"|"&amp;F2</f>
        <v>Achievement Drive|Officer|1|1</v>
      </c>
      <c r="B2" t="str" cm="1">
        <f t="array" ref="B2:B1681">INDEX(list!$A$2:$A$15,INT((_xlfn.SEQUENCE(1680)-1)/120)+1)</f>
        <v>Achievement Drive</v>
      </c>
      <c r="C2" t="str" cm="1">
        <f t="array" ref="C2:C1681">INDEX(list!$B$2:$B$7,MOD(INT((_xlfn.SEQUENCE(1680)-1)/20),6)+1)</f>
        <v>Officer</v>
      </c>
      <c r="D2" s="76" cm="1">
        <f t="array" ref="D2:D1681">MOD(INT((_xlfn.SEQUENCE(1680)-1)/5),4)+1</f>
        <v>1</v>
      </c>
      <c r="E2" t="str" cm="1">
        <f t="array" ref="E2">INDEX(aspek!$D$2:$D$337,
   MATCH(1,(aspek!$A$2:$A$337=B2)*
           (aspek!$B$2:$B$337=C2)*
           (aspek!$C$2:$C$337=D2),0))</f>
        <v>Jarak antara melihat dan bertindak</v>
      </c>
      <c r="F2" s="76" cm="1">
        <f t="array" ref="F2:F1681">MOD(_xlfn.SEQUENCE(1680)-1,5)+1</f>
        <v>1</v>
      </c>
      <c r="G2" s="56" t="str" cm="1">
        <f t="array" ref="G2">INDEX(deskripsi!$D$2:$H$337,
   MATCH(1,(deskripsi!$A$2:$A$337=B2)*
           (deskripsi!$B$2:$B$337=C2)*
           (deskripsi!$C$2:$C$337=D2),0),
   F2)</f>
        <v>Menunggu instruksi eksplisit sebelum bertindak.</v>
      </c>
    </row>
    <row r="3" spans="1:7" ht="28.9">
      <c r="A3" t="str">
        <f t="shared" ref="A3:A66" si="0">B3&amp;"|"&amp;C3&amp;"|"&amp;D3&amp;"|"&amp;F3</f>
        <v>Achievement Drive|Officer|1|2</v>
      </c>
      <c r="B3" t="str">
        <v>Achievement Drive</v>
      </c>
      <c r="C3" t="str">
        <v>Officer</v>
      </c>
      <c r="D3" s="76">
        <v>1</v>
      </c>
      <c r="E3" t="str" cm="1">
        <f t="array" ref="E3">INDEX(aspek!$D$2:$D$337,
   MATCH(1,(aspek!$A$2:$A$337=B3)*
           (aspek!$B$2:$B$337=C3)*
           (aspek!$C$2:$C$337=D3),0))</f>
        <v>Jarak antara melihat dan bertindak</v>
      </c>
      <c r="F3" s="76">
        <v>2</v>
      </c>
      <c r="G3" s="56" t="str" cm="1">
        <f t="array" ref="G3">INDEX(deskripsi!$D$2:$H$337,
   MATCH(1,(deskripsi!$A$2:$A$337=B3)*
           (deskripsi!$B$2:$B$337=C3)*
           (deskripsi!$C$2:$C$337=D3),0),
   F3)</f>
        <v>Melihat kebutuhan tindakan, tetapi menunggu persetujuan meski jelas dalam kewenangannya.</v>
      </c>
    </row>
    <row r="4" spans="1:7" ht="28.9">
      <c r="A4" t="str">
        <f t="shared" si="0"/>
        <v>Achievement Drive|Officer|1|3</v>
      </c>
      <c r="B4" t="str">
        <v>Achievement Drive</v>
      </c>
      <c r="C4" t="str">
        <v>Officer</v>
      </c>
      <c r="D4" s="76">
        <v>1</v>
      </c>
      <c r="E4" t="str" cm="1">
        <f t="array" ref="E4">INDEX(aspek!$D$2:$D$337,
   MATCH(1,(aspek!$A$2:$A$337=B4)*
           (aspek!$B$2:$B$337=C4)*
           (aspek!$C$2:$C$337=D4),0))</f>
        <v>Jarak antara melihat dan bertindak</v>
      </c>
      <c r="F4" s="76">
        <v>3</v>
      </c>
      <c r="G4" s="56" t="str" cm="1">
        <f t="array" ref="G4">INDEX(deskripsi!$D$2:$H$337,
   MATCH(1,(deskripsi!$A$2:$A$337=B4)*
           (deskripsi!$B$2:$B$337=C4)*
           (deskripsi!$C$2:$C$337=D4),0),
   F4)</f>
        <v>Berinisiatif bertindak dalam area kerjanya sendiri tanpa menunggu.</v>
      </c>
    </row>
    <row r="5" spans="1:7" ht="28.9">
      <c r="A5" t="str">
        <f t="shared" si="0"/>
        <v>Achievement Drive|Officer|1|4</v>
      </c>
      <c r="B5" t="str">
        <v>Achievement Drive</v>
      </c>
      <c r="C5" t="str">
        <v>Officer</v>
      </c>
      <c r="D5" s="76">
        <v>1</v>
      </c>
      <c r="E5" t="str" cm="1">
        <f t="array" ref="E5">INDEX(aspek!$D$2:$D$337,
   MATCH(1,(aspek!$A$2:$A$337=B5)*
           (aspek!$B$2:$B$337=C5)*
           (aspek!$C$2:$C$337=D5),0))</f>
        <v>Jarak antara melihat dan bertindak</v>
      </c>
      <c r="F5" s="76">
        <v>4</v>
      </c>
      <c r="G5" s="56" t="str" cm="1">
        <f t="array" ref="G5">INDEX(deskripsi!$D$2:$H$337,
   MATCH(1,(deskripsi!$A$2:$A$337=B5)*
           (deskripsi!$B$2:$B$337=C5)*
           (deskripsi!$C$2:$C$337=D5),0),
   F5)</f>
        <v>Bertindak sebelum masalah berdampak, mengantisipasi kebutuhan tindakan lebih awal.</v>
      </c>
    </row>
    <row r="6" spans="1:7">
      <c r="A6" t="str">
        <f>B6&amp;"|"&amp;C6&amp;"|"&amp;D6&amp;"|"&amp;F6</f>
        <v>Achievement Drive|Officer|1|5</v>
      </c>
      <c r="B6" t="str">
        <v>Achievement Drive</v>
      </c>
      <c r="C6" t="str">
        <v>Officer</v>
      </c>
      <c r="D6" s="76">
        <v>1</v>
      </c>
      <c r="E6" t="str" cm="1">
        <f t="array" ref="E6">INDEX(aspek!$D$2:$D$337,
   MATCH(1,(aspek!$A$2:$A$337=B6)*
           (aspek!$B$2:$B$337=C6)*
           (aspek!$C$2:$C$337=D6),0))</f>
        <v>Jarak antara melihat dan bertindak</v>
      </c>
      <c r="F6" s="76">
        <v>5</v>
      </c>
      <c r="G6" s="56" t="str" cm="1">
        <f t="array" ref="G6">INDEX(deskripsi!$D$2:$H$337,
   MATCH(1,(deskripsi!$A$2:$A$337=B6)*
           (deskripsi!$B$2:$B$337=C6)*
           (deskripsi!$C$2:$C$337=D6),0),
   F6)</f>
        <v>Menggerakkan orang lain untuk juga bertindak lebih dulu.</v>
      </c>
    </row>
    <row r="7" spans="1:7">
      <c r="A7" t="str">
        <f t="shared" si="0"/>
        <v>Achievement Drive|Officer|2|1</v>
      </c>
      <c r="B7" t="str">
        <v>Achievement Drive</v>
      </c>
      <c r="C7" t="str">
        <v>Officer</v>
      </c>
      <c r="D7" s="76">
        <v>2</v>
      </c>
      <c r="E7" t="str" cm="1">
        <f t="array" ref="E7">INDEX(aspek!$D$2:$D$337,
   MATCH(1,(aspek!$A$2:$A$337=B7)*
           (aspek!$B$2:$B$337=C7)*
           (aspek!$C$2:$C$337=D7),0))</f>
        <v>Kemandirian memulai</v>
      </c>
      <c r="F7" s="76">
        <v>1</v>
      </c>
      <c r="G7" s="56" t="str" cm="1">
        <f t="array" ref="G7">INDEX(deskripsi!$D$2:$H$337,
   MATCH(1,(deskripsi!$A$2:$A$337=B7)*
           (deskripsi!$B$2:$B$337=C7)*
           (deskripsi!$C$2:$C$337=D7),0),
   F7)</f>
        <v>Tidak memulai apa pun tanpa arahan.</v>
      </c>
    </row>
    <row r="8" spans="1:7">
      <c r="A8" t="str">
        <f t="shared" si="0"/>
        <v>Achievement Drive|Officer|2|2</v>
      </c>
      <c r="B8" t="str">
        <v>Achievement Drive</v>
      </c>
      <c r="C8" t="str">
        <v>Officer</v>
      </c>
      <c r="D8" s="76">
        <v>2</v>
      </c>
      <c r="E8" t="str" cm="1">
        <f t="array" ref="E8">INDEX(aspek!$D$2:$D$337,
   MATCH(1,(aspek!$A$2:$A$337=B8)*
           (aspek!$B$2:$B$337=C8)*
           (aspek!$C$2:$C$337=D8),0))</f>
        <v>Kemandirian memulai</v>
      </c>
      <c r="F8" s="76">
        <v>2</v>
      </c>
      <c r="G8" s="56" t="str" cm="1">
        <f t="array" ref="G8">INDEX(deskripsi!$D$2:$H$337,
   MATCH(1,(deskripsi!$A$2:$A$337=B8)*
           (deskripsi!$B$2:$B$337=C8)*
           (deskripsi!$C$2:$C$337=D8),0),
   F8)</f>
        <v>Memulai hanya setelah diyakinkan atau disetujui.</v>
      </c>
    </row>
    <row r="9" spans="1:7">
      <c r="A9" t="str">
        <f t="shared" si="0"/>
        <v>Achievement Drive|Officer|2|3</v>
      </c>
      <c r="B9" t="str">
        <v>Achievement Drive</v>
      </c>
      <c r="C9" t="str">
        <v>Officer</v>
      </c>
      <c r="D9" s="76">
        <v>2</v>
      </c>
      <c r="E9" t="str" cm="1">
        <f t="array" ref="E9">INDEX(aspek!$D$2:$D$337,
   MATCH(1,(aspek!$A$2:$A$337=B9)*
           (aspek!$B$2:$B$337=C9)*
           (aspek!$C$2:$C$337=D9),0))</f>
        <v>Kemandirian memulai</v>
      </c>
      <c r="F9" s="76">
        <v>3</v>
      </c>
      <c r="G9" s="56" t="str" cm="1">
        <f t="array" ref="G9">INDEX(deskripsi!$D$2:$H$337,
   MATCH(1,(deskripsi!$A$2:$A$337=B9)*
           (deskripsi!$B$2:$B$337=C9)*
           (deskripsi!$C$2:$C$337=D9),0),
   F9)</f>
        <v>Memulai sendiri pada tugas rutin yang familiar.</v>
      </c>
    </row>
    <row r="10" spans="1:7" ht="28.9">
      <c r="A10" t="str">
        <f t="shared" si="0"/>
        <v>Achievement Drive|Officer|2|4</v>
      </c>
      <c r="B10" t="str">
        <v>Achievement Drive</v>
      </c>
      <c r="C10" t="str">
        <v>Officer</v>
      </c>
      <c r="D10" s="76">
        <v>2</v>
      </c>
      <c r="E10" t="str" cm="1">
        <f t="array" ref="E10">INDEX(aspek!$D$2:$D$337,
   MATCH(1,(aspek!$A$2:$A$337=B10)*
           (aspek!$B$2:$B$337=C10)*
           (aspek!$C$2:$C$337=D10),0))</f>
        <v>Kemandirian memulai</v>
      </c>
      <c r="F10" s="76">
        <v>4</v>
      </c>
      <c r="G10" s="56" t="str" cm="1">
        <f t="array" ref="G10">INDEX(deskripsi!$D$2:$H$337,
   MATCH(1,(deskripsi!$A$2:$A$337=B10)*
           (deskripsi!$B$2:$B$337=C10)*
           (deskripsi!$C$2:$C$337=D10),0),
   F10)</f>
        <v>Memulai sendiri pada situasi baru yang belum familiar, tanpa menunggu contoh atau arahan.</v>
      </c>
    </row>
    <row r="11" spans="1:7" ht="28.9">
      <c r="A11" t="str">
        <f t="shared" si="0"/>
        <v>Achievement Drive|Officer|2|5</v>
      </c>
      <c r="B11" t="str">
        <v>Achievement Drive</v>
      </c>
      <c r="C11" t="str">
        <v>Officer</v>
      </c>
      <c r="D11" s="76">
        <v>2</v>
      </c>
      <c r="E11" t="str" cm="1">
        <f t="array" ref="E11">INDEX(aspek!$D$2:$D$337,
   MATCH(1,(aspek!$A$2:$A$337=B11)*
           (aspek!$B$2:$B$337=C11)*
           (aspek!$C$2:$C$337=D11),0))</f>
        <v>Kemandirian memulai</v>
      </c>
      <c r="F11" s="76">
        <v>5</v>
      </c>
      <c r="G11" s="56" t="str" cm="1">
        <f t="array" ref="G11">INDEX(deskripsi!$D$2:$H$337,
   MATCH(1,(deskripsi!$A$2:$A$337=B11)*
           (deskripsi!$B$2:$B$337=C11)*
           (deskripsi!$C$2:$C$337=D11),0),
   F11)</f>
        <v>Menjadi contoh yang membuat orang lain berani memulai sendiri.</v>
      </c>
    </row>
    <row r="12" spans="1:7" ht="28.9">
      <c r="A12" t="str">
        <f t="shared" si="0"/>
        <v>Achievement Drive|Officer|3|1</v>
      </c>
      <c r="B12" t="str">
        <v>Achievement Drive</v>
      </c>
      <c r="C12" t="str">
        <v>Officer</v>
      </c>
      <c r="D12" s="76">
        <v>3</v>
      </c>
      <c r="E12" t="str" cm="1">
        <f t="array" ref="E12">INDEX(aspek!$D$2:$D$337,
   MATCH(1,(aspek!$A$2:$A$337=B12)*
           (aspek!$B$2:$B$337=C12)*
           (aspek!$C$2:$C$337=D12),0))</f>
        <v>Rencana kerja sebagai acuan</v>
      </c>
      <c r="F12" s="76">
        <v>1</v>
      </c>
      <c r="G12" s="56" t="str" cm="1">
        <f t="array" ref="G12">INDEX(deskripsi!$D$2:$H$337,
   MATCH(1,(deskripsi!$A$2:$A$337=B12)*
           (deskripsi!$B$2:$B$337=C12)*
           (deskripsi!$C$2:$C$337=D12),0),
   F12)</f>
        <v>Menyusun rencana kerja tetapi tidak pernah memakainya sebagai acuan.</v>
      </c>
    </row>
    <row r="13" spans="1:7" ht="28.9">
      <c r="A13" t="str">
        <f t="shared" si="0"/>
        <v>Achievement Drive|Officer|3|2</v>
      </c>
      <c r="B13" t="str">
        <v>Achievement Drive</v>
      </c>
      <c r="C13" t="str">
        <v>Officer</v>
      </c>
      <c r="D13" s="76">
        <v>3</v>
      </c>
      <c r="E13" t="str" cm="1">
        <f t="array" ref="E13">INDEX(aspek!$D$2:$D$337,
   MATCH(1,(aspek!$A$2:$A$337=B13)*
           (aspek!$B$2:$B$337=C13)*
           (aspek!$C$2:$C$337=D13),0))</f>
        <v>Rencana kerja sebagai acuan</v>
      </c>
      <c r="F13" s="76">
        <v>2</v>
      </c>
      <c r="G13" s="56" t="str" cm="1">
        <f t="array" ref="G13">INDEX(deskripsi!$D$2:$H$337,
   MATCH(1,(deskripsi!$A$2:$A$337=B13)*
           (deskripsi!$B$2:$B$337=C13)*
           (deskripsi!$C$2:$C$337=D13),0),
   F13)</f>
        <v>Memakai rencana kerja sesekali, sering menyimpang tanpa sadar.</v>
      </c>
    </row>
    <row r="14" spans="1:7" ht="28.9">
      <c r="A14" t="str">
        <f t="shared" si="0"/>
        <v>Achievement Drive|Officer|3|3</v>
      </c>
      <c r="B14" t="str">
        <v>Achievement Drive</v>
      </c>
      <c r="C14" t="str">
        <v>Officer</v>
      </c>
      <c r="D14" s="76">
        <v>3</v>
      </c>
      <c r="E14" t="str" cm="1">
        <f t="array" ref="E14">INDEX(aspek!$D$2:$D$337,
   MATCH(1,(aspek!$A$2:$A$337=B14)*
           (aspek!$B$2:$B$337=C14)*
           (aspek!$C$2:$C$337=D14),0))</f>
        <v>Rencana kerja sebagai acuan</v>
      </c>
      <c r="F14" s="76">
        <v>3</v>
      </c>
      <c r="G14" s="56" t="str" cm="1">
        <f t="array" ref="G14">INDEX(deskripsi!$D$2:$H$337,
   MATCH(1,(deskripsi!$A$2:$A$337=B14)*
           (deskripsi!$B$2:$B$337=C14)*
           (deskripsi!$C$2:$C$337=D14),0),
   F14)</f>
        <v>Memakai rencana kerja sebagai acuan pada hari-hari normal.</v>
      </c>
    </row>
    <row r="15" spans="1:7" ht="28.9">
      <c r="A15" t="str">
        <f t="shared" si="0"/>
        <v>Achievement Drive|Officer|3|4</v>
      </c>
      <c r="B15" t="str">
        <v>Achievement Drive</v>
      </c>
      <c r="C15" t="str">
        <v>Officer</v>
      </c>
      <c r="D15" s="76">
        <v>3</v>
      </c>
      <c r="E15" t="str" cm="1">
        <f t="array" ref="E15">INDEX(aspek!$D$2:$D$337,
   MATCH(1,(aspek!$A$2:$A$337=B15)*
           (aspek!$B$2:$B$337=C15)*
           (aspek!$C$2:$C$337=D15),0))</f>
        <v>Rencana kerja sebagai acuan</v>
      </c>
      <c r="F15" s="76">
        <v>4</v>
      </c>
      <c r="G15" s="56" t="str" cm="1">
        <f t="array" ref="G15">INDEX(deskripsi!$D$2:$H$337,
   MATCH(1,(deskripsi!$A$2:$A$337=B15)*
           (deskripsi!$B$2:$B$337=C15)*
           (deskripsi!$C$2:$C$337=D15),0),
   F15)</f>
        <v>Memakai rencana kerja sebagai acuan utama secara konsisten, termasuk pada hari yang sibuk.</v>
      </c>
    </row>
    <row r="16" spans="1:7">
      <c r="A16" t="str">
        <f t="shared" si="0"/>
        <v>Achievement Drive|Officer|3|5</v>
      </c>
      <c r="B16" t="str">
        <v>Achievement Drive</v>
      </c>
      <c r="C16" t="str">
        <v>Officer</v>
      </c>
      <c r="D16" s="76">
        <v>3</v>
      </c>
      <c r="E16" t="str" cm="1">
        <f t="array" ref="E16">INDEX(aspek!$D$2:$D$337,
   MATCH(1,(aspek!$A$2:$A$337=B16)*
           (aspek!$B$2:$B$337=C16)*
           (aspek!$C$2:$C$337=D16),0))</f>
        <v>Rencana kerja sebagai acuan</v>
      </c>
      <c r="F16" s="76">
        <v>5</v>
      </c>
      <c r="G16" s="56" t="str" cm="1">
        <f t="array" ref="G16">INDEX(deskripsi!$D$2:$H$337,
   MATCH(1,(deskripsi!$A$2:$A$337=B16)*
           (deskripsi!$B$2:$B$337=C16)*
           (deskripsi!$C$2:$C$337=D16),0),
   F16)</f>
        <v>Rencana kerjanya menjadi contoh disiplin bagi rekan.</v>
      </c>
    </row>
    <row r="17" spans="1:7">
      <c r="A17" t="str">
        <f t="shared" si="0"/>
        <v>Achievement Drive|Officer|4|1</v>
      </c>
      <c r="B17" t="str">
        <v>Achievement Drive</v>
      </c>
      <c r="C17" t="str">
        <v>Officer</v>
      </c>
      <c r="D17" s="76">
        <v>4</v>
      </c>
      <c r="E17" t="str" cm="1">
        <f t="array" ref="E17">INDEX(aspek!$D$2:$D$337,
   MATCH(1,(aspek!$A$2:$A$337=B17)*
           (aspek!$B$2:$B$337=C17)*
           (aspek!$C$2:$C$337=D17),0))</f>
        <v>Antisipasi sebelum berdampak</v>
      </c>
      <c r="F17" s="76">
        <v>1</v>
      </c>
      <c r="G17" s="56" t="str" cm="1">
        <f t="array" ref="G17">INDEX(deskripsi!$D$2:$H$337,
   MATCH(1,(deskripsi!$A$2:$A$337=B17)*
           (deskripsi!$B$2:$B$337=C17)*
           (deskripsi!$C$2:$C$337=D17),0),
   F17)</f>
        <v>Bertindak hanya setelah masalah terjadi dan terlihat jelas.</v>
      </c>
    </row>
    <row r="18" spans="1:7">
      <c r="A18" t="str">
        <f t="shared" si="0"/>
        <v>Achievement Drive|Officer|4|2</v>
      </c>
      <c r="B18" t="str">
        <v>Achievement Drive</v>
      </c>
      <c r="C18" t="str">
        <v>Officer</v>
      </c>
      <c r="D18" s="76">
        <v>4</v>
      </c>
      <c r="E18" t="str" cm="1">
        <f t="array" ref="E18">INDEX(aspek!$D$2:$D$337,
   MATCH(1,(aspek!$A$2:$A$337=B18)*
           (aspek!$B$2:$B$337=C18)*
           (aspek!$C$2:$C$337=D18),0))</f>
        <v>Antisipasi sebelum berdampak</v>
      </c>
      <c r="F18" s="76">
        <v>2</v>
      </c>
      <c r="G18" s="56" t="str" cm="1">
        <f t="array" ref="G18">INDEX(deskripsi!$D$2:$H$337,
   MATCH(1,(deskripsi!$A$2:$A$337=B18)*
           (deskripsi!$B$2:$B$337=C18)*
           (deskripsi!$C$2:$C$337=D18),0),
   F18)</f>
        <v>Menyadari potensi masalah, tidak bertindak sebelum terjadi.</v>
      </c>
    </row>
    <row r="19" spans="1:7">
      <c r="A19" t="str">
        <f t="shared" si="0"/>
        <v>Achievement Drive|Officer|4|3</v>
      </c>
      <c r="B19" t="str">
        <v>Achievement Drive</v>
      </c>
      <c r="C19" t="str">
        <v>Officer</v>
      </c>
      <c r="D19" s="76">
        <v>4</v>
      </c>
      <c r="E19" t="str" cm="1">
        <f t="array" ref="E19">INDEX(aspek!$D$2:$D$337,
   MATCH(1,(aspek!$A$2:$A$337=B19)*
           (aspek!$B$2:$B$337=C19)*
           (aspek!$C$2:$C$337=D19),0))</f>
        <v>Antisipasi sebelum berdampak</v>
      </c>
      <c r="F19" s="76">
        <v>3</v>
      </c>
      <c r="G19" s="56" t="str" cm="1">
        <f t="array" ref="G19">INDEX(deskripsi!$D$2:$H$337,
   MATCH(1,(deskripsi!$A$2:$A$337=B19)*
           (deskripsi!$B$2:$B$337=C19)*
           (deskripsi!$C$2:$C$337=D19),0),
   F19)</f>
        <v>Bertindak mencegah masalah yang sudah sering terjadi.</v>
      </c>
    </row>
    <row r="20" spans="1:7" ht="28.9">
      <c r="A20" t="str">
        <f t="shared" si="0"/>
        <v>Achievement Drive|Officer|4|4</v>
      </c>
      <c r="B20" t="str">
        <v>Achievement Drive</v>
      </c>
      <c r="C20" t="str">
        <v>Officer</v>
      </c>
      <c r="D20" s="76">
        <v>4</v>
      </c>
      <c r="E20" t="str" cm="1">
        <f t="array" ref="E20">INDEX(aspek!$D$2:$D$337,
   MATCH(1,(aspek!$A$2:$A$337=B20)*
           (aspek!$B$2:$B$337=C20)*
           (aspek!$C$2:$C$337=D20),0))</f>
        <v>Antisipasi sebelum berdampak</v>
      </c>
      <c r="F20" s="76">
        <v>4</v>
      </c>
      <c r="G20" s="56" t="str" cm="1">
        <f t="array" ref="G20">INDEX(deskripsi!$D$2:$H$337,
   MATCH(1,(deskripsi!$A$2:$A$337=B20)*
           (deskripsi!$B$2:$B$337=C20)*
           (deskripsi!$C$2:$C$337=D20),0),
   F20)</f>
        <v>Bertindak mencegah masalah yang BELUM terjadi berdasarkan tanda-tanda awal.</v>
      </c>
    </row>
    <row r="21" spans="1:7">
      <c r="A21" t="str">
        <f t="shared" si="0"/>
        <v>Achievement Drive|Officer|4|5</v>
      </c>
      <c r="B21" t="str">
        <v>Achievement Drive</v>
      </c>
      <c r="C21" t="str">
        <v>Officer</v>
      </c>
      <c r="D21" s="76">
        <v>4</v>
      </c>
      <c r="E21" t="str" cm="1">
        <f t="array" ref="E21">INDEX(aspek!$D$2:$D$337,
   MATCH(1,(aspek!$A$2:$A$337=B21)*
           (aspek!$B$2:$B$337=C21)*
           (aspek!$C$2:$C$337=D21),0))</f>
        <v>Antisipasi sebelum berdampak</v>
      </c>
      <c r="F21" s="76">
        <v>5</v>
      </c>
      <c r="G21" s="56" t="str" cm="1">
        <f t="array" ref="G21">INDEX(deskripsi!$D$2:$H$337,
   MATCH(1,(deskripsi!$A$2:$A$337=B21)*
           (deskripsi!$B$2:$B$337=C21)*
           (deskripsi!$C$2:$C$337=D21),0),
   F21)</f>
        <v>Antisipasinya menjadi kebiasaan yang diikuti unit.</v>
      </c>
    </row>
    <row r="22" spans="1:7">
      <c r="A22" t="str">
        <f t="shared" si="0"/>
        <v>Achievement Drive|Analyst|1|1</v>
      </c>
      <c r="B22" t="str">
        <v>Achievement Drive</v>
      </c>
      <c r="C22" t="str">
        <v>Analyst</v>
      </c>
      <c r="D22" s="76">
        <v>1</v>
      </c>
      <c r="E22" t="str" cm="1">
        <f t="array" ref="E22">INDEX(aspek!$D$2:$D$337,
   MATCH(1,(aspek!$A$2:$A$337=B22)*
           (aspek!$B$2:$B$337=C22)*
           (aspek!$C$2:$C$337=D22),0))</f>
        <v>Daya tahan komitmen sepanjang waktu</v>
      </c>
      <c r="F22" s="76">
        <v>1</v>
      </c>
      <c r="G22" s="56" t="str" cm="1">
        <f t="array" ref="G22">INDEX(deskripsi!$D$2:$H$337,
   MATCH(1,(deskripsi!$A$2:$A$337=B22)*
           (deskripsi!$B$2:$B$337=C22)*
           (deskripsi!$C$2:$C$337=D22),0),
   F22)</f>
        <v>Menyerah setelah hambatan pertama yang berarti.</v>
      </c>
    </row>
    <row r="23" spans="1:7">
      <c r="A23" t="str">
        <f t="shared" si="0"/>
        <v>Achievement Drive|Analyst|1|2</v>
      </c>
      <c r="B23" t="str">
        <v>Achievement Drive</v>
      </c>
      <c r="C23" t="str">
        <v>Analyst</v>
      </c>
      <c r="D23" s="76">
        <v>1</v>
      </c>
      <c r="E23" t="str" cm="1">
        <f t="array" ref="E23">INDEX(aspek!$D$2:$D$337,
   MATCH(1,(aspek!$A$2:$A$337=B23)*
           (aspek!$B$2:$B$337=C23)*
           (aspek!$C$2:$C$337=D23),0))</f>
        <v>Daya tahan komitmen sepanjang waktu</v>
      </c>
      <c r="F23" s="76">
        <v>2</v>
      </c>
      <c r="G23" s="56" t="str" cm="1">
        <f t="array" ref="G23">INDEX(deskripsi!$D$2:$H$337,
   MATCH(1,(deskripsi!$A$2:$A$337=B23)*
           (deskripsi!$B$2:$B$337=C23)*
           (deskripsi!$C$2:$C$337=D23),0),
   F23)</f>
        <v>Bertahan sebentar, lalu melambat dan akhirnya berhenti.</v>
      </c>
    </row>
    <row r="24" spans="1:7">
      <c r="A24" t="str">
        <f t="shared" si="0"/>
        <v>Achievement Drive|Analyst|1|3</v>
      </c>
      <c r="B24" t="str">
        <v>Achievement Drive</v>
      </c>
      <c r="C24" t="str">
        <v>Analyst</v>
      </c>
      <c r="D24" s="76">
        <v>1</v>
      </c>
      <c r="E24" t="str" cm="1">
        <f t="array" ref="E24">INDEX(aspek!$D$2:$D$337,
   MATCH(1,(aspek!$A$2:$A$337=B24)*
           (aspek!$B$2:$B$337=C24)*
           (aspek!$C$2:$C$337=D24),0))</f>
        <v>Daya tahan komitmen sepanjang waktu</v>
      </c>
      <c r="F24" s="76">
        <v>3</v>
      </c>
      <c r="G24" s="56" t="str" cm="1">
        <f t="array" ref="G24">INDEX(deskripsi!$D$2:$H$337,
   MATCH(1,(deskripsi!$A$2:$A$337=B24)*
           (deskripsi!$B$2:$B$337=C24)*
           (deskripsi!$C$2:$C$337=D24),0),
   F24)</f>
        <v>Bertahan dengan dukungan rutin dari atasan atau mentor.</v>
      </c>
    </row>
    <row r="25" spans="1:7" ht="28.9">
      <c r="A25" t="str">
        <f t="shared" si="0"/>
        <v>Achievement Drive|Analyst|1|4</v>
      </c>
      <c r="B25" t="str">
        <v>Achievement Drive</v>
      </c>
      <c r="C25" t="str">
        <v>Analyst</v>
      </c>
      <c r="D25" s="76">
        <v>1</v>
      </c>
      <c r="E25" t="str" cm="1">
        <f t="array" ref="E25">INDEX(aspek!$D$2:$D$337,
   MATCH(1,(aspek!$A$2:$A$337=B25)*
           (aspek!$B$2:$B$337=C25)*
           (aspek!$C$2:$C$337=D25),0))</f>
        <v>Daya tahan komitmen sepanjang waktu</v>
      </c>
      <c r="F25" s="76">
        <v>4</v>
      </c>
      <c r="G25" s="56" t="str" cm="1">
        <f t="array" ref="G25">INDEX(deskripsi!$D$2:$H$337,
   MATCH(1,(deskripsi!$A$2:$A$337=B25)*
           (deskripsi!$B$2:$B$337=C25)*
           (deskripsi!$C$2:$C$337=D25),0),
   F25)</f>
        <v>Bertahan mandiri melewati hambatan berulang dalam rentang waktu berbulan-bulan.</v>
      </c>
    </row>
    <row r="26" spans="1:7">
      <c r="A26" t="str">
        <f t="shared" si="0"/>
        <v>Achievement Drive|Analyst|1|5</v>
      </c>
      <c r="B26" t="str">
        <v>Achievement Drive</v>
      </c>
      <c r="C26" t="str">
        <v>Analyst</v>
      </c>
      <c r="D26" s="76">
        <v>1</v>
      </c>
      <c r="E26" t="str" cm="1">
        <f t="array" ref="E26">INDEX(aspek!$D$2:$D$337,
   MATCH(1,(aspek!$A$2:$A$337=B26)*
           (aspek!$B$2:$B$337=C26)*
           (aspek!$C$2:$C$337=D26),0))</f>
        <v>Daya tahan komitmen sepanjang waktu</v>
      </c>
      <c r="F26" s="76">
        <v>5</v>
      </c>
      <c r="G26" s="56" t="str" cm="1">
        <f t="array" ref="G26">INDEX(deskripsi!$D$2:$H$337,
   MATCH(1,(deskripsi!$A$2:$A$337=B26)*
           (deskripsi!$B$2:$B$337=C26)*
           (deskripsi!$C$2:$C$337=D26),0),
   F26)</f>
        <v>Ketekunannya menular kepada rekan yang hampir menyerah.</v>
      </c>
    </row>
    <row r="27" spans="1:7">
      <c r="A27" t="str">
        <f t="shared" si="0"/>
        <v>Achievement Drive|Analyst|2|1</v>
      </c>
      <c r="B27" t="str">
        <v>Achievement Drive</v>
      </c>
      <c r="C27" t="str">
        <v>Analyst</v>
      </c>
      <c r="D27" s="76">
        <v>2</v>
      </c>
      <c r="E27" t="str" cm="1">
        <f t="array" ref="E27">INDEX(aspek!$D$2:$D$337,
   MATCH(1,(aspek!$A$2:$A$337=B27)*
           (aspek!$B$2:$B$337=C27)*
           (aspek!$C$2:$C$337=D27),0))</f>
        <v xml:space="preserve">Kemandirian mempertahankan usaha </v>
      </c>
      <c r="F27" s="76">
        <v>1</v>
      </c>
      <c r="G27" s="56" t="str" cm="1">
        <f t="array" ref="G27">INDEX(deskripsi!$D$2:$H$337,
   MATCH(1,(deskripsi!$A$2:$A$337=B27)*
           (deskripsi!$B$2:$B$337=C27)*
           (deskripsi!$C$2:$C$337=D27),0),
   F27)</f>
        <v>Berhenti tanpa mencoba cara lain ketika hambatan muncul.</v>
      </c>
    </row>
    <row r="28" spans="1:7">
      <c r="A28" t="str">
        <f t="shared" si="0"/>
        <v>Achievement Drive|Analyst|2|2</v>
      </c>
      <c r="B28" t="str">
        <v>Achievement Drive</v>
      </c>
      <c r="C28" t="str">
        <v>Analyst</v>
      </c>
      <c r="D28" s="76">
        <v>2</v>
      </c>
      <c r="E28" t="str" cm="1">
        <f t="array" ref="E28">INDEX(aspek!$D$2:$D$337,
   MATCH(1,(aspek!$A$2:$A$337=B28)*
           (aspek!$B$2:$B$337=C28)*
           (aspek!$C$2:$C$337=D28),0))</f>
        <v xml:space="preserve">Kemandirian mempertahankan usaha </v>
      </c>
      <c r="F28" s="76">
        <v>2</v>
      </c>
      <c r="G28" s="56" t="str" cm="1">
        <f t="array" ref="G28">INDEX(deskripsi!$D$2:$H$337,
   MATCH(1,(deskripsi!$A$2:$A$337=B28)*
           (deskripsi!$B$2:$B$337=C28)*
           (deskripsi!$C$2:$C$337=D28),0),
   F28)</f>
        <v>Melanjutkan hanya setelah didorong berulang oleh atasan.</v>
      </c>
    </row>
    <row r="29" spans="1:7">
      <c r="A29" t="str">
        <f t="shared" si="0"/>
        <v>Achievement Drive|Analyst|2|3</v>
      </c>
      <c r="B29" t="str">
        <v>Achievement Drive</v>
      </c>
      <c r="C29" t="str">
        <v>Analyst</v>
      </c>
      <c r="D29" s="76">
        <v>2</v>
      </c>
      <c r="E29" t="str" cm="1">
        <f t="array" ref="E29">INDEX(aspek!$D$2:$D$337,
   MATCH(1,(aspek!$A$2:$A$337=B29)*
           (aspek!$B$2:$B$337=C29)*
           (aspek!$C$2:$C$337=D29),0))</f>
        <v xml:space="preserve">Kemandirian mempertahankan usaha </v>
      </c>
      <c r="F29" s="76">
        <v>3</v>
      </c>
      <c r="G29" s="56" t="str" cm="1">
        <f t="array" ref="G29">INDEX(deskripsi!$D$2:$H$337,
   MATCH(1,(deskripsi!$A$2:$A$337=B29)*
           (deskripsi!$B$2:$B$337=C29)*
           (deskripsi!$C$2:$C$337=D29),0),
   F29)</f>
        <v>Melanjutkan dengan sesekali butuh dorongan.</v>
      </c>
    </row>
    <row r="30" spans="1:7" ht="28.9">
      <c r="A30" t="str">
        <f t="shared" si="0"/>
        <v>Achievement Drive|Analyst|2|4</v>
      </c>
      <c r="B30" t="str">
        <v>Achievement Drive</v>
      </c>
      <c r="C30" t="str">
        <v>Analyst</v>
      </c>
      <c r="D30" s="76">
        <v>2</v>
      </c>
      <c r="E30" t="str" cm="1">
        <f t="array" ref="E30">INDEX(aspek!$D$2:$D$337,
   MATCH(1,(aspek!$A$2:$A$337=B30)*
           (aspek!$B$2:$B$337=C30)*
           (aspek!$C$2:$C$337=D30),0))</f>
        <v xml:space="preserve">Kemandirian mempertahankan usaha </v>
      </c>
      <c r="F30" s="76">
        <v>4</v>
      </c>
      <c r="G30" s="56" t="str" cm="1">
        <f t="array" ref="G30">INDEX(deskripsi!$D$2:$H$337,
   MATCH(1,(deskripsi!$A$2:$A$337=B30)*
           (deskripsi!$B$2:$B$337=C30)*
           (deskripsi!$C$2:$C$337=D30),0),
   F30)</f>
        <v>Melanjutkan usaha atas kemauan sendiri, mencari cara baru tanpa harus terus didorong.</v>
      </c>
    </row>
    <row r="31" spans="1:7" ht="28.9">
      <c r="A31" t="str">
        <f t="shared" si="0"/>
        <v>Achievement Drive|Analyst|2|5</v>
      </c>
      <c r="B31" t="str">
        <v>Achievement Drive</v>
      </c>
      <c r="C31" t="str">
        <v>Analyst</v>
      </c>
      <c r="D31" s="76">
        <v>2</v>
      </c>
      <c r="E31" t="str" cm="1">
        <f t="array" ref="E31">INDEX(aspek!$D$2:$D$337,
   MATCH(1,(aspek!$A$2:$A$337=B31)*
           (aspek!$B$2:$B$337=C31)*
           (aspek!$C$2:$C$337=D31),0))</f>
        <v xml:space="preserve">Kemandirian mempertahankan usaha </v>
      </c>
      <c r="F31" s="76">
        <v>5</v>
      </c>
      <c r="G31" s="56" t="str" cm="1">
        <f t="array" ref="G31">INDEX(deskripsi!$D$2:$H$337,
   MATCH(1,(deskripsi!$A$2:$A$337=B31)*
           (deskripsi!$B$2:$B$337=C31)*
           (deskripsi!$C$2:$C$337=D31),0),
   F31)</f>
        <v>Menjadi sumber dorongan bagi rekan lain yang hampir menyerah.</v>
      </c>
    </row>
    <row r="32" spans="1:7" ht="28.9">
      <c r="A32" t="str">
        <f t="shared" si="0"/>
        <v>Achievement Drive|Analyst|3|1</v>
      </c>
      <c r="B32" t="str">
        <v>Achievement Drive</v>
      </c>
      <c r="C32" t="str">
        <v>Analyst</v>
      </c>
      <c r="D32" s="76">
        <v>3</v>
      </c>
      <c r="E32" t="str" cm="1">
        <f t="array" ref="E32">INDEX(aspek!$D$2:$D$337,
   MATCH(1,(aspek!$A$2:$A$337=B32)*
           (aspek!$B$2:$B$337=C32)*
           (aspek!$C$2:$C$337=D32),0))</f>
        <v>Ketekunan yang sehat, bukan keras kepala</v>
      </c>
      <c r="F32" s="76">
        <v>1</v>
      </c>
      <c r="G32" s="56" t="str" cm="1">
        <f t="array" ref="G32">INDEX(deskripsi!$D$2:$H$337,
   MATCH(1,(deskripsi!$A$2:$A$337=B32)*
           (deskripsi!$B$2:$B$337=C32)*
           (deskripsi!$C$2:$C$337=D32),0),
   F32)</f>
        <v>Mengulang cara yang sama meski terus gagal, tanpa mengevaluasi.</v>
      </c>
    </row>
    <row r="33" spans="1:7">
      <c r="A33" t="str">
        <f t="shared" si="0"/>
        <v>Achievement Drive|Analyst|3|2</v>
      </c>
      <c r="B33" t="str">
        <v>Achievement Drive</v>
      </c>
      <c r="C33" t="str">
        <v>Analyst</v>
      </c>
      <c r="D33" s="76">
        <v>3</v>
      </c>
      <c r="E33" t="str" cm="1">
        <f t="array" ref="E33">INDEX(aspek!$D$2:$D$337,
   MATCH(1,(aspek!$A$2:$A$337=B33)*
           (aspek!$B$2:$B$337=C33)*
           (aspek!$C$2:$C$337=D33),0))</f>
        <v>Ketekunan yang sehat, bukan keras kepala</v>
      </c>
      <c r="F33" s="76">
        <v>2</v>
      </c>
      <c r="G33" s="56" t="str" cm="1">
        <f t="array" ref="G33">INDEX(deskripsi!$D$2:$H$337,
   MATCH(1,(deskripsi!$A$2:$A$337=B33)*
           (deskripsi!$B$2:$B$337=C33)*
           (deskripsi!$C$2:$C$337=D33),0),
   F33)</f>
        <v>Menyadari cara tidak berhasil, tetapi tetap mengulanginya.</v>
      </c>
    </row>
    <row r="34" spans="1:7">
      <c r="A34" t="str">
        <f t="shared" si="0"/>
        <v>Achievement Drive|Analyst|3|3</v>
      </c>
      <c r="B34" t="str">
        <v>Achievement Drive</v>
      </c>
      <c r="C34" t="str">
        <v>Analyst</v>
      </c>
      <c r="D34" s="76">
        <v>3</v>
      </c>
      <c r="E34" t="str" cm="1">
        <f t="array" ref="E34">INDEX(aspek!$D$2:$D$337,
   MATCH(1,(aspek!$A$2:$A$337=B34)*
           (aspek!$B$2:$B$337=C34)*
           (aspek!$C$2:$C$337=D34),0))</f>
        <v>Ketekunan yang sehat, bukan keras kepala</v>
      </c>
      <c r="F34" s="76">
        <v>3</v>
      </c>
      <c r="G34" s="56" t="str" cm="1">
        <f t="array" ref="G34">INDEX(deskripsi!$D$2:$H$337,
   MATCH(1,(deskripsi!$A$2:$A$337=B34)*
           (deskripsi!$B$2:$B$337=C34)*
           (deskripsi!$C$2:$C$337=D34),0),
   F34)</f>
        <v>Mengubah taktik setelah gagal berulang kali.</v>
      </c>
    </row>
    <row r="35" spans="1:7" ht="43.15">
      <c r="A35" t="str">
        <f t="shared" si="0"/>
        <v>Achievement Drive|Analyst|3|4</v>
      </c>
      <c r="B35" t="str">
        <v>Achievement Drive</v>
      </c>
      <c r="C35" t="str">
        <v>Analyst</v>
      </c>
      <c r="D35" s="76">
        <v>3</v>
      </c>
      <c r="E35" t="str" cm="1">
        <f t="array" ref="E35">INDEX(aspek!$D$2:$D$337,
   MATCH(1,(aspek!$A$2:$A$337=B35)*
           (aspek!$B$2:$B$337=C35)*
           (aspek!$C$2:$C$337=D35),0))</f>
        <v>Ketekunan yang sehat, bukan keras kepala</v>
      </c>
      <c r="F35" s="76">
        <v>4</v>
      </c>
      <c r="G35" s="56" t="str" cm="1">
        <f t="array" ref="G35">INDEX(deskripsi!$D$2:$H$337,
   MATCH(1,(deskripsi!$A$2:$A$337=B35)*
           (deskripsi!$B$2:$B$337=C35)*
           (deskripsi!$C$2:$C$337=D35),0),
   F35)</f>
        <v>Membedakan kegagalan taktik dari kegagalan tujuan — mengubah cara secepat mungkin, tetap berkomitmen pada tujuan.</v>
      </c>
    </row>
    <row r="36" spans="1:7" ht="28.9">
      <c r="A36" t="str">
        <f t="shared" si="0"/>
        <v>Achievement Drive|Analyst|3|5</v>
      </c>
      <c r="B36" t="str">
        <v>Achievement Drive</v>
      </c>
      <c r="C36" t="str">
        <v>Analyst</v>
      </c>
      <c r="D36" s="76">
        <v>3</v>
      </c>
      <c r="E36" t="str" cm="1">
        <f t="array" ref="E36">INDEX(aspek!$D$2:$D$337,
   MATCH(1,(aspek!$A$2:$A$337=B36)*
           (aspek!$B$2:$B$337=C36)*
           (aspek!$C$2:$C$337=D36),0))</f>
        <v>Ketekunan yang sehat, bukan keras kepala</v>
      </c>
      <c r="F36" s="76">
        <v>5</v>
      </c>
      <c r="G36" s="56" t="str" cm="1">
        <f t="array" ref="G36">INDEX(deskripsi!$D$2:$H$337,
   MATCH(1,(deskripsi!$A$2:$A$337=B36)*
           (deskripsi!$B$2:$B$337=C36)*
           (deskripsi!$C$2:$C$337=D36),0),
   F36)</f>
        <v>Perubahan taktiknya menjadi contoh cara bertahan yang bijak, bukan sekadar ngotot.</v>
      </c>
    </row>
    <row r="37" spans="1:7">
      <c r="A37" t="str">
        <f t="shared" si="0"/>
        <v>Achievement Drive|Analyst|4|1</v>
      </c>
      <c r="B37" t="str">
        <v>Achievement Drive</v>
      </c>
      <c r="C37" t="str">
        <v>Analyst</v>
      </c>
      <c r="D37" s="76">
        <v>4</v>
      </c>
      <c r="E37" t="str" cm="1">
        <f t="array" ref="E37">INDEX(aspek!$D$2:$D$337,
   MATCH(1,(aspek!$A$2:$A$337=B37)*
           (aspek!$B$2:$B$337=C37)*
           (aspek!$C$2:$C$337=D37),0))</f>
        <v>Bangkit dari kegagalan signifikan</v>
      </c>
      <c r="F37" s="76">
        <v>1</v>
      </c>
      <c r="G37" s="56" t="str" cm="1">
        <f t="array" ref="G37">INDEX(deskripsi!$D$2:$H$337,
   MATCH(1,(deskripsi!$A$2:$A$337=B37)*
           (deskripsi!$B$2:$B$337=C37)*
           (deskripsi!$C$2:$C$337=D37),0),
   F37)</f>
        <v>Berhenti total setelah kegagalan besar.</v>
      </c>
    </row>
    <row r="38" spans="1:7" ht="28.9">
      <c r="A38" t="str">
        <f t="shared" si="0"/>
        <v>Achievement Drive|Analyst|4|2</v>
      </c>
      <c r="B38" t="str">
        <v>Achievement Drive</v>
      </c>
      <c r="C38" t="str">
        <v>Analyst</v>
      </c>
      <c r="D38" s="76">
        <v>4</v>
      </c>
      <c r="E38" t="str" cm="1">
        <f t="array" ref="E38">INDEX(aspek!$D$2:$D$337,
   MATCH(1,(aspek!$A$2:$A$337=B38)*
           (aspek!$B$2:$B$337=C38)*
           (aspek!$C$2:$C$337=D38),0))</f>
        <v>Bangkit dari kegagalan signifikan</v>
      </c>
      <c r="F38" s="76">
        <v>2</v>
      </c>
      <c r="G38" s="56" t="str" cm="1">
        <f t="array" ref="G38">INDEX(deskripsi!$D$2:$H$337,
   MATCH(1,(deskripsi!$A$2:$A$337=B38)*
           (deskripsi!$B$2:$B$337=C38)*
           (deskripsi!$C$2:$C$337=D38),0),
   F38)</f>
        <v>Butuh waktu lama dan dorongan kuat untuk melanjutkan setelah gagal besar.</v>
      </c>
    </row>
    <row r="39" spans="1:7">
      <c r="A39" t="str">
        <f t="shared" si="0"/>
        <v>Achievement Drive|Analyst|4|3</v>
      </c>
      <c r="B39" t="str">
        <v>Achievement Drive</v>
      </c>
      <c r="C39" t="str">
        <v>Analyst</v>
      </c>
      <c r="D39" s="76">
        <v>4</v>
      </c>
      <c r="E39" t="str" cm="1">
        <f t="array" ref="E39">INDEX(aspek!$D$2:$D$337,
   MATCH(1,(aspek!$A$2:$A$337=B39)*
           (aspek!$B$2:$B$337=C39)*
           (aspek!$C$2:$C$337=D39),0))</f>
        <v>Bangkit dari kegagalan signifikan</v>
      </c>
      <c r="F39" s="76">
        <v>3</v>
      </c>
      <c r="G39" s="56" t="str" cm="1">
        <f t="array" ref="G39">INDEX(deskripsi!$D$2:$H$337,
   MATCH(1,(deskripsi!$A$2:$A$337=B39)*
           (deskripsi!$B$2:$B$337=C39)*
           (deskripsi!$C$2:$C$337=D39),0),
   F39)</f>
        <v>Melanjutkan setelah kegagalan besar dengan dukungan.</v>
      </c>
    </row>
    <row r="40" spans="1:7" ht="28.9">
      <c r="A40" t="str">
        <f t="shared" si="0"/>
        <v>Achievement Drive|Analyst|4|4</v>
      </c>
      <c r="B40" t="str">
        <v>Achievement Drive</v>
      </c>
      <c r="C40" t="str">
        <v>Analyst</v>
      </c>
      <c r="D40" s="76">
        <v>4</v>
      </c>
      <c r="E40" t="str" cm="1">
        <f t="array" ref="E40">INDEX(aspek!$D$2:$D$337,
   MATCH(1,(aspek!$A$2:$A$337=B40)*
           (aspek!$B$2:$B$337=C40)*
           (aspek!$C$2:$C$337=D40),0))</f>
        <v>Bangkit dari kegagalan signifikan</v>
      </c>
      <c r="F40" s="76">
        <v>4</v>
      </c>
      <c r="G40" s="56" t="str" cm="1">
        <f t="array" ref="G40">INDEX(deskripsi!$D$2:$H$337,
   MATCH(1,(deskripsi!$A$2:$A$337=B40)*
           (deskripsi!$B$2:$B$337=C40)*
           (deskripsi!$C$2:$C$337=D40),0),
   F40)</f>
        <v>Memutuskan sendiri untuk melanjutkan setelah kegagalan signifikan, menyusun cara baru.</v>
      </c>
    </row>
    <row r="41" spans="1:7" ht="28.9">
      <c r="A41" t="str">
        <f t="shared" si="0"/>
        <v>Achievement Drive|Analyst|4|5</v>
      </c>
      <c r="B41" t="str">
        <v>Achievement Drive</v>
      </c>
      <c r="C41" t="str">
        <v>Analyst</v>
      </c>
      <c r="D41" s="76">
        <v>4</v>
      </c>
      <c r="E41" t="str" cm="1">
        <f t="array" ref="E41">INDEX(aspek!$D$2:$D$337,
   MATCH(1,(aspek!$A$2:$A$337=B41)*
           (aspek!$B$2:$B$337=C41)*
           (aspek!$C$2:$C$337=D41),0))</f>
        <v>Bangkit dari kegagalan signifikan</v>
      </c>
      <c r="F41" s="76">
        <v>5</v>
      </c>
      <c r="G41" s="56" t="str" cm="1">
        <f t="array" ref="G41">INDEX(deskripsi!$D$2:$H$337,
   MATCH(1,(deskripsi!$A$2:$A$337=B41)*
           (deskripsi!$B$2:$B$337=C41)*
           (deskripsi!$C$2:$C$337=D41),0),
   F41)</f>
        <v>Kegagalan besar justru menjadi titik balik yang memperkuat pencapaian berikutnya.</v>
      </c>
    </row>
    <row r="42" spans="1:7">
      <c r="A42" t="str">
        <f t="shared" si="0"/>
        <v>Achievement Drive|Unit Head/Specialist|1|1</v>
      </c>
      <c r="B42" t="str">
        <v>Achievement Drive</v>
      </c>
      <c r="C42" t="str">
        <v>Unit Head/Specialist</v>
      </c>
      <c r="D42" s="76">
        <v>1</v>
      </c>
      <c r="E42" t="str" cm="1">
        <f t="array" ref="E42">INDEX(aspek!$D$2:$D$337,
   MATCH(1,(aspek!$A$2:$A$337=B42)*
           (aspek!$B$2:$B$337=C42)*
           (aspek!$C$2:$C$337=D42),0))</f>
        <v>Kesadaran atas hasil terhadap target</v>
      </c>
      <c r="F42" s="76">
        <v>1</v>
      </c>
      <c r="G42" s="56" t="str" cm="1">
        <f t="array" ref="G42">INDEX(deskripsi!$D$2:$H$337,
   MATCH(1,(deskripsi!$A$2:$A$337=B42)*
           (deskripsi!$B$2:$B$337=C42)*
           (deskripsi!$C$2:$C$337=D42),0),
   F42)</f>
        <v>Tidak merefleksikan hasil target sama sekali.</v>
      </c>
    </row>
    <row r="43" spans="1:7" ht="28.9">
      <c r="A43" t="str">
        <f t="shared" si="0"/>
        <v>Achievement Drive|Unit Head/Specialist|1|2</v>
      </c>
      <c r="B43" t="str">
        <v>Achievement Drive</v>
      </c>
      <c r="C43" t="str">
        <v>Unit Head/Specialist</v>
      </c>
      <c r="D43" s="76">
        <v>1</v>
      </c>
      <c r="E43" t="str" cm="1">
        <f t="array" ref="E43">INDEX(aspek!$D$2:$D$337,
   MATCH(1,(aspek!$A$2:$A$337=B43)*
           (aspek!$B$2:$B$337=C43)*
           (aspek!$C$2:$C$337=D43),0))</f>
        <v>Kesadaran atas hasil terhadap target</v>
      </c>
      <c r="F43" s="76">
        <v>2</v>
      </c>
      <c r="G43" s="56" t="str" cm="1">
        <f t="array" ref="G43">INDEX(deskripsi!$D$2:$H$337,
   MATCH(1,(deskripsi!$A$2:$A$337=B43)*
           (deskripsi!$B$2:$B$337=C43)*
           (deskripsi!$C$2:$C$337=D43),0),
   F43)</f>
        <v>Menyadari target tercapai atau tidak, tidak menelusuri sebabnya.</v>
      </c>
    </row>
    <row r="44" spans="1:7" ht="28.9">
      <c r="A44" t="str">
        <f t="shared" si="0"/>
        <v>Achievement Drive|Unit Head/Specialist|1|3</v>
      </c>
      <c r="B44" t="str">
        <v>Achievement Drive</v>
      </c>
      <c r="C44" t="str">
        <v>Unit Head/Specialist</v>
      </c>
      <c r="D44" s="76">
        <v>1</v>
      </c>
      <c r="E44" t="str" cm="1">
        <f t="array" ref="E44">INDEX(aspek!$D$2:$D$337,
   MATCH(1,(aspek!$A$2:$A$337=B44)*
           (aspek!$B$2:$B$337=C44)*
           (aspek!$C$2:$C$337=D44),0))</f>
        <v>Kesadaran atas hasil terhadap target</v>
      </c>
      <c r="F44" s="76">
        <v>3</v>
      </c>
      <c r="G44" s="56" t="str" cm="1">
        <f t="array" ref="G44">INDEX(deskripsi!$D$2:$H$337,
   MATCH(1,(deskripsi!$A$2:$A$337=B44)*
           (deskripsi!$B$2:$B$337=C44)*
           (deskripsi!$C$2:$C$337=D44),0),
   F44)</f>
        <v>Menelusuri sebab target yang meleset pada pekerjaannya sendiri.</v>
      </c>
    </row>
    <row r="45" spans="1:7" ht="28.9">
      <c r="A45" t="str">
        <f t="shared" si="0"/>
        <v>Achievement Drive|Unit Head/Specialist|1|4</v>
      </c>
      <c r="B45" t="str">
        <v>Achievement Drive</v>
      </c>
      <c r="C45" t="str">
        <v>Unit Head/Specialist</v>
      </c>
      <c r="D45" s="76">
        <v>1</v>
      </c>
      <c r="E45" t="str" cm="1">
        <f t="array" ref="E45">INDEX(aspek!$D$2:$D$337,
   MATCH(1,(aspek!$A$2:$A$337=B45)*
           (aspek!$B$2:$B$337=C45)*
           (aspek!$C$2:$C$337=D45),0))</f>
        <v>Kesadaran atas hasil terhadap target</v>
      </c>
      <c r="F45" s="76">
        <v>4</v>
      </c>
      <c r="G45" s="56" t="str" cm="1">
        <f t="array" ref="G45">INDEX(deskripsi!$D$2:$H$337,
   MATCH(1,(deskripsi!$A$2:$A$337=B45)*
           (deskripsi!$B$2:$B$337=C45)*
           (deskripsi!$C$2:$C$337=D45),0),
   F45)</f>
        <v>Menelusuri sebab pada tingkat tim, termasuk target yang dianggap sudah cukup baik.</v>
      </c>
    </row>
    <row r="46" spans="1:7" ht="28.9">
      <c r="A46" t="str">
        <f t="shared" si="0"/>
        <v>Achievement Drive|Unit Head/Specialist|1|5</v>
      </c>
      <c r="B46" t="str">
        <v>Achievement Drive</v>
      </c>
      <c r="C46" t="str">
        <v>Unit Head/Specialist</v>
      </c>
      <c r="D46" s="76">
        <v>1</v>
      </c>
      <c r="E46" t="str" cm="1">
        <f t="array" ref="E46">INDEX(aspek!$D$2:$D$337,
   MATCH(1,(aspek!$A$2:$A$337=B46)*
           (aspek!$B$2:$B$337=C46)*
           (aspek!$C$2:$C$337=D46),0))</f>
        <v>Kesadaran atas hasil terhadap target</v>
      </c>
      <c r="F46" s="76">
        <v>5</v>
      </c>
      <c r="G46" s="56" t="str" cm="1">
        <f t="array" ref="G46">INDEX(deskripsi!$D$2:$H$337,
   MATCH(1,(deskripsi!$A$2:$A$337=B46)*
           (deskripsi!$B$2:$B$337=C46)*
           (deskripsi!$C$2:$C$337=D46),0),
   F46)</f>
        <v>Menjadi rujukan tim untuk memahami mengapa target tercapai atau gagal.</v>
      </c>
    </row>
    <row r="47" spans="1:7">
      <c r="A47" t="str">
        <f t="shared" si="0"/>
        <v>Achievement Drive|Unit Head/Specialist|2|1</v>
      </c>
      <c r="B47" t="str">
        <v>Achievement Drive</v>
      </c>
      <c r="C47" t="str">
        <v>Unit Head/Specialist</v>
      </c>
      <c r="D47" s="76">
        <v>2</v>
      </c>
      <c r="E47" t="str" cm="1">
        <f t="array" ref="E47">INDEX(aspek!$D$2:$D$337,
   MATCH(1,(aspek!$A$2:$A$337=B47)*
           (aspek!$B$2:$B$337=C47)*
           (aspek!$C$2:$C$337=D47),0))</f>
        <v>Refleksi berujung tindakan</v>
      </c>
      <c r="F47" s="76">
        <v>1</v>
      </c>
      <c r="G47" s="56" t="str" cm="1">
        <f t="array" ref="G47">INDEX(deskripsi!$D$2:$H$337,
   MATCH(1,(deskripsi!$A$2:$A$337=B47)*
           (deskripsi!$B$2:$B$337=C47)*
           (deskripsi!$C$2:$C$337=D47),0),
   F47)</f>
        <v>Tidak menarik pelajaran dari target yang meleset.</v>
      </c>
    </row>
    <row r="48" spans="1:7">
      <c r="A48" t="str">
        <f t="shared" si="0"/>
        <v>Achievement Drive|Unit Head/Specialist|2|2</v>
      </c>
      <c r="B48" t="str">
        <v>Achievement Drive</v>
      </c>
      <c r="C48" t="str">
        <v>Unit Head/Specialist</v>
      </c>
      <c r="D48" s="76">
        <v>2</v>
      </c>
      <c r="E48" t="str" cm="1">
        <f t="array" ref="E48">INDEX(aspek!$D$2:$D$337,
   MATCH(1,(aspek!$A$2:$A$337=B48)*
           (aspek!$B$2:$B$337=C48)*
           (aspek!$C$2:$C$337=D48),0))</f>
        <v>Refleksi berujung tindakan</v>
      </c>
      <c r="F48" s="76">
        <v>2</v>
      </c>
      <c r="G48" s="56" t="str" cm="1">
        <f t="array" ref="G48">INDEX(deskripsi!$D$2:$H$337,
   MATCH(1,(deskripsi!$A$2:$A$337=B48)*
           (deskripsi!$B$2:$B$337=C48)*
           (deskripsi!$C$2:$C$337=D48),0),
   F48)</f>
        <v>Menarik pelajaran, tetapi berhenti sebagai kesadaran.</v>
      </c>
    </row>
    <row r="49" spans="1:7" ht="28.9">
      <c r="A49" t="str">
        <f t="shared" si="0"/>
        <v>Achievement Drive|Unit Head/Specialist|2|3</v>
      </c>
      <c r="B49" t="str">
        <v>Achievement Drive</v>
      </c>
      <c r="C49" t="str">
        <v>Unit Head/Specialist</v>
      </c>
      <c r="D49" s="76">
        <v>2</v>
      </c>
      <c r="E49" t="str" cm="1">
        <f t="array" ref="E49">INDEX(aspek!$D$2:$D$337,
   MATCH(1,(aspek!$A$2:$A$337=B49)*
           (aspek!$B$2:$B$337=C49)*
           (aspek!$C$2:$C$337=D49),0))</f>
        <v>Refleksi berujung tindakan</v>
      </c>
      <c r="F49" s="76">
        <v>3</v>
      </c>
      <c r="G49" s="56" t="str" cm="1">
        <f t="array" ref="G49">INDEX(deskripsi!$D$2:$H$337,
   MATCH(1,(deskripsi!$A$2:$A$337=B49)*
           (deskripsi!$B$2:$B$337=C49)*
           (deskripsi!$C$2:$C$337=D49),0),
   F49)</f>
        <v>Menetapkan tindakan perbaikan, tidak selalu diterapkan pada target berikutnya.</v>
      </c>
    </row>
    <row r="50" spans="1:7" ht="28.9">
      <c r="A50" t="str">
        <f t="shared" si="0"/>
        <v>Achievement Drive|Unit Head/Specialist|2|4</v>
      </c>
      <c r="B50" t="str">
        <v>Achievement Drive</v>
      </c>
      <c r="C50" t="str">
        <v>Unit Head/Specialist</v>
      </c>
      <c r="D50" s="76">
        <v>2</v>
      </c>
      <c r="E50" t="str" cm="1">
        <f t="array" ref="E50">INDEX(aspek!$D$2:$D$337,
   MATCH(1,(aspek!$A$2:$A$337=B50)*
           (aspek!$B$2:$B$337=C50)*
           (aspek!$C$2:$C$337=D50),0))</f>
        <v>Refleksi berujung tindakan</v>
      </c>
      <c r="F50" s="76">
        <v>4</v>
      </c>
      <c r="G50" s="56" t="str" cm="1">
        <f t="array" ref="G50">INDEX(deskripsi!$D$2:$H$337,
   MATCH(1,(deskripsi!$A$2:$A$337=B50)*
           (deskripsi!$B$2:$B$337=C50)*
           (deskripsi!$C$2:$C$337=D50),0),
   F50)</f>
        <v>Pelajaran diubah menjadi tindakan yang dijalankan, dengan bukti pencapaian target membaik.</v>
      </c>
    </row>
    <row r="51" spans="1:7">
      <c r="A51" t="str">
        <f t="shared" si="0"/>
        <v>Achievement Drive|Unit Head/Specialist|2|5</v>
      </c>
      <c r="B51" t="str">
        <v>Achievement Drive</v>
      </c>
      <c r="C51" t="str">
        <v>Unit Head/Specialist</v>
      </c>
      <c r="D51" s="76">
        <v>2</v>
      </c>
      <c r="E51" t="str" cm="1">
        <f t="array" ref="E51">INDEX(aspek!$D$2:$D$337,
   MATCH(1,(aspek!$A$2:$A$337=B51)*
           (aspek!$B$2:$B$337=C51)*
           (aspek!$C$2:$C$337=D51),0))</f>
        <v>Refleksi berujung tindakan</v>
      </c>
      <c r="F51" s="76">
        <v>5</v>
      </c>
      <c r="G51" s="56" t="str" cm="1">
        <f t="array" ref="G51">INDEX(deskripsi!$D$2:$H$337,
   MATCH(1,(deskripsi!$A$2:$A$337=B51)*
           (deskripsi!$B$2:$B$337=C51)*
           (deskripsi!$C$2:$C$337=D51),0),
   F51)</f>
        <v>Tindakan perbaikannya menjadi kebiasaan baku tim.</v>
      </c>
    </row>
    <row r="52" spans="1:7" ht="28.9">
      <c r="A52" t="str">
        <f t="shared" si="0"/>
        <v>Achievement Drive|Unit Head/Specialist|3|1</v>
      </c>
      <c r="B52" t="str">
        <v>Achievement Drive</v>
      </c>
      <c r="C52" t="str">
        <v>Unit Head/Specialist</v>
      </c>
      <c r="D52" s="76">
        <v>3</v>
      </c>
      <c r="E52" t="str" cm="1">
        <f t="array" ref="E52">INDEX(aspek!$D$2:$D$337,
   MATCH(1,(aspek!$A$2:$A$337=B52)*
           (aspek!$B$2:$B$337=C52)*
           (aspek!$C$2:$C$337=D52),0))</f>
        <v>Pembelajaran kolektif tanpa kambing hitam</v>
      </c>
      <c r="F52" s="76">
        <v>1</v>
      </c>
      <c r="G52" s="56" t="str" cm="1">
        <f t="array" ref="G52">INDEX(deskripsi!$D$2:$H$337,
   MATCH(1,(deskripsi!$A$2:$A$337=B52)*
           (deskripsi!$B$2:$B$337=C52)*
           (deskripsi!$C$2:$C$337=D52),0),
   F52)</f>
        <v>Target tim yang gagal dibahas dengan mencari siapa yang salah.</v>
      </c>
    </row>
    <row r="53" spans="1:7" ht="28.9">
      <c r="A53" t="str">
        <f t="shared" si="0"/>
        <v>Achievement Drive|Unit Head/Specialist|3|2</v>
      </c>
      <c r="B53" t="str">
        <v>Achievement Drive</v>
      </c>
      <c r="C53" t="str">
        <v>Unit Head/Specialist</v>
      </c>
      <c r="D53" s="76">
        <v>3</v>
      </c>
      <c r="E53" t="str" cm="1">
        <f t="array" ref="E53">INDEX(aspek!$D$2:$D$337,
   MATCH(1,(aspek!$A$2:$A$337=B53)*
           (aspek!$B$2:$B$337=C53)*
           (aspek!$C$2:$C$337=D53),0))</f>
        <v>Pembelajaran kolektif tanpa kambing hitam</v>
      </c>
      <c r="F53" s="76">
        <v>2</v>
      </c>
      <c r="G53" s="56" t="str" cm="1">
        <f t="array" ref="G53">INDEX(deskripsi!$D$2:$H$337,
   MATCH(1,(deskripsi!$A$2:$A$337=B53)*
           (deskripsi!$B$2:$B$337=C53)*
           (deskripsi!$C$2:$C$337=D53),0),
   F53)</f>
        <v>Dibahas, tetapi anggota tim menahan diri karena takut disalahkan.</v>
      </c>
    </row>
    <row r="54" spans="1:7">
      <c r="A54" t="str">
        <f t="shared" si="0"/>
        <v>Achievement Drive|Unit Head/Specialist|3|3</v>
      </c>
      <c r="B54" t="str">
        <v>Achievement Drive</v>
      </c>
      <c r="C54" t="str">
        <v>Unit Head/Specialist</v>
      </c>
      <c r="D54" s="76">
        <v>3</v>
      </c>
      <c r="E54" t="str" cm="1">
        <f t="array" ref="E54">INDEX(aspek!$D$2:$D$337,
   MATCH(1,(aspek!$A$2:$A$337=B54)*
           (aspek!$B$2:$B$337=C54)*
           (aspek!$C$2:$C$337=D54),0))</f>
        <v>Pembelajaran kolektif tanpa kambing hitam</v>
      </c>
      <c r="F54" s="76">
        <v>3</v>
      </c>
      <c r="G54" s="56" t="str" cm="1">
        <f t="array" ref="G54">INDEX(deskripsi!$D$2:$H$337,
   MATCH(1,(deskripsi!$A$2:$A$337=B54)*
           (deskripsi!$B$2:$B$337=C54)*
           (deskripsi!$C$2:$C$337=D54),0),
   F54)</f>
        <v>Dibahas terbuka pada kasus yang tidak terlalu sensitif.</v>
      </c>
    </row>
    <row r="55" spans="1:7" ht="28.9">
      <c r="A55" t="str">
        <f t="shared" si="0"/>
        <v>Achievement Drive|Unit Head/Specialist|3|4</v>
      </c>
      <c r="B55" t="str">
        <v>Achievement Drive</v>
      </c>
      <c r="C55" t="str">
        <v>Unit Head/Specialist</v>
      </c>
      <c r="D55" s="76">
        <v>3</v>
      </c>
      <c r="E55" t="str" cm="1">
        <f t="array" ref="E55">INDEX(aspek!$D$2:$D$337,
   MATCH(1,(aspek!$A$2:$A$337=B55)*
           (aspek!$B$2:$B$337=C55)*
           (aspek!$C$2:$C$337=D55),0))</f>
        <v>Pembelajaran kolektif tanpa kambing hitam</v>
      </c>
      <c r="F55" s="76">
        <v>4</v>
      </c>
      <c r="G55" s="56" t="str" cm="1">
        <f t="array" ref="G55">INDEX(deskripsi!$D$2:$H$337,
   MATCH(1,(deskripsi!$A$2:$A$337=B55)*
           (deskripsi!$B$2:$B$337=C55)*
           (deskripsi!$C$2:$C$337=D55),0),
   F55)</f>
        <v>Memimpin pembahasan kegagalan target secara terbuka termasuk kasus signifikan, tanpa mencari kambing hitam.</v>
      </c>
    </row>
    <row r="56" spans="1:7" ht="28.9">
      <c r="A56" t="str">
        <f t="shared" si="0"/>
        <v>Achievement Drive|Unit Head/Specialist|3|5</v>
      </c>
      <c r="B56" t="str">
        <v>Achievement Drive</v>
      </c>
      <c r="C56" t="str">
        <v>Unit Head/Specialist</v>
      </c>
      <c r="D56" s="76">
        <v>3</v>
      </c>
      <c r="E56" t="str" cm="1">
        <f t="array" ref="E56">INDEX(aspek!$D$2:$D$337,
   MATCH(1,(aspek!$A$2:$A$337=B56)*
           (aspek!$B$2:$B$337=C56)*
           (aspek!$C$2:$C$337=D56),0))</f>
        <v>Pembelajaran kolektif tanpa kambing hitam</v>
      </c>
      <c r="F56" s="76">
        <v>5</v>
      </c>
      <c r="G56" s="56" t="str" cm="1">
        <f t="array" ref="G56">INDEX(deskripsi!$D$2:$H$337,
   MATCH(1,(deskripsi!$A$2:$A$337=B56)*
           (deskripsi!$B$2:$B$337=C56)*
           (deskripsi!$C$2:$C$337=D56),0),
   F56)</f>
        <v>Tim secara mandiri membahas kegagalan target mereka tanpa perlu dipimpin.</v>
      </c>
    </row>
    <row r="57" spans="1:7">
      <c r="A57" t="str">
        <f t="shared" si="0"/>
        <v>Achievement Drive|Unit Head/Specialist|4|1</v>
      </c>
      <c r="B57" t="str">
        <v>Achievement Drive</v>
      </c>
      <c r="C57" t="str">
        <v>Unit Head/Specialist</v>
      </c>
      <c r="D57" s="76">
        <v>4</v>
      </c>
      <c r="E57" t="str" cm="1">
        <f t="array" ref="E57">INDEX(aspek!$D$2:$D$337,
   MATCH(1,(aspek!$A$2:$A$337=B57)*
           (aspek!$B$2:$B$337=C57)*
           (aspek!$C$2:$C$337=D57),0))</f>
        <v>Pelembagaan perbaikan</v>
      </c>
      <c r="F57" s="76">
        <v>1</v>
      </c>
      <c r="G57" s="56" t="str" cm="1">
        <f t="array" ref="G57">INDEX(deskripsi!$D$2:$H$337,
   MATCH(1,(deskripsi!$A$2:$A$337=B57)*
           (deskripsi!$B$2:$B$337=C57)*
           (deskripsi!$C$2:$C$337=D57),0),
   F57)</f>
        <v>Perbaikan hanya berupa pengingat lisan kepada individu.</v>
      </c>
    </row>
    <row r="58" spans="1:7">
      <c r="A58" t="str">
        <f t="shared" si="0"/>
        <v>Achievement Drive|Unit Head/Specialist|4|2</v>
      </c>
      <c r="B58" t="str">
        <v>Achievement Drive</v>
      </c>
      <c r="C58" t="str">
        <v>Unit Head/Specialist</v>
      </c>
      <c r="D58" s="76">
        <v>4</v>
      </c>
      <c r="E58" t="str" cm="1">
        <f t="array" ref="E58">INDEX(aspek!$D$2:$D$337,
   MATCH(1,(aspek!$A$2:$A$337=B58)*
           (aspek!$B$2:$B$337=C58)*
           (aspek!$C$2:$C$337=D58),0))</f>
        <v>Pelembagaan perbaikan</v>
      </c>
      <c r="F58" s="76">
        <v>2</v>
      </c>
      <c r="G58" s="56" t="str" cm="1">
        <f t="array" ref="G58">INDEX(deskripsi!$D$2:$H$337,
   MATCH(1,(deskripsi!$A$2:$A$337=B58)*
           (deskripsi!$B$2:$B$337=C58)*
           (deskripsi!$C$2:$C$337=D58),0),
   F58)</f>
        <v>Perbaikan dicatat, tidak ada perubahan cara kerja tim.</v>
      </c>
    </row>
    <row r="59" spans="1:7">
      <c r="A59" t="str">
        <f t="shared" si="0"/>
        <v>Achievement Drive|Unit Head/Specialist|4|3</v>
      </c>
      <c r="B59" t="str">
        <v>Achievement Drive</v>
      </c>
      <c r="C59" t="str">
        <v>Unit Head/Specialist</v>
      </c>
      <c r="D59" s="76">
        <v>4</v>
      </c>
      <c r="E59" t="str" cm="1">
        <f t="array" ref="E59">INDEX(aspek!$D$2:$D$337,
   MATCH(1,(aspek!$A$2:$A$337=B59)*
           (aspek!$B$2:$B$337=C59)*
           (aspek!$C$2:$C$337=D59),0))</f>
        <v>Pelembagaan perbaikan</v>
      </c>
      <c r="F59" s="76">
        <v>3</v>
      </c>
      <c r="G59" s="56" t="str" cm="1">
        <f t="array" ref="G59">INDEX(deskripsi!$D$2:$H$337,
   MATCH(1,(deskripsi!$A$2:$A$337=B59)*
           (deskripsi!$B$2:$B$337=C59)*
           (deskripsi!$C$2:$C$337=D59),0),
   F59)</f>
        <v>Perbaikan diterapkan pada kasus yang sama bila muncul lagi.</v>
      </c>
    </row>
    <row r="60" spans="1:7" ht="28.9">
      <c r="A60" t="str">
        <f t="shared" si="0"/>
        <v>Achievement Drive|Unit Head/Specialist|4|4</v>
      </c>
      <c r="B60" t="str">
        <v>Achievement Drive</v>
      </c>
      <c r="C60" t="str">
        <v>Unit Head/Specialist</v>
      </c>
      <c r="D60" s="76">
        <v>4</v>
      </c>
      <c r="E60" t="str" cm="1">
        <f t="array" ref="E60">INDEX(aspek!$D$2:$D$337,
   MATCH(1,(aspek!$A$2:$A$337=B60)*
           (aspek!$B$2:$B$337=C60)*
           (aspek!$C$2:$C$337=D60),0))</f>
        <v>Pelembagaan perbaikan</v>
      </c>
      <c r="F60" s="76">
        <v>4</v>
      </c>
      <c r="G60" s="56" t="str" cm="1">
        <f t="array" ref="G60">INDEX(deskripsi!$D$2:$H$337,
   MATCH(1,(deskripsi!$A$2:$A$337=B60)*
           (deskripsi!$B$2:$B$337=C60)*
           (deskripsi!$C$2:$C$337=D60),0),
   F60)</f>
        <v>Perbaikan diubah menjadi perubahan cara kerja tim, sehingga target yang sama tidak berulang gagal.</v>
      </c>
    </row>
    <row r="61" spans="1:7">
      <c r="A61" t="str">
        <f t="shared" si="0"/>
        <v>Achievement Drive|Unit Head/Specialist|4|5</v>
      </c>
      <c r="B61" t="str">
        <v>Achievement Drive</v>
      </c>
      <c r="C61" t="str">
        <v>Unit Head/Specialist</v>
      </c>
      <c r="D61" s="76">
        <v>4</v>
      </c>
      <c r="E61" t="str" cm="1">
        <f t="array" ref="E61">INDEX(aspek!$D$2:$D$337,
   MATCH(1,(aspek!$A$2:$A$337=B61)*
           (aspek!$B$2:$B$337=C61)*
           (aspek!$C$2:$C$337=D61),0))</f>
        <v>Pelembagaan perbaikan</v>
      </c>
      <c r="F61" s="76">
        <v>5</v>
      </c>
      <c r="G61" s="56" t="str" cm="1">
        <f t="array" ref="G61">INDEX(deskripsi!$D$2:$H$337,
   MATCH(1,(deskripsi!$A$2:$A$337=B61)*
           (deskripsi!$B$2:$B$337=C61)*
           (deskripsi!$C$2:$C$337=D61),0),
   F61)</f>
        <v>Cara kerja yang diperbaikinya diadopsi unit lain.</v>
      </c>
    </row>
    <row r="62" spans="1:7">
      <c r="A62" t="str">
        <f t="shared" si="0"/>
        <v>Achievement Drive|Department Head|1|1</v>
      </c>
      <c r="B62" t="str">
        <v>Achievement Drive</v>
      </c>
      <c r="C62" t="str">
        <v>Department Head</v>
      </c>
      <c r="D62" s="76">
        <v>1</v>
      </c>
      <c r="E62" t="str" cm="1">
        <f t="array" ref="E62">INDEX(aspek!$D$2:$D$337,
   MATCH(1,(aspek!$A$2:$A$337=B62)*
           (aspek!$B$2:$B$337=C62)*
           (aspek!$C$2:$C$337=D62),0))</f>
        <v>Stabilitas atensi saat beban meningkat</v>
      </c>
      <c r="F62" s="76">
        <v>1</v>
      </c>
      <c r="G62" s="56" t="str" cm="1">
        <f t="array" ref="G62">INDEX(deskripsi!$D$2:$H$337,
   MATCH(1,(deskripsi!$A$2:$A$337=B62)*
           (deskripsi!$B$2:$B$337=C62)*
           (deskripsi!$C$2:$C$337=D62),0),
   F62)</f>
        <v>Kehilangan fokus sepenuhnya saat tertekan.</v>
      </c>
    </row>
    <row r="63" spans="1:7">
      <c r="A63" t="str">
        <f t="shared" si="0"/>
        <v>Achievement Drive|Department Head|1|2</v>
      </c>
      <c r="B63" t="str">
        <v>Achievement Drive</v>
      </c>
      <c r="C63" t="str">
        <v>Department Head</v>
      </c>
      <c r="D63" s="76">
        <v>1</v>
      </c>
      <c r="E63" t="str" cm="1">
        <f t="array" ref="E63">INDEX(aspek!$D$2:$D$337,
   MATCH(1,(aspek!$A$2:$A$337=B63)*
           (aspek!$B$2:$B$337=C63)*
           (aspek!$C$2:$C$337=D63),0))</f>
        <v>Stabilitas atensi saat beban meningkat</v>
      </c>
      <c r="F63" s="76">
        <v>2</v>
      </c>
      <c r="G63" s="56" t="str" cm="1">
        <f t="array" ref="G63">INDEX(deskripsi!$D$2:$H$337,
   MATCH(1,(deskripsi!$A$2:$A$337=B63)*
           (deskripsi!$B$2:$B$337=C63)*
           (deskripsi!$C$2:$C$337=D63),0),
   F63)</f>
        <v>Sering terganggu, sulit menyelesaikan tugas kritis.</v>
      </c>
    </row>
    <row r="64" spans="1:7">
      <c r="A64" t="str">
        <f t="shared" si="0"/>
        <v>Achievement Drive|Department Head|1|3</v>
      </c>
      <c r="B64" t="str">
        <v>Achievement Drive</v>
      </c>
      <c r="C64" t="str">
        <v>Department Head</v>
      </c>
      <c r="D64" s="76">
        <v>1</v>
      </c>
      <c r="E64" t="str" cm="1">
        <f t="array" ref="E64">INDEX(aspek!$D$2:$D$337,
   MATCH(1,(aspek!$A$2:$A$337=B64)*
           (aspek!$B$2:$B$337=C64)*
           (aspek!$C$2:$C$337=D64),0))</f>
        <v>Stabilitas atensi saat beban meningkat</v>
      </c>
      <c r="F64" s="76">
        <v>3</v>
      </c>
      <c r="G64" s="56" t="str" cm="1">
        <f t="array" ref="G64">INDEX(deskripsi!$D$2:$H$337,
   MATCH(1,(deskripsi!$A$2:$A$337=B64)*
           (deskripsi!$B$2:$B$337=C64)*
           (deskripsi!$C$2:$C$337=D64),0),
   F64)</f>
        <v>Tetap fokus dengan dukungan atasan atau rekan.</v>
      </c>
    </row>
    <row r="65" spans="1:7" ht="28.9">
      <c r="A65" t="str">
        <f t="shared" si="0"/>
        <v>Achievement Drive|Department Head|1|4</v>
      </c>
      <c r="B65" t="str">
        <v>Achievement Drive</v>
      </c>
      <c r="C65" t="str">
        <v>Department Head</v>
      </c>
      <c r="D65" s="76">
        <v>1</v>
      </c>
      <c r="E65" t="str" cm="1">
        <f t="array" ref="E65">INDEX(aspek!$D$2:$D$337,
   MATCH(1,(aspek!$A$2:$A$337=B65)*
           (aspek!$B$2:$B$337=C65)*
           (aspek!$C$2:$C$337=D65),0))</f>
        <v>Stabilitas atensi saat beban meningkat</v>
      </c>
      <c r="F65" s="76">
        <v>4</v>
      </c>
      <c r="G65" s="56" t="str" cm="1">
        <f t="array" ref="G65">INDEX(deskripsi!$D$2:$H$337,
   MATCH(1,(deskripsi!$A$2:$A$337=B65)*
           (deskripsi!$B$2:$B$337=C65)*
           (deskripsi!$C$2:$C$337=D65),0),
   F65)</f>
        <v>Tetap fokus secara mandiri meski beban tinggi, tanpa dukungan terus-menerus.</v>
      </c>
    </row>
    <row r="66" spans="1:7" ht="28.9">
      <c r="A66" t="str">
        <f t="shared" si="0"/>
        <v>Achievement Drive|Department Head|1|5</v>
      </c>
      <c r="B66" t="str">
        <v>Achievement Drive</v>
      </c>
      <c r="C66" t="str">
        <v>Department Head</v>
      </c>
      <c r="D66" s="76">
        <v>1</v>
      </c>
      <c r="E66" t="str" cm="1">
        <f t="array" ref="E66">INDEX(aspek!$D$2:$D$337,
   MATCH(1,(aspek!$A$2:$A$337=B66)*
           (aspek!$B$2:$B$337=C66)*
           (aspek!$C$2:$C$337=D66),0))</f>
        <v>Stabilitas atensi saat beban meningkat</v>
      </c>
      <c r="F66" s="76">
        <v>5</v>
      </c>
      <c r="G66" s="56" t="str" cm="1">
        <f t="array" ref="G66">INDEX(deskripsi!$D$2:$H$337,
   MATCH(1,(deskripsi!$A$2:$A$337=B66)*
           (deskripsi!$B$2:$B$337=C66)*
           (deskripsi!$C$2:$C$337=D66),0),
   F66)</f>
        <v>Fokusnya menenangkan orang lain di sekitarnya yang ikut tertekan.</v>
      </c>
    </row>
    <row r="67" spans="1:7">
      <c r="A67" t="str">
        <f t="shared" ref="A67:A130" si="1">B67&amp;"|"&amp;C67&amp;"|"&amp;D67&amp;"|"&amp;F67</f>
        <v>Achievement Drive|Department Head|2|1</v>
      </c>
      <c r="B67" t="str">
        <v>Achievement Drive</v>
      </c>
      <c r="C67" t="str">
        <v>Department Head</v>
      </c>
      <c r="D67" s="76">
        <v>2</v>
      </c>
      <c r="E67" t="str" cm="1">
        <f t="array" ref="E67">INDEX(aspek!$D$2:$D$337,
   MATCH(1,(aspek!$A$2:$A$337=B67)*
           (aspek!$B$2:$B$337=C67)*
           (aspek!$C$2:$C$337=D67),0))</f>
        <v>Kualitas output saat tertekan</v>
      </c>
      <c r="F67" s="76">
        <v>1</v>
      </c>
      <c r="G67" s="56" t="str" cm="1">
        <f t="array" ref="G67">INDEX(deskripsi!$D$2:$H$337,
   MATCH(1,(deskripsi!$A$2:$A$337=B67)*
           (deskripsi!$B$2:$B$337=C67)*
           (deskripsi!$C$2:$C$337=D67),0),
   F67)</f>
        <v>Kualitas turun drastis saat beban tinggi.</v>
      </c>
    </row>
    <row r="68" spans="1:7">
      <c r="A68" t="str">
        <f t="shared" si="1"/>
        <v>Achievement Drive|Department Head|2|2</v>
      </c>
      <c r="B68" t="str">
        <v>Achievement Drive</v>
      </c>
      <c r="C68" t="str">
        <v>Department Head</v>
      </c>
      <c r="D68" s="76">
        <v>2</v>
      </c>
      <c r="E68" t="str" cm="1">
        <f t="array" ref="E68">INDEX(aspek!$D$2:$D$337,
   MATCH(1,(aspek!$A$2:$A$337=B68)*
           (aspek!$B$2:$B$337=C68)*
           (aspek!$C$2:$C$337=D68),0))</f>
        <v>Kualitas output saat tertekan</v>
      </c>
      <c r="F68" s="76">
        <v>2</v>
      </c>
      <c r="G68" s="56" t="str" cm="1">
        <f t="array" ref="G68">INDEX(deskripsi!$D$2:$H$337,
   MATCH(1,(deskripsi!$A$2:$A$337=B68)*
           (deskripsi!$B$2:$B$337=C68)*
           (deskripsi!$C$2:$C$337=D68),0),
   F68)</f>
        <v>Kualitas turun cukup terasa, meski pekerjaan selesai.</v>
      </c>
    </row>
    <row r="69" spans="1:7">
      <c r="A69" t="str">
        <f t="shared" si="1"/>
        <v>Achievement Drive|Department Head|2|3</v>
      </c>
      <c r="B69" t="str">
        <v>Achievement Drive</v>
      </c>
      <c r="C69" t="str">
        <v>Department Head</v>
      </c>
      <c r="D69" s="76">
        <v>2</v>
      </c>
      <c r="E69" t="str" cm="1">
        <f t="array" ref="E69">INDEX(aspek!$D$2:$D$337,
   MATCH(1,(aspek!$A$2:$A$337=B69)*
           (aspek!$B$2:$B$337=C69)*
           (aspek!$C$2:$C$337=D69),0))</f>
        <v>Kualitas output saat tertekan</v>
      </c>
      <c r="F69" s="76">
        <v>3</v>
      </c>
      <c r="G69" s="56" t="str" cm="1">
        <f t="array" ref="G69">INDEX(deskripsi!$D$2:$H$337,
   MATCH(1,(deskripsi!$A$2:$A$337=B69)*
           (deskripsi!$B$2:$B$337=C69)*
           (deskripsi!$C$2:$C$337=D69),0),
   F69)</f>
        <v>Kualitas relatif terjaga pada beban yang familiar.</v>
      </c>
    </row>
    <row r="70" spans="1:7" ht="28.9">
      <c r="A70" t="str">
        <f t="shared" si="1"/>
        <v>Achievement Drive|Department Head|2|4</v>
      </c>
      <c r="B70" t="str">
        <v>Achievement Drive</v>
      </c>
      <c r="C70" t="str">
        <v>Department Head</v>
      </c>
      <c r="D70" s="76">
        <v>2</v>
      </c>
      <c r="E70" t="str" cm="1">
        <f t="array" ref="E70">INDEX(aspek!$D$2:$D$337,
   MATCH(1,(aspek!$A$2:$A$337=B70)*
           (aspek!$B$2:$B$337=C70)*
           (aspek!$C$2:$C$337=D70),0))</f>
        <v>Kualitas output saat tertekan</v>
      </c>
      <c r="F70" s="76">
        <v>4</v>
      </c>
      <c r="G70" s="56" t="str" cm="1">
        <f t="array" ref="G70">INDEX(deskripsi!$D$2:$H$337,
   MATCH(1,(deskripsi!$A$2:$A$337=B70)*
           (deskripsi!$B$2:$B$337=C70)*
           (deskripsi!$C$2:$C$337=D70),0),
   F70)</f>
        <v>Kualitas tidak menurun dibanding periode normal, dibuktikan dengan data, bahkan pada beban yang belum familiar.</v>
      </c>
    </row>
    <row r="71" spans="1:7" ht="28.9">
      <c r="A71" t="str">
        <f t="shared" si="1"/>
        <v>Achievement Drive|Department Head|2|5</v>
      </c>
      <c r="B71" t="str">
        <v>Achievement Drive</v>
      </c>
      <c r="C71" t="str">
        <v>Department Head</v>
      </c>
      <c r="D71" s="76">
        <v>2</v>
      </c>
      <c r="E71" t="str" cm="1">
        <f t="array" ref="E71">INDEX(aspek!$D$2:$D$337,
   MATCH(1,(aspek!$A$2:$A$337=B71)*
           (aspek!$B$2:$B$337=C71)*
           (aspek!$C$2:$C$337=D71),0))</f>
        <v>Kualitas output saat tertekan</v>
      </c>
      <c r="F71" s="76">
        <v>5</v>
      </c>
      <c r="G71" s="56" t="str" cm="1">
        <f t="array" ref="G71">INDEX(deskripsi!$D$2:$H$337,
   MATCH(1,(deskripsi!$A$2:$A$337=B71)*
           (deskripsi!$B$2:$B$337=C71)*
           (deskripsi!$C$2:$C$337=D71),0),
   F71)</f>
        <v>Kualitasnya justru meningkat saat tertekan, karena prioritas menjadi lebih jelas.</v>
      </c>
    </row>
    <row r="72" spans="1:7">
      <c r="A72" t="str">
        <f t="shared" si="1"/>
        <v>Achievement Drive|Department Head|3|1</v>
      </c>
      <c r="B72" t="str">
        <v>Achievement Drive</v>
      </c>
      <c r="C72" t="str">
        <v>Department Head</v>
      </c>
      <c r="D72" s="76">
        <v>3</v>
      </c>
      <c r="E72" t="str" cm="1">
        <f t="array" ref="E72">INDEX(aspek!$D$2:$D$337,
   MATCH(1,(aspek!$A$2:$A$337=B72)*
           (aspek!$B$2:$B$337=C72)*
           (aspek!$C$2:$C$337=D72),0))</f>
        <v>Menenangkan situasi</v>
      </c>
      <c r="F72" s="76">
        <v>1</v>
      </c>
      <c r="G72" s="56" t="str" cm="1">
        <f t="array" ref="G72">INDEX(deskripsi!$D$2:$H$337,
   MATCH(1,(deskripsi!$A$2:$A$337=B72)*
           (deskripsi!$B$2:$B$337=C72)*
           (deskripsi!$C$2:$C$337=D72),0),
   F72)</f>
        <v>Menambah kepanikan saat situasi sudah tertekan.</v>
      </c>
    </row>
    <row r="73" spans="1:7" ht="28.9">
      <c r="A73" t="str">
        <f t="shared" si="1"/>
        <v>Achievement Drive|Department Head|3|2</v>
      </c>
      <c r="B73" t="str">
        <v>Achievement Drive</v>
      </c>
      <c r="C73" t="str">
        <v>Department Head</v>
      </c>
      <c r="D73" s="76">
        <v>3</v>
      </c>
      <c r="E73" t="str" cm="1">
        <f t="array" ref="E73">INDEX(aspek!$D$2:$D$337,
   MATCH(1,(aspek!$A$2:$A$337=B73)*
           (aspek!$B$2:$B$337=C73)*
           (aspek!$C$2:$C$337=D73),0))</f>
        <v>Menenangkan situasi</v>
      </c>
      <c r="F73" s="76">
        <v>2</v>
      </c>
      <c r="G73" s="56" t="str" cm="1">
        <f t="array" ref="G73">INDEX(deskripsi!$D$2:$H$337,
   MATCH(1,(deskripsi!$A$2:$A$337=B73)*
           (deskripsi!$B$2:$B$337=C73)*
           (deskripsi!$C$2:$C$337=D73),0),
   F73)</f>
        <v>Tetap tenang untuk dirinya sendiri, tidak menenangkan orang lain.</v>
      </c>
    </row>
    <row r="74" spans="1:7">
      <c r="A74" t="str">
        <f t="shared" si="1"/>
        <v>Achievement Drive|Department Head|3|3</v>
      </c>
      <c r="B74" t="str">
        <v>Achievement Drive</v>
      </c>
      <c r="C74" t="str">
        <v>Department Head</v>
      </c>
      <c r="D74" s="76">
        <v>3</v>
      </c>
      <c r="E74" t="str" cm="1">
        <f t="array" ref="E74">INDEX(aspek!$D$2:$D$337,
   MATCH(1,(aspek!$A$2:$A$337=B74)*
           (aspek!$B$2:$B$337=C74)*
           (aspek!$C$2:$C$337=D74),0))</f>
        <v>Menenangkan situasi</v>
      </c>
      <c r="F74" s="76">
        <v>3</v>
      </c>
      <c r="G74" s="56" t="str" cm="1">
        <f t="array" ref="G74">INDEX(deskripsi!$D$2:$H$337,
   MATCH(1,(deskripsi!$A$2:$A$337=B74)*
           (deskripsi!$B$2:$B$337=C74)*
           (deskripsi!$C$2:$C$337=D74),0),
   F74)</f>
        <v>Menenangkan sebagian orang di sekitarnya.</v>
      </c>
    </row>
    <row r="75" spans="1:7" ht="28.9">
      <c r="A75" t="str">
        <f t="shared" si="1"/>
        <v>Achievement Drive|Department Head|3|4</v>
      </c>
      <c r="B75" t="str">
        <v>Achievement Drive</v>
      </c>
      <c r="C75" t="str">
        <v>Department Head</v>
      </c>
      <c r="D75" s="76">
        <v>3</v>
      </c>
      <c r="E75" t="str" cm="1">
        <f t="array" ref="E75">INDEX(aspek!$D$2:$D$337,
   MATCH(1,(aspek!$A$2:$A$337=B75)*
           (aspek!$B$2:$B$337=C75)*
           (aspek!$C$2:$C$337=D75),0))</f>
        <v>Menenangkan situasi</v>
      </c>
      <c r="F75" s="76">
        <v>4</v>
      </c>
      <c r="G75" s="56" t="str" cm="1">
        <f t="array" ref="G75">INDEX(deskripsi!$D$2:$H$337,
   MATCH(1,(deskripsi!$A$2:$A$337=B75)*
           (deskripsi!$B$2:$B$337=C75)*
           (deskripsi!$C$2:$C$337=D75),0),
   F75)</f>
        <v>Secara aktif menenangkan situasi dan orang di sekitarnya saat tekanan tinggi.</v>
      </c>
    </row>
    <row r="76" spans="1:7">
      <c r="A76" t="str">
        <f t="shared" si="1"/>
        <v>Achievement Drive|Department Head|3|5</v>
      </c>
      <c r="B76" t="str">
        <v>Achievement Drive</v>
      </c>
      <c r="C76" t="str">
        <v>Department Head</v>
      </c>
      <c r="D76" s="76">
        <v>3</v>
      </c>
      <c r="E76" t="str" cm="1">
        <f t="array" ref="E76">INDEX(aspek!$D$2:$D$337,
   MATCH(1,(aspek!$A$2:$A$337=B76)*
           (aspek!$B$2:$B$337=C76)*
           (aspek!$C$2:$C$337=D76),0))</f>
        <v>Menenangkan situasi</v>
      </c>
      <c r="F76" s="76">
        <v>5</v>
      </c>
      <c r="G76" s="56" t="str" cm="1">
        <f t="array" ref="G76">INDEX(deskripsi!$D$2:$H$337,
   MATCH(1,(deskripsi!$A$2:$A$337=B76)*
           (deskripsi!$B$2:$B$337=C76)*
           (deskripsi!$C$2:$C$337=D76),0),
   F76)</f>
        <v>Kehadirannya menjadi jangkar ketenangan bagi seluruh tim.</v>
      </c>
    </row>
    <row r="77" spans="1:7">
      <c r="A77" t="str">
        <f t="shared" si="1"/>
        <v>Achievement Drive|Department Head|4|1</v>
      </c>
      <c r="B77" t="str">
        <v>Achievement Drive</v>
      </c>
      <c r="C77" t="str">
        <v>Department Head</v>
      </c>
      <c r="D77" s="76">
        <v>4</v>
      </c>
      <c r="E77" t="str" cm="1">
        <f t="array" ref="E77">INDEX(aspek!$D$2:$D$337,
   MATCH(1,(aspek!$A$2:$A$337=B77)*
           (aspek!$B$2:$B$337=C77)*
           (aspek!$C$2:$C$337=D77),0))</f>
        <v>Mengubah hambatan menjadi momentum</v>
      </c>
      <c r="F77" s="76">
        <v>1</v>
      </c>
      <c r="G77" s="56" t="str" cm="1">
        <f t="array" ref="G77">INDEX(deskripsi!$D$2:$H$337,
   MATCH(1,(deskripsi!$A$2:$A$337=B77)*
           (deskripsi!$B$2:$B$337=C77)*
           (deskripsi!$C$2:$C$337=D77),0),
   F77)</f>
        <v>Hambatan hanya dilewati, tidak dimanfaatkan.</v>
      </c>
    </row>
    <row r="78" spans="1:7" ht="28.9">
      <c r="A78" t="str">
        <f t="shared" si="1"/>
        <v>Achievement Drive|Department Head|4|2</v>
      </c>
      <c r="B78" t="str">
        <v>Achievement Drive</v>
      </c>
      <c r="C78" t="str">
        <v>Department Head</v>
      </c>
      <c r="D78" s="76">
        <v>4</v>
      </c>
      <c r="E78" t="str" cm="1">
        <f t="array" ref="E78">INDEX(aspek!$D$2:$D$337,
   MATCH(1,(aspek!$A$2:$A$337=B78)*
           (aspek!$B$2:$B$337=C78)*
           (aspek!$C$2:$C$337=D78),0))</f>
        <v>Mengubah hambatan menjadi momentum</v>
      </c>
      <c r="F78" s="76">
        <v>2</v>
      </c>
      <c r="G78" s="56" t="str" cm="1">
        <f t="array" ref="G78">INDEX(deskripsi!$D$2:$H$337,
   MATCH(1,(deskripsi!$A$2:$A$337=B78)*
           (deskripsi!$B$2:$B$337=C78)*
           (deskripsi!$C$2:$C$337=D78),0),
   F78)</f>
        <v>Menyadari ada peluang dalam hambatan, tidak menindaklanjuti.</v>
      </c>
    </row>
    <row r="79" spans="1:7">
      <c r="A79" t="str">
        <f t="shared" si="1"/>
        <v>Achievement Drive|Department Head|4|3</v>
      </c>
      <c r="B79" t="str">
        <v>Achievement Drive</v>
      </c>
      <c r="C79" t="str">
        <v>Department Head</v>
      </c>
      <c r="D79" s="76">
        <v>4</v>
      </c>
      <c r="E79" t="str" cm="1">
        <f t="array" ref="E79">INDEX(aspek!$D$2:$D$337,
   MATCH(1,(aspek!$A$2:$A$337=B79)*
           (aspek!$B$2:$B$337=C79)*
           (aspek!$C$2:$C$337=D79),0))</f>
        <v>Mengubah hambatan menjadi momentum</v>
      </c>
      <c r="F79" s="76">
        <v>3</v>
      </c>
      <c r="G79" s="56" t="str" cm="1">
        <f t="array" ref="G79">INDEX(deskripsi!$D$2:$H$337,
   MATCH(1,(deskripsi!$A$2:$A$337=B79)*
           (deskripsi!$B$2:$B$337=C79)*
           (deskripsi!$C$2:$C$337=D79),0),
   F79)</f>
        <v>Memanfaatkan sebagian peluang dari hambatan.</v>
      </c>
    </row>
    <row r="80" spans="1:7" ht="28.9">
      <c r="A80" t="str">
        <f t="shared" si="1"/>
        <v>Achievement Drive|Department Head|4|4</v>
      </c>
      <c r="B80" t="str">
        <v>Achievement Drive</v>
      </c>
      <c r="C80" t="str">
        <v>Department Head</v>
      </c>
      <c r="D80" s="76">
        <v>4</v>
      </c>
      <c r="E80" t="str" cm="1">
        <f t="array" ref="E80">INDEX(aspek!$D$2:$D$337,
   MATCH(1,(aspek!$A$2:$A$337=B80)*
           (aspek!$B$2:$B$337=C80)*
           (aspek!$C$2:$C$337=D80),0))</f>
        <v>Mengubah hambatan menjadi momentum</v>
      </c>
      <c r="F80" s="76">
        <v>4</v>
      </c>
      <c r="G80" s="56" t="str" cm="1">
        <f t="array" ref="G80">INDEX(deskripsi!$D$2:$H$337,
   MATCH(1,(deskripsi!$A$2:$A$337=B80)*
           (deskripsi!$B$2:$B$337=C80)*
           (deskripsi!$C$2:$C$337=D80),0),
   F80)</f>
        <v>Mengubah hambatan bertekanan menjadi momentum yang mendorong hasil lebih baik dari perkiraan awal.</v>
      </c>
    </row>
    <row r="81" spans="1:7" ht="28.9">
      <c r="A81" t="str">
        <f t="shared" si="1"/>
        <v>Achievement Drive|Department Head|4|5</v>
      </c>
      <c r="B81" t="str">
        <v>Achievement Drive</v>
      </c>
      <c r="C81" t="str">
        <v>Department Head</v>
      </c>
      <c r="D81" s="76">
        <v>4</v>
      </c>
      <c r="E81" t="str" cm="1">
        <f t="array" ref="E81">INDEX(aspek!$D$2:$D$337,
   MATCH(1,(aspek!$A$2:$A$337=B81)*
           (aspek!$B$2:$B$337=C81)*
           (aspek!$C$2:$C$337=D81),0))</f>
        <v>Mengubah hambatan menjadi momentum</v>
      </c>
      <c r="F81" s="76">
        <v>5</v>
      </c>
      <c r="G81" s="56" t="str" cm="1">
        <f t="array" ref="G81">INDEX(deskripsi!$D$2:$H$337,
   MATCH(1,(deskripsi!$A$2:$A$337=B81)*
           (deskripsi!$B$2:$B$337=C81)*
           (deskripsi!$C$2:$C$337=D81),0),
   F81)</f>
        <v>Pola ini menjadi kebiasaan tim: hambatan besar justru menjadi titik lompatan.</v>
      </c>
    </row>
    <row r="82" spans="1:7" ht="28.9">
      <c r="A82" t="str">
        <f t="shared" si="1"/>
        <v>Achievement Drive|Division Head|1|1</v>
      </c>
      <c r="B82" t="str">
        <v>Achievement Drive</v>
      </c>
      <c r="C82" t="str">
        <v>Division Head</v>
      </c>
      <c r="D82" s="76">
        <v>1</v>
      </c>
      <c r="E82" t="str" cm="1">
        <f t="array" ref="E82">INDEX(aspek!$D$2:$D$337,
   MATCH(1,(aspek!$A$2:$A$337=B82)*
           (aspek!$B$2:$B$337=C82)*
           (aspek!$C$2:$C$337=D82),0))</f>
        <v>Kapan kebutuhan sumber daya dipikirkan</v>
      </c>
      <c r="F82" s="76">
        <v>1</v>
      </c>
      <c r="G82" s="56" t="str" cm="1">
        <f t="array" ref="G82">INDEX(deskripsi!$D$2:$H$337,
   MATCH(1,(deskripsi!$A$2:$A$337=B82)*
           (deskripsi!$B$2:$B$337=C82)*
           (deskripsi!$C$2:$C$337=D82),0),
   F82)</f>
        <v>Ditangani sambil berjalan; kekurangan baru terlihat setelah mulai.</v>
      </c>
    </row>
    <row r="83" spans="1:7">
      <c r="A83" t="str">
        <f t="shared" si="1"/>
        <v>Achievement Drive|Division Head|1|2</v>
      </c>
      <c r="B83" t="str">
        <v>Achievement Drive</v>
      </c>
      <c r="C83" t="str">
        <v>Division Head</v>
      </c>
      <c r="D83" s="76">
        <v>1</v>
      </c>
      <c r="E83" t="str" cm="1">
        <f t="array" ref="E83">INDEX(aspek!$D$2:$D$337,
   MATCH(1,(aspek!$A$2:$A$337=B83)*
           (aspek!$B$2:$B$337=C83)*
           (aspek!$C$2:$C$337=D83),0))</f>
        <v>Kapan kebutuhan sumber daya dipikirkan</v>
      </c>
      <c r="F83" s="76">
        <v>2</v>
      </c>
      <c r="G83" s="56" t="str" cm="1">
        <f t="array" ref="G83">INDEX(deskripsi!$D$2:$H$337,
   MATCH(1,(deskripsi!$A$2:$A$337=B83)*
           (deskripsi!$B$2:$B$337=C83)*
           (deskripsi!$C$2:$C$337=D83),0),
   F83)</f>
        <v>Diperkirakan garis besar sebelum mulai.</v>
      </c>
    </row>
    <row r="84" spans="1:7">
      <c r="A84" t="str">
        <f t="shared" si="1"/>
        <v>Achievement Drive|Division Head|1|3</v>
      </c>
      <c r="B84" t="str">
        <v>Achievement Drive</v>
      </c>
      <c r="C84" t="str">
        <v>Division Head</v>
      </c>
      <c r="D84" s="76">
        <v>1</v>
      </c>
      <c r="E84" t="str" cm="1">
        <f t="array" ref="E84">INDEX(aspek!$D$2:$D$337,
   MATCH(1,(aspek!$A$2:$A$337=B84)*
           (aspek!$B$2:$B$337=C84)*
           (aspek!$C$2:$C$337=D84),0))</f>
        <v>Kapan kebutuhan sumber daya dipikirkan</v>
      </c>
      <c r="F84" s="76">
        <v>3</v>
      </c>
      <c r="G84" s="56" t="str" cm="1">
        <f t="array" ref="G84">INDEX(deskripsi!$D$2:$H$337,
   MATCH(1,(deskripsi!$A$2:$A$337=B84)*
           (deskripsi!$B$2:$B$337=C84)*
           (deskripsi!$C$2:$C$337=D84),0),
   F84)</f>
        <v>Dihitung rinci sebelum pelaksanaan, untuk keempat kategori.</v>
      </c>
    </row>
    <row r="85" spans="1:7" ht="28.9">
      <c r="A85" t="str">
        <f t="shared" si="1"/>
        <v>Achievement Drive|Division Head|1|4</v>
      </c>
      <c r="B85" t="str">
        <v>Achievement Drive</v>
      </c>
      <c r="C85" t="str">
        <v>Division Head</v>
      </c>
      <c r="D85" s="76">
        <v>1</v>
      </c>
      <c r="E85" t="str" cm="1">
        <f t="array" ref="E85">INDEX(aspek!$D$2:$D$337,
   MATCH(1,(aspek!$A$2:$A$337=B85)*
           (aspek!$B$2:$B$337=C85)*
           (aspek!$C$2:$C$337=D85),0))</f>
        <v>Kapan kebutuhan sumber daya dipikirkan</v>
      </c>
      <c r="F85" s="76">
        <v>4</v>
      </c>
      <c r="G85" s="56" t="str" cm="1">
        <f t="array" ref="G85">INDEX(deskripsi!$D$2:$H$337,
   MATCH(1,(deskripsi!$A$2:$A$337=B85)*
           (deskripsi!$B$2:$B$337=C85)*
           (deskripsi!$C$2:$C$337=D85),0),
   F85)</f>
        <v>Perhitungan rinci sebelum mulai menjadi kebiasaan tetap, termasuk untuk target yang menantang.</v>
      </c>
    </row>
    <row r="86" spans="1:7">
      <c r="A86" t="str">
        <f t="shared" si="1"/>
        <v>Achievement Drive|Division Head|1|5</v>
      </c>
      <c r="B86" t="str">
        <v>Achievement Drive</v>
      </c>
      <c r="C86" t="str">
        <v>Division Head</v>
      </c>
      <c r="D86" s="76">
        <v>1</v>
      </c>
      <c r="E86" t="str" cm="1">
        <f t="array" ref="E86">INDEX(aspek!$D$2:$D$337,
   MATCH(1,(aspek!$A$2:$A$337=B86)*
           (aspek!$B$2:$B$337=C86)*
           (aspek!$C$2:$C$337=D86),0))</f>
        <v>Kapan kebutuhan sumber daya dipikirkan</v>
      </c>
      <c r="F86" s="76">
        <v>5</v>
      </c>
      <c r="G86" s="56" t="str" cm="1">
        <f t="array" ref="G86">INDEX(deskripsi!$D$2:$H$337,
   MATCH(1,(deskripsi!$A$2:$A$337=B86)*
           (deskripsi!$B$2:$B$337=C86)*
           (deskripsi!$C$2:$C$337=D86),0),
   F86)</f>
        <v>Metode perhitungannya dipakai unit lain.</v>
      </c>
    </row>
    <row r="87" spans="1:7">
      <c r="A87" t="str">
        <f t="shared" si="1"/>
        <v>Achievement Drive|Division Head|2|1</v>
      </c>
      <c r="B87" t="str">
        <v>Achievement Drive</v>
      </c>
      <c r="C87" t="str">
        <v>Division Head</v>
      </c>
      <c r="D87" s="76">
        <v>2</v>
      </c>
      <c r="E87" t="str" cm="1">
        <f t="array" ref="E87">INDEX(aspek!$D$2:$D$337,
   MATCH(1,(aspek!$A$2:$A$337=B87)*
           (aspek!$B$2:$B$337=C87)*
           (aspek!$C$2:$C$337=D87),0))</f>
        <v>Alokasi sesuai prioritas</v>
      </c>
      <c r="F87" s="76">
        <v>1</v>
      </c>
      <c r="G87" s="56" t="str" cm="1">
        <f t="array" ref="G87">INDEX(deskripsi!$D$2:$H$337,
   MATCH(1,(deskripsi!$A$2:$A$337=B87)*
           (deskripsi!$B$2:$B$337=C87)*
           (deskripsi!$C$2:$C$337=D87),0),
   F87)</f>
        <v>Mengalokasikan berdasarkan siapa yang meminta lebih dulu.</v>
      </c>
    </row>
    <row r="88" spans="1:7" ht="28.9">
      <c r="A88" t="str">
        <f t="shared" si="1"/>
        <v>Achievement Drive|Division Head|2|2</v>
      </c>
      <c r="B88" t="str">
        <v>Achievement Drive</v>
      </c>
      <c r="C88" t="str">
        <v>Division Head</v>
      </c>
      <c r="D88" s="76">
        <v>2</v>
      </c>
      <c r="E88" t="str" cm="1">
        <f t="array" ref="E88">INDEX(aspek!$D$2:$D$337,
   MATCH(1,(aspek!$A$2:$A$337=B88)*
           (aspek!$B$2:$B$337=C88)*
           (aspek!$C$2:$C$337=D88),0))</f>
        <v>Alokasi sesuai prioritas</v>
      </c>
      <c r="F88" s="76">
        <v>2</v>
      </c>
      <c r="G88" s="56" t="str" cm="1">
        <f t="array" ref="G88">INDEX(deskripsi!$D$2:$H$337,
   MATCH(1,(deskripsi!$A$2:$A$337=B88)*
           (deskripsi!$B$2:$B$337=C88)*
           (deskripsi!$C$2:$C$337=D88),0),
   F88)</f>
        <v>Menyadari perlunya prioritas, keputusan tetap tidak konsisten.</v>
      </c>
    </row>
    <row r="89" spans="1:7" ht="28.9">
      <c r="A89" t="str">
        <f t="shared" si="1"/>
        <v>Achievement Drive|Division Head|2|3</v>
      </c>
      <c r="B89" t="str">
        <v>Achievement Drive</v>
      </c>
      <c r="C89" t="str">
        <v>Division Head</v>
      </c>
      <c r="D89" s="76">
        <v>2</v>
      </c>
      <c r="E89" t="str" cm="1">
        <f t="array" ref="E89">INDEX(aspek!$D$2:$D$337,
   MATCH(1,(aspek!$A$2:$A$337=B89)*
           (aspek!$B$2:$B$337=C89)*
           (aspek!$C$2:$C$337=D89),0))</f>
        <v>Alokasi sesuai prioritas</v>
      </c>
      <c r="F89" s="76">
        <v>3</v>
      </c>
      <c r="G89" s="56" t="str" cm="1">
        <f t="array" ref="G89">INDEX(deskripsi!$D$2:$H$337,
   MATCH(1,(deskripsi!$A$2:$A$337=B89)*
           (deskripsi!$B$2:$B$337=C89)*
           (deskripsi!$C$2:$C$337=D89),0),
   F89)</f>
        <v>Mengalokasikan berdasarkan prioritas yang ditetapkan atasan.</v>
      </c>
    </row>
    <row r="90" spans="1:7" ht="28.9">
      <c r="A90" t="str">
        <f t="shared" si="1"/>
        <v>Achievement Drive|Division Head|2|4</v>
      </c>
      <c r="B90" t="str">
        <v>Achievement Drive</v>
      </c>
      <c r="C90" t="str">
        <v>Division Head</v>
      </c>
      <c r="D90" s="76">
        <v>2</v>
      </c>
      <c r="E90" t="str" cm="1">
        <f t="array" ref="E90">INDEX(aspek!$D$2:$D$337,
   MATCH(1,(aspek!$A$2:$A$337=B90)*
           (aspek!$B$2:$B$337=C90)*
           (aspek!$C$2:$C$337=D90),0))</f>
        <v>Alokasi sesuai prioritas</v>
      </c>
      <c r="F90" s="76">
        <v>4</v>
      </c>
      <c r="G90" s="56" t="str" cm="1">
        <f t="array" ref="G90">INDEX(deskripsi!$D$2:$H$337,
   MATCH(1,(deskripsi!$A$2:$A$337=B90)*
           (deskripsi!$B$2:$B$337=C90)*
           (deskripsi!$C$2:$C$337=D90),0),
   F90)</f>
        <v>Menetapkan kriteria prioritas sendiri dan menerapkannya konsisten meski mengecewakan pihak tertentu.</v>
      </c>
    </row>
    <row r="91" spans="1:7">
      <c r="A91" t="str">
        <f t="shared" si="1"/>
        <v>Achievement Drive|Division Head|2|5</v>
      </c>
      <c r="B91" t="str">
        <v>Achievement Drive</v>
      </c>
      <c r="C91" t="str">
        <v>Division Head</v>
      </c>
      <c r="D91" s="76">
        <v>2</v>
      </c>
      <c r="E91" t="str" cm="1">
        <f t="array" ref="E91">INDEX(aspek!$D$2:$D$337,
   MATCH(1,(aspek!$A$2:$A$337=B91)*
           (aspek!$B$2:$B$337=C91)*
           (aspek!$C$2:$C$337=D91),0))</f>
        <v>Alokasi sesuai prioritas</v>
      </c>
      <c r="F91" s="76">
        <v>5</v>
      </c>
      <c r="G91" s="56" t="str" cm="1">
        <f t="array" ref="G91">INDEX(deskripsi!$D$2:$H$337,
   MATCH(1,(deskripsi!$A$2:$A$337=B91)*
           (deskripsi!$B$2:$B$337=C91)*
           (deskripsi!$C$2:$C$337=D91),0),
   F91)</f>
        <v>Kriteria prioritasnya diadopsi sebagai standar organisasi.</v>
      </c>
    </row>
    <row r="92" spans="1:7">
      <c r="A92" t="str">
        <f t="shared" si="1"/>
        <v>Achievement Drive|Division Head|3|1</v>
      </c>
      <c r="B92" t="str">
        <v>Achievement Drive</v>
      </c>
      <c r="C92" t="str">
        <v>Division Head</v>
      </c>
      <c r="D92" s="76">
        <v>3</v>
      </c>
      <c r="E92" t="str" cm="1">
        <f t="array" ref="E92">INDEX(aspek!$D$2:$D$337,
   MATCH(1,(aspek!$A$2:$A$337=B92)*
           (aspek!$B$2:$B$337=C92)*
           (aspek!$C$2:$C$337=D92),0))</f>
        <v>Antisipasi kendala pelaksanaan</v>
      </c>
      <c r="F92" s="76">
        <v>1</v>
      </c>
      <c r="G92" s="56" t="str" cm="1">
        <f t="array" ref="G92">INDEX(deskripsi!$D$2:$H$337,
   MATCH(1,(deskripsi!$A$2:$A$337=B92)*
           (deskripsi!$B$2:$B$337=C92)*
           (deskripsi!$C$2:$C$337=D92),0),
   F92)</f>
        <v>Tidak mempertimbangkan kemungkinan gagal.</v>
      </c>
    </row>
    <row r="93" spans="1:7">
      <c r="A93" t="str">
        <f t="shared" si="1"/>
        <v>Achievement Drive|Division Head|3|2</v>
      </c>
      <c r="B93" t="str">
        <v>Achievement Drive</v>
      </c>
      <c r="C93" t="str">
        <v>Division Head</v>
      </c>
      <c r="D93" s="76">
        <v>3</v>
      </c>
      <c r="E93" t="str" cm="1">
        <f t="array" ref="E93">INDEX(aspek!$D$2:$D$337,
   MATCH(1,(aspek!$A$2:$A$337=B93)*
           (aspek!$B$2:$B$337=C93)*
           (aspek!$C$2:$C$337=D93),0))</f>
        <v>Antisipasi kendala pelaksanaan</v>
      </c>
      <c r="F93" s="76">
        <v>2</v>
      </c>
      <c r="G93" s="56" t="str" cm="1">
        <f t="array" ref="G93">INDEX(deskripsi!$D$2:$H$337,
   MATCH(1,(deskripsi!$A$2:$A$337=B93)*
           (deskripsi!$B$2:$B$337=C93)*
           (deskripsi!$C$2:$C$337=D93),0),
   F93)</f>
        <v>Menyadari risiko, tidak menyiapkan langkah apa pun.</v>
      </c>
    </row>
    <row r="94" spans="1:7">
      <c r="A94" t="str">
        <f t="shared" si="1"/>
        <v>Achievement Drive|Division Head|3|3</v>
      </c>
      <c r="B94" t="str">
        <v>Achievement Drive</v>
      </c>
      <c r="C94" t="str">
        <v>Division Head</v>
      </c>
      <c r="D94" s="76">
        <v>3</v>
      </c>
      <c r="E94" t="str" cm="1">
        <f t="array" ref="E94">INDEX(aspek!$D$2:$D$337,
   MATCH(1,(aspek!$A$2:$A$337=B94)*
           (aspek!$B$2:$B$337=C94)*
           (aspek!$C$2:$C$337=D94),0))</f>
        <v>Antisipasi kendala pelaksanaan</v>
      </c>
      <c r="F94" s="76">
        <v>3</v>
      </c>
      <c r="G94" s="56" t="str" cm="1">
        <f t="array" ref="G94">INDEX(deskripsi!$D$2:$H$337,
   MATCH(1,(deskripsi!$A$2:$A$337=B94)*
           (deskripsi!$B$2:$B$337=C94)*
           (deskripsi!$C$2:$C$337=D94),0),
   F94)</f>
        <v>Mencatat daftar risiko generik tanpa langkah cadangan.</v>
      </c>
    </row>
    <row r="95" spans="1:7" ht="28.9">
      <c r="A95" t="str">
        <f t="shared" si="1"/>
        <v>Achievement Drive|Division Head|3|4</v>
      </c>
      <c r="B95" t="str">
        <v>Achievement Drive</v>
      </c>
      <c r="C95" t="str">
        <v>Division Head</v>
      </c>
      <c r="D95" s="76">
        <v>3</v>
      </c>
      <c r="E95" t="str" cm="1">
        <f t="array" ref="E95">INDEX(aspek!$D$2:$D$337,
   MATCH(1,(aspek!$A$2:$A$337=B95)*
           (aspek!$B$2:$B$337=C95)*
           (aspek!$C$2:$C$337=D95),0))</f>
        <v>Antisipasi kendala pelaksanaan</v>
      </c>
      <c r="F95" s="76">
        <v>4</v>
      </c>
      <c r="G95" s="56" t="str" cm="1">
        <f t="array" ref="G95">INDEX(deskripsi!$D$2:$H$337,
   MATCH(1,(deskripsi!$A$2:$A$337=B95)*
           (deskripsi!$B$2:$B$337=C95)*
           (deskripsi!$C$2:$C$337=D95),0),
   F95)</f>
        <v>Mengidentifikasi kendala PALING MUNGKIN berdasarkan riwayat dan menyiapkan langkah cadangan spesifik.</v>
      </c>
    </row>
    <row r="96" spans="1:7">
      <c r="A96" t="str">
        <f t="shared" si="1"/>
        <v>Achievement Drive|Division Head|3|5</v>
      </c>
      <c r="B96" t="str">
        <v>Achievement Drive</v>
      </c>
      <c r="C96" t="str">
        <v>Division Head</v>
      </c>
      <c r="D96" s="76">
        <v>3</v>
      </c>
      <c r="E96" t="str" cm="1">
        <f t="array" ref="E96">INDEX(aspek!$D$2:$D$337,
   MATCH(1,(aspek!$A$2:$A$337=B96)*
           (aspek!$B$2:$B$337=C96)*
           (aspek!$C$2:$C$337=D96),0))</f>
        <v>Antisipasi kendala pelaksanaan</v>
      </c>
      <c r="F96" s="76">
        <v>5</v>
      </c>
      <c r="G96" s="56" t="str" cm="1">
        <f t="array" ref="G96">INDEX(deskripsi!$D$2:$H$337,
   MATCH(1,(deskripsi!$A$2:$A$337=B96)*
           (deskripsi!$B$2:$B$337=C96)*
           (deskripsi!$C$2:$C$337=D96),0),
   F96)</f>
        <v>Daftar kendala dan cadangannya menjadi rujukan unit lain.</v>
      </c>
    </row>
    <row r="97" spans="1:7" ht="28.9">
      <c r="A97" t="str">
        <f t="shared" si="1"/>
        <v>Achievement Drive|Division Head|4|1</v>
      </c>
      <c r="B97" t="str">
        <v>Achievement Drive</v>
      </c>
      <c r="C97" t="str">
        <v>Division Head</v>
      </c>
      <c r="D97" s="76">
        <v>4</v>
      </c>
      <c r="E97" t="str" cm="1">
        <f t="array" ref="E97">INDEX(aspek!$D$2:$D$337,
   MATCH(1,(aspek!$A$2:$A$337=B97)*
           (aspek!$B$2:$B$337=C97)*
           (aspek!$C$2:$C$337=D97),0))</f>
        <v>Target di atas standar yang didukung perhitungan</v>
      </c>
      <c r="F97" s="76">
        <v>1</v>
      </c>
      <c r="G97" s="56" t="str" cm="1">
        <f t="array" ref="G97">INDEX(deskripsi!$D$2:$H$337,
   MATCH(1,(deskripsi!$A$2:$A$337=B97)*
           (deskripsi!$B$2:$B$337=C97)*
           (deskripsi!$C$2:$C$337=D97),0),
   F97)</f>
        <v>Menetapkan target sesuai standar organisasi, tidak melampauinya.</v>
      </c>
    </row>
    <row r="98" spans="1:7" ht="28.9">
      <c r="A98" t="str">
        <f t="shared" si="1"/>
        <v>Achievement Drive|Division Head|4|2</v>
      </c>
      <c r="B98" t="str">
        <v>Achievement Drive</v>
      </c>
      <c r="C98" t="str">
        <v>Division Head</v>
      </c>
      <c r="D98" s="76">
        <v>4</v>
      </c>
      <c r="E98" t="str" cm="1">
        <f t="array" ref="E98">INDEX(aspek!$D$2:$D$337,
   MATCH(1,(aspek!$A$2:$A$337=B98)*
           (aspek!$B$2:$B$337=C98)*
           (aspek!$C$2:$C$337=D98),0))</f>
        <v>Target di atas standar yang didukung perhitungan</v>
      </c>
      <c r="F98" s="76">
        <v>2</v>
      </c>
      <c r="G98" s="56" t="str" cm="1">
        <f t="array" ref="G98">INDEX(deskripsi!$D$2:$H$337,
   MATCH(1,(deskripsi!$A$2:$A$337=B98)*
           (deskripsi!$B$2:$B$337=C98)*
           (deskripsi!$C$2:$C$337=D98),0),
   F98)</f>
        <v>Menetapkan target lebih tinggi tanpa menghitung sumber dayanya.</v>
      </c>
    </row>
    <row r="99" spans="1:7" ht="28.9">
      <c r="A99" t="str">
        <f t="shared" si="1"/>
        <v>Achievement Drive|Division Head|4|3</v>
      </c>
      <c r="B99" t="str">
        <v>Achievement Drive</v>
      </c>
      <c r="C99" t="str">
        <v>Division Head</v>
      </c>
      <c r="D99" s="76">
        <v>4</v>
      </c>
      <c r="E99" t="str" cm="1">
        <f t="array" ref="E99">INDEX(aspek!$D$2:$D$337,
   MATCH(1,(aspek!$A$2:$A$337=B99)*
           (aspek!$B$2:$B$337=C99)*
           (aspek!$C$2:$C$337=D99),0))</f>
        <v>Target di atas standar yang didukung perhitungan</v>
      </c>
      <c r="F99" s="76">
        <v>3</v>
      </c>
      <c r="G99" s="56" t="str" cm="1">
        <f t="array" ref="G99">INDEX(deskripsi!$D$2:$H$337,
   MATCH(1,(deskripsi!$A$2:$A$337=B99)*
           (deskripsi!$B$2:$B$337=C99)*
           (deskripsi!$C$2:$C$337=D99),0),
   F99)</f>
        <v>Menetapkan target lebih tinggi dengan perhitungan sumber daya kasar.</v>
      </c>
    </row>
    <row r="100" spans="1:7" ht="28.9">
      <c r="A100" t="str">
        <f t="shared" si="1"/>
        <v>Achievement Drive|Division Head|4|4</v>
      </c>
      <c r="B100" t="str">
        <v>Achievement Drive</v>
      </c>
      <c r="C100" t="str">
        <v>Division Head</v>
      </c>
      <c r="D100" s="76">
        <v>4</v>
      </c>
      <c r="E100" t="str" cm="1">
        <f t="array" ref="E100">INDEX(aspek!$D$2:$D$337,
   MATCH(1,(aspek!$A$2:$A$337=B100)*
           (aspek!$B$2:$B$337=C100)*
           (aspek!$C$2:$C$337=D100),0))</f>
        <v>Target di atas standar yang didukung perhitungan</v>
      </c>
      <c r="F100" s="76">
        <v>4</v>
      </c>
      <c r="G100" s="56" t="str" cm="1">
        <f t="array" ref="G100">INDEX(deskripsi!$D$2:$H$337,
   MATCH(1,(deskripsi!$A$2:$A$337=B100)*
           (deskripsi!$B$2:$B$337=C100)*
           (deskripsi!$C$2:$C$337=D100),0),
   F100)</f>
        <v>Menetapkan target di atas standar manajemen dengan perhitungan sumber daya yang rinci dan mencapainya.</v>
      </c>
    </row>
    <row r="101" spans="1:7">
      <c r="A101" t="str">
        <f t="shared" si="1"/>
        <v>Achievement Drive|Division Head|4|5</v>
      </c>
      <c r="B101" t="str">
        <v>Achievement Drive</v>
      </c>
      <c r="C101" t="str">
        <v>Division Head</v>
      </c>
      <c r="D101" s="76">
        <v>4</v>
      </c>
      <c r="E101" t="str" cm="1">
        <f t="array" ref="E101">INDEX(aspek!$D$2:$D$337,
   MATCH(1,(aspek!$A$2:$A$337=B101)*
           (aspek!$B$2:$B$337=C101)*
           (aspek!$C$2:$C$337=D101),0))</f>
        <v>Target di atas standar yang didukung perhitungan</v>
      </c>
      <c r="F101" s="76">
        <v>5</v>
      </c>
      <c r="G101" s="56" t="str" cm="1">
        <f t="array" ref="G101">INDEX(deskripsi!$D$2:$H$337,
   MATCH(1,(deskripsi!$A$2:$A$337=B101)*
           (deskripsi!$B$2:$B$337=C101)*
           (deskripsi!$C$2:$C$337=D101),0),
   F101)</f>
        <v>Target yang ditetapkan menjadi acuan baru bagi organisasi.</v>
      </c>
    </row>
    <row r="102" spans="1:7">
      <c r="A102" t="str">
        <f t="shared" si="1"/>
        <v>Achievement Drive|Director|1|1</v>
      </c>
      <c r="B102" t="str">
        <v>Achievement Drive</v>
      </c>
      <c r="C102" t="str">
        <v>Director</v>
      </c>
      <c r="D102" s="76">
        <v>1</v>
      </c>
      <c r="E102" t="str" cm="1">
        <f t="array" ref="E102">INDEX(aspek!$D$2:$D$337,
   MATCH(1,(aspek!$A$2:$A$337=B102)*
           (aspek!$B$2:$B$337=C102)*
           (aspek!$C$2:$C$337=D102),0))</f>
        <v>Ketinggian standar kinerja yang ditetapkan</v>
      </c>
      <c r="F102" s="76">
        <v>1</v>
      </c>
      <c r="G102" s="56" t="str" cm="1">
        <f t="array" ref="G102">INDEX(deskripsi!$D$2:$H$337,
   MATCH(1,(deskripsi!$A$2:$A$337=B102)*
           (deskripsi!$B$2:$B$337=C102)*
           (deskripsi!$C$2:$C$337=D102),0),
   F102)</f>
        <v>Menerima standar yang berlaku apa adanya.</v>
      </c>
    </row>
    <row r="103" spans="1:7">
      <c r="A103" t="str">
        <f t="shared" si="1"/>
        <v>Achievement Drive|Director|1|2</v>
      </c>
      <c r="B103" t="str">
        <v>Achievement Drive</v>
      </c>
      <c r="C103" t="str">
        <v>Director</v>
      </c>
      <c r="D103" s="76">
        <v>1</v>
      </c>
      <c r="E103" t="str" cm="1">
        <f t="array" ref="E103">INDEX(aspek!$D$2:$D$337,
   MATCH(1,(aspek!$A$2:$A$337=B103)*
           (aspek!$B$2:$B$337=C103)*
           (aspek!$C$2:$C$337=D103),0))</f>
        <v>Ketinggian standar kinerja yang ditetapkan</v>
      </c>
      <c r="F103" s="76">
        <v>2</v>
      </c>
      <c r="G103" s="56" t="str" cm="1">
        <f t="array" ref="G103">INDEX(deskripsi!$D$2:$H$337,
   MATCH(1,(deskripsi!$A$2:$A$337=B103)*
           (deskripsi!$B$2:$B$337=C103)*
           (deskripsi!$C$2:$C$337=D103),0),
   F103)</f>
        <v>Menaikkan standar hanya ketika diminta.</v>
      </c>
    </row>
    <row r="104" spans="1:7">
      <c r="A104" t="str">
        <f t="shared" si="1"/>
        <v>Achievement Drive|Director|1|3</v>
      </c>
      <c r="B104" t="str">
        <v>Achievement Drive</v>
      </c>
      <c r="C104" t="str">
        <v>Director</v>
      </c>
      <c r="D104" s="76">
        <v>1</v>
      </c>
      <c r="E104" t="str" cm="1">
        <f t="array" ref="E104">INDEX(aspek!$D$2:$D$337,
   MATCH(1,(aspek!$A$2:$A$337=B104)*
           (aspek!$B$2:$B$337=C104)*
           (aspek!$C$2:$C$337=D104),0))</f>
        <v>Ketinggian standar kinerja yang ditetapkan</v>
      </c>
      <c r="F104" s="76">
        <v>3</v>
      </c>
      <c r="G104" s="56" t="str" cm="1">
        <f t="array" ref="G104">INDEX(deskripsi!$D$2:$H$337,
   MATCH(1,(deskripsi!$A$2:$A$337=B104)*
           (deskripsi!$B$2:$B$337=C104)*
           (deskripsi!$C$2:$C$337=D104),0),
   F104)</f>
        <v>Menaikkan standar dengan pembanding kinerja sendiri.</v>
      </c>
    </row>
    <row r="105" spans="1:7" ht="28.9">
      <c r="A105" t="str">
        <f t="shared" si="1"/>
        <v>Achievement Drive|Director|1|4</v>
      </c>
      <c r="B105" t="str">
        <v>Achievement Drive</v>
      </c>
      <c r="C105" t="str">
        <v>Director</v>
      </c>
      <c r="D105" s="76">
        <v>1</v>
      </c>
      <c r="E105" t="str" cm="1">
        <f t="array" ref="E105">INDEX(aspek!$D$2:$D$337,
   MATCH(1,(aspek!$A$2:$A$337=B105)*
           (aspek!$B$2:$B$337=C105)*
           (aspek!$C$2:$C$337=D105),0))</f>
        <v>Ketinggian standar kinerja yang ditetapkan</v>
      </c>
      <c r="F105" s="76">
        <v>4</v>
      </c>
      <c r="G105" s="56" t="str" cm="1">
        <f t="array" ref="G105">INDEX(deskripsi!$D$2:$H$337,
   MATCH(1,(deskripsi!$A$2:$A$337=B105)*
           (deskripsi!$B$2:$B$337=C105)*
           (deskripsi!$C$2:$C$337=D105),0),
   F105)</f>
        <v>Menetapkan standar berdasarkan pembanding eksternal, dan mampu menjelaskan mengapa batas itu dipilih.</v>
      </c>
    </row>
    <row r="106" spans="1:7">
      <c r="A106" t="str">
        <f t="shared" si="1"/>
        <v>Achievement Drive|Director|1|5</v>
      </c>
      <c r="B106" t="str">
        <v>Achievement Drive</v>
      </c>
      <c r="C106" t="str">
        <v>Director</v>
      </c>
      <c r="D106" s="76">
        <v>1</v>
      </c>
      <c r="E106" t="str" cm="1">
        <f t="array" ref="E106">INDEX(aspek!$D$2:$D$337,
   MATCH(1,(aspek!$A$2:$A$337=B106)*
           (aspek!$B$2:$B$337=C106)*
           (aspek!$C$2:$C$337=D106),0))</f>
        <v>Ketinggian standar kinerja yang ditetapkan</v>
      </c>
      <c r="F106" s="76">
        <v>5</v>
      </c>
      <c r="G106" s="56" t="str" cm="1">
        <f t="array" ref="G106">INDEX(deskripsi!$D$2:$H$337,
   MATCH(1,(deskripsi!$A$2:$A$337=B106)*
           (deskripsi!$B$2:$B$337=C106)*
           (deskripsi!$C$2:$C$337=D106),0),
   F106)</f>
        <v>Standar yang ia tetapkan menjadi acuan bagi organisasi.</v>
      </c>
    </row>
    <row r="107" spans="1:7" ht="28.9">
      <c r="A107" t="str">
        <f t="shared" si="1"/>
        <v>Achievement Drive|Director|2|1</v>
      </c>
      <c r="B107" t="str">
        <v>Achievement Drive</v>
      </c>
      <c r="C107" t="str">
        <v>Director</v>
      </c>
      <c r="D107" s="76">
        <v>2</v>
      </c>
      <c r="E107" t="str" cm="1">
        <f t="array" ref="E107">INDEX(aspek!$D$2:$D$337,
   MATCH(1,(aspek!$A$2:$A$337=B107)*
           (aspek!$B$2:$B$337=C107)*
           (aspek!$C$2:$C$337=D107),0))</f>
        <v>Standar bagi diri sendiri</v>
      </c>
      <c r="F107" s="76">
        <v>1</v>
      </c>
      <c r="G107" s="56" t="str" cm="1">
        <f t="array" ref="G107">INDEX(deskripsi!$D$2:$H$337,
   MATCH(1,(deskripsi!$A$2:$A$337=B107)*
           (deskripsi!$B$2:$B$337=C107)*
           (deskripsi!$C$2:$C$337=D107),0),
   F107)</f>
        <v>Menuntut standar tinggi dari orang lain tanpa menerapkannya sendiri.</v>
      </c>
    </row>
    <row r="108" spans="1:7">
      <c r="A108" t="str">
        <f t="shared" si="1"/>
        <v>Achievement Drive|Director|2|2</v>
      </c>
      <c r="B108" t="str">
        <v>Achievement Drive</v>
      </c>
      <c r="C108" t="str">
        <v>Director</v>
      </c>
      <c r="D108" s="76">
        <v>2</v>
      </c>
      <c r="E108" t="str" cm="1">
        <f t="array" ref="E108">INDEX(aspek!$D$2:$D$337,
   MATCH(1,(aspek!$A$2:$A$337=B108)*
           (aspek!$B$2:$B$337=C108)*
           (aspek!$C$2:$C$337=D108),0))</f>
        <v>Standar bagi diri sendiri</v>
      </c>
      <c r="F108" s="76">
        <v>2</v>
      </c>
      <c r="G108" s="56" t="str" cm="1">
        <f t="array" ref="G108">INDEX(deskripsi!$D$2:$H$337,
   MATCH(1,(deskripsi!$A$2:$A$337=B108)*
           (deskripsi!$B$2:$B$337=C108)*
           (deskripsi!$C$2:$C$337=D108),0),
   F108)</f>
        <v>Menerapkan standar yang sama dengan timnya.</v>
      </c>
    </row>
    <row r="109" spans="1:7" ht="28.9">
      <c r="A109" t="str">
        <f t="shared" si="1"/>
        <v>Achievement Drive|Director|2|3</v>
      </c>
      <c r="B109" t="str">
        <v>Achievement Drive</v>
      </c>
      <c r="C109" t="str">
        <v>Director</v>
      </c>
      <c r="D109" s="76">
        <v>2</v>
      </c>
      <c r="E109" t="str" cm="1">
        <f t="array" ref="E109">INDEX(aspek!$D$2:$D$337,
   MATCH(1,(aspek!$A$2:$A$337=B109)*
           (aspek!$B$2:$B$337=C109)*
           (aspek!$C$2:$C$337=D109),0))</f>
        <v>Standar bagi diri sendiri</v>
      </c>
      <c r="F109" s="76">
        <v>3</v>
      </c>
      <c r="G109" s="56" t="str" cm="1">
        <f t="array" ref="G109">INDEX(deskripsi!$D$2:$H$337,
   MATCH(1,(deskripsi!$A$2:$A$337=B109)*
           (deskripsi!$B$2:$B$337=C109)*
           (deskripsi!$C$2:$C$337=D109),0),
   F109)</f>
        <v>Menetapkan standar pribadi lebih tinggi, disimpan untuk diri sendiri.</v>
      </c>
    </row>
    <row r="110" spans="1:7" ht="28.9">
      <c r="A110" t="str">
        <f t="shared" si="1"/>
        <v>Achievement Drive|Director|2|4</v>
      </c>
      <c r="B110" t="str">
        <v>Achievement Drive</v>
      </c>
      <c r="C110" t="str">
        <v>Director</v>
      </c>
      <c r="D110" s="76">
        <v>2</v>
      </c>
      <c r="E110" t="str" cm="1">
        <f t="array" ref="E110">INDEX(aspek!$D$2:$D$337,
   MATCH(1,(aspek!$A$2:$A$337=B110)*
           (aspek!$B$2:$B$337=C110)*
           (aspek!$C$2:$C$337=D110),0))</f>
        <v>Standar bagi diri sendiri</v>
      </c>
      <c r="F110" s="76">
        <v>4</v>
      </c>
      <c r="G110" s="56" t="str" cm="1">
        <f t="array" ref="G110">INDEX(deskripsi!$D$2:$H$337,
   MATCH(1,(deskripsi!$A$2:$A$337=B110)*
           (deskripsi!$B$2:$B$337=C110)*
           (deskripsi!$C$2:$C$337=D110),0),
   F110)</f>
        <v>Menetapkan standar pribadi lebih tinggi, mengumumkannya, dan melaporkan hasilnya apa adanya.</v>
      </c>
    </row>
    <row r="111" spans="1:7">
      <c r="A111" t="str">
        <f t="shared" si="1"/>
        <v>Achievement Drive|Director|2|5</v>
      </c>
      <c r="B111" t="str">
        <v>Achievement Drive</v>
      </c>
      <c r="C111" t="str">
        <v>Director</v>
      </c>
      <c r="D111" s="76">
        <v>2</v>
      </c>
      <c r="E111" t="str" cm="1">
        <f t="array" ref="E111">INDEX(aspek!$D$2:$D$337,
   MATCH(1,(aspek!$A$2:$A$337=B111)*
           (aspek!$B$2:$B$337=C111)*
           (aspek!$C$2:$C$337=D111),0))</f>
        <v>Standar bagi diri sendiri</v>
      </c>
      <c r="F111" s="76">
        <v>5</v>
      </c>
      <c r="G111" s="56" t="str" cm="1">
        <f t="array" ref="G111">INDEX(deskripsi!$D$2:$H$337,
   MATCH(1,(deskripsi!$A$2:$A$337=B111)*
           (deskripsi!$B$2:$B$337=C111)*
           (deskripsi!$C$2:$C$337=D111),0),
   F111)</f>
        <v>Standar pribadinya menjadi rujukan yang ditiru tanpa diminta.</v>
      </c>
    </row>
    <row r="112" spans="1:7">
      <c r="A112" t="str">
        <f t="shared" si="1"/>
        <v>Achievement Drive|Director|3|1</v>
      </c>
      <c r="B112" t="str">
        <v>Achievement Drive</v>
      </c>
      <c r="C112" t="str">
        <v>Director</v>
      </c>
      <c r="D112" s="76">
        <v>3</v>
      </c>
      <c r="E112" t="str" cm="1">
        <f t="array" ref="E112">INDEX(aspek!$D$2:$D$337,
   MATCH(1,(aspek!$A$2:$A$337=B112)*
           (aspek!$B$2:$B$337=C112)*
           (aspek!$C$2:$C$337=D112),0))</f>
        <v>Pelembagaan menjadi sistem dan budaya</v>
      </c>
      <c r="F112" s="76">
        <v>1</v>
      </c>
      <c r="G112" s="56" t="str" cm="1">
        <f t="array" ref="G112">INDEX(deskripsi!$D$2:$H$337,
   MATCH(1,(deskripsi!$A$2:$A$337=B112)*
           (deskripsi!$B$2:$B$337=C112)*
           (deskripsi!$C$2:$C$337=D112),0),
   F112)</f>
        <v>Standar bergantung sepenuhnya pada pengawasannya.</v>
      </c>
    </row>
    <row r="113" spans="1:7">
      <c r="A113" t="str">
        <f t="shared" si="1"/>
        <v>Achievement Drive|Director|3|2</v>
      </c>
      <c r="B113" t="str">
        <v>Achievement Drive</v>
      </c>
      <c r="C113" t="str">
        <v>Director</v>
      </c>
      <c r="D113" s="76">
        <v>3</v>
      </c>
      <c r="E113" t="str" cm="1">
        <f t="array" ref="E113">INDEX(aspek!$D$2:$D$337,
   MATCH(1,(aspek!$A$2:$A$337=B113)*
           (aspek!$B$2:$B$337=C113)*
           (aspek!$C$2:$C$337=D113),0))</f>
        <v>Pelembagaan menjadi sistem dan budaya</v>
      </c>
      <c r="F113" s="76">
        <v>2</v>
      </c>
      <c r="G113" s="56" t="str" cm="1">
        <f t="array" ref="G113">INDEX(deskripsi!$D$2:$H$337,
   MATCH(1,(deskripsi!$A$2:$A$337=B113)*
           (deskripsi!$B$2:$B$337=C113)*
           (deskripsi!$C$2:$C$337=D113),0),
   F113)</f>
        <v>Standar dituliskan tanpa pemeriksaan dan konsekuensi.</v>
      </c>
    </row>
    <row r="114" spans="1:7">
      <c r="A114" t="str">
        <f t="shared" si="1"/>
        <v>Achievement Drive|Director|3|3</v>
      </c>
      <c r="B114" t="str">
        <v>Achievement Drive</v>
      </c>
      <c r="C114" t="str">
        <v>Director</v>
      </c>
      <c r="D114" s="76">
        <v>3</v>
      </c>
      <c r="E114" t="str" cm="1">
        <f t="array" ref="E114">INDEX(aspek!$D$2:$D$337,
   MATCH(1,(aspek!$A$2:$A$337=B114)*
           (aspek!$B$2:$B$337=C114)*
           (aspek!$C$2:$C$337=D114),0))</f>
        <v>Pelembagaan menjadi sistem dan budaya</v>
      </c>
      <c r="F114" s="76">
        <v>3</v>
      </c>
      <c r="G114" s="56" t="str" cm="1">
        <f t="array" ref="G114">INDEX(deskripsi!$D$2:$H$337,
   MATCH(1,(deskripsi!$A$2:$A$337=B114)*
           (deskripsi!$B$2:$B$337=C114)*
           (deskripsi!$C$2:$C$337=D114),0),
   F114)</f>
        <v>Standar berjalan dengan peserta sebagai pemeriksanya.</v>
      </c>
    </row>
    <row r="115" spans="1:7" ht="28.9">
      <c r="A115" t="str">
        <f t="shared" si="1"/>
        <v>Achievement Drive|Director|3|4</v>
      </c>
      <c r="B115" t="str">
        <v>Achievement Drive</v>
      </c>
      <c r="C115" t="str">
        <v>Director</v>
      </c>
      <c r="D115" s="76">
        <v>3</v>
      </c>
      <c r="E115" t="str" cm="1">
        <f t="array" ref="E115">INDEX(aspek!$D$2:$D$337,
   MATCH(1,(aspek!$A$2:$A$337=B115)*
           (aspek!$B$2:$B$337=C115)*
           (aspek!$C$2:$C$337=D115),0))</f>
        <v>Pelembagaan menjadi sistem dan budaya</v>
      </c>
      <c r="F115" s="76">
        <v>4</v>
      </c>
      <c r="G115" s="56" t="str" cm="1">
        <f t="array" ref="G115">INDEX(deskripsi!$D$2:$H$337,
   MATCH(1,(deskripsi!$A$2:$A$337=B115)*
           (deskripsi!$B$2:$B$337=C115)*
           (deskripsi!$C$2:$C$337=D115),0),
   F115)</f>
        <v>Standar memiliki pemilik selain dirinya, irama peninjauan, konsekuensi, dan terbukti berjalan tanpa keterlibatannya.</v>
      </c>
    </row>
    <row r="116" spans="1:7" ht="28.9">
      <c r="A116" t="str">
        <f t="shared" si="1"/>
        <v>Achievement Drive|Director|3|5</v>
      </c>
      <c r="B116" t="str">
        <v>Achievement Drive</v>
      </c>
      <c r="C116" t="str">
        <v>Director</v>
      </c>
      <c r="D116" s="76">
        <v>3</v>
      </c>
      <c r="E116" t="str" cm="1">
        <f t="array" ref="E116">INDEX(aspek!$D$2:$D$337,
   MATCH(1,(aspek!$A$2:$A$337=B116)*
           (aspek!$B$2:$B$337=C116)*
           (aspek!$C$2:$C$337=D116),0))</f>
        <v>Pelembagaan menjadi sistem dan budaya</v>
      </c>
      <c r="F116" s="76">
        <v>5</v>
      </c>
      <c r="G116" s="56" t="str" cm="1">
        <f t="array" ref="G116">INDEX(deskripsi!$D$2:$H$337,
   MATCH(1,(deskripsi!$A$2:$A$337=B116)*
           (deskripsi!$B$2:$B$337=C116)*
           (deskripsi!$C$2:$C$337=D116),0),
   F116)</f>
        <v>Standar menjadi budaya kerja yang dijaga sendiri oleh pelaksananya.</v>
      </c>
    </row>
    <row r="117" spans="1:7">
      <c r="A117" t="str">
        <f t="shared" si="1"/>
        <v>Achievement Drive|Director|4|1</v>
      </c>
      <c r="B117" t="str">
        <v>Achievement Drive</v>
      </c>
      <c r="C117" t="str">
        <v>Director</v>
      </c>
      <c r="D117" s="76">
        <v>4</v>
      </c>
      <c r="E117" t="str" cm="1">
        <f t="array" ref="E117">INDEX(aspek!$D$2:$D$337,
   MATCH(1,(aspek!$A$2:$A$337=B117)*
           (aspek!$B$2:$B$337=C117)*
           (aspek!$C$2:$C$337=D117),0))</f>
        <v>Standar tetap berlandaskan integritas</v>
      </c>
      <c r="F117" s="76">
        <v>1</v>
      </c>
      <c r="G117" s="56" t="str" cm="1">
        <f t="array" ref="G117">INDEX(deskripsi!$D$2:$H$337,
   MATCH(1,(deskripsi!$A$2:$A$337=B117)*
           (deskripsi!$B$2:$B$337=C117)*
           (deskripsi!$C$2:$C$337=D117),0),
   F117)</f>
        <v>Standar dikorbankan atau dilanggar demi mencapai target.</v>
      </c>
    </row>
    <row r="118" spans="1:7" ht="28.9">
      <c r="A118" t="str">
        <f t="shared" si="1"/>
        <v>Achievement Drive|Director|4|2</v>
      </c>
      <c r="B118" t="str">
        <v>Achievement Drive</v>
      </c>
      <c r="C118" t="str">
        <v>Director</v>
      </c>
      <c r="D118" s="76">
        <v>4</v>
      </c>
      <c r="E118" t="str" cm="1">
        <f t="array" ref="E118">INDEX(aspek!$D$2:$D$337,
   MATCH(1,(aspek!$A$2:$A$337=B118)*
           (aspek!$B$2:$B$337=C118)*
           (aspek!$C$2:$C$337=D118),0))</f>
        <v>Standar tetap berlandaskan integritas</v>
      </c>
      <c r="F118" s="76">
        <v>2</v>
      </c>
      <c r="G118" s="56" t="str" cm="1">
        <f t="array" ref="G118">INDEX(deskripsi!$D$2:$H$337,
   MATCH(1,(deskripsi!$A$2:$A$337=B118)*
           (deskripsi!$B$2:$B$337=C118)*
           (deskripsi!$C$2:$C$337=D118),0),
   F118)</f>
        <v>Standar dipertahankan tetapi integritas kadang dikompromikan di bawah tekanan.</v>
      </c>
    </row>
    <row r="119" spans="1:7">
      <c r="A119" t="str">
        <f t="shared" si="1"/>
        <v>Achievement Drive|Director|4|3</v>
      </c>
      <c r="B119" t="str">
        <v>Achievement Drive</v>
      </c>
      <c r="C119" t="str">
        <v>Director</v>
      </c>
      <c r="D119" s="76">
        <v>4</v>
      </c>
      <c r="E119" t="str" cm="1">
        <f t="array" ref="E119">INDEX(aspek!$D$2:$D$337,
   MATCH(1,(aspek!$A$2:$A$337=B119)*
           (aspek!$B$2:$B$337=C119)*
           (aspek!$C$2:$C$337=D119),0))</f>
        <v>Standar tetap berlandaskan integritas</v>
      </c>
      <c r="F119" s="76">
        <v>3</v>
      </c>
      <c r="G119" s="56" t="str" cm="1">
        <f t="array" ref="G119">INDEX(deskripsi!$D$2:$H$337,
   MATCH(1,(deskripsi!$A$2:$A$337=B119)*
           (deskripsi!$B$2:$B$337=C119)*
           (deskripsi!$C$2:$C$337=D119),0),
   F119)</f>
        <v>Standar dan integritas keduanya dijaga pada situasi normal.</v>
      </c>
    </row>
    <row r="120" spans="1:7" ht="28.9">
      <c r="A120" t="str">
        <f t="shared" si="1"/>
        <v>Achievement Drive|Director|4|4</v>
      </c>
      <c r="B120" t="str">
        <v>Achievement Drive</v>
      </c>
      <c r="C120" t="str">
        <v>Director</v>
      </c>
      <c r="D120" s="76">
        <v>4</v>
      </c>
      <c r="E120" t="str" cm="1">
        <f t="array" ref="E120">INDEX(aspek!$D$2:$D$337,
   MATCH(1,(aspek!$A$2:$A$337=B120)*
           (aspek!$B$2:$B$337=C120)*
           (aspek!$C$2:$C$337=D120),0))</f>
        <v>Standar tetap berlandaskan integritas</v>
      </c>
      <c r="F120" s="76">
        <v>4</v>
      </c>
      <c r="G120" s="56" t="str" cm="1">
        <f t="array" ref="G120">INDEX(deskripsi!$D$2:$H$337,
   MATCH(1,(deskripsi!$A$2:$A$337=B120)*
           (deskripsi!$B$2:$B$337=C120)*
           (deskripsi!$C$2:$C$337=D120),0),
   F120)</f>
        <v>Standar dan integritas keduanya dijaga bahkan di bawah tekanan pencapaian target yang tinggi.</v>
      </c>
    </row>
    <row r="121" spans="1:7" ht="28.9">
      <c r="A121" t="str">
        <f t="shared" si="1"/>
        <v>Achievement Drive|Director|4|5</v>
      </c>
      <c r="B121" t="str">
        <v>Achievement Drive</v>
      </c>
      <c r="C121" t="str">
        <v>Director</v>
      </c>
      <c r="D121" s="76">
        <v>4</v>
      </c>
      <c r="E121" t="str" cm="1">
        <f t="array" ref="E121">INDEX(aspek!$D$2:$D$337,
   MATCH(1,(aspek!$A$2:$A$337=B121)*
           (aspek!$B$2:$B$337=C121)*
           (aspek!$C$2:$C$337=D121),0))</f>
        <v>Standar tetap berlandaskan integritas</v>
      </c>
      <c r="F121" s="76">
        <v>5</v>
      </c>
      <c r="G121" s="56" t="str" cm="1">
        <f t="array" ref="G121">INDEX(deskripsi!$D$2:$H$337,
   MATCH(1,(deskripsi!$A$2:$A$337=B121)*
           (deskripsi!$B$2:$B$337=C121)*
           (deskripsi!$C$2:$C$337=D121),0),
   F121)</f>
        <v>Organisasi dikenal mencapai hasil terbaik tanpa mengorbankan integritas, bahkan oleh pihak eksternal.</v>
      </c>
    </row>
    <row r="122" spans="1:7">
      <c r="A122" t="str">
        <f t="shared" si="1"/>
        <v>Developing Oneself|Officer|1|1</v>
      </c>
      <c r="B122" t="str">
        <v>Developing Oneself</v>
      </c>
      <c r="C122" t="str">
        <v>Officer</v>
      </c>
      <c r="D122" s="76">
        <v>1</v>
      </c>
      <c r="E122" t="str" cm="1">
        <f t="array" ref="E122">INDEX(aspek!$D$2:$D$337,
   MATCH(1,(aspek!$A$2:$A$337=B122)*
           (aspek!$B$2:$B$337=C122)*
           (aspek!$C$2:$C$337=D122),0))</f>
        <v>Reaksi emosional awal terhadap kritik</v>
      </c>
      <c r="F122" s="76">
        <v>1</v>
      </c>
      <c r="G122" s="56" t="str" cm="1">
        <f t="array" ref="G122">INDEX(deskripsi!$D$2:$H$337,
   MATCH(1,(deskripsi!$A$2:$A$337=B122)*
           (deskripsi!$B$2:$B$337=C122)*
           (deskripsi!$C$2:$C$337=D122),0),
   F122)</f>
        <v>Defensif; membenarkan diri saat dikritik.</v>
      </c>
    </row>
    <row r="123" spans="1:7">
      <c r="A123" t="str">
        <f t="shared" si="1"/>
        <v>Developing Oneself|Officer|1|2</v>
      </c>
      <c r="B123" t="str">
        <v>Developing Oneself</v>
      </c>
      <c r="C123" t="str">
        <v>Officer</v>
      </c>
      <c r="D123" s="76">
        <v>1</v>
      </c>
      <c r="E123" t="str" cm="1">
        <f t="array" ref="E123">INDEX(aspek!$D$2:$D$337,
   MATCH(1,(aspek!$A$2:$A$337=B123)*
           (aspek!$B$2:$B$337=C123)*
           (aspek!$C$2:$C$337=D123),0))</f>
        <v>Reaksi emosional awal terhadap kritik</v>
      </c>
      <c r="F123" s="76">
        <v>2</v>
      </c>
      <c r="G123" s="56" t="str" cm="1">
        <f t="array" ref="G123">INDEX(deskripsi!$D$2:$H$337,
   MATCH(1,(deskripsi!$A$2:$A$337=B123)*
           (deskripsi!$B$2:$B$337=C123)*
           (deskripsi!$C$2:$C$337=D123),0),
   F123)</f>
        <v>Menerima meski terasa tidak nyaman, tanpa membantah.</v>
      </c>
    </row>
    <row r="124" spans="1:7">
      <c r="A124" t="str">
        <f t="shared" si="1"/>
        <v>Developing Oneself|Officer|1|3</v>
      </c>
      <c r="B124" t="str">
        <v>Developing Oneself</v>
      </c>
      <c r="C124" t="str">
        <v>Officer</v>
      </c>
      <c r="D124" s="76">
        <v>1</v>
      </c>
      <c r="E124" t="str" cm="1">
        <f t="array" ref="E124">INDEX(aspek!$D$2:$D$337,
   MATCH(1,(aspek!$A$2:$A$337=B124)*
           (aspek!$B$2:$B$337=C124)*
           (aspek!$C$2:$C$337=D124),0))</f>
        <v>Reaksi emosional awal terhadap kritik</v>
      </c>
      <c r="F124" s="76">
        <v>3</v>
      </c>
      <c r="G124" s="56" t="str" cm="1">
        <f t="array" ref="G124">INDEX(deskripsi!$D$2:$H$337,
   MATCH(1,(deskripsi!$A$2:$A$337=B124)*
           (deskripsi!$B$2:$B$337=C124)*
           (deskripsi!$C$2:$C$337=D124),0),
   F124)</f>
        <v>Cukup terbuka dan memahami inti kritik.</v>
      </c>
    </row>
    <row r="125" spans="1:7">
      <c r="A125" t="str">
        <f t="shared" si="1"/>
        <v>Developing Oneself|Officer|1|4</v>
      </c>
      <c r="B125" t="str">
        <v>Developing Oneself</v>
      </c>
      <c r="C125" t="str">
        <v>Officer</v>
      </c>
      <c r="D125" s="76">
        <v>1</v>
      </c>
      <c r="E125" t="str" cm="1">
        <f t="array" ref="E125">INDEX(aspek!$D$2:$D$337,
   MATCH(1,(aspek!$A$2:$A$337=B125)*
           (aspek!$B$2:$B$337=C125)*
           (aspek!$C$2:$C$337=D125),0))</f>
        <v>Reaksi emosional awal terhadap kritik</v>
      </c>
      <c r="F125" s="76">
        <v>4</v>
      </c>
      <c r="G125" s="56" t="str" cm="1">
        <f t="array" ref="G125">INDEX(deskripsi!$D$2:$H$337,
   MATCH(1,(deskripsi!$A$2:$A$337=B125)*
           (deskripsi!$B$2:$B$337=C125)*
           (deskripsi!$C$2:$C$337=D125),0),
   F125)</f>
        <v>Meminta klarifikasi untuk memahami lebih dalam dan memperbaiki diri berdasarkan kritik itu.</v>
      </c>
    </row>
    <row r="126" spans="1:7">
      <c r="A126" t="str">
        <f t="shared" si="1"/>
        <v>Developing Oneself|Officer|1|5</v>
      </c>
      <c r="B126" t="str">
        <v>Developing Oneself</v>
      </c>
      <c r="C126" t="str">
        <v>Officer</v>
      </c>
      <c r="D126" s="76">
        <v>1</v>
      </c>
      <c r="E126" t="str" cm="1">
        <f t="array" ref="E126">INDEX(aspek!$D$2:$D$337,
   MATCH(1,(aspek!$A$2:$A$337=B126)*
           (aspek!$B$2:$B$337=C126)*
           (aspek!$C$2:$C$337=D126),0))</f>
        <v>Reaksi emosional awal terhadap kritik</v>
      </c>
      <c r="F126" s="76">
        <v>5</v>
      </c>
      <c r="G126" s="56" t="str" cm="1">
        <f t="array" ref="G126">INDEX(deskripsi!$D$2:$H$337,
   MATCH(1,(deskripsi!$A$2:$A$337=B126)*
           (deskripsi!$B$2:$B$337=C126)*
           (deskripsi!$C$2:$C$337=D126),0),
   F126)</f>
        <v>Secara aktif mencari kritik, tidak menunggu diberi.</v>
      </c>
    </row>
    <row r="127" spans="1:7">
      <c r="A127" t="str">
        <f t="shared" si="1"/>
        <v>Developing Oneself|Officer|2|1</v>
      </c>
      <c r="B127" t="str">
        <v>Developing Oneself</v>
      </c>
      <c r="C127" t="str">
        <v>Officer</v>
      </c>
      <c r="D127" s="76">
        <v>2</v>
      </c>
      <c r="E127" t="str" cm="1">
        <f t="array" ref="E127">INDEX(aspek!$D$2:$D$337,
   MATCH(1,(aspek!$A$2:$A$337=B127)*
           (aspek!$B$2:$B$337=C127)*
           (aspek!$C$2:$C$337=D127),0))</f>
        <v>Kepemilikan atas kesalahan</v>
      </c>
      <c r="F127" s="76">
        <v>1</v>
      </c>
      <c r="G127" s="56" t="str" cm="1">
        <f t="array" ref="G127">INDEX(deskripsi!$D$2:$H$337,
   MATCH(1,(deskripsi!$A$2:$A$337=B127)*
           (deskripsi!$B$2:$B$337=C127)*
           (deskripsi!$C$2:$C$337=D127),0),
   F127)</f>
        <v>Menyalahkan faktor eksternal atau orang lain.</v>
      </c>
    </row>
    <row r="128" spans="1:7">
      <c r="A128" t="str">
        <f t="shared" si="1"/>
        <v>Developing Oneself|Officer|2|2</v>
      </c>
      <c r="B128" t="str">
        <v>Developing Oneself</v>
      </c>
      <c r="C128" t="str">
        <v>Officer</v>
      </c>
      <c r="D128" s="76">
        <v>2</v>
      </c>
      <c r="E128" t="str" cm="1">
        <f t="array" ref="E128">INDEX(aspek!$D$2:$D$337,
   MATCH(1,(aspek!$A$2:$A$337=B128)*
           (aspek!$B$2:$B$337=C128)*
           (aspek!$C$2:$C$337=D128),0))</f>
        <v>Kepemilikan atas kesalahan</v>
      </c>
      <c r="F128" s="76">
        <v>2</v>
      </c>
      <c r="G128" s="56" t="str" cm="1">
        <f t="array" ref="G128">INDEX(deskripsi!$D$2:$H$337,
   MATCH(1,(deskripsi!$A$2:$A$337=B128)*
           (deskripsi!$B$2:$B$337=C128)*
           (deskripsi!$C$2:$C$337=D128),0),
   F128)</f>
        <v>Mengakui hanya kesalahan yang kecil dan tidak berisiko.</v>
      </c>
    </row>
    <row r="129" spans="1:7">
      <c r="A129" t="str">
        <f t="shared" si="1"/>
        <v>Developing Oneself|Officer|2|3</v>
      </c>
      <c r="B129" t="str">
        <v>Developing Oneself</v>
      </c>
      <c r="C129" t="str">
        <v>Officer</v>
      </c>
      <c r="D129" s="76">
        <v>2</v>
      </c>
      <c r="E129" t="str" cm="1">
        <f t="array" ref="E129">INDEX(aspek!$D$2:$D$337,
   MATCH(1,(aspek!$A$2:$A$337=B129)*
           (aspek!$B$2:$B$337=C129)*
           (aspek!$C$2:$C$337=D129),0))</f>
        <v>Kepemilikan atas kesalahan</v>
      </c>
      <c r="F129" s="76">
        <v>3</v>
      </c>
      <c r="G129" s="56" t="str" cm="1">
        <f t="array" ref="G129">INDEX(deskripsi!$D$2:$H$337,
   MATCH(1,(deskripsi!$A$2:$A$337=B129)*
           (deskripsi!$B$2:$B$337=C129)*
           (deskripsi!$C$2:$C$337=D129),0),
   F129)</f>
        <v>Mengakui di sebagian besar situasi.</v>
      </c>
    </row>
    <row r="130" spans="1:7">
      <c r="A130" t="str">
        <f t="shared" si="1"/>
        <v>Developing Oneself|Officer|2|4</v>
      </c>
      <c r="B130" t="str">
        <v>Developing Oneself</v>
      </c>
      <c r="C130" t="str">
        <v>Officer</v>
      </c>
      <c r="D130" s="76">
        <v>2</v>
      </c>
      <c r="E130" t="str" cm="1">
        <f t="array" ref="E130">INDEX(aspek!$D$2:$D$337,
   MATCH(1,(aspek!$A$2:$A$337=B130)*
           (aspek!$B$2:$B$337=C130)*
           (aspek!$C$2:$C$337=D130),0))</f>
        <v>Kepemilikan atas kesalahan</v>
      </c>
      <c r="F130" s="76">
        <v>4</v>
      </c>
      <c r="G130" s="56" t="str" cm="1">
        <f t="array" ref="G130">INDEX(deskripsi!$D$2:$H$337,
   MATCH(1,(deskripsi!$A$2:$A$337=B130)*
           (deskripsi!$B$2:$B$337=C130)*
           (deskripsi!$C$2:$C$337=D130),0),
   F130)</f>
        <v>Konsisten mengakui dan memperbaiki, bahkan pada kesalahan yang berdampak besar.</v>
      </c>
    </row>
    <row r="131" spans="1:7">
      <c r="A131" t="str">
        <f t="shared" ref="A131:A194" si="2">B131&amp;"|"&amp;C131&amp;"|"&amp;D131&amp;"|"&amp;F131</f>
        <v>Developing Oneself|Officer|2|5</v>
      </c>
      <c r="B131" t="str">
        <v>Developing Oneself</v>
      </c>
      <c r="C131" t="str">
        <v>Officer</v>
      </c>
      <c r="D131" s="76">
        <v>2</v>
      </c>
      <c r="E131" t="str" cm="1">
        <f t="array" ref="E131">INDEX(aspek!$D$2:$D$337,
   MATCH(1,(aspek!$A$2:$A$337=B131)*
           (aspek!$B$2:$B$337=C131)*
           (aspek!$C$2:$C$337=D131),0))</f>
        <v>Kepemilikan atas kesalahan</v>
      </c>
      <c r="F131" s="76">
        <v>5</v>
      </c>
      <c r="G131" s="56" t="str" cm="1">
        <f t="array" ref="G131">INDEX(deskripsi!$D$2:$H$337,
   MATCH(1,(deskripsi!$A$2:$A$337=B131)*
           (deskripsi!$B$2:$B$337=C131)*
           (deskripsi!$C$2:$C$337=D131),0),
   F131)</f>
        <v>Menjadikan kesalahannya pembelajaran terbuka bagi orang lain.</v>
      </c>
    </row>
    <row r="132" spans="1:7">
      <c r="A132" t="str">
        <f t="shared" si="2"/>
        <v>Developing Oneself|Officer|3|1</v>
      </c>
      <c r="B132" t="str">
        <v>Developing Oneself</v>
      </c>
      <c r="C132" t="str">
        <v>Officer</v>
      </c>
      <c r="D132" s="76">
        <v>3</v>
      </c>
      <c r="E132" t="str" cm="1">
        <f t="array" ref="E132">INDEX(aspek!$D$2:$D$337,
   MATCH(1,(aspek!$A$2:$A$337=B132)*
           (aspek!$B$2:$B$337=C132)*
           (aspek!$C$2:$C$337=D132),0))</f>
        <v>Konsistensi lintas situasi</v>
      </c>
      <c r="F132" s="76">
        <v>1</v>
      </c>
      <c r="G132" s="56" t="str" cm="1">
        <f t="array" ref="G132">INDEX(deskripsi!$D$2:$H$337,
   MATCH(1,(deskripsi!$A$2:$A$337=B132)*
           (deskripsi!$B$2:$B$337=C132)*
           (deskripsi!$C$2:$C$337=D132),0),
   F132)</f>
        <v>Reaksi berubah-ubah tergantung siapa yang mengkritik atau seberapa besar kesalahannya.</v>
      </c>
    </row>
    <row r="133" spans="1:7">
      <c r="A133" t="str">
        <f t="shared" si="2"/>
        <v>Developing Oneself|Officer|3|2</v>
      </c>
      <c r="B133" t="str">
        <v>Developing Oneself</v>
      </c>
      <c r="C133" t="str">
        <v>Officer</v>
      </c>
      <c r="D133" s="76">
        <v>3</v>
      </c>
      <c r="E133" t="str" cm="1">
        <f t="array" ref="E133">INDEX(aspek!$D$2:$D$337,
   MATCH(1,(aspek!$A$2:$A$337=B133)*
           (aspek!$B$2:$B$337=C133)*
           (aspek!$C$2:$C$337=D133),0))</f>
        <v>Konsistensi lintas situasi</v>
      </c>
      <c r="F133" s="76">
        <v>2</v>
      </c>
      <c r="G133" s="56" t="str" cm="1">
        <f t="array" ref="G133">INDEX(deskripsi!$D$2:$H$337,
   MATCH(1,(deskripsi!$A$2:$A$337=B133)*
           (deskripsi!$B$2:$B$337=C133)*
           (deskripsi!$C$2:$C$337=D133),0),
   F133)</f>
        <v>Konsisten hanya pada situasi yang tidak mengancam.</v>
      </c>
    </row>
    <row r="134" spans="1:7">
      <c r="A134" t="str">
        <f t="shared" si="2"/>
        <v>Developing Oneself|Officer|3|3</v>
      </c>
      <c r="B134" t="str">
        <v>Developing Oneself</v>
      </c>
      <c r="C134" t="str">
        <v>Officer</v>
      </c>
      <c r="D134" s="76">
        <v>3</v>
      </c>
      <c r="E134" t="str" cm="1">
        <f t="array" ref="E134">INDEX(aspek!$D$2:$D$337,
   MATCH(1,(aspek!$A$2:$A$337=B134)*
           (aspek!$B$2:$B$337=C134)*
           (aspek!$C$2:$C$337=D134),0))</f>
        <v>Konsistensi lintas situasi</v>
      </c>
      <c r="F134" s="76">
        <v>3</v>
      </c>
      <c r="G134" s="56" t="str" cm="1">
        <f t="array" ref="G134">INDEX(deskripsi!$D$2:$H$337,
   MATCH(1,(deskripsi!$A$2:$A$337=B134)*
           (deskripsi!$B$2:$B$337=C134)*
           (deskripsi!$C$2:$C$337=D134),0),
   F134)</f>
        <v>Konsisten pada sebagian besar situasi rutin.</v>
      </c>
    </row>
    <row r="135" spans="1:7">
      <c r="A135" t="str">
        <f t="shared" si="2"/>
        <v>Developing Oneself|Officer|3|4</v>
      </c>
      <c r="B135" t="str">
        <v>Developing Oneself</v>
      </c>
      <c r="C135" t="str">
        <v>Officer</v>
      </c>
      <c r="D135" s="76">
        <v>3</v>
      </c>
      <c r="E135" t="str" cm="1">
        <f t="array" ref="E135">INDEX(aspek!$D$2:$D$337,
   MATCH(1,(aspek!$A$2:$A$337=B135)*
           (aspek!$B$2:$B$337=C135)*
           (aspek!$C$2:$C$337=D135),0))</f>
        <v>Konsistensi lintas situasi</v>
      </c>
      <c r="F135" s="76">
        <v>4</v>
      </c>
      <c r="G135" s="56" t="str" cm="1">
        <f t="array" ref="G135">INDEX(deskripsi!$D$2:$H$337,
   MATCH(1,(deskripsi!$A$2:$A$337=B135)*
           (deskripsi!$B$2:$B$337=C135)*
           (deskripsi!$C$2:$C$337=D135),0),
   F135)</f>
        <v>Konsisten menerima kritik dan mengakui kesalahan bahkan pada situasi yang mengancam reputasi atau berdampak besar.</v>
      </c>
    </row>
    <row r="136" spans="1:7">
      <c r="A136" t="str">
        <f t="shared" si="2"/>
        <v>Developing Oneself|Officer|3|5</v>
      </c>
      <c r="B136" t="str">
        <v>Developing Oneself</v>
      </c>
      <c r="C136" t="str">
        <v>Officer</v>
      </c>
      <c r="D136" s="76">
        <v>3</v>
      </c>
      <c r="E136" t="str" cm="1">
        <f t="array" ref="E136">INDEX(aspek!$D$2:$D$337,
   MATCH(1,(aspek!$A$2:$A$337=B136)*
           (aspek!$B$2:$B$337=C136)*
           (aspek!$C$2:$C$337=D136),0))</f>
        <v>Konsistensi lintas situasi</v>
      </c>
      <c r="F136" s="76">
        <v>5</v>
      </c>
      <c r="G136" s="56" t="str" cm="1">
        <f t="array" ref="G136">INDEX(deskripsi!$D$2:$H$337,
   MATCH(1,(deskripsi!$A$2:$A$337=B136)*
           (deskripsi!$B$2:$B$337=C136)*
           (deskripsi!$C$2:$C$337=D136),0),
   F136)</f>
        <v>Konsistensinya menjadi contoh bagi rekan kerja.</v>
      </c>
    </row>
    <row r="137" spans="1:7">
      <c r="A137" t="str">
        <f t="shared" si="2"/>
        <v>Developing Oneself|Officer|4|1</v>
      </c>
      <c r="B137" t="str">
        <v>Developing Oneself</v>
      </c>
      <c r="C137" t="str">
        <v>Officer</v>
      </c>
      <c r="D137" s="76">
        <v>4</v>
      </c>
      <c r="E137" t="str" cm="1">
        <f t="array" ref="E137">INDEX(aspek!$D$2:$D$337,
   MATCH(1,(aspek!$A$2:$A$337=B137)*
           (aspek!$B$2:$B$337=C137)*
           (aspek!$C$2:$C$337=D137),0))</f>
        <v xml:space="preserve"> Verifikasi dari pihak lain</v>
      </c>
      <c r="F137" s="76">
        <v>1</v>
      </c>
      <c r="G137" s="56" t="str" cm="1">
        <f t="array" ref="G137">INDEX(deskripsi!$D$2:$H$337,
   MATCH(1,(deskripsi!$A$2:$A$337=B137)*
           (deskripsi!$B$2:$B$337=C137)*
           (deskripsi!$C$2:$C$337=D137),0),
   F137)</f>
        <v>Pihak lain menganggapnya defensif dan sulit menerima masukan.</v>
      </c>
    </row>
    <row r="138" spans="1:7">
      <c r="A138" t="str">
        <f t="shared" si="2"/>
        <v>Developing Oneself|Officer|4|2</v>
      </c>
      <c r="B138" t="str">
        <v>Developing Oneself</v>
      </c>
      <c r="C138" t="str">
        <v>Officer</v>
      </c>
      <c r="D138" s="76">
        <v>4</v>
      </c>
      <c r="E138" t="str" cm="1">
        <f t="array" ref="E138">INDEX(aspek!$D$2:$D$337,
   MATCH(1,(aspek!$A$2:$A$337=B138)*
           (aspek!$B$2:$B$337=C138)*
           (aspek!$C$2:$C$337=D138),0))</f>
        <v xml:space="preserve"> Verifikasi dari pihak lain</v>
      </c>
      <c r="F138" s="76">
        <v>2</v>
      </c>
      <c r="G138" s="56" t="str" cm="1">
        <f t="array" ref="G138">INDEX(deskripsi!$D$2:$H$337,
   MATCH(1,(deskripsi!$A$2:$A$337=B138)*
           (deskripsi!$B$2:$B$337=C138)*
           (deskripsi!$C$2:$C$337=D138),0),
   F138)</f>
        <v>Pihak lain menganggapnya menerima secara pasif tanpa perubahan nyata.</v>
      </c>
    </row>
    <row r="139" spans="1:7">
      <c r="A139" t="str">
        <f t="shared" si="2"/>
        <v>Developing Oneself|Officer|4|3</v>
      </c>
      <c r="B139" t="str">
        <v>Developing Oneself</v>
      </c>
      <c r="C139" t="str">
        <v>Officer</v>
      </c>
      <c r="D139" s="76">
        <v>4</v>
      </c>
      <c r="E139" t="str" cm="1">
        <f t="array" ref="E139">INDEX(aspek!$D$2:$D$337,
   MATCH(1,(aspek!$A$2:$A$337=B139)*
           (aspek!$B$2:$B$337=C139)*
           (aspek!$C$2:$C$337=D139),0))</f>
        <v xml:space="preserve"> Verifikasi dari pihak lain</v>
      </c>
      <c r="F139" s="76">
        <v>3</v>
      </c>
      <c r="G139" s="56" t="str" cm="1">
        <f t="array" ref="G139">INDEX(deskripsi!$D$2:$H$337,
   MATCH(1,(deskripsi!$A$2:$A$337=B139)*
           (deskripsi!$B$2:$B$337=C139)*
           (deskripsi!$C$2:$C$337=D139),0),
   F139)</f>
        <v>Pihak lain menganggapnya cukup terbuka pada sebagian kesempatan.</v>
      </c>
    </row>
    <row r="140" spans="1:7">
      <c r="A140" t="str">
        <f t="shared" si="2"/>
        <v>Developing Oneself|Officer|4|4</v>
      </c>
      <c r="B140" t="str">
        <v>Developing Oneself</v>
      </c>
      <c r="C140" t="str">
        <v>Officer</v>
      </c>
      <c r="D140" s="76">
        <v>4</v>
      </c>
      <c r="E140" t="str" cm="1">
        <f t="array" ref="E140">INDEX(aspek!$D$2:$D$337,
   MATCH(1,(aspek!$A$2:$A$337=B140)*
           (aspek!$B$2:$B$337=C140)*
           (aspek!$C$2:$C$337=D140),0))</f>
        <v xml:space="preserve"> Verifikasi dari pihak lain</v>
      </c>
      <c r="F140" s="76">
        <v>4</v>
      </c>
      <c r="G140" s="56" t="str" cm="1">
        <f t="array" ref="G140">INDEX(deskripsi!$D$2:$H$337,
   MATCH(1,(deskripsi!$A$2:$A$337=B140)*
           (deskripsi!$B$2:$B$337=C140)*
           (deskripsi!$C$2:$C$337=D140),0),
   F140)</f>
        <v>Pihak lain secara konsisten mengonfirmasi keterbukaan dan ownership-nya.</v>
      </c>
    </row>
    <row r="141" spans="1:7">
      <c r="A141" t="str">
        <f t="shared" si="2"/>
        <v>Developing Oneself|Officer|4|5</v>
      </c>
      <c r="B141" t="str">
        <v>Developing Oneself</v>
      </c>
      <c r="C141" t="str">
        <v>Officer</v>
      </c>
      <c r="D141" s="76">
        <v>4</v>
      </c>
      <c r="E141" t="str" cm="1">
        <f t="array" ref="E141">INDEX(aspek!$D$2:$D$337,
   MATCH(1,(aspek!$A$2:$A$337=B141)*
           (aspek!$B$2:$B$337=C141)*
           (aspek!$C$2:$C$337=D141),0))</f>
        <v xml:space="preserve"> Verifikasi dari pihak lain</v>
      </c>
      <c r="F141" s="76">
        <v>5</v>
      </c>
      <c r="G141" s="56" t="str" cm="1">
        <f t="array" ref="G141">INDEX(deskripsi!$D$2:$H$337,
   MATCH(1,(deskripsi!$A$2:$A$337=B141)*
           (deskripsi!$B$2:$B$337=C141)*
           (deskripsi!$C$2:$C$337=D141),0),
   F141)</f>
        <v>Pihak lain merasa nyaman memberi kritik jujur karena responsnya yang selalu terbuka.</v>
      </c>
    </row>
    <row r="142" spans="1:7">
      <c r="A142" t="str">
        <f t="shared" si="2"/>
        <v>Developing Oneself|Analyst|1|1</v>
      </c>
      <c r="B142" t="str">
        <v>Developing Oneself</v>
      </c>
      <c r="C142" t="str">
        <v>Analyst</v>
      </c>
      <c r="D142" s="76">
        <v>1</v>
      </c>
      <c r="E142" t="str" cm="1">
        <f t="array" ref="E142">INDEX(aspek!$D$2:$D$337,
   MATCH(1,(aspek!$A$2:$A$337=B142)*
           (aspek!$B$2:$B$337=C142)*
           (aspek!$C$2:$C$337=D142),0))</f>
        <v>Inisiatif dan frekuensi mencari feedback</v>
      </c>
      <c r="F142" s="76">
        <v>1</v>
      </c>
      <c r="G142" s="56" t="str" cm="1">
        <f t="array" ref="G142">INDEX(deskripsi!$D$2:$H$337,
   MATCH(1,(deskripsi!$A$2:$A$337=B142)*
           (deskripsi!$B$2:$B$337=C142)*
           (deskripsi!$C$2:$C$337=D142),0),
   F142)</f>
        <v>Tidak pernah meminta feedback sendiri.</v>
      </c>
    </row>
    <row r="143" spans="1:7">
      <c r="A143" t="str">
        <f t="shared" si="2"/>
        <v>Developing Oneself|Analyst|1|2</v>
      </c>
      <c r="B143" t="str">
        <v>Developing Oneself</v>
      </c>
      <c r="C143" t="str">
        <v>Analyst</v>
      </c>
      <c r="D143" s="76">
        <v>1</v>
      </c>
      <c r="E143" t="str" cm="1">
        <f t="array" ref="E143">INDEX(aspek!$D$2:$D$337,
   MATCH(1,(aspek!$A$2:$A$337=B143)*
           (aspek!$B$2:$B$337=C143)*
           (aspek!$C$2:$C$337=D143),0))</f>
        <v>Inisiatif dan frekuensi mencari feedback</v>
      </c>
      <c r="F143" s="76">
        <v>2</v>
      </c>
      <c r="G143" s="56" t="str" cm="1">
        <f t="array" ref="G143">INDEX(deskripsi!$D$2:$H$337,
   MATCH(1,(deskripsi!$A$2:$A$337=B143)*
           (deskripsi!$B$2:$B$337=C143)*
           (deskripsi!$C$2:$C$337=D143),0),
   F143)</f>
        <v>Meminta feedback hanya jika diminta atasan.</v>
      </c>
    </row>
    <row r="144" spans="1:7">
      <c r="A144" t="str">
        <f t="shared" si="2"/>
        <v>Developing Oneself|Analyst|1|3</v>
      </c>
      <c r="B144" t="str">
        <v>Developing Oneself</v>
      </c>
      <c r="C144" t="str">
        <v>Analyst</v>
      </c>
      <c r="D144" s="76">
        <v>1</v>
      </c>
      <c r="E144" t="str" cm="1">
        <f t="array" ref="E144">INDEX(aspek!$D$2:$D$337,
   MATCH(1,(aspek!$A$2:$A$337=B144)*
           (aspek!$B$2:$B$337=C144)*
           (aspek!$C$2:$C$337=D144),0))</f>
        <v>Inisiatif dan frekuensi mencari feedback</v>
      </c>
      <c r="F144" s="76">
        <v>3</v>
      </c>
      <c r="G144" s="56" t="str" cm="1">
        <f t="array" ref="G144">INDEX(deskripsi!$D$2:$H$337,
   MATCH(1,(deskripsi!$A$2:$A$337=B144)*
           (deskripsi!$B$2:$B$337=C144)*
           (deskripsi!$C$2:$C$337=D144),0),
   F144)</f>
        <v>Meminta feedback secara rutin dari sumber yang umum.</v>
      </c>
    </row>
    <row r="145" spans="1:7">
      <c r="A145" t="str">
        <f t="shared" si="2"/>
        <v>Developing Oneself|Analyst|1|4</v>
      </c>
      <c r="B145" t="str">
        <v>Developing Oneself</v>
      </c>
      <c r="C145" t="str">
        <v>Analyst</v>
      </c>
      <c r="D145" s="76">
        <v>1</v>
      </c>
      <c r="E145" t="str" cm="1">
        <f t="array" ref="E145">INDEX(aspek!$D$2:$D$337,
   MATCH(1,(aspek!$A$2:$A$337=B145)*
           (aspek!$B$2:$B$337=C145)*
           (aspek!$C$2:$C$337=D145),0))</f>
        <v>Inisiatif dan frekuensi mencari feedback</v>
      </c>
      <c r="F145" s="76">
        <v>4</v>
      </c>
      <c r="G145" s="56" t="str" cm="1">
        <f t="array" ref="G145">INDEX(deskripsi!$D$2:$H$337,
   MATCH(1,(deskripsi!$A$2:$A$337=B145)*
           (deskripsi!$B$2:$B$337=C145)*
           (deskripsi!$C$2:$C$337=D145),0),
   F145)</f>
        <v>Meminta feedback secara rutin, spesifik, dan dari sumber yang beragam.</v>
      </c>
    </row>
    <row r="146" spans="1:7">
      <c r="A146" t="str">
        <f t="shared" si="2"/>
        <v>Developing Oneself|Analyst|1|5</v>
      </c>
      <c r="B146" t="str">
        <v>Developing Oneself</v>
      </c>
      <c r="C146" t="str">
        <v>Analyst</v>
      </c>
      <c r="D146" s="76">
        <v>1</v>
      </c>
      <c r="E146" t="str" cm="1">
        <f t="array" ref="E146">INDEX(aspek!$D$2:$D$337,
   MATCH(1,(aspek!$A$2:$A$337=B146)*
           (aspek!$B$2:$B$337=C146)*
           (aspek!$C$2:$C$337=D146),0))</f>
        <v>Inisiatif dan frekuensi mencari feedback</v>
      </c>
      <c r="F146" s="76">
        <v>5</v>
      </c>
      <c r="G146" s="56" t="str" cm="1">
        <f t="array" ref="G146">INDEX(deskripsi!$D$2:$H$337,
   MATCH(1,(deskripsi!$A$2:$A$337=B146)*
           (deskripsi!$B$2:$B$337=C146)*
           (deskripsi!$C$2:$C$337=D146),0),
   F146)</f>
        <v>Mencari feedback menjadi kebiasaan yang berjalan otomatis.</v>
      </c>
    </row>
    <row r="147" spans="1:7">
      <c r="A147" t="str">
        <f t="shared" si="2"/>
        <v>Developing Oneself|Analyst|2|1</v>
      </c>
      <c r="B147" t="str">
        <v>Developing Oneself</v>
      </c>
      <c r="C147" t="str">
        <v>Analyst</v>
      </c>
      <c r="D147" s="76">
        <v>2</v>
      </c>
      <c r="E147" t="str" cm="1">
        <f t="array" ref="E147">INDEX(aspek!$D$2:$D$337,
   MATCH(1,(aspek!$A$2:$A$337=B147)*
           (aspek!$B$2:$B$337=C147)*
           (aspek!$C$2:$C$337=D147),0))</f>
        <v>Akurasi gambaran diri</v>
      </c>
      <c r="F147" s="76">
        <v>1</v>
      </c>
      <c r="G147" s="56" t="str" cm="1">
        <f t="array" ref="G147">INDEX(deskripsi!$D$2:$H$337,
   MATCH(1,(deskripsi!$A$2:$A$337=B147)*
           (deskripsi!$B$2:$B$337=C147)*
           (deskripsi!$C$2:$C$337=D147),0),
   F147)</f>
        <v>Tidak memiliki gambaran tentang kekuatan dan kelemahan diri.</v>
      </c>
    </row>
    <row r="148" spans="1:7">
      <c r="A148" t="str">
        <f t="shared" si="2"/>
        <v>Developing Oneself|Analyst|2|2</v>
      </c>
      <c r="B148" t="str">
        <v>Developing Oneself</v>
      </c>
      <c r="C148" t="str">
        <v>Analyst</v>
      </c>
      <c r="D148" s="76">
        <v>2</v>
      </c>
      <c r="E148" t="str" cm="1">
        <f t="array" ref="E148">INDEX(aspek!$D$2:$D$337,
   MATCH(1,(aspek!$A$2:$A$337=B148)*
           (aspek!$B$2:$B$337=C148)*
           (aspek!$C$2:$C$337=D148),0))</f>
        <v>Akurasi gambaran diri</v>
      </c>
      <c r="F148" s="76">
        <v>2</v>
      </c>
      <c r="G148" s="56" t="str" cm="1">
        <f t="array" ref="G148">INDEX(deskripsi!$D$2:$H$337,
   MATCH(1,(deskripsi!$A$2:$A$337=B148)*
           (deskripsi!$B$2:$B$337=C148)*
           (deskripsi!$C$2:$C$337=D148),0),
   F148)</f>
        <v>Memiliki gambaran diri hanya berdasarkan asesmen formal sesekali.</v>
      </c>
    </row>
    <row r="149" spans="1:7">
      <c r="A149" t="str">
        <f t="shared" si="2"/>
        <v>Developing Oneself|Analyst|2|3</v>
      </c>
      <c r="B149" t="str">
        <v>Developing Oneself</v>
      </c>
      <c r="C149" t="str">
        <v>Analyst</v>
      </c>
      <c r="D149" s="76">
        <v>2</v>
      </c>
      <c r="E149" t="str" cm="1">
        <f t="array" ref="E149">INDEX(aspek!$D$2:$D$337,
   MATCH(1,(aspek!$A$2:$A$337=B149)*
           (aspek!$B$2:$B$337=C149)*
           (aspek!$C$2:$C$337=D149),0))</f>
        <v>Akurasi gambaran diri</v>
      </c>
      <c r="F149" s="76">
        <v>3</v>
      </c>
      <c r="G149" s="56" t="str" cm="1">
        <f t="array" ref="G149">INDEX(deskripsi!$D$2:$H$337,
   MATCH(1,(deskripsi!$A$2:$A$337=B149)*
           (deskripsi!$B$2:$B$337=C149)*
           (deskripsi!$C$2:$C$337=D149),0),
   F149)</f>
        <v>Merefleksikan gambaran diri setelah pengalaman penting.</v>
      </c>
    </row>
    <row r="150" spans="1:7">
      <c r="A150" t="str">
        <f t="shared" si="2"/>
        <v>Developing Oneself|Analyst|2|4</v>
      </c>
      <c r="B150" t="str">
        <v>Developing Oneself</v>
      </c>
      <c r="C150" t="str">
        <v>Analyst</v>
      </c>
      <c r="D150" s="76">
        <v>2</v>
      </c>
      <c r="E150" t="str" cm="1">
        <f t="array" ref="E150">INDEX(aspek!$D$2:$D$337,
   MATCH(1,(aspek!$A$2:$A$337=B150)*
           (aspek!$B$2:$B$337=C150)*
           (aspek!$C$2:$C$337=D150),0))</f>
        <v>Akurasi gambaran diri</v>
      </c>
      <c r="F150" s="76">
        <v>4</v>
      </c>
      <c r="G150" s="56" t="str" cm="1">
        <f t="array" ref="G150">INDEX(deskripsi!$D$2:$H$337,
   MATCH(1,(deskripsi!$A$2:$A$337=B150)*
           (deskripsi!$B$2:$B$337=C150)*
           (deskripsi!$C$2:$C$337=D150),0),
   F150)</f>
        <v>Mengevaluasi gambaran diri secara rutin dan didukung bukti, dikonfirmasi akurat oleh pihak ketiga.</v>
      </c>
    </row>
    <row r="151" spans="1:7">
      <c r="A151" t="str">
        <f t="shared" si="2"/>
        <v>Developing Oneself|Analyst|2|5</v>
      </c>
      <c r="B151" t="str">
        <v>Developing Oneself</v>
      </c>
      <c r="C151" t="str">
        <v>Analyst</v>
      </c>
      <c r="D151" s="76">
        <v>2</v>
      </c>
      <c r="E151" t="str" cm="1">
        <f t="array" ref="E151">INDEX(aspek!$D$2:$D$337,
   MATCH(1,(aspek!$A$2:$A$337=B151)*
           (aspek!$B$2:$B$337=C151)*
           (aspek!$C$2:$C$337=D151),0))</f>
        <v>Akurasi gambaran diri</v>
      </c>
      <c r="F151" s="76">
        <v>5</v>
      </c>
      <c r="G151" s="56" t="str" cm="1">
        <f t="array" ref="G151">INDEX(deskripsi!$D$2:$H$337,
   MATCH(1,(deskripsi!$A$2:$A$337=B151)*
           (deskripsi!$B$2:$B$337=C151)*
           (deskripsi!$C$2:$C$337=D151),0),
   F151)</f>
        <v>Gambaran dirinya menjadi rujukan yang dipercaya bahkan oleh orang lain.</v>
      </c>
    </row>
    <row r="152" spans="1:7">
      <c r="A152" t="str">
        <f t="shared" si="2"/>
        <v>Developing Oneself|Analyst|3|1</v>
      </c>
      <c r="B152" t="str">
        <v>Developing Oneself</v>
      </c>
      <c r="C152" t="str">
        <v>Analyst</v>
      </c>
      <c r="D152" s="76">
        <v>3</v>
      </c>
      <c r="E152" t="str" cm="1">
        <f t="array" ref="E152">INDEX(aspek!$D$2:$D$337,
   MATCH(1,(aspek!$A$2:$A$337=B152)*
           (aspek!$B$2:$B$337=C152)*
           (aspek!$C$2:$C$337=D152),0))</f>
        <v>Penggunaan praktis gambaran diri</v>
      </c>
      <c r="F152" s="76">
        <v>1</v>
      </c>
      <c r="G152" s="56" t="str" cm="1">
        <f t="array" ref="G152">INDEX(deskripsi!$D$2:$H$337,
   MATCH(1,(deskripsi!$A$2:$A$337=B152)*
           (deskripsi!$B$2:$B$337=C152)*
           (deskripsi!$C$2:$C$337=D152),0),
   F152)</f>
        <v>Gambaran diri tidak pernah dipakai untuk memutuskan apa pun.</v>
      </c>
    </row>
    <row r="153" spans="1:7">
      <c r="A153" t="str">
        <f t="shared" si="2"/>
        <v>Developing Oneself|Analyst|3|2</v>
      </c>
      <c r="B153" t="str">
        <v>Developing Oneself</v>
      </c>
      <c r="C153" t="str">
        <v>Analyst</v>
      </c>
      <c r="D153" s="76">
        <v>3</v>
      </c>
      <c r="E153" t="str" cm="1">
        <f t="array" ref="E153">INDEX(aspek!$D$2:$D$337,
   MATCH(1,(aspek!$A$2:$A$337=B153)*
           (aspek!$B$2:$B$337=C153)*
           (aspek!$C$2:$C$337=D153),0))</f>
        <v>Penggunaan praktis gambaran diri</v>
      </c>
      <c r="F153" s="76">
        <v>2</v>
      </c>
      <c r="G153" s="56" t="str" cm="1">
        <f t="array" ref="G153">INDEX(deskripsi!$D$2:$H$337,
   MATCH(1,(deskripsi!$A$2:$A$337=B153)*
           (deskripsi!$B$2:$B$337=C153)*
           (deskripsi!$C$2:$C$337=D153),0),
   F153)</f>
        <v>Gambaran diri dipakai hanya ketika ditanya dalam asesmen formal.</v>
      </c>
    </row>
    <row r="154" spans="1:7">
      <c r="A154" t="str">
        <f t="shared" si="2"/>
        <v>Developing Oneself|Analyst|3|3</v>
      </c>
      <c r="B154" t="str">
        <v>Developing Oneself</v>
      </c>
      <c r="C154" t="str">
        <v>Analyst</v>
      </c>
      <c r="D154" s="76">
        <v>3</v>
      </c>
      <c r="E154" t="str" cm="1">
        <f t="array" ref="E154">INDEX(aspek!$D$2:$D$337,
   MATCH(1,(aspek!$A$2:$A$337=B154)*
           (aspek!$B$2:$B$337=C154)*
           (aspek!$C$2:$C$337=D154),0))</f>
        <v>Penggunaan praktis gambaran diri</v>
      </c>
      <c r="F154" s="76">
        <v>3</v>
      </c>
      <c r="G154" s="56" t="str" cm="1">
        <f t="array" ref="G154">INDEX(deskripsi!$D$2:$H$337,
   MATCH(1,(deskripsi!$A$2:$A$337=B154)*
           (deskripsi!$B$2:$B$337=C154)*
           (deskripsi!$C$2:$C$337=D154),0),
   F154)</f>
        <v>Gambaran diri kadang mempengaruhi pilihan tugas sehari-hari.</v>
      </c>
    </row>
    <row r="155" spans="1:7">
      <c r="A155" t="str">
        <f t="shared" si="2"/>
        <v>Developing Oneself|Analyst|3|4</v>
      </c>
      <c r="B155" t="str">
        <v>Developing Oneself</v>
      </c>
      <c r="C155" t="str">
        <v>Analyst</v>
      </c>
      <c r="D155" s="76">
        <v>3</v>
      </c>
      <c r="E155" t="str" cm="1">
        <f t="array" ref="E155">INDEX(aspek!$D$2:$D$337,
   MATCH(1,(aspek!$A$2:$A$337=B155)*
           (aspek!$B$2:$B$337=C155)*
           (aspek!$C$2:$C$337=D155),0))</f>
        <v>Penggunaan praktis gambaran diri</v>
      </c>
      <c r="F155" s="76">
        <v>4</v>
      </c>
      <c r="G155" s="56" t="str" cm="1">
        <f t="array" ref="G155">INDEX(deskripsi!$D$2:$H$337,
   MATCH(1,(deskripsi!$A$2:$A$337=B155)*
           (deskripsi!$B$2:$B$337=C155)*
           (deskripsi!$C$2:$C$337=D155),0),
   F155)</f>
        <v>Gambaran diri secara sadar dipakai untuk memilih peran, tugas, atau rencana pengembangan.</v>
      </c>
    </row>
    <row r="156" spans="1:7">
      <c r="A156" t="str">
        <f t="shared" si="2"/>
        <v>Developing Oneself|Analyst|3|5</v>
      </c>
      <c r="B156" t="str">
        <v>Developing Oneself</v>
      </c>
      <c r="C156" t="str">
        <v>Analyst</v>
      </c>
      <c r="D156" s="76">
        <v>3</v>
      </c>
      <c r="E156" t="str" cm="1">
        <f t="array" ref="E156">INDEX(aspek!$D$2:$D$337,
   MATCH(1,(aspek!$A$2:$A$337=B156)*
           (aspek!$B$2:$B$337=C156)*
           (aspek!$C$2:$C$337=D156),0))</f>
        <v>Penggunaan praktis gambaran diri</v>
      </c>
      <c r="F156" s="76">
        <v>5</v>
      </c>
      <c r="G156" s="56" t="str" cm="1">
        <f t="array" ref="G156">INDEX(deskripsi!$D$2:$H$337,
   MATCH(1,(deskripsi!$A$2:$A$337=B156)*
           (deskripsi!$B$2:$B$337=C156)*
           (deskripsi!$C$2:$C$337=D156),0),
   F156)</f>
        <v>Menjadi dasar keputusan karier yang konsisten dari waktu ke waktu.</v>
      </c>
    </row>
    <row r="157" spans="1:7">
      <c r="A157" t="str">
        <f t="shared" si="2"/>
        <v>Developing Oneself|Analyst|4|1</v>
      </c>
      <c r="B157" t="str">
        <v>Developing Oneself</v>
      </c>
      <c r="C157" t="str">
        <v>Analyst</v>
      </c>
      <c r="D157" s="76">
        <v>4</v>
      </c>
      <c r="E157" t="str" cm="1">
        <f t="array" ref="E157">INDEX(aspek!$D$2:$D$337,
   MATCH(1,(aspek!$A$2:$A$337=B157)*
           (aspek!$B$2:$B$337=C157)*
           (aspek!$C$2:$C$337=D157),0))</f>
        <v>Keragaman dan spesifisitas sumber</v>
      </c>
      <c r="F157" s="76">
        <v>1</v>
      </c>
      <c r="G157" s="56" t="str" cm="1">
        <f t="array" ref="G157">INDEX(deskripsi!$D$2:$H$337,
   MATCH(1,(deskripsi!$A$2:$A$337=B157)*
           (deskripsi!$B$2:$B$337=C157)*
           (deskripsi!$C$2:$C$337=D157),0),
   F157)</f>
        <v>Hanya bertanya kepada satu sumber yang sama.</v>
      </c>
    </row>
    <row r="158" spans="1:7">
      <c r="A158" t="str">
        <f t="shared" si="2"/>
        <v>Developing Oneself|Analyst|4|2</v>
      </c>
      <c r="B158" t="str">
        <v>Developing Oneself</v>
      </c>
      <c r="C158" t="str">
        <v>Analyst</v>
      </c>
      <c r="D158" s="76">
        <v>4</v>
      </c>
      <c r="E158" t="str" cm="1">
        <f t="array" ref="E158">INDEX(aspek!$D$2:$D$337,
   MATCH(1,(aspek!$A$2:$A$337=B158)*
           (aspek!$B$2:$B$337=C158)*
           (aspek!$C$2:$C$337=D158),0))</f>
        <v>Keragaman dan spesifisitas sumber</v>
      </c>
      <c r="F158" s="76">
        <v>2</v>
      </c>
      <c r="G158" s="56" t="str" cm="1">
        <f t="array" ref="G158">INDEX(deskripsi!$D$2:$H$337,
   MATCH(1,(deskripsi!$A$2:$A$337=B158)*
           (deskripsi!$B$2:$B$337=C158)*
           (deskripsi!$C$2:$C$337=D158),0),
   F158)</f>
        <v>Bertanya kepada beberapa sumber dengan pertanyaan umum.</v>
      </c>
    </row>
    <row r="159" spans="1:7">
      <c r="A159" t="str">
        <f t="shared" si="2"/>
        <v>Developing Oneself|Analyst|4|3</v>
      </c>
      <c r="B159" t="str">
        <v>Developing Oneself</v>
      </c>
      <c r="C159" t="str">
        <v>Analyst</v>
      </c>
      <c r="D159" s="76">
        <v>4</v>
      </c>
      <c r="E159" t="str" cm="1">
        <f t="array" ref="E159">INDEX(aspek!$D$2:$D$337,
   MATCH(1,(aspek!$A$2:$A$337=B159)*
           (aspek!$B$2:$B$337=C159)*
           (aspek!$C$2:$C$337=D159),0))</f>
        <v>Keragaman dan spesifisitas sumber</v>
      </c>
      <c r="F159" s="76">
        <v>3</v>
      </c>
      <c r="G159" s="56" t="str" cm="1">
        <f t="array" ref="G159">INDEX(deskripsi!$D$2:$H$337,
   MATCH(1,(deskripsi!$A$2:$A$337=B159)*
           (deskripsi!$B$2:$B$337=C159)*
           (deskripsi!$C$2:$C$337=D159),0),
   F159)</f>
        <v>Bertanya spesifik kepada sumber yang familiar.</v>
      </c>
    </row>
    <row r="160" spans="1:7">
      <c r="A160" t="str">
        <f t="shared" si="2"/>
        <v>Developing Oneself|Analyst|4|4</v>
      </c>
      <c r="B160" t="str">
        <v>Developing Oneself</v>
      </c>
      <c r="C160" t="str">
        <v>Analyst</v>
      </c>
      <c r="D160" s="76">
        <v>4</v>
      </c>
      <c r="E160" t="str" cm="1">
        <f t="array" ref="E160">INDEX(aspek!$D$2:$D$337,
   MATCH(1,(aspek!$A$2:$A$337=B160)*
           (aspek!$B$2:$B$337=C160)*
           (aspek!$C$2:$C$337=D160),0))</f>
        <v>Keragaman dan spesifisitas sumber</v>
      </c>
      <c r="F160" s="76">
        <v>4</v>
      </c>
      <c r="G160" s="56" t="str" cm="1">
        <f t="array" ref="G160">INDEX(deskripsi!$D$2:$H$337,
   MATCH(1,(deskripsi!$A$2:$A$337=B160)*
           (deskripsi!$B$2:$B$337=C160)*
           (deskripsi!$C$2:$C$337=D160),0),
   F160)</f>
        <v>Bertanya spesifik kepada sumber yang beragam, termasuk yang di luar struktur hierarki biasa.</v>
      </c>
    </row>
    <row r="161" spans="1:7">
      <c r="A161" t="str">
        <f t="shared" si="2"/>
        <v>Developing Oneself|Analyst|4|5</v>
      </c>
      <c r="B161" t="str">
        <v>Developing Oneself</v>
      </c>
      <c r="C161" t="str">
        <v>Analyst</v>
      </c>
      <c r="D161" s="76">
        <v>4</v>
      </c>
      <c r="E161" t="str" cm="1">
        <f t="array" ref="E161">INDEX(aspek!$D$2:$D$337,
   MATCH(1,(aspek!$A$2:$A$337=B161)*
           (aspek!$B$2:$B$337=C161)*
           (aspek!$C$2:$C$337=D161),0))</f>
        <v>Keragaman dan spesifisitas sumber</v>
      </c>
      <c r="F161" s="76">
        <v>5</v>
      </c>
      <c r="G161" s="56" t="str" cm="1">
        <f t="array" ref="G161">INDEX(deskripsi!$D$2:$H$337,
   MATCH(1,(deskripsi!$A$2:$A$337=B161)*
           (deskripsi!$B$2:$B$337=C161)*
           (deskripsi!$C$2:$C$337=D161),0),
   F161)</f>
        <v>Dikenal sebagai orang yang secara terbuka mencari masukan dari siapa pun yang relevan.</v>
      </c>
    </row>
    <row r="162" spans="1:7">
      <c r="A162" t="str">
        <f t="shared" si="2"/>
        <v>Developing Oneself|Unit Head/Specialist|1|1</v>
      </c>
      <c r="B162" t="str">
        <v>Developing Oneself</v>
      </c>
      <c r="C162" t="str">
        <v>Unit Head/Specialist</v>
      </c>
      <c r="D162" s="76">
        <v>1</v>
      </c>
      <c r="E162" t="str" cm="1">
        <f t="array" ref="E162">INDEX(aspek!$D$2:$D$337,
   MATCH(1,(aspek!$A$2:$A$337=B162)*
           (aspek!$B$2:$B$337=C162)*
           (aspek!$C$2:$C$337=D162),0))</f>
        <v>Keteraturan dan kedalaman refleksi</v>
      </c>
      <c r="F162" s="76">
        <v>1</v>
      </c>
      <c r="G162" s="56" t="str" cm="1">
        <f t="array" ref="G162">INDEX(deskripsi!$D$2:$H$337,
   MATCH(1,(deskripsi!$A$2:$A$337=B162)*
           (deskripsi!$B$2:$B$337=C162)*
           (deskripsi!$C$2:$C$337=D162),0),
   F162)</f>
        <v>Tidak pernah merefleksikan pengalaman kerja.</v>
      </c>
    </row>
    <row r="163" spans="1:7">
      <c r="A163" t="str">
        <f t="shared" si="2"/>
        <v>Developing Oneself|Unit Head/Specialist|1|2</v>
      </c>
      <c r="B163" t="str">
        <v>Developing Oneself</v>
      </c>
      <c r="C163" t="str">
        <v>Unit Head/Specialist</v>
      </c>
      <c r="D163" s="76">
        <v>1</v>
      </c>
      <c r="E163" t="str" cm="1">
        <f t="array" ref="E163">INDEX(aspek!$D$2:$D$337,
   MATCH(1,(aspek!$A$2:$A$337=B163)*
           (aspek!$B$2:$B$337=C163)*
           (aspek!$C$2:$C$337=D163),0))</f>
        <v>Keteraturan dan kedalaman refleksi</v>
      </c>
      <c r="F163" s="76">
        <v>2</v>
      </c>
      <c r="G163" s="56" t="str" cm="1">
        <f t="array" ref="G163">INDEX(deskripsi!$D$2:$H$337,
   MATCH(1,(deskripsi!$A$2:$A$337=B163)*
           (deskripsi!$B$2:$B$337=C163)*
           (deskripsi!$C$2:$C$337=D163),0),
   F163)</f>
        <v>Merefleksikan jarang, hanya insiden besar.</v>
      </c>
    </row>
    <row r="164" spans="1:7">
      <c r="A164" t="str">
        <f t="shared" si="2"/>
        <v>Developing Oneself|Unit Head/Specialist|1|3</v>
      </c>
      <c r="B164" t="str">
        <v>Developing Oneself</v>
      </c>
      <c r="C164" t="str">
        <v>Unit Head/Specialist</v>
      </c>
      <c r="D164" s="76">
        <v>1</v>
      </c>
      <c r="E164" t="str" cm="1">
        <f t="array" ref="E164">INDEX(aspek!$D$2:$D$337,
   MATCH(1,(aspek!$A$2:$A$337=B164)*
           (aspek!$B$2:$B$337=C164)*
           (aspek!$C$2:$C$337=D164),0))</f>
        <v>Keteraturan dan kedalaman refleksi</v>
      </c>
      <c r="F164" s="76">
        <v>3</v>
      </c>
      <c r="G164" s="56" t="str" cm="1">
        <f t="array" ref="G164">INDEX(deskripsi!$D$2:$H$337,
   MATCH(1,(deskripsi!$A$2:$A$337=B164)*
           (deskripsi!$B$2:$B$337=C164)*
           (deskripsi!$C$2:$C$337=D164),0),
   F164)</f>
        <v>Merefleksikan setelah pengalaman penting.</v>
      </c>
    </row>
    <row r="165" spans="1:7">
      <c r="A165" t="str">
        <f t="shared" si="2"/>
        <v>Developing Oneself|Unit Head/Specialist|1|4</v>
      </c>
      <c r="B165" t="str">
        <v>Developing Oneself</v>
      </c>
      <c r="C165" t="str">
        <v>Unit Head/Specialist</v>
      </c>
      <c r="D165" s="76">
        <v>1</v>
      </c>
      <c r="E165" t="str" cm="1">
        <f t="array" ref="E165">INDEX(aspek!$D$2:$D$337,
   MATCH(1,(aspek!$A$2:$A$337=B165)*
           (aspek!$B$2:$B$337=C165)*
           (aspek!$C$2:$C$337=D165),0))</f>
        <v>Keteraturan dan kedalaman refleksi</v>
      </c>
      <c r="F165" s="76">
        <v>4</v>
      </c>
      <c r="G165" s="56" t="str" cm="1">
        <f t="array" ref="G165">INDEX(deskripsi!$D$2:$H$337,
   MATCH(1,(deskripsi!$A$2:$A$337=B165)*
           (deskripsi!$B$2:$B$337=C165)*
           (deskripsi!$C$2:$C$337=D165),0),
   F165)</f>
        <v>Merefleksikan secara rutin dengan kedalaman yang menghasilkan perubahan tindakan nyata.</v>
      </c>
    </row>
    <row r="166" spans="1:7">
      <c r="A166" t="str">
        <f t="shared" si="2"/>
        <v>Developing Oneself|Unit Head/Specialist|1|5</v>
      </c>
      <c r="B166" t="str">
        <v>Developing Oneself</v>
      </c>
      <c r="C166" t="str">
        <v>Unit Head/Specialist</v>
      </c>
      <c r="D166" s="76">
        <v>1</v>
      </c>
      <c r="E166" t="str" cm="1">
        <f t="array" ref="E166">INDEX(aspek!$D$2:$D$337,
   MATCH(1,(aspek!$A$2:$A$337=B166)*
           (aspek!$B$2:$B$337=C166)*
           (aspek!$C$2:$C$337=D166),0))</f>
        <v>Keteraturan dan kedalaman refleksi</v>
      </c>
      <c r="F166" s="76">
        <v>5</v>
      </c>
      <c r="G166" s="56" t="str" cm="1">
        <f t="array" ref="G166">INDEX(deskripsi!$D$2:$H$337,
   MATCH(1,(deskripsi!$A$2:$A$337=B166)*
           (deskripsi!$B$2:$B$337=C166)*
           (deskripsi!$C$2:$C$337=D166),0),
   F166)</f>
        <v>Refleksi menjadi kebiasaan otomatis yang tidak perlu diingatkan.</v>
      </c>
    </row>
    <row r="167" spans="1:7">
      <c r="A167" t="str">
        <f t="shared" si="2"/>
        <v>Developing Oneself|Unit Head/Specialist|2|1</v>
      </c>
      <c r="B167" t="str">
        <v>Developing Oneself</v>
      </c>
      <c r="C167" t="str">
        <v>Unit Head/Specialist</v>
      </c>
      <c r="D167" s="76">
        <v>2</v>
      </c>
      <c r="E167" t="str" cm="1">
        <f t="array" ref="E167">INDEX(aspek!$D$2:$D$337,
   MATCH(1,(aspek!$A$2:$A$337=B167)*
           (aspek!$B$2:$B$337=C167)*
           (aspek!$C$2:$C$337=D167),0))</f>
        <v>Kepemilikan atas pengembangan diri</v>
      </c>
      <c r="F167" s="76">
        <v>1</v>
      </c>
      <c r="G167" s="56" t="str" cm="1">
        <f t="array" ref="G167">INDEX(deskripsi!$D$2:$H$337,
   MATCH(1,(deskripsi!$A$2:$A$337=B167)*
           (deskripsi!$B$2:$B$337=C167)*
           (deskripsi!$C$2:$C$337=D167),0),
   F167)</f>
        <v>Menganggap pengembangan dirinya tanggung jawab perusahaan atau HC.</v>
      </c>
    </row>
    <row r="168" spans="1:7">
      <c r="A168" t="str">
        <f t="shared" si="2"/>
        <v>Developing Oneself|Unit Head/Specialist|2|2</v>
      </c>
      <c r="B168" t="str">
        <v>Developing Oneself</v>
      </c>
      <c r="C168" t="str">
        <v>Unit Head/Specialist</v>
      </c>
      <c r="D168" s="76">
        <v>2</v>
      </c>
      <c r="E168" t="str" cm="1">
        <f t="array" ref="E168">INDEX(aspek!$D$2:$D$337,
   MATCH(1,(aspek!$A$2:$A$337=B168)*
           (aspek!$B$2:$B$337=C168)*
           (aspek!$C$2:$C$337=D168),0))</f>
        <v>Kepemilikan atas pengembangan diri</v>
      </c>
      <c r="F168" s="76">
        <v>2</v>
      </c>
      <c r="G168" s="56" t="str" cm="1">
        <f t="array" ref="G168">INDEX(deskripsi!$D$2:$H$337,
   MATCH(1,(deskripsi!$A$2:$A$337=B168)*
           (deskripsi!$B$2:$B$337=C168)*
           (deskripsi!$C$2:$C$337=D168),0),
   F168)</f>
        <v>Merencanakan pengembangan hanya ketika diminta secara formal.</v>
      </c>
    </row>
    <row r="169" spans="1:7">
      <c r="A169" t="str">
        <f t="shared" si="2"/>
        <v>Developing Oneself|Unit Head/Specialist|2|3</v>
      </c>
      <c r="B169" t="str">
        <v>Developing Oneself</v>
      </c>
      <c r="C169" t="str">
        <v>Unit Head/Specialist</v>
      </c>
      <c r="D169" s="76">
        <v>2</v>
      </c>
      <c r="E169" t="str" cm="1">
        <f t="array" ref="E169">INDEX(aspek!$D$2:$D$337,
   MATCH(1,(aspek!$A$2:$A$337=B169)*
           (aspek!$B$2:$B$337=C169)*
           (aspek!$C$2:$C$337=D169),0))</f>
        <v>Kepemilikan atas pengembangan diri</v>
      </c>
      <c r="F169" s="76">
        <v>3</v>
      </c>
      <c r="G169" s="56" t="str" cm="1">
        <f t="array" ref="G169">INDEX(deskripsi!$D$2:$H$337,
   MATCH(1,(deskripsi!$A$2:$A$337=B169)*
           (deskripsi!$B$2:$B$337=C169)*
           (deskripsi!$C$2:$C$337=D169),0),
   F169)</f>
        <v>Mandiri mencari pengembangan yang relevan dengan tugas saat ini.</v>
      </c>
    </row>
    <row r="170" spans="1:7">
      <c r="A170" t="str">
        <f t="shared" si="2"/>
        <v>Developing Oneself|Unit Head/Specialist|2|4</v>
      </c>
      <c r="B170" t="str">
        <v>Developing Oneself</v>
      </c>
      <c r="C170" t="str">
        <v>Unit Head/Specialist</v>
      </c>
      <c r="D170" s="76">
        <v>2</v>
      </c>
      <c r="E170" t="str" cm="1">
        <f t="array" ref="E170">INDEX(aspek!$D$2:$D$337,
   MATCH(1,(aspek!$A$2:$A$337=B170)*
           (aspek!$B$2:$B$337=C170)*
           (aspek!$C$2:$C$337=D170),0))</f>
        <v>Kepemilikan atas pengembangan diri</v>
      </c>
      <c r="F170" s="76">
        <v>4</v>
      </c>
      <c r="G170" s="56" t="str" cm="1">
        <f t="array" ref="G170">INDEX(deskripsi!$D$2:$H$337,
   MATCH(1,(deskripsi!$A$2:$A$337=B170)*
           (deskripsi!$B$2:$B$337=C170)*
           (deskripsi!$C$2:$C$337=D170),0),
   F170)</f>
        <v>Membuat rencana pengembangan untuk tuntutan MASA DEPAN dan menerapkannya secara mandiri, tanpa menunggu ditugaskan.</v>
      </c>
    </row>
    <row r="171" spans="1:7">
      <c r="A171" t="str">
        <f t="shared" si="2"/>
        <v>Developing Oneself|Unit Head/Specialist|2|5</v>
      </c>
      <c r="B171" t="str">
        <v>Developing Oneself</v>
      </c>
      <c r="C171" t="str">
        <v>Unit Head/Specialist</v>
      </c>
      <c r="D171" s="76">
        <v>2</v>
      </c>
      <c r="E171" t="str" cm="1">
        <f t="array" ref="E171">INDEX(aspek!$D$2:$D$337,
   MATCH(1,(aspek!$A$2:$A$337=B171)*
           (aspek!$B$2:$B$337=C171)*
           (aspek!$C$2:$C$337=D171),0))</f>
        <v>Kepemilikan atas pengembangan diri</v>
      </c>
      <c r="F171" s="76">
        <v>5</v>
      </c>
      <c r="G171" s="56" t="str" cm="1">
        <f t="array" ref="G171">INDEX(deskripsi!$D$2:$H$337,
   MATCH(1,(deskripsi!$A$2:$A$337=B171)*
           (deskripsi!$B$2:$B$337=C171)*
           (deskripsi!$C$2:$C$337=D171),0),
   F171)</f>
        <v>Terus mengembangkan diri melampaui kebutuhan perannya saat ini.</v>
      </c>
    </row>
    <row r="172" spans="1:7">
      <c r="A172" t="str">
        <f t="shared" si="2"/>
        <v>Developing Oneself|Unit Head/Specialist|3|1</v>
      </c>
      <c r="B172" t="str">
        <v>Developing Oneself</v>
      </c>
      <c r="C172" t="str">
        <v>Unit Head/Specialist</v>
      </c>
      <c r="D172" s="76">
        <v>3</v>
      </c>
      <c r="E172" t="str" cm="1">
        <f t="array" ref="E172">INDEX(aspek!$D$2:$D$337,
   MATCH(1,(aspek!$A$2:$A$337=B172)*
           (aspek!$B$2:$B$337=C172)*
           (aspek!$C$2:$C$337=D172),0))</f>
        <v>Orientasi waktu pengembangan</v>
      </c>
      <c r="F172" s="76">
        <v>1</v>
      </c>
      <c r="G172" s="56" t="str" cm="1">
        <f t="array" ref="G172">INDEX(deskripsi!$D$2:$H$337,
   MATCH(1,(deskripsi!$A$2:$A$337=B172)*
           (deskripsi!$B$2:$B$337=C172)*
           (deskripsi!$C$2:$C$337=D172),0),
   F172)</f>
        <v>Tidak memikirkan pengembangan sama sekali, baik masa lalu maupun masa depan.</v>
      </c>
    </row>
    <row r="173" spans="1:7">
      <c r="A173" t="str">
        <f t="shared" si="2"/>
        <v>Developing Oneself|Unit Head/Specialist|3|2</v>
      </c>
      <c r="B173" t="str">
        <v>Developing Oneself</v>
      </c>
      <c r="C173" t="str">
        <v>Unit Head/Specialist</v>
      </c>
      <c r="D173" s="76">
        <v>3</v>
      </c>
      <c r="E173" t="str" cm="1">
        <f t="array" ref="E173">INDEX(aspek!$D$2:$D$337,
   MATCH(1,(aspek!$A$2:$A$337=B173)*
           (aspek!$B$2:$B$337=C173)*
           (aspek!$C$2:$C$337=D173),0))</f>
        <v>Orientasi waktu pengembangan</v>
      </c>
      <c r="F173" s="76">
        <v>2</v>
      </c>
      <c r="G173" s="56" t="str" cm="1">
        <f t="array" ref="G173">INDEX(deskripsi!$D$2:$H$337,
   MATCH(1,(deskripsi!$A$2:$A$337=B173)*
           (deskripsi!$B$2:$B$337=C173)*
           (deskripsi!$C$2:$C$337=D173),0),
   F173)</f>
        <v>Hanya bereaksi atas pengalaman yang sudah terjadi.</v>
      </c>
    </row>
    <row r="174" spans="1:7">
      <c r="A174" t="str">
        <f t="shared" si="2"/>
        <v>Developing Oneself|Unit Head/Specialist|3|3</v>
      </c>
      <c r="B174" t="str">
        <v>Developing Oneself</v>
      </c>
      <c r="C174" t="str">
        <v>Unit Head/Specialist</v>
      </c>
      <c r="D174" s="76">
        <v>3</v>
      </c>
      <c r="E174" t="str" cm="1">
        <f t="array" ref="E174">INDEX(aspek!$D$2:$D$337,
   MATCH(1,(aspek!$A$2:$A$337=B174)*
           (aspek!$B$2:$B$337=C174)*
           (aspek!$C$2:$C$337=D174),0))</f>
        <v>Orientasi waktu pengembangan</v>
      </c>
      <c r="F174" s="76">
        <v>3</v>
      </c>
      <c r="G174" s="56" t="str" cm="1">
        <f t="array" ref="G174">INDEX(deskripsi!$D$2:$H$337,
   MATCH(1,(deskripsi!$A$2:$A$337=B174)*
           (deskripsi!$B$2:$B$337=C174)*
           (deskripsi!$C$2:$C$337=D174),0),
   F174)</f>
        <v>Sesekali memikirkan kebutuhan masa depan, tanpa rencana konkret.</v>
      </c>
    </row>
    <row r="175" spans="1:7">
      <c r="A175" t="str">
        <f t="shared" si="2"/>
        <v>Developing Oneself|Unit Head/Specialist|3|4</v>
      </c>
      <c r="B175" t="str">
        <v>Developing Oneself</v>
      </c>
      <c r="C175" t="str">
        <v>Unit Head/Specialist</v>
      </c>
      <c r="D175" s="76">
        <v>3</v>
      </c>
      <c r="E175" t="str" cm="1">
        <f t="array" ref="E175">INDEX(aspek!$D$2:$D$337,
   MATCH(1,(aspek!$A$2:$A$337=B175)*
           (aspek!$B$2:$B$337=C175)*
           (aspek!$C$2:$C$337=D175),0))</f>
        <v>Orientasi waktu pengembangan</v>
      </c>
      <c r="F175" s="76">
        <v>4</v>
      </c>
      <c r="G175" s="56" t="str" cm="1">
        <f t="array" ref="G175">INDEX(deskripsi!$D$2:$H$337,
   MATCH(1,(deskripsi!$A$2:$A$337=B175)*
           (deskripsi!$B$2:$B$337=C175)*
           (deskripsi!$C$2:$C$337=D175),0),
   F175)</f>
        <v>Secara seimbang merefleksikan pengalaman lalu DAN merencanakan kebutuhan masa depan.</v>
      </c>
    </row>
    <row r="176" spans="1:7">
      <c r="A176" t="str">
        <f t="shared" si="2"/>
        <v>Developing Oneself|Unit Head/Specialist|3|5</v>
      </c>
      <c r="B176" t="str">
        <v>Developing Oneself</v>
      </c>
      <c r="C176" t="str">
        <v>Unit Head/Specialist</v>
      </c>
      <c r="D176" s="76">
        <v>3</v>
      </c>
      <c r="E176" t="str" cm="1">
        <f t="array" ref="E176">INDEX(aspek!$D$2:$D$337,
   MATCH(1,(aspek!$A$2:$A$337=B176)*
           (aspek!$B$2:$B$337=C176)*
           (aspek!$C$2:$C$337=D176),0))</f>
        <v>Orientasi waktu pengembangan</v>
      </c>
      <c r="F176" s="76">
        <v>5</v>
      </c>
      <c r="G176" s="56" t="str" cm="1">
        <f t="array" ref="G176">INDEX(deskripsi!$D$2:$H$337,
   MATCH(1,(deskripsi!$A$2:$A$337=B176)*
           (deskripsi!$B$2:$B$337=C176)*
           (deskripsi!$C$2:$C$337=D176),0),
   F176)</f>
        <v>Kesadaran masa depan menjadi pendorong utama pembelajaran sehari-harinya.</v>
      </c>
    </row>
    <row r="177" spans="1:7">
      <c r="A177" t="str">
        <f t="shared" si="2"/>
        <v>Developing Oneself|Unit Head/Specialist|4|1</v>
      </c>
      <c r="B177" t="str">
        <v>Developing Oneself</v>
      </c>
      <c r="C177" t="str">
        <v>Unit Head/Specialist</v>
      </c>
      <c r="D177" s="76">
        <v>4</v>
      </c>
      <c r="E177" t="str" cm="1">
        <f t="array" ref="E177">INDEX(aspek!$D$2:$D$337,
   MATCH(1,(aspek!$A$2:$A$337=B177)*
           (aspek!$B$2:$B$337=C177)*
           (aspek!$C$2:$C$337=D177),0))</f>
        <v>Dampak pada perkembangan nyata</v>
      </c>
      <c r="F177" s="76">
        <v>1</v>
      </c>
      <c r="G177" s="56" t="str" cm="1">
        <f t="array" ref="G177">INDEX(deskripsi!$D$2:$H$337,
   MATCH(1,(deskripsi!$A$2:$A$337=B177)*
           (deskripsi!$B$2:$B$337=C177)*
           (deskripsi!$C$2:$C$337=D177),0),
   F177)</f>
        <v>Pembelajaran dan rencana tidak pernah diterapkan.</v>
      </c>
    </row>
    <row r="178" spans="1:7">
      <c r="A178" t="str">
        <f t="shared" si="2"/>
        <v>Developing Oneself|Unit Head/Specialist|4|2</v>
      </c>
      <c r="B178" t="str">
        <v>Developing Oneself</v>
      </c>
      <c r="C178" t="str">
        <v>Unit Head/Specialist</v>
      </c>
      <c r="D178" s="76">
        <v>4</v>
      </c>
      <c r="E178" t="str" cm="1">
        <f t="array" ref="E178">INDEX(aspek!$D$2:$D$337,
   MATCH(1,(aspek!$A$2:$A$337=B178)*
           (aspek!$B$2:$B$337=C178)*
           (aspek!$C$2:$C$337=D178),0))</f>
        <v>Dampak pada perkembangan nyata</v>
      </c>
      <c r="F178" s="76">
        <v>2</v>
      </c>
      <c r="G178" s="56" t="str" cm="1">
        <f t="array" ref="G178">INDEX(deskripsi!$D$2:$H$337,
   MATCH(1,(deskripsi!$A$2:$A$337=B178)*
           (deskripsi!$B$2:$B$337=C178)*
           (deskripsi!$C$2:$C$337=D178),0),
   F178)</f>
        <v>Diterapkan sesekali tanpa hasil yang terlihat.</v>
      </c>
    </row>
    <row r="179" spans="1:7">
      <c r="A179" t="str">
        <f t="shared" si="2"/>
        <v>Developing Oneself|Unit Head/Specialist|4|3</v>
      </c>
      <c r="B179" t="str">
        <v>Developing Oneself</v>
      </c>
      <c r="C179" t="str">
        <v>Unit Head/Specialist</v>
      </c>
      <c r="D179" s="76">
        <v>4</v>
      </c>
      <c r="E179" t="str" cm="1">
        <f t="array" ref="E179">INDEX(aspek!$D$2:$D$337,
   MATCH(1,(aspek!$A$2:$A$337=B179)*
           (aspek!$B$2:$B$337=C179)*
           (aspek!$C$2:$C$337=D179),0))</f>
        <v>Dampak pada perkembangan nyata</v>
      </c>
      <c r="F179" s="76">
        <v>3</v>
      </c>
      <c r="G179" s="56" t="str" cm="1">
        <f t="array" ref="G179">INDEX(deskripsi!$D$2:$H$337,
   MATCH(1,(deskripsi!$A$2:$A$337=B179)*
           (deskripsi!$B$2:$B$337=C179)*
           (deskripsi!$C$2:$C$337=D179),0),
   F179)</f>
        <v>Diterapkan dan menghasilkan perbaikan kecil.</v>
      </c>
    </row>
    <row r="180" spans="1:7">
      <c r="A180" t="str">
        <f t="shared" si="2"/>
        <v>Developing Oneself|Unit Head/Specialist|4|4</v>
      </c>
      <c r="B180" t="str">
        <v>Developing Oneself</v>
      </c>
      <c r="C180" t="str">
        <v>Unit Head/Specialist</v>
      </c>
      <c r="D180" s="76">
        <v>4</v>
      </c>
      <c r="E180" t="str" cm="1">
        <f t="array" ref="E180">INDEX(aspek!$D$2:$D$337,
   MATCH(1,(aspek!$A$2:$A$337=B180)*
           (aspek!$B$2:$B$337=C180)*
           (aspek!$C$2:$C$337=D180),0))</f>
        <v>Dampak pada perkembangan nyata</v>
      </c>
      <c r="F180" s="76">
        <v>4</v>
      </c>
      <c r="G180" s="56" t="str" cm="1">
        <f t="array" ref="G180">INDEX(deskripsi!$D$2:$H$337,
   MATCH(1,(deskripsi!$A$2:$A$337=B180)*
           (deskripsi!$B$2:$B$337=C180)*
           (deskripsi!$C$2:$C$337=D180),0),
   F180)</f>
        <v>Diterapkan secara konsisten dan menghasilkan perkembangan kapasitas yang terlihat jelas.</v>
      </c>
    </row>
    <row r="181" spans="1:7">
      <c r="A181" t="str">
        <f t="shared" si="2"/>
        <v>Developing Oneself|Unit Head/Specialist|4|5</v>
      </c>
      <c r="B181" t="str">
        <v>Developing Oneself</v>
      </c>
      <c r="C181" t="str">
        <v>Unit Head/Specialist</v>
      </c>
      <c r="D181" s="76">
        <v>4</v>
      </c>
      <c r="E181" t="str" cm="1">
        <f t="array" ref="E181">INDEX(aspek!$D$2:$D$337,
   MATCH(1,(aspek!$A$2:$A$337=B181)*
           (aspek!$B$2:$B$337=C181)*
           (aspek!$C$2:$C$337=D181),0))</f>
        <v>Dampak pada perkembangan nyata</v>
      </c>
      <c r="F181" s="76">
        <v>5</v>
      </c>
      <c r="G181" s="56" t="str" cm="1">
        <f t="array" ref="G181">INDEX(deskripsi!$D$2:$H$337,
   MATCH(1,(deskripsi!$A$2:$A$337=B181)*
           (deskripsi!$B$2:$B$337=C181)*
           (deskripsi!$C$2:$C$337=D181),0),
   F181)</f>
        <v>Perkembangannya menjadi contoh bagi rekan sejawat.</v>
      </c>
    </row>
    <row r="182" spans="1:7">
      <c r="A182" t="str">
        <f t="shared" si="2"/>
        <v>Developing Oneself|Department Head|1|1</v>
      </c>
      <c r="B182" t="str">
        <v>Developing Oneself</v>
      </c>
      <c r="C182" t="str">
        <v>Department Head</v>
      </c>
      <c r="D182" s="76">
        <v>1</v>
      </c>
      <c r="E182" t="str" cm="1">
        <f t="array" ref="E182">INDEX(aspek!$D$2:$D$337,
   MATCH(1,(aspek!$A$2:$A$337=B182)*
           (aspek!$B$2:$B$337=C182)*
           (aspek!$C$2:$C$337=D182),0))</f>
        <v>Dasar penilaian: bukti vs persepsi</v>
      </c>
      <c r="F182" s="76">
        <v>1</v>
      </c>
      <c r="G182" s="56" t="str" cm="1">
        <f t="array" ref="G182">INDEX(deskripsi!$D$2:$H$337,
   MATCH(1,(deskripsi!$A$2:$A$337=B182)*
           (deskripsi!$B$2:$B$337=C182)*
           (deskripsi!$C$2:$C$337=D182),0),
   F182)</f>
        <v>Menilai diri sepenuhnya berdasarkan perasaan atau asumsi pribadi.</v>
      </c>
    </row>
    <row r="183" spans="1:7">
      <c r="A183" t="str">
        <f t="shared" si="2"/>
        <v>Developing Oneself|Department Head|1|2</v>
      </c>
      <c r="B183" t="str">
        <v>Developing Oneself</v>
      </c>
      <c r="C183" t="str">
        <v>Department Head</v>
      </c>
      <c r="D183" s="76">
        <v>1</v>
      </c>
      <c r="E183" t="str" cm="1">
        <f t="array" ref="E183">INDEX(aspek!$D$2:$D$337,
   MATCH(1,(aspek!$A$2:$A$337=B183)*
           (aspek!$B$2:$B$337=C183)*
           (aspek!$C$2:$C$337=D183),0))</f>
        <v>Dasar penilaian: bukti vs persepsi</v>
      </c>
      <c r="F183" s="76">
        <v>2</v>
      </c>
      <c r="G183" s="56" t="str" cm="1">
        <f t="array" ref="G183">INDEX(deskripsi!$D$2:$H$337,
   MATCH(1,(deskripsi!$A$2:$A$337=B183)*
           (deskripsi!$B$2:$B$337=C183)*
           (deskripsi!$C$2:$C$337=D183),0),
   F183)</f>
        <v>Memakai bukti hanya ketika diminta dalam asesmen formal.</v>
      </c>
    </row>
    <row r="184" spans="1:7">
      <c r="A184" t="str">
        <f t="shared" si="2"/>
        <v>Developing Oneself|Department Head|1|3</v>
      </c>
      <c r="B184" t="str">
        <v>Developing Oneself</v>
      </c>
      <c r="C184" t="str">
        <v>Department Head</v>
      </c>
      <c r="D184" s="76">
        <v>1</v>
      </c>
      <c r="E184" t="str" cm="1">
        <f t="array" ref="E184">INDEX(aspek!$D$2:$D$337,
   MATCH(1,(aspek!$A$2:$A$337=B184)*
           (aspek!$B$2:$B$337=C184)*
           (aspek!$C$2:$C$337=D184),0))</f>
        <v>Dasar penilaian: bukti vs persepsi</v>
      </c>
      <c r="F184" s="76">
        <v>3</v>
      </c>
      <c r="G184" s="56" t="str" cm="1">
        <f t="array" ref="G184">INDEX(deskripsi!$D$2:$H$337,
   MATCH(1,(deskripsi!$A$2:$A$337=B184)*
           (deskripsi!$B$2:$B$337=C184)*
           (deskripsi!$C$2:$C$337=D184),0),
   F184)</f>
        <v>Memakai bukti pada sebagian aspek, sisanya masih berbasis persepsi.</v>
      </c>
    </row>
    <row r="185" spans="1:7">
      <c r="A185" t="str">
        <f t="shared" si="2"/>
        <v>Developing Oneself|Department Head|1|4</v>
      </c>
      <c r="B185" t="str">
        <v>Developing Oneself</v>
      </c>
      <c r="C185" t="str">
        <v>Department Head</v>
      </c>
      <c r="D185" s="76">
        <v>1</v>
      </c>
      <c r="E185" t="str" cm="1">
        <f t="array" ref="E185">INDEX(aspek!$D$2:$D$337,
   MATCH(1,(aspek!$A$2:$A$337=B185)*
           (aspek!$B$2:$B$337=C185)*
           (aspek!$C$2:$C$337=D185),0))</f>
        <v>Dasar penilaian: bukti vs persepsi</v>
      </c>
      <c r="F185" s="76">
        <v>4</v>
      </c>
      <c r="G185" s="56" t="str" cm="1">
        <f t="array" ref="G185">INDEX(deskripsi!$D$2:$H$337,
   MATCH(1,(deskripsi!$A$2:$A$337=B185)*
           (deskripsi!$B$2:$B$337=C185)*
           (deskripsi!$C$2:$C$337=D185),0),
   F185)</f>
        <v>Secara konsisten menilai diri berdasarkan bukti — data, hasil kerja, feedback — pada seluruh aspek penting.</v>
      </c>
    </row>
    <row r="186" spans="1:7">
      <c r="A186" t="str">
        <f t="shared" si="2"/>
        <v>Developing Oneself|Department Head|1|5</v>
      </c>
      <c r="B186" t="str">
        <v>Developing Oneself</v>
      </c>
      <c r="C186" t="str">
        <v>Department Head</v>
      </c>
      <c r="D186" s="76">
        <v>1</v>
      </c>
      <c r="E186" t="str" cm="1">
        <f t="array" ref="E186">INDEX(aspek!$D$2:$D$337,
   MATCH(1,(aspek!$A$2:$A$337=B186)*
           (aspek!$B$2:$B$337=C186)*
           (aspek!$C$2:$C$337=D186),0))</f>
        <v>Dasar penilaian: bukti vs persepsi</v>
      </c>
      <c r="F186" s="76">
        <v>5</v>
      </c>
      <c r="G186" s="56" t="str" cm="1">
        <f t="array" ref="G186">INDEX(deskripsi!$D$2:$H$337,
   MATCH(1,(deskripsi!$A$2:$A$337=B186)*
           (deskripsi!$B$2:$B$337=C186)*
           (deskripsi!$C$2:$C$337=D186),0),
   F186)</f>
        <v>Penilaiannya menjadi rujukan karena selalu didukung bukti yang kuat.</v>
      </c>
    </row>
    <row r="187" spans="1:7">
      <c r="A187" t="str">
        <f t="shared" si="2"/>
        <v>Developing Oneself|Department Head|2|1</v>
      </c>
      <c r="B187" t="str">
        <v>Developing Oneself</v>
      </c>
      <c r="C187" t="str">
        <v>Department Head</v>
      </c>
      <c r="D187" s="76">
        <v>2</v>
      </c>
      <c r="E187" t="str" cm="1">
        <f t="array" ref="E187">INDEX(aspek!$D$2:$D$337,
   MATCH(1,(aspek!$A$2:$A$337=B187)*
           (aspek!$B$2:$B$337=C187)*
           (aspek!$C$2:$C$337=D187),0))</f>
        <v>Ketajaman kalibrasi diri</v>
      </c>
      <c r="F187" s="76">
        <v>1</v>
      </c>
      <c r="G187" s="56" t="str" cm="1">
        <f t="array" ref="G187">INDEX(deskripsi!$D$2:$H$337,
   MATCH(1,(deskripsi!$A$2:$A$337=B187)*
           (deskripsi!$B$2:$B$337=C187)*
           (deskripsi!$C$2:$C$337=D187),0),
   F187)</f>
        <v>Gambaran dirinya jauh berbeda dari penilaian pihak ketiga.</v>
      </c>
    </row>
    <row r="188" spans="1:7">
      <c r="A188" t="str">
        <f t="shared" si="2"/>
        <v>Developing Oneself|Department Head|2|2</v>
      </c>
      <c r="B188" t="str">
        <v>Developing Oneself</v>
      </c>
      <c r="C188" t="str">
        <v>Department Head</v>
      </c>
      <c r="D188" s="76">
        <v>2</v>
      </c>
      <c r="E188" t="str" cm="1">
        <f t="array" ref="E188">INDEX(aspek!$D$2:$D$337,
   MATCH(1,(aspek!$A$2:$A$337=B188)*
           (aspek!$B$2:$B$337=C188)*
           (aspek!$C$2:$C$337=D188),0))</f>
        <v>Ketajaman kalibrasi diri</v>
      </c>
      <c r="F188" s="76">
        <v>2</v>
      </c>
      <c r="G188" s="56" t="str" cm="1">
        <f t="array" ref="G188">INDEX(deskripsi!$D$2:$H$337,
   MATCH(1,(deskripsi!$A$2:$A$337=B188)*
           (deskripsi!$B$2:$B$337=C188)*
           (deskripsi!$C$2:$C$337=D188),0),
   F188)</f>
        <v>Gambaran dirinya cukup berbeda, terkoreksi hanya setelah diberi tahu.</v>
      </c>
    </row>
    <row r="189" spans="1:7">
      <c r="A189" t="str">
        <f t="shared" si="2"/>
        <v>Developing Oneself|Department Head|2|3</v>
      </c>
      <c r="B189" t="str">
        <v>Developing Oneself</v>
      </c>
      <c r="C189" t="str">
        <v>Department Head</v>
      </c>
      <c r="D189" s="76">
        <v>2</v>
      </c>
      <c r="E189" t="str" cm="1">
        <f t="array" ref="E189">INDEX(aspek!$D$2:$D$337,
   MATCH(1,(aspek!$A$2:$A$337=B189)*
           (aspek!$B$2:$B$337=C189)*
           (aspek!$C$2:$C$337=D189),0))</f>
        <v>Ketajaman kalibrasi diri</v>
      </c>
      <c r="F189" s="76">
        <v>3</v>
      </c>
      <c r="G189" s="56" t="str" cm="1">
        <f t="array" ref="G189">INDEX(deskripsi!$D$2:$H$337,
   MATCH(1,(deskripsi!$A$2:$A$337=B189)*
           (deskripsi!$B$2:$B$337=C189)*
           (deskripsi!$C$2:$C$337=D189),0),
   F189)</f>
        <v>Gambaran dirinya mendekati penilaian pihak ketiga pada aspek yang familiar.</v>
      </c>
    </row>
    <row r="190" spans="1:7">
      <c r="A190" t="str">
        <f t="shared" si="2"/>
        <v>Developing Oneself|Department Head|2|4</v>
      </c>
      <c r="B190" t="str">
        <v>Developing Oneself</v>
      </c>
      <c r="C190" t="str">
        <v>Department Head</v>
      </c>
      <c r="D190" s="76">
        <v>2</v>
      </c>
      <c r="E190" t="str" cm="1">
        <f t="array" ref="E190">INDEX(aspek!$D$2:$D$337,
   MATCH(1,(aspek!$A$2:$A$337=B190)*
           (aspek!$B$2:$B$337=C190)*
           (aspek!$C$2:$C$337=D190),0))</f>
        <v>Ketajaman kalibrasi diri</v>
      </c>
      <c r="F190" s="76">
        <v>4</v>
      </c>
      <c r="G190" s="56" t="str" cm="1">
        <f t="array" ref="G190">INDEX(deskripsi!$D$2:$H$337,
   MATCH(1,(deskripsi!$A$2:$A$337=B190)*
           (deskripsi!$B$2:$B$337=C190)*
           (deskripsi!$C$2:$C$337=D190),0),
   F190)</f>
        <v>Gambaran dirinya konsisten mendekati atau sama dengan penilaian pihak ketiga yang independen.</v>
      </c>
    </row>
    <row r="191" spans="1:7">
      <c r="A191" t="str">
        <f t="shared" si="2"/>
        <v>Developing Oneself|Department Head|2|5</v>
      </c>
      <c r="B191" t="str">
        <v>Developing Oneself</v>
      </c>
      <c r="C191" t="str">
        <v>Department Head</v>
      </c>
      <c r="D191" s="76">
        <v>2</v>
      </c>
      <c r="E191" t="str" cm="1">
        <f t="array" ref="E191">INDEX(aspek!$D$2:$D$337,
   MATCH(1,(aspek!$A$2:$A$337=B191)*
           (aspek!$B$2:$B$337=C191)*
           (aspek!$C$2:$C$337=D191),0))</f>
        <v>Ketajaman kalibrasi diri</v>
      </c>
      <c r="F191" s="76">
        <v>5</v>
      </c>
      <c r="G191" s="56" t="str" cm="1">
        <f t="array" ref="G191">INDEX(deskripsi!$D$2:$H$337,
   MATCH(1,(deskripsi!$A$2:$A$337=B191)*
           (deskripsi!$B$2:$B$337=C191)*
           (deskripsi!$C$2:$C$337=D191),0),
   F191)</f>
        <v>Kalibrasinya begitu tajam sehingga dapat memprediksi penilaian pihak ketiga sebelum diberikan.</v>
      </c>
    </row>
    <row r="192" spans="1:7">
      <c r="A192" t="str">
        <f t="shared" si="2"/>
        <v>Developing Oneself|Department Head|3|1</v>
      </c>
      <c r="B192" t="str">
        <v>Developing Oneself</v>
      </c>
      <c r="C192" t="str">
        <v>Department Head</v>
      </c>
      <c r="D192" s="76">
        <v>3</v>
      </c>
      <c r="E192" t="str" cm="1">
        <f t="array" ref="E192">INDEX(aspek!$D$2:$D$337,
   MATCH(1,(aspek!$A$2:$A$337=B192)*
           (aspek!$B$2:$B$337=C192)*
           (aspek!$C$2:$C$337=D192),0))</f>
        <v>Kesiapan menghadapi standar peran yang lebih tinggi</v>
      </c>
      <c r="F192" s="76">
        <v>1</v>
      </c>
      <c r="G192" s="56" t="str" cm="1">
        <f t="array" ref="G192">INDEX(deskripsi!$D$2:$H$337,
   MATCH(1,(deskripsi!$A$2:$A$337=B192)*
           (deskripsi!$B$2:$B$337=C192)*
           (deskripsi!$C$2:$C$337=D192),0),
   F192)</f>
        <v>Menilai diri hanya terhadap standar peran saat ini.</v>
      </c>
    </row>
    <row r="193" spans="1:7">
      <c r="A193" t="str">
        <f t="shared" si="2"/>
        <v>Developing Oneself|Department Head|3|2</v>
      </c>
      <c r="B193" t="str">
        <v>Developing Oneself</v>
      </c>
      <c r="C193" t="str">
        <v>Department Head</v>
      </c>
      <c r="D193" s="76">
        <v>3</v>
      </c>
      <c r="E193" t="str" cm="1">
        <f t="array" ref="E193">INDEX(aspek!$D$2:$D$337,
   MATCH(1,(aspek!$A$2:$A$337=B193)*
           (aspek!$B$2:$B$337=C193)*
           (aspek!$C$2:$C$337=D193),0))</f>
        <v>Kesiapan menghadapi standar peran yang lebih tinggi</v>
      </c>
      <c r="F193" s="76">
        <v>2</v>
      </c>
      <c r="G193" s="56" t="str" cm="1">
        <f t="array" ref="G193">INDEX(deskripsi!$D$2:$H$337,
   MATCH(1,(deskripsi!$A$2:$A$337=B193)*
           (deskripsi!$B$2:$B$337=C193)*
           (deskripsi!$C$2:$C$337=D193),0),
   F193)</f>
        <v>Menyadari standar peran lebih tinggi ada, tidak menilai diri terhadapnya.</v>
      </c>
    </row>
    <row r="194" spans="1:7">
      <c r="A194" t="str">
        <f t="shared" si="2"/>
        <v>Developing Oneself|Department Head|3|3</v>
      </c>
      <c r="B194" t="str">
        <v>Developing Oneself</v>
      </c>
      <c r="C194" t="str">
        <v>Department Head</v>
      </c>
      <c r="D194" s="76">
        <v>3</v>
      </c>
      <c r="E194" t="str" cm="1">
        <f t="array" ref="E194">INDEX(aspek!$D$2:$D$337,
   MATCH(1,(aspek!$A$2:$A$337=B194)*
           (aspek!$B$2:$B$337=C194)*
           (aspek!$C$2:$C$337=D194),0))</f>
        <v>Kesiapan menghadapi standar peran yang lebih tinggi</v>
      </c>
      <c r="F194" s="76">
        <v>3</v>
      </c>
      <c r="G194" s="56" t="str" cm="1">
        <f t="array" ref="G194">INDEX(deskripsi!$D$2:$H$337,
   MATCH(1,(deskripsi!$A$2:$A$337=B194)*
           (deskripsi!$B$2:$B$337=C194)*
           (deskripsi!$C$2:$C$337=D194),0),
   F194)</f>
        <v>Menilai diri terhadap standar peran lebih tinggi pada sebagian aspek.</v>
      </c>
    </row>
    <row r="195" spans="1:7">
      <c r="A195" t="str">
        <f t="shared" ref="A195:A258" si="3">B195&amp;"|"&amp;C195&amp;"|"&amp;D195&amp;"|"&amp;F195</f>
        <v>Developing Oneself|Department Head|3|4</v>
      </c>
      <c r="B195" t="str">
        <v>Developing Oneself</v>
      </c>
      <c r="C195" t="str">
        <v>Department Head</v>
      </c>
      <c r="D195" s="76">
        <v>3</v>
      </c>
      <c r="E195" t="str" cm="1">
        <f t="array" ref="E195">INDEX(aspek!$D$2:$D$337,
   MATCH(1,(aspek!$A$2:$A$337=B195)*
           (aspek!$B$2:$B$337=C195)*
           (aspek!$C$2:$C$337=D195),0))</f>
        <v>Kesiapan menghadapi standar peran yang lebih tinggi</v>
      </c>
      <c r="F195" s="76">
        <v>4</v>
      </c>
      <c r="G195" s="56" t="str" cm="1">
        <f t="array" ref="G195">INDEX(deskripsi!$D$2:$H$337,
   MATCH(1,(deskripsi!$A$2:$A$337=B195)*
           (deskripsi!$B$2:$B$337=C195)*
           (deskripsi!$C$2:$C$337=D195),0),
   F195)</f>
        <v>Secara rutin menilai kesiapan diri terhadap standar peran yang lebih tinggi menggunakan bukti konkret.</v>
      </c>
    </row>
    <row r="196" spans="1:7">
      <c r="A196" t="str">
        <f t="shared" si="3"/>
        <v>Developing Oneself|Department Head|3|5</v>
      </c>
      <c r="B196" t="str">
        <v>Developing Oneself</v>
      </c>
      <c r="C196" t="str">
        <v>Department Head</v>
      </c>
      <c r="D196" s="76">
        <v>3</v>
      </c>
      <c r="E196" t="str" cm="1">
        <f t="array" ref="E196">INDEX(aspek!$D$2:$D$337,
   MATCH(1,(aspek!$A$2:$A$337=B196)*
           (aspek!$B$2:$B$337=C196)*
           (aspek!$C$2:$C$337=D196),0))</f>
        <v>Kesiapan menghadapi standar peran yang lebih tinggi</v>
      </c>
      <c r="F196" s="76">
        <v>5</v>
      </c>
      <c r="G196" s="56" t="str" cm="1">
        <f t="array" ref="G196">INDEX(deskripsi!$D$2:$H$337,
   MATCH(1,(deskripsi!$A$2:$A$337=B196)*
           (deskripsi!$B$2:$B$337=C196)*
           (deskripsi!$C$2:$C$337=D196),0),
   F196)</f>
        <v>Penilaian kesiapannya menjadi dasar keputusan promosi yang objektif.</v>
      </c>
    </row>
    <row r="197" spans="1:7">
      <c r="A197" t="str">
        <f t="shared" si="3"/>
        <v>Developing Oneself|Department Head|4|1</v>
      </c>
      <c r="B197" t="str">
        <v>Developing Oneself</v>
      </c>
      <c r="C197" t="str">
        <v>Department Head</v>
      </c>
      <c r="D197" s="76">
        <v>4</v>
      </c>
      <c r="E197" t="str" cm="1">
        <f t="array" ref="E197">INDEX(aspek!$D$2:$D$337,
   MATCH(1,(aspek!$A$2:$A$337=B197)*
           (aspek!$B$2:$B$337=C197)*
           (aspek!$C$2:$C$337=D197),0))</f>
        <v>Ketahanan terhadap fakta yang tidak menyenangkan</v>
      </c>
      <c r="F197" s="76">
        <v>1</v>
      </c>
      <c r="G197" s="56" t="str" cm="1">
        <f t="array" ref="G197">INDEX(deskripsi!$D$2:$H$337,
   MATCH(1,(deskripsi!$A$2:$A$337=B197)*
           (deskripsi!$B$2:$B$337=C197)*
           (deskripsi!$C$2:$C$337=D197),0),
   F197)</f>
        <v>Menolak atau membantah fakta yang tidak menyenangkan tentang dirinya.</v>
      </c>
    </row>
    <row r="198" spans="1:7">
      <c r="A198" t="str">
        <f t="shared" si="3"/>
        <v>Developing Oneself|Department Head|4|2</v>
      </c>
      <c r="B198" t="str">
        <v>Developing Oneself</v>
      </c>
      <c r="C198" t="str">
        <v>Department Head</v>
      </c>
      <c r="D198" s="76">
        <v>4</v>
      </c>
      <c r="E198" t="str" cm="1">
        <f t="array" ref="E198">INDEX(aspek!$D$2:$D$337,
   MATCH(1,(aspek!$A$2:$A$337=B198)*
           (aspek!$B$2:$B$337=C198)*
           (aspek!$C$2:$C$337=D198),0))</f>
        <v>Ketahanan terhadap fakta yang tidak menyenangkan</v>
      </c>
      <c r="F198" s="76">
        <v>2</v>
      </c>
      <c r="G198" s="56" t="str" cm="1">
        <f t="array" ref="G198">INDEX(deskripsi!$D$2:$H$337,
   MATCH(1,(deskripsi!$A$2:$A$337=B198)*
           (deskripsi!$B$2:$B$337=C198)*
           (deskripsi!$C$2:$C$337=D198),0),
   F198)</f>
        <v>Menerima fakta tidak menyenangkan dengan berat hati, tanpa tindak lanjut.</v>
      </c>
    </row>
    <row r="199" spans="1:7">
      <c r="A199" t="str">
        <f t="shared" si="3"/>
        <v>Developing Oneself|Department Head|4|3</v>
      </c>
      <c r="B199" t="str">
        <v>Developing Oneself</v>
      </c>
      <c r="C199" t="str">
        <v>Department Head</v>
      </c>
      <c r="D199" s="76">
        <v>4</v>
      </c>
      <c r="E199" t="str" cm="1">
        <f t="array" ref="E199">INDEX(aspek!$D$2:$D$337,
   MATCH(1,(aspek!$A$2:$A$337=B199)*
           (aspek!$B$2:$B$337=C199)*
           (aspek!$C$2:$C$337=D199),0))</f>
        <v>Ketahanan terhadap fakta yang tidak menyenangkan</v>
      </c>
      <c r="F199" s="76">
        <v>3</v>
      </c>
      <c r="G199" s="56" t="str" cm="1">
        <f t="array" ref="G199">INDEX(deskripsi!$D$2:$H$337,
   MATCH(1,(deskripsi!$A$2:$A$337=B199)*
           (deskripsi!$B$2:$B$337=C199)*
           (deskripsi!$C$2:$C$337=D199),0),
   F199)</f>
        <v>Menerima dan menindaklanjuti fakta yang tidak terlalu mengancam.</v>
      </c>
    </row>
    <row r="200" spans="1:7">
      <c r="A200" t="str">
        <f t="shared" si="3"/>
        <v>Developing Oneself|Department Head|4|4</v>
      </c>
      <c r="B200" t="str">
        <v>Developing Oneself</v>
      </c>
      <c r="C200" t="str">
        <v>Department Head</v>
      </c>
      <c r="D200" s="76">
        <v>4</v>
      </c>
      <c r="E200" t="str" cm="1">
        <f t="array" ref="E200">INDEX(aspek!$D$2:$D$337,
   MATCH(1,(aspek!$A$2:$A$337=B200)*
           (aspek!$B$2:$B$337=C200)*
           (aspek!$C$2:$C$337=D200),0))</f>
        <v>Ketahanan terhadap fakta yang tidak menyenangkan</v>
      </c>
      <c r="F200" s="76">
        <v>4</v>
      </c>
      <c r="G200" s="56" t="str" cm="1">
        <f t="array" ref="G200">INDEX(deskripsi!$D$2:$H$337,
   MATCH(1,(deskripsi!$A$2:$A$337=B200)*
           (deskripsi!$B$2:$B$337=C200)*
           (deskripsi!$C$2:$C$337=D200),0),
   F200)</f>
        <v>Menerima dan menindaklanjuti fakta yang tidak menyenangkan bahkan pada area yang mengancam citra dirinya.</v>
      </c>
    </row>
    <row r="201" spans="1:7">
      <c r="A201" t="str">
        <f t="shared" si="3"/>
        <v>Developing Oneself|Department Head|4|5</v>
      </c>
      <c r="B201" t="str">
        <v>Developing Oneself</v>
      </c>
      <c r="C201" t="str">
        <v>Department Head</v>
      </c>
      <c r="D201" s="76">
        <v>4</v>
      </c>
      <c r="E201" t="str" cm="1">
        <f t="array" ref="E201">INDEX(aspek!$D$2:$D$337,
   MATCH(1,(aspek!$A$2:$A$337=B201)*
           (aspek!$B$2:$B$337=C201)*
           (aspek!$C$2:$C$337=D201),0))</f>
        <v>Ketahanan terhadap fakta yang tidak menyenangkan</v>
      </c>
      <c r="F201" s="76">
        <v>5</v>
      </c>
      <c r="G201" s="56" t="str" cm="1">
        <f t="array" ref="G201">INDEX(deskripsi!$D$2:$H$337,
   MATCH(1,(deskripsi!$A$2:$A$337=B201)*
           (deskripsi!$B$2:$B$337=C201)*
           (deskripsi!$C$2:$C$337=D201),0),
   F201)</f>
        <v>Secara aktif mencari fakta yang tidak menyenangkan sebagai bahan kalibrasi.</v>
      </c>
    </row>
    <row r="202" spans="1:7">
      <c r="A202" t="str">
        <f t="shared" si="3"/>
        <v>Developing Oneself|Division Head|1|1</v>
      </c>
      <c r="B202" t="str">
        <v>Developing Oneself</v>
      </c>
      <c r="C202" t="str">
        <v>Division Head</v>
      </c>
      <c r="D202" s="76">
        <v>1</v>
      </c>
      <c r="E202" t="str" cm="1">
        <f t="array" ref="E202">INDEX(aspek!$D$2:$D$337,
   MATCH(1,(aspek!$A$2:$A$337=B202)*
           (aspek!$B$2:$B$337=C202)*
           (aspek!$C$2:$C$337=D202),0))</f>
        <v>Jeda antara stimulus dan respons</v>
      </c>
      <c r="F202" s="76">
        <v>1</v>
      </c>
      <c r="G202" s="56" t="str" cm="1">
        <f t="array" ref="G202">INDEX(deskripsi!$D$2:$H$337,
   MATCH(1,(deskripsi!$A$2:$A$337=B202)*
           (deskripsi!$B$2:$B$337=C202)*
           (deskripsi!$C$2:$C$337=D202),0),
   F202)</f>
        <v>Bereaksi impulsif tanpa jeda.</v>
      </c>
    </row>
    <row r="203" spans="1:7">
      <c r="A203" t="str">
        <f t="shared" si="3"/>
        <v>Developing Oneself|Division Head|1|2</v>
      </c>
      <c r="B203" t="str">
        <v>Developing Oneself</v>
      </c>
      <c r="C203" t="str">
        <v>Division Head</v>
      </c>
      <c r="D203" s="76">
        <v>1</v>
      </c>
      <c r="E203" t="str" cm="1">
        <f t="array" ref="E203">INDEX(aspek!$D$2:$D$337,
   MATCH(1,(aspek!$A$2:$A$337=B203)*
           (aspek!$B$2:$B$337=C203)*
           (aspek!$C$2:$C$337=D203),0))</f>
        <v>Jeda antara stimulus dan respons</v>
      </c>
      <c r="F203" s="76">
        <v>2</v>
      </c>
      <c r="G203" s="56" t="str" cm="1">
        <f t="array" ref="G203">INDEX(deskripsi!$D$2:$H$337,
   MATCH(1,(deskripsi!$A$2:$A$337=B203)*
           (deskripsi!$B$2:$B$337=C203)*
           (deskripsi!$C$2:$C$337=D203),0),
   F203)</f>
        <v>Menyadari reaksi berlebihan setelah terjadi.</v>
      </c>
    </row>
    <row r="204" spans="1:7">
      <c r="A204" t="str">
        <f t="shared" si="3"/>
        <v>Developing Oneself|Division Head|1|3</v>
      </c>
      <c r="B204" t="str">
        <v>Developing Oneself</v>
      </c>
      <c r="C204" t="str">
        <v>Division Head</v>
      </c>
      <c r="D204" s="76">
        <v>1</v>
      </c>
      <c r="E204" t="str" cm="1">
        <f t="array" ref="E204">INDEX(aspek!$D$2:$D$337,
   MATCH(1,(aspek!$A$2:$A$337=B204)*
           (aspek!$B$2:$B$337=C204)*
           (aspek!$C$2:$C$337=D204),0))</f>
        <v>Jeda antara stimulus dan respons</v>
      </c>
      <c r="F204" s="76">
        <v>3</v>
      </c>
      <c r="G204" s="56" t="str" cm="1">
        <f t="array" ref="G204">INDEX(deskripsi!$D$2:$H$337,
   MATCH(1,(deskripsi!$A$2:$A$337=B204)*
           (deskripsi!$B$2:$B$337=C204)*
           (deskripsi!$C$2:$C$337=D204),0),
   F204)</f>
        <v>Mengenali emosi yang muncul dan memilih responsnya, meski butuh usaha.</v>
      </c>
    </row>
    <row r="205" spans="1:7">
      <c r="A205" t="str">
        <f t="shared" si="3"/>
        <v>Developing Oneself|Division Head|1|4</v>
      </c>
      <c r="B205" t="str">
        <v>Developing Oneself</v>
      </c>
      <c r="C205" t="str">
        <v>Division Head</v>
      </c>
      <c r="D205" s="76">
        <v>1</v>
      </c>
      <c r="E205" t="str" cm="1">
        <f t="array" ref="E205">INDEX(aspek!$D$2:$D$337,
   MATCH(1,(aspek!$A$2:$A$337=B205)*
           (aspek!$B$2:$B$337=C205)*
           (aspek!$C$2:$C$337=D205),0))</f>
        <v>Jeda antara stimulus dan respons</v>
      </c>
      <c r="F205" s="76">
        <v>4</v>
      </c>
      <c r="G205" s="56" t="str" cm="1">
        <f t="array" ref="G205">INDEX(deskripsi!$D$2:$H$337,
   MATCH(1,(deskripsi!$A$2:$A$337=B205)*
           (deskripsi!$B$2:$B$337=C205)*
           (deskripsi!$C$2:$C$337=D205),0),
   F205)</f>
        <v>Secara konsisten memberi jeda sebelum merespons, tetap tenang dan profesional.</v>
      </c>
    </row>
    <row r="206" spans="1:7">
      <c r="A206" t="str">
        <f t="shared" si="3"/>
        <v>Developing Oneself|Division Head|1|5</v>
      </c>
      <c r="B206" t="str">
        <v>Developing Oneself</v>
      </c>
      <c r="C206" t="str">
        <v>Division Head</v>
      </c>
      <c r="D206" s="76">
        <v>1</v>
      </c>
      <c r="E206" t="str" cm="1">
        <f t="array" ref="E206">INDEX(aspek!$D$2:$D$337,
   MATCH(1,(aspek!$A$2:$A$337=B206)*
           (aspek!$B$2:$B$337=C206)*
           (aspek!$C$2:$C$337=D206),0))</f>
        <v>Jeda antara stimulus dan respons</v>
      </c>
      <c r="F206" s="76">
        <v>5</v>
      </c>
      <c r="G206" s="56" t="str" cm="1">
        <f t="array" ref="G206">INDEX(deskripsi!$D$2:$H$337,
   MATCH(1,(deskripsi!$A$2:$A$337=B206)*
           (deskripsi!$B$2:$B$337=C206)*
           (deskripsi!$C$2:$C$337=D206),0),
   F206)</f>
        <v>Jedanya menjadi kebiasaan otomatis bahkan pada tekanan ekstrem.</v>
      </c>
    </row>
    <row r="207" spans="1:7">
      <c r="A207" t="str">
        <f t="shared" si="3"/>
        <v>Developing Oneself|Division Head|2|1</v>
      </c>
      <c r="B207" t="str">
        <v>Developing Oneself</v>
      </c>
      <c r="C207" t="str">
        <v>Division Head</v>
      </c>
      <c r="D207" s="76">
        <v>2</v>
      </c>
      <c r="E207" t="str" cm="1">
        <f t="array" ref="E207">INDEX(aspek!$D$2:$D$337,
   MATCH(1,(aspek!$A$2:$A$337=B207)*
           (aspek!$B$2:$B$337=C207)*
           (aspek!$C$2:$C$337=D207),0))</f>
        <v>Kualitas keputusan saat emosi tinggi</v>
      </c>
      <c r="F207" s="76">
        <v>1</v>
      </c>
      <c r="G207" s="56" t="str" cm="1">
        <f t="array" ref="G207">INDEX(deskripsi!$D$2:$H$337,
   MATCH(1,(deskripsi!$A$2:$A$337=B207)*
           (deskripsi!$B$2:$B$337=C207)*
           (deskripsi!$C$2:$C$337=D207),0),
   F207)</f>
        <v>Keputusan yang diambil saat emosi tinggi sering keliru atau terburu-buru.</v>
      </c>
    </row>
    <row r="208" spans="1:7">
      <c r="A208" t="str">
        <f t="shared" si="3"/>
        <v>Developing Oneself|Division Head|2|2</v>
      </c>
      <c r="B208" t="str">
        <v>Developing Oneself</v>
      </c>
      <c r="C208" t="str">
        <v>Division Head</v>
      </c>
      <c r="D208" s="76">
        <v>2</v>
      </c>
      <c r="E208" t="str" cm="1">
        <f t="array" ref="E208">INDEX(aspek!$D$2:$D$337,
   MATCH(1,(aspek!$A$2:$A$337=B208)*
           (aspek!$B$2:$B$337=C208)*
           (aspek!$C$2:$C$337=D208),0))</f>
        <v>Kualitas keputusan saat emosi tinggi</v>
      </c>
      <c r="F208" s="76">
        <v>2</v>
      </c>
      <c r="G208" s="56" t="str" cm="1">
        <f t="array" ref="G208">INDEX(deskripsi!$D$2:$H$337,
   MATCH(1,(deskripsi!$A$2:$A$337=B208)*
           (deskripsi!$B$2:$B$337=C208)*
           (deskripsi!$C$2:$C$337=D208),0),
   F208)</f>
        <v>Keputusan tertunda karena emosi, diambil setelah tenang kembali.</v>
      </c>
    </row>
    <row r="209" spans="1:7">
      <c r="A209" t="str">
        <f t="shared" si="3"/>
        <v>Developing Oneself|Division Head|2|3</v>
      </c>
      <c r="B209" t="str">
        <v>Developing Oneself</v>
      </c>
      <c r="C209" t="str">
        <v>Division Head</v>
      </c>
      <c r="D209" s="76">
        <v>2</v>
      </c>
      <c r="E209" t="str" cm="1">
        <f t="array" ref="E209">INDEX(aspek!$D$2:$D$337,
   MATCH(1,(aspek!$A$2:$A$337=B209)*
           (aspek!$B$2:$B$337=C209)*
           (aspek!$C$2:$C$337=D209),0))</f>
        <v>Kualitas keputusan saat emosi tinggi</v>
      </c>
      <c r="F209" s="76">
        <v>3</v>
      </c>
      <c r="G209" s="56" t="str" cm="1">
        <f t="array" ref="G209">INDEX(deskripsi!$D$2:$H$337,
   MATCH(1,(deskripsi!$A$2:$A$337=B209)*
           (deskripsi!$B$2:$B$337=C209)*
           (deskripsi!$C$2:$C$337=D209),0),
   F209)</f>
        <v>Keputusan cukup baik pada tekanan yang sedang.</v>
      </c>
    </row>
    <row r="210" spans="1:7">
      <c r="A210" t="str">
        <f t="shared" si="3"/>
        <v>Developing Oneself|Division Head|2|4</v>
      </c>
      <c r="B210" t="str">
        <v>Developing Oneself</v>
      </c>
      <c r="C210" t="str">
        <v>Division Head</v>
      </c>
      <c r="D210" s="76">
        <v>2</v>
      </c>
      <c r="E210" t="str" cm="1">
        <f t="array" ref="E210">INDEX(aspek!$D$2:$D$337,
   MATCH(1,(aspek!$A$2:$A$337=B210)*
           (aspek!$B$2:$B$337=C210)*
           (aspek!$C$2:$C$337=D210),0))</f>
        <v>Kualitas keputusan saat emosi tinggi</v>
      </c>
      <c r="F210" s="76">
        <v>4</v>
      </c>
      <c r="G210" s="56" t="str" cm="1">
        <f t="array" ref="G210">INDEX(deskripsi!$D$2:$H$337,
   MATCH(1,(deskripsi!$A$2:$A$337=B210)*
           (deskripsi!$B$2:$B$337=C210)*
           (deskripsi!$C$2:$C$337=D210),0),
   F210)</f>
        <v>Keputusan tetap berkualitas meski diambil saat emosi tinggi, dikonfirmasi hasilnya.</v>
      </c>
    </row>
    <row r="211" spans="1:7">
      <c r="A211" t="str">
        <f t="shared" si="3"/>
        <v>Developing Oneself|Division Head|2|5</v>
      </c>
      <c r="B211" t="str">
        <v>Developing Oneself</v>
      </c>
      <c r="C211" t="str">
        <v>Division Head</v>
      </c>
      <c r="D211" s="76">
        <v>2</v>
      </c>
      <c r="E211" t="str" cm="1">
        <f t="array" ref="E211">INDEX(aspek!$D$2:$D$337,
   MATCH(1,(aspek!$A$2:$A$337=B211)*
           (aspek!$B$2:$B$337=C211)*
           (aspek!$C$2:$C$337=D211),0))</f>
        <v>Kualitas keputusan saat emosi tinggi</v>
      </c>
      <c r="F211" s="76">
        <v>5</v>
      </c>
      <c r="G211" s="56" t="str" cm="1">
        <f t="array" ref="G211">INDEX(deskripsi!$D$2:$H$337,
   MATCH(1,(deskripsi!$A$2:$A$337=B211)*
           (deskripsi!$B$2:$B$337=C211)*
           (deskripsi!$C$2:$C$337=D211),0),
   F211)</f>
        <v>Keputusannya justru lebih tajam karena mampu memanfaatkan energi dari tekanan.</v>
      </c>
    </row>
    <row r="212" spans="1:7">
      <c r="A212" t="str">
        <f t="shared" si="3"/>
        <v>Developing Oneself|Division Head|3|1</v>
      </c>
      <c r="B212" t="str">
        <v>Developing Oneself</v>
      </c>
      <c r="C212" t="str">
        <v>Division Head</v>
      </c>
      <c r="D212" s="76">
        <v>3</v>
      </c>
      <c r="E212" t="str" cm="1">
        <f t="array" ref="E212">INDEX(aspek!$D$2:$D$337,
   MATCH(1,(aspek!$A$2:$A$337=B212)*
           (aspek!$B$2:$B$337=C212)*
           (aspek!$C$2:$C$337=D212),0))</f>
        <v>Ketenangan yang dipersepsikan</v>
      </c>
      <c r="F212" s="76">
        <v>1</v>
      </c>
      <c r="G212" s="56" t="str" cm="1">
        <f t="array" ref="G212">INDEX(deskripsi!$D$2:$H$337,
   MATCH(1,(deskripsi!$A$2:$A$337=B212)*
           (deskripsi!$B$2:$B$337=C212)*
           (deskripsi!$C$2:$C$337=D212),0),
   F212)</f>
        <v>Terlihat panik atau reaktif oleh orang di sekitarnya.</v>
      </c>
    </row>
    <row r="213" spans="1:7">
      <c r="A213" t="str">
        <f t="shared" si="3"/>
        <v>Developing Oneself|Division Head|3|2</v>
      </c>
      <c r="B213" t="str">
        <v>Developing Oneself</v>
      </c>
      <c r="C213" t="str">
        <v>Division Head</v>
      </c>
      <c r="D213" s="76">
        <v>3</v>
      </c>
      <c r="E213" t="str" cm="1">
        <f t="array" ref="E213">INDEX(aspek!$D$2:$D$337,
   MATCH(1,(aspek!$A$2:$A$337=B213)*
           (aspek!$B$2:$B$337=C213)*
           (aspek!$C$2:$C$337=D213),0))</f>
        <v>Ketenangan yang dipersepsikan</v>
      </c>
      <c r="F213" s="76">
        <v>2</v>
      </c>
      <c r="G213" s="56" t="str" cm="1">
        <f t="array" ref="G213">INDEX(deskripsi!$D$2:$H$337,
   MATCH(1,(deskripsi!$A$2:$A$337=B213)*
           (deskripsi!$B$2:$B$337=C213)*
           (deskripsi!$C$2:$C$337=D213),0),
   F213)</f>
        <v>Terlihat tenang di permukaan, tetapi ketegangan terasa.</v>
      </c>
    </row>
    <row r="214" spans="1:7">
      <c r="A214" t="str">
        <f t="shared" si="3"/>
        <v>Developing Oneself|Division Head|3|3</v>
      </c>
      <c r="B214" t="str">
        <v>Developing Oneself</v>
      </c>
      <c r="C214" t="str">
        <v>Division Head</v>
      </c>
      <c r="D214" s="76">
        <v>3</v>
      </c>
      <c r="E214" t="str" cm="1">
        <f t="array" ref="E214">INDEX(aspek!$D$2:$D$337,
   MATCH(1,(aspek!$A$2:$A$337=B214)*
           (aspek!$B$2:$B$337=C214)*
           (aspek!$C$2:$C$337=D214),0))</f>
        <v>Ketenangan yang dipersepsikan</v>
      </c>
      <c r="F214" s="76">
        <v>3</v>
      </c>
      <c r="G214" s="56" t="str" cm="1">
        <f t="array" ref="G214">INDEX(deskripsi!$D$2:$H$337,
   MATCH(1,(deskripsi!$A$2:$A$337=B214)*
           (deskripsi!$B$2:$B$337=C214)*
           (deskripsi!$C$2:$C$337=D214),0),
   F214)</f>
        <v>Terlihat tenang pada situasi yang tidak terlalu berat.</v>
      </c>
    </row>
    <row r="215" spans="1:7">
      <c r="A215" t="str">
        <f t="shared" si="3"/>
        <v>Developing Oneself|Division Head|3|4</v>
      </c>
      <c r="B215" t="str">
        <v>Developing Oneself</v>
      </c>
      <c r="C215" t="str">
        <v>Division Head</v>
      </c>
      <c r="D215" s="76">
        <v>3</v>
      </c>
      <c r="E215" t="str" cm="1">
        <f t="array" ref="E215">INDEX(aspek!$D$2:$D$337,
   MATCH(1,(aspek!$A$2:$A$337=B215)*
           (aspek!$B$2:$B$337=C215)*
           (aspek!$C$2:$C$337=D215),0))</f>
        <v>Ketenangan yang dipersepsikan</v>
      </c>
      <c r="F215" s="76">
        <v>4</v>
      </c>
      <c r="G215" s="56" t="str" cm="1">
        <f t="array" ref="G215">INDEX(deskripsi!$D$2:$H$337,
   MATCH(1,(deskripsi!$A$2:$A$337=B215)*
           (deskripsi!$B$2:$B$337=C215)*
           (deskripsi!$C$2:$C$337=D215),0),
   F215)</f>
        <v>Konsisten terlihat tenang dan profesional bahkan pada situasi yang berat.</v>
      </c>
    </row>
    <row r="216" spans="1:7">
      <c r="A216" t="str">
        <f t="shared" si="3"/>
        <v>Developing Oneself|Division Head|3|5</v>
      </c>
      <c r="B216" t="str">
        <v>Developing Oneself</v>
      </c>
      <c r="C216" t="str">
        <v>Division Head</v>
      </c>
      <c r="D216" s="76">
        <v>3</v>
      </c>
      <c r="E216" t="str" cm="1">
        <f t="array" ref="E216">INDEX(aspek!$D$2:$D$337,
   MATCH(1,(aspek!$A$2:$A$337=B216)*
           (aspek!$B$2:$B$337=C216)*
           (aspek!$C$2:$C$337=D216),0))</f>
        <v>Ketenangan yang dipersepsikan</v>
      </c>
      <c r="F216" s="76">
        <v>5</v>
      </c>
      <c r="G216" s="56" t="str" cm="1">
        <f t="array" ref="G216">INDEX(deskripsi!$D$2:$H$337,
   MATCH(1,(deskripsi!$A$2:$A$337=B216)*
           (deskripsi!$B$2:$B$337=C216)*
           (deskripsi!$C$2:$C$337=D216),0),
   F216)</f>
        <v>Ketenangannya menjadi jangkar bagi tim di sekitarnya.</v>
      </c>
    </row>
    <row r="217" spans="1:7">
      <c r="A217" t="str">
        <f t="shared" si="3"/>
        <v>Developing Oneself|Division Head|4|1</v>
      </c>
      <c r="B217" t="str">
        <v>Developing Oneself</v>
      </c>
      <c r="C217" t="str">
        <v>Division Head</v>
      </c>
      <c r="D217" s="76">
        <v>4</v>
      </c>
      <c r="E217" t="str" cm="1">
        <f t="array" ref="E217">INDEX(aspek!$D$2:$D$337,
   MATCH(1,(aspek!$A$2:$A$337=B217)*
           (aspek!$B$2:$B$337=C217)*
           (aspek!$C$2:$C$337=D217),0))</f>
        <v>Menenangkan orang lain</v>
      </c>
      <c r="F217" s="76">
        <v>1</v>
      </c>
      <c r="G217" s="56" t="str" cm="1">
        <f t="array" ref="G217">INDEX(deskripsi!$D$2:$H$337,
   MATCH(1,(deskripsi!$A$2:$A$337=B217)*
           (deskripsi!$B$2:$B$337=C217)*
           (deskripsi!$C$2:$C$337=D217),0),
   F217)</f>
        <v>Ikut terpengaruh emosi orang lain di sekitarnya.</v>
      </c>
    </row>
    <row r="218" spans="1:7">
      <c r="A218" t="str">
        <f t="shared" si="3"/>
        <v>Developing Oneself|Division Head|4|2</v>
      </c>
      <c r="B218" t="str">
        <v>Developing Oneself</v>
      </c>
      <c r="C218" t="str">
        <v>Division Head</v>
      </c>
      <c r="D218" s="76">
        <v>4</v>
      </c>
      <c r="E218" t="str" cm="1">
        <f t="array" ref="E218">INDEX(aspek!$D$2:$D$337,
   MATCH(1,(aspek!$A$2:$A$337=B218)*
           (aspek!$B$2:$B$337=C218)*
           (aspek!$C$2:$C$337=D218),0))</f>
        <v>Menenangkan orang lain</v>
      </c>
      <c r="F218" s="76">
        <v>2</v>
      </c>
      <c r="G218" s="56" t="str" cm="1">
        <f t="array" ref="G218">INDEX(deskripsi!$D$2:$H$337,
   MATCH(1,(deskripsi!$A$2:$A$337=B218)*
           (deskripsi!$B$2:$B$337=C218)*
           (deskripsi!$C$2:$C$337=D218),0),
   F218)</f>
        <v>Menjaga emosinya sendiri, tidak memperhatikan emosi orang lain.</v>
      </c>
    </row>
    <row r="219" spans="1:7">
      <c r="A219" t="str">
        <f t="shared" si="3"/>
        <v>Developing Oneself|Division Head|4|3</v>
      </c>
      <c r="B219" t="str">
        <v>Developing Oneself</v>
      </c>
      <c r="C219" t="str">
        <v>Division Head</v>
      </c>
      <c r="D219" s="76">
        <v>4</v>
      </c>
      <c r="E219" t="str" cm="1">
        <f t="array" ref="E219">INDEX(aspek!$D$2:$D$337,
   MATCH(1,(aspek!$A$2:$A$337=B219)*
           (aspek!$B$2:$B$337=C219)*
           (aspek!$C$2:$C$337=D219),0))</f>
        <v>Menenangkan orang lain</v>
      </c>
      <c r="F219" s="76">
        <v>3</v>
      </c>
      <c r="G219" s="56" t="str" cm="1">
        <f t="array" ref="G219">INDEX(deskripsi!$D$2:$H$337,
   MATCH(1,(deskripsi!$A$2:$A$337=B219)*
           (deskripsi!$B$2:$B$337=C219)*
           (deskripsi!$C$2:$C$337=D219),0),
   F219)</f>
        <v>Sesekali membantu menenangkan orang lain pada situasi ringan.</v>
      </c>
    </row>
    <row r="220" spans="1:7">
      <c r="A220" t="str">
        <f t="shared" si="3"/>
        <v>Developing Oneself|Division Head|4|4</v>
      </c>
      <c r="B220" t="str">
        <v>Developing Oneself</v>
      </c>
      <c r="C220" t="str">
        <v>Division Head</v>
      </c>
      <c r="D220" s="76">
        <v>4</v>
      </c>
      <c r="E220" t="str" cm="1">
        <f t="array" ref="E220">INDEX(aspek!$D$2:$D$337,
   MATCH(1,(aspek!$A$2:$A$337=B220)*
           (aspek!$B$2:$B$337=C220)*
           (aspek!$C$2:$C$337=D220),0))</f>
        <v>Menenangkan orang lain</v>
      </c>
      <c r="F220" s="76">
        <v>4</v>
      </c>
      <c r="G220" s="56" t="str" cm="1">
        <f t="array" ref="G220">INDEX(deskripsi!$D$2:$H$337,
   MATCH(1,(deskripsi!$A$2:$A$337=B220)*
           (deskripsi!$B$2:$B$337=C220)*
           (deskripsi!$C$2:$C$337=D220),0),
   F220)</f>
        <v>Secara aktif menenangkan orang lain yang emosional, dikonfirmasi pihak yang ditenangkan.</v>
      </c>
    </row>
    <row r="221" spans="1:7">
      <c r="A221" t="str">
        <f t="shared" si="3"/>
        <v>Developing Oneself|Division Head|4|5</v>
      </c>
      <c r="B221" t="str">
        <v>Developing Oneself</v>
      </c>
      <c r="C221" t="str">
        <v>Division Head</v>
      </c>
      <c r="D221" s="76">
        <v>4</v>
      </c>
      <c r="E221" t="str" cm="1">
        <f t="array" ref="E221">INDEX(aspek!$D$2:$D$337,
   MATCH(1,(aspek!$A$2:$A$337=B221)*
           (aspek!$B$2:$B$337=C221)*
           (aspek!$C$2:$C$337=D221),0))</f>
        <v>Menenangkan orang lain</v>
      </c>
      <c r="F221" s="76">
        <v>5</v>
      </c>
      <c r="G221" s="56" t="str" cm="1">
        <f t="array" ref="G221">INDEX(deskripsi!$D$2:$H$337,
   MATCH(1,(deskripsi!$A$2:$A$337=B221)*
           (deskripsi!$B$2:$B$337=C221)*
           (deskripsi!$C$2:$C$337=D221),0),
   F221)</f>
        <v>Menjadi orang yang secara otomatis dicari saat situasi memanas.</v>
      </c>
    </row>
    <row r="222" spans="1:7">
      <c r="A222" t="str">
        <f t="shared" si="3"/>
        <v>Developing Oneself|Director|1|1</v>
      </c>
      <c r="B222" t="str">
        <v>Developing Oneself</v>
      </c>
      <c r="C222" t="str">
        <v>Director</v>
      </c>
      <c r="D222" s="76">
        <v>1</v>
      </c>
      <c r="E222" t="str" cm="1">
        <f t="array" ref="E222">INDEX(aspek!$D$2:$D$337,
   MATCH(1,(aspek!$A$2:$A$337=B222)*
           (aspek!$B$2:$B$337=C222)*
           (aspek!$C$2:$C$337=D222),0))</f>
        <v>Kedalaman refleksi: dari peristiwa ke pola ke bias</v>
      </c>
      <c r="F222" s="76">
        <v>1</v>
      </c>
      <c r="G222" s="56" t="str" cm="1">
        <f t="array" ref="G222">INDEX(deskripsi!$D$2:$H$337,
   MATCH(1,(deskripsi!$A$2:$A$337=B222)*
           (deskripsi!$B$2:$B$337=C222)*
           (deskripsi!$C$2:$C$337=D222),0),
   F222)</f>
        <v>Hanya melihat peristiwa tunggal, tidak melihat keterkaitan antar peristiwa.</v>
      </c>
    </row>
    <row r="223" spans="1:7">
      <c r="A223" t="str">
        <f t="shared" si="3"/>
        <v>Developing Oneself|Director|1|2</v>
      </c>
      <c r="B223" t="str">
        <v>Developing Oneself</v>
      </c>
      <c r="C223" t="str">
        <v>Director</v>
      </c>
      <c r="D223" s="76">
        <v>1</v>
      </c>
      <c r="E223" t="str" cm="1">
        <f t="array" ref="E223">INDEX(aspek!$D$2:$D$337,
   MATCH(1,(aspek!$A$2:$A$337=B223)*
           (aspek!$B$2:$B$337=C223)*
           (aspek!$C$2:$C$337=D223),0))</f>
        <v>Kedalaman refleksi: dari peristiwa ke pola ke bias</v>
      </c>
      <c r="F223" s="76">
        <v>2</v>
      </c>
      <c r="G223" s="56" t="str" cm="1">
        <f t="array" ref="G223">INDEX(deskripsi!$D$2:$H$337,
   MATCH(1,(deskripsi!$A$2:$A$337=B223)*
           (deskripsi!$B$2:$B$337=C223)*
           (deskripsi!$C$2:$C$337=D223),0),
   F223)</f>
        <v>Menyadari ada pola, tidak menganalisis bias yang mendasarinya.</v>
      </c>
    </row>
    <row r="224" spans="1:7">
      <c r="A224" t="str">
        <f t="shared" si="3"/>
        <v>Developing Oneself|Director|1|3</v>
      </c>
      <c r="B224" t="str">
        <v>Developing Oneself</v>
      </c>
      <c r="C224" t="str">
        <v>Director</v>
      </c>
      <c r="D224" s="76">
        <v>1</v>
      </c>
      <c r="E224" t="str" cm="1">
        <f t="array" ref="E224">INDEX(aspek!$D$2:$D$337,
   MATCH(1,(aspek!$A$2:$A$337=B224)*
           (aspek!$B$2:$B$337=C224)*
           (aspek!$C$2:$C$337=D224),0))</f>
        <v>Kedalaman refleksi: dari peristiwa ke pola ke bias</v>
      </c>
      <c r="F224" s="76">
        <v>3</v>
      </c>
      <c r="G224" s="56" t="str" cm="1">
        <f t="array" ref="G224">INDEX(deskripsi!$D$2:$H$337,
   MATCH(1,(deskripsi!$A$2:$A$337=B224)*
           (deskripsi!$B$2:$B$337=C224)*
           (deskripsi!$C$2:$C$337=D224),0),
   F224)</f>
        <v>Mengenali bias yang mendasari sebagian pola.</v>
      </c>
    </row>
    <row r="225" spans="1:7">
      <c r="A225" t="str">
        <f t="shared" si="3"/>
        <v>Developing Oneself|Director|1|4</v>
      </c>
      <c r="B225" t="str">
        <v>Developing Oneself</v>
      </c>
      <c r="C225" t="str">
        <v>Director</v>
      </c>
      <c r="D225" s="76">
        <v>1</v>
      </c>
      <c r="E225" t="str" cm="1">
        <f t="array" ref="E225">INDEX(aspek!$D$2:$D$337,
   MATCH(1,(aspek!$A$2:$A$337=B225)*
           (aspek!$B$2:$B$337=C225)*
           (aspek!$C$2:$C$337=D225),0))</f>
        <v>Kedalaman refleksi: dari peristiwa ke pola ke bias</v>
      </c>
      <c r="F225" s="76">
        <v>4</v>
      </c>
      <c r="G225" s="56" t="str" cm="1">
        <f t="array" ref="G225">INDEX(deskripsi!$D$2:$H$337,
   MATCH(1,(deskripsi!$A$2:$A$337=B225)*
           (deskripsi!$B$2:$B$337=C225)*
           (deskripsi!$C$2:$C$337=D225),0),
   F225)</f>
        <v>Menyintesis banyak peristiwa menjadi pola yang jelas dan mengidentifikasi bias yang mendasarinya secara akurat.</v>
      </c>
    </row>
    <row r="226" spans="1:7">
      <c r="A226" t="str">
        <f t="shared" si="3"/>
        <v>Developing Oneself|Director|1|5</v>
      </c>
      <c r="B226" t="str">
        <v>Developing Oneself</v>
      </c>
      <c r="C226" t="str">
        <v>Director</v>
      </c>
      <c r="D226" s="76">
        <v>1</v>
      </c>
      <c r="E226" t="str" cm="1">
        <f t="array" ref="E226">INDEX(aspek!$D$2:$D$337,
   MATCH(1,(aspek!$A$2:$A$337=B226)*
           (aspek!$B$2:$B$337=C226)*
           (aspek!$C$2:$C$337=D226),0))</f>
        <v>Kedalaman refleksi: dari peristiwa ke pola ke bias</v>
      </c>
      <c r="F226" s="76">
        <v>5</v>
      </c>
      <c r="G226" s="56" t="str" cm="1">
        <f t="array" ref="G226">INDEX(deskripsi!$D$2:$H$337,
   MATCH(1,(deskripsi!$A$2:$A$337=B226)*
           (deskripsi!$B$2:$B$337=C226)*
           (deskripsi!$C$2:$C$337=D226),0),
   F226)</f>
        <v>Kemampuannya melihat pola menjadi rujukan bagi orang lain yang ingin memahami dirinya sendiri.</v>
      </c>
    </row>
    <row r="227" spans="1:7">
      <c r="A227" t="str">
        <f t="shared" si="3"/>
        <v>Developing Oneself|Director|2|1</v>
      </c>
      <c r="B227" t="str">
        <v>Developing Oneself</v>
      </c>
      <c r="C227" t="str">
        <v>Director</v>
      </c>
      <c r="D227" s="76">
        <v>2</v>
      </c>
      <c r="E227" t="str" cm="1">
        <f t="array" ref="E227">INDEX(aspek!$D$2:$D$337,
   MATCH(1,(aspek!$A$2:$A$337=B227)*
           (aspek!$B$2:$B$337=C227)*
           (aspek!$C$2:$C$337=D227),0))</f>
        <v>Kemampuan memprediksi reaksi diri</v>
      </c>
      <c r="F227" s="76">
        <v>1</v>
      </c>
      <c r="G227" s="56" t="str" cm="1">
        <f t="array" ref="G227">INDEX(deskripsi!$D$2:$H$337,
   MATCH(1,(deskripsi!$A$2:$A$337=B227)*
           (deskripsi!$B$2:$B$337=C227)*
           (deskripsi!$C$2:$C$337=D227),0),
   F227)</f>
        <v>Tidak dapat memprediksi bagaimana dirinya akan bereaksi.</v>
      </c>
    </row>
    <row r="228" spans="1:7">
      <c r="A228" t="str">
        <f t="shared" si="3"/>
        <v>Developing Oneself|Director|2|2</v>
      </c>
      <c r="B228" t="str">
        <v>Developing Oneself</v>
      </c>
      <c r="C228" t="str">
        <v>Director</v>
      </c>
      <c r="D228" s="76">
        <v>2</v>
      </c>
      <c r="E228" t="str" cm="1">
        <f t="array" ref="E228">INDEX(aspek!$D$2:$D$337,
   MATCH(1,(aspek!$A$2:$A$337=B228)*
           (aspek!$B$2:$B$337=C228)*
           (aspek!$C$2:$C$337=D228),0))</f>
        <v>Kemampuan memprediksi reaksi diri</v>
      </c>
      <c r="F228" s="76">
        <v>2</v>
      </c>
      <c r="G228" s="56" t="str" cm="1">
        <f t="array" ref="G228">INDEX(deskripsi!$D$2:$H$337,
   MATCH(1,(deskripsi!$A$2:$A$337=B228)*
           (deskripsi!$B$2:$B$337=C228)*
           (deskripsi!$C$2:$C$337=D228),0),
   F228)</f>
        <v>Memprediksi setelah kejadian terjadi, bukan sebelumnya.</v>
      </c>
    </row>
    <row r="229" spans="1:7">
      <c r="A229" t="str">
        <f t="shared" si="3"/>
        <v>Developing Oneself|Director|2|3</v>
      </c>
      <c r="B229" t="str">
        <v>Developing Oneself</v>
      </c>
      <c r="C229" t="str">
        <v>Director</v>
      </c>
      <c r="D229" s="76">
        <v>2</v>
      </c>
      <c r="E229" t="str" cm="1">
        <f t="array" ref="E229">INDEX(aspek!$D$2:$D$337,
   MATCH(1,(aspek!$A$2:$A$337=B229)*
           (aspek!$B$2:$B$337=C229)*
           (aspek!$C$2:$C$337=D229),0))</f>
        <v>Kemampuan memprediksi reaksi diri</v>
      </c>
      <c r="F229" s="76">
        <v>3</v>
      </c>
      <c r="G229" s="56" t="str" cm="1">
        <f t="array" ref="G229">INDEX(deskripsi!$D$2:$H$337,
   MATCH(1,(deskripsi!$A$2:$A$337=B229)*
           (deskripsi!$B$2:$B$337=C229)*
           (deskripsi!$C$2:$C$337=D229),0),
   F229)</f>
        <v>Memprediksi pada situasi yang sudah sangat familiar.</v>
      </c>
    </row>
    <row r="230" spans="1:7">
      <c r="A230" t="str">
        <f t="shared" si="3"/>
        <v>Developing Oneself|Director|2|4</v>
      </c>
      <c r="B230" t="str">
        <v>Developing Oneself</v>
      </c>
      <c r="C230" t="str">
        <v>Director</v>
      </c>
      <c r="D230" s="76">
        <v>2</v>
      </c>
      <c r="E230" t="str" cm="1">
        <f t="array" ref="E230">INDEX(aspek!$D$2:$D$337,
   MATCH(1,(aspek!$A$2:$A$337=B230)*
           (aspek!$B$2:$B$337=C230)*
           (aspek!$C$2:$C$337=D230),0))</f>
        <v>Kemampuan memprediksi reaksi diri</v>
      </c>
      <c r="F230" s="76">
        <v>4</v>
      </c>
      <c r="G230" s="56" t="str" cm="1">
        <f t="array" ref="G230">INDEX(deskripsi!$D$2:$H$337,
   MATCH(1,(deskripsi!$A$2:$A$337=B230)*
           (deskripsi!$B$2:$B$337=C230)*
           (deskripsi!$C$2:$C$337=D230),0),
   F230)</f>
        <v>Memprediksi reaksi diri secara akurat pada situasi baru yang bertekanan, berdasarkan pola yang dikenali.</v>
      </c>
    </row>
    <row r="231" spans="1:7">
      <c r="A231" t="str">
        <f t="shared" si="3"/>
        <v>Developing Oneself|Director|2|5</v>
      </c>
      <c r="B231" t="str">
        <v>Developing Oneself</v>
      </c>
      <c r="C231" t="str">
        <v>Director</v>
      </c>
      <c r="D231" s="76">
        <v>2</v>
      </c>
      <c r="E231" t="str" cm="1">
        <f t="array" ref="E231">INDEX(aspek!$D$2:$D$337,
   MATCH(1,(aspek!$A$2:$A$337=B231)*
           (aspek!$B$2:$B$337=C231)*
           (aspek!$C$2:$C$337=D231),0))</f>
        <v>Kemampuan memprediksi reaksi diri</v>
      </c>
      <c r="F231" s="76">
        <v>5</v>
      </c>
      <c r="G231" s="56" t="str" cm="1">
        <f t="array" ref="G231">INDEX(deskripsi!$D$2:$H$337,
   MATCH(1,(deskripsi!$A$2:$A$337=B231)*
           (deskripsi!$B$2:$B$337=C231)*
           (deskripsi!$C$2:$C$337=D231),0),
   F231)</f>
        <v>Prediksinya memungkinkan mengelola reaksi sebelum situasi bahkan dimulai.</v>
      </c>
    </row>
    <row r="232" spans="1:7">
      <c r="A232" t="str">
        <f t="shared" si="3"/>
        <v>Developing Oneself|Director|3|1</v>
      </c>
      <c r="B232" t="str">
        <v>Developing Oneself</v>
      </c>
      <c r="C232" t="str">
        <v>Director</v>
      </c>
      <c r="D232" s="76">
        <v>3</v>
      </c>
      <c r="E232" t="str" cm="1">
        <f t="array" ref="E232">INDEX(aspek!$D$2:$D$337,
   MATCH(1,(aspek!$A$2:$A$337=B232)*
           (aspek!$B$2:$B$337=C232)*
           (aspek!$C$2:$C$337=D232),0))</f>
        <v>Autentisitas</v>
      </c>
      <c r="F232" s="76">
        <v>1</v>
      </c>
      <c r="G232" s="56" t="str" cm="1">
        <f t="array" ref="G232">INDEX(deskripsi!$D$2:$H$337,
   MATCH(1,(deskripsi!$A$2:$A$337=B232)*
           (deskripsi!$B$2:$B$337=C232)*
           (deskripsi!$C$2:$C$337=D232),0),
   F232)</f>
        <v>Perilaku sehari-hari sering tidak konsisten dengan nilai yang diucapkan.</v>
      </c>
    </row>
    <row r="233" spans="1:7">
      <c r="A233" t="str">
        <f t="shared" si="3"/>
        <v>Developing Oneself|Director|3|2</v>
      </c>
      <c r="B233" t="str">
        <v>Developing Oneself</v>
      </c>
      <c r="C233" t="str">
        <v>Director</v>
      </c>
      <c r="D233" s="76">
        <v>3</v>
      </c>
      <c r="E233" t="str" cm="1">
        <f t="array" ref="E233">INDEX(aspek!$D$2:$D$337,
   MATCH(1,(aspek!$A$2:$A$337=B233)*
           (aspek!$B$2:$B$337=C233)*
           (aspek!$C$2:$C$337=D233),0))</f>
        <v>Autentisitas</v>
      </c>
      <c r="F233" s="76">
        <v>2</v>
      </c>
      <c r="G233" s="56" t="str" cm="1">
        <f t="array" ref="G233">INDEX(deskripsi!$D$2:$H$337,
   MATCH(1,(deskripsi!$A$2:$A$337=B233)*
           (deskripsi!$B$2:$B$337=C233)*
           (deskripsi!$C$2:$C$337=D233),0),
   F233)</f>
        <v>Konsisten hanya ketika diawasi atau dalam situasi formal.</v>
      </c>
    </row>
    <row r="234" spans="1:7">
      <c r="A234" t="str">
        <f t="shared" si="3"/>
        <v>Developing Oneself|Director|3|3</v>
      </c>
      <c r="B234" t="str">
        <v>Developing Oneself</v>
      </c>
      <c r="C234" t="str">
        <v>Director</v>
      </c>
      <c r="D234" s="76">
        <v>3</v>
      </c>
      <c r="E234" t="str" cm="1">
        <f t="array" ref="E234">INDEX(aspek!$D$2:$D$337,
   MATCH(1,(aspek!$A$2:$A$337=B234)*
           (aspek!$B$2:$B$337=C234)*
           (aspek!$C$2:$C$337=D234),0))</f>
        <v>Autentisitas</v>
      </c>
      <c r="F234" s="76">
        <v>3</v>
      </c>
      <c r="G234" s="56" t="str" cm="1">
        <f t="array" ref="G234">INDEX(deskripsi!$D$2:$H$337,
   MATCH(1,(deskripsi!$A$2:$A$337=B234)*
           (deskripsi!$B$2:$B$337=C234)*
           (deskripsi!$C$2:$C$337=D234),0),
   F234)</f>
        <v>Konsisten pada situasi normal, goyah saat tertekan.</v>
      </c>
    </row>
    <row r="235" spans="1:7">
      <c r="A235" t="str">
        <f t="shared" si="3"/>
        <v>Developing Oneself|Director|3|4</v>
      </c>
      <c r="B235" t="str">
        <v>Developing Oneself</v>
      </c>
      <c r="C235" t="str">
        <v>Director</v>
      </c>
      <c r="D235" s="76">
        <v>3</v>
      </c>
      <c r="E235" t="str" cm="1">
        <f t="array" ref="E235">INDEX(aspek!$D$2:$D$337,
   MATCH(1,(aspek!$A$2:$A$337=B235)*
           (aspek!$B$2:$B$337=C235)*
           (aspek!$C$2:$C$337=D235),0))</f>
        <v>Autentisitas</v>
      </c>
      <c r="F235" s="76">
        <v>4</v>
      </c>
      <c r="G235" s="56" t="str" cm="1">
        <f t="array" ref="G235">INDEX(deskripsi!$D$2:$H$337,
   MATCH(1,(deskripsi!$A$2:$A$337=B235)*
           (deskripsi!$B$2:$B$337=C235)*
           (deskripsi!$C$2:$C$337=D235),0),
   F235)</f>
        <v>Perilaku tetap konsisten dengan nilai yang diyakini bahkan di bawah tekanan tinggi.</v>
      </c>
    </row>
    <row r="236" spans="1:7">
      <c r="A236" t="str">
        <f t="shared" si="3"/>
        <v>Developing Oneself|Director|3|5</v>
      </c>
      <c r="B236" t="str">
        <v>Developing Oneself</v>
      </c>
      <c r="C236" t="str">
        <v>Director</v>
      </c>
      <c r="D236" s="76">
        <v>3</v>
      </c>
      <c r="E236" t="str" cm="1">
        <f t="array" ref="E236">INDEX(aspek!$D$2:$D$337,
   MATCH(1,(aspek!$A$2:$A$337=B236)*
           (aspek!$B$2:$B$337=C236)*
           (aspek!$C$2:$C$337=D236),0))</f>
        <v>Autentisitas</v>
      </c>
      <c r="F236" s="76">
        <v>5</v>
      </c>
      <c r="G236" s="56" t="str" cm="1">
        <f t="array" ref="G236">INDEX(deskripsi!$D$2:$H$337,
   MATCH(1,(deskripsi!$A$2:$A$337=B236)*
           (deskripsi!$B$2:$B$337=C236)*
           (deskripsi!$C$2:$C$337=D236),0),
   F236)</f>
        <v>Menjadi role model autentisitas yang diakui secara luas di organisasi.</v>
      </c>
    </row>
    <row r="237" spans="1:7">
      <c r="A237" t="str">
        <f t="shared" si="3"/>
        <v>Developing Oneself|Director|4|1</v>
      </c>
      <c r="B237" t="str">
        <v>Developing Oneself</v>
      </c>
      <c r="C237" t="str">
        <v>Director</v>
      </c>
      <c r="D237" s="76">
        <v>4</v>
      </c>
      <c r="E237" t="str" cm="1">
        <f t="array" ref="E237">INDEX(aspek!$D$2:$D$337,
   MATCH(1,(aspek!$A$2:$A$337=B237)*
           (aspek!$B$2:$B$337=C237)*
           (aspek!$C$2:$C$337=D237),0))</f>
        <v>Membagikan pembelajaran kepada orang lain</v>
      </c>
      <c r="F237" s="76">
        <v>1</v>
      </c>
      <c r="G237" s="56" t="str" cm="1">
        <f t="array" ref="G237">INDEX(deskripsi!$D$2:$H$337,
   MATCH(1,(deskripsi!$A$2:$A$337=B237)*
           (deskripsi!$B$2:$B$337=C237)*
           (deskripsi!$C$2:$C$337=D237),0),
   F237)</f>
        <v>Pembelajaran tentang diri hanya untuk kepentingan sendiri.</v>
      </c>
    </row>
    <row r="238" spans="1:7">
      <c r="A238" t="str">
        <f t="shared" si="3"/>
        <v>Developing Oneself|Director|4|2</v>
      </c>
      <c r="B238" t="str">
        <v>Developing Oneself</v>
      </c>
      <c r="C238" t="str">
        <v>Director</v>
      </c>
      <c r="D238" s="76">
        <v>4</v>
      </c>
      <c r="E238" t="str" cm="1">
        <f t="array" ref="E238">INDEX(aspek!$D$2:$D$337,
   MATCH(1,(aspek!$A$2:$A$337=B238)*
           (aspek!$B$2:$B$337=C238)*
           (aspek!$C$2:$C$337=D238),0))</f>
        <v>Membagikan pembelajaran kepada orang lain</v>
      </c>
      <c r="F238" s="76">
        <v>2</v>
      </c>
      <c r="G238" s="56" t="str" cm="1">
        <f t="array" ref="G238">INDEX(deskripsi!$D$2:$H$337,
   MATCH(1,(deskripsi!$A$2:$A$337=B238)*
           (deskripsi!$B$2:$B$337=C238)*
           (deskripsi!$C$2:$C$337=D238),0),
   F238)</f>
        <v>Membagikan pembelajaran hanya ketika ditanya langsung.</v>
      </c>
    </row>
    <row r="239" spans="1:7">
      <c r="A239" t="str">
        <f t="shared" si="3"/>
        <v>Developing Oneself|Director|4|3</v>
      </c>
      <c r="B239" t="str">
        <v>Developing Oneself</v>
      </c>
      <c r="C239" t="str">
        <v>Director</v>
      </c>
      <c r="D239" s="76">
        <v>4</v>
      </c>
      <c r="E239" t="str" cm="1">
        <f t="array" ref="E239">INDEX(aspek!$D$2:$D$337,
   MATCH(1,(aspek!$A$2:$A$337=B239)*
           (aspek!$B$2:$B$337=C239)*
           (aspek!$C$2:$C$337=D239),0))</f>
        <v>Membagikan pembelajaran kepada orang lain</v>
      </c>
      <c r="F239" s="76">
        <v>3</v>
      </c>
      <c r="G239" s="56" t="str" cm="1">
        <f t="array" ref="G239">INDEX(deskripsi!$D$2:$H$337,
   MATCH(1,(deskripsi!$A$2:$A$337=B239)*
           (deskripsi!$B$2:$B$337=C239)*
           (deskripsi!$C$2:$C$337=D239),0),
   F239)</f>
        <v>Membagikan pembelajaran pada kesempatan informal yang terbatas.</v>
      </c>
    </row>
    <row r="240" spans="1:7">
      <c r="A240" t="str">
        <f t="shared" si="3"/>
        <v>Developing Oneself|Director|4|4</v>
      </c>
      <c r="B240" t="str">
        <v>Developing Oneself</v>
      </c>
      <c r="C240" t="str">
        <v>Director</v>
      </c>
      <c r="D240" s="76">
        <v>4</v>
      </c>
      <c r="E240" t="str" cm="1">
        <f t="array" ref="E240">INDEX(aspek!$D$2:$D$337,
   MATCH(1,(aspek!$A$2:$A$337=B240)*
           (aspek!$B$2:$B$337=C240)*
           (aspek!$C$2:$C$337=D240),0))</f>
        <v>Membagikan pembelajaran kepada orang lain</v>
      </c>
      <c r="F240" s="76">
        <v>4</v>
      </c>
      <c r="G240" s="56" t="str" cm="1">
        <f t="array" ref="G240">INDEX(deskripsi!$D$2:$H$337,
   MATCH(1,(deskripsi!$A$2:$A$337=B240)*
           (deskripsi!$B$2:$B$337=C240)*
           (deskripsi!$C$2:$C$337=D240),0),
   F240)</f>
        <v>Secara aktif berperan sebagai mentor/coach/narasumber, membagikan pola dan pembelajaran pribadi secara terstruktur.</v>
      </c>
    </row>
    <row r="241" spans="1:7">
      <c r="A241" t="str">
        <f t="shared" si="3"/>
        <v>Developing Oneself|Director|4|5</v>
      </c>
      <c r="B241" t="str">
        <v>Developing Oneself</v>
      </c>
      <c r="C241" t="str">
        <v>Director</v>
      </c>
      <c r="D241" s="76">
        <v>4</v>
      </c>
      <c r="E241" t="str" cm="1">
        <f t="array" ref="E241">INDEX(aspek!$D$2:$D$337,
   MATCH(1,(aspek!$A$2:$A$337=B241)*
           (aspek!$B$2:$B$337=C241)*
           (aspek!$C$2:$C$337=D241),0))</f>
        <v>Membagikan pembelajaran kepada orang lain</v>
      </c>
      <c r="F241" s="76">
        <v>5</v>
      </c>
      <c r="G241" s="56" t="str" cm="1">
        <f t="array" ref="G241">INDEX(deskripsi!$D$2:$H$337,
   MATCH(1,(deskripsi!$A$2:$A$337=B241)*
           (deskripsi!$B$2:$B$337=C241)*
           (deskripsi!$C$2:$C$337=D241),0),
   F241)</f>
        <v>Menjadi rujukan organisasi untuk pengembangan kesadaran diri bagi talent lain.</v>
      </c>
    </row>
    <row r="242" spans="1:7">
      <c r="A242" t="str">
        <f t="shared" si="3"/>
        <v>Planning &amp; Organizing|Officer|1|1</v>
      </c>
      <c r="B242" t="str">
        <v>Planning &amp; Organizing</v>
      </c>
      <c r="C242" t="str">
        <v>Officer</v>
      </c>
      <c r="D242" s="76">
        <v>1</v>
      </c>
      <c r="E242" t="str" cm="1">
        <f t="array" ref="E242">INDEX(aspek!$D$2:$D$337,
   MATCH(1,(aspek!$A$2:$A$337=B242)*
           (aspek!$B$2:$B$337=C242)*
           (aspek!$C$2:$C$337=D242),0))</f>
        <v>Kualitas output</v>
      </c>
      <c r="F242" s="76">
        <v>1</v>
      </c>
      <c r="G242" s="56" t="str" cm="1">
        <f t="array" ref="G242">INDEX(deskripsi!$D$2:$H$337,
   MATCH(1,(deskripsi!$A$2:$A$337=B242)*
           (deskripsi!$B$2:$B$337=C242)*
           (deskripsi!$C$2:$C$337=D242),0),
   F242)</f>
        <v>Hasil kerja sering tidak memenuhi standar.</v>
      </c>
    </row>
    <row r="243" spans="1:7">
      <c r="A243" t="str">
        <f t="shared" si="3"/>
        <v>Planning &amp; Organizing|Officer|1|2</v>
      </c>
      <c r="B243" t="str">
        <v>Planning &amp; Organizing</v>
      </c>
      <c r="C243" t="str">
        <v>Officer</v>
      </c>
      <c r="D243" s="76">
        <v>1</v>
      </c>
      <c r="E243" t="str" cm="1">
        <f t="array" ref="E243">INDEX(aspek!$D$2:$D$337,
   MATCH(1,(aspek!$A$2:$A$337=B243)*
           (aspek!$B$2:$B$337=C243)*
           (aspek!$C$2:$C$337=D243),0))</f>
        <v>Kualitas output</v>
      </c>
      <c r="F243" s="76">
        <v>2</v>
      </c>
      <c r="G243" s="56" t="str" cm="1">
        <f t="array" ref="G243">INDEX(deskripsi!$D$2:$H$337,
   MATCH(1,(deskripsi!$A$2:$A$337=B243)*
           (deskripsi!$B$2:$B$337=C243)*
           (deskripsi!$C$2:$C$337=D243),0),
   F243)</f>
        <v>Memenuhi standar pada tugas familiar, menurun pada tugas baru.</v>
      </c>
    </row>
    <row r="244" spans="1:7">
      <c r="A244" t="str">
        <f t="shared" si="3"/>
        <v>Planning &amp; Organizing|Officer|1|3</v>
      </c>
      <c r="B244" t="str">
        <v>Planning &amp; Organizing</v>
      </c>
      <c r="C244" t="str">
        <v>Officer</v>
      </c>
      <c r="D244" s="76">
        <v>1</v>
      </c>
      <c r="E244" t="str" cm="1">
        <f t="array" ref="E244">INDEX(aspek!$D$2:$D$337,
   MATCH(1,(aspek!$A$2:$A$337=B244)*
           (aspek!$B$2:$B$337=C244)*
           (aspek!$C$2:$C$337=D244),0))</f>
        <v>Kualitas output</v>
      </c>
      <c r="F244" s="76">
        <v>3</v>
      </c>
      <c r="G244" s="56" t="str" cm="1">
        <f t="array" ref="G244">INDEX(deskripsi!$D$2:$H$337,
   MATCH(1,(deskripsi!$A$2:$A$337=B244)*
           (deskripsi!$B$2:$B$337=C244)*
           (deskripsi!$C$2:$C$337=D244),0),
   F244)</f>
        <v>Hasil kerja stabil memenuhi standar; revisi masih terjadi pada hal kecil.</v>
      </c>
    </row>
    <row r="245" spans="1:7">
      <c r="A245" t="str">
        <f t="shared" si="3"/>
        <v>Planning &amp; Organizing|Officer|1|4</v>
      </c>
      <c r="B245" t="str">
        <v>Planning &amp; Organizing</v>
      </c>
      <c r="C245" t="str">
        <v>Officer</v>
      </c>
      <c r="D245" s="76">
        <v>1</v>
      </c>
      <c r="E245" t="str" cm="1">
        <f t="array" ref="E245">INDEX(aspek!$D$2:$D$337,
   MATCH(1,(aspek!$A$2:$A$337=B245)*
           (aspek!$B$2:$B$337=C245)*
           (aspek!$C$2:$C$337=D245),0))</f>
        <v>Kualitas output</v>
      </c>
      <c r="F245" s="76">
        <v>4</v>
      </c>
      <c r="G245" s="56" t="str" cm="1">
        <f t="array" ref="G245">INDEX(deskripsi!$D$2:$H$337,
   MATCH(1,(deskripsi!$A$2:$A$337=B245)*
           (deskripsi!$B$2:$B$337=C245)*
           (deskripsi!$C$2:$C$337=D245),0),
   F245)</f>
        <v>Diterima tanpa revisi pada sebagian besar penyerahan.</v>
      </c>
    </row>
    <row r="246" spans="1:7">
      <c r="A246" t="str">
        <f t="shared" si="3"/>
        <v>Planning &amp; Organizing|Officer|1|5</v>
      </c>
      <c r="B246" t="str">
        <v>Planning &amp; Organizing</v>
      </c>
      <c r="C246" t="str">
        <v>Officer</v>
      </c>
      <c r="D246" s="76">
        <v>1</v>
      </c>
      <c r="E246" t="str" cm="1">
        <f t="array" ref="E246">INDEX(aspek!$D$2:$D$337,
   MATCH(1,(aspek!$A$2:$A$337=B246)*
           (aspek!$B$2:$B$337=C246)*
           (aspek!$C$2:$C$337=D246),0))</f>
        <v>Kualitas output</v>
      </c>
      <c r="F246" s="76">
        <v>5</v>
      </c>
      <c r="G246" s="56" t="str" cm="1">
        <f t="array" ref="G246">INDEX(deskripsi!$D$2:$H$337,
   MATCH(1,(deskripsi!$A$2:$A$337=B246)*
           (deskripsi!$B$2:$B$337=C246)*
           (deskripsi!$C$2:$C$337=D246),0),
   F246)</f>
        <v>Hasil kerjanya dipakai sebagai contoh standar.</v>
      </c>
    </row>
    <row r="247" spans="1:7">
      <c r="A247" t="str">
        <f t="shared" si="3"/>
        <v>Planning &amp; Organizing|Officer|2|1</v>
      </c>
      <c r="B247" t="str">
        <v>Planning &amp; Organizing</v>
      </c>
      <c r="C247" t="str">
        <v>Officer</v>
      </c>
      <c r="D247" s="76">
        <v>2</v>
      </c>
      <c r="E247" t="str" cm="1">
        <f t="array" ref="E247">INDEX(aspek!$D$2:$D$337,
   MATCH(1,(aspek!$A$2:$A$337=B247)*
           (aspek!$B$2:$B$337=C247)*
           (aspek!$C$2:$C$337=D247),0))</f>
        <v>Ketepatan waktu</v>
      </c>
      <c r="F247" s="76">
        <v>1</v>
      </c>
      <c r="G247" s="56" t="str" cm="1">
        <f t="array" ref="G247">INDEX(deskripsi!$D$2:$H$337,
   MATCH(1,(deskripsi!$A$2:$A$337=B247)*
           (deskripsi!$B$2:$B$337=C247)*
           (deskripsi!$C$2:$C$337=D247),0),
   F247)</f>
        <v>Sering terlambat.</v>
      </c>
    </row>
    <row r="248" spans="1:7">
      <c r="A248" t="str">
        <f t="shared" si="3"/>
        <v>Planning &amp; Organizing|Officer|2|2</v>
      </c>
      <c r="B248" t="str">
        <v>Planning &amp; Organizing</v>
      </c>
      <c r="C248" t="str">
        <v>Officer</v>
      </c>
      <c r="D248" s="76">
        <v>2</v>
      </c>
      <c r="E248" t="str" cm="1">
        <f t="array" ref="E248">INDEX(aspek!$D$2:$D$337,
   MATCH(1,(aspek!$A$2:$A$337=B248)*
           (aspek!$B$2:$B$337=C248)*
           (aspek!$C$2:$C$337=D248),0))</f>
        <v>Ketepatan waktu</v>
      </c>
      <c r="F248" s="76">
        <v>2</v>
      </c>
      <c r="G248" s="56" t="str" cm="1">
        <f t="array" ref="G248">INDEX(deskripsi!$D$2:$H$337,
   MATCH(1,(deskripsi!$A$2:$A$337=B248)*
           (deskripsi!$B$2:$B$337=C248)*
           (deskripsi!$C$2:$C$337=D248),0),
   F248)</f>
        <v>Tepat waktu bila hanya satu tugas.</v>
      </c>
    </row>
    <row r="249" spans="1:7">
      <c r="A249" t="str">
        <f t="shared" si="3"/>
        <v>Planning &amp; Organizing|Officer|2|3</v>
      </c>
      <c r="B249" t="str">
        <v>Planning &amp; Organizing</v>
      </c>
      <c r="C249" t="str">
        <v>Officer</v>
      </c>
      <c r="D249" s="76">
        <v>2</v>
      </c>
      <c r="E249" t="str" cm="1">
        <f t="array" ref="E249">INDEX(aspek!$D$2:$D$337,
   MATCH(1,(aspek!$A$2:$A$337=B249)*
           (aspek!$B$2:$B$337=C249)*
           (aspek!$C$2:$C$337=D249),0))</f>
        <v>Ketepatan waktu</v>
      </c>
      <c r="F249" s="76">
        <v>3</v>
      </c>
      <c r="G249" s="56" t="str" cm="1">
        <f t="array" ref="G249">INDEX(deskripsi!$D$2:$H$337,
   MATCH(1,(deskripsi!$A$2:$A$337=B249)*
           (deskripsi!$B$2:$B$337=C249)*
           (deskripsi!$C$2:$C$337=D249),0),
   F249)</f>
        <v>Sebagian besar penyerahan tepat waktu.</v>
      </c>
    </row>
    <row r="250" spans="1:7">
      <c r="A250" t="str">
        <f t="shared" si="3"/>
        <v>Planning &amp; Organizing|Officer|2|4</v>
      </c>
      <c r="B250" t="str">
        <v>Planning &amp; Organizing</v>
      </c>
      <c r="C250" t="str">
        <v>Officer</v>
      </c>
      <c r="D250" s="76">
        <v>2</v>
      </c>
      <c r="E250" t="str" cm="1">
        <f t="array" ref="E250">INDEX(aspek!$D$2:$D$337,
   MATCH(1,(aspek!$A$2:$A$337=B250)*
           (aspek!$B$2:$B$337=C250)*
           (aspek!$C$2:$C$337=D250),0))</f>
        <v>Ketepatan waktu</v>
      </c>
      <c r="F250" s="76">
        <v>4</v>
      </c>
      <c r="G250" s="56" t="str" cm="1">
        <f t="array" ref="G250">INDEX(deskripsi!$D$2:$H$337,
   MATCH(1,(deskripsi!$A$2:$A$337=B250)*
           (deskripsi!$B$2:$B$337=C250)*
           (deskripsi!$C$2:$C$337=D250),0),
   F250)</f>
        <v>Hampir seluruh penyerahan tepat waktu termasuk saat beban bertambah.</v>
      </c>
    </row>
    <row r="251" spans="1:7">
      <c r="A251" t="str">
        <f t="shared" si="3"/>
        <v>Planning &amp; Organizing|Officer|2|5</v>
      </c>
      <c r="B251" t="str">
        <v>Planning &amp; Organizing</v>
      </c>
      <c r="C251" t="str">
        <v>Officer</v>
      </c>
      <c r="D251" s="76">
        <v>2</v>
      </c>
      <c r="E251" t="str" cm="1">
        <f t="array" ref="E251">INDEX(aspek!$D$2:$D$337,
   MATCH(1,(aspek!$A$2:$A$337=B251)*
           (aspek!$B$2:$B$337=C251)*
           (aspek!$C$2:$C$337=D251),0))</f>
        <v>Ketepatan waktu</v>
      </c>
      <c r="F251" s="76">
        <v>5</v>
      </c>
      <c r="G251" s="56" t="str" cm="1">
        <f t="array" ref="G251">INDEX(deskripsi!$D$2:$H$337,
   MATCH(1,(deskripsi!$A$2:$A$337=B251)*
           (deskripsi!$B$2:$B$337=C251)*
           (deskripsi!$C$2:$C$337=D251),0),
   F251)</f>
        <v>Menyelesaikan lebih awal secara konsisten.</v>
      </c>
    </row>
    <row r="252" spans="1:7">
      <c r="A252" t="str">
        <f t="shared" si="3"/>
        <v>Planning &amp; Organizing|Officer|3|1</v>
      </c>
      <c r="B252" t="str">
        <v>Planning &amp; Organizing</v>
      </c>
      <c r="C252" t="str">
        <v>Officer</v>
      </c>
      <c r="D252" s="76">
        <v>3</v>
      </c>
      <c r="E252" t="str" cm="1">
        <f t="array" ref="E252">INDEX(aspek!$D$2:$D$337,
   MATCH(1,(aspek!$A$2:$A$337=B252)*
           (aspek!$B$2:$B$337=C252)*
           (aspek!$C$2:$C$337=D252),0))</f>
        <v>Keandalan dan konsistensi</v>
      </c>
      <c r="F252" s="76">
        <v>1</v>
      </c>
      <c r="G252" s="56" t="str" cm="1">
        <f t="array" ref="G252">INDEX(deskripsi!$D$2:$H$337,
   MATCH(1,(deskripsi!$A$2:$A$337=B252)*
           (deskripsi!$B$2:$B$337=C252)*
           (deskripsi!$C$2:$C$337=D252),0),
   F252)</f>
        <v>Mutu dan waktu tidak dapat diperkirakan.</v>
      </c>
    </row>
    <row r="253" spans="1:7">
      <c r="A253" t="str">
        <f t="shared" si="3"/>
        <v>Planning &amp; Organizing|Officer|3|2</v>
      </c>
      <c r="B253" t="str">
        <v>Planning &amp; Organizing</v>
      </c>
      <c r="C253" t="str">
        <v>Officer</v>
      </c>
      <c r="D253" s="76">
        <v>3</v>
      </c>
      <c r="E253" t="str" cm="1">
        <f t="array" ref="E253">INDEX(aspek!$D$2:$D$337,
   MATCH(1,(aspek!$A$2:$A$337=B253)*
           (aspek!$B$2:$B$337=C253)*
           (aspek!$C$2:$C$337=D253),0))</f>
        <v>Keandalan dan konsistensi</v>
      </c>
      <c r="F253" s="76">
        <v>2</v>
      </c>
      <c r="G253" s="56" t="str" cm="1">
        <f t="array" ref="G253">INDEX(deskripsi!$D$2:$H$337,
   MATCH(1,(deskripsi!$A$2:$A$337=B253)*
           (deskripsi!$B$2:$B$337=C253)*
           (deskripsi!$C$2:$C$337=D253),0),
   F253)</f>
        <v>Baik pada sebagian periode, menurun pada periode lain.</v>
      </c>
    </row>
    <row r="254" spans="1:7">
      <c r="A254" t="str">
        <f t="shared" si="3"/>
        <v>Planning &amp; Organizing|Officer|3|3</v>
      </c>
      <c r="B254" t="str">
        <v>Planning &amp; Organizing</v>
      </c>
      <c r="C254" t="str">
        <v>Officer</v>
      </c>
      <c r="D254" s="76">
        <v>3</v>
      </c>
      <c r="E254" t="str" cm="1">
        <f t="array" ref="E254">INDEX(aspek!$D$2:$D$337,
   MATCH(1,(aspek!$A$2:$A$337=B254)*
           (aspek!$B$2:$B$337=C254)*
           (aspek!$C$2:$C$337=D254),0))</f>
        <v>Keandalan dan konsistensi</v>
      </c>
      <c r="F254" s="76">
        <v>3</v>
      </c>
      <c r="G254" s="56" t="str" cm="1">
        <f t="array" ref="G254">INDEX(deskripsi!$D$2:$H$337,
   MATCH(1,(deskripsi!$A$2:$A$337=B254)*
           (deskripsi!$B$2:$B$337=C254)*
           (deskripsi!$C$2:$C$337=D254),0),
   F254)</f>
        <v>Cukup diandalkan pada pekerjaan rutin.</v>
      </c>
    </row>
    <row r="255" spans="1:7">
      <c r="A255" t="str">
        <f t="shared" si="3"/>
        <v>Planning &amp; Organizing|Officer|3|4</v>
      </c>
      <c r="B255" t="str">
        <v>Planning &amp; Organizing</v>
      </c>
      <c r="C255" t="str">
        <v>Officer</v>
      </c>
      <c r="D255" s="76">
        <v>3</v>
      </c>
      <c r="E255" t="str" cm="1">
        <f t="array" ref="E255">INDEX(aspek!$D$2:$D$337,
   MATCH(1,(aspek!$A$2:$A$337=B255)*
           (aspek!$B$2:$B$337=C255)*
           (aspek!$C$2:$C$337=D255),0))</f>
        <v>Keandalan dan konsistensi</v>
      </c>
      <c r="F255" s="76">
        <v>4</v>
      </c>
      <c r="G255" s="56" t="str" cm="1">
        <f t="array" ref="G255">INDEX(deskripsi!$D$2:$H$337,
   MATCH(1,(deskripsi!$A$2:$A$337=B255)*
           (deskripsi!$B$2:$B$337=C255)*
           (deskripsi!$C$2:$C$337=D255),0),
   F255)</f>
        <v>Angka ketepatan waktu dan bebas-revisi bertahan tinggi beberapa bulan berturut-turut.</v>
      </c>
    </row>
    <row r="256" spans="1:7">
      <c r="A256" t="str">
        <f t="shared" si="3"/>
        <v>Planning &amp; Organizing|Officer|3|5</v>
      </c>
      <c r="B256" t="str">
        <v>Planning &amp; Organizing</v>
      </c>
      <c r="C256" t="str">
        <v>Officer</v>
      </c>
      <c r="D256" s="76">
        <v>3</v>
      </c>
      <c r="E256" t="str" cm="1">
        <f t="array" ref="E256">INDEX(aspek!$D$2:$D$337,
   MATCH(1,(aspek!$A$2:$A$337=B256)*
           (aspek!$B$2:$B$337=C256)*
           (aspek!$C$2:$C$337=D256),0))</f>
        <v>Keandalan dan konsistensi</v>
      </c>
      <c r="F256" s="76">
        <v>5</v>
      </c>
      <c r="G256" s="56" t="str" cm="1">
        <f t="array" ref="G256">INDEX(deskripsi!$D$2:$H$337,
   MATCH(1,(deskripsi!$A$2:$A$337=B256)*
           (deskripsi!$B$2:$B$337=C256)*
           (deskripsi!$C$2:$C$337=D256),0),
   F256)</f>
        <v>Diberi pekerjaan paling kritis karena keandalannya.</v>
      </c>
    </row>
    <row r="257" spans="1:7">
      <c r="A257" t="str">
        <f t="shared" si="3"/>
        <v>Planning &amp; Organizing|Officer|4|1</v>
      </c>
      <c r="B257" t="str">
        <v>Planning &amp; Organizing</v>
      </c>
      <c r="C257" t="str">
        <v>Officer</v>
      </c>
      <c r="D257" s="76">
        <v>4</v>
      </c>
      <c r="E257" t="str" cm="1">
        <f t="array" ref="E257">INDEX(aspek!$D$2:$D$337,
   MATCH(1,(aspek!$A$2:$A$337=B257)*
           (aspek!$B$2:$B$337=C257)*
           (aspek!$C$2:$C$337=D257),0))</f>
        <v>Kesepakatan standar dan tenggat di muka</v>
      </c>
      <c r="F257" s="76">
        <v>1</v>
      </c>
      <c r="G257" s="56" t="str" cm="1">
        <f t="array" ref="G257">INDEX(deskripsi!$D$2:$H$337,
   MATCH(1,(deskripsi!$A$2:$A$337=B257)*
           (deskripsi!$B$2:$B$337=C257)*
           (deskripsi!$C$2:$C$337=D257),0),
   F257)</f>
        <v>Mulai mengerjakan tanpa memastikan standar dan tenggat.</v>
      </c>
    </row>
    <row r="258" spans="1:7">
      <c r="A258" t="str">
        <f t="shared" si="3"/>
        <v>Planning &amp; Organizing|Officer|4|2</v>
      </c>
      <c r="B258" t="str">
        <v>Planning &amp; Organizing</v>
      </c>
      <c r="C258" t="str">
        <v>Officer</v>
      </c>
      <c r="D258" s="76">
        <v>4</v>
      </c>
      <c r="E258" t="str" cm="1">
        <f t="array" ref="E258">INDEX(aspek!$D$2:$D$337,
   MATCH(1,(aspek!$A$2:$A$337=B258)*
           (aspek!$B$2:$B$337=C258)*
           (aspek!$C$2:$C$337=D258),0))</f>
        <v>Kesepakatan standar dan tenggat di muka</v>
      </c>
      <c r="F258" s="76">
        <v>2</v>
      </c>
      <c r="G258" s="56" t="str" cm="1">
        <f t="array" ref="G258">INDEX(deskripsi!$D$2:$H$337,
   MATCH(1,(deskripsi!$A$2:$A$337=B258)*
           (deskripsi!$B$2:$B$337=C258)*
           (deskripsi!$C$2:$C$337=D258),0),
   F258)</f>
        <v>Menanyakan tenggat, tidak menyepakati kriteria selesai.</v>
      </c>
    </row>
    <row r="259" spans="1:7">
      <c r="A259" t="str">
        <f t="shared" ref="A259:A322" si="4">B259&amp;"|"&amp;C259&amp;"|"&amp;D259&amp;"|"&amp;F259</f>
        <v>Planning &amp; Organizing|Officer|4|3</v>
      </c>
      <c r="B259" t="str">
        <v>Planning &amp; Organizing</v>
      </c>
      <c r="C259" t="str">
        <v>Officer</v>
      </c>
      <c r="D259" s="76">
        <v>4</v>
      </c>
      <c r="E259" t="str" cm="1">
        <f t="array" ref="E259">INDEX(aspek!$D$2:$D$337,
   MATCH(1,(aspek!$A$2:$A$337=B259)*
           (aspek!$B$2:$B$337=C259)*
           (aspek!$C$2:$C$337=D259),0))</f>
        <v>Kesepakatan standar dan tenggat di muka</v>
      </c>
      <c r="F259" s="76">
        <v>3</v>
      </c>
      <c r="G259" s="56" t="str" cm="1">
        <f t="array" ref="G259">INDEX(deskripsi!$D$2:$H$337,
   MATCH(1,(deskripsi!$A$2:$A$337=B259)*
           (deskripsi!$B$2:$B$337=C259)*
           (deskripsi!$C$2:$C$337=D259),0),
   F259)</f>
        <v>Menyepakati hasil dan tenggat di muka pada permintaan penting.</v>
      </c>
    </row>
    <row r="260" spans="1:7">
      <c r="A260" t="str">
        <f t="shared" si="4"/>
        <v>Planning &amp; Organizing|Officer|4|4</v>
      </c>
      <c r="B260" t="str">
        <v>Planning &amp; Organizing</v>
      </c>
      <c r="C260" t="str">
        <v>Officer</v>
      </c>
      <c r="D260" s="76">
        <v>4</v>
      </c>
      <c r="E260" t="str" cm="1">
        <f t="array" ref="E260">INDEX(aspek!$D$2:$D$337,
   MATCH(1,(aspek!$A$2:$A$337=B260)*
           (aspek!$B$2:$B$337=C260)*
           (aspek!$C$2:$C$337=D260),0))</f>
        <v>Kesepakatan standar dan tenggat di muka</v>
      </c>
      <c r="F260" s="76">
        <v>4</v>
      </c>
      <c r="G260" s="56" t="str" cm="1">
        <f t="array" ref="G260">INDEX(deskripsi!$D$2:$H$337,
   MATCH(1,(deskripsi!$A$2:$A$337=B260)*
           (deskripsi!$B$2:$B$337=C260)*
           (deskripsi!$C$2:$C$337=D260),0),
   F260)</f>
        <v>Menyepakati kriteria dan tenggat di muka pada hampir seluruh permintaan.</v>
      </c>
    </row>
    <row r="261" spans="1:7">
      <c r="A261" t="str">
        <f t="shared" si="4"/>
        <v>Planning &amp; Organizing|Officer|4|5</v>
      </c>
      <c r="B261" t="str">
        <v>Planning &amp; Organizing</v>
      </c>
      <c r="C261" t="str">
        <v>Officer</v>
      </c>
      <c r="D261" s="76">
        <v>4</v>
      </c>
      <c r="E261" t="str" cm="1">
        <f t="array" ref="E261">INDEX(aspek!$D$2:$D$337,
   MATCH(1,(aspek!$A$2:$A$337=B261)*
           (aspek!$B$2:$B$337=C261)*
           (aspek!$C$2:$C$337=D261),0))</f>
        <v>Kesepakatan standar dan tenggat di muka</v>
      </c>
      <c r="F261" s="76">
        <v>5</v>
      </c>
      <c r="G261" s="56" t="str" cm="1">
        <f t="array" ref="G261">INDEX(deskripsi!$D$2:$H$337,
   MATCH(1,(deskripsi!$A$2:$A$337=B261)*
           (deskripsi!$B$2:$B$337=C261)*
           (deskripsi!$C$2:$C$337=D261),0),
   F261)</f>
        <v>Kriteria yang disepakati menjadi acuan baku antar unit.</v>
      </c>
    </row>
    <row r="262" spans="1:7">
      <c r="A262" t="str">
        <f t="shared" si="4"/>
        <v>Planning &amp; Organizing|Analyst|1|1</v>
      </c>
      <c r="B262" t="str">
        <v>Planning &amp; Organizing</v>
      </c>
      <c r="C262" t="str">
        <v>Analyst</v>
      </c>
      <c r="D262" s="76">
        <v>1</v>
      </c>
      <c r="E262" t="str" cm="1">
        <f t="array" ref="E262">INDEX(aspek!$D$2:$D$337,
   MATCH(1,(aspek!$A$2:$A$337=B262)*
           (aspek!$B$2:$B$337=C262)*
           (aspek!$C$2:$C$337=D262),0))</f>
        <v>Kedalaman pertanyaan</v>
      </c>
      <c r="F262" s="76">
        <v>1</v>
      </c>
      <c r="G262" s="56" t="str" cm="1">
        <f t="array" ref="G262">INDEX(deskripsi!$D$2:$H$337,
   MATCH(1,(deskripsi!$A$2:$A$337=B262)*
           (deskripsi!$B$2:$B$337=C262)*
           (deskripsi!$C$2:$C$337=D262),0),
   F262)</f>
        <v>Menerima rencana kerja apa adanya tanpa menguji.</v>
      </c>
    </row>
    <row r="263" spans="1:7">
      <c r="A263" t="str">
        <f t="shared" si="4"/>
        <v>Planning &amp; Organizing|Analyst|1|2</v>
      </c>
      <c r="B263" t="str">
        <v>Planning &amp; Organizing</v>
      </c>
      <c r="C263" t="str">
        <v>Analyst</v>
      </c>
      <c r="D263" s="76">
        <v>1</v>
      </c>
      <c r="E263" t="str" cm="1">
        <f t="array" ref="E263">INDEX(aspek!$D$2:$D$337,
   MATCH(1,(aspek!$A$2:$A$337=B263)*
           (aspek!$B$2:$B$337=C263)*
           (aspek!$C$2:$C$337=D263),0))</f>
        <v>Kedalaman pertanyaan</v>
      </c>
      <c r="F263" s="76">
        <v>2</v>
      </c>
      <c r="G263" s="56" t="str" cm="1">
        <f t="array" ref="G263">INDEX(deskripsi!$D$2:$H$337,
   MATCH(1,(deskripsi!$A$2:$A$337=B263)*
           (deskripsi!$B$2:$B$337=C263)*
           (deskripsi!$C$2:$C$337=D263),0),
   F263)</f>
        <v>Bertanya untuk memastikan fakta dasar rencana.</v>
      </c>
    </row>
    <row r="264" spans="1:7">
      <c r="A264" t="str">
        <f t="shared" si="4"/>
        <v>Planning &amp; Organizing|Analyst|1|3</v>
      </c>
      <c r="B264" t="str">
        <v>Planning &amp; Organizing</v>
      </c>
      <c r="C264" t="str">
        <v>Analyst</v>
      </c>
      <c r="D264" s="76">
        <v>1</v>
      </c>
      <c r="E264" t="str" cm="1">
        <f t="array" ref="E264">INDEX(aspek!$D$2:$D$337,
   MATCH(1,(aspek!$A$2:$A$337=B264)*
           (aspek!$B$2:$B$337=C264)*
           (aspek!$C$2:$C$337=D264),0))</f>
        <v>Kedalaman pertanyaan</v>
      </c>
      <c r="F264" s="76">
        <v>3</v>
      </c>
      <c r="G264" s="56" t="str" cm="1">
        <f t="array" ref="G264">INDEX(deskripsi!$D$2:$H$337,
   MATCH(1,(deskripsi!$A$2:$A$337=B264)*
           (deskripsi!$B$2:$B$337=C264)*
           (deskripsi!$C$2:$C$337=D264),0),
   F264)</f>
        <v>Bertanya untuk memahami alasan di balik rencana.</v>
      </c>
    </row>
    <row r="265" spans="1:7">
      <c r="A265" t="str">
        <f t="shared" si="4"/>
        <v>Planning &amp; Organizing|Analyst|1|4</v>
      </c>
      <c r="B265" t="str">
        <v>Planning &amp; Organizing</v>
      </c>
      <c r="C265" t="str">
        <v>Analyst</v>
      </c>
      <c r="D265" s="76">
        <v>1</v>
      </c>
      <c r="E265" t="str" cm="1">
        <f t="array" ref="E265">INDEX(aspek!$D$2:$D$337,
   MATCH(1,(aspek!$A$2:$A$337=B265)*
           (aspek!$B$2:$B$337=C265)*
           (aspek!$C$2:$C$337=D265),0))</f>
        <v>Kedalaman pertanyaan</v>
      </c>
      <c r="F265" s="76">
        <v>4</v>
      </c>
      <c r="G265" s="56" t="str" cm="1">
        <f t="array" ref="G265">INDEX(deskripsi!$D$2:$H$337,
   MATCH(1,(deskripsi!$A$2:$A$337=B265)*
           (deskripsi!$B$2:$B$337=C265)*
           (deskripsi!$C$2:$C$337=D265),0),
   F265)</f>
        <v>Menguji asumsi yang mendasari rencana kerja sebelum dijalankan.</v>
      </c>
    </row>
    <row r="266" spans="1:7">
      <c r="A266" t="str">
        <f t="shared" si="4"/>
        <v>Planning &amp; Organizing|Analyst|1|5</v>
      </c>
      <c r="B266" t="str">
        <v>Planning &amp; Organizing</v>
      </c>
      <c r="C266" t="str">
        <v>Analyst</v>
      </c>
      <c r="D266" s="76">
        <v>1</v>
      </c>
      <c r="E266" t="str" cm="1">
        <f t="array" ref="E266">INDEX(aspek!$D$2:$D$337,
   MATCH(1,(aspek!$A$2:$A$337=B266)*
           (aspek!$B$2:$B$337=C266)*
           (aspek!$C$2:$C$337=D266),0))</f>
        <v>Kedalaman pertanyaan</v>
      </c>
      <c r="F266" s="76">
        <v>5</v>
      </c>
      <c r="G266" s="56" t="str" cm="1">
        <f t="array" ref="G266">INDEX(deskripsi!$D$2:$H$337,
   MATCH(1,(deskripsi!$A$2:$A$337=B266)*
           (deskripsi!$B$2:$B$337=C266)*
           (deskripsi!$C$2:$C$337=D266),0),
   F266)</f>
        <v>Membangun kerangka berpikir baru saat informasi yang ada saling bertentangan.</v>
      </c>
    </row>
    <row r="267" spans="1:7">
      <c r="A267" t="str">
        <f t="shared" si="4"/>
        <v>Planning &amp; Organizing|Analyst|2|1</v>
      </c>
      <c r="B267" t="str">
        <v>Planning &amp; Organizing</v>
      </c>
      <c r="C267" t="str">
        <v>Analyst</v>
      </c>
      <c r="D267" s="76">
        <v>2</v>
      </c>
      <c r="E267" t="str" cm="1">
        <f t="array" ref="E267">INDEX(aspek!$D$2:$D$337,
   MATCH(1,(aspek!$A$2:$A$337=B267)*
           (aspek!$B$2:$B$337=C267)*
           (aspek!$C$2:$C$337=D267),0))</f>
        <v>Dasar pengurutan pekerjaan</v>
      </c>
      <c r="F267" s="76">
        <v>1</v>
      </c>
      <c r="G267" s="56" t="str" cm="1">
        <f t="array" ref="G267">INDEX(deskripsi!$D$2:$H$337,
   MATCH(1,(deskripsi!$A$2:$A$337=B267)*
           (deskripsi!$B$2:$B$337=C267)*
           (deskripsi!$C$2:$C$337=D267),0),
   F267)</f>
        <v>Mengurutkan berdasarkan yang datang lebih dulu.</v>
      </c>
    </row>
    <row r="268" spans="1:7">
      <c r="A268" t="str">
        <f t="shared" si="4"/>
        <v>Planning &amp; Organizing|Analyst|2|2</v>
      </c>
      <c r="B268" t="str">
        <v>Planning &amp; Organizing</v>
      </c>
      <c r="C268" t="str">
        <v>Analyst</v>
      </c>
      <c r="D268" s="76">
        <v>2</v>
      </c>
      <c r="E268" t="str" cm="1">
        <f t="array" ref="E268">INDEX(aspek!$D$2:$D$337,
   MATCH(1,(aspek!$A$2:$A$337=B268)*
           (aspek!$B$2:$B$337=C268)*
           (aspek!$C$2:$C$337=D268),0))</f>
        <v>Dasar pengurutan pekerjaan</v>
      </c>
      <c r="F268" s="76">
        <v>2</v>
      </c>
      <c r="G268" s="56" t="str" cm="1">
        <f t="array" ref="G268">INDEX(deskripsi!$D$2:$H$337,
   MATCH(1,(deskripsi!$A$2:$A$337=B268)*
           (deskripsi!$B$2:$B$337=C268)*
           (deskripsi!$C$2:$C$337=D268),0),
   F268)</f>
        <v>Mengurutkan berdasarkan kemudahan atau siapa yang paling banyak menanyakan.</v>
      </c>
    </row>
    <row r="269" spans="1:7">
      <c r="A269" t="str">
        <f t="shared" si="4"/>
        <v>Planning &amp; Organizing|Analyst|2|3</v>
      </c>
      <c r="B269" t="str">
        <v>Planning &amp; Organizing</v>
      </c>
      <c r="C269" t="str">
        <v>Analyst</v>
      </c>
      <c r="D269" s="76">
        <v>2</v>
      </c>
      <c r="E269" t="str" cm="1">
        <f t="array" ref="E269">INDEX(aspek!$D$2:$D$337,
   MATCH(1,(aspek!$A$2:$A$337=B269)*
           (aspek!$B$2:$B$337=C269)*
           (aspek!$C$2:$C$337=D269),0))</f>
        <v>Dasar pengurutan pekerjaan</v>
      </c>
      <c r="F269" s="76">
        <v>3</v>
      </c>
      <c r="G269" s="56" t="str" cm="1">
        <f t="array" ref="G269">INDEX(deskripsi!$D$2:$H$337,
   MATCH(1,(deskripsi!$A$2:$A$337=B269)*
           (deskripsi!$B$2:$B$337=C269)*
           (deskripsi!$C$2:$C$337=D269),0),
   F269)</f>
        <v>Mengurutkan berdasarkan tenggat waktu dan tingkat kepentingan.</v>
      </c>
    </row>
    <row r="270" spans="1:7">
      <c r="A270" t="str">
        <f t="shared" si="4"/>
        <v>Planning &amp; Organizing|Analyst|2|4</v>
      </c>
      <c r="B270" t="str">
        <v>Planning &amp; Organizing</v>
      </c>
      <c r="C270" t="str">
        <v>Analyst</v>
      </c>
      <c r="D270" s="76">
        <v>2</v>
      </c>
      <c r="E270" t="str" cm="1">
        <f t="array" ref="E270">INDEX(aspek!$D$2:$D$337,
   MATCH(1,(aspek!$A$2:$A$337=B270)*
           (aspek!$B$2:$B$337=C270)*
           (aspek!$C$2:$C$337=D270),0))</f>
        <v>Dasar pengurutan pekerjaan</v>
      </c>
      <c r="F270" s="76">
        <v>4</v>
      </c>
      <c r="G270" s="56" t="str" cm="1">
        <f t="array" ref="G270">INDEX(deskripsi!$D$2:$H$337,
   MATCH(1,(deskripsi!$A$2:$A$337=B270)*
           (deskripsi!$B$2:$B$337=C270)*
           (deskripsi!$C$2:$C$337=D270),0),
   F270)</f>
        <v>Mengurutkan dengan mempertimbangkan keterkaitan antar tugas dan ketergantungan pada pihak lain.</v>
      </c>
    </row>
    <row r="271" spans="1:7">
      <c r="A271" t="str">
        <f t="shared" si="4"/>
        <v>Planning &amp; Organizing|Analyst|2|5</v>
      </c>
      <c r="B271" t="str">
        <v>Planning &amp; Organizing</v>
      </c>
      <c r="C271" t="str">
        <v>Analyst</v>
      </c>
      <c r="D271" s="76">
        <v>2</v>
      </c>
      <c r="E271" t="str" cm="1">
        <f t="array" ref="E271">INDEX(aspek!$D$2:$D$337,
   MATCH(1,(aspek!$A$2:$A$337=B271)*
           (aspek!$B$2:$B$337=C271)*
           (aspek!$C$2:$C$337=D271),0))</f>
        <v>Dasar pengurutan pekerjaan</v>
      </c>
      <c r="F271" s="76">
        <v>5</v>
      </c>
      <c r="G271" s="56" t="str" cm="1">
        <f t="array" ref="G271">INDEX(deskripsi!$D$2:$H$337,
   MATCH(1,(deskripsi!$A$2:$A$337=B271)*
           (deskripsi!$B$2:$B$337=C271)*
           (deskripsi!$C$2:$C$337=D271),0),
   F271)</f>
        <v>Mengurutkan berdasarkan dampak terhadap tujuan yang lebih besar, dan meninjau ulang saat situasi berubah.</v>
      </c>
    </row>
    <row r="272" spans="1:7">
      <c r="A272" t="str">
        <f t="shared" si="4"/>
        <v>Planning &amp; Organizing|Analyst|3|1</v>
      </c>
      <c r="B272" t="str">
        <v>Planning &amp; Organizing</v>
      </c>
      <c r="C272" t="str">
        <v>Analyst</v>
      </c>
      <c r="D272" s="76">
        <v>3</v>
      </c>
      <c r="E272" t="str" cm="1">
        <f t="array" ref="E272">INDEX(aspek!$D$2:$D$337,
   MATCH(1,(aspek!$A$2:$A$337=B272)*
           (aspek!$B$2:$B$337=C272)*
           (aspek!$C$2:$C$337=D272),0))</f>
        <v>Kemandirian menguji dan mengurutkan</v>
      </c>
      <c r="F272" s="76">
        <v>1</v>
      </c>
      <c r="G272" s="56" t="str" cm="1">
        <f t="array" ref="G272">INDEX(deskripsi!$D$2:$H$337,
   MATCH(1,(deskripsi!$A$2:$A$337=B272)*
           (deskripsi!$B$2:$B$337=C272)*
           (deskripsi!$C$2:$C$337=D272),0),
   F272)</f>
        <v>Menunggu diarahkan untuk menguji atau mengurutkan.</v>
      </c>
    </row>
    <row r="273" spans="1:7">
      <c r="A273" t="str">
        <f t="shared" si="4"/>
        <v>Planning &amp; Organizing|Analyst|3|2</v>
      </c>
      <c r="B273" t="str">
        <v>Planning &amp; Organizing</v>
      </c>
      <c r="C273" t="str">
        <v>Analyst</v>
      </c>
      <c r="D273" s="76">
        <v>3</v>
      </c>
      <c r="E273" t="str" cm="1">
        <f t="array" ref="E273">INDEX(aspek!$D$2:$D$337,
   MATCH(1,(aspek!$A$2:$A$337=B273)*
           (aspek!$B$2:$B$337=C273)*
           (aspek!$C$2:$C$337=D273),0))</f>
        <v>Kemandirian menguji dan mengurutkan</v>
      </c>
      <c r="F273" s="76">
        <v>2</v>
      </c>
      <c r="G273" s="56" t="str" cm="1">
        <f t="array" ref="G273">INDEX(deskripsi!$D$2:$H$337,
   MATCH(1,(deskripsi!$A$2:$A$337=B273)*
           (deskripsi!$B$2:$B$337=C273)*
           (deskripsi!$C$2:$C$337=D273),0),
   F273)</f>
        <v>Menguji/mengurutkan dengan bimbingan penuh.</v>
      </c>
    </row>
    <row r="274" spans="1:7">
      <c r="A274" t="str">
        <f t="shared" si="4"/>
        <v>Planning &amp; Organizing|Analyst|3|3</v>
      </c>
      <c r="B274" t="str">
        <v>Planning &amp; Organizing</v>
      </c>
      <c r="C274" t="str">
        <v>Analyst</v>
      </c>
      <c r="D274" s="76">
        <v>3</v>
      </c>
      <c r="E274" t="str" cm="1">
        <f t="array" ref="E274">INDEX(aspek!$D$2:$D$337,
   MATCH(1,(aspek!$A$2:$A$337=B274)*
           (aspek!$B$2:$B$337=C274)*
           (aspek!$C$2:$C$337=D274),0))</f>
        <v>Kemandirian menguji dan mengurutkan</v>
      </c>
      <c r="F274" s="76">
        <v>3</v>
      </c>
      <c r="G274" s="56" t="str" cm="1">
        <f t="array" ref="G274">INDEX(deskripsi!$D$2:$H$337,
   MATCH(1,(deskripsi!$A$2:$A$337=B274)*
           (deskripsi!$B$2:$B$337=C274)*
           (deskripsi!$C$2:$C$337=D274),0),
   F274)</f>
        <v>Menguji/mengurutkan mandiri pada situasi familiar.</v>
      </c>
    </row>
    <row r="275" spans="1:7">
      <c r="A275" t="str">
        <f t="shared" si="4"/>
        <v>Planning &amp; Organizing|Analyst|3|4</v>
      </c>
      <c r="B275" t="str">
        <v>Planning &amp; Organizing</v>
      </c>
      <c r="C275" t="str">
        <v>Analyst</v>
      </c>
      <c r="D275" s="76">
        <v>3</v>
      </c>
      <c r="E275" t="str" cm="1">
        <f t="array" ref="E275">INDEX(aspek!$D$2:$D$337,
   MATCH(1,(aspek!$A$2:$A$337=B275)*
           (aspek!$B$2:$B$337=C275)*
           (aspek!$C$2:$C$337=D275),0))</f>
        <v>Kemandirian menguji dan mengurutkan</v>
      </c>
      <c r="F275" s="76">
        <v>4</v>
      </c>
      <c r="G275" s="56" t="str" cm="1">
        <f t="array" ref="G275">INDEX(deskripsi!$D$2:$H$337,
   MATCH(1,(deskripsi!$A$2:$A$337=B275)*
           (deskripsi!$B$2:$B$337=C275)*
           (deskripsi!$C$2:$C$337=D275),0),
   F275)</f>
        <v>Menguji/mengurutkan mandiri pada situasi baru, meminta verifikasi bukan bimbingan.</v>
      </c>
    </row>
    <row r="276" spans="1:7">
      <c r="A276" t="str">
        <f t="shared" si="4"/>
        <v>Planning &amp; Organizing|Analyst|3|5</v>
      </c>
      <c r="B276" t="str">
        <v>Planning &amp; Organizing</v>
      </c>
      <c r="C276" t="str">
        <v>Analyst</v>
      </c>
      <c r="D276" s="76">
        <v>3</v>
      </c>
      <c r="E276" t="str" cm="1">
        <f t="array" ref="E276">INDEX(aspek!$D$2:$D$337,
   MATCH(1,(aspek!$A$2:$A$337=B276)*
           (aspek!$B$2:$B$337=C276)*
           (aspek!$C$2:$C$337=D276),0))</f>
        <v>Kemandirian menguji dan mengurutkan</v>
      </c>
      <c r="F276" s="76">
        <v>5</v>
      </c>
      <c r="G276" s="56" t="str" cm="1">
        <f t="array" ref="G276">INDEX(deskripsi!$D$2:$H$337,
   MATCH(1,(deskripsi!$A$2:$A$337=B276)*
           (deskripsi!$B$2:$B$337=C276)*
           (deskripsi!$C$2:$C$337=D276),0),
   F276)</f>
        <v>Menjadi tempat rekan meminta verifikasi atas pengujian dan pengurutan mereka.</v>
      </c>
    </row>
    <row r="277" spans="1:7">
      <c r="A277" t="str">
        <f t="shared" si="4"/>
        <v>Planning &amp; Organizing|Analyst|4|1</v>
      </c>
      <c r="B277" t="str">
        <v>Planning &amp; Organizing</v>
      </c>
      <c r="C277" t="str">
        <v>Analyst</v>
      </c>
      <c r="D277" s="76">
        <v>4</v>
      </c>
      <c r="E277" t="str" cm="1">
        <f t="array" ref="E277">INDEX(aspek!$D$2:$D$337,
   MATCH(1,(aspek!$A$2:$A$337=B277)*
           (aspek!$B$2:$B$337=C277)*
           (aspek!$C$2:$C$337=D277),0))</f>
        <v>Kesediaan meninjau ulang</v>
      </c>
      <c r="F277" s="76">
        <v>1</v>
      </c>
      <c r="G277" s="56" t="str" cm="1">
        <f t="array" ref="G277">INDEX(deskripsi!$D$2:$H$337,
   MATCH(1,(deskripsi!$A$2:$A$337=B277)*
           (deskripsi!$B$2:$B$337=C277)*
           (deskripsi!$C$2:$C$337=D277),0),
   F277)</f>
        <v>Bertahan pada urutan lama meski situasi berubah.</v>
      </c>
    </row>
    <row r="278" spans="1:7">
      <c r="A278" t="str">
        <f t="shared" si="4"/>
        <v>Planning &amp; Organizing|Analyst|4|2</v>
      </c>
      <c r="B278" t="str">
        <v>Planning &amp; Organizing</v>
      </c>
      <c r="C278" t="str">
        <v>Analyst</v>
      </c>
      <c r="D278" s="76">
        <v>4</v>
      </c>
      <c r="E278" t="str" cm="1">
        <f t="array" ref="E278">INDEX(aspek!$D$2:$D$337,
   MATCH(1,(aspek!$A$2:$A$337=B278)*
           (aspek!$B$2:$B$337=C278)*
           (aspek!$C$2:$C$337=D278),0))</f>
        <v>Kesediaan meninjau ulang</v>
      </c>
      <c r="F278" s="76">
        <v>2</v>
      </c>
      <c r="G278" s="56" t="str" cm="1">
        <f t="array" ref="G278">INDEX(deskripsi!$D$2:$H$337,
   MATCH(1,(deskripsi!$A$2:$A$337=B278)*
           (deskripsi!$B$2:$B$337=C278)*
           (deskripsi!$C$2:$C$337=D278),0),
   F278)</f>
        <v>Meninjau ulang hanya ketika diperintahkan.</v>
      </c>
    </row>
    <row r="279" spans="1:7">
      <c r="A279" t="str">
        <f t="shared" si="4"/>
        <v>Planning &amp; Organizing|Analyst|4|3</v>
      </c>
      <c r="B279" t="str">
        <v>Planning &amp; Organizing</v>
      </c>
      <c r="C279" t="str">
        <v>Analyst</v>
      </c>
      <c r="D279" s="76">
        <v>4</v>
      </c>
      <c r="E279" t="str" cm="1">
        <f t="array" ref="E279">INDEX(aspek!$D$2:$D$337,
   MATCH(1,(aspek!$A$2:$A$337=B279)*
           (aspek!$B$2:$B$337=C279)*
           (aspek!$C$2:$C$337=D279),0))</f>
        <v>Kesediaan meninjau ulang</v>
      </c>
      <c r="F279" s="76">
        <v>3</v>
      </c>
      <c r="G279" s="56" t="str" cm="1">
        <f t="array" ref="G279">INDEX(deskripsi!$D$2:$H$337,
   MATCH(1,(deskripsi!$A$2:$A$337=B279)*
           (deskripsi!$B$2:$B$337=C279)*
           (deskripsi!$C$2:$C$337=D279),0),
   F279)</f>
        <v>Meninjau ulang pada perubahan yang jelas terlihat.</v>
      </c>
    </row>
    <row r="280" spans="1:7">
      <c r="A280" t="str">
        <f t="shared" si="4"/>
        <v>Planning &amp; Organizing|Analyst|4|4</v>
      </c>
      <c r="B280" t="str">
        <v>Planning &amp; Organizing</v>
      </c>
      <c r="C280" t="str">
        <v>Analyst</v>
      </c>
      <c r="D280" s="76">
        <v>4</v>
      </c>
      <c r="E280" t="str" cm="1">
        <f t="array" ref="E280">INDEX(aspek!$D$2:$D$337,
   MATCH(1,(aspek!$A$2:$A$337=B280)*
           (aspek!$B$2:$B$337=C280)*
           (aspek!$C$2:$C$337=D280),0))</f>
        <v>Kesediaan meninjau ulang</v>
      </c>
      <c r="F280" s="76">
        <v>4</v>
      </c>
      <c r="G280" s="56" t="str" cm="1">
        <f t="array" ref="G280">INDEX(deskripsi!$D$2:$H$337,
   MATCH(1,(deskripsi!$A$2:$A$337=B280)*
           (deskripsi!$B$2:$B$337=C280)*
           (deskripsi!$C$2:$C$337=D280),0),
   F280)</f>
        <v>Meninjau ulang urutan secara proaktif ketika situasi berubah, dan mengkomunikasikannya kepada pihak terkait.</v>
      </c>
    </row>
    <row r="281" spans="1:7">
      <c r="A281" t="str">
        <f t="shared" si="4"/>
        <v>Planning &amp; Organizing|Analyst|4|5</v>
      </c>
      <c r="B281" t="str">
        <v>Planning &amp; Organizing</v>
      </c>
      <c r="C281" t="str">
        <v>Analyst</v>
      </c>
      <c r="D281" s="76">
        <v>4</v>
      </c>
      <c r="E281" t="str" cm="1">
        <f t="array" ref="E281">INDEX(aspek!$D$2:$D$337,
   MATCH(1,(aspek!$A$2:$A$337=B281)*
           (aspek!$B$2:$B$337=C281)*
           (aspek!$C$2:$C$337=D281),0))</f>
        <v>Kesediaan meninjau ulang</v>
      </c>
      <c r="F281" s="76">
        <v>5</v>
      </c>
      <c r="G281" s="56" t="str" cm="1">
        <f t="array" ref="G281">INDEX(deskripsi!$D$2:$H$337,
   MATCH(1,(deskripsi!$A$2:$A$337=B281)*
           (deskripsi!$B$2:$B$337=C281)*
           (deskripsi!$C$2:$C$337=D281),0),
   F281)</f>
        <v>Peninjauan ulangnya menjadi kebiasaan yang membuat unit tetap adaptif.</v>
      </c>
    </row>
    <row r="282" spans="1:7">
      <c r="A282" t="str">
        <f t="shared" si="4"/>
        <v>Planning &amp; Organizing|Unit Head/Specialist|1|1</v>
      </c>
      <c r="B282" t="str">
        <v>Planning &amp; Organizing</v>
      </c>
      <c r="C282" t="str">
        <v>Unit Head/Specialist</v>
      </c>
      <c r="D282" s="76">
        <v>1</v>
      </c>
      <c r="E282" t="str" cm="1">
        <f t="array" ref="E282">INDEX(aspek!$D$2:$D$337,
   MATCH(1,(aspek!$A$2:$A$337=B282)*
           (aspek!$B$2:$B$337=C282)*
           (aspek!$C$2:$C$337=D282),0))</f>
        <v>Kesediaan memutuskan tanpa kepastian penuh</v>
      </c>
      <c r="F282" s="76">
        <v>1</v>
      </c>
      <c r="G282" s="56" t="str" cm="1">
        <f t="array" ref="G282">INDEX(deskripsi!$D$2:$H$337,
   MATCH(1,(deskripsi!$A$2:$A$337=B282)*
           (deskripsi!$B$2:$B$337=C282)*
           (deskripsi!$C$2:$C$337=D282),0),
   F282)</f>
        <v>Menunda keputusan sampai data lengkap.</v>
      </c>
    </row>
    <row r="283" spans="1:7">
      <c r="A283" t="str">
        <f t="shared" si="4"/>
        <v>Planning &amp; Organizing|Unit Head/Specialist|1|2</v>
      </c>
      <c r="B283" t="str">
        <v>Planning &amp; Organizing</v>
      </c>
      <c r="C283" t="str">
        <v>Unit Head/Specialist</v>
      </c>
      <c r="D283" s="76">
        <v>1</v>
      </c>
      <c r="E283" t="str" cm="1">
        <f t="array" ref="E283">INDEX(aspek!$D$2:$D$337,
   MATCH(1,(aspek!$A$2:$A$337=B283)*
           (aspek!$B$2:$B$337=C283)*
           (aspek!$C$2:$C$337=D283),0))</f>
        <v>Kesediaan memutuskan tanpa kepastian penuh</v>
      </c>
      <c r="F283" s="76">
        <v>2</v>
      </c>
      <c r="G283" s="56" t="str" cm="1">
        <f t="array" ref="G283">INDEX(deskripsi!$D$2:$H$337,
   MATCH(1,(deskripsi!$A$2:$A$337=B283)*
           (deskripsi!$B$2:$B$337=C283)*
           (deskripsi!$C$2:$C$337=D283),0),
   F283)</f>
        <v>Memutuskan setelah menunggu, meski tenggat terlewat.</v>
      </c>
    </row>
    <row r="284" spans="1:7">
      <c r="A284" t="str">
        <f t="shared" si="4"/>
        <v>Planning &amp; Organizing|Unit Head/Specialist|1|3</v>
      </c>
      <c r="B284" t="str">
        <v>Planning &amp; Organizing</v>
      </c>
      <c r="C284" t="str">
        <v>Unit Head/Specialist</v>
      </c>
      <c r="D284" s="76">
        <v>1</v>
      </c>
      <c r="E284" t="str" cm="1">
        <f t="array" ref="E284">INDEX(aspek!$D$2:$D$337,
   MATCH(1,(aspek!$A$2:$A$337=B284)*
           (aspek!$B$2:$B$337=C284)*
           (aspek!$C$2:$C$337=D284),0))</f>
        <v>Kesediaan memutuskan tanpa kepastian penuh</v>
      </c>
      <c r="F284" s="76">
        <v>3</v>
      </c>
      <c r="G284" s="56" t="str" cm="1">
        <f t="array" ref="G284">INDEX(deskripsi!$D$2:$H$337,
   MATCH(1,(deskripsi!$A$2:$A$337=B284)*
           (deskripsi!$B$2:$B$337=C284)*
           (deskripsi!$C$2:$C$337=D284),0),
   F284)</f>
        <v>Memutuskan tepat waktu pada perkara familiar.</v>
      </c>
    </row>
    <row r="285" spans="1:7">
      <c r="A285" t="str">
        <f t="shared" si="4"/>
        <v>Planning &amp; Organizing|Unit Head/Specialist|1|4</v>
      </c>
      <c r="B285" t="str">
        <v>Planning &amp; Organizing</v>
      </c>
      <c r="C285" t="str">
        <v>Unit Head/Specialist</v>
      </c>
      <c r="D285" s="76">
        <v>1</v>
      </c>
      <c r="E285" t="str" cm="1">
        <f t="array" ref="E285">INDEX(aspek!$D$2:$D$337,
   MATCH(1,(aspek!$A$2:$A$337=B285)*
           (aspek!$B$2:$B$337=C285)*
           (aspek!$C$2:$C$337=D285),0))</f>
        <v>Kesediaan memutuskan tanpa kepastian penuh</v>
      </c>
      <c r="F285" s="76">
        <v>4</v>
      </c>
      <c r="G285" s="56" t="str" cm="1">
        <f t="array" ref="G285">INDEX(deskripsi!$D$2:$H$337,
   MATCH(1,(deskripsi!$A$2:$A$337=B285)*
           (deskripsi!$B$2:$B$337=C285)*
           (deskripsi!$C$2:$C$337=D285),0),
   F285)</f>
        <v>Menetapkan sendiri batas informasi minimum dan bergerak pada batas itu, termasuk perkara baru.</v>
      </c>
    </row>
    <row r="286" spans="1:7">
      <c r="A286" t="str">
        <f t="shared" si="4"/>
        <v>Planning &amp; Organizing|Unit Head/Specialist|1|5</v>
      </c>
      <c r="B286" t="str">
        <v>Planning &amp; Organizing</v>
      </c>
      <c r="C286" t="str">
        <v>Unit Head/Specialist</v>
      </c>
      <c r="D286" s="76">
        <v>1</v>
      </c>
      <c r="E286" t="str" cm="1">
        <f t="array" ref="E286">INDEX(aspek!$D$2:$D$337,
   MATCH(1,(aspek!$A$2:$A$337=B286)*
           (aspek!$B$2:$B$337=C286)*
           (aspek!$C$2:$C$337=D286),0))</f>
        <v>Kesediaan memutuskan tanpa kepastian penuh</v>
      </c>
      <c r="F286" s="76">
        <v>5</v>
      </c>
      <c r="G286" s="56" t="str" cm="1">
        <f t="array" ref="G286">INDEX(deskripsi!$D$2:$H$337,
   MATCH(1,(deskripsi!$A$2:$A$337=B286)*
           (deskripsi!$B$2:$B$337=C286)*
           (deskripsi!$C$2:$C$337=D286),0),
   F286)</f>
        <v>Memutuskan lebih awal ketika penundaan justru lebih berisiko.</v>
      </c>
    </row>
    <row r="287" spans="1:7">
      <c r="A287" t="str">
        <f t="shared" si="4"/>
        <v>Planning &amp; Organizing|Unit Head/Specialist|2|1</v>
      </c>
      <c r="B287" t="str">
        <v>Planning &amp; Organizing</v>
      </c>
      <c r="C287" t="str">
        <v>Unit Head/Specialist</v>
      </c>
      <c r="D287" s="76">
        <v>2</v>
      </c>
      <c r="E287" t="str" cm="1">
        <f t="array" ref="E287">INDEX(aspek!$D$2:$D$337,
   MATCH(1,(aspek!$A$2:$A$337=B287)*
           (aspek!$B$2:$B$337=C287)*
           (aspek!$C$2:$C$337=D287),0))</f>
        <v>Kualitas proses pertimbangan</v>
      </c>
      <c r="F287" s="76">
        <v>1</v>
      </c>
      <c r="G287" s="56" t="str" cm="1">
        <f t="array" ref="G287">INDEX(deskripsi!$D$2:$H$337,
   MATCH(1,(deskripsi!$A$2:$A$337=B287)*
           (deskripsi!$B$2:$B$337=C287)*
           (deskripsi!$C$2:$C$337=D287),0),
   F287)</f>
        <v>Memutuskan berdasarkan kebiasaan tanpa dasar jelas.</v>
      </c>
    </row>
    <row r="288" spans="1:7">
      <c r="A288" t="str">
        <f t="shared" si="4"/>
        <v>Planning &amp; Organizing|Unit Head/Specialist|2|2</v>
      </c>
      <c r="B288" t="str">
        <v>Planning &amp; Organizing</v>
      </c>
      <c r="C288" t="str">
        <v>Unit Head/Specialist</v>
      </c>
      <c r="D288" s="76">
        <v>2</v>
      </c>
      <c r="E288" t="str" cm="1">
        <f t="array" ref="E288">INDEX(aspek!$D$2:$D$337,
   MATCH(1,(aspek!$A$2:$A$337=B288)*
           (aspek!$B$2:$B$337=C288)*
           (aspek!$C$2:$C$337=D288),0))</f>
        <v>Kualitas proses pertimbangan</v>
      </c>
      <c r="F288" s="76">
        <v>2</v>
      </c>
      <c r="G288" s="56" t="str" cm="1">
        <f t="array" ref="G288">INDEX(deskripsi!$D$2:$H$337,
   MATCH(1,(deskripsi!$A$2:$A$337=B288)*
           (deskripsi!$B$2:$B$337=C288)*
           (deskripsi!$C$2:$C$337=D288),0),
   F288)</f>
        <v>Memilih opsi yang terpikir lebih dulu tanpa membandingkan.</v>
      </c>
    </row>
    <row r="289" spans="1:7">
      <c r="A289" t="str">
        <f t="shared" si="4"/>
        <v>Planning &amp; Organizing|Unit Head/Specialist|2|3</v>
      </c>
      <c r="B289" t="str">
        <v>Planning &amp; Organizing</v>
      </c>
      <c r="C289" t="str">
        <v>Unit Head/Specialist</v>
      </c>
      <c r="D289" s="76">
        <v>2</v>
      </c>
      <c r="E289" t="str" cm="1">
        <f t="array" ref="E289">INDEX(aspek!$D$2:$D$337,
   MATCH(1,(aspek!$A$2:$A$337=B289)*
           (aspek!$B$2:$B$337=C289)*
           (aspek!$C$2:$C$337=D289),0))</f>
        <v>Kualitas proses pertimbangan</v>
      </c>
      <c r="F289" s="76">
        <v>3</v>
      </c>
      <c r="G289" s="56" t="str" cm="1">
        <f t="array" ref="G289">INDEX(deskripsi!$D$2:$H$337,
   MATCH(1,(deskripsi!$A$2:$A$337=B289)*
           (deskripsi!$B$2:$B$337=C289)*
           (deskripsi!$C$2:$C$337=D289),0),
   F289)</f>
        <v>Memilih opsi paling masuk akal dengan pertimbangan yang dapat dijelaskan.</v>
      </c>
    </row>
    <row r="290" spans="1:7">
      <c r="A290" t="str">
        <f t="shared" si="4"/>
        <v>Planning &amp; Organizing|Unit Head/Specialist|2|4</v>
      </c>
      <c r="B290" t="str">
        <v>Planning &amp; Organizing</v>
      </c>
      <c r="C290" t="str">
        <v>Unit Head/Specialist</v>
      </c>
      <c r="D290" s="76">
        <v>2</v>
      </c>
      <c r="E290" t="str" cm="1">
        <f t="array" ref="E290">INDEX(aspek!$D$2:$D$337,
   MATCH(1,(aspek!$A$2:$A$337=B290)*
           (aspek!$B$2:$B$337=C290)*
           (aspek!$C$2:$C$337=D290),0))</f>
        <v>Kualitas proses pertimbangan</v>
      </c>
      <c r="F290" s="76">
        <v>4</v>
      </c>
      <c r="G290" s="56" t="str" cm="1">
        <f t="array" ref="G290">INDEX(deskripsi!$D$2:$H$337,
   MATCH(1,(deskripsi!$A$2:$A$337=B290)*
           (deskripsi!$B$2:$B$337=C290)*
           (deskripsi!$C$2:$C$337=D290),0),
   F290)</f>
        <v>Menyusun minimal dua opsi beserta risiko terburuknya, menyatakan asumsi, menetapkan pemicu revisi.</v>
      </c>
    </row>
    <row r="291" spans="1:7">
      <c r="A291" t="str">
        <f t="shared" si="4"/>
        <v>Planning &amp; Organizing|Unit Head/Specialist|2|5</v>
      </c>
      <c r="B291" t="str">
        <v>Planning &amp; Organizing</v>
      </c>
      <c r="C291" t="str">
        <v>Unit Head/Specialist</v>
      </c>
      <c r="D291" s="76">
        <v>2</v>
      </c>
      <c r="E291" t="str" cm="1">
        <f t="array" ref="E291">INDEX(aspek!$D$2:$D$337,
   MATCH(1,(aspek!$A$2:$A$337=B291)*
           (aspek!$B$2:$B$337=C291)*
           (aspek!$C$2:$C$337=D291),0))</f>
        <v>Kualitas proses pertimbangan</v>
      </c>
      <c r="F291" s="76">
        <v>5</v>
      </c>
      <c r="G291" s="56" t="str" cm="1">
        <f t="array" ref="G291">INDEX(deskripsi!$D$2:$H$337,
   MATCH(1,(deskripsi!$A$2:$A$337=B291)*
           (deskripsi!$B$2:$B$337=C291)*
           (deskripsi!$C$2:$C$337=D291),0),
   F291)</f>
        <v>Memakai pelajaran sebelumnya dan pertimbangan jangka panjang.</v>
      </c>
    </row>
    <row r="292" spans="1:7">
      <c r="A292" t="str">
        <f t="shared" si="4"/>
        <v>Planning &amp; Organizing|Unit Head/Specialist|3|1</v>
      </c>
      <c r="B292" t="str">
        <v>Planning &amp; Organizing</v>
      </c>
      <c r="C292" t="str">
        <v>Unit Head/Specialist</v>
      </c>
      <c r="D292" s="76">
        <v>3</v>
      </c>
      <c r="E292" t="str" cm="1">
        <f t="array" ref="E292">INDEX(aspek!$D$2:$D$337,
   MATCH(1,(aspek!$A$2:$A$337=B292)*
           (aspek!$B$2:$B$337=C292)*
           (aspek!$C$2:$C$337=D292),0))</f>
        <v>Rencana jangka panjang dengan asumsi eksplisit</v>
      </c>
      <c r="F292" s="76">
        <v>1</v>
      </c>
      <c r="G292" s="56" t="str" cm="1">
        <f t="array" ref="G292">INDEX(deskripsi!$D$2:$H$337,
   MATCH(1,(deskripsi!$A$2:$A$337=B292)*
           (deskripsi!$B$2:$B$337=C292)*
           (deskripsi!$C$2:$C$337=D292),0),
   F292)</f>
        <v>Menyusun rencana tanpa menyadari bagian mana yang berupa asumsi.</v>
      </c>
    </row>
    <row r="293" spans="1:7">
      <c r="A293" t="str">
        <f t="shared" si="4"/>
        <v>Planning &amp; Organizing|Unit Head/Specialist|3|2</v>
      </c>
      <c r="B293" t="str">
        <v>Planning &amp; Organizing</v>
      </c>
      <c r="C293" t="str">
        <v>Unit Head/Specialist</v>
      </c>
      <c r="D293" s="76">
        <v>3</v>
      </c>
      <c r="E293" t="str" cm="1">
        <f t="array" ref="E293">INDEX(aspek!$D$2:$D$337,
   MATCH(1,(aspek!$A$2:$A$337=B293)*
           (aspek!$B$2:$B$337=C293)*
           (aspek!$C$2:$C$337=D293),0))</f>
        <v>Rencana jangka panjang dengan asumsi eksplisit</v>
      </c>
      <c r="F293" s="76">
        <v>2</v>
      </c>
      <c r="G293" s="56" t="str" cm="1">
        <f t="array" ref="G293">INDEX(deskripsi!$D$2:$H$337,
   MATCH(1,(deskripsi!$A$2:$A$337=B293)*
           (deskripsi!$B$2:$B$337=C293)*
           (deskripsi!$C$2:$C$337=D293),0),
   F293)</f>
        <v>Menyadari ada asumsi, tidak menandainya secara eksplisit.</v>
      </c>
    </row>
    <row r="294" spans="1:7">
      <c r="A294" t="str">
        <f t="shared" si="4"/>
        <v>Planning &amp; Organizing|Unit Head/Specialist|3|3</v>
      </c>
      <c r="B294" t="str">
        <v>Planning &amp; Organizing</v>
      </c>
      <c r="C294" t="str">
        <v>Unit Head/Specialist</v>
      </c>
      <c r="D294" s="76">
        <v>3</v>
      </c>
      <c r="E294" t="str" cm="1">
        <f t="array" ref="E294">INDEX(aspek!$D$2:$D$337,
   MATCH(1,(aspek!$A$2:$A$337=B294)*
           (aspek!$B$2:$B$337=C294)*
           (aspek!$C$2:$C$337=D294),0))</f>
        <v>Rencana jangka panjang dengan asumsi eksplisit</v>
      </c>
      <c r="F294" s="76">
        <v>3</v>
      </c>
      <c r="G294" s="56" t="str" cm="1">
        <f t="array" ref="G294">INDEX(deskripsi!$D$2:$H$337,
   MATCH(1,(deskripsi!$A$2:$A$337=B294)*
           (deskripsi!$B$2:$B$337=C294)*
           (deskripsi!$C$2:$C$337=D294),0),
   F294)</f>
        <v>Menandai sebagian asumsi pada rencana yang penting.</v>
      </c>
    </row>
    <row r="295" spans="1:7">
      <c r="A295" t="str">
        <f t="shared" si="4"/>
        <v>Planning &amp; Organizing|Unit Head/Specialist|3|4</v>
      </c>
      <c r="B295" t="str">
        <v>Planning &amp; Organizing</v>
      </c>
      <c r="C295" t="str">
        <v>Unit Head/Specialist</v>
      </c>
      <c r="D295" s="76">
        <v>3</v>
      </c>
      <c r="E295" t="str" cm="1">
        <f t="array" ref="E295">INDEX(aspek!$D$2:$D$337,
   MATCH(1,(aspek!$A$2:$A$337=B295)*
           (aspek!$B$2:$B$337=C295)*
           (aspek!$C$2:$C$337=D295),0))</f>
        <v>Rencana jangka panjang dengan asumsi eksplisit</v>
      </c>
      <c r="F295" s="76">
        <v>4</v>
      </c>
      <c r="G295" s="56" t="str" cm="1">
        <f t="array" ref="G295">INDEX(deskripsi!$D$2:$H$337,
   MATCH(1,(deskripsi!$A$2:$A$337=B295)*
           (deskripsi!$B$2:$B$337=C295)*
           (deskripsi!$C$2:$C$337=D295),0),
   F295)</f>
        <v>Menandai asumsi kunci secara eksplisit pada rencana jangka panjang dan meninjau ulang secara terjadwal.</v>
      </c>
    </row>
    <row r="296" spans="1:7">
      <c r="A296" t="str">
        <f t="shared" si="4"/>
        <v>Planning &amp; Organizing|Unit Head/Specialist|3|5</v>
      </c>
      <c r="B296" t="str">
        <v>Planning &amp; Organizing</v>
      </c>
      <c r="C296" t="str">
        <v>Unit Head/Specialist</v>
      </c>
      <c r="D296" s="76">
        <v>3</v>
      </c>
      <c r="E296" t="str" cm="1">
        <f t="array" ref="E296">INDEX(aspek!$D$2:$D$337,
   MATCH(1,(aspek!$A$2:$A$337=B296)*
           (aspek!$B$2:$B$337=C296)*
           (aspek!$C$2:$C$337=D296),0))</f>
        <v>Rencana jangka panjang dengan asumsi eksplisit</v>
      </c>
      <c r="F296" s="76">
        <v>5</v>
      </c>
      <c r="G296" s="56" t="str" cm="1">
        <f t="array" ref="G296">INDEX(deskripsi!$D$2:$H$337,
   MATCH(1,(deskripsi!$A$2:$A$337=B296)*
           (deskripsi!$B$2:$B$337=C296)*
           (deskripsi!$C$2:$C$337=D296),0),
   F296)</f>
        <v>Kerangka penandaan asumsinya dipakai unit lain.</v>
      </c>
    </row>
    <row r="297" spans="1:7">
      <c r="A297" t="str">
        <f t="shared" si="4"/>
        <v>Planning &amp; Organizing|Unit Head/Specialist|4|1</v>
      </c>
      <c r="B297" t="str">
        <v>Planning &amp; Organizing</v>
      </c>
      <c r="C297" t="str">
        <v>Unit Head/Specialist</v>
      </c>
      <c r="D297" s="76">
        <v>4</v>
      </c>
      <c r="E297" t="str" cm="1">
        <f t="array" ref="E297">INDEX(aspek!$D$2:$D$337,
   MATCH(1,(aspek!$A$2:$A$337=B297)*
           (aspek!$B$2:$B$337=C297)*
           (aspek!$C$2:$C$337=D297),0))</f>
        <v>Ketepatan berdasarkan informasi saat itu</v>
      </c>
      <c r="F297" s="76">
        <v>1</v>
      </c>
      <c r="G297" s="56" t="str" cm="1">
        <f t="array" ref="G297">INDEX(deskripsi!$D$2:$H$337,
   MATCH(1,(deskripsi!$A$2:$A$337=B297)*
           (deskripsi!$B$2:$B$337=C297)*
           (deskripsi!$C$2:$C$337=D297),0),
   F297)</f>
        <v>Keputusan sering meleset jauh dari informasi yang tersedia.</v>
      </c>
    </row>
    <row r="298" spans="1:7">
      <c r="A298" t="str">
        <f t="shared" si="4"/>
        <v>Planning &amp; Organizing|Unit Head/Specialist|4|2</v>
      </c>
      <c r="B298" t="str">
        <v>Planning &amp; Organizing</v>
      </c>
      <c r="C298" t="str">
        <v>Unit Head/Specialist</v>
      </c>
      <c r="D298" s="76">
        <v>4</v>
      </c>
      <c r="E298" t="str" cm="1">
        <f t="array" ref="E298">INDEX(aspek!$D$2:$D$337,
   MATCH(1,(aspek!$A$2:$A$337=B298)*
           (aspek!$B$2:$B$337=C298)*
           (aspek!$C$2:$C$337=D298),0))</f>
        <v>Ketepatan berdasarkan informasi saat itu</v>
      </c>
      <c r="F298" s="76">
        <v>2</v>
      </c>
      <c r="G298" s="56" t="str" cm="1">
        <f t="array" ref="G298">INDEX(deskripsi!$D$2:$H$337,
   MATCH(1,(deskripsi!$A$2:$A$337=B298)*
           (deskripsi!$B$2:$B$337=C298)*
           (deskripsi!$C$2:$C$337=D298),0),
   F298)</f>
        <v>Keputusan cukup tepat pada situasi sederhana.</v>
      </c>
    </row>
    <row r="299" spans="1:7">
      <c r="A299" t="str">
        <f t="shared" si="4"/>
        <v>Planning &amp; Organizing|Unit Head/Specialist|4|3</v>
      </c>
      <c r="B299" t="str">
        <v>Planning &amp; Organizing</v>
      </c>
      <c r="C299" t="str">
        <v>Unit Head/Specialist</v>
      </c>
      <c r="D299" s="76">
        <v>4</v>
      </c>
      <c r="E299" t="str" cm="1">
        <f t="array" ref="E299">INDEX(aspek!$D$2:$D$337,
   MATCH(1,(aspek!$A$2:$A$337=B299)*
           (aspek!$B$2:$B$337=C299)*
           (aspek!$C$2:$C$337=D299),0))</f>
        <v>Ketepatan berdasarkan informasi saat itu</v>
      </c>
      <c r="F299" s="76">
        <v>3</v>
      </c>
      <c r="G299" s="56" t="str" cm="1">
        <f t="array" ref="G299">INDEX(deskripsi!$D$2:$H$337,
   MATCH(1,(deskripsi!$A$2:$A$337=B299)*
           (deskripsi!$B$2:$B$337=C299)*
           (deskripsi!$C$2:$C$337=D299),0),
   F299)</f>
        <v>Keputusan tepat pada sebagian besar situasi familiar.</v>
      </c>
    </row>
    <row r="300" spans="1:7">
      <c r="A300" t="str">
        <f t="shared" si="4"/>
        <v>Planning &amp; Organizing|Unit Head/Specialist|4|4</v>
      </c>
      <c r="B300" t="str">
        <v>Planning &amp; Organizing</v>
      </c>
      <c r="C300" t="str">
        <v>Unit Head/Specialist</v>
      </c>
      <c r="D300" s="76">
        <v>4</v>
      </c>
      <c r="E300" t="str" cm="1">
        <f t="array" ref="E300">INDEX(aspek!$D$2:$D$337,
   MATCH(1,(aspek!$A$2:$A$337=B300)*
           (aspek!$B$2:$B$337=C300)*
           (aspek!$C$2:$C$337=D300),0))</f>
        <v>Ketepatan berdasarkan informasi saat itu</v>
      </c>
      <c r="F300" s="76">
        <v>4</v>
      </c>
      <c r="G300" s="56" t="str" cm="1">
        <f t="array" ref="G300">INDEX(deskripsi!$D$2:$H$337,
   MATCH(1,(deskripsi!$A$2:$A$337=B300)*
           (deskripsi!$B$2:$B$337=C300)*
           (deskripsi!$C$2:$C$337=D300),0),
   F300)</f>
        <v>Keputusan konsisten tepat berdasarkan informasi yang tersedia SAAT diambil.</v>
      </c>
    </row>
    <row r="301" spans="1:7">
      <c r="A301" t="str">
        <f t="shared" si="4"/>
        <v>Planning &amp; Organizing|Unit Head/Specialist|4|5</v>
      </c>
      <c r="B301" t="str">
        <v>Planning &amp; Organizing</v>
      </c>
      <c r="C301" t="str">
        <v>Unit Head/Specialist</v>
      </c>
      <c r="D301" s="76">
        <v>4</v>
      </c>
      <c r="E301" t="str" cm="1">
        <f t="array" ref="E301">INDEX(aspek!$D$2:$D$337,
   MATCH(1,(aspek!$A$2:$A$337=B301)*
           (aspek!$B$2:$B$337=C301)*
           (aspek!$C$2:$C$337=D301),0))</f>
        <v>Ketepatan berdasarkan informasi saat itu</v>
      </c>
      <c r="F301" s="76">
        <v>5</v>
      </c>
      <c r="G301" s="56" t="str" cm="1">
        <f t="array" ref="G301">INDEX(deskripsi!$D$2:$H$337,
   MATCH(1,(deskripsi!$A$2:$A$337=B301)*
           (deskripsi!$B$2:$B$337=C301)*
           (deskripsi!$C$2:$C$337=D301),0),
   F301)</f>
        <v>Keputusannya menjadi rujukan cara memutuskan pada situasi serupa.</v>
      </c>
    </row>
    <row r="302" spans="1:7">
      <c r="A302" t="str">
        <f t="shared" si="4"/>
        <v>Planning &amp; Organizing|Department Head|1|1</v>
      </c>
      <c r="B302" t="str">
        <v>Planning &amp; Organizing</v>
      </c>
      <c r="C302" t="str">
        <v>Department Head</v>
      </c>
      <c r="D302" s="76">
        <v>1</v>
      </c>
      <c r="E302" t="str" cm="1">
        <f t="array" ref="E302">INDEX(aspek!$D$2:$D$337,
   MATCH(1,(aspek!$A$2:$A$337=B302)*
           (aspek!$B$2:$B$337=C302)*
           (aspek!$C$2:$C$337=D302),0))</f>
        <v>Kepekaan mendeteksi ketidakefektifan</v>
      </c>
      <c r="F302" s="76">
        <v>1</v>
      </c>
      <c r="G302" s="56" t="str" cm="1">
        <f t="array" ref="G302">INDEX(deskripsi!$D$2:$H$337,
   MATCH(1,(deskripsi!$A$2:$A$337=B302)*
           (deskripsi!$B$2:$B$337=C302)*
           (deskripsi!$C$2:$C$337=D302),0),
   F302)</f>
        <v>Bertahan pada strategi yang sudah jelas gagal.</v>
      </c>
    </row>
    <row r="303" spans="1:7">
      <c r="A303" t="str">
        <f t="shared" si="4"/>
        <v>Planning &amp; Organizing|Department Head|1|2</v>
      </c>
      <c r="B303" t="str">
        <v>Planning &amp; Organizing</v>
      </c>
      <c r="C303" t="str">
        <v>Department Head</v>
      </c>
      <c r="D303" s="76">
        <v>1</v>
      </c>
      <c r="E303" t="str" cm="1">
        <f t="array" ref="E303">INDEX(aspek!$D$2:$D$337,
   MATCH(1,(aspek!$A$2:$A$337=B303)*
           (aspek!$B$2:$B$337=C303)*
           (aspek!$C$2:$C$337=D303),0))</f>
        <v>Kepekaan mendeteksi ketidakefektifan</v>
      </c>
      <c r="F303" s="76">
        <v>2</v>
      </c>
      <c r="G303" s="56" t="str" cm="1">
        <f t="array" ref="G303">INDEX(deskripsi!$D$2:$H$337,
   MATCH(1,(deskripsi!$A$2:$A$337=B303)*
           (deskripsi!$B$2:$B$337=C303)*
           (deskripsi!$C$2:$C$337=D303),0),
   F303)</f>
        <v>Menyadari setelah dampaknya besar.</v>
      </c>
    </row>
    <row r="304" spans="1:7">
      <c r="A304" t="str">
        <f t="shared" si="4"/>
        <v>Planning &amp; Organizing|Department Head|1|3</v>
      </c>
      <c r="B304" t="str">
        <v>Planning &amp; Organizing</v>
      </c>
      <c r="C304" t="str">
        <v>Department Head</v>
      </c>
      <c r="D304" s="76">
        <v>1</v>
      </c>
      <c r="E304" t="str" cm="1">
        <f t="array" ref="E304">INDEX(aspek!$D$2:$D$337,
   MATCH(1,(aspek!$A$2:$A$337=B304)*
           (aspek!$B$2:$B$337=C304)*
           (aspek!$C$2:$C$337=D304),0))</f>
        <v>Kepekaan mendeteksi ketidakefektifan</v>
      </c>
      <c r="F304" s="76">
        <v>3</v>
      </c>
      <c r="G304" s="56" t="str" cm="1">
        <f t="array" ref="G304">INDEX(deskripsi!$D$2:$H$337,
   MATCH(1,(deskripsi!$A$2:$A$337=B304)*
           (deskripsi!$B$2:$B$337=C304)*
           (deskripsi!$C$2:$C$337=D304),0),
   F304)</f>
        <v>Menyadari setelah diarahkan pihak lain.</v>
      </c>
    </row>
    <row r="305" spans="1:7">
      <c r="A305" t="str">
        <f t="shared" si="4"/>
        <v>Planning &amp; Organizing|Department Head|1|4</v>
      </c>
      <c r="B305" t="str">
        <v>Planning &amp; Organizing</v>
      </c>
      <c r="C305" t="str">
        <v>Department Head</v>
      </c>
      <c r="D305" s="76">
        <v>1</v>
      </c>
      <c r="E305" t="str" cm="1">
        <f t="array" ref="E305">INDEX(aspek!$D$2:$D$337,
   MATCH(1,(aspek!$A$2:$A$337=B305)*
           (aspek!$B$2:$B$337=C305)*
           (aspek!$C$2:$C$337=D305),0))</f>
        <v>Kepekaan mendeteksi ketidakefektifan</v>
      </c>
      <c r="F305" s="76">
        <v>4</v>
      </c>
      <c r="G305" s="56" t="str" cm="1">
        <f t="array" ref="G305">INDEX(deskripsi!$D$2:$H$337,
   MATCH(1,(deskripsi!$A$2:$A$337=B305)*
           (deskripsi!$B$2:$B$337=C305)*
           (deskripsi!$C$2:$C$337=D305),0),
   F305)</f>
        <v>Mendeteksi tanda ketidakefektifan secara mandiri dan real-time, sebelum dampak besar terjadi.</v>
      </c>
    </row>
    <row r="306" spans="1:7">
      <c r="A306" t="str">
        <f t="shared" si="4"/>
        <v>Planning &amp; Organizing|Department Head|1|5</v>
      </c>
      <c r="B306" t="str">
        <v>Planning &amp; Organizing</v>
      </c>
      <c r="C306" t="str">
        <v>Department Head</v>
      </c>
      <c r="D306" s="76">
        <v>1</v>
      </c>
      <c r="E306" t="str" cm="1">
        <f t="array" ref="E306">INDEX(aspek!$D$2:$D$337,
   MATCH(1,(aspek!$A$2:$A$337=B306)*
           (aspek!$B$2:$B$337=C306)*
           (aspek!$C$2:$C$337=D306),0))</f>
        <v>Kepekaan mendeteksi ketidakefektifan</v>
      </c>
      <c r="F306" s="76">
        <v>5</v>
      </c>
      <c r="G306" s="56" t="str" cm="1">
        <f t="array" ref="G306">INDEX(deskripsi!$D$2:$H$337,
   MATCH(1,(deskripsi!$A$2:$A$337=B306)*
           (deskripsi!$B$2:$B$337=C306)*
           (deskripsi!$C$2:$C$337=D306),0),
   F306)</f>
        <v>Mendeteksi dan mengubah sebelum dampaknya terasa oleh pihak lain.</v>
      </c>
    </row>
    <row r="307" spans="1:7">
      <c r="A307" t="str">
        <f t="shared" si="4"/>
        <v>Planning &amp; Organizing|Department Head|2|1</v>
      </c>
      <c r="B307" t="str">
        <v>Planning &amp; Organizing</v>
      </c>
      <c r="C307" t="str">
        <v>Department Head</v>
      </c>
      <c r="D307" s="76">
        <v>2</v>
      </c>
      <c r="E307" t="str" cm="1">
        <f t="array" ref="E307">INDEX(aspek!$D$2:$D$337,
   MATCH(1,(aspek!$A$2:$A$337=B307)*
           (aspek!$B$2:$B$337=C307)*
           (aspek!$C$2:$C$337=D307),0))</f>
        <v>Kemandirian mengubah arah</v>
      </c>
      <c r="F307" s="76">
        <v>1</v>
      </c>
      <c r="G307" s="56" t="str" cm="1">
        <f t="array" ref="G307">INDEX(deskripsi!$D$2:$H$337,
   MATCH(1,(deskripsi!$A$2:$A$337=B307)*
           (deskripsi!$B$2:$B$337=C307)*
           (deskripsi!$C$2:$C$337=D307),0),
   F307)</f>
        <v>Tidak mengubah strategi tanpa diperintah.</v>
      </c>
    </row>
    <row r="308" spans="1:7">
      <c r="A308" t="str">
        <f t="shared" si="4"/>
        <v>Planning &amp; Organizing|Department Head|2|2</v>
      </c>
      <c r="B308" t="str">
        <v>Planning &amp; Organizing</v>
      </c>
      <c r="C308" t="str">
        <v>Department Head</v>
      </c>
      <c r="D308" s="76">
        <v>2</v>
      </c>
      <c r="E308" t="str" cm="1">
        <f t="array" ref="E308">INDEX(aspek!$D$2:$D$337,
   MATCH(1,(aspek!$A$2:$A$337=B308)*
           (aspek!$B$2:$B$337=C308)*
           (aspek!$C$2:$C$337=D308),0))</f>
        <v>Kemandirian mengubah arah</v>
      </c>
      <c r="F308" s="76">
        <v>2</v>
      </c>
      <c r="G308" s="56" t="str" cm="1">
        <f t="array" ref="G308">INDEX(deskripsi!$D$2:$H$337,
   MATCH(1,(deskripsi!$A$2:$A$337=B308)*
           (deskripsi!$B$2:$B$337=C308)*
           (deskripsi!$C$2:$C$337=D308),0),
   F308)</f>
        <v>Mengubah hanya setelah diminta secara eksplisit.</v>
      </c>
    </row>
    <row r="309" spans="1:7">
      <c r="A309" t="str">
        <f t="shared" si="4"/>
        <v>Planning &amp; Organizing|Department Head|2|3</v>
      </c>
      <c r="B309" t="str">
        <v>Planning &amp; Organizing</v>
      </c>
      <c r="C309" t="str">
        <v>Department Head</v>
      </c>
      <c r="D309" s="76">
        <v>2</v>
      </c>
      <c r="E309" t="str" cm="1">
        <f t="array" ref="E309">INDEX(aspek!$D$2:$D$337,
   MATCH(1,(aspek!$A$2:$A$337=B309)*
           (aspek!$B$2:$B$337=C309)*
           (aspek!$C$2:$C$337=D309),0))</f>
        <v>Kemandirian mengubah arah</v>
      </c>
      <c r="F309" s="76">
        <v>3</v>
      </c>
      <c r="G309" s="56" t="str" cm="1">
        <f t="array" ref="G309">INDEX(deskripsi!$D$2:$H$337,
   MATCH(1,(deskripsi!$A$2:$A$337=B309)*
           (deskripsi!$B$2:$B$337=C309)*
           (deskripsi!$C$2:$C$337=D309),0),
   F309)</f>
        <v>Mengubah setelah diarahkan, dengan sedikit inisiatif sendiri.</v>
      </c>
    </row>
    <row r="310" spans="1:7">
      <c r="A310" t="str">
        <f t="shared" si="4"/>
        <v>Planning &amp; Organizing|Department Head|2|4</v>
      </c>
      <c r="B310" t="str">
        <v>Planning &amp; Organizing</v>
      </c>
      <c r="C310" t="str">
        <v>Department Head</v>
      </c>
      <c r="D310" s="76">
        <v>2</v>
      </c>
      <c r="E310" t="str" cm="1">
        <f t="array" ref="E310">INDEX(aspek!$D$2:$D$337,
   MATCH(1,(aspek!$A$2:$A$337=B310)*
           (aspek!$B$2:$B$337=C310)*
           (aspek!$C$2:$C$337=D310),0))</f>
        <v>Kemandirian mengubah arah</v>
      </c>
      <c r="F310" s="76">
        <v>4</v>
      </c>
      <c r="G310" s="56" t="str" cm="1">
        <f t="array" ref="G310">INDEX(deskripsi!$D$2:$H$337,
   MATCH(1,(deskripsi!$A$2:$A$337=B310)*
           (deskripsi!$B$2:$B$337=C310)*
           (deskripsi!$C$2:$C$337=D310),0),
   F310)</f>
        <v>Mengubah pendekatan secara mandiri tanpa menunggu diminta, dalam batas kewenangannya.</v>
      </c>
    </row>
    <row r="311" spans="1:7">
      <c r="A311" t="str">
        <f t="shared" si="4"/>
        <v>Planning &amp; Organizing|Department Head|2|5</v>
      </c>
      <c r="B311" t="str">
        <v>Planning &amp; Organizing</v>
      </c>
      <c r="C311" t="str">
        <v>Department Head</v>
      </c>
      <c r="D311" s="76">
        <v>2</v>
      </c>
      <c r="E311" t="str" cm="1">
        <f t="array" ref="E311">INDEX(aspek!$D$2:$D$337,
   MATCH(1,(aspek!$A$2:$A$337=B311)*
           (aspek!$B$2:$B$337=C311)*
           (aspek!$C$2:$C$337=D311),0))</f>
        <v>Kemandirian mengubah arah</v>
      </c>
      <c r="F311" s="76">
        <v>5</v>
      </c>
      <c r="G311" s="56" t="str" cm="1">
        <f t="array" ref="G311">INDEX(deskripsi!$D$2:$H$337,
   MATCH(1,(deskripsi!$A$2:$A$337=B311)*
           (deskripsi!$B$2:$B$337=C311)*
           (deskripsi!$C$2:$C$337=D311),0),
   F311)</f>
        <v>Kemandiriannya menular; tim ikut berani mengubah pendekatan tanpa menunggu arahan.</v>
      </c>
    </row>
    <row r="312" spans="1:7">
      <c r="A312" t="str">
        <f t="shared" si="4"/>
        <v>Planning &amp; Organizing|Department Head|3|1</v>
      </c>
      <c r="B312" t="str">
        <v>Planning &amp; Organizing</v>
      </c>
      <c r="C312" t="str">
        <v>Department Head</v>
      </c>
      <c r="D312" s="76">
        <v>3</v>
      </c>
      <c r="E312" t="str" cm="1">
        <f t="array" ref="E312">INDEX(aspek!$D$2:$D$337,
   MATCH(1,(aspek!$A$2:$A$337=B312)*
           (aspek!$B$2:$B$337=C312)*
           (aspek!$C$2:$C$337=D312),0))</f>
        <v>Kecepatan respons</v>
      </c>
      <c r="F312" s="76">
        <v>1</v>
      </c>
      <c r="G312" s="56" t="str" cm="1">
        <f t="array" ref="G312">INDEX(deskripsi!$D$2:$H$337,
   MATCH(1,(deskripsi!$A$2:$A$337=B312)*
           (deskripsi!$B$2:$B$337=C312)*
           (deskripsi!$C$2:$C$337=D312),0),
   F312)</f>
        <v>Merespons jauh setelah kerugian terjadi.</v>
      </c>
    </row>
    <row r="313" spans="1:7">
      <c r="A313" t="str">
        <f t="shared" si="4"/>
        <v>Planning &amp; Organizing|Department Head|3|2</v>
      </c>
      <c r="B313" t="str">
        <v>Planning &amp; Organizing</v>
      </c>
      <c r="C313" t="str">
        <v>Department Head</v>
      </c>
      <c r="D313" s="76">
        <v>3</v>
      </c>
      <c r="E313" t="str" cm="1">
        <f t="array" ref="E313">INDEX(aspek!$D$2:$D$337,
   MATCH(1,(aspek!$A$2:$A$337=B313)*
           (aspek!$B$2:$B$337=C313)*
           (aspek!$C$2:$C$337=D313),0))</f>
        <v>Kecepatan respons</v>
      </c>
      <c r="F313" s="76">
        <v>2</v>
      </c>
      <c r="G313" s="56" t="str" cm="1">
        <f t="array" ref="G313">INDEX(deskripsi!$D$2:$H$337,
   MATCH(1,(deskripsi!$A$2:$A$337=B313)*
           (deskripsi!$B$2:$B$337=C313)*
           (deskripsi!$C$2:$C$337=D313),0),
   F313)</f>
        <v>Merespons setelah kerugian cukup terasa.</v>
      </c>
    </row>
    <row r="314" spans="1:7">
      <c r="A314" t="str">
        <f t="shared" si="4"/>
        <v>Planning &amp; Organizing|Department Head|3|3</v>
      </c>
      <c r="B314" t="str">
        <v>Planning &amp; Organizing</v>
      </c>
      <c r="C314" t="str">
        <v>Department Head</v>
      </c>
      <c r="D314" s="76">
        <v>3</v>
      </c>
      <c r="E314" t="str" cm="1">
        <f t="array" ref="E314">INDEX(aspek!$D$2:$D$337,
   MATCH(1,(aspek!$A$2:$A$337=B314)*
           (aspek!$B$2:$B$337=C314)*
           (aspek!$C$2:$C$337=D314),0))</f>
        <v>Kecepatan respons</v>
      </c>
      <c r="F314" s="76">
        <v>3</v>
      </c>
      <c r="G314" s="56" t="str" cm="1">
        <f t="array" ref="G314">INDEX(deskripsi!$D$2:$H$337,
   MATCH(1,(deskripsi!$A$2:$A$337=B314)*
           (deskripsi!$B$2:$B$337=C314)*
           (deskripsi!$C$2:$C$337=D314),0),
   F314)</f>
        <v>Merespons dalam waktu wajar setelah tanda muncul.</v>
      </c>
    </row>
    <row r="315" spans="1:7">
      <c r="A315" t="str">
        <f t="shared" si="4"/>
        <v>Planning &amp; Organizing|Department Head|3|4</v>
      </c>
      <c r="B315" t="str">
        <v>Planning &amp; Organizing</v>
      </c>
      <c r="C315" t="str">
        <v>Department Head</v>
      </c>
      <c r="D315" s="76">
        <v>3</v>
      </c>
      <c r="E315" t="str" cm="1">
        <f t="array" ref="E315">INDEX(aspek!$D$2:$D$337,
   MATCH(1,(aspek!$A$2:$A$337=B315)*
           (aspek!$B$2:$B$337=C315)*
           (aspek!$C$2:$C$337=D315),0))</f>
        <v>Kecepatan respons</v>
      </c>
      <c r="F315" s="76">
        <v>4</v>
      </c>
      <c r="G315" s="56" t="str" cm="1">
        <f t="array" ref="G315">INDEX(deskripsi!$D$2:$H$337,
   MATCH(1,(deskripsi!$A$2:$A$337=B315)*
           (deskripsi!$B$2:$B$337=C315)*
           (deskripsi!$C$2:$C$337=D315),0),
   F315)</f>
        <v>Merespons cepat begitu tanda ketidakefektifan terlihat, sebelum kerugian membesar.</v>
      </c>
    </row>
    <row r="316" spans="1:7">
      <c r="A316" t="str">
        <f t="shared" si="4"/>
        <v>Planning &amp; Organizing|Department Head|3|5</v>
      </c>
      <c r="B316" t="str">
        <v>Planning &amp; Organizing</v>
      </c>
      <c r="C316" t="str">
        <v>Department Head</v>
      </c>
      <c r="D316" s="76">
        <v>3</v>
      </c>
      <c r="E316" t="str" cm="1">
        <f t="array" ref="E316">INDEX(aspek!$D$2:$D$337,
   MATCH(1,(aspek!$A$2:$A$337=B316)*
           (aspek!$B$2:$B$337=C316)*
           (aspek!$C$2:$C$337=D316),0))</f>
        <v>Kecepatan respons</v>
      </c>
      <c r="F316" s="76">
        <v>5</v>
      </c>
      <c r="G316" s="56" t="str" cm="1">
        <f t="array" ref="G316">INDEX(deskripsi!$D$2:$H$337,
   MATCH(1,(deskripsi!$A$2:$A$337=B316)*
           (deskripsi!$B$2:$B$337=C316)*
           (deskripsi!$C$2:$C$337=D316),0),
   F316)</f>
        <v>Responsnya menjadi standar kecepatan bagi unit.</v>
      </c>
    </row>
    <row r="317" spans="1:7">
      <c r="A317" t="str">
        <f t="shared" si="4"/>
        <v>Planning &amp; Organizing|Department Head|4|1</v>
      </c>
      <c r="B317" t="str">
        <v>Planning &amp; Organizing</v>
      </c>
      <c r="C317" t="str">
        <v>Department Head</v>
      </c>
      <c r="D317" s="76">
        <v>4</v>
      </c>
      <c r="E317" t="str" cm="1">
        <f t="array" ref="E317">INDEX(aspek!$D$2:$D$337,
   MATCH(1,(aspek!$A$2:$A$337=B317)*
           (aspek!$B$2:$B$337=C317)*
           (aspek!$C$2:$C$337=D317),0))</f>
        <v>Rencana alternatif untuk kendala strategis</v>
      </c>
      <c r="F317" s="76">
        <v>1</v>
      </c>
      <c r="G317" s="56" t="str" cm="1">
        <f t="array" ref="G317">INDEX(deskripsi!$D$2:$H$337,
   MATCH(1,(deskripsi!$A$2:$A$337=B317)*
           (deskripsi!$B$2:$B$337=C317)*
           (deskripsi!$C$2:$C$337=D317),0),
   F317)</f>
        <v>Tidak menyiapkan rencana alternatif untuk kendala jangka panjang.</v>
      </c>
    </row>
    <row r="318" spans="1:7">
      <c r="A318" t="str">
        <f t="shared" si="4"/>
        <v>Planning &amp; Organizing|Department Head|4|2</v>
      </c>
      <c r="B318" t="str">
        <v>Planning &amp; Organizing</v>
      </c>
      <c r="C318" t="str">
        <v>Department Head</v>
      </c>
      <c r="D318" s="76">
        <v>4</v>
      </c>
      <c r="E318" t="str" cm="1">
        <f t="array" ref="E318">INDEX(aspek!$D$2:$D$337,
   MATCH(1,(aspek!$A$2:$A$337=B318)*
           (aspek!$B$2:$B$337=C318)*
           (aspek!$C$2:$C$337=D318),0))</f>
        <v>Rencana alternatif untuk kendala strategis</v>
      </c>
      <c r="F318" s="76">
        <v>2</v>
      </c>
      <c r="G318" s="56" t="str" cm="1">
        <f t="array" ref="G318">INDEX(deskripsi!$D$2:$H$337,
   MATCH(1,(deskripsi!$A$2:$A$337=B318)*
           (deskripsi!$B$2:$B$337=C318)*
           (deskripsi!$C$2:$C$337=D318),0),
   F318)</f>
        <v>Menyiapkan rencana alternatif hanya setelah kendala benar-benar terjadi.</v>
      </c>
    </row>
    <row r="319" spans="1:7">
      <c r="A319" t="str">
        <f t="shared" si="4"/>
        <v>Planning &amp; Organizing|Department Head|4|3</v>
      </c>
      <c r="B319" t="str">
        <v>Planning &amp; Organizing</v>
      </c>
      <c r="C319" t="str">
        <v>Department Head</v>
      </c>
      <c r="D319" s="76">
        <v>4</v>
      </c>
      <c r="E319" t="str" cm="1">
        <f t="array" ref="E319">INDEX(aspek!$D$2:$D$337,
   MATCH(1,(aspek!$A$2:$A$337=B319)*
           (aspek!$B$2:$B$337=C319)*
           (aspek!$C$2:$C$337=D319),0))</f>
        <v>Rencana alternatif untuk kendala strategis</v>
      </c>
      <c r="F319" s="76">
        <v>3</v>
      </c>
      <c r="G319" s="56" t="str" cm="1">
        <f t="array" ref="G319">INDEX(deskripsi!$D$2:$H$337,
   MATCH(1,(deskripsi!$A$2:$A$337=B319)*
           (deskripsi!$B$2:$B$337=C319)*
           (deskripsi!$C$2:$C$337=D319),0),
   F319)</f>
        <v>Menyiapkan rencana alternatif untuk kendala yang sudah jelas.</v>
      </c>
    </row>
    <row r="320" spans="1:7">
      <c r="A320" t="str">
        <f t="shared" si="4"/>
        <v>Planning &amp; Organizing|Department Head|4|4</v>
      </c>
      <c r="B320" t="str">
        <v>Planning &amp; Organizing</v>
      </c>
      <c r="C320" t="str">
        <v>Department Head</v>
      </c>
      <c r="D320" s="76">
        <v>4</v>
      </c>
      <c r="E320" t="str" cm="1">
        <f t="array" ref="E320">INDEX(aspek!$D$2:$D$337,
   MATCH(1,(aspek!$A$2:$A$337=B320)*
           (aspek!$B$2:$B$337=C320)*
           (aspek!$C$2:$C$337=D320),0))</f>
        <v>Rencana alternatif untuk kendala strategis</v>
      </c>
      <c r="F320" s="76">
        <v>4</v>
      </c>
      <c r="G320" s="56" t="str" cm="1">
        <f t="array" ref="G320">INDEX(deskripsi!$D$2:$H$337,
   MATCH(1,(deskripsi!$A$2:$A$337=B320)*
           (deskripsi!$B$2:$B$337=C320)*
           (deskripsi!$C$2:$C$337=D320),0),
   F320)</f>
        <v>Mengidentifikasi kendala strategis jangka panjang dan menyusun rencana alternatif di muka.</v>
      </c>
    </row>
    <row r="321" spans="1:7">
      <c r="A321" t="str">
        <f t="shared" si="4"/>
        <v>Planning &amp; Organizing|Department Head|4|5</v>
      </c>
      <c r="B321" t="str">
        <v>Planning &amp; Organizing</v>
      </c>
      <c r="C321" t="str">
        <v>Department Head</v>
      </c>
      <c r="D321" s="76">
        <v>4</v>
      </c>
      <c r="E321" t="str" cm="1">
        <f t="array" ref="E321">INDEX(aspek!$D$2:$D$337,
   MATCH(1,(aspek!$A$2:$A$337=B321)*
           (aspek!$B$2:$B$337=C321)*
           (aspek!$C$2:$C$337=D321),0))</f>
        <v>Rencana alternatif untuk kendala strategis</v>
      </c>
      <c r="F321" s="76">
        <v>5</v>
      </c>
      <c r="G321" s="56" t="str" cm="1">
        <f t="array" ref="G321">INDEX(deskripsi!$D$2:$H$337,
   MATCH(1,(deskripsi!$A$2:$A$337=B321)*
           (deskripsi!$B$2:$B$337=C321)*
           (deskripsi!$C$2:$C$337=D321),0),
   F321)</f>
        <v>Rencana alternatifnya menjadi acuan bagi unit lain.</v>
      </c>
    </row>
    <row r="322" spans="1:7">
      <c r="A322" t="str">
        <f t="shared" si="4"/>
        <v>Planning &amp; Organizing|Division Head|1|1</v>
      </c>
      <c r="B322" t="str">
        <v>Planning &amp; Organizing</v>
      </c>
      <c r="C322" t="str">
        <v>Division Head</v>
      </c>
      <c r="D322" s="76">
        <v>1</v>
      </c>
      <c r="E322" t="str" cm="1">
        <f t="array" ref="E322">INDEX(aspek!$D$2:$D$337,
   MATCH(1,(aspek!$A$2:$A$337=B322)*
           (aspek!$B$2:$B$337=C322)*
           (aspek!$C$2:$C$337=D322),0))</f>
        <v>Kapan kebutuhan sumber daya dipikirkan</v>
      </c>
      <c r="F322" s="76">
        <v>1</v>
      </c>
      <c r="G322" s="56" t="str" cm="1">
        <f t="array" ref="G322">INDEX(deskripsi!$D$2:$H$337,
   MATCH(1,(deskripsi!$A$2:$A$337=B322)*
           (deskripsi!$B$2:$B$337=C322)*
           (deskripsi!$C$2:$C$337=D322),0),
   F322)</f>
        <v>Ditangani sambil berjalan.</v>
      </c>
    </row>
    <row r="323" spans="1:7">
      <c r="A323" t="str">
        <f t="shared" ref="A323:A386" si="5">B323&amp;"|"&amp;C323&amp;"|"&amp;D323&amp;"|"&amp;F323</f>
        <v>Planning &amp; Organizing|Division Head|1|2</v>
      </c>
      <c r="B323" t="str">
        <v>Planning &amp; Organizing</v>
      </c>
      <c r="C323" t="str">
        <v>Division Head</v>
      </c>
      <c r="D323" s="76">
        <v>1</v>
      </c>
      <c r="E323" t="str" cm="1">
        <f t="array" ref="E323">INDEX(aspek!$D$2:$D$337,
   MATCH(1,(aspek!$A$2:$A$337=B323)*
           (aspek!$B$2:$B$337=C323)*
           (aspek!$C$2:$C$337=D323),0))</f>
        <v>Kapan kebutuhan sumber daya dipikirkan</v>
      </c>
      <c r="F323" s="76">
        <v>2</v>
      </c>
      <c r="G323" s="56" t="str" cm="1">
        <f t="array" ref="G323">INDEX(deskripsi!$D$2:$H$337,
   MATCH(1,(deskripsi!$A$2:$A$337=B323)*
           (deskripsi!$B$2:$B$337=C323)*
           (deskripsi!$C$2:$C$337=D323),0),
   F323)</f>
        <v>Diperkirakan garis besar sebelum mulai.</v>
      </c>
    </row>
    <row r="324" spans="1:7">
      <c r="A324" t="str">
        <f t="shared" si="5"/>
        <v>Planning &amp; Organizing|Division Head|1|3</v>
      </c>
      <c r="B324" t="str">
        <v>Planning &amp; Organizing</v>
      </c>
      <c r="C324" t="str">
        <v>Division Head</v>
      </c>
      <c r="D324" s="76">
        <v>1</v>
      </c>
      <c r="E324" t="str" cm="1">
        <f t="array" ref="E324">INDEX(aspek!$D$2:$D$337,
   MATCH(1,(aspek!$A$2:$A$337=B324)*
           (aspek!$B$2:$B$337=C324)*
           (aspek!$C$2:$C$337=D324),0))</f>
        <v>Kapan kebutuhan sumber daya dipikirkan</v>
      </c>
      <c r="F324" s="76">
        <v>3</v>
      </c>
      <c r="G324" s="56" t="str" cm="1">
        <f t="array" ref="G324">INDEX(deskripsi!$D$2:$H$337,
   MATCH(1,(deskripsi!$A$2:$A$337=B324)*
           (deskripsi!$B$2:$B$337=C324)*
           (deskripsi!$C$2:$C$337=D324),0),
   F324)</f>
        <v>Dihitung rinci sebelum pelaksanaan, keempat kategori.</v>
      </c>
    </row>
    <row r="325" spans="1:7">
      <c r="A325" t="str">
        <f t="shared" si="5"/>
        <v>Planning &amp; Organizing|Division Head|1|4</v>
      </c>
      <c r="B325" t="str">
        <v>Planning &amp; Organizing</v>
      </c>
      <c r="C325" t="str">
        <v>Division Head</v>
      </c>
      <c r="D325" s="76">
        <v>1</v>
      </c>
      <c r="E325" t="str" cm="1">
        <f t="array" ref="E325">INDEX(aspek!$D$2:$D$337,
   MATCH(1,(aspek!$A$2:$A$337=B325)*
           (aspek!$B$2:$B$337=C325)*
           (aspek!$C$2:$C$337=D325),0))</f>
        <v>Kapan kebutuhan sumber daya dipikirkan</v>
      </c>
      <c r="F325" s="76">
        <v>4</v>
      </c>
      <c r="G325" s="56" t="str" cm="1">
        <f t="array" ref="G325">INDEX(deskripsi!$D$2:$H$337,
   MATCH(1,(deskripsi!$A$2:$A$337=B325)*
           (deskripsi!$B$2:$B$337=C325)*
           (deskripsi!$C$2:$C$337=D325),0),
   F325)</f>
        <v>Perhitungan rinci sebelum mulai menjadi kebiasaan tetap.</v>
      </c>
    </row>
    <row r="326" spans="1:7">
      <c r="A326" t="str">
        <f t="shared" si="5"/>
        <v>Planning &amp; Organizing|Division Head|1|5</v>
      </c>
      <c r="B326" t="str">
        <v>Planning &amp; Organizing</v>
      </c>
      <c r="C326" t="str">
        <v>Division Head</v>
      </c>
      <c r="D326" s="76">
        <v>1</v>
      </c>
      <c r="E326" t="str" cm="1">
        <f t="array" ref="E326">INDEX(aspek!$D$2:$D$337,
   MATCH(1,(aspek!$A$2:$A$337=B326)*
           (aspek!$B$2:$B$337=C326)*
           (aspek!$C$2:$C$337=D326),0))</f>
        <v>Kapan kebutuhan sumber daya dipikirkan</v>
      </c>
      <c r="F326" s="76">
        <v>5</v>
      </c>
      <c r="G326" s="56" t="str" cm="1">
        <f t="array" ref="G326">INDEX(deskripsi!$D$2:$H$337,
   MATCH(1,(deskripsi!$A$2:$A$337=B326)*
           (deskripsi!$B$2:$B$337=C326)*
           (deskripsi!$C$2:$C$337=D326),0),
   F326)</f>
        <v>Metode perhitungannya dipakai unit lain.</v>
      </c>
    </row>
    <row r="327" spans="1:7">
      <c r="A327" t="str">
        <f t="shared" si="5"/>
        <v>Planning &amp; Organizing|Division Head|2|1</v>
      </c>
      <c r="B327" t="str">
        <v>Planning &amp; Organizing</v>
      </c>
      <c r="C327" t="str">
        <v>Division Head</v>
      </c>
      <c r="D327" s="76">
        <v>2</v>
      </c>
      <c r="E327" t="str" cm="1">
        <f t="array" ref="E327">INDEX(aspek!$D$2:$D$337,
   MATCH(1,(aspek!$A$2:$A$337=B327)*
           (aspek!$B$2:$B$337=C327)*
           (aspek!$C$2:$C$337=D327),0))</f>
        <v>Alokasi sesuai prioritas</v>
      </c>
      <c r="F327" s="76">
        <v>1</v>
      </c>
      <c r="G327" s="56" t="str" cm="1">
        <f t="array" ref="G327">INDEX(deskripsi!$D$2:$H$337,
   MATCH(1,(deskripsi!$A$2:$A$337=B327)*
           (deskripsi!$B$2:$B$337=C327)*
           (deskripsi!$C$2:$C$337=D327),0),
   F327)</f>
        <v>Mengalokasikan berdasarkan siapa yang meminta lebih dulu.</v>
      </c>
    </row>
    <row r="328" spans="1:7">
      <c r="A328" t="str">
        <f t="shared" si="5"/>
        <v>Planning &amp; Organizing|Division Head|2|2</v>
      </c>
      <c r="B328" t="str">
        <v>Planning &amp; Organizing</v>
      </c>
      <c r="C328" t="str">
        <v>Division Head</v>
      </c>
      <c r="D328" s="76">
        <v>2</v>
      </c>
      <c r="E328" t="str" cm="1">
        <f t="array" ref="E328">INDEX(aspek!$D$2:$D$337,
   MATCH(1,(aspek!$A$2:$A$337=B328)*
           (aspek!$B$2:$B$337=C328)*
           (aspek!$C$2:$C$337=D328),0))</f>
        <v>Alokasi sesuai prioritas</v>
      </c>
      <c r="F328" s="76">
        <v>2</v>
      </c>
      <c r="G328" s="56" t="str" cm="1">
        <f t="array" ref="G328">INDEX(deskripsi!$D$2:$H$337,
   MATCH(1,(deskripsi!$A$2:$A$337=B328)*
           (deskripsi!$B$2:$B$337=C328)*
           (deskripsi!$C$2:$C$337=D328),0),
   F328)</f>
        <v>Menyadari perlunya prioritas, keputusan tidak konsisten.</v>
      </c>
    </row>
    <row r="329" spans="1:7">
      <c r="A329" t="str">
        <f t="shared" si="5"/>
        <v>Planning &amp; Organizing|Division Head|2|3</v>
      </c>
      <c r="B329" t="str">
        <v>Planning &amp; Organizing</v>
      </c>
      <c r="C329" t="str">
        <v>Division Head</v>
      </c>
      <c r="D329" s="76">
        <v>2</v>
      </c>
      <c r="E329" t="str" cm="1">
        <f t="array" ref="E329">INDEX(aspek!$D$2:$D$337,
   MATCH(1,(aspek!$A$2:$A$337=B329)*
           (aspek!$B$2:$B$337=C329)*
           (aspek!$C$2:$C$337=D329),0))</f>
        <v>Alokasi sesuai prioritas</v>
      </c>
      <c r="F329" s="76">
        <v>3</v>
      </c>
      <c r="G329" s="56" t="str" cm="1">
        <f t="array" ref="G329">INDEX(deskripsi!$D$2:$H$337,
   MATCH(1,(deskripsi!$A$2:$A$337=B329)*
           (deskripsi!$B$2:$B$337=C329)*
           (deskripsi!$C$2:$C$337=D329),0),
   F329)</f>
        <v>Mengalokasikan berdasarkan prioritas atasan.</v>
      </c>
    </row>
    <row r="330" spans="1:7">
      <c r="A330" t="str">
        <f t="shared" si="5"/>
        <v>Planning &amp; Organizing|Division Head|2|4</v>
      </c>
      <c r="B330" t="str">
        <v>Planning &amp; Organizing</v>
      </c>
      <c r="C330" t="str">
        <v>Division Head</v>
      </c>
      <c r="D330" s="76">
        <v>2</v>
      </c>
      <c r="E330" t="str" cm="1">
        <f t="array" ref="E330">INDEX(aspek!$D$2:$D$337,
   MATCH(1,(aspek!$A$2:$A$337=B330)*
           (aspek!$B$2:$B$337=C330)*
           (aspek!$C$2:$C$337=D330),0))</f>
        <v>Alokasi sesuai prioritas</v>
      </c>
      <c r="F330" s="76">
        <v>4</v>
      </c>
      <c r="G330" s="56" t="str" cm="1">
        <f t="array" ref="G330">INDEX(deskripsi!$D$2:$H$337,
   MATCH(1,(deskripsi!$A$2:$A$337=B330)*
           (deskripsi!$B$2:$B$337=C330)*
           (deskripsi!$C$2:$C$337=D330),0),
   F330)</f>
        <v>Menetapkan kriteria prioritas sendiri dan konsisten menerapkannya.</v>
      </c>
    </row>
    <row r="331" spans="1:7">
      <c r="A331" t="str">
        <f t="shared" si="5"/>
        <v>Planning &amp; Organizing|Division Head|2|5</v>
      </c>
      <c r="B331" t="str">
        <v>Planning &amp; Organizing</v>
      </c>
      <c r="C331" t="str">
        <v>Division Head</v>
      </c>
      <c r="D331" s="76">
        <v>2</v>
      </c>
      <c r="E331" t="str" cm="1">
        <f t="array" ref="E331">INDEX(aspek!$D$2:$D$337,
   MATCH(1,(aspek!$A$2:$A$337=B331)*
           (aspek!$B$2:$B$337=C331)*
           (aspek!$C$2:$C$337=D331),0))</f>
        <v>Alokasi sesuai prioritas</v>
      </c>
      <c r="F331" s="76">
        <v>5</v>
      </c>
      <c r="G331" s="56" t="str" cm="1">
        <f t="array" ref="G331">INDEX(deskripsi!$D$2:$H$337,
   MATCH(1,(deskripsi!$A$2:$A$337=B331)*
           (deskripsi!$B$2:$B$337=C331)*
           (deskripsi!$C$2:$C$337=D331),0),
   F331)</f>
        <v>Kriteria prioritasnya diadopsi sebagai standar organisasi.</v>
      </c>
    </row>
    <row r="332" spans="1:7">
      <c r="A332" t="str">
        <f t="shared" si="5"/>
        <v>Planning &amp; Organizing|Division Head|3|1</v>
      </c>
      <c r="B332" t="str">
        <v>Planning &amp; Organizing</v>
      </c>
      <c r="C332" t="str">
        <v>Division Head</v>
      </c>
      <c r="D332" s="76">
        <v>3</v>
      </c>
      <c r="E332" t="str" cm="1">
        <f t="array" ref="E332">INDEX(aspek!$D$2:$D$337,
   MATCH(1,(aspek!$A$2:$A$337=B332)*
           (aspek!$B$2:$B$337=C332)*
           (aspek!$C$2:$C$337=D332),0))</f>
        <v>Antisipasi kendala pelaksanaan</v>
      </c>
      <c r="F332" s="76">
        <v>1</v>
      </c>
      <c r="G332" s="56" t="str" cm="1">
        <f t="array" ref="G332">INDEX(deskripsi!$D$2:$H$337,
   MATCH(1,(deskripsi!$A$2:$A$337=B332)*
           (deskripsi!$B$2:$B$337=C332)*
           (deskripsi!$C$2:$C$337=D332),0),
   F332)</f>
        <v>Tidak mempertimbangkan kemungkinan gagal.</v>
      </c>
    </row>
    <row r="333" spans="1:7">
      <c r="A333" t="str">
        <f t="shared" si="5"/>
        <v>Planning &amp; Organizing|Division Head|3|2</v>
      </c>
      <c r="B333" t="str">
        <v>Planning &amp; Organizing</v>
      </c>
      <c r="C333" t="str">
        <v>Division Head</v>
      </c>
      <c r="D333" s="76">
        <v>3</v>
      </c>
      <c r="E333" t="str" cm="1">
        <f t="array" ref="E333">INDEX(aspek!$D$2:$D$337,
   MATCH(1,(aspek!$A$2:$A$337=B333)*
           (aspek!$B$2:$B$337=C333)*
           (aspek!$C$2:$C$337=D333),0))</f>
        <v>Antisipasi kendala pelaksanaan</v>
      </c>
      <c r="F333" s="76">
        <v>2</v>
      </c>
      <c r="G333" s="56" t="str" cm="1">
        <f t="array" ref="G333">INDEX(deskripsi!$D$2:$H$337,
   MATCH(1,(deskripsi!$A$2:$A$337=B333)*
           (deskripsi!$B$2:$B$337=C333)*
           (deskripsi!$C$2:$C$337=D333),0),
   F333)</f>
        <v>Menyadari risiko, tidak menyiapkan langkah.</v>
      </c>
    </row>
    <row r="334" spans="1:7">
      <c r="A334" t="str">
        <f t="shared" si="5"/>
        <v>Planning &amp; Organizing|Division Head|3|3</v>
      </c>
      <c r="B334" t="str">
        <v>Planning &amp; Organizing</v>
      </c>
      <c r="C334" t="str">
        <v>Division Head</v>
      </c>
      <c r="D334" s="76">
        <v>3</v>
      </c>
      <c r="E334" t="str" cm="1">
        <f t="array" ref="E334">INDEX(aspek!$D$2:$D$337,
   MATCH(1,(aspek!$A$2:$A$337=B334)*
           (aspek!$B$2:$B$337=C334)*
           (aspek!$C$2:$C$337=D334),0))</f>
        <v>Antisipasi kendala pelaksanaan</v>
      </c>
      <c r="F334" s="76">
        <v>3</v>
      </c>
      <c r="G334" s="56" t="str" cm="1">
        <f t="array" ref="G334">INDEX(deskripsi!$D$2:$H$337,
   MATCH(1,(deskripsi!$A$2:$A$337=B334)*
           (deskripsi!$B$2:$B$337=C334)*
           (deskripsi!$C$2:$C$337=D334),0),
   F334)</f>
        <v>Mencatat daftar risiko generik tanpa langkah cadangan.</v>
      </c>
    </row>
    <row r="335" spans="1:7">
      <c r="A335" t="str">
        <f t="shared" si="5"/>
        <v>Planning &amp; Organizing|Division Head|3|4</v>
      </c>
      <c r="B335" t="str">
        <v>Planning &amp; Organizing</v>
      </c>
      <c r="C335" t="str">
        <v>Division Head</v>
      </c>
      <c r="D335" s="76">
        <v>3</v>
      </c>
      <c r="E335" t="str" cm="1">
        <f t="array" ref="E335">INDEX(aspek!$D$2:$D$337,
   MATCH(1,(aspek!$A$2:$A$337=B335)*
           (aspek!$B$2:$B$337=C335)*
           (aspek!$C$2:$C$337=D335),0))</f>
        <v>Antisipasi kendala pelaksanaan</v>
      </c>
      <c r="F335" s="76">
        <v>4</v>
      </c>
      <c r="G335" s="56" t="str" cm="1">
        <f t="array" ref="G335">INDEX(deskripsi!$D$2:$H$337,
   MATCH(1,(deskripsi!$A$2:$A$337=B335)*
           (deskripsi!$B$2:$B$337=C335)*
           (deskripsi!$C$2:$C$337=D335),0),
   F335)</f>
        <v>Mengidentifikasi kendala PALING MUNGKIN berdasarkan riwayat dan menyiapkan cadangan.</v>
      </c>
    </row>
    <row r="336" spans="1:7">
      <c r="A336" t="str">
        <f t="shared" si="5"/>
        <v>Planning &amp; Organizing|Division Head|3|5</v>
      </c>
      <c r="B336" t="str">
        <v>Planning &amp; Organizing</v>
      </c>
      <c r="C336" t="str">
        <v>Division Head</v>
      </c>
      <c r="D336" s="76">
        <v>3</v>
      </c>
      <c r="E336" t="str" cm="1">
        <f t="array" ref="E336">INDEX(aspek!$D$2:$D$337,
   MATCH(1,(aspek!$A$2:$A$337=B336)*
           (aspek!$B$2:$B$337=C336)*
           (aspek!$C$2:$C$337=D336),0))</f>
        <v>Antisipasi kendala pelaksanaan</v>
      </c>
      <c r="F336" s="76">
        <v>5</v>
      </c>
      <c r="G336" s="56" t="str" cm="1">
        <f t="array" ref="G336">INDEX(deskripsi!$D$2:$H$337,
   MATCH(1,(deskripsi!$A$2:$A$337=B336)*
           (deskripsi!$B$2:$B$337=C336)*
           (deskripsi!$C$2:$C$337=D336),0),
   F336)</f>
        <v>Daftar kendala dan cadangannya menjadi rujukan unit lain.</v>
      </c>
    </row>
    <row r="337" spans="1:7">
      <c r="A337" t="str">
        <f t="shared" si="5"/>
        <v>Planning &amp; Organizing|Division Head|4|1</v>
      </c>
      <c r="B337" t="str">
        <v>Planning &amp; Organizing</v>
      </c>
      <c r="C337" t="str">
        <v>Division Head</v>
      </c>
      <c r="D337" s="76">
        <v>4</v>
      </c>
      <c r="E337" t="str" cm="1">
        <f t="array" ref="E337">INDEX(aspek!$D$2:$D$337,
   MATCH(1,(aspek!$A$2:$A$337=B337)*
           (aspek!$B$2:$B$337=C337)*
           (aspek!$C$2:$C$337=D337),0))</f>
        <v>Rencana cadangan yang benar-benar dipakai</v>
      </c>
      <c r="F337" s="76">
        <v>1</v>
      </c>
      <c r="G337" s="56" t="str" cm="1">
        <f t="array" ref="G337">INDEX(deskripsi!$D$2:$H$337,
   MATCH(1,(deskripsi!$A$2:$A$337=B337)*
           (deskripsi!$B$2:$B$337=C337)*
           (deskripsi!$C$2:$C$337=D337),0),
   F337)</f>
        <v>Kendala ditangani ad hoc.</v>
      </c>
    </row>
    <row r="338" spans="1:7">
      <c r="A338" t="str">
        <f t="shared" si="5"/>
        <v>Planning &amp; Organizing|Division Head|4|2</v>
      </c>
      <c r="B338" t="str">
        <v>Planning &amp; Organizing</v>
      </c>
      <c r="C338" t="str">
        <v>Division Head</v>
      </c>
      <c r="D338" s="76">
        <v>4</v>
      </c>
      <c r="E338" t="str" cm="1">
        <f t="array" ref="E338">INDEX(aspek!$D$2:$D$337,
   MATCH(1,(aspek!$A$2:$A$337=B338)*
           (aspek!$B$2:$B$337=C338)*
           (aspek!$C$2:$C$337=D338),0))</f>
        <v>Rencana cadangan yang benar-benar dipakai</v>
      </c>
      <c r="F338" s="76">
        <v>2</v>
      </c>
      <c r="G338" s="56" t="str" cm="1">
        <f t="array" ref="G338">INDEX(deskripsi!$D$2:$H$337,
   MATCH(1,(deskripsi!$A$2:$A$337=B338)*
           (deskripsi!$B$2:$B$337=C338)*
           (deskripsi!$C$2:$C$337=D338),0),
   F338)</f>
        <v>Rencana cadangan disusun tetapi tidak diperiksa lagi.</v>
      </c>
    </row>
    <row r="339" spans="1:7">
      <c r="A339" t="str">
        <f t="shared" si="5"/>
        <v>Planning &amp; Organizing|Division Head|4|3</v>
      </c>
      <c r="B339" t="str">
        <v>Planning &amp; Organizing</v>
      </c>
      <c r="C339" t="str">
        <v>Division Head</v>
      </c>
      <c r="D339" s="76">
        <v>4</v>
      </c>
      <c r="E339" t="str" cm="1">
        <f t="array" ref="E339">INDEX(aspek!$D$2:$D$337,
   MATCH(1,(aspek!$A$2:$A$337=B339)*
           (aspek!$B$2:$B$337=C339)*
           (aspek!$C$2:$C$337=D339),0))</f>
        <v>Rencana cadangan yang benar-benar dipakai</v>
      </c>
      <c r="F339" s="76">
        <v>3</v>
      </c>
      <c r="G339" s="56" t="str" cm="1">
        <f t="array" ref="G339">INDEX(deskripsi!$D$2:$H$337,
   MATCH(1,(deskripsi!$A$2:$A$337=B339)*
           (deskripsi!$B$2:$B$337=C339)*
           (deskripsi!$C$2:$C$337=D339),0),
   F339)</f>
        <v>Rencana cadangan dipakai ketika kendala terjadi.</v>
      </c>
    </row>
    <row r="340" spans="1:7">
      <c r="A340" t="str">
        <f t="shared" si="5"/>
        <v>Planning &amp; Organizing|Division Head|4|4</v>
      </c>
      <c r="B340" t="str">
        <v>Planning &amp; Organizing</v>
      </c>
      <c r="C340" t="str">
        <v>Division Head</v>
      </c>
      <c r="D340" s="76">
        <v>4</v>
      </c>
      <c r="E340" t="str" cm="1">
        <f t="array" ref="E340">INDEX(aspek!$D$2:$D$337,
   MATCH(1,(aspek!$A$2:$A$337=B340)*
           (aspek!$B$2:$B$337=C340)*
           (aspek!$C$2:$C$337=D340),0))</f>
        <v>Rencana cadangan yang benar-benar dipakai</v>
      </c>
      <c r="F340" s="76">
        <v>4</v>
      </c>
      <c r="G340" s="56" t="str" cm="1">
        <f t="array" ref="G340">INDEX(deskripsi!$D$2:$H$337,
   MATCH(1,(deskripsi!$A$2:$A$337=B340)*
           (deskripsi!$B$2:$B$337=C340)*
           (deskripsi!$C$2:$C$337=D340),0),
   F340)</f>
        <v>Rencana cadangan berhasil menjaga pekerjaan tetap berjalan tanpa henti berarti.</v>
      </c>
    </row>
    <row r="341" spans="1:7">
      <c r="A341" t="str">
        <f t="shared" si="5"/>
        <v>Planning &amp; Organizing|Division Head|4|5</v>
      </c>
      <c r="B341" t="str">
        <v>Planning &amp; Organizing</v>
      </c>
      <c r="C341" t="str">
        <v>Division Head</v>
      </c>
      <c r="D341" s="76">
        <v>4</v>
      </c>
      <c r="E341" t="str" cm="1">
        <f t="array" ref="E341">INDEX(aspek!$D$2:$D$337,
   MATCH(1,(aspek!$A$2:$A$337=B341)*
           (aspek!$B$2:$B$337=C341)*
           (aspek!$C$2:$C$337=D341),0))</f>
        <v>Rencana cadangan yang benar-benar dipakai</v>
      </c>
      <c r="F341" s="76">
        <v>5</v>
      </c>
      <c r="G341" s="56" t="str" cm="1">
        <f t="array" ref="G341">INDEX(deskripsi!$D$2:$H$337,
   MATCH(1,(deskripsi!$A$2:$A$337=B341)*
           (deskripsi!$B$2:$B$337=C341)*
           (deskripsi!$C$2:$C$337=D341),0),
   F341)</f>
        <v>Rencana cadangannya menjadi standar penanganan kendala sejenis di luar unitnya.</v>
      </c>
    </row>
    <row r="342" spans="1:7">
      <c r="A342" t="str">
        <f t="shared" si="5"/>
        <v>Planning &amp; Organizing|Director|1|1</v>
      </c>
      <c r="B342" t="str">
        <v>Planning &amp; Organizing</v>
      </c>
      <c r="C342" t="str">
        <v>Director</v>
      </c>
      <c r="D342" s="76">
        <v>1</v>
      </c>
      <c r="E342" t="str" cm="1">
        <f t="array" ref="E342">INDEX(aspek!$D$2:$D$337,
   MATCH(1,(aspek!$A$2:$A$337=B342)*
           (aspek!$B$2:$B$337=C342)*
           (aspek!$C$2:$C$337=D342),0))</f>
        <v>Ketinggian standar perencanaan</v>
      </c>
      <c r="F342" s="76">
        <v>1</v>
      </c>
      <c r="G342" s="56" t="str" cm="1">
        <f t="array" ref="G342">INDEX(deskripsi!$D$2:$H$337,
   MATCH(1,(deskripsi!$A$2:$A$337=B342)*
           (deskripsi!$B$2:$B$337=C342)*
           (deskripsi!$C$2:$C$337=D342),0),
   F342)</f>
        <v>Menerima standar perencanaan yang berlaku apa adanya.</v>
      </c>
    </row>
    <row r="343" spans="1:7">
      <c r="A343" t="str">
        <f t="shared" si="5"/>
        <v>Planning &amp; Organizing|Director|1|2</v>
      </c>
      <c r="B343" t="str">
        <v>Planning &amp; Organizing</v>
      </c>
      <c r="C343" t="str">
        <v>Director</v>
      </c>
      <c r="D343" s="76">
        <v>1</v>
      </c>
      <c r="E343" t="str" cm="1">
        <f t="array" ref="E343">INDEX(aspek!$D$2:$D$337,
   MATCH(1,(aspek!$A$2:$A$337=B343)*
           (aspek!$B$2:$B$337=C343)*
           (aspek!$C$2:$C$337=D343),0))</f>
        <v>Ketinggian standar perencanaan</v>
      </c>
      <c r="F343" s="76">
        <v>2</v>
      </c>
      <c r="G343" s="56" t="str" cm="1">
        <f t="array" ref="G343">INDEX(deskripsi!$D$2:$H$337,
   MATCH(1,(deskripsi!$A$2:$A$337=B343)*
           (deskripsi!$B$2:$B$337=C343)*
           (deskripsi!$C$2:$C$337=D343),0),
   F343)</f>
        <v>Menaikkan standar hanya ketika diminta.</v>
      </c>
    </row>
    <row r="344" spans="1:7">
      <c r="A344" t="str">
        <f t="shared" si="5"/>
        <v>Planning &amp; Organizing|Director|1|3</v>
      </c>
      <c r="B344" t="str">
        <v>Planning &amp; Organizing</v>
      </c>
      <c r="C344" t="str">
        <v>Director</v>
      </c>
      <c r="D344" s="76">
        <v>1</v>
      </c>
      <c r="E344" t="str" cm="1">
        <f t="array" ref="E344">INDEX(aspek!$D$2:$D$337,
   MATCH(1,(aspek!$A$2:$A$337=B344)*
           (aspek!$B$2:$B$337=C344)*
           (aspek!$C$2:$C$337=D344),0))</f>
        <v>Ketinggian standar perencanaan</v>
      </c>
      <c r="F344" s="76">
        <v>3</v>
      </c>
      <c r="G344" s="56" t="str" cm="1">
        <f t="array" ref="G344">INDEX(deskripsi!$D$2:$H$337,
   MATCH(1,(deskripsi!$A$2:$A$337=B344)*
           (deskripsi!$B$2:$B$337=C344)*
           (deskripsi!$C$2:$C$337=D344),0),
   F344)</f>
        <v>Menaikkan standar dengan pembanding kinerja sendiri.</v>
      </c>
    </row>
    <row r="345" spans="1:7">
      <c r="A345" t="str">
        <f t="shared" si="5"/>
        <v>Planning &amp; Organizing|Director|1|4</v>
      </c>
      <c r="B345" t="str">
        <v>Planning &amp; Organizing</v>
      </c>
      <c r="C345" t="str">
        <v>Director</v>
      </c>
      <c r="D345" s="76">
        <v>1</v>
      </c>
      <c r="E345" t="str" cm="1">
        <f t="array" ref="E345">INDEX(aspek!$D$2:$D$337,
   MATCH(1,(aspek!$A$2:$A$337=B345)*
           (aspek!$B$2:$B$337=C345)*
           (aspek!$C$2:$C$337=D345),0))</f>
        <v>Ketinggian standar perencanaan</v>
      </c>
      <c r="F345" s="76">
        <v>4</v>
      </c>
      <c r="G345" s="56" t="str" cm="1">
        <f t="array" ref="G345">INDEX(deskripsi!$D$2:$H$337,
   MATCH(1,(deskripsi!$A$2:$A$337=B345)*
           (deskripsi!$B$2:$B$337=C345)*
           (deskripsi!$C$2:$C$337=D345),0),
   F345)</f>
        <v>Menetapkan standar perencanaan berdasarkan pembanding eksternal.</v>
      </c>
    </row>
    <row r="346" spans="1:7">
      <c r="A346" t="str">
        <f t="shared" si="5"/>
        <v>Planning &amp; Organizing|Director|1|5</v>
      </c>
      <c r="B346" t="str">
        <v>Planning &amp; Organizing</v>
      </c>
      <c r="C346" t="str">
        <v>Director</v>
      </c>
      <c r="D346" s="76">
        <v>1</v>
      </c>
      <c r="E346" t="str" cm="1">
        <f t="array" ref="E346">INDEX(aspek!$D$2:$D$337,
   MATCH(1,(aspek!$A$2:$A$337=B346)*
           (aspek!$B$2:$B$337=C346)*
           (aspek!$C$2:$C$337=D346),0))</f>
        <v>Ketinggian standar perencanaan</v>
      </c>
      <c r="F346" s="76">
        <v>5</v>
      </c>
      <c r="G346" s="56" t="str" cm="1">
        <f t="array" ref="G346">INDEX(deskripsi!$D$2:$H$337,
   MATCH(1,(deskripsi!$A$2:$A$337=B346)*
           (deskripsi!$B$2:$B$337=C346)*
           (deskripsi!$C$2:$C$337=D346),0),
   F346)</f>
        <v>Standar yang ia tetapkan menjadi acuan organisasi.</v>
      </c>
    </row>
    <row r="347" spans="1:7">
      <c r="A347" t="str">
        <f t="shared" si="5"/>
        <v>Planning &amp; Organizing|Director|2|1</v>
      </c>
      <c r="B347" t="str">
        <v>Planning &amp; Organizing</v>
      </c>
      <c r="C347" t="str">
        <v>Director</v>
      </c>
      <c r="D347" s="76">
        <v>2</v>
      </c>
      <c r="E347" t="str" cm="1">
        <f t="array" ref="E347">INDEX(aspek!$D$2:$D$337,
   MATCH(1,(aspek!$A$2:$A$337=B347)*
           (aspek!$B$2:$B$337=C347)*
           (aspek!$C$2:$C$337=D347),0))</f>
        <v>Standar bagi diri sendiri</v>
      </c>
      <c r="F347" s="76">
        <v>1</v>
      </c>
      <c r="G347" s="56" t="str" cm="1">
        <f t="array" ref="G347">INDEX(deskripsi!$D$2:$H$337,
   MATCH(1,(deskripsi!$A$2:$A$337=B347)*
           (deskripsi!$B$2:$B$337=C347)*
           (deskripsi!$C$2:$C$337=D347),0),
   F347)</f>
        <v>Menuntut standar tinggi tanpa menerapkannya sendiri.</v>
      </c>
    </row>
    <row r="348" spans="1:7">
      <c r="A348" t="str">
        <f t="shared" si="5"/>
        <v>Planning &amp; Organizing|Director|2|2</v>
      </c>
      <c r="B348" t="str">
        <v>Planning &amp; Organizing</v>
      </c>
      <c r="C348" t="str">
        <v>Director</v>
      </c>
      <c r="D348" s="76">
        <v>2</v>
      </c>
      <c r="E348" t="str" cm="1">
        <f t="array" ref="E348">INDEX(aspek!$D$2:$D$337,
   MATCH(1,(aspek!$A$2:$A$337=B348)*
           (aspek!$B$2:$B$337=C348)*
           (aspek!$C$2:$C$337=D348),0))</f>
        <v>Standar bagi diri sendiri</v>
      </c>
      <c r="F348" s="76">
        <v>2</v>
      </c>
      <c r="G348" s="56" t="str" cm="1">
        <f t="array" ref="G348">INDEX(deskripsi!$D$2:$H$337,
   MATCH(1,(deskripsi!$A$2:$A$337=B348)*
           (deskripsi!$B$2:$B$337=C348)*
           (deskripsi!$C$2:$C$337=D348),0),
   F348)</f>
        <v>Menerapkan standar yang sama dengan timnya.</v>
      </c>
    </row>
    <row r="349" spans="1:7">
      <c r="A349" t="str">
        <f t="shared" si="5"/>
        <v>Planning &amp; Organizing|Director|2|3</v>
      </c>
      <c r="B349" t="str">
        <v>Planning &amp; Organizing</v>
      </c>
      <c r="C349" t="str">
        <v>Director</v>
      </c>
      <c r="D349" s="76">
        <v>2</v>
      </c>
      <c r="E349" t="str" cm="1">
        <f t="array" ref="E349">INDEX(aspek!$D$2:$D$337,
   MATCH(1,(aspek!$A$2:$A$337=B349)*
           (aspek!$B$2:$B$337=C349)*
           (aspek!$C$2:$C$337=D349),0))</f>
        <v>Standar bagi diri sendiri</v>
      </c>
      <c r="F349" s="76">
        <v>3</v>
      </c>
      <c r="G349" s="56" t="str" cm="1">
        <f t="array" ref="G349">INDEX(deskripsi!$D$2:$H$337,
   MATCH(1,(deskripsi!$A$2:$A$337=B349)*
           (deskripsi!$B$2:$B$337=C349)*
           (deskripsi!$C$2:$C$337=D349),0),
   F349)</f>
        <v>Menetapkan standar pribadi lebih tinggi, disimpan sendiri.</v>
      </c>
    </row>
    <row r="350" spans="1:7">
      <c r="A350" t="str">
        <f t="shared" si="5"/>
        <v>Planning &amp; Organizing|Director|2|4</v>
      </c>
      <c r="B350" t="str">
        <v>Planning &amp; Organizing</v>
      </c>
      <c r="C350" t="str">
        <v>Director</v>
      </c>
      <c r="D350" s="76">
        <v>2</v>
      </c>
      <c r="E350" t="str" cm="1">
        <f t="array" ref="E350">INDEX(aspek!$D$2:$D$337,
   MATCH(1,(aspek!$A$2:$A$337=B350)*
           (aspek!$B$2:$B$337=C350)*
           (aspek!$C$2:$C$337=D350),0))</f>
        <v>Standar bagi diri sendiri</v>
      </c>
      <c r="F350" s="76">
        <v>4</v>
      </c>
      <c r="G350" s="56" t="str" cm="1">
        <f t="array" ref="G350">INDEX(deskripsi!$D$2:$H$337,
   MATCH(1,(deskripsi!$A$2:$A$337=B350)*
           (deskripsi!$B$2:$B$337=C350)*
           (deskripsi!$C$2:$C$337=D350),0),
   F350)</f>
        <v>Menetapkan standar pribadi lebih tinggi, mengumumkannya, melaporkan hasilnya apa adanya.</v>
      </c>
    </row>
    <row r="351" spans="1:7">
      <c r="A351" t="str">
        <f t="shared" si="5"/>
        <v>Planning &amp; Organizing|Director|2|5</v>
      </c>
      <c r="B351" t="str">
        <v>Planning &amp; Organizing</v>
      </c>
      <c r="C351" t="str">
        <v>Director</v>
      </c>
      <c r="D351" s="76">
        <v>2</v>
      </c>
      <c r="E351" t="str" cm="1">
        <f t="array" ref="E351">INDEX(aspek!$D$2:$D$337,
   MATCH(1,(aspek!$A$2:$A$337=B351)*
           (aspek!$B$2:$B$337=C351)*
           (aspek!$C$2:$C$337=D351),0))</f>
        <v>Standar bagi diri sendiri</v>
      </c>
      <c r="F351" s="76">
        <v>5</v>
      </c>
      <c r="G351" s="56" t="str" cm="1">
        <f t="array" ref="G351">INDEX(deskripsi!$D$2:$H$337,
   MATCH(1,(deskripsi!$A$2:$A$337=B351)*
           (deskripsi!$B$2:$B$337=C351)*
           (deskripsi!$C$2:$C$337=D351),0),
   F351)</f>
        <v>Standar pribadinya menjadi rujukan yang ditiru tanpa diminta.</v>
      </c>
    </row>
    <row r="352" spans="1:7">
      <c r="A352" t="str">
        <f t="shared" si="5"/>
        <v>Planning &amp; Organizing|Director|3|1</v>
      </c>
      <c r="B352" t="str">
        <v>Planning &amp; Organizing</v>
      </c>
      <c r="C352" t="str">
        <v>Director</v>
      </c>
      <c r="D352" s="76">
        <v>3</v>
      </c>
      <c r="E352" t="str" cm="1">
        <f t="array" ref="E352">INDEX(aspek!$D$2:$D$337,
   MATCH(1,(aspek!$A$2:$A$337=B352)*
           (aspek!$B$2:$B$337=C352)*
           (aspek!$C$2:$C$337=D352),0))</f>
        <v>Pelembagaan sistem perencanaan</v>
      </c>
      <c r="F352" s="76">
        <v>1</v>
      </c>
      <c r="G352" s="56" t="str" cm="1">
        <f t="array" ref="G352">INDEX(deskripsi!$D$2:$H$337,
   MATCH(1,(deskripsi!$A$2:$A$337=B352)*
           (deskripsi!$B$2:$B$337=C352)*
           (deskripsi!$C$2:$C$337=D352),0),
   F352)</f>
        <v>Sistem perencanaan bergantung sepenuhnya pada pengawasannya.</v>
      </c>
    </row>
    <row r="353" spans="1:7">
      <c r="A353" t="str">
        <f t="shared" si="5"/>
        <v>Planning &amp; Organizing|Director|3|2</v>
      </c>
      <c r="B353" t="str">
        <v>Planning &amp; Organizing</v>
      </c>
      <c r="C353" t="str">
        <v>Director</v>
      </c>
      <c r="D353" s="76">
        <v>3</v>
      </c>
      <c r="E353" t="str" cm="1">
        <f t="array" ref="E353">INDEX(aspek!$D$2:$D$337,
   MATCH(1,(aspek!$A$2:$A$337=B353)*
           (aspek!$B$2:$B$337=C353)*
           (aspek!$C$2:$C$337=D353),0))</f>
        <v>Pelembagaan sistem perencanaan</v>
      </c>
      <c r="F353" s="76">
        <v>2</v>
      </c>
      <c r="G353" s="56" t="str" cm="1">
        <f t="array" ref="G353">INDEX(deskripsi!$D$2:$H$337,
   MATCH(1,(deskripsi!$A$2:$A$337=B353)*
           (deskripsi!$B$2:$B$337=C353)*
           (deskripsi!$C$2:$C$337=D353),0),
   F353)</f>
        <v>Sistem dituliskan tanpa pemeriksaan dan konsekuensi.</v>
      </c>
    </row>
    <row r="354" spans="1:7">
      <c r="A354" t="str">
        <f t="shared" si="5"/>
        <v>Planning &amp; Organizing|Director|3|3</v>
      </c>
      <c r="B354" t="str">
        <v>Planning &amp; Organizing</v>
      </c>
      <c r="C354" t="str">
        <v>Director</v>
      </c>
      <c r="D354" s="76">
        <v>3</v>
      </c>
      <c r="E354" t="str" cm="1">
        <f t="array" ref="E354">INDEX(aspek!$D$2:$D$337,
   MATCH(1,(aspek!$A$2:$A$337=B354)*
           (aspek!$B$2:$B$337=C354)*
           (aspek!$C$2:$C$337=D354),0))</f>
        <v>Pelembagaan sistem perencanaan</v>
      </c>
      <c r="F354" s="76">
        <v>3</v>
      </c>
      <c r="G354" s="56" t="str" cm="1">
        <f t="array" ref="G354">INDEX(deskripsi!$D$2:$H$337,
   MATCH(1,(deskripsi!$A$2:$A$337=B354)*
           (deskripsi!$B$2:$B$337=C354)*
           (deskripsi!$C$2:$C$337=D354),0),
   F354)</f>
        <v>Sistem berjalan dengan peserta sebagai pemeriksanya.</v>
      </c>
    </row>
    <row r="355" spans="1:7">
      <c r="A355" t="str">
        <f t="shared" si="5"/>
        <v>Planning &amp; Organizing|Director|3|4</v>
      </c>
      <c r="B355" t="str">
        <v>Planning &amp; Organizing</v>
      </c>
      <c r="C355" t="str">
        <v>Director</v>
      </c>
      <c r="D355" s="76">
        <v>3</v>
      </c>
      <c r="E355" t="str" cm="1">
        <f t="array" ref="E355">INDEX(aspek!$D$2:$D$337,
   MATCH(1,(aspek!$A$2:$A$337=B355)*
           (aspek!$B$2:$B$337=C355)*
           (aspek!$C$2:$C$337=D355),0))</f>
        <v>Pelembagaan sistem perencanaan</v>
      </c>
      <c r="F355" s="76">
        <v>4</v>
      </c>
      <c r="G355" s="56" t="str" cm="1">
        <f t="array" ref="G355">INDEX(deskripsi!$D$2:$H$337,
   MATCH(1,(deskripsi!$A$2:$A$337=B355)*
           (deskripsi!$B$2:$B$337=C355)*
           (deskripsi!$C$2:$C$337=D355),0),
   F355)</f>
        <v>Sistem memiliki pemilik selain dirinya, irama peninjauan, dan terbukti berjalan tanpa keterlibatannya.</v>
      </c>
    </row>
    <row r="356" spans="1:7">
      <c r="A356" t="str">
        <f t="shared" si="5"/>
        <v>Planning &amp; Organizing|Director|3|5</v>
      </c>
      <c r="B356" t="str">
        <v>Planning &amp; Organizing</v>
      </c>
      <c r="C356" t="str">
        <v>Director</v>
      </c>
      <c r="D356" s="76">
        <v>3</v>
      </c>
      <c r="E356" t="str" cm="1">
        <f t="array" ref="E356">INDEX(aspek!$D$2:$D$337,
   MATCH(1,(aspek!$A$2:$A$337=B356)*
           (aspek!$B$2:$B$337=C356)*
           (aspek!$C$2:$C$337=D356),0))</f>
        <v>Pelembagaan sistem perencanaan</v>
      </c>
      <c r="F356" s="76">
        <v>5</v>
      </c>
      <c r="G356" s="56" t="str" cm="1">
        <f t="array" ref="G356">INDEX(deskripsi!$D$2:$H$337,
   MATCH(1,(deskripsi!$A$2:$A$337=B356)*
           (deskripsi!$B$2:$B$337=C356)*
           (deskripsi!$C$2:$C$337=D356),0),
   F356)</f>
        <v>Sistem menjadi kebiasaan kerja yang dijaga sendiri oleh pelaksananya.</v>
      </c>
    </row>
    <row r="357" spans="1:7">
      <c r="A357" t="str">
        <f t="shared" si="5"/>
        <v>Planning &amp; Organizing|Director|4|1</v>
      </c>
      <c r="B357" t="str">
        <v>Planning &amp; Organizing</v>
      </c>
      <c r="C357" t="str">
        <v>Director</v>
      </c>
      <c r="D357" s="76">
        <v>4</v>
      </c>
      <c r="E357" t="str" cm="1">
        <f t="array" ref="E357">INDEX(aspek!$D$2:$D$337,
   MATCH(1,(aspek!$A$2:$A$337=B357)*
           (aspek!$B$2:$B$337=C357)*
           (aspek!$C$2:$C$337=D357),0))</f>
        <v>Integrasi dan responsivitas lintas fungsi</v>
      </c>
      <c r="F357" s="76">
        <v>1</v>
      </c>
      <c r="G357" s="56" t="str" cm="1">
        <f t="array" ref="G357">INDEX(deskripsi!$D$2:$H$337,
   MATCH(1,(deskripsi!$A$2:$A$337=B357)*
           (deskripsi!$B$2:$B$337=C357)*
           (deskripsi!$C$2:$C$337=D357),0),
   F357)</f>
        <v>Rencana kerja fungsi berjalan sendiri-sendiri tanpa integrasi.</v>
      </c>
    </row>
    <row r="358" spans="1:7">
      <c r="A358" t="str">
        <f t="shared" si="5"/>
        <v>Planning &amp; Organizing|Director|4|2</v>
      </c>
      <c r="B358" t="str">
        <v>Planning &amp; Organizing</v>
      </c>
      <c r="C358" t="str">
        <v>Director</v>
      </c>
      <c r="D358" s="76">
        <v>4</v>
      </c>
      <c r="E358" t="str" cm="1">
        <f t="array" ref="E358">INDEX(aspek!$D$2:$D$337,
   MATCH(1,(aspek!$A$2:$A$337=B358)*
           (aspek!$B$2:$B$337=C358)*
           (aspek!$C$2:$C$337=D358),0))</f>
        <v>Integrasi dan responsivitas lintas fungsi</v>
      </c>
      <c r="F358" s="76">
        <v>2</v>
      </c>
      <c r="G358" s="56" t="str" cm="1">
        <f t="array" ref="G358">INDEX(deskripsi!$D$2:$H$337,
   MATCH(1,(deskripsi!$A$2:$A$337=B358)*
           (deskripsi!$B$2:$B$337=C358)*
           (deskripsi!$C$2:$C$337=D358),0),
   F358)</f>
        <v>Integrasi dilakukan hanya saat diminta.</v>
      </c>
    </row>
    <row r="359" spans="1:7">
      <c r="A359" t="str">
        <f t="shared" si="5"/>
        <v>Planning &amp; Organizing|Director|4|3</v>
      </c>
      <c r="B359" t="str">
        <v>Planning &amp; Organizing</v>
      </c>
      <c r="C359" t="str">
        <v>Director</v>
      </c>
      <c r="D359" s="76">
        <v>4</v>
      </c>
      <c r="E359" t="str" cm="1">
        <f t="array" ref="E359">INDEX(aspek!$D$2:$D$337,
   MATCH(1,(aspek!$A$2:$A$337=B359)*
           (aspek!$B$2:$B$337=C359)*
           (aspek!$C$2:$C$337=D359),0))</f>
        <v>Integrasi dan responsivitas lintas fungsi</v>
      </c>
      <c r="F359" s="76">
        <v>3</v>
      </c>
      <c r="G359" s="56" t="str" cm="1">
        <f t="array" ref="G359">INDEX(deskripsi!$D$2:$H$337,
   MATCH(1,(deskripsi!$A$2:$A$337=B359)*
           (deskripsi!$B$2:$B$337=C359)*
           (deskripsi!$C$2:$C$337=D359),0),
   F359)</f>
        <v>Rencana terintegrasi pada level dokumen, tidak diuji responsivitasnya.</v>
      </c>
    </row>
    <row r="360" spans="1:7">
      <c r="A360" t="str">
        <f t="shared" si="5"/>
        <v>Planning &amp; Organizing|Director|4|4</v>
      </c>
      <c r="B360" t="str">
        <v>Planning &amp; Organizing</v>
      </c>
      <c r="C360" t="str">
        <v>Director</v>
      </c>
      <c r="D360" s="76">
        <v>4</v>
      </c>
      <c r="E360" t="str" cm="1">
        <f t="array" ref="E360">INDEX(aspek!$D$2:$D$337,
   MATCH(1,(aspek!$A$2:$A$337=B360)*
           (aspek!$B$2:$B$337=C360)*
           (aspek!$C$2:$C$337=D360),0))</f>
        <v>Integrasi dan responsivitas lintas fungsi</v>
      </c>
      <c r="F360" s="76">
        <v>4</v>
      </c>
      <c r="G360" s="56" t="str" cm="1">
        <f t="array" ref="G360">INDEX(deskripsi!$D$2:$H$337,
   MATCH(1,(deskripsi!$A$2:$A$337=B360)*
           (deskripsi!$B$2:$B$337=C360)*
           (deskripsi!$C$2:$C$337=D360),0),
   F360)</f>
        <v>Rencana terintegrasi lintas fungsi dan terbukti responsif terhadap perubahan nyata secara cepat dan terkoordinasi.</v>
      </c>
    </row>
    <row r="361" spans="1:7">
      <c r="A361" t="str">
        <f t="shared" si="5"/>
        <v>Planning &amp; Organizing|Director|4|5</v>
      </c>
      <c r="B361" t="str">
        <v>Planning &amp; Organizing</v>
      </c>
      <c r="C361" t="str">
        <v>Director</v>
      </c>
      <c r="D361" s="76">
        <v>4</v>
      </c>
      <c r="E361" t="str" cm="1">
        <f t="array" ref="E361">INDEX(aspek!$D$2:$D$337,
   MATCH(1,(aspek!$A$2:$A$337=B361)*
           (aspek!$B$2:$B$337=C361)*
           (aspek!$C$2:$C$337=D361),0))</f>
        <v>Integrasi dan responsivitas lintas fungsi</v>
      </c>
      <c r="F361" s="76">
        <v>5</v>
      </c>
      <c r="G361" s="56" t="str" cm="1">
        <f t="array" ref="G361">INDEX(deskripsi!$D$2:$H$337,
   MATCH(1,(deskripsi!$A$2:$A$337=B361)*
           (deskripsi!$B$2:$B$337=C361)*
           (deskripsi!$C$2:$C$337=D361),0),
   F361)</f>
        <v>Menjadi model integrasi rencana kerja yang diadopsi organisasi secara luas.</v>
      </c>
    </row>
    <row r="362" spans="1:7">
      <c r="A362" t="str">
        <f t="shared" si="5"/>
        <v>Problem Solving &amp; Decision Making|Officer|1|1</v>
      </c>
      <c r="B362" t="str">
        <v>Problem Solving &amp; Decision Making</v>
      </c>
      <c r="C362" t="str">
        <v>Officer</v>
      </c>
      <c r="D362" s="76">
        <v>1</v>
      </c>
      <c r="E362" t="str" cm="1">
        <f t="array" ref="E362">INDEX(aspek!$D$2:$D$337,
   MATCH(1,(aspek!$A$2:$A$337=B362)*
           (aspek!$B$2:$B$337=C362)*
           (aspek!$C$2:$C$337=D362),0))</f>
        <v>Kedalaman penelusuran</v>
      </c>
      <c r="F362" s="76">
        <v>1</v>
      </c>
      <c r="G362" s="56" t="str" cm="1">
        <f t="array" ref="G362">INDEX(deskripsi!$D$2:$H$337,
   MATCH(1,(deskripsi!$A$2:$A$337=B362)*
           (deskripsi!$B$2:$B$337=C362)*
           (deskripsi!$C$2:$C$337=D362),0),
   F362)</f>
        <v>Berhenti pada gejala yang terlihat; mengambil tindakan atas gejala itu.</v>
      </c>
    </row>
    <row r="363" spans="1:7">
      <c r="A363" t="str">
        <f t="shared" si="5"/>
        <v>Problem Solving &amp; Decision Making|Officer|1|2</v>
      </c>
      <c r="B363" t="str">
        <v>Problem Solving &amp; Decision Making</v>
      </c>
      <c r="C363" t="str">
        <v>Officer</v>
      </c>
      <c r="D363" s="76">
        <v>1</v>
      </c>
      <c r="E363" t="str" cm="1">
        <f t="array" ref="E363">INDEX(aspek!$D$2:$D$337,
   MATCH(1,(aspek!$A$2:$A$337=B363)*
           (aspek!$B$2:$B$337=C363)*
           (aspek!$C$2:$C$337=D363),0))</f>
        <v>Kedalaman penelusuran</v>
      </c>
      <c r="F363" s="76">
        <v>2</v>
      </c>
      <c r="G363" s="56" t="str" cm="1">
        <f t="array" ref="G363">INDEX(deskripsi!$D$2:$H$337,
   MATCH(1,(deskripsi!$A$2:$A$337=B363)*
           (deskripsi!$B$2:$B$337=C363)*
           (deskripsi!$C$2:$C$337=D363),0),
   F363)</f>
        <v>Menelusuri lebih dalam ketika diarahkan, sampai penyebab yang sederhana.</v>
      </c>
    </row>
    <row r="364" spans="1:7">
      <c r="A364" t="str">
        <f t="shared" si="5"/>
        <v>Problem Solving &amp; Decision Making|Officer|1|3</v>
      </c>
      <c r="B364" t="str">
        <v>Problem Solving &amp; Decision Making</v>
      </c>
      <c r="C364" t="str">
        <v>Officer</v>
      </c>
      <c r="D364" s="76">
        <v>1</v>
      </c>
      <c r="E364" t="str" cm="1">
        <f t="array" ref="E364">INDEX(aspek!$D$2:$D$337,
   MATCH(1,(aspek!$A$2:$A$337=B364)*
           (aspek!$B$2:$B$337=C364)*
           (aspek!$C$2:$C$337=D364),0))</f>
        <v>Kedalaman penelusuran</v>
      </c>
      <c r="F364" s="76">
        <v>3</v>
      </c>
      <c r="G364" s="56" t="str" cm="1">
        <f t="array" ref="G364">INDEX(deskripsi!$D$2:$H$337,
   MATCH(1,(deskripsi!$A$2:$A$337=B364)*
           (deskripsi!$B$2:$B$337=C364)*
           (deskripsi!$C$2:$C$337=D364),0),
   F364)</f>
        <v>Menelusuri sampai akar masalah pada kasus yang tidak terlalu kompleks, tanpa arahan.</v>
      </c>
    </row>
    <row r="365" spans="1:7">
      <c r="A365" t="str">
        <f t="shared" si="5"/>
        <v>Problem Solving &amp; Decision Making|Officer|1|4</v>
      </c>
      <c r="B365" t="str">
        <v>Problem Solving &amp; Decision Making</v>
      </c>
      <c r="C365" t="str">
        <v>Officer</v>
      </c>
      <c r="D365" s="76">
        <v>1</v>
      </c>
      <c r="E365" t="str" cm="1">
        <f t="array" ref="E365">INDEX(aspek!$D$2:$D$337,
   MATCH(1,(aspek!$A$2:$A$337=B365)*
           (aspek!$B$2:$B$337=C365)*
           (aspek!$C$2:$C$337=D365),0))</f>
        <v>Kedalaman penelusuran</v>
      </c>
      <c r="F365" s="76">
        <v>4</v>
      </c>
      <c r="G365" s="56" t="str" cm="1">
        <f t="array" ref="G365">INDEX(deskripsi!$D$2:$H$337,
   MATCH(1,(deskripsi!$A$2:$A$337=B365)*
           (deskripsi!$B$2:$B$337=C365)*
           (deskripsi!$C$2:$C$337=D365),0),
   F365)</f>
        <v>Mengurai masalah yang kompleks dan berlapis sampai menemukan akar sesungguhnya, secara mandiri.</v>
      </c>
    </row>
    <row r="366" spans="1:7">
      <c r="A366" t="str">
        <f t="shared" si="5"/>
        <v>Problem Solving &amp; Decision Making|Officer|1|5</v>
      </c>
      <c r="B366" t="str">
        <v>Problem Solving &amp; Decision Making</v>
      </c>
      <c r="C366" t="str">
        <v>Officer</v>
      </c>
      <c r="D366" s="76">
        <v>1</v>
      </c>
      <c r="E366" t="str" cm="1">
        <f t="array" ref="E366">INDEX(aspek!$D$2:$D$337,
   MATCH(1,(aspek!$A$2:$A$337=B366)*
           (aspek!$B$2:$B$337=C366)*
           (aspek!$C$2:$C$337=D366),0))</f>
        <v>Kedalaman penelusuran</v>
      </c>
      <c r="F366" s="76">
        <v>5</v>
      </c>
      <c r="G366" s="56" t="str" cm="1">
        <f t="array" ref="G366">INDEX(deskripsi!$D$2:$H$337,
   MATCH(1,(deskripsi!$A$2:$A$337=B366)*
           (deskripsi!$B$2:$B$337=C366)*
           (deskripsi!$C$2:$C$337=D366),0),
   F366)</f>
        <v>Menelusuri akar masalah lintas fungsi dengan cepat dan akurat.</v>
      </c>
    </row>
    <row r="367" spans="1:7">
      <c r="A367" t="str">
        <f t="shared" si="5"/>
        <v>Problem Solving &amp; Decision Making|Officer|2|1</v>
      </c>
      <c r="B367" t="str">
        <v>Problem Solving &amp; Decision Making</v>
      </c>
      <c r="C367" t="str">
        <v>Officer</v>
      </c>
      <c r="D367" s="76">
        <v>2</v>
      </c>
      <c r="E367" t="str" cm="1">
        <f t="array" ref="E367">INDEX(aspek!$D$2:$D$337,
   MATCH(1,(aspek!$A$2:$A$337=B367)*
           (aspek!$B$2:$B$337=C367)*
           (aspek!$C$2:$C$337=D367),0))</f>
        <v>Memisahkan gejala, penyebab, dan dampak</v>
      </c>
      <c r="F367" s="76">
        <v>1</v>
      </c>
      <c r="G367" s="56" t="str" cm="1">
        <f t="array" ref="G367">INDEX(deskripsi!$D$2:$H$337,
   MATCH(1,(deskripsi!$A$2:$A$337=B367)*
           (deskripsi!$B$2:$B$337=C367)*
           (deskripsi!$C$2:$C$337=D367),0),
   F367)</f>
        <v>Mencampur ketiganya; menyebut gejala sebagai penyebab.</v>
      </c>
    </row>
    <row r="368" spans="1:7">
      <c r="A368" t="str">
        <f t="shared" si="5"/>
        <v>Problem Solving &amp; Decision Making|Officer|2|2</v>
      </c>
      <c r="B368" t="str">
        <v>Problem Solving &amp; Decision Making</v>
      </c>
      <c r="C368" t="str">
        <v>Officer</v>
      </c>
      <c r="D368" s="76">
        <v>2</v>
      </c>
      <c r="E368" t="str" cm="1">
        <f t="array" ref="E368">INDEX(aspek!$D$2:$D$337,
   MATCH(1,(aspek!$A$2:$A$337=B368)*
           (aspek!$B$2:$B$337=C368)*
           (aspek!$C$2:$C$337=D368),0))</f>
        <v>Memisahkan gejala, penyebab, dan dampak</v>
      </c>
      <c r="F368" s="76">
        <v>2</v>
      </c>
      <c r="G368" s="56" t="str" cm="1">
        <f t="array" ref="G368">INDEX(deskripsi!$D$2:$H$337,
   MATCH(1,(deskripsi!$A$2:$A$337=B368)*
           (deskripsi!$B$2:$B$337=C368)*
           (deskripsi!$C$2:$C$337=D368),0),
   F368)</f>
        <v>Membedakan ketiganya dengan bantuan mentor.</v>
      </c>
    </row>
    <row r="369" spans="1:7">
      <c r="A369" t="str">
        <f t="shared" si="5"/>
        <v>Problem Solving &amp; Decision Making|Officer|2|3</v>
      </c>
      <c r="B369" t="str">
        <v>Problem Solving &amp; Decision Making</v>
      </c>
      <c r="C369" t="str">
        <v>Officer</v>
      </c>
      <c r="D369" s="76">
        <v>2</v>
      </c>
      <c r="E369" t="str" cm="1">
        <f t="array" ref="E369">INDEX(aspek!$D$2:$D$337,
   MATCH(1,(aspek!$A$2:$A$337=B369)*
           (aspek!$B$2:$B$337=C369)*
           (aspek!$C$2:$C$337=D369),0))</f>
        <v>Memisahkan gejala, penyebab, dan dampak</v>
      </c>
      <c r="F369" s="76">
        <v>3</v>
      </c>
      <c r="G369" s="56" t="str" cm="1">
        <f t="array" ref="G369">INDEX(deskripsi!$D$2:$H$337,
   MATCH(1,(deskripsi!$A$2:$A$337=B369)*
           (deskripsi!$B$2:$B$337=C369)*
           (deskripsi!$C$2:$C$337=D369),0),
   F369)</f>
        <v>Membedakan ketiganya sendiri pada kasus sederhana.</v>
      </c>
    </row>
    <row r="370" spans="1:7">
      <c r="A370" t="str">
        <f t="shared" si="5"/>
        <v>Problem Solving &amp; Decision Making|Officer|2|4</v>
      </c>
      <c r="B370" t="str">
        <v>Problem Solving &amp; Decision Making</v>
      </c>
      <c r="C370" t="str">
        <v>Officer</v>
      </c>
      <c r="D370" s="76">
        <v>2</v>
      </c>
      <c r="E370" t="str" cm="1">
        <f t="array" ref="E370">INDEX(aspek!$D$2:$D$337,
   MATCH(1,(aspek!$A$2:$A$337=B370)*
           (aspek!$B$2:$B$337=C370)*
           (aspek!$C$2:$C$337=D370),0))</f>
        <v>Memisahkan gejala, penyebab, dan dampak</v>
      </c>
      <c r="F370" s="76">
        <v>4</v>
      </c>
      <c r="G370" s="56" t="str" cm="1">
        <f t="array" ref="G370">INDEX(deskripsi!$D$2:$H$337,
   MATCH(1,(deskripsi!$A$2:$A$337=B370)*
           (deskripsi!$B$2:$B$337=C370)*
           (deskripsi!$C$2:$C$337=D370),0),
   F370)</f>
        <v>Secara konsisten memisahkan gejala, akar penyebab, dan dampak pada kasus yang kompleks.</v>
      </c>
    </row>
    <row r="371" spans="1:7">
      <c r="A371" t="str">
        <f t="shared" si="5"/>
        <v>Problem Solving &amp; Decision Making|Officer|2|5</v>
      </c>
      <c r="B371" t="str">
        <v>Problem Solving &amp; Decision Making</v>
      </c>
      <c r="C371" t="str">
        <v>Officer</v>
      </c>
      <c r="D371" s="76">
        <v>2</v>
      </c>
      <c r="E371" t="str" cm="1">
        <f t="array" ref="E371">INDEX(aspek!$D$2:$D$337,
   MATCH(1,(aspek!$A$2:$A$337=B371)*
           (aspek!$B$2:$B$337=C371)*
           (aspek!$C$2:$C$337=D371),0))</f>
        <v>Memisahkan gejala, penyebab, dan dampak</v>
      </c>
      <c r="F371" s="76">
        <v>5</v>
      </c>
      <c r="G371" s="56" t="str" cm="1">
        <f t="array" ref="G371">INDEX(deskripsi!$D$2:$H$337,
   MATCH(1,(deskripsi!$A$2:$A$337=B371)*
           (deskripsi!$B$2:$B$337=C371)*
           (deskripsi!$C$2:$C$337=D371),0),
   F371)</f>
        <v>Pemisahannya menjadi acuan bagi rekan saat menganalisis masalah serupa.</v>
      </c>
    </row>
    <row r="372" spans="1:7">
      <c r="A372" t="str">
        <f t="shared" si="5"/>
        <v>Problem Solving &amp; Decision Making|Officer|3|1</v>
      </c>
      <c r="B372" t="str">
        <v>Problem Solving &amp; Decision Making</v>
      </c>
      <c r="C372" t="str">
        <v>Officer</v>
      </c>
      <c r="D372" s="76">
        <v>3</v>
      </c>
      <c r="E372" t="str" cm="1">
        <f t="array" ref="E372">INDEX(aspek!$D$2:$D$337,
   MATCH(1,(aspek!$A$2:$A$337=B372)*
           (aspek!$B$2:$B$337=C372)*
           (aspek!$C$2:$C$337=D372),0))</f>
        <v>Kemandirian</v>
      </c>
      <c r="F372" s="76">
        <v>1</v>
      </c>
      <c r="G372" s="56" t="str" cm="1">
        <f t="array" ref="G372">INDEX(deskripsi!$D$2:$H$337,
   MATCH(1,(deskripsi!$A$2:$A$337=B372)*
           (deskripsi!$B$2:$B$337=C372)*
           (deskripsi!$C$2:$C$337=D372),0),
   F372)</f>
        <v>Selalu menunggu diarahkan untuk mulai menelusuri.</v>
      </c>
    </row>
    <row r="373" spans="1:7">
      <c r="A373" t="str">
        <f t="shared" si="5"/>
        <v>Problem Solving &amp; Decision Making|Officer|3|2</v>
      </c>
      <c r="B373" t="str">
        <v>Problem Solving &amp; Decision Making</v>
      </c>
      <c r="C373" t="str">
        <v>Officer</v>
      </c>
      <c r="D373" s="76">
        <v>3</v>
      </c>
      <c r="E373" t="str" cm="1">
        <f t="array" ref="E373">INDEX(aspek!$D$2:$D$337,
   MATCH(1,(aspek!$A$2:$A$337=B373)*
           (aspek!$B$2:$B$337=C373)*
           (aspek!$C$2:$C$337=D373),0))</f>
        <v>Kemandirian</v>
      </c>
      <c r="F373" s="76">
        <v>2</v>
      </c>
      <c r="G373" s="56" t="str" cm="1">
        <f t="array" ref="G373">INDEX(deskripsi!$D$2:$H$337,
   MATCH(1,(deskripsi!$A$2:$A$337=B373)*
           (deskripsi!$B$2:$B$337=C373)*
           (deskripsi!$C$2:$C$337=D373),0),
   F373)</f>
        <v>Menelusuri dengan bimbingan penuh dari mentor.</v>
      </c>
    </row>
    <row r="374" spans="1:7">
      <c r="A374" t="str">
        <f t="shared" si="5"/>
        <v>Problem Solving &amp; Decision Making|Officer|3|3</v>
      </c>
      <c r="B374" t="str">
        <v>Problem Solving &amp; Decision Making</v>
      </c>
      <c r="C374" t="str">
        <v>Officer</v>
      </c>
      <c r="D374" s="76">
        <v>3</v>
      </c>
      <c r="E374" t="str" cm="1">
        <f t="array" ref="E374">INDEX(aspek!$D$2:$D$337,
   MATCH(1,(aspek!$A$2:$A$337=B374)*
           (aspek!$B$2:$B$337=C374)*
           (aspek!$C$2:$C$337=D374),0))</f>
        <v>Kemandirian</v>
      </c>
      <c r="F374" s="76">
        <v>3</v>
      </c>
      <c r="G374" s="56" t="str" cm="1">
        <f t="array" ref="G374">INDEX(deskripsi!$D$2:$H$337,
   MATCH(1,(deskripsi!$A$2:$A$337=B374)*
           (deskripsi!$B$2:$B$337=C374)*
           (deskripsi!$C$2:$C$337=D374),0),
   F374)</f>
        <v>Menelusuri mandiri pada kasus yang sudah dikenal, meminta bantuan pada kasus baru.</v>
      </c>
    </row>
    <row r="375" spans="1:7">
      <c r="A375" t="str">
        <f t="shared" si="5"/>
        <v>Problem Solving &amp; Decision Making|Officer|3|4</v>
      </c>
      <c r="B375" t="str">
        <v>Problem Solving &amp; Decision Making</v>
      </c>
      <c r="C375" t="str">
        <v>Officer</v>
      </c>
      <c r="D375" s="76">
        <v>3</v>
      </c>
      <c r="E375" t="str" cm="1">
        <f t="array" ref="E375">INDEX(aspek!$D$2:$D$337,
   MATCH(1,(aspek!$A$2:$A$337=B375)*
           (aspek!$B$2:$B$337=C375)*
           (aspek!$C$2:$C$337=D375),0))</f>
        <v>Kemandirian</v>
      </c>
      <c r="F375" s="76">
        <v>4</v>
      </c>
      <c r="G375" s="56" t="str" cm="1">
        <f t="array" ref="G375">INDEX(deskripsi!$D$2:$H$337,
   MATCH(1,(deskripsi!$A$2:$A$337=B375)*
           (deskripsi!$B$2:$B$337=C375)*
           (deskripsi!$C$2:$C$337=D375),0),
   F375)</f>
        <v>Menelusuri mandiri pada kasus baru sekalipun, meminta verifikasi bukan bimbingan.</v>
      </c>
    </row>
    <row r="376" spans="1:7">
      <c r="A376" t="str">
        <f t="shared" si="5"/>
        <v>Problem Solving &amp; Decision Making|Officer|3|5</v>
      </c>
      <c r="B376" t="str">
        <v>Problem Solving &amp; Decision Making</v>
      </c>
      <c r="C376" t="str">
        <v>Officer</v>
      </c>
      <c r="D376" s="76">
        <v>3</v>
      </c>
      <c r="E376" t="str" cm="1">
        <f t="array" ref="E376">INDEX(aspek!$D$2:$D$337,
   MATCH(1,(aspek!$A$2:$A$337=B376)*
           (aspek!$B$2:$B$337=C376)*
           (aspek!$C$2:$C$337=D376),0))</f>
        <v>Kemandirian</v>
      </c>
      <c r="F376" s="76">
        <v>5</v>
      </c>
      <c r="G376" s="56" t="str" cm="1">
        <f t="array" ref="G376">INDEX(deskripsi!$D$2:$H$337,
   MATCH(1,(deskripsi!$A$2:$A$337=B376)*
           (deskripsi!$B$2:$B$337=C376)*
           (deskripsi!$C$2:$C$337=D376),0),
   F376)</f>
        <v>Menjadi tempat rekan meminta verifikasi atas analisis akar masalah mereka.</v>
      </c>
    </row>
    <row r="377" spans="1:7">
      <c r="A377" t="str">
        <f t="shared" si="5"/>
        <v>Problem Solving &amp; Decision Making|Officer|4|1</v>
      </c>
      <c r="B377" t="str">
        <v>Problem Solving &amp; Decision Making</v>
      </c>
      <c r="C377" t="str">
        <v>Officer</v>
      </c>
      <c r="D377" s="76">
        <v>4</v>
      </c>
      <c r="E377" t="str" cm="1">
        <f t="array" ref="E377">INDEX(aspek!$D$2:$D$337,
   MATCH(1,(aspek!$A$2:$A$337=B377)*
           (aspek!$B$2:$B$337=C377)*
           (aspek!$C$2:$C$337=D377),0))</f>
        <v>Verifikasi temuan</v>
      </c>
      <c r="F377" s="76">
        <v>1</v>
      </c>
      <c r="G377" s="56" t="str" cm="1">
        <f t="array" ref="G377">INDEX(deskripsi!$D$2:$H$337,
   MATCH(1,(deskripsi!$A$2:$A$337=B377)*
           (deskripsi!$B$2:$B$337=C377)*
           (deskripsi!$C$2:$C$337=D377),0),
   F377)</f>
        <v>Menyimpulkan akar masalah tanpa memverifikasi ke pihak terkait.</v>
      </c>
    </row>
    <row r="378" spans="1:7">
      <c r="A378" t="str">
        <f t="shared" si="5"/>
        <v>Problem Solving &amp; Decision Making|Officer|4|2</v>
      </c>
      <c r="B378" t="str">
        <v>Problem Solving &amp; Decision Making</v>
      </c>
      <c r="C378" t="str">
        <v>Officer</v>
      </c>
      <c r="D378" s="76">
        <v>4</v>
      </c>
      <c r="E378" t="str" cm="1">
        <f t="array" ref="E378">INDEX(aspek!$D$2:$D$337,
   MATCH(1,(aspek!$A$2:$A$337=B378)*
           (aspek!$B$2:$B$337=C378)*
           (aspek!$C$2:$C$337=D378),0))</f>
        <v>Verifikasi temuan</v>
      </c>
      <c r="F378" s="76">
        <v>2</v>
      </c>
      <c r="G378" s="56" t="str" cm="1">
        <f t="array" ref="G378">INDEX(deskripsi!$D$2:$H$337,
   MATCH(1,(deskripsi!$A$2:$A$337=B378)*
           (deskripsi!$B$2:$B$337=C378)*
           (deskripsi!$C$2:$C$337=D378),0),
   F378)</f>
        <v>Memverifikasi hanya ketika diminta.</v>
      </c>
    </row>
    <row r="379" spans="1:7">
      <c r="A379" t="str">
        <f t="shared" si="5"/>
        <v>Problem Solving &amp; Decision Making|Officer|4|3</v>
      </c>
      <c r="B379" t="str">
        <v>Problem Solving &amp; Decision Making</v>
      </c>
      <c r="C379" t="str">
        <v>Officer</v>
      </c>
      <c r="D379" s="76">
        <v>4</v>
      </c>
      <c r="E379" t="str" cm="1">
        <f t="array" ref="E379">INDEX(aspek!$D$2:$D$337,
   MATCH(1,(aspek!$A$2:$A$337=B379)*
           (aspek!$B$2:$B$337=C379)*
           (aspek!$C$2:$C$337=D379),0))</f>
        <v>Verifikasi temuan</v>
      </c>
      <c r="F379" s="76">
        <v>3</v>
      </c>
      <c r="G379" s="56" t="str" cm="1">
        <f t="array" ref="G379">INDEX(deskripsi!$D$2:$H$337,
   MATCH(1,(deskripsi!$A$2:$A$337=B379)*
           (deskripsi!$B$2:$B$337=C379)*
           (deskripsi!$C$2:$C$337=D379),0),
   F379)</f>
        <v>Memverifikasi temuan pada kasus yang penting.</v>
      </c>
    </row>
    <row r="380" spans="1:7">
      <c r="A380" t="str">
        <f t="shared" si="5"/>
        <v>Problem Solving &amp; Decision Making|Officer|4|4</v>
      </c>
      <c r="B380" t="str">
        <v>Problem Solving &amp; Decision Making</v>
      </c>
      <c r="C380" t="str">
        <v>Officer</v>
      </c>
      <c r="D380" s="76">
        <v>4</v>
      </c>
      <c r="E380" t="str" cm="1">
        <f t="array" ref="E380">INDEX(aspek!$D$2:$D$337,
   MATCH(1,(aspek!$A$2:$A$337=B380)*
           (aspek!$B$2:$B$337=C380)*
           (aspek!$C$2:$C$337=D380),0))</f>
        <v>Verifikasi temuan</v>
      </c>
      <c r="F380" s="76">
        <v>4</v>
      </c>
      <c r="G380" s="56" t="str" cm="1">
        <f t="array" ref="G380">INDEX(deskripsi!$D$2:$H$337,
   MATCH(1,(deskripsi!$A$2:$A$337=B380)*
           (deskripsi!$B$2:$B$337=C380)*
           (deskripsi!$C$2:$C$337=D380),0),
   F380)</f>
        <v>Secara rutin memverifikasi akar masalah kepada pihak terkait sebelum menyimpulkan, dan merevisi bila verifikasi menunjukkan hal berbeda.</v>
      </c>
    </row>
    <row r="381" spans="1:7">
      <c r="A381" t="str">
        <f t="shared" si="5"/>
        <v>Problem Solving &amp; Decision Making|Officer|4|5</v>
      </c>
      <c r="B381" t="str">
        <v>Problem Solving &amp; Decision Making</v>
      </c>
      <c r="C381" t="str">
        <v>Officer</v>
      </c>
      <c r="D381" s="76">
        <v>4</v>
      </c>
      <c r="E381" t="str" cm="1">
        <f t="array" ref="E381">INDEX(aspek!$D$2:$D$337,
   MATCH(1,(aspek!$A$2:$A$337=B381)*
           (aspek!$B$2:$B$337=C381)*
           (aspek!$C$2:$C$337=D381),0))</f>
        <v>Verifikasi temuan</v>
      </c>
      <c r="F381" s="76">
        <v>5</v>
      </c>
      <c r="G381" s="56" t="str" cm="1">
        <f t="array" ref="G381">INDEX(deskripsi!$D$2:$H$337,
   MATCH(1,(deskripsi!$A$2:$A$337=B381)*
           (deskripsi!$B$2:$B$337=C381)*
           (deskripsi!$C$2:$C$337=D381),0),
   F381)</f>
        <v>Temuannya jarang perlu direvisi karena verifikasinya sudah menyeluruh sejak awal.</v>
      </c>
    </row>
    <row r="382" spans="1:7">
      <c r="A382" t="str">
        <f t="shared" si="5"/>
        <v>Problem Solving &amp; Decision Making|Analyst|1|1</v>
      </c>
      <c r="B382" t="str">
        <v>Problem Solving &amp; Decision Making</v>
      </c>
      <c r="C382" t="str">
        <v>Analyst</v>
      </c>
      <c r="D382" s="76">
        <v>1</v>
      </c>
      <c r="E382" t="str" cm="1">
        <f t="array" ref="E382">INDEX(aspek!$D$2:$D$337,
   MATCH(1,(aspek!$A$2:$A$337=B382)*
           (aspek!$B$2:$B$337=C382)*
           (aspek!$C$2:$C$337=D382),0))</f>
        <v>Kedalaman pertanyaan</v>
      </c>
      <c r="F382" s="76">
        <v>1</v>
      </c>
      <c r="G382" s="56" t="str" cm="1">
        <f t="array" ref="G382">INDEX(deskripsi!$D$2:$H$337,
   MATCH(1,(deskripsi!$A$2:$A$337=B382)*
           (deskripsi!$B$2:$B$337=C382)*
           (deskripsi!$C$2:$C$337=D382),0),
   F382)</f>
        <v>Menerima informasi dan pengalaman sendiri sebagai kebenaran tanpa diuji.</v>
      </c>
    </row>
    <row r="383" spans="1:7">
      <c r="A383" t="str">
        <f t="shared" si="5"/>
        <v>Problem Solving &amp; Decision Making|Analyst|1|2</v>
      </c>
      <c r="B383" t="str">
        <v>Problem Solving &amp; Decision Making</v>
      </c>
      <c r="C383" t="str">
        <v>Analyst</v>
      </c>
      <c r="D383" s="76">
        <v>1</v>
      </c>
      <c r="E383" t="str" cm="1">
        <f t="array" ref="E383">INDEX(aspek!$D$2:$D$337,
   MATCH(1,(aspek!$A$2:$A$337=B383)*
           (aspek!$B$2:$B$337=C383)*
           (aspek!$C$2:$C$337=D383),0))</f>
        <v>Kedalaman pertanyaan</v>
      </c>
      <c r="F383" s="76">
        <v>2</v>
      </c>
      <c r="G383" s="56" t="str" cm="1">
        <f t="array" ref="G383">INDEX(deskripsi!$D$2:$H$337,
   MATCH(1,(deskripsi!$A$2:$A$337=B383)*
           (deskripsi!$B$2:$B$337=C383)*
           (deskripsi!$C$2:$C$337=D383),0),
   F383)</f>
        <v>Bertanya untuk memastikan fakta dasar sebelum memutuskan.</v>
      </c>
    </row>
    <row r="384" spans="1:7">
      <c r="A384" t="str">
        <f t="shared" si="5"/>
        <v>Problem Solving &amp; Decision Making|Analyst|1|3</v>
      </c>
      <c r="B384" t="str">
        <v>Problem Solving &amp; Decision Making</v>
      </c>
      <c r="C384" t="str">
        <v>Analyst</v>
      </c>
      <c r="D384" s="76">
        <v>1</v>
      </c>
      <c r="E384" t="str" cm="1">
        <f t="array" ref="E384">INDEX(aspek!$D$2:$D$337,
   MATCH(1,(aspek!$A$2:$A$337=B384)*
           (aspek!$B$2:$B$337=C384)*
           (aspek!$C$2:$C$337=D384),0))</f>
        <v>Kedalaman pertanyaan</v>
      </c>
      <c r="F384" s="76">
        <v>3</v>
      </c>
      <c r="G384" s="56" t="str" cm="1">
        <f t="array" ref="G384">INDEX(deskripsi!$D$2:$H$337,
   MATCH(1,(deskripsi!$A$2:$A$337=B384)*
           (deskripsi!$B$2:$B$337=C384)*
           (deskripsi!$C$2:$C$337=D384),0),
   F384)</f>
        <v>Bertanya untuk memahami alasan di balik sebuah pengalaman atau kebiasaan.</v>
      </c>
    </row>
    <row r="385" spans="1:7">
      <c r="A385" t="str">
        <f t="shared" si="5"/>
        <v>Problem Solving &amp; Decision Making|Analyst|1|4</v>
      </c>
      <c r="B385" t="str">
        <v>Problem Solving &amp; Decision Making</v>
      </c>
      <c r="C385" t="str">
        <v>Analyst</v>
      </c>
      <c r="D385" s="76">
        <v>1</v>
      </c>
      <c r="E385" t="str" cm="1">
        <f t="array" ref="E385">INDEX(aspek!$D$2:$D$337,
   MATCH(1,(aspek!$A$2:$A$337=B385)*
           (aspek!$B$2:$B$337=C385)*
           (aspek!$C$2:$C$337=D385),0))</f>
        <v>Kedalaman pertanyaan</v>
      </c>
      <c r="F385" s="76">
        <v>4</v>
      </c>
      <c r="G385" s="56" t="str" cm="1">
        <f t="array" ref="G385">INDEX(deskripsi!$D$2:$H$337,
   MATCH(1,(deskripsi!$A$2:$A$337=B385)*
           (deskripsi!$B$2:$B$337=C385)*
           (deskripsi!$C$2:$C$337=D385),0),
   F385)</f>
        <v>Menguji asumsi yang mendasari pengalaman dan mencari sumber pembanding sebelum menyimpulkan.</v>
      </c>
    </row>
    <row r="386" spans="1:7">
      <c r="A386" t="str">
        <f t="shared" si="5"/>
        <v>Problem Solving &amp; Decision Making|Analyst|1|5</v>
      </c>
      <c r="B386" t="str">
        <v>Problem Solving &amp; Decision Making</v>
      </c>
      <c r="C386" t="str">
        <v>Analyst</v>
      </c>
      <c r="D386" s="76">
        <v>1</v>
      </c>
      <c r="E386" t="str" cm="1">
        <f t="array" ref="E386">INDEX(aspek!$D$2:$D$337,
   MATCH(1,(aspek!$A$2:$A$337=B386)*
           (aspek!$B$2:$B$337=C386)*
           (aspek!$C$2:$C$337=D386),0))</f>
        <v>Kedalaman pertanyaan</v>
      </c>
      <c r="F386" s="76">
        <v>5</v>
      </c>
      <c r="G386" s="56" t="str" cm="1">
        <f t="array" ref="G386">INDEX(deskripsi!$D$2:$H$337,
   MATCH(1,(deskripsi!$A$2:$A$337=B386)*
           (deskripsi!$B$2:$B$337=C386)*
           (deskripsi!$C$2:$C$337=D386),0),
   F386)</f>
        <v>Merangkai kerangka berpikir sendiri ketika pengalaman dan data baru saling bertentangan.</v>
      </c>
    </row>
    <row r="387" spans="1:7">
      <c r="A387" t="str">
        <f t="shared" ref="A387:A450" si="6">B387&amp;"|"&amp;C387&amp;"|"&amp;D387&amp;"|"&amp;F387</f>
        <v>Problem Solving &amp; Decision Making|Analyst|2|1</v>
      </c>
      <c r="B387" t="str">
        <v>Problem Solving &amp; Decision Making</v>
      </c>
      <c r="C387" t="str">
        <v>Analyst</v>
      </c>
      <c r="D387" s="76">
        <v>2</v>
      </c>
      <c r="E387" t="str" cm="1">
        <f t="array" ref="E387">INDEX(aspek!$D$2:$D$337,
   MATCH(1,(aspek!$A$2:$A$337=B387)*
           (aspek!$B$2:$B$337=C387)*
           (aspek!$C$2:$C$337=D387),0))</f>
        <v>Keberanian menguji</v>
      </c>
      <c r="F387" s="76">
        <v>1</v>
      </c>
      <c r="G387" s="56" t="str" cm="1">
        <f t="array" ref="G387">INDEX(deskripsi!$D$2:$H$337,
   MATCH(1,(deskripsi!$A$2:$A$337=B387)*
           (deskripsi!$B$2:$B$337=C387)*
           (deskripsi!$C$2:$C$337=D387),0),
   F387)</f>
        <v>Tidak mempertanyakan cara kerja yang sudah lazim.</v>
      </c>
    </row>
    <row r="388" spans="1:7">
      <c r="A388" t="str">
        <f t="shared" si="6"/>
        <v>Problem Solving &amp; Decision Making|Analyst|2|2</v>
      </c>
      <c r="B388" t="str">
        <v>Problem Solving &amp; Decision Making</v>
      </c>
      <c r="C388" t="str">
        <v>Analyst</v>
      </c>
      <c r="D388" s="76">
        <v>2</v>
      </c>
      <c r="E388" t="str" cm="1">
        <f t="array" ref="E388">INDEX(aspek!$D$2:$D$337,
   MATCH(1,(aspek!$A$2:$A$337=B388)*
           (aspek!$B$2:$B$337=C388)*
           (aspek!$C$2:$C$337=D388),0))</f>
        <v>Keberanian menguji</v>
      </c>
      <c r="F388" s="76">
        <v>2</v>
      </c>
      <c r="G388" s="56" t="str" cm="1">
        <f t="array" ref="G388">INDEX(deskripsi!$D$2:$H$337,
   MATCH(1,(deskripsi!$A$2:$A$337=B388)*
           (deskripsi!$B$2:$B$337=C388)*
           (deskripsi!$C$2:$C$337=D388),0),
   F388)</f>
        <v>Mempertanyakan hanya di belakang, tidak kepada sumbernya.</v>
      </c>
    </row>
    <row r="389" spans="1:7">
      <c r="A389" t="str">
        <f t="shared" si="6"/>
        <v>Problem Solving &amp; Decision Making|Analyst|2|3</v>
      </c>
      <c r="B389" t="str">
        <v>Problem Solving &amp; Decision Making</v>
      </c>
      <c r="C389" t="str">
        <v>Analyst</v>
      </c>
      <c r="D389" s="76">
        <v>2</v>
      </c>
      <c r="E389" t="str" cm="1">
        <f t="array" ref="E389">INDEX(aspek!$D$2:$D$337,
   MATCH(1,(aspek!$A$2:$A$337=B389)*
           (aspek!$B$2:$B$337=C389)*
           (aspek!$C$2:$C$337=D389),0))</f>
        <v>Keberanian menguji</v>
      </c>
      <c r="F389" s="76">
        <v>3</v>
      </c>
      <c r="G389" s="56" t="str" cm="1">
        <f t="array" ref="G389">INDEX(deskripsi!$D$2:$H$337,
   MATCH(1,(deskripsi!$A$2:$A$337=B389)*
           (deskripsi!$B$2:$B$337=C389)*
           (deskripsi!$C$2:$C$337=D389),0),
   F389)</f>
        <v>Mempertanyakan secara terbuka pada hal yang jelas keliru.</v>
      </c>
    </row>
    <row r="390" spans="1:7">
      <c r="A390" t="str">
        <f t="shared" si="6"/>
        <v>Problem Solving &amp; Decision Making|Analyst|2|4</v>
      </c>
      <c r="B390" t="str">
        <v>Problem Solving &amp; Decision Making</v>
      </c>
      <c r="C390" t="str">
        <v>Analyst</v>
      </c>
      <c r="D390" s="76">
        <v>2</v>
      </c>
      <c r="E390" t="str" cm="1">
        <f t="array" ref="E390">INDEX(aspek!$D$2:$D$337,
   MATCH(1,(aspek!$A$2:$A$337=B390)*
           (aspek!$B$2:$B$337=C390)*
           (aspek!$C$2:$C$337=D390),0))</f>
        <v>Keberanian menguji</v>
      </c>
      <c r="F390" s="76">
        <v>4</v>
      </c>
      <c r="G390" s="56" t="str" cm="1">
        <f t="array" ref="G390">INDEX(deskripsi!$D$2:$H$337,
   MATCH(1,(deskripsi!$A$2:$A$337=B390)*
           (deskripsi!$B$2:$B$337=C390)*
           (deskripsi!$C$2:$C$337=D390),0),
   F390)</f>
        <v>Mempertanyakan keputusan berbasis pengalaman — termasuk pengalamannya sendiri — secara terbuka sebelum memutuskan.</v>
      </c>
    </row>
    <row r="391" spans="1:7">
      <c r="A391" t="str">
        <f t="shared" si="6"/>
        <v>Problem Solving &amp; Decision Making|Analyst|2|5</v>
      </c>
      <c r="B391" t="str">
        <v>Problem Solving &amp; Decision Making</v>
      </c>
      <c r="C391" t="str">
        <v>Analyst</v>
      </c>
      <c r="D391" s="76">
        <v>2</v>
      </c>
      <c r="E391" t="str" cm="1">
        <f t="array" ref="E391">INDEX(aspek!$D$2:$D$337,
   MATCH(1,(aspek!$A$2:$A$337=B391)*
           (aspek!$B$2:$B$337=C391)*
           (aspek!$C$2:$C$337=D391),0))</f>
        <v>Keberanian menguji</v>
      </c>
      <c r="F391" s="76">
        <v>5</v>
      </c>
      <c r="G391" s="56" t="str" cm="1">
        <f t="array" ref="G391">INDEX(deskripsi!$D$2:$H$337,
   MATCH(1,(deskripsi!$A$2:$A$337=B391)*
           (deskripsi!$B$2:$B$337=C391)*
           (deskripsi!$C$2:$C$337=D391),0),
   F391)</f>
        <v>Dicari orang lain untuk menguji keputusan mereka justru karena pertanyaannya tajam dan membangun.</v>
      </c>
    </row>
    <row r="392" spans="1:7">
      <c r="A392" t="str">
        <f t="shared" si="6"/>
        <v>Problem Solving &amp; Decision Making|Analyst|3|1</v>
      </c>
      <c r="B392" t="str">
        <v>Problem Solving &amp; Decision Making</v>
      </c>
      <c r="C392" t="str">
        <v>Analyst</v>
      </c>
      <c r="D392" s="76">
        <v>3</v>
      </c>
      <c r="E392" t="str" cm="1">
        <f t="array" ref="E392">INDEX(aspek!$D$2:$D$337,
   MATCH(1,(aspek!$A$2:$A$337=B392)*
           (aspek!$B$2:$B$337=C392)*
           (aspek!$C$2:$C$337=D392),0))</f>
        <v>Pencarian pembanding</v>
      </c>
      <c r="F392" s="76">
        <v>1</v>
      </c>
      <c r="G392" s="56" t="str" cm="1">
        <f t="array" ref="G392">INDEX(deskripsi!$D$2:$H$337,
   MATCH(1,(deskripsi!$A$2:$A$337=B392)*
           (deskripsi!$B$2:$B$337=C392)*
           (deskripsi!$C$2:$C$337=D392),0),
   F392)</f>
        <v>Memakai satu sumber, biasanya pengalaman sendiri.</v>
      </c>
    </row>
    <row r="393" spans="1:7">
      <c r="A393" t="str">
        <f t="shared" si="6"/>
        <v>Problem Solving &amp; Decision Making|Analyst|3|2</v>
      </c>
      <c r="B393" t="str">
        <v>Problem Solving &amp; Decision Making</v>
      </c>
      <c r="C393" t="str">
        <v>Analyst</v>
      </c>
      <c r="D393" s="76">
        <v>3</v>
      </c>
      <c r="E393" t="str" cm="1">
        <f t="array" ref="E393">INDEX(aspek!$D$2:$D$337,
   MATCH(1,(aspek!$A$2:$A$337=B393)*
           (aspek!$B$2:$B$337=C393)*
           (aspek!$C$2:$C$337=D393),0))</f>
        <v>Pencarian pembanding</v>
      </c>
      <c r="F393" s="76">
        <v>2</v>
      </c>
      <c r="G393" s="56" t="str" cm="1">
        <f t="array" ref="G393">INDEX(deskripsi!$D$2:$H$337,
   MATCH(1,(deskripsi!$A$2:$A$337=B393)*
           (deskripsi!$B$2:$B$337=C393)*
           (deskripsi!$C$2:$C$337=D393),0),
   F393)</f>
        <v>Memakai beberapa sumber yang seluruhnya menguatkan pengalamannya.</v>
      </c>
    </row>
    <row r="394" spans="1:7">
      <c r="A394" t="str">
        <f t="shared" si="6"/>
        <v>Problem Solving &amp; Decision Making|Analyst|3|3</v>
      </c>
      <c r="B394" t="str">
        <v>Problem Solving &amp; Decision Making</v>
      </c>
      <c r="C394" t="str">
        <v>Analyst</v>
      </c>
      <c r="D394" s="76">
        <v>3</v>
      </c>
      <c r="E394" t="str" cm="1">
        <f t="array" ref="E394">INDEX(aspek!$D$2:$D$337,
   MATCH(1,(aspek!$A$2:$A$337=B394)*
           (aspek!$B$2:$B$337=C394)*
           (aspek!$C$2:$C$337=D394),0))</f>
        <v>Pencarian pembanding</v>
      </c>
      <c r="F394" s="76">
        <v>3</v>
      </c>
      <c r="G394" s="56" t="str" cm="1">
        <f t="array" ref="G394">INDEX(deskripsi!$D$2:$H$337,
   MATCH(1,(deskripsi!$A$2:$A$337=B394)*
           (deskripsi!$B$2:$B$337=C394)*
           (deskripsi!$C$2:$C$337=D394),0),
   F394)</f>
        <v>Membandingkan beberapa sumber sebelum menyimpulkan.</v>
      </c>
    </row>
    <row r="395" spans="1:7">
      <c r="A395" t="str">
        <f t="shared" si="6"/>
        <v>Problem Solving &amp; Decision Making|Analyst|3|4</v>
      </c>
      <c r="B395" t="str">
        <v>Problem Solving &amp; Decision Making</v>
      </c>
      <c r="C395" t="str">
        <v>Analyst</v>
      </c>
      <c r="D395" s="76">
        <v>3</v>
      </c>
      <c r="E395" t="str" cm="1">
        <f t="array" ref="E395">INDEX(aspek!$D$2:$D$337,
   MATCH(1,(aspek!$A$2:$A$337=B395)*
           (aspek!$B$2:$B$337=C395)*
           (aspek!$C$2:$C$337=D395),0))</f>
        <v>Pencarian pembanding</v>
      </c>
      <c r="F395" s="76">
        <v>4</v>
      </c>
      <c r="G395" s="56" t="str" cm="1">
        <f t="array" ref="G395">INDEX(deskripsi!$D$2:$H$337,
   MATCH(1,(deskripsi!$A$2:$A$337=B395)*
           (deskripsi!$B$2:$B$337=C395)*
           (deskripsi!$C$2:$C$337=D395),0),
   F395)</f>
        <v>Sengaja mencari sumber yang berpotensi MEMBANTAH keputusan berbasis pengalamannya, dan mengubah keputusan ketika pembanding itu lebih kuat.</v>
      </c>
    </row>
    <row r="396" spans="1:7">
      <c r="A396" t="str">
        <f t="shared" si="6"/>
        <v>Problem Solving &amp; Decision Making|Analyst|3|5</v>
      </c>
      <c r="B396" t="str">
        <v>Problem Solving &amp; Decision Making</v>
      </c>
      <c r="C396" t="str">
        <v>Analyst</v>
      </c>
      <c r="D396" s="76">
        <v>3</v>
      </c>
      <c r="E396" t="str" cm="1">
        <f t="array" ref="E396">INDEX(aspek!$D$2:$D$337,
   MATCH(1,(aspek!$A$2:$A$337=B396)*
           (aspek!$B$2:$B$337=C396)*
           (aspek!$C$2:$C$337=D396),0))</f>
        <v>Pencarian pembanding</v>
      </c>
      <c r="F396" s="76">
        <v>5</v>
      </c>
      <c r="G396" s="56" t="str" cm="1">
        <f t="array" ref="G396">INDEX(deskripsi!$D$2:$H$337,
   MATCH(1,(deskripsi!$A$2:$A$337=B396)*
           (deskripsi!$B$2:$B$337=C396)*
           (deskripsi!$C$2:$C$337=D396),0),
   F396)</f>
        <v>Menemukan sumber pembanding yang sebelumnya tidak terpikir dipakai di unitnya.</v>
      </c>
    </row>
    <row r="397" spans="1:7">
      <c r="A397" t="str">
        <f t="shared" si="6"/>
        <v>Problem Solving &amp; Decision Making|Analyst|4|1</v>
      </c>
      <c r="B397" t="str">
        <v>Problem Solving &amp; Decision Making</v>
      </c>
      <c r="C397" t="str">
        <v>Analyst</v>
      </c>
      <c r="D397" s="76">
        <v>4</v>
      </c>
      <c r="E397" t="str" cm="1">
        <f t="array" ref="E397">INDEX(aspek!$D$2:$D$337,
   MATCH(1,(aspek!$A$2:$A$337=B397)*
           (aspek!$B$2:$B$337=C397)*
           (aspek!$C$2:$C$337=D397),0))</f>
        <v>Keingintahuan yang berkelanjutan</v>
      </c>
      <c r="F397" s="76">
        <v>1</v>
      </c>
      <c r="G397" s="56" t="str" cm="1">
        <f t="array" ref="G397">INDEX(deskripsi!$D$2:$H$337,
   MATCH(1,(deskripsi!$A$2:$A$337=B397)*
           (deskripsi!$B$2:$B$337=C397)*
           (deskripsi!$C$2:$C$337=D397),0),
   F397)</f>
        <v>Bertanya hanya ketika terpaksa.</v>
      </c>
    </row>
    <row r="398" spans="1:7">
      <c r="A398" t="str">
        <f t="shared" si="6"/>
        <v>Problem Solving &amp; Decision Making|Analyst|4|2</v>
      </c>
      <c r="B398" t="str">
        <v>Problem Solving &amp; Decision Making</v>
      </c>
      <c r="C398" t="str">
        <v>Analyst</v>
      </c>
      <c r="D398" s="76">
        <v>4</v>
      </c>
      <c r="E398" t="str" cm="1">
        <f t="array" ref="E398">INDEX(aspek!$D$2:$D$337,
   MATCH(1,(aspek!$A$2:$A$337=B398)*
           (aspek!$B$2:$B$337=C398)*
           (aspek!$C$2:$C$337=D398),0))</f>
        <v>Keingintahuan yang berkelanjutan</v>
      </c>
      <c r="F398" s="76">
        <v>2</v>
      </c>
      <c r="G398" s="56" t="str" cm="1">
        <f t="array" ref="G398">INDEX(deskripsi!$D$2:$H$337,
   MATCH(1,(deskripsi!$A$2:$A$337=B398)*
           (deskripsi!$B$2:$B$337=C398)*
           (deskripsi!$C$2:$C$337=D398),0),
   F398)</f>
        <v>Bertanya pada hal yang berkaitan langsung dengan tugasnya.</v>
      </c>
    </row>
    <row r="399" spans="1:7">
      <c r="A399" t="str">
        <f t="shared" si="6"/>
        <v>Problem Solving &amp; Decision Making|Analyst|4|3</v>
      </c>
      <c r="B399" t="str">
        <v>Problem Solving &amp; Decision Making</v>
      </c>
      <c r="C399" t="str">
        <v>Analyst</v>
      </c>
      <c r="D399" s="76">
        <v>4</v>
      </c>
      <c r="E399" t="str" cm="1">
        <f t="array" ref="E399">INDEX(aspek!$D$2:$D$337,
   MATCH(1,(aspek!$A$2:$A$337=B399)*
           (aspek!$B$2:$B$337=C399)*
           (aspek!$C$2:$C$337=D399),0))</f>
        <v>Keingintahuan yang berkelanjutan</v>
      </c>
      <c r="F399" s="76">
        <v>3</v>
      </c>
      <c r="G399" s="56" t="str" cm="1">
        <f t="array" ref="G399">INDEX(deskripsi!$D$2:$H$337,
   MATCH(1,(deskripsi!$A$2:$A$337=B399)*
           (deskripsi!$B$2:$B$337=C399)*
           (deskripsi!$C$2:$C$337=D399),0),
   F399)</f>
        <v>Menunjukkan minat menggali alasan di balik pekerjaan.</v>
      </c>
    </row>
    <row r="400" spans="1:7">
      <c r="A400" t="str">
        <f t="shared" si="6"/>
        <v>Problem Solving &amp; Decision Making|Analyst|4|4</v>
      </c>
      <c r="B400" t="str">
        <v>Problem Solving &amp; Decision Making</v>
      </c>
      <c r="C400" t="str">
        <v>Analyst</v>
      </c>
      <c r="D400" s="76">
        <v>4</v>
      </c>
      <c r="E400" t="str" cm="1">
        <f t="array" ref="E400">INDEX(aspek!$D$2:$D$337,
   MATCH(1,(aspek!$A$2:$A$337=B400)*
           (aspek!$B$2:$B$337=C400)*
           (aspek!$C$2:$C$337=D400),0))</f>
        <v>Keingintahuan yang berkelanjutan</v>
      </c>
      <c r="F400" s="76">
        <v>4</v>
      </c>
      <c r="G400" s="56" t="str" cm="1">
        <f t="array" ref="G400">INDEX(deskripsi!$D$2:$H$337,
   MATCH(1,(deskripsi!$A$2:$A$337=B400)*
           (deskripsi!$B$2:$B$337=C400)*
           (deskripsi!$C$2:$C$337=D400),0),
   F400)</f>
        <v>Secara rutin memeriksa keputusan berbasis pengalaman yang selama ini tidak dipertanyakan, tanpa diminta.</v>
      </c>
    </row>
    <row r="401" spans="1:7">
      <c r="A401" t="str">
        <f t="shared" si="6"/>
        <v>Problem Solving &amp; Decision Making|Analyst|4|5</v>
      </c>
      <c r="B401" t="str">
        <v>Problem Solving &amp; Decision Making</v>
      </c>
      <c r="C401" t="str">
        <v>Analyst</v>
      </c>
      <c r="D401" s="76">
        <v>4</v>
      </c>
      <c r="E401" t="str" cm="1">
        <f t="array" ref="E401">INDEX(aspek!$D$2:$D$337,
   MATCH(1,(aspek!$A$2:$A$337=B401)*
           (aspek!$B$2:$B$337=C401)*
           (aspek!$C$2:$C$337=D401),0))</f>
        <v>Keingintahuan yang berkelanjutan</v>
      </c>
      <c r="F401" s="76">
        <v>5</v>
      </c>
      <c r="G401" s="56" t="str" cm="1">
        <f t="array" ref="G401">INDEX(deskripsi!$D$2:$H$337,
   MATCH(1,(deskripsi!$A$2:$A$337=B401)*
           (deskripsi!$B$2:$B$337=C401)*
           (deskripsi!$C$2:$C$337=D401),0),
   F401)</f>
        <v>Kebiasaannya menular; rekan mulai ikut mempertanyakan keputusan yang selama ini diterima begitu saja.</v>
      </c>
    </row>
    <row r="402" spans="1:7">
      <c r="A402" t="str">
        <f t="shared" si="6"/>
        <v>Problem Solving &amp; Decision Making|Unit Head/Specialist|1|1</v>
      </c>
      <c r="B402" t="str">
        <v>Problem Solving &amp; Decision Making</v>
      </c>
      <c r="C402" t="str">
        <v>Unit Head/Specialist</v>
      </c>
      <c r="D402" s="76">
        <v>1</v>
      </c>
      <c r="E402" t="str" cm="1">
        <f t="array" ref="E402">INDEX(aspek!$D$2:$D$337,
   MATCH(1,(aspek!$A$2:$A$337=B402)*
           (aspek!$B$2:$B$337=C402)*
           (aspek!$C$2:$C$337=D402),0))</f>
        <v>Kesediaan memutuskan tanpa kepastian penuh</v>
      </c>
      <c r="F402" s="76">
        <v>1</v>
      </c>
      <c r="G402" s="56" t="str" cm="1">
        <f t="array" ref="G402">INDEX(deskripsi!$D$2:$H$337,
   MATCH(1,(deskripsi!$A$2:$A$337=B402)*
           (deskripsi!$B$2:$B$337=C402)*
           (deskripsi!$C$2:$C$337=D402),0),
   F402)</f>
        <v>Menunda keputusan sampai data lengkap.</v>
      </c>
    </row>
    <row r="403" spans="1:7">
      <c r="A403" t="str">
        <f t="shared" si="6"/>
        <v>Problem Solving &amp; Decision Making|Unit Head/Specialist|1|2</v>
      </c>
      <c r="B403" t="str">
        <v>Problem Solving &amp; Decision Making</v>
      </c>
      <c r="C403" t="str">
        <v>Unit Head/Specialist</v>
      </c>
      <c r="D403" s="76">
        <v>1</v>
      </c>
      <c r="E403" t="str" cm="1">
        <f t="array" ref="E403">INDEX(aspek!$D$2:$D$337,
   MATCH(1,(aspek!$A$2:$A$337=B403)*
           (aspek!$B$2:$B$337=C403)*
           (aspek!$C$2:$C$337=D403),0))</f>
        <v>Kesediaan memutuskan tanpa kepastian penuh</v>
      </c>
      <c r="F403" s="76">
        <v>2</v>
      </c>
      <c r="G403" s="56" t="str" cm="1">
        <f t="array" ref="G403">INDEX(deskripsi!$D$2:$H$337,
   MATCH(1,(deskripsi!$A$2:$A$337=B403)*
           (deskripsi!$B$2:$B$337=C403)*
           (deskripsi!$C$2:$C$337=D403),0),
   F403)</f>
        <v>Memutuskan setelah menunggu, meski tenggatnya terlewat.</v>
      </c>
    </row>
    <row r="404" spans="1:7">
      <c r="A404" t="str">
        <f t="shared" si="6"/>
        <v>Problem Solving &amp; Decision Making|Unit Head/Specialist|1|3</v>
      </c>
      <c r="B404" t="str">
        <v>Problem Solving &amp; Decision Making</v>
      </c>
      <c r="C404" t="str">
        <v>Unit Head/Specialist</v>
      </c>
      <c r="D404" s="76">
        <v>1</v>
      </c>
      <c r="E404" t="str" cm="1">
        <f t="array" ref="E404">INDEX(aspek!$D$2:$D$337,
   MATCH(1,(aspek!$A$2:$A$337=B404)*
           (aspek!$B$2:$B$337=C404)*
           (aspek!$C$2:$C$337=D404),0))</f>
        <v>Kesediaan memutuskan tanpa kepastian penuh</v>
      </c>
      <c r="F404" s="76">
        <v>3</v>
      </c>
      <c r="G404" s="56" t="str" cm="1">
        <f t="array" ref="G404">INDEX(deskripsi!$D$2:$H$337,
   MATCH(1,(deskripsi!$A$2:$A$337=B404)*
           (deskripsi!$B$2:$B$337=C404)*
           (deskripsi!$C$2:$C$337=D404),0),
   F404)</f>
        <v>Memutuskan tepat waktu pada perkara yang sudah familiar.</v>
      </c>
    </row>
    <row r="405" spans="1:7">
      <c r="A405" t="str">
        <f t="shared" si="6"/>
        <v>Problem Solving &amp; Decision Making|Unit Head/Specialist|1|4</v>
      </c>
      <c r="B405" t="str">
        <v>Problem Solving &amp; Decision Making</v>
      </c>
      <c r="C405" t="str">
        <v>Unit Head/Specialist</v>
      </c>
      <c r="D405" s="76">
        <v>1</v>
      </c>
      <c r="E405" t="str" cm="1">
        <f t="array" ref="E405">INDEX(aspek!$D$2:$D$337,
   MATCH(1,(aspek!$A$2:$A$337=B405)*
           (aspek!$B$2:$B$337=C405)*
           (aspek!$C$2:$C$337=D405),0))</f>
        <v>Kesediaan memutuskan tanpa kepastian penuh</v>
      </c>
      <c r="F405" s="76">
        <v>4</v>
      </c>
      <c r="G405" s="56" t="str" cm="1">
        <f t="array" ref="G405">INDEX(deskripsi!$D$2:$H$337,
   MATCH(1,(deskripsi!$A$2:$A$337=B405)*
           (deskripsi!$B$2:$B$337=C405)*
           (deskripsi!$C$2:$C$337=D405),0),
   F405)</f>
        <v>Menetapkan sendiri batas informasi minimum dan bergerak pada batas itu, termasuk pada perkara baru.</v>
      </c>
    </row>
    <row r="406" spans="1:7">
      <c r="A406" t="str">
        <f t="shared" si="6"/>
        <v>Problem Solving &amp; Decision Making|Unit Head/Specialist|1|5</v>
      </c>
      <c r="B406" t="str">
        <v>Problem Solving &amp; Decision Making</v>
      </c>
      <c r="C406" t="str">
        <v>Unit Head/Specialist</v>
      </c>
      <c r="D406" s="76">
        <v>1</v>
      </c>
      <c r="E406" t="str" cm="1">
        <f t="array" ref="E406">INDEX(aspek!$D$2:$D$337,
   MATCH(1,(aspek!$A$2:$A$337=B406)*
           (aspek!$B$2:$B$337=C406)*
           (aspek!$C$2:$C$337=D406),0))</f>
        <v>Kesediaan memutuskan tanpa kepastian penuh</v>
      </c>
      <c r="F406" s="76">
        <v>5</v>
      </c>
      <c r="G406" s="56" t="str" cm="1">
        <f t="array" ref="G406">INDEX(deskripsi!$D$2:$H$337,
   MATCH(1,(deskripsi!$A$2:$A$337=B406)*
           (deskripsi!$B$2:$B$337=C406)*
           (deskripsi!$C$2:$C$337=D406),0),
   F406)</f>
        <v>Memutuskan lebih awal ketika penundaan justru lebih berisiko.</v>
      </c>
    </row>
    <row r="407" spans="1:7">
      <c r="A407" t="str">
        <f t="shared" si="6"/>
        <v>Problem Solving &amp; Decision Making|Unit Head/Specialist|2|1</v>
      </c>
      <c r="B407" t="str">
        <v>Problem Solving &amp; Decision Making</v>
      </c>
      <c r="C407" t="str">
        <v>Unit Head/Specialist</v>
      </c>
      <c r="D407" s="76">
        <v>2</v>
      </c>
      <c r="E407" t="str" cm="1">
        <f t="array" ref="E407">INDEX(aspek!$D$2:$D$337,
   MATCH(1,(aspek!$A$2:$A$337=B407)*
           (aspek!$B$2:$B$337=C407)*
           (aspek!$C$2:$C$337=D407),0))</f>
        <v>Kualitas proses pertimbangan</v>
      </c>
      <c r="F407" s="76">
        <v>1</v>
      </c>
      <c r="G407" s="56" t="str" cm="1">
        <f t="array" ref="G407">INDEX(deskripsi!$D$2:$H$337,
   MATCH(1,(deskripsi!$A$2:$A$337=B407)*
           (deskripsi!$B$2:$B$337=C407)*
           (deskripsi!$C$2:$C$337=D407),0),
   F407)</f>
        <v>Memutuskan berdasarkan kebiasaan tanpa dasar yang jelas.</v>
      </c>
    </row>
    <row r="408" spans="1:7">
      <c r="A408" t="str">
        <f t="shared" si="6"/>
        <v>Problem Solving &amp; Decision Making|Unit Head/Specialist|2|2</v>
      </c>
      <c r="B408" t="str">
        <v>Problem Solving &amp; Decision Making</v>
      </c>
      <c r="C408" t="str">
        <v>Unit Head/Specialist</v>
      </c>
      <c r="D408" s="76">
        <v>2</v>
      </c>
      <c r="E408" t="str" cm="1">
        <f t="array" ref="E408">INDEX(aspek!$D$2:$D$337,
   MATCH(1,(aspek!$A$2:$A$337=B408)*
           (aspek!$B$2:$B$337=C408)*
           (aspek!$C$2:$C$337=D408),0))</f>
        <v>Kualitas proses pertimbangan</v>
      </c>
      <c r="F408" s="76">
        <v>2</v>
      </c>
      <c r="G408" s="56" t="str" cm="1">
        <f t="array" ref="G408">INDEX(deskripsi!$D$2:$H$337,
   MATCH(1,(deskripsi!$A$2:$A$337=B408)*
           (deskripsi!$B$2:$B$337=C408)*
           (deskripsi!$C$2:$C$337=D408),0),
   F408)</f>
        <v>Memilih opsi yang terpikir lebih dulu tanpa membandingkan.</v>
      </c>
    </row>
    <row r="409" spans="1:7">
      <c r="A409" t="str">
        <f t="shared" si="6"/>
        <v>Problem Solving &amp; Decision Making|Unit Head/Specialist|2|3</v>
      </c>
      <c r="B409" t="str">
        <v>Problem Solving &amp; Decision Making</v>
      </c>
      <c r="C409" t="str">
        <v>Unit Head/Specialist</v>
      </c>
      <c r="D409" s="76">
        <v>2</v>
      </c>
      <c r="E409" t="str" cm="1">
        <f t="array" ref="E409">INDEX(aspek!$D$2:$D$337,
   MATCH(1,(aspek!$A$2:$A$337=B409)*
           (aspek!$B$2:$B$337=C409)*
           (aspek!$C$2:$C$337=D409),0))</f>
        <v>Kualitas proses pertimbangan</v>
      </c>
      <c r="F409" s="76">
        <v>3</v>
      </c>
      <c r="G409" s="56" t="str" cm="1">
        <f t="array" ref="G409">INDEX(deskripsi!$D$2:$H$337,
   MATCH(1,(deskripsi!$A$2:$A$337=B409)*
           (deskripsi!$B$2:$B$337=C409)*
           (deskripsi!$C$2:$C$337=D409),0),
   F409)</f>
        <v>Memilih opsi yang paling masuk akal dengan pertimbangan yang dapat dijelaskan.</v>
      </c>
    </row>
    <row r="410" spans="1:7">
      <c r="A410" t="str">
        <f t="shared" si="6"/>
        <v>Problem Solving &amp; Decision Making|Unit Head/Specialist|2|4</v>
      </c>
      <c r="B410" t="str">
        <v>Problem Solving &amp; Decision Making</v>
      </c>
      <c r="C410" t="str">
        <v>Unit Head/Specialist</v>
      </c>
      <c r="D410" s="76">
        <v>2</v>
      </c>
      <c r="E410" t="str" cm="1">
        <f t="array" ref="E410">INDEX(aspek!$D$2:$D$337,
   MATCH(1,(aspek!$A$2:$A$337=B410)*
           (aspek!$B$2:$B$337=C410)*
           (aspek!$C$2:$C$337=D410),0))</f>
        <v>Kualitas proses pertimbangan</v>
      </c>
      <c r="F410" s="76">
        <v>4</v>
      </c>
      <c r="G410" s="56" t="str" cm="1">
        <f t="array" ref="G410">INDEX(deskripsi!$D$2:$H$337,
   MATCH(1,(deskripsi!$A$2:$A$337=B410)*
           (deskripsi!$B$2:$B$337=C410)*
           (deskripsi!$C$2:$C$337=D410),0),
   F410)</f>
        <v>Menyusun minimal dua opsi beserta risiko terburuknya, menyatakan asumsi, dan menetapkan pemicu revisi.</v>
      </c>
    </row>
    <row r="411" spans="1:7">
      <c r="A411" t="str">
        <f t="shared" si="6"/>
        <v>Problem Solving &amp; Decision Making|Unit Head/Specialist|2|5</v>
      </c>
      <c r="B411" t="str">
        <v>Problem Solving &amp; Decision Making</v>
      </c>
      <c r="C411" t="str">
        <v>Unit Head/Specialist</v>
      </c>
      <c r="D411" s="76">
        <v>2</v>
      </c>
      <c r="E411" t="str" cm="1">
        <f t="array" ref="E411">INDEX(aspek!$D$2:$D$337,
   MATCH(1,(aspek!$A$2:$A$337=B411)*
           (aspek!$B$2:$B$337=C411)*
           (aspek!$C$2:$C$337=D411),0))</f>
        <v>Kualitas proses pertimbangan</v>
      </c>
      <c r="F411" s="76">
        <v>5</v>
      </c>
      <c r="G411" s="56" t="str" cm="1">
        <f t="array" ref="G411">INDEX(deskripsi!$D$2:$H$337,
   MATCH(1,(deskripsi!$A$2:$A$337=B411)*
           (deskripsi!$B$2:$B$337=C411)*
           (deskripsi!$C$2:$C$337=D411),0),
   F411)</f>
        <v>Memakai pelajaran sebelumnya dan pertimbangan jangka panjang.</v>
      </c>
    </row>
    <row r="412" spans="1:7">
      <c r="A412" t="str">
        <f t="shared" si="6"/>
        <v>Problem Solving &amp; Decision Making|Unit Head/Specialist|3|1</v>
      </c>
      <c r="B412" t="str">
        <v>Problem Solving &amp; Decision Making</v>
      </c>
      <c r="C412" t="str">
        <v>Unit Head/Specialist</v>
      </c>
      <c r="D412" s="76">
        <v>3</v>
      </c>
      <c r="E412" t="str" cm="1">
        <f t="array" ref="E412">INDEX(aspek!$D$2:$D$337,
   MATCH(1,(aspek!$A$2:$A$337=B412)*
           (aspek!$B$2:$B$337=C412)*
           (aspek!$C$2:$C$337=D412),0))</f>
        <v>Tanggung jawab atas keputusan</v>
      </c>
      <c r="F412" s="76">
        <v>1</v>
      </c>
      <c r="G412" s="56" t="str" cm="1">
        <f t="array" ref="G412">INDEX(deskripsi!$D$2:$H$337,
   MATCH(1,(deskripsi!$A$2:$A$337=B412)*
           (deskripsi!$B$2:$B$337=C412)*
           (deskripsi!$C$2:$C$337=D412),0),
   F412)</f>
        <v>Menghindari keputusan agar tidak menanggung akibatnya.</v>
      </c>
    </row>
    <row r="413" spans="1:7">
      <c r="A413" t="str">
        <f t="shared" si="6"/>
        <v>Problem Solving &amp; Decision Making|Unit Head/Specialist|3|2</v>
      </c>
      <c r="B413" t="str">
        <v>Problem Solving &amp; Decision Making</v>
      </c>
      <c r="C413" t="str">
        <v>Unit Head/Specialist</v>
      </c>
      <c r="D413" s="76">
        <v>3</v>
      </c>
      <c r="E413" t="str" cm="1">
        <f t="array" ref="E413">INDEX(aspek!$D$2:$D$337,
   MATCH(1,(aspek!$A$2:$A$337=B413)*
           (aspek!$B$2:$B$337=C413)*
           (aspek!$C$2:$C$337=D413),0))</f>
        <v>Tanggung jawab atas keputusan</v>
      </c>
      <c r="F413" s="76">
        <v>2</v>
      </c>
      <c r="G413" s="56" t="str" cm="1">
        <f t="array" ref="G413">INDEX(deskripsi!$D$2:$H$337,
   MATCH(1,(deskripsi!$A$2:$A$337=B413)*
           (deskripsi!$B$2:$B$337=C413)*
           (deskripsi!$C$2:$C$337=D413),0),
   F413)</f>
        <v>Mengambil keputusan tetapi menyerahkan pertanggungjawabannya kepada atasan.</v>
      </c>
    </row>
    <row r="414" spans="1:7">
      <c r="A414" t="str">
        <f t="shared" si="6"/>
        <v>Problem Solving &amp; Decision Making|Unit Head/Specialist|3|3</v>
      </c>
      <c r="B414" t="str">
        <v>Problem Solving &amp; Decision Making</v>
      </c>
      <c r="C414" t="str">
        <v>Unit Head/Specialist</v>
      </c>
      <c r="D414" s="76">
        <v>3</v>
      </c>
      <c r="E414" t="str" cm="1">
        <f t="array" ref="E414">INDEX(aspek!$D$2:$D$337,
   MATCH(1,(aspek!$A$2:$A$337=B414)*
           (aspek!$B$2:$B$337=C414)*
           (aspek!$C$2:$C$337=D414),0))</f>
        <v>Tanggung jawab atas keputusan</v>
      </c>
      <c r="F414" s="76">
        <v>3</v>
      </c>
      <c r="G414" s="56" t="str" cm="1">
        <f t="array" ref="G414">INDEX(deskripsi!$D$2:$H$337,
   MATCH(1,(deskripsi!$A$2:$A$337=B414)*
           (deskripsi!$B$2:$B$337=C414)*
           (deskripsi!$C$2:$C$337=D414),0),
   F414)</f>
        <v>Bertanggung jawab dan mampu menjelaskan dasarnya.</v>
      </c>
    </row>
    <row r="415" spans="1:7">
      <c r="A415" t="str">
        <f t="shared" si="6"/>
        <v>Problem Solving &amp; Decision Making|Unit Head/Specialist|3|4</v>
      </c>
      <c r="B415" t="str">
        <v>Problem Solving &amp; Decision Making</v>
      </c>
      <c r="C415" t="str">
        <v>Unit Head/Specialist</v>
      </c>
      <c r="D415" s="76">
        <v>3</v>
      </c>
      <c r="E415" t="str" cm="1">
        <f t="array" ref="E415">INDEX(aspek!$D$2:$D$337,
   MATCH(1,(aspek!$A$2:$A$337=B415)*
           (aspek!$B$2:$B$337=C415)*
           (aspek!$C$2:$C$337=D415),0))</f>
        <v>Tanggung jawab atas keputusan</v>
      </c>
      <c r="F415" s="76">
        <v>4</v>
      </c>
      <c r="G415" s="56" t="str" cm="1">
        <f t="array" ref="G415">INDEX(deskripsi!$D$2:$H$337,
   MATCH(1,(deskripsi!$A$2:$A$337=B415)*
           (deskripsi!$B$2:$B$337=C415)*
           (deskripsi!$C$2:$C$337=D415),0),
   F415)</f>
        <v>Berani mengambil keputusan berisiko dengan konsekuensi yang jelas, dan tidak mengelak ketika keputusannya ternyata kurang tepat.</v>
      </c>
    </row>
    <row r="416" spans="1:7">
      <c r="A416" t="str">
        <f t="shared" si="6"/>
        <v>Problem Solving &amp; Decision Making|Unit Head/Specialist|3|5</v>
      </c>
      <c r="B416" t="str">
        <v>Problem Solving &amp; Decision Making</v>
      </c>
      <c r="C416" t="str">
        <v>Unit Head/Specialist</v>
      </c>
      <c r="D416" s="76">
        <v>3</v>
      </c>
      <c r="E416" t="str" cm="1">
        <f t="array" ref="E416">INDEX(aspek!$D$2:$D$337,
   MATCH(1,(aspek!$A$2:$A$337=B416)*
           (aspek!$B$2:$B$337=C416)*
           (aspek!$C$2:$C$337=D416),0))</f>
        <v>Tanggung jawab atas keputusan</v>
      </c>
      <c r="F416" s="76">
        <v>5</v>
      </c>
      <c r="G416" s="56" t="str" cm="1">
        <f t="array" ref="G416">INDEX(deskripsi!$D$2:$H$337,
   MATCH(1,(deskripsi!$A$2:$A$337=B416)*
           (deskripsi!$B$2:$B$337=C416)*
           (deskripsi!$C$2:$C$337=D416),0),
   F416)</f>
        <v>Dipercayakan perkara yang lebih berisiko karena kesediaannya menanggung keputusan.</v>
      </c>
    </row>
    <row r="417" spans="1:7">
      <c r="A417" t="str">
        <f t="shared" si="6"/>
        <v>Problem Solving &amp; Decision Making|Unit Head/Specialist|4|1</v>
      </c>
      <c r="B417" t="str">
        <v>Problem Solving &amp; Decision Making</v>
      </c>
      <c r="C417" t="str">
        <v>Unit Head/Specialist</v>
      </c>
      <c r="D417" s="76">
        <v>4</v>
      </c>
      <c r="E417" t="str" cm="1">
        <f t="array" ref="E417">INDEX(aspek!$D$2:$D$337,
   MATCH(1,(aspek!$A$2:$A$337=B417)*
           (aspek!$B$2:$B$337=C417)*
           (aspek!$C$2:$C$337=D417),0))</f>
        <v>Ketepatan berdasarkan informasi saat itu</v>
      </c>
      <c r="F417" s="76">
        <v>1</v>
      </c>
      <c r="G417" s="56" t="str" cm="1">
        <f t="array" ref="G417">INDEX(deskripsi!$D$2:$H$337,
   MATCH(1,(deskripsi!$A$2:$A$337=B417)*
           (deskripsi!$B$2:$B$337=C417)*
           (deskripsi!$C$2:$C$337=D417),0),
   F417)</f>
        <v>Keputusan sering meleset jauh dari informasi yang tersedia.</v>
      </c>
    </row>
    <row r="418" spans="1:7">
      <c r="A418" t="str">
        <f t="shared" si="6"/>
        <v>Problem Solving &amp; Decision Making|Unit Head/Specialist|4|2</v>
      </c>
      <c r="B418" t="str">
        <v>Problem Solving &amp; Decision Making</v>
      </c>
      <c r="C418" t="str">
        <v>Unit Head/Specialist</v>
      </c>
      <c r="D418" s="76">
        <v>4</v>
      </c>
      <c r="E418" t="str" cm="1">
        <f t="array" ref="E418">INDEX(aspek!$D$2:$D$337,
   MATCH(1,(aspek!$A$2:$A$337=B418)*
           (aspek!$B$2:$B$337=C418)*
           (aspek!$C$2:$C$337=D418),0))</f>
        <v>Ketepatan berdasarkan informasi saat itu</v>
      </c>
      <c r="F418" s="76">
        <v>2</v>
      </c>
      <c r="G418" s="56" t="str" cm="1">
        <f t="array" ref="G418">INDEX(deskripsi!$D$2:$H$337,
   MATCH(1,(deskripsi!$A$2:$A$337=B418)*
           (deskripsi!$B$2:$B$337=C418)*
           (deskripsi!$C$2:$C$337=D418),0),
   F418)</f>
        <v>Keputusan cukup tepat pada situasi yang sederhana.</v>
      </c>
    </row>
    <row r="419" spans="1:7">
      <c r="A419" t="str">
        <f t="shared" si="6"/>
        <v>Problem Solving &amp; Decision Making|Unit Head/Specialist|4|3</v>
      </c>
      <c r="B419" t="str">
        <v>Problem Solving &amp; Decision Making</v>
      </c>
      <c r="C419" t="str">
        <v>Unit Head/Specialist</v>
      </c>
      <c r="D419" s="76">
        <v>4</v>
      </c>
      <c r="E419" t="str" cm="1">
        <f t="array" ref="E419">INDEX(aspek!$D$2:$D$337,
   MATCH(1,(aspek!$A$2:$A$337=B419)*
           (aspek!$B$2:$B$337=C419)*
           (aspek!$C$2:$C$337=D419),0))</f>
        <v>Ketepatan berdasarkan informasi saat itu</v>
      </c>
      <c r="F419" s="76">
        <v>3</v>
      </c>
      <c r="G419" s="56" t="str" cm="1">
        <f t="array" ref="G419">INDEX(deskripsi!$D$2:$H$337,
   MATCH(1,(deskripsi!$A$2:$A$337=B419)*
           (deskripsi!$B$2:$B$337=C419)*
           (deskripsi!$C$2:$C$337=D419),0),
   F419)</f>
        <v>Keputusan tepat pada sebagian besar situasi yang familiar.</v>
      </c>
    </row>
    <row r="420" spans="1:7">
      <c r="A420" t="str">
        <f t="shared" si="6"/>
        <v>Problem Solving &amp; Decision Making|Unit Head/Specialist|4|4</v>
      </c>
      <c r="B420" t="str">
        <v>Problem Solving &amp; Decision Making</v>
      </c>
      <c r="C420" t="str">
        <v>Unit Head/Specialist</v>
      </c>
      <c r="D420" s="76">
        <v>4</v>
      </c>
      <c r="E420" t="str" cm="1">
        <f t="array" ref="E420">INDEX(aspek!$D$2:$D$337,
   MATCH(1,(aspek!$A$2:$A$337=B420)*
           (aspek!$B$2:$B$337=C420)*
           (aspek!$C$2:$C$337=D420),0))</f>
        <v>Ketepatan berdasarkan informasi saat itu</v>
      </c>
      <c r="F420" s="76">
        <v>4</v>
      </c>
      <c r="G420" s="56" t="str" cm="1">
        <f t="array" ref="G420">INDEX(deskripsi!$D$2:$H$337,
   MATCH(1,(deskripsi!$A$2:$A$337=B420)*
           (deskripsi!$B$2:$B$337=C420)*
           (deskripsi!$C$2:$C$337=D420),0),
   F420)</f>
        <v>Keputusan konsisten tepat berdasarkan informasi yang tersedia SAAT diambil, dinilai bukan dengan pengetahuan belakangan.</v>
      </c>
    </row>
    <row r="421" spans="1:7">
      <c r="A421" t="str">
        <f t="shared" si="6"/>
        <v>Problem Solving &amp; Decision Making|Unit Head/Specialist|4|5</v>
      </c>
      <c r="B421" t="str">
        <v>Problem Solving &amp; Decision Making</v>
      </c>
      <c r="C421" t="str">
        <v>Unit Head/Specialist</v>
      </c>
      <c r="D421" s="76">
        <v>4</v>
      </c>
      <c r="E421" t="str" cm="1">
        <f t="array" ref="E421">INDEX(aspek!$D$2:$D$337,
   MATCH(1,(aspek!$A$2:$A$337=B421)*
           (aspek!$B$2:$B$337=C421)*
           (aspek!$C$2:$C$337=D421),0))</f>
        <v>Ketepatan berdasarkan informasi saat itu</v>
      </c>
      <c r="F421" s="76">
        <v>5</v>
      </c>
      <c r="G421" s="56" t="str" cm="1">
        <f t="array" ref="G421">INDEX(deskripsi!$D$2:$H$337,
   MATCH(1,(deskripsi!$A$2:$A$337=B421)*
           (deskripsi!$B$2:$B$337=C421)*
           (deskripsi!$C$2:$C$337=D421),0),
   F421)</f>
        <v>Keputusannya menjadi rujukan cara memutuskan pada situasi serupa.</v>
      </c>
    </row>
    <row r="422" spans="1:7">
      <c r="A422" t="str">
        <f t="shared" si="6"/>
        <v>Problem Solving &amp; Decision Making|Department Head|1|1</v>
      </c>
      <c r="B422" t="str">
        <v>Problem Solving &amp; Decision Making</v>
      </c>
      <c r="C422" t="str">
        <v>Department Head</v>
      </c>
      <c r="D422" s="76">
        <v>1</v>
      </c>
      <c r="E422" t="str" cm="1">
        <f t="array" ref="E422">INDEX(aspek!$D$2:$D$337,
   MATCH(1,(aspek!$A$2:$A$337=B422)*
           (aspek!$B$2:$B$337=C422)*
           (aspek!$C$2:$C$337=D422),0))</f>
        <v>Kesediaan mengambil risiko</v>
      </c>
      <c r="F422" s="76">
        <v>1</v>
      </c>
      <c r="G422" s="56" t="str" cm="1">
        <f t="array" ref="G422">INDEX(deskripsi!$D$2:$H$337,
   MATCH(1,(deskripsi!$A$2:$A$337=B422)*
           (deskripsi!$B$2:$B$337=C422)*
           (deskripsi!$C$2:$C$337=D422),0),
   F422)</f>
        <v>Menghindari risiko; bertahan pada cara yang sudah pasti aman.</v>
      </c>
    </row>
    <row r="423" spans="1:7">
      <c r="A423" t="str">
        <f t="shared" si="6"/>
        <v>Problem Solving &amp; Decision Making|Department Head|1|2</v>
      </c>
      <c r="B423" t="str">
        <v>Problem Solving &amp; Decision Making</v>
      </c>
      <c r="C423" t="str">
        <v>Department Head</v>
      </c>
      <c r="D423" s="76">
        <v>1</v>
      </c>
      <c r="E423" t="str" cm="1">
        <f t="array" ref="E423">INDEX(aspek!$D$2:$D$337,
   MATCH(1,(aspek!$A$2:$A$337=B423)*
           (aspek!$B$2:$B$337=C423)*
           (aspek!$C$2:$C$337=D423),0))</f>
        <v>Kesediaan mengambil risiko</v>
      </c>
      <c r="F423" s="76">
        <v>2</v>
      </c>
      <c r="G423" s="56" t="str" cm="1">
        <f t="array" ref="G423">INDEX(deskripsi!$D$2:$H$337,
   MATCH(1,(deskripsi!$A$2:$A$337=B423)*
           (deskripsi!$B$2:$B$337=C423)*
           (deskripsi!$C$2:$C$337=D423),0),
   F423)</f>
        <v>Mempertimbangkan mencoba, tetapi ragu dan kembali ke cara lama.</v>
      </c>
    </row>
    <row r="424" spans="1:7">
      <c r="A424" t="str">
        <f t="shared" si="6"/>
        <v>Problem Solving &amp; Decision Making|Department Head|1|3</v>
      </c>
      <c r="B424" t="str">
        <v>Problem Solving &amp; Decision Making</v>
      </c>
      <c r="C424" t="str">
        <v>Department Head</v>
      </c>
      <c r="D424" s="76">
        <v>1</v>
      </c>
      <c r="E424" t="str" cm="1">
        <f t="array" ref="E424">INDEX(aspek!$D$2:$D$337,
   MATCH(1,(aspek!$A$2:$A$337=B424)*
           (aspek!$B$2:$B$337=C424)*
           (aspek!$C$2:$C$337=D424),0))</f>
        <v>Kesediaan mengambil risiko</v>
      </c>
      <c r="F424" s="76">
        <v>3</v>
      </c>
      <c r="G424" s="56" t="str" cm="1">
        <f t="array" ref="G424">INDEX(deskripsi!$D$2:$H$337,
   MATCH(1,(deskripsi!$A$2:$A$337=B424)*
           (deskripsi!$B$2:$B$337=C424)*
           (deskripsi!$C$2:$C$337=D424),0),
   F424)</f>
        <v>Mencoba pendekatan baru setelah risikonya dihitung dan dinilai kecil.</v>
      </c>
    </row>
    <row r="425" spans="1:7">
      <c r="A425" t="str">
        <f t="shared" si="6"/>
        <v>Problem Solving &amp; Decision Making|Department Head|1|4</v>
      </c>
      <c r="B425" t="str">
        <v>Problem Solving &amp; Decision Making</v>
      </c>
      <c r="C425" t="str">
        <v>Department Head</v>
      </c>
      <c r="D425" s="76">
        <v>1</v>
      </c>
      <c r="E425" t="str" cm="1">
        <f t="array" ref="E425">INDEX(aspek!$D$2:$D$337,
   MATCH(1,(aspek!$A$2:$A$337=B425)*
           (aspek!$B$2:$B$337=C425)*
           (aspek!$C$2:$C$337=D425),0))</f>
        <v>Kesediaan mengambil risiko</v>
      </c>
      <c r="F425" s="76">
        <v>4</v>
      </c>
      <c r="G425" s="56" t="str" cm="1">
        <f t="array" ref="G425">INDEX(deskripsi!$D$2:$H$337,
   MATCH(1,(deskripsi!$A$2:$A$337=B425)*
           (deskripsi!$B$2:$B$337=C425)*
           (deskripsi!$C$2:$C$337=D425),0),
   F425)</f>
        <v>Mencoba meski hasil akhirnya belum jelas, dengan risiko yang dihitung dan dikelola, bukan dihindari.</v>
      </c>
    </row>
    <row r="426" spans="1:7">
      <c r="A426" t="str">
        <f t="shared" si="6"/>
        <v>Problem Solving &amp; Decision Making|Department Head|1|5</v>
      </c>
      <c r="B426" t="str">
        <v>Problem Solving &amp; Decision Making</v>
      </c>
      <c r="C426" t="str">
        <v>Department Head</v>
      </c>
      <c r="D426" s="76">
        <v>1</v>
      </c>
      <c r="E426" t="str" cm="1">
        <f t="array" ref="E426">INDEX(aspek!$D$2:$D$337,
   MATCH(1,(aspek!$A$2:$A$337=B426)*
           (aspek!$B$2:$B$337=C426)*
           (aspek!$C$2:$C$337=D426),0))</f>
        <v>Kesediaan mengambil risiko</v>
      </c>
      <c r="F426" s="76">
        <v>5</v>
      </c>
      <c r="G426" s="56" t="str" cm="1">
        <f t="array" ref="G426">INDEX(deskripsi!$D$2:$H$337,
   MATCH(1,(deskripsi!$A$2:$A$337=B426)*
           (deskripsi!$B$2:$B$337=C426)*
           (deskripsi!$C$2:$C$337=D426),0),
   F426)</f>
        <v>Mendorong orang lain untuk berani mencoba dengan cara yang sama.</v>
      </c>
    </row>
    <row r="427" spans="1:7">
      <c r="A427" t="str">
        <f t="shared" si="6"/>
        <v>Problem Solving &amp; Decision Making|Department Head|2|1</v>
      </c>
      <c r="B427" t="str">
        <v>Problem Solving &amp; Decision Making</v>
      </c>
      <c r="C427" t="str">
        <v>Department Head</v>
      </c>
      <c r="D427" s="76">
        <v>2</v>
      </c>
      <c r="E427" t="str" cm="1">
        <f t="array" ref="E427">INDEX(aspek!$D$2:$D$337,
   MATCH(1,(aspek!$A$2:$A$337=B427)*
           (aspek!$B$2:$B$337=C427)*
           (aspek!$C$2:$C$337=D427),0))</f>
        <v xml:space="preserve">Kualitas perhitungan risiko </v>
      </c>
      <c r="F427" s="76">
        <v>1</v>
      </c>
      <c r="G427" s="56" t="str" cm="1">
        <f t="array" ref="G427">INDEX(deskripsi!$D$2:$H$337,
   MATCH(1,(deskripsi!$A$2:$A$337=B427)*
           (deskripsi!$B$2:$B$337=C427)*
           (deskripsi!$C$2:$C$337=D427),0),
   F427)</f>
        <v>Tidak menghitung risiko sebelum mencoba, atau tidak mencoba sama sekali.</v>
      </c>
    </row>
    <row r="428" spans="1:7">
      <c r="A428" t="str">
        <f t="shared" si="6"/>
        <v>Problem Solving &amp; Decision Making|Department Head|2|2</v>
      </c>
      <c r="B428" t="str">
        <v>Problem Solving &amp; Decision Making</v>
      </c>
      <c r="C428" t="str">
        <v>Department Head</v>
      </c>
      <c r="D428" s="76">
        <v>2</v>
      </c>
      <c r="E428" t="str" cm="1">
        <f t="array" ref="E428">INDEX(aspek!$D$2:$D$337,
   MATCH(1,(aspek!$A$2:$A$337=B428)*
           (aspek!$B$2:$B$337=C428)*
           (aspek!$C$2:$C$337=D428),0))</f>
        <v xml:space="preserve">Kualitas perhitungan risiko </v>
      </c>
      <c r="F428" s="76">
        <v>2</v>
      </c>
      <c r="G428" s="56" t="str" cm="1">
        <f t="array" ref="G428">INDEX(deskripsi!$D$2:$H$337,
   MATCH(1,(deskripsi!$A$2:$A$337=B428)*
           (deskripsi!$B$2:$B$337=C428)*
           (deskripsi!$C$2:$C$337=D428),0),
   F428)</f>
        <v>Menghitung risiko tetapi terlalu berhati-hati sehingga tidak pernah benar-benar mencoba.</v>
      </c>
    </row>
    <row r="429" spans="1:7">
      <c r="A429" t="str">
        <f t="shared" si="6"/>
        <v>Problem Solving &amp; Decision Making|Department Head|2|3</v>
      </c>
      <c r="B429" t="str">
        <v>Problem Solving &amp; Decision Making</v>
      </c>
      <c r="C429" t="str">
        <v>Department Head</v>
      </c>
      <c r="D429" s="76">
        <v>2</v>
      </c>
      <c r="E429" t="str" cm="1">
        <f t="array" ref="E429">INDEX(aspek!$D$2:$D$337,
   MATCH(1,(aspek!$A$2:$A$337=B429)*
           (aspek!$B$2:$B$337=C429)*
           (aspek!$C$2:$C$337=D429),0))</f>
        <v xml:space="preserve">Kualitas perhitungan risiko </v>
      </c>
      <c r="F429" s="76">
        <v>3</v>
      </c>
      <c r="G429" s="56" t="str" cm="1">
        <f t="array" ref="G429">INDEX(deskripsi!$D$2:$H$337,
   MATCH(1,(deskripsi!$A$2:$A$337=B429)*
           (deskripsi!$B$2:$B$337=C429)*
           (deskripsi!$C$2:$C$337=D429),0),
   F429)</f>
        <v>Menghitung risiko secara wajar untuk uji coba skala kecil.</v>
      </c>
    </row>
    <row r="430" spans="1:7">
      <c r="A430" t="str">
        <f t="shared" si="6"/>
        <v>Problem Solving &amp; Decision Making|Department Head|2|4</v>
      </c>
      <c r="B430" t="str">
        <v>Problem Solving &amp; Decision Making</v>
      </c>
      <c r="C430" t="str">
        <v>Department Head</v>
      </c>
      <c r="D430" s="76">
        <v>2</v>
      </c>
      <c r="E430" t="str" cm="1">
        <f t="array" ref="E430">INDEX(aspek!$D$2:$D$337,
   MATCH(1,(aspek!$A$2:$A$337=B430)*
           (aspek!$B$2:$B$337=C430)*
           (aspek!$C$2:$C$337=D430),0))</f>
        <v xml:space="preserve">Kualitas perhitungan risiko </v>
      </c>
      <c r="F430" s="76">
        <v>4</v>
      </c>
      <c r="G430" s="56" t="str" cm="1">
        <f t="array" ref="G430">INDEX(deskripsi!$D$2:$H$337,
   MATCH(1,(deskripsi!$A$2:$A$337=B430)*
           (deskripsi!$B$2:$B$337=C430)*
           (deskripsi!$C$2:$C$337=D430),0),
   F430)</f>
        <v>Menetapkan batas kerugian yang dapat diterima sebelum mencoba, dan kerugian tetap dalam batas itu ketika gagal.</v>
      </c>
    </row>
    <row r="431" spans="1:7">
      <c r="A431" t="str">
        <f t="shared" si="6"/>
        <v>Problem Solving &amp; Decision Making|Department Head|2|5</v>
      </c>
      <c r="B431" t="str">
        <v>Problem Solving &amp; Decision Making</v>
      </c>
      <c r="C431" t="str">
        <v>Department Head</v>
      </c>
      <c r="D431" s="76">
        <v>2</v>
      </c>
      <c r="E431" t="str" cm="1">
        <f t="array" ref="E431">INDEX(aspek!$D$2:$D$337,
   MATCH(1,(aspek!$A$2:$A$337=B431)*
           (aspek!$B$2:$B$337=C431)*
           (aspek!$C$2:$C$337=D431),0))</f>
        <v xml:space="preserve">Kualitas perhitungan risiko </v>
      </c>
      <c r="F431" s="76">
        <v>5</v>
      </c>
      <c r="G431" s="56" t="str" cm="1">
        <f t="array" ref="G431">INDEX(deskripsi!$D$2:$H$337,
   MATCH(1,(deskripsi!$A$2:$A$337=B431)*
           (deskripsi!$B$2:$B$337=C431)*
           (deskripsi!$C$2:$C$337=D431),0),
   F431)</f>
        <v>Perhitungan risikonya menjadi acuan bagi rekan yang ingin mencoba hal serupa.</v>
      </c>
    </row>
    <row r="432" spans="1:7">
      <c r="A432" t="str">
        <f t="shared" si="6"/>
        <v>Problem Solving &amp; Decision Making|Department Head|3|1</v>
      </c>
      <c r="B432" t="str">
        <v>Problem Solving &amp; Decision Making</v>
      </c>
      <c r="C432" t="str">
        <v>Department Head</v>
      </c>
      <c r="D432" s="76">
        <v>3</v>
      </c>
      <c r="E432" t="str" cm="1">
        <f t="array" ref="E432">INDEX(aspek!$D$2:$D$337,
   MATCH(1,(aspek!$A$2:$A$337=B432)*
           (aspek!$B$2:$B$337=C432)*
           (aspek!$C$2:$C$337=D432),0))</f>
        <v>Pengelolaan kegagalan</v>
      </c>
      <c r="F432" s="76">
        <v>1</v>
      </c>
      <c r="G432" s="56" t="str" cm="1">
        <f t="array" ref="G432">INDEX(deskripsi!$D$2:$H$337,
   MATCH(1,(deskripsi!$A$2:$A$337=B432)*
           (deskripsi!$B$2:$B$337=C432)*
           (deskripsi!$C$2:$C$337=D432),0),
   F432)</f>
        <v>Menyembunyikan atau menutupi kegagalan uji coba.</v>
      </c>
    </row>
    <row r="433" spans="1:7">
      <c r="A433" t="str">
        <f t="shared" si="6"/>
        <v>Problem Solving &amp; Decision Making|Department Head|3|2</v>
      </c>
      <c r="B433" t="str">
        <v>Problem Solving &amp; Decision Making</v>
      </c>
      <c r="C433" t="str">
        <v>Department Head</v>
      </c>
      <c r="D433" s="76">
        <v>3</v>
      </c>
      <c r="E433" t="str" cm="1">
        <f t="array" ref="E433">INDEX(aspek!$D$2:$D$337,
   MATCH(1,(aspek!$A$2:$A$337=B433)*
           (aspek!$B$2:$B$337=C433)*
           (aspek!$C$2:$C$337=D433),0))</f>
        <v>Pengelolaan kegagalan</v>
      </c>
      <c r="F433" s="76">
        <v>2</v>
      </c>
      <c r="G433" s="56" t="str" cm="1">
        <f t="array" ref="G433">INDEX(deskripsi!$D$2:$H$337,
   MATCH(1,(deskripsi!$A$2:$A$337=B433)*
           (deskripsi!$B$2:$B$337=C433)*
           (deskripsi!$C$2:$C$337=D433),0),
   F433)</f>
        <v>Melaporkan kegagalan hanya ketika ditanya.</v>
      </c>
    </row>
    <row r="434" spans="1:7">
      <c r="A434" t="str">
        <f t="shared" si="6"/>
        <v>Problem Solving &amp; Decision Making|Department Head|3|3</v>
      </c>
      <c r="B434" t="str">
        <v>Problem Solving &amp; Decision Making</v>
      </c>
      <c r="C434" t="str">
        <v>Department Head</v>
      </c>
      <c r="D434" s="76">
        <v>3</v>
      </c>
      <c r="E434" t="str" cm="1">
        <f t="array" ref="E434">INDEX(aspek!$D$2:$D$337,
   MATCH(1,(aspek!$A$2:$A$337=B434)*
           (aspek!$B$2:$B$337=C434)*
           (aspek!$C$2:$C$337=D434),0))</f>
        <v>Pengelolaan kegagalan</v>
      </c>
      <c r="F434" s="76">
        <v>3</v>
      </c>
      <c r="G434" s="56" t="str" cm="1">
        <f t="array" ref="G434">INDEX(deskripsi!$D$2:$H$337,
   MATCH(1,(deskripsi!$A$2:$A$337=B434)*
           (deskripsi!$B$2:$B$337=C434)*
           (deskripsi!$C$2:$C$337=D434),0),
   F434)</f>
        <v>Melaporkan kegagalan secara terbuka pada kasus yang kecil.</v>
      </c>
    </row>
    <row r="435" spans="1:7">
      <c r="A435" t="str">
        <f t="shared" si="6"/>
        <v>Problem Solving &amp; Decision Making|Department Head|3|4</v>
      </c>
      <c r="B435" t="str">
        <v>Problem Solving &amp; Decision Making</v>
      </c>
      <c r="C435" t="str">
        <v>Department Head</v>
      </c>
      <c r="D435" s="76">
        <v>3</v>
      </c>
      <c r="E435" t="str" cm="1">
        <f t="array" ref="E435">INDEX(aspek!$D$2:$D$337,
   MATCH(1,(aspek!$A$2:$A$337=B435)*
           (aspek!$B$2:$B$337=C435)*
           (aspek!$C$2:$C$337=D435),0))</f>
        <v>Pengelolaan kegagalan</v>
      </c>
      <c r="F435" s="76">
        <v>4</v>
      </c>
      <c r="G435" s="56" t="str" cm="1">
        <f t="array" ref="G435">INDEX(deskripsi!$D$2:$H$337,
   MATCH(1,(deskripsi!$A$2:$A$337=B435)*
           (deskripsi!$B$2:$B$337=C435)*
           (deskripsi!$C$2:$C$337=D435),0),
   F435)</f>
        <v>Melaporkan kegagalan secara terbuka dan cepat, menarik pembelajaran tanpa mencari pembenaran.</v>
      </c>
    </row>
    <row r="436" spans="1:7">
      <c r="A436" t="str">
        <f t="shared" si="6"/>
        <v>Problem Solving &amp; Decision Making|Department Head|3|5</v>
      </c>
      <c r="B436" t="str">
        <v>Problem Solving &amp; Decision Making</v>
      </c>
      <c r="C436" t="str">
        <v>Department Head</v>
      </c>
      <c r="D436" s="76">
        <v>3</v>
      </c>
      <c r="E436" t="str" cm="1">
        <f t="array" ref="E436">INDEX(aspek!$D$2:$D$337,
   MATCH(1,(aspek!$A$2:$A$337=B436)*
           (aspek!$B$2:$B$337=C436)*
           (aspek!$C$2:$C$337=D436),0))</f>
        <v>Pengelolaan kegagalan</v>
      </c>
      <c r="F436" s="76">
        <v>5</v>
      </c>
      <c r="G436" s="56" t="str" cm="1">
        <f t="array" ref="G436">INDEX(deskripsi!$D$2:$H$337,
   MATCH(1,(deskripsi!$A$2:$A$337=B436)*
           (deskripsi!$B$2:$B$337=C436)*
           (deskripsi!$C$2:$C$337=D436),0),
   F436)</f>
        <v>Kegagalannya menjadi bahan pembelajaran yang dibagikan secara sukarela ke unit lain.</v>
      </c>
    </row>
    <row r="437" spans="1:7">
      <c r="A437" t="str">
        <f t="shared" si="6"/>
        <v>Problem Solving &amp; Decision Making|Department Head|4|1</v>
      </c>
      <c r="B437" t="str">
        <v>Problem Solving &amp; Decision Making</v>
      </c>
      <c r="C437" t="str">
        <v>Department Head</v>
      </c>
      <c r="D437" s="76">
        <v>4</v>
      </c>
      <c r="E437" t="str" cm="1">
        <f t="array" ref="E437">INDEX(aspek!$D$2:$D$337,
   MATCH(1,(aspek!$A$2:$A$337=B437)*
           (aspek!$B$2:$B$337=C437)*
           (aspek!$C$2:$C$337=D437),0))</f>
        <v>Mendorong eksperimen dalam tim</v>
      </c>
      <c r="F437" s="76">
        <v>1</v>
      </c>
      <c r="G437" s="56" t="str" cm="1">
        <f t="array" ref="G437">INDEX(deskripsi!$D$2:$H$337,
   MATCH(1,(deskripsi!$A$2:$A$337=B437)*
           (deskripsi!$B$2:$B$337=C437)*
           (deskripsi!$C$2:$C$337=D437),0),
   F437)</f>
        <v>Hanya dirinya yang berani mencoba; tim tetap menghindari risiko.</v>
      </c>
    </row>
    <row r="438" spans="1:7">
      <c r="A438" t="str">
        <f t="shared" si="6"/>
        <v>Problem Solving &amp; Decision Making|Department Head|4|2</v>
      </c>
      <c r="B438" t="str">
        <v>Problem Solving &amp; Decision Making</v>
      </c>
      <c r="C438" t="str">
        <v>Department Head</v>
      </c>
      <c r="D438" s="76">
        <v>4</v>
      </c>
      <c r="E438" t="str" cm="1">
        <f t="array" ref="E438">INDEX(aspek!$D$2:$D$337,
   MATCH(1,(aspek!$A$2:$A$337=B438)*
           (aspek!$B$2:$B$337=C438)*
           (aspek!$C$2:$C$337=D438),0))</f>
        <v>Mendorong eksperimen dalam tim</v>
      </c>
      <c r="F438" s="76">
        <v>2</v>
      </c>
      <c r="G438" s="56" t="str" cm="1">
        <f t="array" ref="G438">INDEX(deskripsi!$D$2:$H$337,
   MATCH(1,(deskripsi!$A$2:$A$337=B438)*
           (deskripsi!$B$2:$B$337=C438)*
           (deskripsi!$C$2:$C$337=D438),0),
   F438)</f>
        <v>Mengizinkan tim mencoba bila diminta, tanpa mendorong.</v>
      </c>
    </row>
    <row r="439" spans="1:7">
      <c r="A439" t="str">
        <f t="shared" si="6"/>
        <v>Problem Solving &amp; Decision Making|Department Head|4|3</v>
      </c>
      <c r="B439" t="str">
        <v>Problem Solving &amp; Decision Making</v>
      </c>
      <c r="C439" t="str">
        <v>Department Head</v>
      </c>
      <c r="D439" s="76">
        <v>4</v>
      </c>
      <c r="E439" t="str" cm="1">
        <f t="array" ref="E439">INDEX(aspek!$D$2:$D$337,
   MATCH(1,(aspek!$A$2:$A$337=B439)*
           (aspek!$B$2:$B$337=C439)*
           (aspek!$C$2:$C$337=D439),0))</f>
        <v>Mendorong eksperimen dalam tim</v>
      </c>
      <c r="F439" s="76">
        <v>3</v>
      </c>
      <c r="G439" s="56" t="str" cm="1">
        <f t="array" ref="G439">INDEX(deskripsi!$D$2:$H$337,
   MATCH(1,(deskripsi!$A$2:$A$337=B439)*
           (deskripsi!$B$2:$B$337=C439)*
           (deskripsi!$C$2:$C$337=D439),0),
   F439)</f>
        <v>Mendorong tim mencoba pada kesempatan tertentu.</v>
      </c>
    </row>
    <row r="440" spans="1:7">
      <c r="A440" t="str">
        <f t="shared" si="6"/>
        <v>Problem Solving &amp; Decision Making|Department Head|4|4</v>
      </c>
      <c r="B440" t="str">
        <v>Problem Solving &amp; Decision Making</v>
      </c>
      <c r="C440" t="str">
        <v>Department Head</v>
      </c>
      <c r="D440" s="76">
        <v>4</v>
      </c>
      <c r="E440" t="str" cm="1">
        <f t="array" ref="E440">INDEX(aspek!$D$2:$D$337,
   MATCH(1,(aspek!$A$2:$A$337=B440)*
           (aspek!$B$2:$B$337=C440)*
           (aspek!$C$2:$C$337=D440),0))</f>
        <v>Mendorong eksperimen dalam tim</v>
      </c>
      <c r="F440" s="76">
        <v>4</v>
      </c>
      <c r="G440" s="56" t="str" cm="1">
        <f t="array" ref="G440">INDEX(deskripsi!$D$2:$H$337,
   MATCH(1,(deskripsi!$A$2:$A$337=B440)*
           (deskripsi!$B$2:$B$337=C440)*
           (deskripsi!$C$2:$C$337=D440),0),
   F440)</f>
        <v>Secara aktif mendampingi anggota tim yang menghindari risiko untuk berani mencoba dengan risiko terukur.</v>
      </c>
    </row>
    <row r="441" spans="1:7">
      <c r="A441" t="str">
        <f t="shared" si="6"/>
        <v>Problem Solving &amp; Decision Making|Department Head|4|5</v>
      </c>
      <c r="B441" t="str">
        <v>Problem Solving &amp; Decision Making</v>
      </c>
      <c r="C441" t="str">
        <v>Department Head</v>
      </c>
      <c r="D441" s="76">
        <v>4</v>
      </c>
      <c r="E441" t="str" cm="1">
        <f t="array" ref="E441">INDEX(aspek!$D$2:$D$337,
   MATCH(1,(aspek!$A$2:$A$337=B441)*
           (aspek!$B$2:$B$337=C441)*
           (aspek!$C$2:$C$337=D441),0))</f>
        <v>Mendorong eksperimen dalam tim</v>
      </c>
      <c r="F441" s="76">
        <v>5</v>
      </c>
      <c r="G441" s="56" t="str" cm="1">
        <f t="array" ref="G441">INDEX(deskripsi!$D$2:$H$337,
   MATCH(1,(deskripsi!$A$2:$A$337=B441)*
           (deskripsi!$B$2:$B$337=C441)*
           (deskripsi!$C$2:$C$337=D441),0),
   F441)</f>
        <v>Membangun mekanisme yang membuat keberanian mencoba menjadi kebiasaan tim, bukan tergantung dorongannya.</v>
      </c>
    </row>
    <row r="442" spans="1:7">
      <c r="A442" t="str">
        <f t="shared" si="6"/>
        <v>Problem Solving &amp; Decision Making|Division Head|1|1</v>
      </c>
      <c r="B442" t="str">
        <v>Problem Solving &amp; Decision Making</v>
      </c>
      <c r="C442" t="str">
        <v>Division Head</v>
      </c>
      <c r="D442" s="76">
        <v>1</v>
      </c>
      <c r="E442" t="str" cm="1">
        <f t="array" ref="E442">INDEX(aspek!$D$2:$D$337,
   MATCH(1,(aspek!$A$2:$A$337=B442)*
           (aspek!$B$2:$B$337=C442)*
           (aspek!$C$2:$C$337=D442),0))</f>
        <v>Kesediaan bergerak tanpa kepastian</v>
      </c>
      <c r="F442" s="76">
        <v>1</v>
      </c>
      <c r="G442" s="56" t="str" cm="1">
        <f t="array" ref="G442">INDEX(deskripsi!$D$2:$H$337,
   MATCH(1,(deskripsi!$A$2:$A$337=B442)*
           (deskripsi!$B$2:$B$337=C442)*
           (deskripsi!$C$2:$C$337=D442),0),
   F442)</f>
        <v>Pekerjaan berhenti sampai arah atau data jelas.</v>
      </c>
    </row>
    <row r="443" spans="1:7">
      <c r="A443" t="str">
        <f t="shared" si="6"/>
        <v>Problem Solving &amp; Decision Making|Division Head|1|2</v>
      </c>
      <c r="B443" t="str">
        <v>Problem Solving &amp; Decision Making</v>
      </c>
      <c r="C443" t="str">
        <v>Division Head</v>
      </c>
      <c r="D443" s="76">
        <v>1</v>
      </c>
      <c r="E443" t="str" cm="1">
        <f t="array" ref="E443">INDEX(aspek!$D$2:$D$337,
   MATCH(1,(aspek!$A$2:$A$337=B443)*
           (aspek!$B$2:$B$337=C443)*
           (aspek!$C$2:$C$337=D443),0))</f>
        <v>Kesediaan bergerak tanpa kepastian</v>
      </c>
      <c r="F443" s="76">
        <v>2</v>
      </c>
      <c r="G443" s="56" t="str" cm="1">
        <f t="array" ref="G443">INDEX(deskripsi!$D$2:$H$337,
   MATCH(1,(deskripsi!$A$2:$A$337=B443)*
           (deskripsi!$B$2:$B$337=C443)*
           (deskripsi!$C$2:$C$337=D443),0),
   F443)</f>
        <v>Bergerak hanya pada bagian yang sudah pasti.</v>
      </c>
    </row>
    <row r="444" spans="1:7">
      <c r="A444" t="str">
        <f t="shared" si="6"/>
        <v>Problem Solving &amp; Decision Making|Division Head|1|3</v>
      </c>
      <c r="B444" t="str">
        <v>Problem Solving &amp; Decision Making</v>
      </c>
      <c r="C444" t="str">
        <v>Division Head</v>
      </c>
      <c r="D444" s="76">
        <v>1</v>
      </c>
      <c r="E444" t="str" cm="1">
        <f t="array" ref="E444">INDEX(aspek!$D$2:$D$337,
   MATCH(1,(aspek!$A$2:$A$337=B444)*
           (aspek!$B$2:$B$337=C444)*
           (aspek!$C$2:$C$337=D444),0))</f>
        <v>Kesediaan bergerak tanpa kepastian</v>
      </c>
      <c r="F444" s="76">
        <v>3</v>
      </c>
      <c r="G444" s="56" t="str" cm="1">
        <f t="array" ref="G444">INDEX(deskripsi!$D$2:$H$337,
   MATCH(1,(deskripsi!$A$2:$A$337=B444)*
           (deskripsi!$B$2:$B$337=C444)*
           (deskripsi!$C$2:$C$337=D444),0),
   F444)</f>
        <v>Memutuskan setelah menunggu waktu yang wajar.</v>
      </c>
    </row>
    <row r="445" spans="1:7">
      <c r="A445" t="str">
        <f t="shared" si="6"/>
        <v>Problem Solving &amp; Decision Making|Division Head|1|4</v>
      </c>
      <c r="B445" t="str">
        <v>Problem Solving &amp; Decision Making</v>
      </c>
      <c r="C445" t="str">
        <v>Division Head</v>
      </c>
      <c r="D445" s="76">
        <v>1</v>
      </c>
      <c r="E445" t="str" cm="1">
        <f t="array" ref="E445">INDEX(aspek!$D$2:$D$337,
   MATCH(1,(aspek!$A$2:$A$337=B445)*
           (aspek!$B$2:$B$337=C445)*
           (aspek!$C$2:$C$337=D445),0))</f>
        <v>Kesediaan bergerak tanpa kepastian</v>
      </c>
      <c r="F445" s="76">
        <v>4</v>
      </c>
      <c r="G445" s="56" t="str" cm="1">
        <f t="array" ref="G445">INDEX(deskripsi!$D$2:$H$337,
   MATCH(1,(deskripsi!$A$2:$A$337=B445)*
           (deskripsi!$B$2:$B$337=C445)*
           (deskripsi!$C$2:$C$337=D445),0),
   F445)</f>
        <v>Menetapkan batas menunggu sendiri di muka, lalu bergerak pada batas itu.</v>
      </c>
    </row>
    <row r="446" spans="1:7">
      <c r="A446" t="str">
        <f t="shared" si="6"/>
        <v>Problem Solving &amp; Decision Making|Division Head|1|5</v>
      </c>
      <c r="B446" t="str">
        <v>Problem Solving &amp; Decision Making</v>
      </c>
      <c r="C446" t="str">
        <v>Division Head</v>
      </c>
      <c r="D446" s="76">
        <v>1</v>
      </c>
      <c r="E446" t="str" cm="1">
        <f t="array" ref="E446">INDEX(aspek!$D$2:$D$337,
   MATCH(1,(aspek!$A$2:$A$337=B446)*
           (aspek!$B$2:$B$337=C446)*
           (aspek!$C$2:$C$337=D446),0))</f>
        <v>Kesediaan bergerak tanpa kepastian</v>
      </c>
      <c r="F446" s="76">
        <v>5</v>
      </c>
      <c r="G446" s="56" t="str" cm="1">
        <f t="array" ref="G446">INDEX(deskripsi!$D$2:$H$337,
   MATCH(1,(deskripsi!$A$2:$A$337=B446)*
           (deskripsi!$B$2:$B$337=C446)*
           (deskripsi!$C$2:$C$337=D446),0),
   F446)</f>
        <v>Melihat periode belum jelas sebagai kesempatan bergerak lebih dulu.</v>
      </c>
    </row>
    <row r="447" spans="1:7">
      <c r="A447" t="str">
        <f t="shared" si="6"/>
        <v>Problem Solving &amp; Decision Making|Division Head|2|1</v>
      </c>
      <c r="B447" t="str">
        <v>Problem Solving &amp; Decision Making</v>
      </c>
      <c r="C447" t="str">
        <v>Division Head</v>
      </c>
      <c r="D447" s="76">
        <v>2</v>
      </c>
      <c r="E447" t="str" cm="1">
        <f t="array" ref="E447">INDEX(aspek!$D$2:$D$337,
   MATCH(1,(aspek!$A$2:$A$337=B447)*
           (aspek!$B$2:$B$337=C447)*
           (aspek!$C$2:$C$337=D447),0))</f>
        <v>Produktivitas kognitif dalam ketidakjelasan</v>
      </c>
      <c r="F447" s="76">
        <v>1</v>
      </c>
      <c r="G447" s="56" t="str" cm="1">
        <f t="array" ref="G447">INDEX(deskripsi!$D$2:$H$337,
   MATCH(1,(deskripsi!$A$2:$A$337=B447)*
           (deskripsi!$B$2:$B$337=C447)*
           (deskripsi!$C$2:$C$337=D447),0),
   F447)</f>
        <v>Berhenti berpikir jernih ketika keadaan membingungkan.</v>
      </c>
    </row>
    <row r="448" spans="1:7">
      <c r="A448" t="str">
        <f t="shared" si="6"/>
        <v>Problem Solving &amp; Decision Making|Division Head|2|2</v>
      </c>
      <c r="B448" t="str">
        <v>Problem Solving &amp; Decision Making</v>
      </c>
      <c r="C448" t="str">
        <v>Division Head</v>
      </c>
      <c r="D448" s="76">
        <v>2</v>
      </c>
      <c r="E448" t="str" cm="1">
        <f t="array" ref="E448">INDEX(aspek!$D$2:$D$337,
   MATCH(1,(aspek!$A$2:$A$337=B448)*
           (aspek!$B$2:$B$337=C448)*
           (aspek!$C$2:$C$337=D448),0))</f>
        <v>Produktivitas kognitif dalam ketidakjelasan</v>
      </c>
      <c r="F448" s="76">
        <v>2</v>
      </c>
      <c r="G448" s="56" t="str" cm="1">
        <f t="array" ref="G448">INDEX(deskripsi!$D$2:$H$337,
   MATCH(1,(deskripsi!$A$2:$A$337=B448)*
           (deskripsi!$B$2:$B$337=C448)*
           (deskripsi!$C$2:$C$337=D448),0),
   F448)</f>
        <v>Masih berpikir, tetapi hanya menghasilkan daftar hal belum diketahui.</v>
      </c>
    </row>
    <row r="449" spans="1:7">
      <c r="A449" t="str">
        <f t="shared" si="6"/>
        <v>Problem Solving &amp; Decision Making|Division Head|2|3</v>
      </c>
      <c r="B449" t="str">
        <v>Problem Solving &amp; Decision Making</v>
      </c>
      <c r="C449" t="str">
        <v>Division Head</v>
      </c>
      <c r="D449" s="76">
        <v>2</v>
      </c>
      <c r="E449" t="str" cm="1">
        <f t="array" ref="E449">INDEX(aspek!$D$2:$D$337,
   MATCH(1,(aspek!$A$2:$A$337=B449)*
           (aspek!$B$2:$B$337=C449)*
           (aspek!$C$2:$C$337=D449),0))</f>
        <v>Produktivitas kognitif dalam ketidakjelasan</v>
      </c>
      <c r="F449" s="76">
        <v>3</v>
      </c>
      <c r="G449" s="56" t="str" cm="1">
        <f t="array" ref="G449">INDEX(deskripsi!$D$2:$H$337,
   MATCH(1,(deskripsi!$A$2:$A$337=B449)*
           (deskripsi!$B$2:$B$337=C449)*
           (deskripsi!$C$2:$C$337=D449),0),
   F449)</f>
        <v>Menghasilkan analisis rapi, kesimpulan tetap menunggu data tambahan.</v>
      </c>
    </row>
    <row r="450" spans="1:7">
      <c r="A450" t="str">
        <f t="shared" si="6"/>
        <v>Problem Solving &amp; Decision Making|Division Head|2|4</v>
      </c>
      <c r="B450" t="str">
        <v>Problem Solving &amp; Decision Making</v>
      </c>
      <c r="C450" t="str">
        <v>Division Head</v>
      </c>
      <c r="D450" s="76">
        <v>2</v>
      </c>
      <c r="E450" t="str" cm="1">
        <f t="array" ref="E450">INDEX(aspek!$D$2:$D$337,
   MATCH(1,(aspek!$A$2:$A$337=B450)*
           (aspek!$B$2:$B$337=C450)*
           (aspek!$C$2:$C$337=D450),0))</f>
        <v>Produktivitas kognitif dalam ketidakjelasan</v>
      </c>
      <c r="F450" s="76">
        <v>4</v>
      </c>
      <c r="G450" s="56" t="str" cm="1">
        <f t="array" ref="G450">INDEX(deskripsi!$D$2:$H$337,
   MATCH(1,(deskripsi!$A$2:$A$337=B450)*
           (deskripsi!$B$2:$B$337=C450)*
           (deskripsi!$C$2:$C$337=D450),0),
   F450)</f>
        <v>Menghasilkan langkah yang tetap benar apa pun hasil akhirnya, dan menjalankannya tanpa menunggu.</v>
      </c>
    </row>
    <row r="451" spans="1:7">
      <c r="A451" t="str">
        <f t="shared" ref="A451:A514" si="7">B451&amp;"|"&amp;C451&amp;"|"&amp;D451&amp;"|"&amp;F451</f>
        <v>Problem Solving &amp; Decision Making|Division Head|2|5</v>
      </c>
      <c r="B451" t="str">
        <v>Problem Solving &amp; Decision Making</v>
      </c>
      <c r="C451" t="str">
        <v>Division Head</v>
      </c>
      <c r="D451" s="76">
        <v>2</v>
      </c>
      <c r="E451" t="str" cm="1">
        <f t="array" ref="E451">INDEX(aspek!$D$2:$D$337,
   MATCH(1,(aspek!$A$2:$A$337=B451)*
           (aspek!$B$2:$B$337=C451)*
           (aspek!$C$2:$C$337=D451),0))</f>
        <v>Produktivitas kognitif dalam ketidakjelasan</v>
      </c>
      <c r="F451" s="76">
        <v>5</v>
      </c>
      <c r="G451" s="56" t="str" cm="1">
        <f t="array" ref="G451">INDEX(deskripsi!$D$2:$H$337,
   MATCH(1,(deskripsi!$A$2:$A$337=B451)*
           (deskripsi!$B$2:$B$337=C451)*
           (deskripsi!$C$2:$C$337=D451),0),
   F451)</f>
        <v>Menemukan peluang yang tidak terlihat ketika keadaan sudah jelas.</v>
      </c>
    </row>
    <row r="452" spans="1:7">
      <c r="A452" t="str">
        <f t="shared" si="7"/>
        <v>Problem Solving &amp; Decision Making|Division Head|3|1</v>
      </c>
      <c r="B452" t="str">
        <v>Problem Solving &amp; Decision Making</v>
      </c>
      <c r="C452" t="str">
        <v>Division Head</v>
      </c>
      <c r="D452" s="76">
        <v>3</v>
      </c>
      <c r="E452" t="str" cm="1">
        <f t="array" ref="E452">INDEX(aspek!$D$2:$D$337,
   MATCH(1,(aspek!$A$2:$A$337=B452)*
           (aspek!$B$2:$B$337=C452)*
           (aspek!$C$2:$C$337=D452),0))</f>
        <v xml:space="preserve">Menjaga unit tetap berjalan </v>
      </c>
      <c r="F452" s="76">
        <v>1</v>
      </c>
      <c r="G452" s="56" t="str" cm="1">
        <f t="array" ref="G452">INDEX(deskripsi!$D$2:$H$337,
   MATCH(1,(deskripsi!$A$2:$A$337=B452)*
           (deskripsi!$B$2:$B$337=C452)*
           (deskripsi!$C$2:$C$337=D452),0),
   F452)</f>
        <v>Unit ikut berhenti ketika arah belum turun.</v>
      </c>
    </row>
    <row r="453" spans="1:7">
      <c r="A453" t="str">
        <f t="shared" si="7"/>
        <v>Problem Solving &amp; Decision Making|Division Head|3|2</v>
      </c>
      <c r="B453" t="str">
        <v>Problem Solving &amp; Decision Making</v>
      </c>
      <c r="C453" t="str">
        <v>Division Head</v>
      </c>
      <c r="D453" s="76">
        <v>3</v>
      </c>
      <c r="E453" t="str" cm="1">
        <f t="array" ref="E453">INDEX(aspek!$D$2:$D$337,
   MATCH(1,(aspek!$A$2:$A$337=B453)*
           (aspek!$B$2:$B$337=C453)*
           (aspek!$C$2:$C$337=D453),0))</f>
        <v xml:space="preserve">Menjaga unit tetap berjalan </v>
      </c>
      <c r="F453" s="76">
        <v>2</v>
      </c>
      <c r="G453" s="56" t="str" cm="1">
        <f t="array" ref="G453">INDEX(deskripsi!$D$2:$H$337,
   MATCH(1,(deskripsi!$A$2:$A$337=B453)*
           (deskripsi!$B$2:$B$337=C453)*
           (deskripsi!$C$2:$C$337=D453),0),
   F453)</f>
        <v>Unit mengerjakan rutinitas, pekerjaan penting tertahan.</v>
      </c>
    </row>
    <row r="454" spans="1:7">
      <c r="A454" t="str">
        <f t="shared" si="7"/>
        <v>Problem Solving &amp; Decision Making|Division Head|3|3</v>
      </c>
      <c r="B454" t="str">
        <v>Problem Solving &amp; Decision Making</v>
      </c>
      <c r="C454" t="str">
        <v>Division Head</v>
      </c>
      <c r="D454" s="76">
        <v>3</v>
      </c>
      <c r="E454" t="str" cm="1">
        <f t="array" ref="E454">INDEX(aspek!$D$2:$D$337,
   MATCH(1,(aspek!$A$2:$A$337=B454)*
           (aspek!$B$2:$B$337=C454)*
           (aspek!$C$2:$C$337=D454),0))</f>
        <v xml:space="preserve">Menjaga unit tetap berjalan </v>
      </c>
      <c r="F454" s="76">
        <v>3</v>
      </c>
      <c r="G454" s="56" t="str" cm="1">
        <f t="array" ref="G454">INDEX(deskripsi!$D$2:$H$337,
   MATCH(1,(deskripsi!$A$2:$A$337=B454)*
           (deskripsi!$B$2:$B$337=C454)*
           (deskripsi!$C$2:$C$337=D454),0),
   F454)</f>
        <v>Unit tetap berjalan karena diberi pekerjaan seadanya.</v>
      </c>
    </row>
    <row r="455" spans="1:7">
      <c r="A455" t="str">
        <f t="shared" si="7"/>
        <v>Problem Solving &amp; Decision Making|Division Head|3|4</v>
      </c>
      <c r="B455" t="str">
        <v>Problem Solving &amp; Decision Making</v>
      </c>
      <c r="C455" t="str">
        <v>Division Head</v>
      </c>
      <c r="D455" s="76">
        <v>3</v>
      </c>
      <c r="E455" t="str" cm="1">
        <f t="array" ref="E455">INDEX(aspek!$D$2:$D$337,
   MATCH(1,(aspek!$A$2:$A$337=B455)*
           (aspek!$B$2:$B$337=C455)*
           (aspek!$C$2:$C$337=D455),0))</f>
        <v xml:space="preserve">Menjaga unit tetap berjalan </v>
      </c>
      <c r="F455" s="76">
        <v>4</v>
      </c>
      <c r="G455" s="56" t="str" cm="1">
        <f t="array" ref="G455">INDEX(deskripsi!$D$2:$H$337,
   MATCH(1,(deskripsi!$A$2:$A$337=B455)*
           (deskripsi!$B$2:$B$337=C455)*
           (deskripsi!$C$2:$C$337=D455),0),
   F455)</f>
        <v>Unit tetap menghasilkan pada periode belum jelas, disertai penjelasan jujur bahwa arah belum pasti.</v>
      </c>
    </row>
    <row r="456" spans="1:7">
      <c r="A456" t="str">
        <f t="shared" si="7"/>
        <v>Problem Solving &amp; Decision Making|Division Head|3|5</v>
      </c>
      <c r="B456" t="str">
        <v>Problem Solving &amp; Decision Making</v>
      </c>
      <c r="C456" t="str">
        <v>Division Head</v>
      </c>
      <c r="D456" s="76">
        <v>3</v>
      </c>
      <c r="E456" t="str" cm="1">
        <f t="array" ref="E456">INDEX(aspek!$D$2:$D$337,
   MATCH(1,(aspek!$A$2:$A$337=B456)*
           (aspek!$B$2:$B$337=C456)*
           (aspek!$C$2:$C$337=D456),0))</f>
        <v xml:space="preserve">Menjaga unit tetap berjalan </v>
      </c>
      <c r="F456" s="76">
        <v>5</v>
      </c>
      <c r="G456" s="56" t="str" cm="1">
        <f t="array" ref="G456">INDEX(deskripsi!$D$2:$H$337,
   MATCH(1,(deskripsi!$A$2:$A$337=B456)*
           (deskripsi!$B$2:$B$337=C456)*
           (deskripsi!$C$2:$C$337=D456),0),
   F456)</f>
        <v>Anggota unit menemukan sendiri pekerjaan yang tetap benar.</v>
      </c>
    </row>
    <row r="457" spans="1:7">
      <c r="A457" t="str">
        <f t="shared" si="7"/>
        <v>Problem Solving &amp; Decision Making|Division Head|4|1</v>
      </c>
      <c r="B457" t="str">
        <v>Problem Solving &amp; Decision Making</v>
      </c>
      <c r="C457" t="str">
        <v>Division Head</v>
      </c>
      <c r="D457" s="76">
        <v>4</v>
      </c>
      <c r="E457" t="str" cm="1">
        <f t="array" ref="E457">INDEX(aspek!$D$2:$D$337,
   MATCH(1,(aspek!$A$2:$A$337=B457)*
           (aspek!$B$2:$B$337=C457)*
           (aspek!$C$2:$C$337=D457),0))</f>
        <v>Urgensi, biaya, dan risiko sebagai dasar bergerak</v>
      </c>
      <c r="F457" s="76">
        <v>1</v>
      </c>
      <c r="G457" s="56" t="str" cm="1">
        <f t="array" ref="G457">INDEX(deskripsi!$D$2:$H$337,
   MATCH(1,(deskripsi!$A$2:$A$337=B457)*
           (deskripsi!$B$2:$B$337=C457)*
           (deskripsi!$C$2:$C$337=D457),0),
   F457)</f>
        <v>Tidak mempertimbangkan urgensi maupun biaya penundaan.</v>
      </c>
    </row>
    <row r="458" spans="1:7">
      <c r="A458" t="str">
        <f t="shared" si="7"/>
        <v>Problem Solving &amp; Decision Making|Division Head|4|2</v>
      </c>
      <c r="B458" t="str">
        <v>Problem Solving &amp; Decision Making</v>
      </c>
      <c r="C458" t="str">
        <v>Division Head</v>
      </c>
      <c r="D458" s="76">
        <v>4</v>
      </c>
      <c r="E458" t="str" cm="1">
        <f t="array" ref="E458">INDEX(aspek!$D$2:$D$337,
   MATCH(1,(aspek!$A$2:$A$337=B458)*
           (aspek!$B$2:$B$337=C458)*
           (aspek!$C$2:$C$337=D458),0))</f>
        <v>Urgensi, biaya, dan risiko sebagai dasar bergerak</v>
      </c>
      <c r="F458" s="76">
        <v>2</v>
      </c>
      <c r="G458" s="56" t="str" cm="1">
        <f t="array" ref="G458">INDEX(deskripsi!$D$2:$H$337,
   MATCH(1,(deskripsi!$A$2:$A$337=B458)*
           (deskripsi!$B$2:$B$337=C458)*
           (deskripsi!$C$2:$C$337=D458),0),
   F458)</f>
        <v>Mempertimbangkan salah satu — urgensi atau biaya — tidak keduanya.</v>
      </c>
    </row>
    <row r="459" spans="1:7">
      <c r="A459" t="str">
        <f t="shared" si="7"/>
        <v>Problem Solving &amp; Decision Making|Division Head|4|3</v>
      </c>
      <c r="B459" t="str">
        <v>Problem Solving &amp; Decision Making</v>
      </c>
      <c r="C459" t="str">
        <v>Division Head</v>
      </c>
      <c r="D459" s="76">
        <v>4</v>
      </c>
      <c r="E459" t="str" cm="1">
        <f t="array" ref="E459">INDEX(aspek!$D$2:$D$337,
   MATCH(1,(aspek!$A$2:$A$337=B459)*
           (aspek!$B$2:$B$337=C459)*
           (aspek!$C$2:$C$337=D459),0))</f>
        <v>Urgensi, biaya, dan risiko sebagai dasar bergerak</v>
      </c>
      <c r="F459" s="76">
        <v>3</v>
      </c>
      <c r="G459" s="56" t="str" cm="1">
        <f t="array" ref="G459">INDEX(deskripsi!$D$2:$H$337,
   MATCH(1,(deskripsi!$A$2:$A$337=B459)*
           (deskripsi!$B$2:$B$337=C459)*
           (deskripsi!$C$2:$C$337=D459),0),
   F459)</f>
        <v>Mempertimbangkan urgensi dan biaya pada keputusan besar.</v>
      </c>
    </row>
    <row r="460" spans="1:7">
      <c r="A460" t="str">
        <f t="shared" si="7"/>
        <v>Problem Solving &amp; Decision Making|Division Head|4|4</v>
      </c>
      <c r="B460" t="str">
        <v>Problem Solving &amp; Decision Making</v>
      </c>
      <c r="C460" t="str">
        <v>Division Head</v>
      </c>
      <c r="D460" s="76">
        <v>4</v>
      </c>
      <c r="E460" t="str" cm="1">
        <f t="array" ref="E460">INDEX(aspek!$D$2:$D$337,
   MATCH(1,(aspek!$A$2:$A$337=B460)*
           (aspek!$B$2:$B$337=C460)*
           (aspek!$C$2:$C$337=D460),0))</f>
        <v>Urgensi, biaya, dan risiko sebagai dasar bergerak</v>
      </c>
      <c r="F460" s="76">
        <v>4</v>
      </c>
      <c r="G460" s="56" t="str" cm="1">
        <f t="array" ref="G460">INDEX(deskripsi!$D$2:$H$337,
   MATCH(1,(deskripsi!$A$2:$A$337=B460)*
           (deskripsi!$B$2:$B$337=C460)*
           (deskripsi!$C$2:$C$337=D460),0),
   F460)</f>
        <v>Menerapkan sense of urgency, cost analysis, dan risk analysis secara konsisten untuk memutuskan cepat, disertai langkah antisipasi dampak.</v>
      </c>
    </row>
    <row r="461" spans="1:7">
      <c r="A461" t="str">
        <f t="shared" si="7"/>
        <v>Problem Solving &amp; Decision Making|Division Head|4|5</v>
      </c>
      <c r="B461" t="str">
        <v>Problem Solving &amp; Decision Making</v>
      </c>
      <c r="C461" t="str">
        <v>Division Head</v>
      </c>
      <c r="D461" s="76">
        <v>4</v>
      </c>
      <c r="E461" t="str" cm="1">
        <f t="array" ref="E461">INDEX(aspek!$D$2:$D$337,
   MATCH(1,(aspek!$A$2:$A$337=B461)*
           (aspek!$B$2:$B$337=C461)*
           (aspek!$C$2:$C$337=D461),0))</f>
        <v>Urgensi, biaya, dan risiko sebagai dasar bergerak</v>
      </c>
      <c r="F461" s="76">
        <v>5</v>
      </c>
      <c r="G461" s="56" t="str" cm="1">
        <f t="array" ref="G461">INDEX(deskripsi!$D$2:$H$337,
   MATCH(1,(deskripsi!$A$2:$A$337=B461)*
           (deskripsi!$B$2:$B$337=C461)*
           (deskripsi!$C$2:$C$337=D461),0),
   F461)</f>
        <v>Kerangkanya dipakai unit lain untuk memutuskan pada situasi serupa.</v>
      </c>
    </row>
    <row r="462" spans="1:7">
      <c r="A462" t="str">
        <f t="shared" si="7"/>
        <v>Problem Solving &amp; Decision Making|Director|1|1</v>
      </c>
      <c r="B462" t="str">
        <v>Problem Solving &amp; Decision Making</v>
      </c>
      <c r="C462" t="str">
        <v>Director</v>
      </c>
      <c r="D462" s="76">
        <v>1</v>
      </c>
      <c r="E462" t="str" cm="1">
        <f t="array" ref="E462">INDEX(aspek!$D$2:$D$337,
   MATCH(1,(aspek!$A$2:$A$337=B462)*
           (aspek!$B$2:$B$337=C462)*
           (aspek!$C$2:$C$337=D462),0))</f>
        <v>Memberi arah saat arah belum ada</v>
      </c>
      <c r="F462" s="76">
        <v>1</v>
      </c>
      <c r="G462" s="56" t="str" cm="1">
        <f t="array" ref="G462">INDEX(deskripsi!$D$2:$H$337,
   MATCH(1,(deskripsi!$A$2:$A$337=B462)*
           (deskripsi!$B$2:$B$337=C462)*
           (deskripsi!$C$2:$C$337=D462),0),
   F462)</f>
        <v>Ikut menunggu bersama organisasi.</v>
      </c>
    </row>
    <row r="463" spans="1:7">
      <c r="A463" t="str">
        <f t="shared" si="7"/>
        <v>Problem Solving &amp; Decision Making|Director|1|2</v>
      </c>
      <c r="B463" t="str">
        <v>Problem Solving &amp; Decision Making</v>
      </c>
      <c r="C463" t="str">
        <v>Director</v>
      </c>
      <c r="D463" s="76">
        <v>1</v>
      </c>
      <c r="E463" t="str" cm="1">
        <f t="array" ref="E463">INDEX(aspek!$D$2:$D$337,
   MATCH(1,(aspek!$A$2:$A$337=B463)*
           (aspek!$B$2:$B$337=C463)*
           (aspek!$C$2:$C$337=D463),0))</f>
        <v>Memberi arah saat arah belum ada</v>
      </c>
      <c r="F463" s="76">
        <v>2</v>
      </c>
      <c r="G463" s="56" t="str" cm="1">
        <f t="array" ref="G463">INDEX(deskripsi!$D$2:$H$337,
   MATCH(1,(deskripsi!$A$2:$A$337=B463)*
           (deskripsi!$B$2:$B$337=C463)*
           (deskripsi!$C$2:$C$337=D463),0),
   F463)</f>
        <v>Meneruskan ketidakjelasan apa adanya.</v>
      </c>
    </row>
    <row r="464" spans="1:7">
      <c r="A464" t="str">
        <f t="shared" si="7"/>
        <v>Problem Solving &amp; Decision Making|Director|1|3</v>
      </c>
      <c r="B464" t="str">
        <v>Problem Solving &amp; Decision Making</v>
      </c>
      <c r="C464" t="str">
        <v>Director</v>
      </c>
      <c r="D464" s="76">
        <v>1</v>
      </c>
      <c r="E464" t="str" cm="1">
        <f t="array" ref="E464">INDEX(aspek!$D$2:$D$337,
   MATCH(1,(aspek!$A$2:$A$337=B464)*
           (aspek!$B$2:$B$337=C464)*
           (aspek!$C$2:$C$337=D464),0))</f>
        <v>Memberi arah saat arah belum ada</v>
      </c>
      <c r="F464" s="76">
        <v>3</v>
      </c>
      <c r="G464" s="56" t="str" cm="1">
        <f t="array" ref="G464">INDEX(deskripsi!$D$2:$H$337,
   MATCH(1,(deskripsi!$A$2:$A$337=B464)*
           (deskripsi!$B$2:$B$337=C464)*
           (deskripsi!$C$2:$C$337=D464),0),
   F464)</f>
        <v>Memberi arah segera setelah kejelasan datang.</v>
      </c>
    </row>
    <row r="465" spans="1:7">
      <c r="A465" t="str">
        <f t="shared" si="7"/>
        <v>Problem Solving &amp; Decision Making|Director|1|4</v>
      </c>
      <c r="B465" t="str">
        <v>Problem Solving &amp; Decision Making</v>
      </c>
      <c r="C465" t="str">
        <v>Director</v>
      </c>
      <c r="D465" s="76">
        <v>1</v>
      </c>
      <c r="E465" t="str" cm="1">
        <f t="array" ref="E465">INDEX(aspek!$D$2:$D$337,
   MATCH(1,(aspek!$A$2:$A$337=B465)*
           (aspek!$B$2:$B$337=C465)*
           (aspek!$C$2:$C$337=D465),0))</f>
        <v>Memberi arah saat arah belum ada</v>
      </c>
      <c r="F465" s="76">
        <v>4</v>
      </c>
      <c r="G465" s="56" t="str" cm="1">
        <f t="array" ref="G465">INDEX(deskripsi!$D$2:$H$337,
   MATCH(1,(deskripsi!$A$2:$A$337=B465)*
           (deskripsi!$B$2:$B$337=C465)*
           (deskripsi!$C$2:$C$337=D465),0),
   F465)</f>
        <v>Memberi arah SEBELUM kejelasan datang, jujur tentang yang belum pasti.</v>
      </c>
    </row>
    <row r="466" spans="1:7">
      <c r="A466" t="str">
        <f t="shared" si="7"/>
        <v>Problem Solving &amp; Decision Making|Director|1|5</v>
      </c>
      <c r="B466" t="str">
        <v>Problem Solving &amp; Decision Making</v>
      </c>
      <c r="C466" t="str">
        <v>Director</v>
      </c>
      <c r="D466" s="76">
        <v>1</v>
      </c>
      <c r="E466" t="str" cm="1">
        <f t="array" ref="E466">INDEX(aspek!$D$2:$D$337,
   MATCH(1,(aspek!$A$2:$A$337=B466)*
           (aspek!$B$2:$B$337=C466)*
           (aspek!$C$2:$C$337=D466),0))</f>
        <v>Memberi arah saat arah belum ada</v>
      </c>
      <c r="F466" s="76">
        <v>5</v>
      </c>
      <c r="G466" s="56" t="str" cm="1">
        <f t="array" ref="G466">INDEX(deskripsi!$D$2:$H$337,
   MATCH(1,(deskripsi!$A$2:$A$337=B466)*
           (deskripsi!$B$2:$B$337=C466)*
           (deskripsi!$C$2:$C$337=D466),0),
   F466)</f>
        <v>Fungsi-fungsi menentukan sendiri pekerjaan yang tetap benar tanpa menunggu arahan.</v>
      </c>
    </row>
    <row r="467" spans="1:7">
      <c r="A467" t="str">
        <f t="shared" si="7"/>
        <v>Problem Solving &amp; Decision Making|Director|2|1</v>
      </c>
      <c r="B467" t="str">
        <v>Problem Solving &amp; Decision Making</v>
      </c>
      <c r="C467" t="str">
        <v>Director</v>
      </c>
      <c r="D467" s="76">
        <v>2</v>
      </c>
      <c r="E467" t="str" cm="1">
        <f t="array" ref="E467">INDEX(aspek!$D$2:$D$337,
   MATCH(1,(aspek!$A$2:$A$337=B467)*
           (aspek!$B$2:$B$337=C467)*
           (aspek!$C$2:$C$337=D467),0))</f>
        <v xml:space="preserve">Menjaga orang lain tetap produktif </v>
      </c>
      <c r="F467" s="76">
        <v>1</v>
      </c>
      <c r="G467" s="56" t="str" cm="1">
        <f t="array" ref="G467">INDEX(deskripsi!$D$2:$H$337,
   MATCH(1,(deskripsi!$A$2:$A$337=B467)*
           (deskripsi!$B$2:$B$337=C467)*
           (deskripsi!$C$2:$C$337=D467),0),
   F467)</f>
        <v>Fungsi ikut berhenti.</v>
      </c>
    </row>
    <row r="468" spans="1:7">
      <c r="A468" t="str">
        <f t="shared" si="7"/>
        <v>Problem Solving &amp; Decision Making|Director|2|2</v>
      </c>
      <c r="B468" t="str">
        <v>Problem Solving &amp; Decision Making</v>
      </c>
      <c r="C468" t="str">
        <v>Director</v>
      </c>
      <c r="D468" s="76">
        <v>2</v>
      </c>
      <c r="E468" t="str" cm="1">
        <f t="array" ref="E468">INDEX(aspek!$D$2:$D$337,
   MATCH(1,(aspek!$A$2:$A$337=B468)*
           (aspek!$B$2:$B$337=C468)*
           (aspek!$C$2:$C$337=D468),0))</f>
        <v xml:space="preserve">Menjaga orang lain tetap produktif </v>
      </c>
      <c r="F468" s="76">
        <v>2</v>
      </c>
      <c r="G468" s="56" t="str" cm="1">
        <f t="array" ref="G468">INDEX(deskripsi!$D$2:$H$337,
   MATCH(1,(deskripsi!$A$2:$A$337=B468)*
           (deskripsi!$B$2:$B$337=C468)*
           (deskripsi!$C$2:$C$337=D468),0),
   F468)</f>
        <v>Rutinitas berjalan, pekerjaan penting tertahan.</v>
      </c>
    </row>
    <row r="469" spans="1:7">
      <c r="A469" t="str">
        <f t="shared" si="7"/>
        <v>Problem Solving &amp; Decision Making|Director|2|3</v>
      </c>
      <c r="B469" t="str">
        <v>Problem Solving &amp; Decision Making</v>
      </c>
      <c r="C469" t="str">
        <v>Director</v>
      </c>
      <c r="D469" s="76">
        <v>2</v>
      </c>
      <c r="E469" t="str" cm="1">
        <f t="array" ref="E469">INDEX(aspek!$D$2:$D$337,
   MATCH(1,(aspek!$A$2:$A$337=B469)*
           (aspek!$B$2:$B$337=C469)*
           (aspek!$C$2:$C$337=D469),0))</f>
        <v xml:space="preserve">Menjaga orang lain tetap produktif </v>
      </c>
      <c r="F469" s="76">
        <v>3</v>
      </c>
      <c r="G469" s="56" t="str" cm="1">
        <f t="array" ref="G469">INDEX(deskripsi!$D$2:$H$337,
   MATCH(1,(deskripsi!$A$2:$A$337=B469)*
           (deskripsi!$B$2:$B$337=C469)*
           (deskripsi!$C$2:$C$337=D469),0),
   F469)</f>
        <v>Fungsi tetap berjalan tanpa penjelasan mengapa.</v>
      </c>
    </row>
    <row r="470" spans="1:7">
      <c r="A470" t="str">
        <f t="shared" si="7"/>
        <v>Problem Solving &amp; Decision Making|Director|2|4</v>
      </c>
      <c r="B470" t="str">
        <v>Problem Solving &amp; Decision Making</v>
      </c>
      <c r="C470" t="str">
        <v>Director</v>
      </c>
      <c r="D470" s="76">
        <v>2</v>
      </c>
      <c r="E470" t="str" cm="1">
        <f t="array" ref="E470">INDEX(aspek!$D$2:$D$337,
   MATCH(1,(aspek!$A$2:$A$337=B470)*
           (aspek!$B$2:$B$337=C470)*
           (aspek!$C$2:$C$337=D470),0))</f>
        <v xml:space="preserve">Menjaga orang lain tetap produktif </v>
      </c>
      <c r="F470" s="76">
        <v>4</v>
      </c>
      <c r="G470" s="56" t="str" cm="1">
        <f t="array" ref="G470">INDEX(deskripsi!$D$2:$H$337,
   MATCH(1,(deskripsi!$A$2:$A$337=B470)*
           (deskripsi!$B$2:$B$337=C470)*
           (deskripsi!$C$2:$C$337=D470),0),
   F470)</f>
        <v>Keluaran fungsi tidak menurun, anggotanya tahu apa yang dikerjakan — dikonfirmasi mereka sendiri.</v>
      </c>
    </row>
    <row r="471" spans="1:7">
      <c r="A471" t="str">
        <f t="shared" si="7"/>
        <v>Problem Solving &amp; Decision Making|Director|2|5</v>
      </c>
      <c r="B471" t="str">
        <v>Problem Solving &amp; Decision Making</v>
      </c>
      <c r="C471" t="str">
        <v>Director</v>
      </c>
      <c r="D471" s="76">
        <v>2</v>
      </c>
      <c r="E471" t="str" cm="1">
        <f t="array" ref="E471">INDEX(aspek!$D$2:$D$337,
   MATCH(1,(aspek!$A$2:$A$337=B471)*
           (aspek!$B$2:$B$337=C471)*
           (aspek!$C$2:$C$337=D471),0))</f>
        <v xml:space="preserve">Menjaga orang lain tetap produktif </v>
      </c>
      <c r="F471" s="76">
        <v>5</v>
      </c>
      <c r="G471" s="56" t="str" cm="1">
        <f t="array" ref="G471">INDEX(deskripsi!$D$2:$H$337,
   MATCH(1,(deskripsi!$A$2:$A$337=B471)*
           (deskripsi!$B$2:$B$337=C471)*
           (deskripsi!$C$2:$C$337=D471),0),
   F471)</f>
        <v>Fungsi di luar tanggung jawabnya ikut bergerak karena arahnya.</v>
      </c>
    </row>
    <row r="472" spans="1:7">
      <c r="A472" t="str">
        <f t="shared" si="7"/>
        <v>Problem Solving &amp; Decision Making|Director|3|1</v>
      </c>
      <c r="B472" t="str">
        <v>Problem Solving &amp; Decision Making</v>
      </c>
      <c r="C472" t="str">
        <v>Director</v>
      </c>
      <c r="D472" s="76">
        <v>3</v>
      </c>
      <c r="E472" t="str" cm="1">
        <f t="array" ref="E472">INDEX(aspek!$D$2:$D$337,
   MATCH(1,(aspek!$A$2:$A$337=B472)*
           (aspek!$B$2:$B$337=C472)*
           (aspek!$C$2:$C$337=D472),0))</f>
        <v>Mengubah ketidakpastian menjadi peluang</v>
      </c>
      <c r="F472" s="76">
        <v>1</v>
      </c>
      <c r="G472" s="56" t="str" cm="1">
        <f t="array" ref="G472">INDEX(deskripsi!$D$2:$H$337,
   MATCH(1,(deskripsi!$A$2:$A$337=B472)*
           (deskripsi!$B$2:$B$337=C472)*
           (deskripsi!$C$2:$C$337=D472),0),
   F472)</f>
        <v>Membaca ketidakpastian hanya sebagai risiko.</v>
      </c>
    </row>
    <row r="473" spans="1:7">
      <c r="A473" t="str">
        <f t="shared" si="7"/>
        <v>Problem Solving &amp; Decision Making|Director|3|2</v>
      </c>
      <c r="B473" t="str">
        <v>Problem Solving &amp; Decision Making</v>
      </c>
      <c r="C473" t="str">
        <v>Director</v>
      </c>
      <c r="D473" s="76">
        <v>3</v>
      </c>
      <c r="E473" t="str" cm="1">
        <f t="array" ref="E473">INDEX(aspek!$D$2:$D$337,
   MATCH(1,(aspek!$A$2:$A$337=B473)*
           (aspek!$B$2:$B$337=C473)*
           (aspek!$C$2:$C$337=D473),0))</f>
        <v>Mengubah ketidakpastian menjadi peluang</v>
      </c>
      <c r="F473" s="76">
        <v>2</v>
      </c>
      <c r="G473" s="56" t="str" cm="1">
        <f t="array" ref="G473">INDEX(deskripsi!$D$2:$H$337,
   MATCH(1,(deskripsi!$A$2:$A$337=B473)*
           (deskripsi!$B$2:$B$337=C473)*
           (deskripsi!$C$2:$C$337=D473),0),
   F473)</f>
        <v>Menyusun mitigasi, tidak melihat kemungkinan.</v>
      </c>
    </row>
    <row r="474" spans="1:7">
      <c r="A474" t="str">
        <f t="shared" si="7"/>
        <v>Problem Solving &amp; Decision Making|Director|3|3</v>
      </c>
      <c r="B474" t="str">
        <v>Problem Solving &amp; Decision Making</v>
      </c>
      <c r="C474" t="str">
        <v>Director</v>
      </c>
      <c r="D474" s="76">
        <v>3</v>
      </c>
      <c r="E474" t="str" cm="1">
        <f t="array" ref="E474">INDEX(aspek!$D$2:$D$337,
   MATCH(1,(aspek!$A$2:$A$337=B474)*
           (aspek!$B$2:$B$337=C474)*
           (aspek!$C$2:$C$337=D474),0))</f>
        <v>Mengubah ketidakpastian menjadi peluang</v>
      </c>
      <c r="F474" s="76">
        <v>3</v>
      </c>
      <c r="G474" s="56" t="str" cm="1">
        <f t="array" ref="G474">INDEX(deskripsi!$D$2:$H$337,
   MATCH(1,(deskripsi!$A$2:$A$337=B474)*
           (deskripsi!$B$2:$B$337=C474)*
           (deskripsi!$C$2:$C$337=D474),0),
   F474)</f>
        <v>Mengenali peluang, tidak menindaklanjuti.</v>
      </c>
    </row>
    <row r="475" spans="1:7">
      <c r="A475" t="str">
        <f t="shared" si="7"/>
        <v>Problem Solving &amp; Decision Making|Director|3|4</v>
      </c>
      <c r="B475" t="str">
        <v>Problem Solving &amp; Decision Making</v>
      </c>
      <c r="C475" t="str">
        <v>Director</v>
      </c>
      <c r="D475" s="76">
        <v>3</v>
      </c>
      <c r="E475" t="str" cm="1">
        <f t="array" ref="E475">INDEX(aspek!$D$2:$D$337,
   MATCH(1,(aspek!$A$2:$A$337=B475)*
           (aspek!$B$2:$B$337=C475)*
           (aspek!$C$2:$C$337=D475),0))</f>
        <v>Mengubah ketidakpastian menjadi peluang</v>
      </c>
      <c r="F475" s="76">
        <v>4</v>
      </c>
      <c r="G475" s="56" t="str" cm="1">
        <f t="array" ref="G475">INDEX(deskripsi!$D$2:$H$337,
   MATCH(1,(deskripsi!$A$2:$A$337=B475)*
           (deskripsi!$B$2:$B$337=C475)*
           (deskripsi!$C$2:$C$337=D475),0),
   F475)</f>
        <v>Merumuskan peluang strategis dan menggerakkan pihak lain menjalankan langkah pertamanya.</v>
      </c>
    </row>
    <row r="476" spans="1:7">
      <c r="A476" t="str">
        <f t="shared" si="7"/>
        <v>Problem Solving &amp; Decision Making|Director|3|5</v>
      </c>
      <c r="B476" t="str">
        <v>Problem Solving &amp; Decision Making</v>
      </c>
      <c r="C476" t="str">
        <v>Director</v>
      </c>
      <c r="D476" s="76">
        <v>3</v>
      </c>
      <c r="E476" t="str" cm="1">
        <f t="array" ref="E476">INDEX(aspek!$D$2:$D$337,
   MATCH(1,(aspek!$A$2:$A$337=B476)*
           (aspek!$B$2:$B$337=C476)*
           (aspek!$C$2:$C$337=D476),0))</f>
        <v>Mengubah ketidakpastian menjadi peluang</v>
      </c>
      <c r="F476" s="76">
        <v>5</v>
      </c>
      <c r="G476" s="56" t="str" cm="1">
        <f t="array" ref="G476">INDEX(deskripsi!$D$2:$H$337,
   MATCH(1,(deskripsi!$A$2:$A$337=B476)*
           (deskripsi!$B$2:$B$337=C476)*
           (deskripsi!$C$2:$C$337=D476),0),
   F476)</f>
        <v>Organisasi memperoleh posisi lebih baik justru karena ketidakpastian itu.</v>
      </c>
    </row>
    <row r="477" spans="1:7">
      <c r="A477" t="str">
        <f t="shared" si="7"/>
        <v>Problem Solving &amp; Decision Making|Director|4|1</v>
      </c>
      <c r="B477" t="str">
        <v>Problem Solving &amp; Decision Making</v>
      </c>
      <c r="C477" t="str">
        <v>Director</v>
      </c>
      <c r="D477" s="76">
        <v>4</v>
      </c>
      <c r="E477" t="str" cm="1">
        <f t="array" ref="E477">INDEX(aspek!$D$2:$D$337,
   MATCH(1,(aspek!$A$2:$A$337=B477)*
           (aspek!$B$2:$B$337=C477)*
           (aspek!$C$2:$C$337=D477),0))</f>
        <v>Kerangka keputusan yang dipakai orang lain</v>
      </c>
      <c r="F477" s="76">
        <v>1</v>
      </c>
      <c r="G477" s="56" t="str" cm="1">
        <f t="array" ref="G477">INDEX(deskripsi!$D$2:$H$337,
   MATCH(1,(deskripsi!$A$2:$A$337=B477)*
           (deskripsi!$B$2:$B$337=C477)*
           (deskripsi!$C$2:$C$337=D477),0),
   F477)</f>
        <v>Tidak memiliki kerangka; setiap persoalan ditangani menurut kebiasaan.</v>
      </c>
    </row>
    <row r="478" spans="1:7">
      <c r="A478" t="str">
        <f t="shared" si="7"/>
        <v>Problem Solving &amp; Decision Making|Director|4|2</v>
      </c>
      <c r="B478" t="str">
        <v>Problem Solving &amp; Decision Making</v>
      </c>
      <c r="C478" t="str">
        <v>Director</v>
      </c>
      <c r="D478" s="76">
        <v>4</v>
      </c>
      <c r="E478" t="str" cm="1">
        <f t="array" ref="E478">INDEX(aspek!$D$2:$D$337,
   MATCH(1,(aspek!$A$2:$A$337=B478)*
           (aspek!$B$2:$B$337=C478)*
           (aspek!$C$2:$C$337=D478),0))</f>
        <v>Kerangka keputusan yang dipakai orang lain</v>
      </c>
      <c r="F478" s="76">
        <v>2</v>
      </c>
      <c r="G478" s="56" t="str" cm="1">
        <f t="array" ref="G478">INDEX(deskripsi!$D$2:$H$337,
   MATCH(1,(deskripsi!$A$2:$A$337=B478)*
           (deskripsi!$B$2:$B$337=C478)*
           (deskripsi!$C$2:$C$337=D478),0),
   F478)</f>
        <v>Memakai kerangka yang sudah ada tanpa menyesuaikan.</v>
      </c>
    </row>
    <row r="479" spans="1:7">
      <c r="A479" t="str">
        <f t="shared" si="7"/>
        <v>Problem Solving &amp; Decision Making|Director|4|3</v>
      </c>
      <c r="B479" t="str">
        <v>Problem Solving &amp; Decision Making</v>
      </c>
      <c r="C479" t="str">
        <v>Director</v>
      </c>
      <c r="D479" s="76">
        <v>4</v>
      </c>
      <c r="E479" t="str" cm="1">
        <f t="array" ref="E479">INDEX(aspek!$D$2:$D$337,
   MATCH(1,(aspek!$A$2:$A$337=B479)*
           (aspek!$B$2:$B$337=C479)*
           (aspek!$C$2:$C$337=D479),0))</f>
        <v>Kerangka keputusan yang dipakai orang lain</v>
      </c>
      <c r="F479" s="76">
        <v>3</v>
      </c>
      <c r="G479" s="56" t="str" cm="1">
        <f t="array" ref="G479">INDEX(deskripsi!$D$2:$H$337,
   MATCH(1,(deskripsi!$A$2:$A$337=B479)*
           (deskripsi!$B$2:$B$337=C479)*
           (deskripsi!$C$2:$C$337=D479),0),
   F479)</f>
        <v>Menyusun kerangka sendiri, memakainya untuk keputusannya sendiri.</v>
      </c>
    </row>
    <row r="480" spans="1:7">
      <c r="A480" t="str">
        <f t="shared" si="7"/>
        <v>Problem Solving &amp; Decision Making|Director|4|4</v>
      </c>
      <c r="B480" t="str">
        <v>Problem Solving &amp; Decision Making</v>
      </c>
      <c r="C480" t="str">
        <v>Director</v>
      </c>
      <c r="D480" s="76">
        <v>4</v>
      </c>
      <c r="E480" t="str" cm="1">
        <f t="array" ref="E480">INDEX(aspek!$D$2:$D$337,
   MATCH(1,(aspek!$A$2:$A$337=B480)*
           (aspek!$B$2:$B$337=C480)*
           (aspek!$C$2:$C$337=D480),0))</f>
        <v>Kerangka keputusan yang dipakai orang lain</v>
      </c>
      <c r="F480" s="76">
        <v>4</v>
      </c>
      <c r="G480" s="56" t="str" cm="1">
        <f t="array" ref="G480">INDEX(deskripsi!$D$2:$H$337,
   MATCH(1,(deskripsi!$A$2:$A$337=B480)*
           (deskripsi!$B$2:$B$337=C480)*
           (deskripsi!$C$2:$C$337=D480),0),
   F480)</f>
        <v>Menyusun kerangka yang dipakai fungsi lain tanpa kehadirannya, menghasilkan keputusan konsisten di sana.</v>
      </c>
    </row>
    <row r="481" spans="1:7">
      <c r="A481" t="str">
        <f t="shared" si="7"/>
        <v>Problem Solving &amp; Decision Making|Director|4|5</v>
      </c>
      <c r="B481" t="str">
        <v>Problem Solving &amp; Decision Making</v>
      </c>
      <c r="C481" t="str">
        <v>Director</v>
      </c>
      <c r="D481" s="76">
        <v>4</v>
      </c>
      <c r="E481" t="str" cm="1">
        <f t="array" ref="E481">INDEX(aspek!$D$2:$D$337,
   MATCH(1,(aspek!$A$2:$A$337=B481)*
           (aspek!$B$2:$B$337=C481)*
           (aspek!$C$2:$C$337=D481),0))</f>
        <v>Kerangka keputusan yang dipakai orang lain</v>
      </c>
      <c r="F481" s="76">
        <v>5</v>
      </c>
      <c r="G481" s="56" t="str" cm="1">
        <f t="array" ref="G481">INDEX(deskripsi!$D$2:$H$337,
   MATCH(1,(deskripsi!$A$2:$A$337=B481)*
           (deskripsi!$B$2:$B$337=C481)*
           (deskripsi!$C$2:$C$337=D481),0),
   F481)</f>
        <v>Kerangkanya menjadi cara baku organisasi menangani persoalan sejenis.</v>
      </c>
    </row>
    <row r="482" spans="1:7">
      <c r="A482" t="str">
        <f t="shared" si="7"/>
        <v>Controlling &amp; Corrective Action|Officer|1|1</v>
      </c>
      <c r="B482" t="str">
        <v>Controlling &amp; Corrective Action</v>
      </c>
      <c r="C482" t="str">
        <v>Officer</v>
      </c>
      <c r="D482" s="76">
        <v>1</v>
      </c>
      <c r="E482" t="str" cm="1">
        <f t="array" ref="E482">INDEX(aspek!$D$2:$D$337,
   MATCH(1,(aspek!$A$2:$A$337=B482)*
           (aspek!$B$2:$B$337=C482)*
           (aspek!$C$2:$C$337=D482),0))</f>
        <v>Kualitas output</v>
      </c>
      <c r="F482" s="76">
        <v>1</v>
      </c>
      <c r="G482" s="56" t="str" cm="1">
        <f t="array" ref="G482">INDEX(deskripsi!$D$2:$H$337,
   MATCH(1,(deskripsi!$A$2:$A$337=B482)*
           (deskripsi!$B$2:$B$337=C482)*
           (deskripsi!$C$2:$C$337=D482),0),
   F482)</f>
        <v>Hasil kerja sering tidak memenuhi standar SOP.</v>
      </c>
    </row>
    <row r="483" spans="1:7">
      <c r="A483" t="str">
        <f t="shared" si="7"/>
        <v>Controlling &amp; Corrective Action|Officer|1|2</v>
      </c>
      <c r="B483" t="str">
        <v>Controlling &amp; Corrective Action</v>
      </c>
      <c r="C483" t="str">
        <v>Officer</v>
      </c>
      <c r="D483" s="76">
        <v>1</v>
      </c>
      <c r="E483" t="str" cm="1">
        <f t="array" ref="E483">INDEX(aspek!$D$2:$D$337,
   MATCH(1,(aspek!$A$2:$A$337=B483)*
           (aspek!$B$2:$B$337=C483)*
           (aspek!$C$2:$C$337=D483),0))</f>
        <v>Kualitas output</v>
      </c>
      <c r="F483" s="76">
        <v>2</v>
      </c>
      <c r="G483" s="56" t="str" cm="1">
        <f t="array" ref="G483">INDEX(deskripsi!$D$2:$H$337,
   MATCH(1,(deskripsi!$A$2:$A$337=B483)*
           (deskripsi!$B$2:$B$337=C483)*
           (deskripsi!$C$2:$C$337=D483),0),
   F483)</f>
        <v>Memenuhi standar pada tugas familiar, menurun pada tugas baru atau saat beban tinggi.</v>
      </c>
    </row>
    <row r="484" spans="1:7">
      <c r="A484" t="str">
        <f t="shared" si="7"/>
        <v>Controlling &amp; Corrective Action|Officer|1|3</v>
      </c>
      <c r="B484" t="str">
        <v>Controlling &amp; Corrective Action</v>
      </c>
      <c r="C484" t="str">
        <v>Officer</v>
      </c>
      <c r="D484" s="76">
        <v>1</v>
      </c>
      <c r="E484" t="str" cm="1">
        <f t="array" ref="E484">INDEX(aspek!$D$2:$D$337,
   MATCH(1,(aspek!$A$2:$A$337=B484)*
           (aspek!$B$2:$B$337=C484)*
           (aspek!$C$2:$C$337=D484),0))</f>
        <v>Kualitas output</v>
      </c>
      <c r="F484" s="76">
        <v>3</v>
      </c>
      <c r="G484" s="56" t="str" cm="1">
        <f t="array" ref="G484">INDEX(deskripsi!$D$2:$H$337,
   MATCH(1,(deskripsi!$A$2:$A$337=B484)*
           (deskripsi!$B$2:$B$337=C484)*
           (deskripsi!$C$2:$C$337=D484),0),
   F484)</f>
        <v>Hasil kerja stabil memenuhi standar; revisi masih terjadi pada hal kecil.</v>
      </c>
    </row>
    <row r="485" spans="1:7">
      <c r="A485" t="str">
        <f t="shared" si="7"/>
        <v>Controlling &amp; Corrective Action|Officer|1|4</v>
      </c>
      <c r="B485" t="str">
        <v>Controlling &amp; Corrective Action</v>
      </c>
      <c r="C485" t="str">
        <v>Officer</v>
      </c>
      <c r="D485" s="76">
        <v>1</v>
      </c>
      <c r="E485" t="str" cm="1">
        <f t="array" ref="E485">INDEX(aspek!$D$2:$D$337,
   MATCH(1,(aspek!$A$2:$A$337=B485)*
           (aspek!$B$2:$B$337=C485)*
           (aspek!$C$2:$C$337=D485),0))</f>
        <v>Kualitas output</v>
      </c>
      <c r="F485" s="76">
        <v>4</v>
      </c>
      <c r="G485" s="56" t="str" cm="1">
        <f t="array" ref="G485">INDEX(deskripsi!$D$2:$H$337,
   MATCH(1,(deskripsi!$A$2:$A$337=B485)*
           (deskripsi!$B$2:$B$337=C485)*
           (deskripsi!$C$2:$C$337=D485),0),
   F485)</f>
        <v>Diterima tanpa revisi pada sebagian besar penyerahan, karena diperiksa sendiri terhadap SOP sebelum diserahkan.</v>
      </c>
    </row>
    <row r="486" spans="1:7">
      <c r="A486" t="str">
        <f t="shared" si="7"/>
        <v>Controlling &amp; Corrective Action|Officer|1|5</v>
      </c>
      <c r="B486" t="str">
        <v>Controlling &amp; Corrective Action</v>
      </c>
      <c r="C486" t="str">
        <v>Officer</v>
      </c>
      <c r="D486" s="76">
        <v>1</v>
      </c>
      <c r="E486" t="str" cm="1">
        <f t="array" ref="E486">INDEX(aspek!$D$2:$D$337,
   MATCH(1,(aspek!$A$2:$A$337=B486)*
           (aspek!$B$2:$B$337=C486)*
           (aspek!$C$2:$C$337=D486),0))</f>
        <v>Kualitas output</v>
      </c>
      <c r="F486" s="76">
        <v>5</v>
      </c>
      <c r="G486" s="56" t="str" cm="1">
        <f t="array" ref="G486">INDEX(deskripsi!$D$2:$H$337,
   MATCH(1,(deskripsi!$A$2:$A$337=B486)*
           (deskripsi!$B$2:$B$337=C486)*
           (deskripsi!$C$2:$C$337=D486),0),
   F486)</f>
        <v>Hasil kerjanya dipakai sebagai contoh standar; checklist-nya diadopsi rekan.</v>
      </c>
    </row>
    <row r="487" spans="1:7">
      <c r="A487" t="str">
        <f t="shared" si="7"/>
        <v>Controlling &amp; Corrective Action|Officer|2|1</v>
      </c>
      <c r="B487" t="str">
        <v>Controlling &amp; Corrective Action</v>
      </c>
      <c r="C487" t="str">
        <v>Officer</v>
      </c>
      <c r="D487" s="76">
        <v>2</v>
      </c>
      <c r="E487" t="str" cm="1">
        <f t="array" ref="E487">INDEX(aspek!$D$2:$D$337,
   MATCH(1,(aspek!$A$2:$A$337=B487)*
           (aspek!$B$2:$B$337=C487)*
           (aspek!$C$2:$C$337=D487),0))</f>
        <v>Ketepatan waktu</v>
      </c>
      <c r="F487" s="76">
        <v>1</v>
      </c>
      <c r="G487" s="56" t="str" cm="1">
        <f t="array" ref="G487">INDEX(deskripsi!$D$2:$H$337,
   MATCH(1,(deskripsi!$A$2:$A$337=B487)*
           (deskripsi!$B$2:$B$337=C487)*
           (deskripsi!$C$2:$C$337=D487),0),
   F487)</f>
        <v>Sering terlambat; keterlambatan baru diketahui setelah tenggat lewat.</v>
      </c>
    </row>
    <row r="488" spans="1:7">
      <c r="A488" t="str">
        <f t="shared" si="7"/>
        <v>Controlling &amp; Corrective Action|Officer|2|2</v>
      </c>
      <c r="B488" t="str">
        <v>Controlling &amp; Corrective Action</v>
      </c>
      <c r="C488" t="str">
        <v>Officer</v>
      </c>
      <c r="D488" s="76">
        <v>2</v>
      </c>
      <c r="E488" t="str" cm="1">
        <f t="array" ref="E488">INDEX(aspek!$D$2:$D$337,
   MATCH(1,(aspek!$A$2:$A$337=B488)*
           (aspek!$B$2:$B$337=C488)*
           (aspek!$C$2:$C$337=D488),0))</f>
        <v>Ketepatan waktu</v>
      </c>
      <c r="F488" s="76">
        <v>2</v>
      </c>
      <c r="G488" s="56" t="str" cm="1">
        <f t="array" ref="G488">INDEX(deskripsi!$D$2:$H$337,
   MATCH(1,(deskripsi!$A$2:$A$337=B488)*
           (deskripsi!$B$2:$B$337=C488)*
           (deskripsi!$C$2:$C$337=D488),0),
   F488)</f>
        <v>Tepat waktu bila hanya satu tugas; meleset saat beberapa tenggat bersamaan.</v>
      </c>
    </row>
    <row r="489" spans="1:7">
      <c r="A489" t="str">
        <f t="shared" si="7"/>
        <v>Controlling &amp; Corrective Action|Officer|2|3</v>
      </c>
      <c r="B489" t="str">
        <v>Controlling &amp; Corrective Action</v>
      </c>
      <c r="C489" t="str">
        <v>Officer</v>
      </c>
      <c r="D489" s="76">
        <v>2</v>
      </c>
      <c r="E489" t="str" cm="1">
        <f t="array" ref="E489">INDEX(aspek!$D$2:$D$337,
   MATCH(1,(aspek!$A$2:$A$337=B489)*
           (aspek!$B$2:$B$337=C489)*
           (aspek!$C$2:$C$337=D489),0))</f>
        <v>Ketepatan waktu</v>
      </c>
      <c r="F489" s="76">
        <v>3</v>
      </c>
      <c r="G489" s="56" t="str" cm="1">
        <f t="array" ref="G489">INDEX(deskripsi!$D$2:$H$337,
   MATCH(1,(deskripsi!$A$2:$A$337=B489)*
           (deskripsi!$B$2:$B$337=C489)*
           (deskripsi!$C$2:$C$337=D489),0),
   F489)</f>
        <v>Sebagian besar penyerahan tepat waktu.</v>
      </c>
    </row>
    <row r="490" spans="1:7">
      <c r="A490" t="str">
        <f t="shared" si="7"/>
        <v>Controlling &amp; Corrective Action|Officer|2|4</v>
      </c>
      <c r="B490" t="str">
        <v>Controlling &amp; Corrective Action</v>
      </c>
      <c r="C490" t="str">
        <v>Officer</v>
      </c>
      <c r="D490" s="76">
        <v>2</v>
      </c>
      <c r="E490" t="str" cm="1">
        <f t="array" ref="E490">INDEX(aspek!$D$2:$D$337,
   MATCH(1,(aspek!$A$2:$A$337=B490)*
           (aspek!$B$2:$B$337=C490)*
           (aspek!$C$2:$C$337=D490),0))</f>
        <v>Ketepatan waktu</v>
      </c>
      <c r="F490" s="76">
        <v>4</v>
      </c>
      <c r="G490" s="56" t="str" cm="1">
        <f t="array" ref="G490">INDEX(deskripsi!$D$2:$H$337,
   MATCH(1,(deskripsi!$A$2:$A$337=B490)*
           (deskripsi!$B$2:$B$337=C490)*
           (deskripsi!$C$2:$C$337=D490),0),
   F490)</f>
        <v>Hampir seluruh penyerahan tepat waktu termasuk saat beban bertambah, karena waktu diperkirakan realistis.</v>
      </c>
    </row>
    <row r="491" spans="1:7">
      <c r="A491" t="str">
        <f t="shared" si="7"/>
        <v>Controlling &amp; Corrective Action|Officer|2|5</v>
      </c>
      <c r="B491" t="str">
        <v>Controlling &amp; Corrective Action</v>
      </c>
      <c r="C491" t="str">
        <v>Officer</v>
      </c>
      <c r="D491" s="76">
        <v>2</v>
      </c>
      <c r="E491" t="str" cm="1">
        <f t="array" ref="E491">INDEX(aspek!$D$2:$D$337,
   MATCH(1,(aspek!$A$2:$A$337=B491)*
           (aspek!$B$2:$B$337=C491)*
           (aspek!$C$2:$C$337=D491),0))</f>
        <v>Ketepatan waktu</v>
      </c>
      <c r="F491" s="76">
        <v>5</v>
      </c>
      <c r="G491" s="56" t="str" cm="1">
        <f t="array" ref="G491">INDEX(deskripsi!$D$2:$H$337,
   MATCH(1,(deskripsi!$A$2:$A$337=B491)*
           (deskripsi!$B$2:$B$337=C491)*
           (deskripsi!$C$2:$C$337=D491),0),
   F491)</f>
        <v>Menyelesaikan lebih awal secara konsisten.</v>
      </c>
    </row>
    <row r="492" spans="1:7">
      <c r="A492" t="str">
        <f t="shared" si="7"/>
        <v>Controlling &amp; Corrective Action|Officer|3|1</v>
      </c>
      <c r="B492" t="str">
        <v>Controlling &amp; Corrective Action</v>
      </c>
      <c r="C492" t="str">
        <v>Officer</v>
      </c>
      <c r="D492" s="76">
        <v>3</v>
      </c>
      <c r="E492" t="str" cm="1">
        <f t="array" ref="E492">INDEX(aspek!$D$2:$D$337,
   MATCH(1,(aspek!$A$2:$A$337=B492)*
           (aspek!$B$2:$B$337=C492)*
           (aspek!$C$2:$C$337=D492),0))</f>
        <v>Keandalan dan konsistensi</v>
      </c>
      <c r="F492" s="76">
        <v>1</v>
      </c>
      <c r="G492" s="56" t="str" cm="1">
        <f t="array" ref="G492">INDEX(deskripsi!$D$2:$H$337,
   MATCH(1,(deskripsi!$A$2:$A$337=B492)*
           (deskripsi!$B$2:$B$337=C492)*
           (deskripsi!$C$2:$C$337=D492),0),
   F492)</f>
        <v>Mutu dan waktu tidak dapat diperkirakan.</v>
      </c>
    </row>
    <row r="493" spans="1:7">
      <c r="A493" t="str">
        <f t="shared" si="7"/>
        <v>Controlling &amp; Corrective Action|Officer|3|2</v>
      </c>
      <c r="B493" t="str">
        <v>Controlling &amp; Corrective Action</v>
      </c>
      <c r="C493" t="str">
        <v>Officer</v>
      </c>
      <c r="D493" s="76">
        <v>3</v>
      </c>
      <c r="E493" t="str" cm="1">
        <f t="array" ref="E493">INDEX(aspek!$D$2:$D$337,
   MATCH(1,(aspek!$A$2:$A$337=B493)*
           (aspek!$B$2:$B$337=C493)*
           (aspek!$C$2:$C$337=D493),0))</f>
        <v>Keandalan dan konsistensi</v>
      </c>
      <c r="F493" s="76">
        <v>2</v>
      </c>
      <c r="G493" s="56" t="str" cm="1">
        <f t="array" ref="G493">INDEX(deskripsi!$D$2:$H$337,
   MATCH(1,(deskripsi!$A$2:$A$337=B493)*
           (deskripsi!$B$2:$B$337=C493)*
           (deskripsi!$C$2:$C$337=D493),0),
   F493)</f>
        <v>Baik pada sebagian periode, menurun pada periode lain.</v>
      </c>
    </row>
    <row r="494" spans="1:7">
      <c r="A494" t="str">
        <f t="shared" si="7"/>
        <v>Controlling &amp; Corrective Action|Officer|3|3</v>
      </c>
      <c r="B494" t="str">
        <v>Controlling &amp; Corrective Action</v>
      </c>
      <c r="C494" t="str">
        <v>Officer</v>
      </c>
      <c r="D494" s="76">
        <v>3</v>
      </c>
      <c r="E494" t="str" cm="1">
        <f t="array" ref="E494">INDEX(aspek!$D$2:$D$337,
   MATCH(1,(aspek!$A$2:$A$337=B494)*
           (aspek!$B$2:$B$337=C494)*
           (aspek!$C$2:$C$337=D494),0))</f>
        <v>Keandalan dan konsistensi</v>
      </c>
      <c r="F494" s="76">
        <v>3</v>
      </c>
      <c r="G494" s="56" t="str" cm="1">
        <f t="array" ref="G494">INDEX(deskripsi!$D$2:$H$337,
   MATCH(1,(deskripsi!$A$2:$A$337=B494)*
           (deskripsi!$B$2:$B$337=C494)*
           (deskripsi!$C$2:$C$337=D494),0),
   F494)</f>
        <v>Cukup diandalkan pada pekerjaan rutin.</v>
      </c>
    </row>
    <row r="495" spans="1:7">
      <c r="A495" t="str">
        <f t="shared" si="7"/>
        <v>Controlling &amp; Corrective Action|Officer|3|4</v>
      </c>
      <c r="B495" t="str">
        <v>Controlling &amp; Corrective Action</v>
      </c>
      <c r="C495" t="str">
        <v>Officer</v>
      </c>
      <c r="D495" s="76">
        <v>3</v>
      </c>
      <c r="E495" t="str" cm="1">
        <f t="array" ref="E495">INDEX(aspek!$D$2:$D$337,
   MATCH(1,(aspek!$A$2:$A$337=B495)*
           (aspek!$B$2:$B$337=C495)*
           (aspek!$C$2:$C$337=D495),0))</f>
        <v>Keandalan dan konsistensi</v>
      </c>
      <c r="F495" s="76">
        <v>4</v>
      </c>
      <c r="G495" s="56" t="str" cm="1">
        <f t="array" ref="G495">INDEX(deskripsi!$D$2:$H$337,
   MATCH(1,(deskripsi!$A$2:$A$337=B495)*
           (deskripsi!$B$2:$B$337=C495)*
           (deskripsi!$C$2:$C$337=D495),0),
   F495)</f>
        <v>Angka ketepatan waktu dan bebas-revisi bertahan tinggi beberapa bulan berturut-turut, termasuk bulan tersibuk.</v>
      </c>
    </row>
    <row r="496" spans="1:7">
      <c r="A496" t="str">
        <f t="shared" si="7"/>
        <v>Controlling &amp; Corrective Action|Officer|3|5</v>
      </c>
      <c r="B496" t="str">
        <v>Controlling &amp; Corrective Action</v>
      </c>
      <c r="C496" t="str">
        <v>Officer</v>
      </c>
      <c r="D496" s="76">
        <v>3</v>
      </c>
      <c r="E496" t="str" cm="1">
        <f t="array" ref="E496">INDEX(aspek!$D$2:$D$337,
   MATCH(1,(aspek!$A$2:$A$337=B496)*
           (aspek!$B$2:$B$337=C496)*
           (aspek!$C$2:$C$337=D496),0))</f>
        <v>Keandalan dan konsistensi</v>
      </c>
      <c r="F496" s="76">
        <v>5</v>
      </c>
      <c r="G496" s="56" t="str" cm="1">
        <f t="array" ref="G496">INDEX(deskripsi!$D$2:$H$337,
   MATCH(1,(deskripsi!$A$2:$A$337=B496)*
           (deskripsi!$B$2:$B$337=C496)*
           (deskripsi!$C$2:$C$337=D496),0),
   F496)</f>
        <v>Diberi pekerjaan paling kritis karena keandalannya tidak bergantung situasi.</v>
      </c>
    </row>
    <row r="497" spans="1:7">
      <c r="A497" t="str">
        <f t="shared" si="7"/>
        <v>Controlling &amp; Corrective Action|Officer|4|1</v>
      </c>
      <c r="B497" t="str">
        <v>Controlling &amp; Corrective Action</v>
      </c>
      <c r="C497" t="str">
        <v>Officer</v>
      </c>
      <c r="D497" s="76">
        <v>4</v>
      </c>
      <c r="E497" t="str" cm="1">
        <f t="array" ref="E497">INDEX(aspek!$D$2:$D$337,
   MATCH(1,(aspek!$A$2:$A$337=B497)*
           (aspek!$B$2:$B$337=C497)*
           (aspek!$C$2:$C$337=D497),0))</f>
        <v>Kesepakatan dan peringatan dini</v>
      </c>
      <c r="F497" s="76">
        <v>1</v>
      </c>
      <c r="G497" s="56" t="str" cm="1">
        <f t="array" ref="G497">INDEX(deskripsi!$D$2:$H$337,
   MATCH(1,(deskripsi!$A$2:$A$337=B497)*
           (deskripsi!$B$2:$B$337=C497)*
           (deskripsi!$C$2:$C$337=D497),0),
   F497)</f>
        <v>Mulai mengerjakan tanpa memastikan standar dan tenggat.</v>
      </c>
    </row>
    <row r="498" spans="1:7">
      <c r="A498" t="str">
        <f t="shared" si="7"/>
        <v>Controlling &amp; Corrective Action|Officer|4|2</v>
      </c>
      <c r="B498" t="str">
        <v>Controlling &amp; Corrective Action</v>
      </c>
      <c r="C498" t="str">
        <v>Officer</v>
      </c>
      <c r="D498" s="76">
        <v>4</v>
      </c>
      <c r="E498" t="str" cm="1">
        <f t="array" ref="E498">INDEX(aspek!$D$2:$D$337,
   MATCH(1,(aspek!$A$2:$A$337=B498)*
           (aspek!$B$2:$B$337=C498)*
           (aspek!$C$2:$C$337=D498),0))</f>
        <v>Kesepakatan dan peringatan dini</v>
      </c>
      <c r="F498" s="76">
        <v>2</v>
      </c>
      <c r="G498" s="56" t="str" cm="1">
        <f t="array" ref="G498">INDEX(deskripsi!$D$2:$H$337,
   MATCH(1,(deskripsi!$A$2:$A$337=B498)*
           (deskripsi!$B$2:$B$337=C498)*
           (deskripsi!$C$2:$C$337=D498),0),
   F498)</f>
        <v>Menanyakan tenggat, tidak menyepakati kriteria selesai.</v>
      </c>
    </row>
    <row r="499" spans="1:7">
      <c r="A499" t="str">
        <f t="shared" si="7"/>
        <v>Controlling &amp; Corrective Action|Officer|4|3</v>
      </c>
      <c r="B499" t="str">
        <v>Controlling &amp; Corrective Action</v>
      </c>
      <c r="C499" t="str">
        <v>Officer</v>
      </c>
      <c r="D499" s="76">
        <v>4</v>
      </c>
      <c r="E499" t="str" cm="1">
        <f t="array" ref="E499">INDEX(aspek!$D$2:$D$337,
   MATCH(1,(aspek!$A$2:$A$337=B499)*
           (aspek!$B$2:$B$337=C499)*
           (aspek!$C$2:$C$337=D499),0))</f>
        <v>Kesepakatan dan peringatan dini</v>
      </c>
      <c r="F499" s="76">
        <v>3</v>
      </c>
      <c r="G499" s="56" t="str" cm="1">
        <f t="array" ref="G499">INDEX(deskripsi!$D$2:$H$337,
   MATCH(1,(deskripsi!$A$2:$A$337=B499)*
           (deskripsi!$B$2:$B$337=C499)*
           (deskripsi!$C$2:$C$337=D499),0),
   F499)</f>
        <v>Menyepakati hasil dan tenggat di muka pada permintaan penting.</v>
      </c>
    </row>
    <row r="500" spans="1:7">
      <c r="A500" t="str">
        <f t="shared" si="7"/>
        <v>Controlling &amp; Corrective Action|Officer|4|4</v>
      </c>
      <c r="B500" t="str">
        <v>Controlling &amp; Corrective Action</v>
      </c>
      <c r="C500" t="str">
        <v>Officer</v>
      </c>
      <c r="D500" s="76">
        <v>4</v>
      </c>
      <c r="E500" t="str" cm="1">
        <f t="array" ref="E500">INDEX(aspek!$D$2:$D$337,
   MATCH(1,(aspek!$A$2:$A$337=B500)*
           (aspek!$B$2:$B$337=C500)*
           (aspek!$C$2:$C$337=D500),0))</f>
        <v>Kesepakatan dan peringatan dini</v>
      </c>
      <c r="F500" s="76">
        <v>4</v>
      </c>
      <c r="G500" s="56" t="str" cm="1">
        <f t="array" ref="G500">INDEX(deskripsi!$D$2:$H$337,
   MATCH(1,(deskripsi!$A$2:$A$337=B500)*
           (deskripsi!$B$2:$B$337=C500)*
           (deskripsi!$C$2:$C$337=D500),0),
   F500)</f>
        <v>Menyepakati kriteria dan tenggat di muka pada hampir seluruh permintaan, memberi kabar dini dan menegosiasikan ulang SEBELUM tenggat lewat.</v>
      </c>
    </row>
    <row r="501" spans="1:7">
      <c r="A501" t="str">
        <f t="shared" si="7"/>
        <v>Controlling &amp; Corrective Action|Officer|4|5</v>
      </c>
      <c r="B501" t="str">
        <v>Controlling &amp; Corrective Action</v>
      </c>
      <c r="C501" t="str">
        <v>Officer</v>
      </c>
      <c r="D501" s="76">
        <v>4</v>
      </c>
      <c r="E501" t="str" cm="1">
        <f t="array" ref="E501">INDEX(aspek!$D$2:$D$337,
   MATCH(1,(aspek!$A$2:$A$337=B501)*
           (aspek!$B$2:$B$337=C501)*
           (aspek!$C$2:$C$337=D501),0))</f>
        <v>Kesepakatan dan peringatan dini</v>
      </c>
      <c r="F501" s="76">
        <v>5</v>
      </c>
      <c r="G501" s="56" t="str" cm="1">
        <f t="array" ref="G501">INDEX(deskripsi!$D$2:$H$337,
   MATCH(1,(deskripsi!$A$2:$A$337=B501)*
           (deskripsi!$B$2:$B$337=C501)*
           (deskripsi!$C$2:$C$337=D501),0),
   F501)</f>
        <v>Kriteria yang disepakati menjadi acuan baku antar unit.</v>
      </c>
    </row>
    <row r="502" spans="1:7">
      <c r="A502" t="str">
        <f t="shared" si="7"/>
        <v>Controlling &amp; Corrective Action|Analyst|1|1</v>
      </c>
      <c r="B502" t="str">
        <v>Controlling &amp; Corrective Action</v>
      </c>
      <c r="C502" t="str">
        <v>Analyst</v>
      </c>
      <c r="D502" s="76">
        <v>1</v>
      </c>
      <c r="E502" t="str" cm="1">
        <f t="array" ref="E502">INDEX(aspek!$D$2:$D$337,
   MATCH(1,(aspek!$A$2:$A$337=B502)*
           (aspek!$B$2:$B$337=C502)*
           (aspek!$C$2:$C$337=D502),0))</f>
        <v>Pemahaman tujuan akhir</v>
      </c>
      <c r="F502" s="76">
        <v>1</v>
      </c>
      <c r="G502" s="56" t="str" cm="1">
        <f t="array" ref="G502">INDEX(deskripsi!$D$2:$H$337,
   MATCH(1,(deskripsi!$A$2:$A$337=B502)*
           (deskripsi!$B$2:$B$337=C502)*
           (deskripsi!$C$2:$C$337=D502),0),
   F502)</f>
        <v>Mengukur pekerjaannya dari aktivitas yang dilakukan.</v>
      </c>
    </row>
    <row r="503" spans="1:7">
      <c r="A503" t="str">
        <f t="shared" si="7"/>
        <v>Controlling &amp; Corrective Action|Analyst|1|2</v>
      </c>
      <c r="B503" t="str">
        <v>Controlling &amp; Corrective Action</v>
      </c>
      <c r="C503" t="str">
        <v>Analyst</v>
      </c>
      <c r="D503" s="76">
        <v>1</v>
      </c>
      <c r="E503" t="str" cm="1">
        <f t="array" ref="E503">INDEX(aspek!$D$2:$D$337,
   MATCH(1,(aspek!$A$2:$A$337=B503)*
           (aspek!$B$2:$B$337=C503)*
           (aspek!$C$2:$C$337=D503),0))</f>
        <v>Pemahaman tujuan akhir</v>
      </c>
      <c r="F503" s="76">
        <v>2</v>
      </c>
      <c r="G503" s="56" t="str" cm="1">
        <f t="array" ref="G503">INDEX(deskripsi!$D$2:$H$337,
   MATCH(1,(deskripsi!$A$2:$A$337=B503)*
           (deskripsi!$B$2:$B$337=C503)*
           (deskripsi!$C$2:$C$337=D503),0),
   F503)</f>
        <v>Mengikuti prosedur dan menganggap itu sudah cukup.</v>
      </c>
    </row>
    <row r="504" spans="1:7">
      <c r="A504" t="str">
        <f t="shared" si="7"/>
        <v>Controlling &amp; Corrective Action|Analyst|1|3</v>
      </c>
      <c r="B504" t="str">
        <v>Controlling &amp; Corrective Action</v>
      </c>
      <c r="C504" t="str">
        <v>Analyst</v>
      </c>
      <c r="D504" s="76">
        <v>1</v>
      </c>
      <c r="E504" t="str" cm="1">
        <f t="array" ref="E504">INDEX(aspek!$D$2:$D$337,
   MATCH(1,(aspek!$A$2:$A$337=B504)*
           (aspek!$B$2:$B$337=C504)*
           (aspek!$C$2:$C$337=D504),0))</f>
        <v>Pemahaman tujuan akhir</v>
      </c>
      <c r="F504" s="76">
        <v>3</v>
      </c>
      <c r="G504" s="56" t="str" cm="1">
        <f t="array" ref="G504">INDEX(deskripsi!$D$2:$H$337,
   MATCH(1,(deskripsi!$A$2:$A$337=B504)*
           (deskripsi!$B$2:$B$337=C504)*
           (deskripsi!$C$2:$C$337=D504),0),
   F504)</f>
        <v>Memahami untuk apa pekerjaannya dilakukan.</v>
      </c>
    </row>
    <row r="505" spans="1:7">
      <c r="A505" t="str">
        <f t="shared" si="7"/>
        <v>Controlling &amp; Corrective Action|Analyst|1|4</v>
      </c>
      <c r="B505" t="str">
        <v>Controlling &amp; Corrective Action</v>
      </c>
      <c r="C505" t="str">
        <v>Analyst</v>
      </c>
      <c r="D505" s="76">
        <v>1</v>
      </c>
      <c r="E505" t="str" cm="1">
        <f t="array" ref="E505">INDEX(aspek!$D$2:$D$337,
   MATCH(1,(aspek!$A$2:$A$337=B505)*
           (aspek!$B$2:$B$337=C505)*
           (aspek!$C$2:$C$337=D505),0))</f>
        <v>Pemahaman tujuan akhir</v>
      </c>
      <c r="F505" s="76">
        <v>4</v>
      </c>
      <c r="G505" s="56" t="str" cm="1">
        <f t="array" ref="G505">INDEX(deskripsi!$D$2:$H$337,
   MATCH(1,(deskripsi!$A$2:$A$337=B505)*
           (deskripsi!$B$2:$B$337=C505)*
           (deskripsi!$C$2:$C$337=D505),0),
   F505)</f>
        <v>Bertanggung jawab atas tercapainya tujuan akhir, bukan hanya atas berjalannya aktivitas.</v>
      </c>
    </row>
    <row r="506" spans="1:7">
      <c r="A506" t="str">
        <f t="shared" si="7"/>
        <v>Controlling &amp; Corrective Action|Analyst|1|5</v>
      </c>
      <c r="B506" t="str">
        <v>Controlling &amp; Corrective Action</v>
      </c>
      <c r="C506" t="str">
        <v>Analyst</v>
      </c>
      <c r="D506" s="76">
        <v>1</v>
      </c>
      <c r="E506" t="str" cm="1">
        <f t="array" ref="E506">INDEX(aspek!$D$2:$D$337,
   MATCH(1,(aspek!$A$2:$A$337=B506)*
           (aspek!$B$2:$B$337=C506)*
           (aspek!$C$2:$C$337=D506),0))</f>
        <v>Pemahaman tujuan akhir</v>
      </c>
      <c r="F506" s="76">
        <v>5</v>
      </c>
      <c r="G506" s="56" t="str" cm="1">
        <f t="array" ref="G506">INDEX(deskripsi!$D$2:$H$337,
   MATCH(1,(deskripsi!$A$2:$A$337=B506)*
           (deskripsi!$B$2:$B$337=C506)*
           (deskripsi!$C$2:$C$337=D506),0),
   F506)</f>
        <v>Tujuan akhir yang ia kejar menjadi acuan bagi rekan dalam menilai pekerjaan mereka sendiri.</v>
      </c>
    </row>
    <row r="507" spans="1:7">
      <c r="A507" t="str">
        <f t="shared" si="7"/>
        <v>Controlling &amp; Corrective Action|Analyst|2|1</v>
      </c>
      <c r="B507" t="str">
        <v>Controlling &amp; Corrective Action</v>
      </c>
      <c r="C507" t="str">
        <v>Analyst</v>
      </c>
      <c r="D507" s="76">
        <v>2</v>
      </c>
      <c r="E507" t="str" cm="1">
        <f t="array" ref="E507">INDEX(aspek!$D$2:$D$337,
   MATCH(1,(aspek!$A$2:$A$337=B507)*
           (aspek!$B$2:$B$337=C507)*
           (aspek!$C$2:$C$337=D507),0))</f>
        <v>Penggunaan metrik keberhasilan</v>
      </c>
      <c r="F507" s="76">
        <v>1</v>
      </c>
      <c r="G507" s="56" t="str" cm="1">
        <f t="array" ref="G507">INDEX(deskripsi!$D$2:$H$337,
   MATCH(1,(deskripsi!$A$2:$A$337=B507)*
           (deskripsi!$B$2:$B$337=C507)*
           (deskripsi!$C$2:$C$337=D507),0),
   F507)</f>
        <v>Tidak menetapkan ukuran keberhasilan apa pun.</v>
      </c>
    </row>
    <row r="508" spans="1:7">
      <c r="A508" t="str">
        <f t="shared" si="7"/>
        <v>Controlling &amp; Corrective Action|Analyst|2|2</v>
      </c>
      <c r="B508" t="str">
        <v>Controlling &amp; Corrective Action</v>
      </c>
      <c r="C508" t="str">
        <v>Analyst</v>
      </c>
      <c r="D508" s="76">
        <v>2</v>
      </c>
      <c r="E508" t="str" cm="1">
        <f t="array" ref="E508">INDEX(aspek!$D$2:$D$337,
   MATCH(1,(aspek!$A$2:$A$337=B508)*
           (aspek!$B$2:$B$337=C508)*
           (aspek!$C$2:$C$337=D508),0))</f>
        <v>Penggunaan metrik keberhasilan</v>
      </c>
      <c r="F508" s="76">
        <v>2</v>
      </c>
      <c r="G508" s="56" t="str" cm="1">
        <f t="array" ref="G508">INDEX(deskripsi!$D$2:$H$337,
   MATCH(1,(deskripsi!$A$2:$A$337=B508)*
           (deskripsi!$B$2:$B$337=C508)*
           (deskripsi!$C$2:$C$337=D508),0),
   F508)</f>
        <v>Mengukur keberhasilan dari selesainya aktivitas.</v>
      </c>
    </row>
    <row r="509" spans="1:7">
      <c r="A509" t="str">
        <f t="shared" si="7"/>
        <v>Controlling &amp; Corrective Action|Analyst|2|3</v>
      </c>
      <c r="B509" t="str">
        <v>Controlling &amp; Corrective Action</v>
      </c>
      <c r="C509" t="str">
        <v>Analyst</v>
      </c>
      <c r="D509" s="76">
        <v>2</v>
      </c>
      <c r="E509" t="str" cm="1">
        <f t="array" ref="E509">INDEX(aspek!$D$2:$D$337,
   MATCH(1,(aspek!$A$2:$A$337=B509)*
           (aspek!$B$2:$B$337=C509)*
           (aspek!$C$2:$C$337=D509),0))</f>
        <v>Penggunaan metrik keberhasilan</v>
      </c>
      <c r="F509" s="76">
        <v>3</v>
      </c>
      <c r="G509" s="56" t="str" cm="1">
        <f t="array" ref="G509">INDEX(deskripsi!$D$2:$H$337,
   MATCH(1,(deskripsi!$A$2:$A$337=B509)*
           (deskripsi!$B$2:$B$337=C509)*
           (deskripsi!$C$2:$C$337=D509),0),
   F509)</f>
        <v>Menetapkan target angka untuk pekerjaannya.</v>
      </c>
    </row>
    <row r="510" spans="1:7">
      <c r="A510" t="str">
        <f t="shared" si="7"/>
        <v>Controlling &amp; Corrective Action|Analyst|2|4</v>
      </c>
      <c r="B510" t="str">
        <v>Controlling &amp; Corrective Action</v>
      </c>
      <c r="C510" t="str">
        <v>Analyst</v>
      </c>
      <c r="D510" s="76">
        <v>2</v>
      </c>
      <c r="E510" t="str" cm="1">
        <f t="array" ref="E510">INDEX(aspek!$D$2:$D$337,
   MATCH(1,(aspek!$A$2:$A$337=B510)*
           (aspek!$B$2:$B$337=C510)*
           (aspek!$C$2:$C$337=D510),0))</f>
        <v>Penggunaan metrik keberhasilan</v>
      </c>
      <c r="F510" s="76">
        <v>4</v>
      </c>
      <c r="G510" s="56" t="str" cm="1">
        <f t="array" ref="G510">INDEX(deskripsi!$D$2:$H$337,
   MATCH(1,(deskripsi!$A$2:$A$337=B510)*
           (deskripsi!$B$2:$B$337=C510)*
           (deskripsi!$C$2:$C$337=D510),0),
   F510)</f>
        <v>Menetapkan metrik dampak SEBELUM mengerjakan, dan mengukurnya secara jujur setelah selesai.</v>
      </c>
    </row>
    <row r="511" spans="1:7">
      <c r="A511" t="str">
        <f t="shared" si="7"/>
        <v>Controlling &amp; Corrective Action|Analyst|2|5</v>
      </c>
      <c r="B511" t="str">
        <v>Controlling &amp; Corrective Action</v>
      </c>
      <c r="C511" t="str">
        <v>Analyst</v>
      </c>
      <c r="D511" s="76">
        <v>2</v>
      </c>
      <c r="E511" t="str" cm="1">
        <f t="array" ref="E511">INDEX(aspek!$D$2:$D$337,
   MATCH(1,(aspek!$A$2:$A$337=B511)*
           (aspek!$B$2:$B$337=C511)*
           (aspek!$C$2:$C$337=D511),0))</f>
        <v>Penggunaan metrik keberhasilan</v>
      </c>
      <c r="F511" s="76">
        <v>5</v>
      </c>
      <c r="G511" s="56" t="str" cm="1">
        <f t="array" ref="G511">INDEX(deskripsi!$D$2:$H$337,
   MATCH(1,(deskripsi!$A$2:$A$337=B511)*
           (deskripsi!$B$2:$B$337=C511)*
           (deskripsi!$C$2:$C$337=D511),0),
   F511)</f>
        <v>Metrik yang ia susun dipakai untuk menilai pekerjaan sejenis di unit lain.</v>
      </c>
    </row>
    <row r="512" spans="1:7">
      <c r="A512" t="str">
        <f t="shared" si="7"/>
        <v>Controlling &amp; Corrective Action|Analyst|3|1</v>
      </c>
      <c r="B512" t="str">
        <v>Controlling &amp; Corrective Action</v>
      </c>
      <c r="C512" t="str">
        <v>Analyst</v>
      </c>
      <c r="D512" s="76">
        <v>3</v>
      </c>
      <c r="E512" t="str" cm="1">
        <f t="array" ref="E512">INDEX(aspek!$D$2:$D$337,
   MATCH(1,(aspek!$A$2:$A$337=B512)*
           (aspek!$B$2:$B$337=C512)*
           (aspek!$C$2:$C$337=D512),0))</f>
        <v>Penyesuaian proses saat hambatan</v>
      </c>
      <c r="F512" s="76">
        <v>1</v>
      </c>
      <c r="G512" s="56" t="str" cm="1">
        <f t="array" ref="G512">INDEX(deskripsi!$D$2:$H$337,
   MATCH(1,(deskripsi!$A$2:$A$337=B512)*
           (deskripsi!$B$2:$B$337=C512)*
           (deskripsi!$C$2:$C$337=D512),0),
   F512)</f>
        <v>Berhenti atau menyerah ketika cara biasa tidak membawa hasil.</v>
      </c>
    </row>
    <row r="513" spans="1:7">
      <c r="A513" t="str">
        <f t="shared" si="7"/>
        <v>Controlling &amp; Corrective Action|Analyst|3|2</v>
      </c>
      <c r="B513" t="str">
        <v>Controlling &amp; Corrective Action</v>
      </c>
      <c r="C513" t="str">
        <v>Analyst</v>
      </c>
      <c r="D513" s="76">
        <v>3</v>
      </c>
      <c r="E513" t="str" cm="1">
        <f t="array" ref="E513">INDEX(aspek!$D$2:$D$337,
   MATCH(1,(aspek!$A$2:$A$337=B513)*
           (aspek!$B$2:$B$337=C513)*
           (aspek!$C$2:$C$337=D513),0))</f>
        <v>Penyesuaian proses saat hambatan</v>
      </c>
      <c r="F513" s="76">
        <v>2</v>
      </c>
      <c r="G513" s="56" t="str" cm="1">
        <f t="array" ref="G513">INDEX(deskripsi!$D$2:$H$337,
   MATCH(1,(deskripsi!$A$2:$A$337=B513)*
           (deskripsi!$B$2:$B$337=C513)*
           (deskripsi!$C$2:$C$337=D513),0),
   F513)</f>
        <v>Tetap mengikuti prosedur meski hasilnya jelas tidak akan tercapai.</v>
      </c>
    </row>
    <row r="514" spans="1:7">
      <c r="A514" t="str">
        <f t="shared" si="7"/>
        <v>Controlling &amp; Corrective Action|Analyst|3|3</v>
      </c>
      <c r="B514" t="str">
        <v>Controlling &amp; Corrective Action</v>
      </c>
      <c r="C514" t="str">
        <v>Analyst</v>
      </c>
      <c r="D514" s="76">
        <v>3</v>
      </c>
      <c r="E514" t="str" cm="1">
        <f t="array" ref="E514">INDEX(aspek!$D$2:$D$337,
   MATCH(1,(aspek!$A$2:$A$337=B514)*
           (aspek!$B$2:$B$337=C514)*
           (aspek!$C$2:$C$337=D514),0))</f>
        <v>Penyesuaian proses saat hambatan</v>
      </c>
      <c r="F514" s="76">
        <v>3</v>
      </c>
      <c r="G514" s="56" t="str" cm="1">
        <f t="array" ref="G514">INDEX(deskripsi!$D$2:$H$337,
   MATCH(1,(deskripsi!$A$2:$A$337=B514)*
           (deskripsi!$B$2:$B$337=C514)*
           (deskripsi!$C$2:$C$337=D514),0),
   F514)</f>
        <v>Mencoba cara lain ketika diminta atau ketika sudah sangat terdesak.</v>
      </c>
    </row>
    <row r="515" spans="1:7">
      <c r="A515" t="str">
        <f t="shared" ref="A515:A578" si="8">B515&amp;"|"&amp;C515&amp;"|"&amp;D515&amp;"|"&amp;F515</f>
        <v>Controlling &amp; Corrective Action|Analyst|3|4</v>
      </c>
      <c r="B515" t="str">
        <v>Controlling &amp; Corrective Action</v>
      </c>
      <c r="C515" t="str">
        <v>Analyst</v>
      </c>
      <c r="D515" s="76">
        <v>3</v>
      </c>
      <c r="E515" t="str" cm="1">
        <f t="array" ref="E515">INDEX(aspek!$D$2:$D$337,
   MATCH(1,(aspek!$A$2:$A$337=B515)*
           (aspek!$B$2:$B$337=C515)*
           (aspek!$C$2:$C$337=D515),0))</f>
        <v>Penyesuaian proses saat hambatan</v>
      </c>
      <c r="F515" s="76">
        <v>4</v>
      </c>
      <c r="G515" s="56" t="str" cm="1">
        <f t="array" ref="G515">INDEX(deskripsi!$D$2:$H$337,
   MATCH(1,(deskripsi!$A$2:$A$337=B515)*
           (deskripsi!$B$2:$B$337=C515)*
           (deskripsi!$C$2:$C$337=D515),0),
   F515)</f>
        <v>Menyesuaikan proses begitu menyadari cara biasa tidak akan membawa ke tujuan akhir, tanpa melanggar batas yang penting.</v>
      </c>
    </row>
    <row r="516" spans="1:7">
      <c r="A516" t="str">
        <f t="shared" si="8"/>
        <v>Controlling &amp; Corrective Action|Analyst|3|5</v>
      </c>
      <c r="B516" t="str">
        <v>Controlling &amp; Corrective Action</v>
      </c>
      <c r="C516" t="str">
        <v>Analyst</v>
      </c>
      <c r="D516" s="76">
        <v>3</v>
      </c>
      <c r="E516" t="str" cm="1">
        <f t="array" ref="E516">INDEX(aspek!$D$2:$D$337,
   MATCH(1,(aspek!$A$2:$A$337=B516)*
           (aspek!$B$2:$B$337=C516)*
           (aspek!$C$2:$C$337=D516),0))</f>
        <v>Penyesuaian proses saat hambatan</v>
      </c>
      <c r="F516" s="76">
        <v>5</v>
      </c>
      <c r="G516" s="56" t="str" cm="1">
        <f t="array" ref="G516">INDEX(deskripsi!$D$2:$H$337,
   MATCH(1,(deskripsi!$A$2:$A$337=B516)*
           (deskripsi!$B$2:$B$337=C516)*
           (deskripsi!$C$2:$C$337=D516),0),
   F516)</f>
        <v>Penyesuaiannya menjadi cara baru yang dipakai untuk pekerjaan sejenis berikutnya.</v>
      </c>
    </row>
    <row r="517" spans="1:7">
      <c r="A517" t="str">
        <f t="shared" si="8"/>
        <v>Controlling &amp; Corrective Action|Analyst|4|1</v>
      </c>
      <c r="B517" t="str">
        <v>Controlling &amp; Corrective Action</v>
      </c>
      <c r="C517" t="str">
        <v>Analyst</v>
      </c>
      <c r="D517" s="76">
        <v>4</v>
      </c>
      <c r="E517" t="str" cm="1">
        <f t="array" ref="E517">INDEX(aspek!$D$2:$D$337,
   MATCH(1,(aspek!$A$2:$A$337=B517)*
           (aspek!$B$2:$B$337=C517)*
           (aspek!$C$2:$C$337=D517),0))</f>
        <v>Nilai bagi penerima manfaat</v>
      </c>
      <c r="F517" s="76">
        <v>1</v>
      </c>
      <c r="G517" s="56" t="str" cm="1">
        <f t="array" ref="G517">INDEX(deskripsi!$D$2:$H$337,
   MATCH(1,(deskripsi!$A$2:$A$337=B517)*
           (deskripsi!$B$2:$B$337=C517)*
           (deskripsi!$C$2:$C$337=D517),0),
   F517)</f>
        <v>Tidak mengetahui atau memikirkan siapa yang menerima manfaat.</v>
      </c>
    </row>
    <row r="518" spans="1:7">
      <c r="A518" t="str">
        <f t="shared" si="8"/>
        <v>Controlling &amp; Corrective Action|Analyst|4|2</v>
      </c>
      <c r="B518" t="str">
        <v>Controlling &amp; Corrective Action</v>
      </c>
      <c r="C518" t="str">
        <v>Analyst</v>
      </c>
      <c r="D518" s="76">
        <v>4</v>
      </c>
      <c r="E518" t="str" cm="1">
        <f t="array" ref="E518">INDEX(aspek!$D$2:$D$337,
   MATCH(1,(aspek!$A$2:$A$337=B518)*
           (aspek!$B$2:$B$337=C518)*
           (aspek!$C$2:$C$337=D518),0))</f>
        <v>Nilai bagi penerima manfaat</v>
      </c>
      <c r="F518" s="76">
        <v>2</v>
      </c>
      <c r="G518" s="56" t="str" cm="1">
        <f t="array" ref="G518">INDEX(deskripsi!$D$2:$H$337,
   MATCH(1,(deskripsi!$A$2:$A$337=B518)*
           (deskripsi!$B$2:$B$337=C518)*
           (deskripsi!$C$2:$C$337=D518),0),
   F518)</f>
        <v>Mengetahui penerima manfaatnya, tetapi tidak memeriksa apakah mereka terbantu.</v>
      </c>
    </row>
    <row r="519" spans="1:7">
      <c r="A519" t="str">
        <f t="shared" si="8"/>
        <v>Controlling &amp; Corrective Action|Analyst|4|3</v>
      </c>
      <c r="B519" t="str">
        <v>Controlling &amp; Corrective Action</v>
      </c>
      <c r="C519" t="str">
        <v>Analyst</v>
      </c>
      <c r="D519" s="76">
        <v>4</v>
      </c>
      <c r="E519" t="str" cm="1">
        <f t="array" ref="E519">INDEX(aspek!$D$2:$D$337,
   MATCH(1,(aspek!$A$2:$A$337=B519)*
           (aspek!$B$2:$B$337=C519)*
           (aspek!$C$2:$C$337=D519),0))</f>
        <v>Nilai bagi penerima manfaat</v>
      </c>
      <c r="F519" s="76">
        <v>3</v>
      </c>
      <c r="G519" s="56" t="str" cm="1">
        <f t="array" ref="G519">INDEX(deskripsi!$D$2:$H$337,
   MATCH(1,(deskripsi!$A$2:$A$337=B519)*
           (deskripsi!$B$2:$B$337=C519)*
           (deskripsi!$C$2:$C$337=D519),0),
   F519)</f>
        <v>Sesekali menanyakan kepada penerima manfaat apakah hasilnya berguna.</v>
      </c>
    </row>
    <row r="520" spans="1:7">
      <c r="A520" t="str">
        <f t="shared" si="8"/>
        <v>Controlling &amp; Corrective Action|Analyst|4|4</v>
      </c>
      <c r="B520" t="str">
        <v>Controlling &amp; Corrective Action</v>
      </c>
      <c r="C520" t="str">
        <v>Analyst</v>
      </c>
      <c r="D520" s="76">
        <v>4</v>
      </c>
      <c r="E520" t="str" cm="1">
        <f t="array" ref="E520">INDEX(aspek!$D$2:$D$337,
   MATCH(1,(aspek!$A$2:$A$337=B520)*
           (aspek!$B$2:$B$337=C520)*
           (aspek!$C$2:$C$337=D520),0))</f>
        <v>Nilai bagi penerima manfaat</v>
      </c>
      <c r="F520" s="76">
        <v>4</v>
      </c>
      <c r="G520" s="56" t="str" cm="1">
        <f t="array" ref="G520">INDEX(deskripsi!$D$2:$H$337,
   MATCH(1,(deskripsi!$A$2:$A$337=B520)*
           (deskripsi!$B$2:$B$337=C520)*
           (deskripsi!$C$2:$C$337=D520),0),
   F520)</f>
        <v>Secara rutin memeriksa dampak kepada penerima manfaat dan menyesuaikan pekerjaan berdasarkan itu.</v>
      </c>
    </row>
    <row r="521" spans="1:7">
      <c r="A521" t="str">
        <f t="shared" si="8"/>
        <v>Controlling &amp; Corrective Action|Analyst|4|5</v>
      </c>
      <c r="B521" t="str">
        <v>Controlling &amp; Corrective Action</v>
      </c>
      <c r="C521" t="str">
        <v>Analyst</v>
      </c>
      <c r="D521" s="76">
        <v>4</v>
      </c>
      <c r="E521" t="str" cm="1">
        <f t="array" ref="E521">INDEX(aspek!$D$2:$D$337,
   MATCH(1,(aspek!$A$2:$A$337=B521)*
           (aspek!$B$2:$B$337=C521)*
           (aspek!$C$2:$C$337=D521),0))</f>
        <v>Nilai bagi penerima manfaat</v>
      </c>
      <c r="F521" s="76">
        <v>5</v>
      </c>
      <c r="G521" s="56" t="str" cm="1">
        <f t="array" ref="G521">INDEX(deskripsi!$D$2:$H$337,
   MATCH(1,(deskripsi!$A$2:$A$337=B521)*
           (deskripsi!$B$2:$B$337=C521)*
           (deskripsi!$C$2:$C$337=D521),0),
   F521)</f>
        <v>Penerima manfaat mencarinya secara khusus karena hasil kerjanya konsisten memberi nilai.</v>
      </c>
    </row>
    <row r="522" spans="1:7">
      <c r="A522" t="str">
        <f t="shared" si="8"/>
        <v>Controlling &amp; Corrective Action|Unit Head/Specialist|1|1</v>
      </c>
      <c r="B522" t="str">
        <v>Controlling &amp; Corrective Action</v>
      </c>
      <c r="C522" t="str">
        <v>Unit Head/Specialist</v>
      </c>
      <c r="D522" s="76">
        <v>1</v>
      </c>
      <c r="E522" t="str" cm="1">
        <f t="array" ref="E522">INDEX(aspek!$D$2:$D$337,
   MATCH(1,(aspek!$A$2:$A$337=B522)*
           (aspek!$B$2:$B$337=C522)*
           (aspek!$C$2:$C$337=D522),0))</f>
        <v>Kesadaran atas hasil</v>
      </c>
      <c r="F522" s="76">
        <v>1</v>
      </c>
      <c r="G522" s="56" t="str" cm="1">
        <f t="array" ref="G522">INDEX(deskripsi!$D$2:$H$337,
   MATCH(1,(deskripsi!$A$2:$A$337=B522)*
           (deskripsi!$B$2:$B$337=C522)*
           (deskripsi!$C$2:$C$337=D522),0),
   F522)</f>
        <v>Tidak merefleksikan hasil kerja sama sekali; berlanjut ke tugas berikutnya.</v>
      </c>
    </row>
    <row r="523" spans="1:7">
      <c r="A523" t="str">
        <f t="shared" si="8"/>
        <v>Controlling &amp; Corrective Action|Unit Head/Specialist|1|2</v>
      </c>
      <c r="B523" t="str">
        <v>Controlling &amp; Corrective Action</v>
      </c>
      <c r="C523" t="str">
        <v>Unit Head/Specialist</v>
      </c>
      <c r="D523" s="76">
        <v>1</v>
      </c>
      <c r="E523" t="str" cm="1">
        <f t="array" ref="E523">INDEX(aspek!$D$2:$D$337,
   MATCH(1,(aspek!$A$2:$A$337=B523)*
           (aspek!$B$2:$B$337=C523)*
           (aspek!$C$2:$C$337=D523),0))</f>
        <v>Kesadaran atas hasil</v>
      </c>
      <c r="F523" s="76">
        <v>2</v>
      </c>
      <c r="G523" s="56" t="str" cm="1">
        <f t="array" ref="G523">INDEX(deskripsi!$D$2:$H$337,
   MATCH(1,(deskripsi!$A$2:$A$337=B523)*
           (deskripsi!$B$2:$B$337=C523)*
           (deskripsi!$C$2:$C$337=D523),0),
   F523)</f>
        <v>Menyadari hasilnya baik atau buruk, tetapi tidak menelusuri sebabnya.</v>
      </c>
    </row>
    <row r="524" spans="1:7">
      <c r="A524" t="str">
        <f t="shared" si="8"/>
        <v>Controlling &amp; Corrective Action|Unit Head/Specialist|1|3</v>
      </c>
      <c r="B524" t="str">
        <v>Controlling &amp; Corrective Action</v>
      </c>
      <c r="C524" t="str">
        <v>Unit Head/Specialist</v>
      </c>
      <c r="D524" s="76">
        <v>1</v>
      </c>
      <c r="E524" t="str" cm="1">
        <f t="array" ref="E524">INDEX(aspek!$D$2:$D$337,
   MATCH(1,(aspek!$A$2:$A$337=B524)*
           (aspek!$B$2:$B$337=C524)*
           (aspek!$C$2:$C$337=D524),0))</f>
        <v>Kesadaran atas hasil</v>
      </c>
      <c r="F524" s="76">
        <v>3</v>
      </c>
      <c r="G524" s="56" t="str" cm="1">
        <f t="array" ref="G524">INDEX(deskripsi!$D$2:$H$337,
   MATCH(1,(deskripsi!$A$2:$A$337=B524)*
           (deskripsi!$B$2:$B$337=C524)*
           (deskripsi!$C$2:$C$337=D524),0),
   F524)</f>
        <v>Menelusuri sebab hasil yang meleset pada pekerjaannya sendiri.</v>
      </c>
    </row>
    <row r="525" spans="1:7">
      <c r="A525" t="str">
        <f t="shared" si="8"/>
        <v>Controlling &amp; Corrective Action|Unit Head/Specialist|1|4</v>
      </c>
      <c r="B525" t="str">
        <v>Controlling &amp; Corrective Action</v>
      </c>
      <c r="C525" t="str">
        <v>Unit Head/Specialist</v>
      </c>
      <c r="D525" s="76">
        <v>1</v>
      </c>
      <c r="E525" t="str" cm="1">
        <f t="array" ref="E525">INDEX(aspek!$D$2:$D$337,
   MATCH(1,(aspek!$A$2:$A$337=B525)*
           (aspek!$B$2:$B$337=C525)*
           (aspek!$C$2:$C$337=D525),0))</f>
        <v>Kesadaran atas hasil</v>
      </c>
      <c r="F525" s="76">
        <v>4</v>
      </c>
      <c r="G525" s="56" t="str" cm="1">
        <f t="array" ref="G525">INDEX(deskripsi!$D$2:$H$337,
   MATCH(1,(deskripsi!$A$2:$A$337=B525)*
           (deskripsi!$B$2:$B$337=C525)*
           (deskripsi!$C$2:$C$337=D525),0),
   F525)</f>
        <v>Menelusuri sebab hasil pada tingkat tim, termasuk hasil yang dianggap sudah cukup baik.</v>
      </c>
    </row>
    <row r="526" spans="1:7">
      <c r="A526" t="str">
        <f t="shared" si="8"/>
        <v>Controlling &amp; Corrective Action|Unit Head/Specialist|1|5</v>
      </c>
      <c r="B526" t="str">
        <v>Controlling &amp; Corrective Action</v>
      </c>
      <c r="C526" t="str">
        <v>Unit Head/Specialist</v>
      </c>
      <c r="D526" s="76">
        <v>1</v>
      </c>
      <c r="E526" t="str" cm="1">
        <f t="array" ref="E526">INDEX(aspek!$D$2:$D$337,
   MATCH(1,(aspek!$A$2:$A$337=B526)*
           (aspek!$B$2:$B$337=C526)*
           (aspek!$C$2:$C$337=D526),0))</f>
        <v>Kesadaran atas hasil</v>
      </c>
      <c r="F526" s="76">
        <v>5</v>
      </c>
      <c r="G526" s="56" t="str" cm="1">
        <f t="array" ref="G526">INDEX(deskripsi!$D$2:$H$337,
   MATCH(1,(deskripsi!$A$2:$A$337=B526)*
           (deskripsi!$B$2:$B$337=C526)*
           (deskripsi!$C$2:$C$337=D526),0),
   F526)</f>
        <v>Menjadi rujukan tim ketika ingin memahami mengapa sesuatu berhasil atau gagal.</v>
      </c>
    </row>
    <row r="527" spans="1:7">
      <c r="A527" t="str">
        <f t="shared" si="8"/>
        <v>Controlling &amp; Corrective Action|Unit Head/Specialist|2|1</v>
      </c>
      <c r="B527" t="str">
        <v>Controlling &amp; Corrective Action</v>
      </c>
      <c r="C527" t="str">
        <v>Unit Head/Specialist</v>
      </c>
      <c r="D527" s="76">
        <v>2</v>
      </c>
      <c r="E527" t="str" cm="1">
        <f t="array" ref="E527">INDEX(aspek!$D$2:$D$337,
   MATCH(1,(aspek!$A$2:$A$337=B527)*
           (aspek!$B$2:$B$337=C527)*
           (aspek!$C$2:$C$337=D527),0))</f>
        <v>Refleksi berujung tindakan</v>
      </c>
      <c r="F527" s="76">
        <v>1</v>
      </c>
      <c r="G527" s="56" t="str" cm="1">
        <f t="array" ref="G527">INDEX(deskripsi!$D$2:$H$337,
   MATCH(1,(deskripsi!$A$2:$A$337=B527)*
           (deskripsi!$B$2:$B$337=C527)*
           (deskripsi!$C$2:$C$337=D527),0),
   F527)</f>
        <v>Tidak menarik pelajaran apa pun dari hasil kerja.</v>
      </c>
    </row>
    <row r="528" spans="1:7">
      <c r="A528" t="str">
        <f t="shared" si="8"/>
        <v>Controlling &amp; Corrective Action|Unit Head/Specialist|2|2</v>
      </c>
      <c r="B528" t="str">
        <v>Controlling &amp; Corrective Action</v>
      </c>
      <c r="C528" t="str">
        <v>Unit Head/Specialist</v>
      </c>
      <c r="D528" s="76">
        <v>2</v>
      </c>
      <c r="E528" t="str" cm="1">
        <f t="array" ref="E528">INDEX(aspek!$D$2:$D$337,
   MATCH(1,(aspek!$A$2:$A$337=B528)*
           (aspek!$B$2:$B$337=C528)*
           (aspek!$C$2:$C$337=D528),0))</f>
        <v>Refleksi berujung tindakan</v>
      </c>
      <c r="F528" s="76">
        <v>2</v>
      </c>
      <c r="G528" s="56" t="str" cm="1">
        <f t="array" ref="G528">INDEX(deskripsi!$D$2:$H$337,
   MATCH(1,(deskripsi!$A$2:$A$337=B528)*
           (deskripsi!$B$2:$B$337=C528)*
           (deskripsi!$C$2:$C$337=D528),0),
   F528)</f>
        <v>Menarik pelajaran, tetapi berhenti sebagai kesadaran — tidak ada tindakan yang berubah.</v>
      </c>
    </row>
    <row r="529" spans="1:7">
      <c r="A529" t="str">
        <f t="shared" si="8"/>
        <v>Controlling &amp; Corrective Action|Unit Head/Specialist|2|3</v>
      </c>
      <c r="B529" t="str">
        <v>Controlling &amp; Corrective Action</v>
      </c>
      <c r="C529" t="str">
        <v>Unit Head/Specialist</v>
      </c>
      <c r="D529" s="76">
        <v>2</v>
      </c>
      <c r="E529" t="str" cm="1">
        <f t="array" ref="E529">INDEX(aspek!$D$2:$D$337,
   MATCH(1,(aspek!$A$2:$A$337=B529)*
           (aspek!$B$2:$B$337=C529)*
           (aspek!$C$2:$C$337=D529),0))</f>
        <v>Refleksi berujung tindakan</v>
      </c>
      <c r="F529" s="76">
        <v>3</v>
      </c>
      <c r="G529" s="56" t="str" cm="1">
        <f t="array" ref="G529">INDEX(deskripsi!$D$2:$H$337,
   MATCH(1,(deskripsi!$A$2:$A$337=B529)*
           (deskripsi!$B$2:$B$337=C529)*
           (deskripsi!$C$2:$C$337=D529),0),
   F529)</f>
        <v>Menetapkan tindakan perbaikan, tetapi tidak selalu diterapkan pada kesempatan berikutnya.</v>
      </c>
    </row>
    <row r="530" spans="1:7">
      <c r="A530" t="str">
        <f t="shared" si="8"/>
        <v>Controlling &amp; Corrective Action|Unit Head/Specialist|2|4</v>
      </c>
      <c r="B530" t="str">
        <v>Controlling &amp; Corrective Action</v>
      </c>
      <c r="C530" t="str">
        <v>Unit Head/Specialist</v>
      </c>
      <c r="D530" s="76">
        <v>2</v>
      </c>
      <c r="E530" t="str" cm="1">
        <f t="array" ref="E530">INDEX(aspek!$D$2:$D$337,
   MATCH(1,(aspek!$A$2:$A$337=B530)*
           (aspek!$B$2:$B$337=C530)*
           (aspek!$C$2:$C$337=D530),0))</f>
        <v>Refleksi berujung tindakan</v>
      </c>
      <c r="F530" s="76">
        <v>4</v>
      </c>
      <c r="G530" s="56" t="str" cm="1">
        <f t="array" ref="G530">INDEX(deskripsi!$D$2:$H$337,
   MATCH(1,(deskripsi!$A$2:$A$337=B530)*
           (deskripsi!$B$2:$B$337=C530)*
           (deskripsi!$C$2:$C$337=D530),0),
   F530)</f>
        <v>Pelajaran yang ditarik secara konsisten diubah menjadi tindakan yang benar-benar dijalankan, dengan bukti hasilnya membaik.</v>
      </c>
    </row>
    <row r="531" spans="1:7">
      <c r="A531" t="str">
        <f t="shared" si="8"/>
        <v>Controlling &amp; Corrective Action|Unit Head/Specialist|2|5</v>
      </c>
      <c r="B531" t="str">
        <v>Controlling &amp; Corrective Action</v>
      </c>
      <c r="C531" t="str">
        <v>Unit Head/Specialist</v>
      </c>
      <c r="D531" s="76">
        <v>2</v>
      </c>
      <c r="E531" t="str" cm="1">
        <f t="array" ref="E531">INDEX(aspek!$D$2:$D$337,
   MATCH(1,(aspek!$A$2:$A$337=B531)*
           (aspek!$B$2:$B$337=C531)*
           (aspek!$C$2:$C$337=D531),0))</f>
        <v>Refleksi berujung tindakan</v>
      </c>
      <c r="F531" s="76">
        <v>5</v>
      </c>
      <c r="G531" s="56" t="str" cm="1">
        <f t="array" ref="G531">INDEX(deskripsi!$D$2:$H$337,
   MATCH(1,(deskripsi!$A$2:$A$337=B531)*
           (deskripsi!$B$2:$B$337=C531)*
           (deskripsi!$C$2:$C$337=D531),0),
   F531)</f>
        <v>Tindakan perbaikannya menjadi kebiasaan baku yang dijalankan tanpa perlu diingatkan.</v>
      </c>
    </row>
    <row r="532" spans="1:7">
      <c r="A532" t="str">
        <f t="shared" si="8"/>
        <v>Controlling &amp; Corrective Action|Unit Head/Specialist|3|1</v>
      </c>
      <c r="B532" t="str">
        <v>Controlling &amp; Corrective Action</v>
      </c>
      <c r="C532" t="str">
        <v>Unit Head/Specialist</v>
      </c>
      <c r="D532" s="76">
        <v>3</v>
      </c>
      <c r="E532" t="str" cm="1">
        <f t="array" ref="E532">INDEX(aspek!$D$2:$D$337,
   MATCH(1,(aspek!$A$2:$A$337=B532)*
           (aspek!$B$2:$B$337=C532)*
           (aspek!$C$2:$C$337=D532),0))</f>
        <v>Pembelajaran kolektif tanpa kambing hitam</v>
      </c>
      <c r="F532" s="76">
        <v>1</v>
      </c>
      <c r="G532" s="56" t="str" cm="1">
        <f t="array" ref="G532">INDEX(deskripsi!$D$2:$H$337,
   MATCH(1,(deskripsi!$A$2:$A$337=B532)*
           (deskripsi!$B$2:$B$337=C532)*
           (deskripsi!$C$2:$C$337=D532),0),
   F532)</f>
        <v>Kegagalan tim dibahas dengan mencari siapa yang salah.</v>
      </c>
    </row>
    <row r="533" spans="1:7">
      <c r="A533" t="str">
        <f t="shared" si="8"/>
        <v>Controlling &amp; Corrective Action|Unit Head/Specialist|3|2</v>
      </c>
      <c r="B533" t="str">
        <v>Controlling &amp; Corrective Action</v>
      </c>
      <c r="C533" t="str">
        <v>Unit Head/Specialist</v>
      </c>
      <c r="D533" s="76">
        <v>3</v>
      </c>
      <c r="E533" t="str" cm="1">
        <f t="array" ref="E533">INDEX(aspek!$D$2:$D$337,
   MATCH(1,(aspek!$A$2:$A$337=B533)*
           (aspek!$B$2:$B$337=C533)*
           (aspek!$C$2:$C$337=D533),0))</f>
        <v>Pembelajaran kolektif tanpa kambing hitam</v>
      </c>
      <c r="F533" s="76">
        <v>2</v>
      </c>
      <c r="G533" s="56" t="str" cm="1">
        <f t="array" ref="G533">INDEX(deskripsi!$D$2:$H$337,
   MATCH(1,(deskripsi!$A$2:$A$337=B533)*
           (deskripsi!$B$2:$B$337=C533)*
           (deskripsi!$C$2:$C$337=D533),0),
   F533)</f>
        <v>Kegagalan dibahas, tetapi anggota tim menahan diri karena takut disalahkan.</v>
      </c>
    </row>
    <row r="534" spans="1:7">
      <c r="A534" t="str">
        <f t="shared" si="8"/>
        <v>Controlling &amp; Corrective Action|Unit Head/Specialist|3|3</v>
      </c>
      <c r="B534" t="str">
        <v>Controlling &amp; Corrective Action</v>
      </c>
      <c r="C534" t="str">
        <v>Unit Head/Specialist</v>
      </c>
      <c r="D534" s="76">
        <v>3</v>
      </c>
      <c r="E534" t="str" cm="1">
        <f t="array" ref="E534">INDEX(aspek!$D$2:$D$337,
   MATCH(1,(aspek!$A$2:$A$337=B534)*
           (aspek!$B$2:$B$337=C534)*
           (aspek!$C$2:$C$337=D534),0))</f>
        <v>Pembelajaran kolektif tanpa kambing hitam</v>
      </c>
      <c r="F534" s="76">
        <v>3</v>
      </c>
      <c r="G534" s="56" t="str" cm="1">
        <f t="array" ref="G534">INDEX(deskripsi!$D$2:$H$337,
   MATCH(1,(deskripsi!$A$2:$A$337=B534)*
           (deskripsi!$B$2:$B$337=C534)*
           (deskripsi!$C$2:$C$337=D534),0),
   F534)</f>
        <v>Membahas kegagalan tim secara terbuka pada kasus yang tidak terlalu sensitif.</v>
      </c>
    </row>
    <row r="535" spans="1:7">
      <c r="A535" t="str">
        <f t="shared" si="8"/>
        <v>Controlling &amp; Corrective Action|Unit Head/Specialist|3|4</v>
      </c>
      <c r="B535" t="str">
        <v>Controlling &amp; Corrective Action</v>
      </c>
      <c r="C535" t="str">
        <v>Unit Head/Specialist</v>
      </c>
      <c r="D535" s="76">
        <v>3</v>
      </c>
      <c r="E535" t="str" cm="1">
        <f t="array" ref="E535">INDEX(aspek!$D$2:$D$337,
   MATCH(1,(aspek!$A$2:$A$337=B535)*
           (aspek!$B$2:$B$337=C535)*
           (aspek!$C$2:$C$337=D535),0))</f>
        <v>Pembelajaran kolektif tanpa kambing hitam</v>
      </c>
      <c r="F535" s="76">
        <v>4</v>
      </c>
      <c r="G535" s="56" t="str" cm="1">
        <f t="array" ref="G535">INDEX(deskripsi!$D$2:$H$337,
   MATCH(1,(deskripsi!$A$2:$A$337=B535)*
           (deskripsi!$B$2:$B$337=C535)*
           (deskripsi!$C$2:$C$337=D535),0),
   F535)</f>
        <v>Memimpin pembahasan kegagalan tim secara terbuka termasuk pada kasus yang signifikan, tanpa mencari kambing hitam, dan tim merasa aman mengakui kesalahan.</v>
      </c>
    </row>
    <row r="536" spans="1:7">
      <c r="A536" t="str">
        <f t="shared" si="8"/>
        <v>Controlling &amp; Corrective Action|Unit Head/Specialist|3|5</v>
      </c>
      <c r="B536" t="str">
        <v>Controlling &amp; Corrective Action</v>
      </c>
      <c r="C536" t="str">
        <v>Unit Head/Specialist</v>
      </c>
      <c r="D536" s="76">
        <v>3</v>
      </c>
      <c r="E536" t="str" cm="1">
        <f t="array" ref="E536">INDEX(aspek!$D$2:$D$337,
   MATCH(1,(aspek!$A$2:$A$337=B536)*
           (aspek!$B$2:$B$337=C536)*
           (aspek!$C$2:$C$337=D536),0))</f>
        <v>Pembelajaran kolektif tanpa kambing hitam</v>
      </c>
      <c r="F536" s="76">
        <v>5</v>
      </c>
      <c r="G536" s="56" t="str" cm="1">
        <f t="array" ref="G536">INDEX(deskripsi!$D$2:$H$337,
   MATCH(1,(deskripsi!$A$2:$A$337=B536)*
           (deskripsi!$B$2:$B$337=C536)*
           (deskripsi!$C$2:$C$337=D536),0),
   F536)</f>
        <v>Tim secara mandiri membahas kegagalan mereka secara terbuka tanpa perlu dipimpin.</v>
      </c>
    </row>
    <row r="537" spans="1:7">
      <c r="A537" t="str">
        <f t="shared" si="8"/>
        <v>Controlling &amp; Corrective Action|Unit Head/Specialist|4|1</v>
      </c>
      <c r="B537" t="str">
        <v>Controlling &amp; Corrective Action</v>
      </c>
      <c r="C537" t="str">
        <v>Unit Head/Specialist</v>
      </c>
      <c r="D537" s="76">
        <v>4</v>
      </c>
      <c r="E537" t="str" cm="1">
        <f t="array" ref="E537">INDEX(aspek!$D$2:$D$337,
   MATCH(1,(aspek!$A$2:$A$337=B537)*
           (aspek!$B$2:$B$337=C537)*
           (aspek!$C$2:$C$337=D537),0))</f>
        <v>Pelembagaan perbaikan</v>
      </c>
      <c r="F537" s="76">
        <v>1</v>
      </c>
      <c r="G537" s="56" t="str" cm="1">
        <f t="array" ref="G537">INDEX(deskripsi!$D$2:$H$337,
   MATCH(1,(deskripsi!$A$2:$A$337=B537)*
           (deskripsi!$B$2:$B$337=C537)*
           (deskripsi!$C$2:$C$337=D537),0),
   F537)</f>
        <v>Perbaikan hanya berupa pengingat lisan kepada individu yang bersalah.</v>
      </c>
    </row>
    <row r="538" spans="1:7">
      <c r="A538" t="str">
        <f t="shared" si="8"/>
        <v>Controlling &amp; Corrective Action|Unit Head/Specialist|4|2</v>
      </c>
      <c r="B538" t="str">
        <v>Controlling &amp; Corrective Action</v>
      </c>
      <c r="C538" t="str">
        <v>Unit Head/Specialist</v>
      </c>
      <c r="D538" s="76">
        <v>4</v>
      </c>
      <c r="E538" t="str" cm="1">
        <f t="array" ref="E538">INDEX(aspek!$D$2:$D$337,
   MATCH(1,(aspek!$A$2:$A$337=B538)*
           (aspek!$B$2:$B$337=C538)*
           (aspek!$C$2:$C$337=D538),0))</f>
        <v>Pelembagaan perbaikan</v>
      </c>
      <c r="F538" s="76">
        <v>2</v>
      </c>
      <c r="G538" s="56" t="str" cm="1">
        <f t="array" ref="G538">INDEX(deskripsi!$D$2:$H$337,
   MATCH(1,(deskripsi!$A$2:$A$337=B538)*
           (deskripsi!$B$2:$B$337=C538)*
           (deskripsi!$C$2:$C$337=D538),0),
   F538)</f>
        <v>Perbaikan dicatat, tetapi tidak ada perubahan pada cara kerja tim.</v>
      </c>
    </row>
    <row r="539" spans="1:7">
      <c r="A539" t="str">
        <f t="shared" si="8"/>
        <v>Controlling &amp; Corrective Action|Unit Head/Specialist|4|3</v>
      </c>
      <c r="B539" t="str">
        <v>Controlling &amp; Corrective Action</v>
      </c>
      <c r="C539" t="str">
        <v>Unit Head/Specialist</v>
      </c>
      <c r="D539" s="76">
        <v>4</v>
      </c>
      <c r="E539" t="str" cm="1">
        <f t="array" ref="E539">INDEX(aspek!$D$2:$D$337,
   MATCH(1,(aspek!$A$2:$A$337=B539)*
           (aspek!$B$2:$B$337=C539)*
           (aspek!$C$2:$C$337=D539),0))</f>
        <v>Pelembagaan perbaikan</v>
      </c>
      <c r="F539" s="76">
        <v>3</v>
      </c>
      <c r="G539" s="56" t="str" cm="1">
        <f t="array" ref="G539">INDEX(deskripsi!$D$2:$H$337,
   MATCH(1,(deskripsi!$A$2:$A$337=B539)*
           (deskripsi!$B$2:$B$337=C539)*
           (deskripsi!$C$2:$C$337=D539),0),
   F539)</f>
        <v>Perbaikan diterapkan pada kasus yang sama bila muncul lagi.</v>
      </c>
    </row>
    <row r="540" spans="1:7">
      <c r="A540" t="str">
        <f t="shared" si="8"/>
        <v>Controlling &amp; Corrective Action|Unit Head/Specialist|4|4</v>
      </c>
      <c r="B540" t="str">
        <v>Controlling &amp; Corrective Action</v>
      </c>
      <c r="C540" t="str">
        <v>Unit Head/Specialist</v>
      </c>
      <c r="D540" s="76">
        <v>4</v>
      </c>
      <c r="E540" t="str" cm="1">
        <f t="array" ref="E540">INDEX(aspek!$D$2:$D$337,
   MATCH(1,(aspek!$A$2:$A$337=B540)*
           (aspek!$B$2:$B$337=C540)*
           (aspek!$C$2:$C$337=D540),0))</f>
        <v>Pelembagaan perbaikan</v>
      </c>
      <c r="F540" s="76">
        <v>4</v>
      </c>
      <c r="G540" s="56" t="str" cm="1">
        <f t="array" ref="G540">INDEX(deskripsi!$D$2:$H$337,
   MATCH(1,(deskripsi!$A$2:$A$337=B540)*
           (deskripsi!$B$2:$B$337=C540)*
           (deskripsi!$C$2:$C$337=D540),0),
   F540)</f>
        <v>Perbaikan diubah menjadi perubahan sistem atau cara kerja tim, sehingga kesalahan yang sama tidak berulang.</v>
      </c>
    </row>
    <row r="541" spans="1:7">
      <c r="A541" t="str">
        <f t="shared" si="8"/>
        <v>Controlling &amp; Corrective Action|Unit Head/Specialist|4|5</v>
      </c>
      <c r="B541" t="str">
        <v>Controlling &amp; Corrective Action</v>
      </c>
      <c r="C541" t="str">
        <v>Unit Head/Specialist</v>
      </c>
      <c r="D541" s="76">
        <v>4</v>
      </c>
      <c r="E541" t="str" cm="1">
        <f t="array" ref="E541">INDEX(aspek!$D$2:$D$337,
   MATCH(1,(aspek!$A$2:$A$337=B541)*
           (aspek!$B$2:$B$337=C541)*
           (aspek!$C$2:$C$337=D541),0))</f>
        <v>Pelembagaan perbaikan</v>
      </c>
      <c r="F541" s="76">
        <v>5</v>
      </c>
      <c r="G541" s="56" t="str" cm="1">
        <f t="array" ref="G541">INDEX(deskripsi!$D$2:$H$337,
   MATCH(1,(deskripsi!$A$2:$A$337=B541)*
           (deskripsi!$B$2:$B$337=C541)*
           (deskripsi!$C$2:$C$337=D541),0),
   F541)</f>
        <v>Sistem yang diperbaikinya diadopsi unit lain untuk mencegah kesalahan sejenis.</v>
      </c>
    </row>
    <row r="542" spans="1:7">
      <c r="A542" t="str">
        <f t="shared" si="8"/>
        <v>Controlling &amp; Corrective Action|Department Head|1|1</v>
      </c>
      <c r="B542" t="str">
        <v>Controlling &amp; Corrective Action</v>
      </c>
      <c r="C542" t="str">
        <v>Department Head</v>
      </c>
      <c r="D542" s="76">
        <v>1</v>
      </c>
      <c r="E542" t="str" cm="1">
        <f t="array" ref="E542">INDEX(aspek!$D$2:$D$337,
   MATCH(1,(aspek!$A$2:$A$337=B542)*
           (aspek!$B$2:$B$337=C542)*
           (aspek!$C$2:$C$337=D542),0))</f>
        <v>Kecepatan menghasilkan alternatif</v>
      </c>
      <c r="F542" s="76">
        <v>1</v>
      </c>
      <c r="G542" s="56" t="str" cm="1">
        <f t="array" ref="G542">INDEX(deskripsi!$D$2:$H$337,
   MATCH(1,(deskripsi!$A$2:$A$337=B542)*
           (deskripsi!$B$2:$B$337=C542)*
           (deskripsi!$C$2:$C$337=D542),0),
   F542)</f>
        <v>Berhenti bekerja atau menunggu arahan ketika solusi pertama tidak terlihat jelas.</v>
      </c>
    </row>
    <row r="543" spans="1:7">
      <c r="A543" t="str">
        <f t="shared" si="8"/>
        <v>Controlling &amp; Corrective Action|Department Head|1|2</v>
      </c>
      <c r="B543" t="str">
        <v>Controlling &amp; Corrective Action</v>
      </c>
      <c r="C543" t="str">
        <v>Department Head</v>
      </c>
      <c r="D543" s="76">
        <v>1</v>
      </c>
      <c r="E543" t="str" cm="1">
        <f t="array" ref="E543">INDEX(aspek!$D$2:$D$337,
   MATCH(1,(aspek!$A$2:$A$337=B543)*
           (aspek!$B$2:$B$337=C543)*
           (aspek!$C$2:$C$337=D543),0))</f>
        <v>Kecepatan menghasilkan alternatif</v>
      </c>
      <c r="F543" s="76">
        <v>2</v>
      </c>
      <c r="G543" s="56" t="str" cm="1">
        <f t="array" ref="G543">INDEX(deskripsi!$D$2:$H$337,
   MATCH(1,(deskripsi!$A$2:$A$337=B543)*
           (deskripsi!$B$2:$B$337=C543)*
           (deskripsi!$C$2:$C$337=D543),0),
   F543)</f>
        <v>Menghasilkan satu alternatif, dengan waktu yang lambat mengingat situasinya mendesak.</v>
      </c>
    </row>
    <row r="544" spans="1:7">
      <c r="A544" t="str">
        <f t="shared" si="8"/>
        <v>Controlling &amp; Corrective Action|Department Head|1|3</v>
      </c>
      <c r="B544" t="str">
        <v>Controlling &amp; Corrective Action</v>
      </c>
      <c r="C544" t="str">
        <v>Department Head</v>
      </c>
      <c r="D544" s="76">
        <v>1</v>
      </c>
      <c r="E544" t="str" cm="1">
        <f t="array" ref="E544">INDEX(aspek!$D$2:$D$337,
   MATCH(1,(aspek!$A$2:$A$337=B544)*
           (aspek!$B$2:$B$337=C544)*
           (aspek!$C$2:$C$337=D544),0))</f>
        <v>Kecepatan menghasilkan alternatif</v>
      </c>
      <c r="F544" s="76">
        <v>3</v>
      </c>
      <c r="G544" s="56" t="str" cm="1">
        <f t="array" ref="G544">INDEX(deskripsi!$D$2:$H$337,
   MATCH(1,(deskripsi!$A$2:$A$337=B544)*
           (deskripsi!$B$2:$B$337=C544)*
           (deskripsi!$C$2:$C$337=D544),0),
   F544)</f>
        <v>Menghasilkan beberapa alternatif dengan bantuan orang lain.</v>
      </c>
    </row>
    <row r="545" spans="1:7">
      <c r="A545" t="str">
        <f t="shared" si="8"/>
        <v>Controlling &amp; Corrective Action|Department Head|1|4</v>
      </c>
      <c r="B545" t="str">
        <v>Controlling &amp; Corrective Action</v>
      </c>
      <c r="C545" t="str">
        <v>Department Head</v>
      </c>
      <c r="D545" s="76">
        <v>1</v>
      </c>
      <c r="E545" t="str" cm="1">
        <f t="array" ref="E545">INDEX(aspek!$D$2:$D$337,
   MATCH(1,(aspek!$A$2:$A$337=B545)*
           (aspek!$B$2:$B$337=C545)*
           (aspek!$C$2:$C$337=D545),0))</f>
        <v>Kecepatan menghasilkan alternatif</v>
      </c>
      <c r="F545" s="76">
        <v>4</v>
      </c>
      <c r="G545" s="56" t="str" cm="1">
        <f t="array" ref="G545">INDEX(deskripsi!$D$2:$H$337,
   MATCH(1,(deskripsi!$A$2:$A$337=B545)*
           (deskripsi!$B$2:$B$337=C545)*
           (deskripsi!$C$2:$C$337=D545),0),
   F545)</f>
        <v>Menghasilkan minimal 3 alternatif dalam waktu singkat secara mandiri, bahkan pada masalah yang belum pernah dihadapi.</v>
      </c>
    </row>
    <row r="546" spans="1:7">
      <c r="A546" t="str">
        <f t="shared" si="8"/>
        <v>Controlling &amp; Corrective Action|Department Head|1|5</v>
      </c>
      <c r="B546" t="str">
        <v>Controlling &amp; Corrective Action</v>
      </c>
      <c r="C546" t="str">
        <v>Department Head</v>
      </c>
      <c r="D546" s="76">
        <v>1</v>
      </c>
      <c r="E546" t="str" cm="1">
        <f t="array" ref="E546">INDEX(aspek!$D$2:$D$337,
   MATCH(1,(aspek!$A$2:$A$337=B546)*
           (aspek!$B$2:$B$337=C546)*
           (aspek!$C$2:$C$337=D546),0))</f>
        <v>Kecepatan menghasilkan alternatif</v>
      </c>
      <c r="F546" s="76">
        <v>5</v>
      </c>
      <c r="G546" s="56" t="str" cm="1">
        <f t="array" ref="G546">INDEX(deskripsi!$D$2:$H$337,
   MATCH(1,(deskripsi!$A$2:$A$337=B546)*
           (deskripsi!$B$2:$B$337=C546)*
           (deskripsi!$C$2:$C$337=D546),0),
   F546)</f>
        <v>Kecepatannya menular; tim ikut cepat menyumbang alternatif tanpa diminta.</v>
      </c>
    </row>
    <row r="547" spans="1:7">
      <c r="A547" t="str">
        <f t="shared" si="8"/>
        <v>Controlling &amp; Corrective Action|Department Head|2|1</v>
      </c>
      <c r="B547" t="str">
        <v>Controlling &amp; Corrective Action</v>
      </c>
      <c r="C547" t="str">
        <v>Department Head</v>
      </c>
      <c r="D547" s="76">
        <v>2</v>
      </c>
      <c r="E547" t="str" cm="1">
        <f t="array" ref="E547">INDEX(aspek!$D$2:$D$337,
   MATCH(1,(aspek!$A$2:$A$337=B547)*
           (aspek!$B$2:$B$337=C547)*
           (aspek!$C$2:$C$337=D547),0))</f>
        <v>Fleksibilitas mengganti solusi</v>
      </c>
      <c r="F547" s="76">
        <v>1</v>
      </c>
      <c r="G547" s="56" t="str" cm="1">
        <f t="array" ref="G547">INDEX(deskripsi!$D$2:$H$337,
   MATCH(1,(deskripsi!$A$2:$A$337=B547)*
           (deskripsi!$B$2:$B$337=C547)*
           (deskripsi!$C$2:$C$337=D547),0),
   F547)</f>
        <v>Bertahan pada solusi pertama sampai jelas-jelas gagal total.</v>
      </c>
    </row>
    <row r="548" spans="1:7">
      <c r="A548" t="str">
        <f t="shared" si="8"/>
        <v>Controlling &amp; Corrective Action|Department Head|2|2</v>
      </c>
      <c r="B548" t="str">
        <v>Controlling &amp; Corrective Action</v>
      </c>
      <c r="C548" t="str">
        <v>Department Head</v>
      </c>
      <c r="D548" s="76">
        <v>2</v>
      </c>
      <c r="E548" t="str" cm="1">
        <f t="array" ref="E548">INDEX(aspek!$D$2:$D$337,
   MATCH(1,(aspek!$A$2:$A$337=B548)*
           (aspek!$B$2:$B$337=C548)*
           (aspek!$C$2:$C$337=D548),0))</f>
        <v>Fleksibilitas mengganti solusi</v>
      </c>
      <c r="F548" s="76">
        <v>2</v>
      </c>
      <c r="G548" s="56" t="str" cm="1">
        <f t="array" ref="G548">INDEX(deskripsi!$D$2:$H$337,
   MATCH(1,(deskripsi!$A$2:$A$337=B548)*
           (deskripsi!$B$2:$B$337=C548)*
           (deskripsi!$C$2:$C$337=D548),0),
   F548)</f>
        <v>Menyadari solusi tidak bekerja, tetapi lambat memutuskan penggantinya.</v>
      </c>
    </row>
    <row r="549" spans="1:7">
      <c r="A549" t="str">
        <f t="shared" si="8"/>
        <v>Controlling &amp; Corrective Action|Department Head|2|3</v>
      </c>
      <c r="B549" t="str">
        <v>Controlling &amp; Corrective Action</v>
      </c>
      <c r="C549" t="str">
        <v>Department Head</v>
      </c>
      <c r="D549" s="76">
        <v>2</v>
      </c>
      <c r="E549" t="str" cm="1">
        <f t="array" ref="E549">INDEX(aspek!$D$2:$D$337,
   MATCH(1,(aspek!$A$2:$A$337=B549)*
           (aspek!$B$2:$B$337=C549)*
           (aspek!$C$2:$C$337=D549),0))</f>
        <v>Fleksibilitas mengganti solusi</v>
      </c>
      <c r="F549" s="76">
        <v>3</v>
      </c>
      <c r="G549" s="56" t="str" cm="1">
        <f t="array" ref="G549">INDEX(deskripsi!$D$2:$H$337,
   MATCH(1,(deskripsi!$A$2:$A$337=B549)*
           (deskripsi!$B$2:$B$337=C549)*
           (deskripsi!$C$2:$C$337=D549),0),
   F549)</f>
        <v>Mengganti solusi setelah mendapat persetujuan atau arahan.</v>
      </c>
    </row>
    <row r="550" spans="1:7">
      <c r="A550" t="str">
        <f t="shared" si="8"/>
        <v>Controlling &amp; Corrective Action|Department Head|2|4</v>
      </c>
      <c r="B550" t="str">
        <v>Controlling &amp; Corrective Action</v>
      </c>
      <c r="C550" t="str">
        <v>Department Head</v>
      </c>
      <c r="D550" s="76">
        <v>2</v>
      </c>
      <c r="E550" t="str" cm="1">
        <f t="array" ref="E550">INDEX(aspek!$D$2:$D$337,
   MATCH(1,(aspek!$A$2:$A$337=B550)*
           (aspek!$B$2:$B$337=C550)*
           (aspek!$C$2:$C$337=D550),0))</f>
        <v>Fleksibilitas mengganti solusi</v>
      </c>
      <c r="F550" s="76">
        <v>4</v>
      </c>
      <c r="G550" s="56" t="str" cm="1">
        <f t="array" ref="G550">INDEX(deskripsi!$D$2:$H$337,
   MATCH(1,(deskripsi!$A$2:$A$337=B550)*
           (deskripsi!$B$2:$B$337=C550)*
           (deskripsi!$C$2:$C$337=D550),0),
   F550)</f>
        <v>Mengganti solusi dengan cepat begitu tanda kegagalan terlihat, atas keputusan sendiri, tanpa menunggu yakin sepenuhnya.</v>
      </c>
    </row>
    <row r="551" spans="1:7">
      <c r="A551" t="str">
        <f t="shared" si="8"/>
        <v>Controlling &amp; Corrective Action|Department Head|2|5</v>
      </c>
      <c r="B551" t="str">
        <v>Controlling &amp; Corrective Action</v>
      </c>
      <c r="C551" t="str">
        <v>Department Head</v>
      </c>
      <c r="D551" s="76">
        <v>2</v>
      </c>
      <c r="E551" t="str" cm="1">
        <f t="array" ref="E551">INDEX(aspek!$D$2:$D$337,
   MATCH(1,(aspek!$A$2:$A$337=B551)*
           (aspek!$B$2:$B$337=C551)*
           (aspek!$C$2:$C$337=D551),0))</f>
        <v>Fleksibilitas mengganti solusi</v>
      </c>
      <c r="F551" s="76">
        <v>5</v>
      </c>
      <c r="G551" s="56" t="str" cm="1">
        <f t="array" ref="G551">INDEX(deskripsi!$D$2:$H$337,
   MATCH(1,(deskripsi!$A$2:$A$337=B551)*
           (deskripsi!$B$2:$B$337=C551)*
           (deskripsi!$C$2:$C$337=D551),0),
   F551)</f>
        <v>Perpindahan arahnya tidak membuat tim kehilangan momentum atau kepercayaan.</v>
      </c>
    </row>
    <row r="552" spans="1:7">
      <c r="A552" t="str">
        <f t="shared" si="8"/>
        <v>Controlling &amp; Corrective Action|Department Head|3|1</v>
      </c>
      <c r="B552" t="str">
        <v>Controlling &amp; Corrective Action</v>
      </c>
      <c r="C552" t="str">
        <v>Department Head</v>
      </c>
      <c r="D552" s="76">
        <v>3</v>
      </c>
      <c r="E552" t="str" cm="1">
        <f t="array" ref="E552">INDEX(aspek!$D$2:$D$337,
   MATCH(1,(aspek!$A$2:$A$337=B552)*
           (aspek!$B$2:$B$337=C552)*
           (aspek!$C$2:$C$337=D552),0))</f>
        <v>Memanfaatkan sumber daya yang ada</v>
      </c>
      <c r="F552" s="76">
        <v>1</v>
      </c>
      <c r="G552" s="56" t="str" cm="1">
        <f t="array" ref="G552">INDEX(deskripsi!$D$2:$H$337,
   MATCH(1,(deskripsi!$A$2:$A$337=B552)*
           (deskripsi!$B$2:$B$337=C552)*
           (deskripsi!$C$2:$C$337=D552),0),
   F552)</f>
        <v>Menunggu sumber daya tambahan sebelum bertindak pada masalah mendesak.</v>
      </c>
    </row>
    <row r="553" spans="1:7">
      <c r="A553" t="str">
        <f t="shared" si="8"/>
        <v>Controlling &amp; Corrective Action|Department Head|3|2</v>
      </c>
      <c r="B553" t="str">
        <v>Controlling &amp; Corrective Action</v>
      </c>
      <c r="C553" t="str">
        <v>Department Head</v>
      </c>
      <c r="D553" s="76">
        <v>3</v>
      </c>
      <c r="E553" t="str" cm="1">
        <f t="array" ref="E553">INDEX(aspek!$D$2:$D$337,
   MATCH(1,(aspek!$A$2:$A$337=B553)*
           (aspek!$B$2:$B$337=C553)*
           (aspek!$C$2:$C$337=D553),0))</f>
        <v>Memanfaatkan sumber daya yang ada</v>
      </c>
      <c r="F553" s="76">
        <v>2</v>
      </c>
      <c r="G553" s="56" t="str" cm="1">
        <f t="array" ref="G553">INDEX(deskripsi!$D$2:$H$337,
   MATCH(1,(deskripsi!$A$2:$A$337=B553)*
           (deskripsi!$B$2:$B$337=C553)*
           (deskripsi!$C$2:$C$337=D553),0),
   F553)</f>
        <v>Memakai sumber daya yang ada, tetapi tidak maksimal.</v>
      </c>
    </row>
    <row r="554" spans="1:7">
      <c r="A554" t="str">
        <f t="shared" si="8"/>
        <v>Controlling &amp; Corrective Action|Department Head|3|3</v>
      </c>
      <c r="B554" t="str">
        <v>Controlling &amp; Corrective Action</v>
      </c>
      <c r="C554" t="str">
        <v>Department Head</v>
      </c>
      <c r="D554" s="76">
        <v>3</v>
      </c>
      <c r="E554" t="str" cm="1">
        <f t="array" ref="E554">INDEX(aspek!$D$2:$D$337,
   MATCH(1,(aspek!$A$2:$A$337=B554)*
           (aspek!$B$2:$B$337=C554)*
           (aspek!$C$2:$C$337=D554),0))</f>
        <v>Memanfaatkan sumber daya yang ada</v>
      </c>
      <c r="F554" s="76">
        <v>3</v>
      </c>
      <c r="G554" s="56" t="str" cm="1">
        <f t="array" ref="G554">INDEX(deskripsi!$D$2:$H$337,
   MATCH(1,(deskripsi!$A$2:$A$337=B554)*
           (deskripsi!$B$2:$B$337=C554)*
           (deskripsi!$C$2:$C$337=D554),0),
   F554)</f>
        <v>Memanfaatkan sumber daya yang tersedia untuk solusi yang sudah lazim.</v>
      </c>
    </row>
    <row r="555" spans="1:7">
      <c r="A555" t="str">
        <f t="shared" si="8"/>
        <v>Controlling &amp; Corrective Action|Department Head|3|4</v>
      </c>
      <c r="B555" t="str">
        <v>Controlling &amp; Corrective Action</v>
      </c>
      <c r="C555" t="str">
        <v>Department Head</v>
      </c>
      <c r="D555" s="76">
        <v>3</v>
      </c>
      <c r="E555" t="str" cm="1">
        <f t="array" ref="E555">INDEX(aspek!$D$2:$D$337,
   MATCH(1,(aspek!$A$2:$A$337=B555)*
           (aspek!$B$2:$B$337=C555)*
           (aspek!$C$2:$C$337=D555),0))</f>
        <v>Memanfaatkan sumber daya yang ada</v>
      </c>
      <c r="F555" s="76">
        <v>4</v>
      </c>
      <c r="G555" s="56" t="str" cm="1">
        <f t="array" ref="G555">INDEX(deskripsi!$D$2:$H$337,
   MATCH(1,(deskripsi!$A$2:$A$337=B555)*
           (deskripsi!$B$2:$B$337=C555)*
           (deskripsi!$C$2:$C$337=D555),0),
   F555)</f>
        <v>Menyusun alternatif dari kombinasi sumber daya yang ada secara kreatif, tanpa menunggu tambahan.</v>
      </c>
    </row>
    <row r="556" spans="1:7">
      <c r="A556" t="str">
        <f t="shared" si="8"/>
        <v>Controlling &amp; Corrective Action|Department Head|3|5</v>
      </c>
      <c r="B556" t="str">
        <v>Controlling &amp; Corrective Action</v>
      </c>
      <c r="C556" t="str">
        <v>Department Head</v>
      </c>
      <c r="D556" s="76">
        <v>3</v>
      </c>
      <c r="E556" t="str" cm="1">
        <f t="array" ref="E556">INDEX(aspek!$D$2:$D$337,
   MATCH(1,(aspek!$A$2:$A$337=B556)*
           (aspek!$B$2:$B$337=C556)*
           (aspek!$C$2:$C$337=D556),0))</f>
        <v>Memanfaatkan sumber daya yang ada</v>
      </c>
      <c r="F556" s="76">
        <v>5</v>
      </c>
      <c r="G556" s="56" t="str" cm="1">
        <f t="array" ref="G556">INDEX(deskripsi!$D$2:$H$337,
   MATCH(1,(deskripsi!$A$2:$A$337=B556)*
           (deskripsi!$B$2:$B$337=C556)*
           (deskripsi!$C$2:$C$337=D556),0),
   F556)</f>
        <v>Solusi yang lahir dari keterbatasan sumber daya itu menjadi cara baku yang dipakai kembali.</v>
      </c>
    </row>
    <row r="557" spans="1:7">
      <c r="A557" t="str">
        <f t="shared" si="8"/>
        <v>Controlling &amp; Corrective Action|Department Head|4|1</v>
      </c>
      <c r="B557" t="str">
        <v>Controlling &amp; Corrective Action</v>
      </c>
      <c r="C557" t="str">
        <v>Department Head</v>
      </c>
      <c r="D557" s="76">
        <v>4</v>
      </c>
      <c r="E557" t="str" cm="1">
        <f t="array" ref="E557">INDEX(aspek!$D$2:$D$337,
   MATCH(1,(aspek!$A$2:$A$337=B557)*
           (aspek!$B$2:$B$337=C557)*
           (aspek!$C$2:$C$337=D557),0))</f>
        <v>Ketenangan saat berganti arah</v>
      </c>
      <c r="F557" s="76">
        <v>1</v>
      </c>
      <c r="G557" s="56" t="str" cm="1">
        <f t="array" ref="G557">INDEX(deskripsi!$D$2:$H$337,
   MATCH(1,(deskripsi!$A$2:$A$337=B557)*
           (deskripsi!$B$2:$B$337=C557)*
           (deskripsi!$C$2:$C$337=D557),0),
   F557)</f>
        <v>Panik atau ragu terlihat jelas ketika harus mengganti arah secara tiba-tiba.</v>
      </c>
    </row>
    <row r="558" spans="1:7">
      <c r="A558" t="str">
        <f t="shared" si="8"/>
        <v>Controlling &amp; Corrective Action|Department Head|4|2</v>
      </c>
      <c r="B558" t="str">
        <v>Controlling &amp; Corrective Action</v>
      </c>
      <c r="C558" t="str">
        <v>Department Head</v>
      </c>
      <c r="D558" s="76">
        <v>4</v>
      </c>
      <c r="E558" t="str" cm="1">
        <f t="array" ref="E558">INDEX(aspek!$D$2:$D$337,
   MATCH(1,(aspek!$A$2:$A$337=B558)*
           (aspek!$B$2:$B$337=C558)*
           (aspek!$C$2:$C$337=D558),0))</f>
        <v>Ketenangan saat berganti arah</v>
      </c>
      <c r="F558" s="76">
        <v>2</v>
      </c>
      <c r="G558" s="56" t="str" cm="1">
        <f t="array" ref="G558">INDEX(deskripsi!$D$2:$H$337,
   MATCH(1,(deskripsi!$A$2:$A$337=B558)*
           (deskripsi!$B$2:$B$337=C558)*
           (deskripsi!$C$2:$C$337=D558),0),
   F558)</f>
        <v>Mengganti arah dengan tenang, tetapi tidak menjelaskannya kepada tim.</v>
      </c>
    </row>
    <row r="559" spans="1:7">
      <c r="A559" t="str">
        <f t="shared" si="8"/>
        <v>Controlling &amp; Corrective Action|Department Head|4|3</v>
      </c>
      <c r="B559" t="str">
        <v>Controlling &amp; Corrective Action</v>
      </c>
      <c r="C559" t="str">
        <v>Department Head</v>
      </c>
      <c r="D559" s="76">
        <v>4</v>
      </c>
      <c r="E559" t="str" cm="1">
        <f t="array" ref="E559">INDEX(aspek!$D$2:$D$337,
   MATCH(1,(aspek!$A$2:$A$337=B559)*
           (aspek!$B$2:$B$337=C559)*
           (aspek!$C$2:$C$337=D559),0))</f>
        <v>Ketenangan saat berganti arah</v>
      </c>
      <c r="F559" s="76">
        <v>3</v>
      </c>
      <c r="G559" s="56" t="str" cm="1">
        <f t="array" ref="G559">INDEX(deskripsi!$D$2:$H$337,
   MATCH(1,(deskripsi!$A$2:$A$337=B559)*
           (deskripsi!$B$2:$B$337=C559)*
           (deskripsi!$C$2:$C$337=D559),0),
   F559)</f>
        <v>Menjelaskan pergantian arah setelah tim mempertanyakan.</v>
      </c>
    </row>
    <row r="560" spans="1:7">
      <c r="A560" t="str">
        <f t="shared" si="8"/>
        <v>Controlling &amp; Corrective Action|Department Head|4|4</v>
      </c>
      <c r="B560" t="str">
        <v>Controlling &amp; Corrective Action</v>
      </c>
      <c r="C560" t="str">
        <v>Department Head</v>
      </c>
      <c r="D560" s="76">
        <v>4</v>
      </c>
      <c r="E560" t="str" cm="1">
        <f t="array" ref="E560">INDEX(aspek!$D$2:$D$337,
   MATCH(1,(aspek!$A$2:$A$337=B560)*
           (aspek!$B$2:$B$337=C560)*
           (aspek!$C$2:$C$337=D560),0))</f>
        <v>Ketenangan saat berganti arah</v>
      </c>
      <c r="F560" s="76">
        <v>4</v>
      </c>
      <c r="G560" s="56" t="str" cm="1">
        <f t="array" ref="G560">INDEX(deskripsi!$D$2:$H$337,
   MATCH(1,(deskripsi!$A$2:$A$337=B560)*
           (deskripsi!$B$2:$B$337=C560)*
           (deskripsi!$C$2:$C$337=D560),0),
   F560)</f>
        <v>Menjelaskan pergantian arah kepada tim secara proaktif dan tenang, sehingga tim tetap bergerak tanpa kebingungan.</v>
      </c>
    </row>
    <row r="561" spans="1:7">
      <c r="A561" t="str">
        <f t="shared" si="8"/>
        <v>Controlling &amp; Corrective Action|Department Head|4|5</v>
      </c>
      <c r="B561" t="str">
        <v>Controlling &amp; Corrective Action</v>
      </c>
      <c r="C561" t="str">
        <v>Department Head</v>
      </c>
      <c r="D561" s="76">
        <v>4</v>
      </c>
      <c r="E561" t="str" cm="1">
        <f t="array" ref="E561">INDEX(aspek!$D$2:$D$337,
   MATCH(1,(aspek!$A$2:$A$337=B561)*
           (aspek!$B$2:$B$337=C561)*
           (aspek!$C$2:$C$337=D561),0))</f>
        <v>Ketenangan saat berganti arah</v>
      </c>
      <c r="F561" s="76">
        <v>5</v>
      </c>
      <c r="G561" s="56" t="str" cm="1">
        <f t="array" ref="G561">INDEX(deskripsi!$D$2:$H$337,
   MATCH(1,(deskripsi!$A$2:$A$337=B561)*
           (deskripsi!$B$2:$B$337=C561)*
           (deskripsi!$C$2:$C$337=D561),0),
   F561)</f>
        <v>Tim tetap percaya penuh pada arahannya meski arah berganti berkali-kali dalam satu krisis.</v>
      </c>
    </row>
    <row r="562" spans="1:7">
      <c r="A562" t="str">
        <f t="shared" si="8"/>
        <v>Controlling &amp; Corrective Action|Division Head|1|1</v>
      </c>
      <c r="B562" t="str">
        <v>Controlling &amp; Corrective Action</v>
      </c>
      <c r="C562" t="str">
        <v>Division Head</v>
      </c>
      <c r="D562" s="76">
        <v>1</v>
      </c>
      <c r="E562" t="str" cm="1">
        <f t="array" ref="E562">INDEX(aspek!$D$2:$D$337,
   MATCH(1,(aspek!$A$2:$A$337=B562)*
           (aspek!$B$2:$B$337=C562)*
           (aspek!$C$2:$C$337=D562),0))</f>
        <v>Kapan kebutuhan sumber daya dipikirkan</v>
      </c>
      <c r="F562" s="76">
        <v>1</v>
      </c>
      <c r="G562" s="56" t="str" cm="1">
        <f t="array" ref="G562">INDEX(deskripsi!$D$2:$H$337,
   MATCH(1,(deskripsi!$A$2:$A$337=B562)*
           (deskripsi!$B$2:$B$337=C562)*
           (deskripsi!$C$2:$C$337=D562),0),
   F562)</f>
        <v>Kebutuhan sumber daya ditangani sambil berjalan; kekurangan baru terlihat setelah pekerjaan dimulai.</v>
      </c>
    </row>
    <row r="563" spans="1:7">
      <c r="A563" t="str">
        <f t="shared" si="8"/>
        <v>Controlling &amp; Corrective Action|Division Head|1|2</v>
      </c>
      <c r="B563" t="str">
        <v>Controlling &amp; Corrective Action</v>
      </c>
      <c r="C563" t="str">
        <v>Division Head</v>
      </c>
      <c r="D563" s="76">
        <v>1</v>
      </c>
      <c r="E563" t="str" cm="1">
        <f t="array" ref="E563">INDEX(aspek!$D$2:$D$337,
   MATCH(1,(aspek!$A$2:$A$337=B563)*
           (aspek!$B$2:$B$337=C563)*
           (aspek!$C$2:$C$337=D563),0))</f>
        <v>Kapan kebutuhan sumber daya dipikirkan</v>
      </c>
      <c r="F563" s="76">
        <v>2</v>
      </c>
      <c r="G563" s="56" t="str" cm="1">
        <f t="array" ref="G563">INDEX(deskripsi!$D$2:$H$337,
   MATCH(1,(deskripsi!$A$2:$A$337=B563)*
           (deskripsi!$B$2:$B$337=C563)*
           (deskripsi!$C$2:$C$337=D563),0),
   F563)</f>
        <v>Kebutuhan diperkirakan secara garis besar sebelum mulai, tanpa rincian.</v>
      </c>
    </row>
    <row r="564" spans="1:7">
      <c r="A564" t="str">
        <f t="shared" si="8"/>
        <v>Controlling &amp; Corrective Action|Division Head|1|3</v>
      </c>
      <c r="B564" t="str">
        <v>Controlling &amp; Corrective Action</v>
      </c>
      <c r="C564" t="str">
        <v>Division Head</v>
      </c>
      <c r="D564" s="76">
        <v>1</v>
      </c>
      <c r="E564" t="str" cm="1">
        <f t="array" ref="E564">INDEX(aspek!$D$2:$D$337,
   MATCH(1,(aspek!$A$2:$A$337=B564)*
           (aspek!$B$2:$B$337=C564)*
           (aspek!$C$2:$C$337=D564),0))</f>
        <v>Kapan kebutuhan sumber daya dipikirkan</v>
      </c>
      <c r="F564" s="76">
        <v>3</v>
      </c>
      <c r="G564" s="56" t="str" cm="1">
        <f t="array" ref="G564">INDEX(deskripsi!$D$2:$H$337,
   MATCH(1,(deskripsi!$A$2:$A$337=B564)*
           (deskripsi!$B$2:$B$337=C564)*
           (deskripsi!$C$2:$C$337=D564),0),
   F564)</f>
        <v>Kebutuhan dihitung rinci sebelum pelaksanaan dimulai, untuk keempat kategori.</v>
      </c>
    </row>
    <row r="565" spans="1:7">
      <c r="A565" t="str">
        <f t="shared" si="8"/>
        <v>Controlling &amp; Corrective Action|Division Head|1|4</v>
      </c>
      <c r="B565" t="str">
        <v>Controlling &amp; Corrective Action</v>
      </c>
      <c r="C565" t="str">
        <v>Division Head</v>
      </c>
      <c r="D565" s="76">
        <v>1</v>
      </c>
      <c r="E565" t="str" cm="1">
        <f t="array" ref="E565">INDEX(aspek!$D$2:$D$337,
   MATCH(1,(aspek!$A$2:$A$337=B565)*
           (aspek!$B$2:$B$337=C565)*
           (aspek!$C$2:$C$337=D565),0))</f>
        <v>Kapan kebutuhan sumber daya dipikirkan</v>
      </c>
      <c r="F565" s="76">
        <v>4</v>
      </c>
      <c r="G565" s="56" t="str" cm="1">
        <f t="array" ref="G565">INDEX(deskripsi!$D$2:$H$337,
   MATCH(1,(deskripsi!$A$2:$A$337=B565)*
           (deskripsi!$B$2:$B$337=C565)*
           (deskripsi!$C$2:$C$337=D565),0),
   F565)</f>
        <v>Perhitungan rinci sebelum mulai menjadi kebiasaan tetap, dan realisasinya konsisten mendekati perhitungan.</v>
      </c>
    </row>
    <row r="566" spans="1:7">
      <c r="A566" t="str">
        <f t="shared" si="8"/>
        <v>Controlling &amp; Corrective Action|Division Head|1|5</v>
      </c>
      <c r="B566" t="str">
        <v>Controlling &amp; Corrective Action</v>
      </c>
      <c r="C566" t="str">
        <v>Division Head</v>
      </c>
      <c r="D566" s="76">
        <v>1</v>
      </c>
      <c r="E566" t="str" cm="1">
        <f t="array" ref="E566">INDEX(aspek!$D$2:$D$337,
   MATCH(1,(aspek!$A$2:$A$337=B566)*
           (aspek!$B$2:$B$337=C566)*
           (aspek!$C$2:$C$337=D566),0))</f>
        <v>Kapan kebutuhan sumber daya dipikirkan</v>
      </c>
      <c r="F566" s="76">
        <v>5</v>
      </c>
      <c r="G566" s="56" t="str" cm="1">
        <f t="array" ref="G566">INDEX(deskripsi!$D$2:$H$337,
   MATCH(1,(deskripsi!$A$2:$A$337=B566)*
           (deskripsi!$B$2:$B$337=C566)*
           (deskripsi!$C$2:$C$337=D566),0),
   F566)</f>
        <v>Metode perhitungannya dipakai unit lain sebagai acuan.</v>
      </c>
    </row>
    <row r="567" spans="1:7">
      <c r="A567" t="str">
        <f t="shared" si="8"/>
        <v>Controlling &amp; Corrective Action|Division Head|2|1</v>
      </c>
      <c r="B567" t="str">
        <v>Controlling &amp; Corrective Action</v>
      </c>
      <c r="C567" t="str">
        <v>Division Head</v>
      </c>
      <c r="D567" s="76">
        <v>2</v>
      </c>
      <c r="E567" t="str" cm="1">
        <f t="array" ref="E567">INDEX(aspek!$D$2:$D$337,
   MATCH(1,(aspek!$A$2:$A$337=B567)*
           (aspek!$B$2:$B$337=C567)*
           (aspek!$C$2:$C$337=D567),0))</f>
        <v>Alokasi sesuai prioritas</v>
      </c>
      <c r="F567" s="76">
        <v>1</v>
      </c>
      <c r="G567" s="56" t="str" cm="1">
        <f t="array" ref="G567">INDEX(deskripsi!$D$2:$H$337,
   MATCH(1,(deskripsi!$A$2:$A$337=B567)*
           (deskripsi!$B$2:$B$337=C567)*
           (deskripsi!$C$2:$C$337=D567),0),
   F567)</f>
        <v>Mengalokasikan sumber daya berdasarkan siapa yang meminta lebih dulu atau lebih keras.</v>
      </c>
    </row>
    <row r="568" spans="1:7">
      <c r="A568" t="str">
        <f t="shared" si="8"/>
        <v>Controlling &amp; Corrective Action|Division Head|2|2</v>
      </c>
      <c r="B568" t="str">
        <v>Controlling &amp; Corrective Action</v>
      </c>
      <c r="C568" t="str">
        <v>Division Head</v>
      </c>
      <c r="D568" s="76">
        <v>2</v>
      </c>
      <c r="E568" t="str" cm="1">
        <f t="array" ref="E568">INDEX(aspek!$D$2:$D$337,
   MATCH(1,(aspek!$A$2:$A$337=B568)*
           (aspek!$B$2:$B$337=C568)*
           (aspek!$C$2:$C$337=D568),0))</f>
        <v>Alokasi sesuai prioritas</v>
      </c>
      <c r="F568" s="76">
        <v>2</v>
      </c>
      <c r="G568" s="56" t="str" cm="1">
        <f t="array" ref="G568">INDEX(deskripsi!$D$2:$H$337,
   MATCH(1,(deskripsi!$A$2:$A$337=B568)*
           (deskripsi!$B$2:$B$337=C568)*
           (deskripsi!$C$2:$C$337=D568),0),
   F568)</f>
        <v>Menyadari perlunya prioritas, tetapi keputusan alokasi tetap tidak konsisten.</v>
      </c>
    </row>
    <row r="569" spans="1:7">
      <c r="A569" t="str">
        <f t="shared" si="8"/>
        <v>Controlling &amp; Corrective Action|Division Head|2|3</v>
      </c>
      <c r="B569" t="str">
        <v>Controlling &amp; Corrective Action</v>
      </c>
      <c r="C569" t="str">
        <v>Division Head</v>
      </c>
      <c r="D569" s="76">
        <v>2</v>
      </c>
      <c r="E569" t="str" cm="1">
        <f t="array" ref="E569">INDEX(aspek!$D$2:$D$337,
   MATCH(1,(aspek!$A$2:$A$337=B569)*
           (aspek!$B$2:$B$337=C569)*
           (aspek!$C$2:$C$337=D569),0))</f>
        <v>Alokasi sesuai prioritas</v>
      </c>
      <c r="F569" s="76">
        <v>3</v>
      </c>
      <c r="G569" s="56" t="str" cm="1">
        <f t="array" ref="G569">INDEX(deskripsi!$D$2:$H$337,
   MATCH(1,(deskripsi!$A$2:$A$337=B569)*
           (deskripsi!$B$2:$B$337=C569)*
           (deskripsi!$C$2:$C$337=D569),0),
   F569)</f>
        <v>Mengalokasikan berdasarkan prioritas yang ditetapkan atasan.</v>
      </c>
    </row>
    <row r="570" spans="1:7">
      <c r="A570" t="str">
        <f t="shared" si="8"/>
        <v>Controlling &amp; Corrective Action|Division Head|2|4</v>
      </c>
      <c r="B570" t="str">
        <v>Controlling &amp; Corrective Action</v>
      </c>
      <c r="C570" t="str">
        <v>Division Head</v>
      </c>
      <c r="D570" s="76">
        <v>2</v>
      </c>
      <c r="E570" t="str" cm="1">
        <f t="array" ref="E570">INDEX(aspek!$D$2:$D$337,
   MATCH(1,(aspek!$A$2:$A$337=B570)*
           (aspek!$B$2:$B$337=C570)*
           (aspek!$C$2:$C$337=D570),0))</f>
        <v>Alokasi sesuai prioritas</v>
      </c>
      <c r="F570" s="76">
        <v>4</v>
      </c>
      <c r="G570" s="56" t="str" cm="1">
        <f t="array" ref="G570">INDEX(deskripsi!$D$2:$H$337,
   MATCH(1,(deskripsi!$A$2:$A$337=B570)*
           (deskripsi!$B$2:$B$337=C570)*
           (deskripsi!$C$2:$C$337=D570),0),
   F570)</f>
        <v>Menetapkan kriteria prioritas sendiri untuk alokasi sumber daya, dan menerapkannya secara konsisten meski harus mengecewakan pihak tertentu.</v>
      </c>
    </row>
    <row r="571" spans="1:7">
      <c r="A571" t="str">
        <f t="shared" si="8"/>
        <v>Controlling &amp; Corrective Action|Division Head|2|5</v>
      </c>
      <c r="B571" t="str">
        <v>Controlling &amp; Corrective Action</v>
      </c>
      <c r="C571" t="str">
        <v>Division Head</v>
      </c>
      <c r="D571" s="76">
        <v>2</v>
      </c>
      <c r="E571" t="str" cm="1">
        <f t="array" ref="E571">INDEX(aspek!$D$2:$D$337,
   MATCH(1,(aspek!$A$2:$A$337=B571)*
           (aspek!$B$2:$B$337=C571)*
           (aspek!$C$2:$C$337=D571),0))</f>
        <v>Alokasi sesuai prioritas</v>
      </c>
      <c r="F571" s="76">
        <v>5</v>
      </c>
      <c r="G571" s="56" t="str" cm="1">
        <f t="array" ref="G571">INDEX(deskripsi!$D$2:$H$337,
   MATCH(1,(deskripsi!$A$2:$A$337=B571)*
           (deskripsi!$B$2:$B$337=C571)*
           (deskripsi!$C$2:$C$337=D571),0),
   F571)</f>
        <v>Kriteria prioritasnya diadopsi sebagai standar organisasi untuk alokasi sumber daya serupa.</v>
      </c>
    </row>
    <row r="572" spans="1:7">
      <c r="A572" t="str">
        <f t="shared" si="8"/>
        <v>Controlling &amp; Corrective Action|Division Head|3|1</v>
      </c>
      <c r="B572" t="str">
        <v>Controlling &amp; Corrective Action</v>
      </c>
      <c r="C572" t="str">
        <v>Division Head</v>
      </c>
      <c r="D572" s="76">
        <v>3</v>
      </c>
      <c r="E572" t="str" cm="1">
        <f t="array" ref="E572">INDEX(aspek!$D$2:$D$337,
   MATCH(1,(aspek!$A$2:$A$337=B572)*
           (aspek!$B$2:$B$337=C572)*
           (aspek!$C$2:$C$337=D572),0))</f>
        <v>Antisipasi kendala pelaksanaan</v>
      </c>
      <c r="F572" s="76">
        <v>1</v>
      </c>
      <c r="G572" s="56" t="str" cm="1">
        <f t="array" ref="G572">INDEX(deskripsi!$D$2:$H$337,
   MATCH(1,(deskripsi!$A$2:$A$337=B572)*
           (deskripsi!$B$2:$B$337=C572)*
           (deskripsi!$C$2:$C$337=D572),0),
   F572)</f>
        <v>Tidak mempertimbangkan kemungkinan gagal saat merencanakan.</v>
      </c>
    </row>
    <row r="573" spans="1:7">
      <c r="A573" t="str">
        <f t="shared" si="8"/>
        <v>Controlling &amp; Corrective Action|Division Head|3|2</v>
      </c>
      <c r="B573" t="str">
        <v>Controlling &amp; Corrective Action</v>
      </c>
      <c r="C573" t="str">
        <v>Division Head</v>
      </c>
      <c r="D573" s="76">
        <v>3</v>
      </c>
      <c r="E573" t="str" cm="1">
        <f t="array" ref="E573">INDEX(aspek!$D$2:$D$337,
   MATCH(1,(aspek!$A$2:$A$337=B573)*
           (aspek!$B$2:$B$337=C573)*
           (aspek!$C$2:$C$337=D573),0))</f>
        <v>Antisipasi kendala pelaksanaan</v>
      </c>
      <c r="F573" s="76">
        <v>2</v>
      </c>
      <c r="G573" s="56" t="str" cm="1">
        <f t="array" ref="G573">INDEX(deskripsi!$D$2:$H$337,
   MATCH(1,(deskripsi!$A$2:$A$337=B573)*
           (deskripsi!$B$2:$B$337=C573)*
           (deskripsi!$C$2:$C$337=D573),0),
   F573)</f>
        <v>Menyadari ada risiko, tetapi tidak menyiapkan langkah apa pun untuknya.</v>
      </c>
    </row>
    <row r="574" spans="1:7">
      <c r="A574" t="str">
        <f t="shared" si="8"/>
        <v>Controlling &amp; Corrective Action|Division Head|3|3</v>
      </c>
      <c r="B574" t="str">
        <v>Controlling &amp; Corrective Action</v>
      </c>
      <c r="C574" t="str">
        <v>Division Head</v>
      </c>
      <c r="D574" s="76">
        <v>3</v>
      </c>
      <c r="E574" t="str" cm="1">
        <f t="array" ref="E574">INDEX(aspek!$D$2:$D$337,
   MATCH(1,(aspek!$A$2:$A$337=B574)*
           (aspek!$B$2:$B$337=C574)*
           (aspek!$C$2:$C$337=D574),0))</f>
        <v>Antisipasi kendala pelaksanaan</v>
      </c>
      <c r="F574" s="76">
        <v>3</v>
      </c>
      <c r="G574" s="56" t="str" cm="1">
        <f t="array" ref="G574">INDEX(deskripsi!$D$2:$H$337,
   MATCH(1,(deskripsi!$A$2:$A$337=B574)*
           (deskripsi!$B$2:$B$337=C574)*
           (deskripsi!$C$2:$C$337=D574),0),
   F574)</f>
        <v>Mencatat daftar risiko generik tanpa langkah cadangan yang spesifik.</v>
      </c>
    </row>
    <row r="575" spans="1:7">
      <c r="A575" t="str">
        <f t="shared" si="8"/>
        <v>Controlling &amp; Corrective Action|Division Head|3|4</v>
      </c>
      <c r="B575" t="str">
        <v>Controlling &amp; Corrective Action</v>
      </c>
      <c r="C575" t="str">
        <v>Division Head</v>
      </c>
      <c r="D575" s="76">
        <v>3</v>
      </c>
      <c r="E575" t="str" cm="1">
        <f t="array" ref="E575">INDEX(aspek!$D$2:$D$337,
   MATCH(1,(aspek!$A$2:$A$337=B575)*
           (aspek!$B$2:$B$337=C575)*
           (aspek!$C$2:$C$337=D575),0))</f>
        <v>Antisipasi kendala pelaksanaan</v>
      </c>
      <c r="F575" s="76">
        <v>4</v>
      </c>
      <c r="G575" s="56" t="str" cm="1">
        <f t="array" ref="G575">INDEX(deskripsi!$D$2:$H$337,
   MATCH(1,(deskripsi!$A$2:$A$337=B575)*
           (deskripsi!$B$2:$B$337=C575)*
           (deskripsi!$C$2:$C$337=D575),0),
   F575)</f>
        <v>Mengidentifikasi kendala yang PALING MUNGKIN terjadi berdasarkan riwayat, dan menyiapkan langkah cadangan yang spesifik untuk masing-masing.</v>
      </c>
    </row>
    <row r="576" spans="1:7">
      <c r="A576" t="str">
        <f t="shared" si="8"/>
        <v>Controlling &amp; Corrective Action|Division Head|3|5</v>
      </c>
      <c r="B576" t="str">
        <v>Controlling &amp; Corrective Action</v>
      </c>
      <c r="C576" t="str">
        <v>Division Head</v>
      </c>
      <c r="D576" s="76">
        <v>3</v>
      </c>
      <c r="E576" t="str" cm="1">
        <f t="array" ref="E576">INDEX(aspek!$D$2:$D$337,
   MATCH(1,(aspek!$A$2:$A$337=B576)*
           (aspek!$B$2:$B$337=C576)*
           (aspek!$C$2:$C$337=D576),0))</f>
        <v>Antisipasi kendala pelaksanaan</v>
      </c>
      <c r="F576" s="76">
        <v>5</v>
      </c>
      <c r="G576" s="56" t="str" cm="1">
        <f t="array" ref="G576">INDEX(deskripsi!$D$2:$H$337,
   MATCH(1,(deskripsi!$A$2:$A$337=B576)*
           (deskripsi!$B$2:$B$337=C576)*
           (deskripsi!$C$2:$C$337=D576),0),
   F576)</f>
        <v>Daftar kendala dan cadangannya menjadi rujukan bagi perencanaan sejenis di unit lain.</v>
      </c>
    </row>
    <row r="577" spans="1:7">
      <c r="A577" t="str">
        <f t="shared" si="8"/>
        <v>Controlling &amp; Corrective Action|Division Head|4|1</v>
      </c>
      <c r="B577" t="str">
        <v>Controlling &amp; Corrective Action</v>
      </c>
      <c r="C577" t="str">
        <v>Division Head</v>
      </c>
      <c r="D577" s="76">
        <v>4</v>
      </c>
      <c r="E577" t="str" cm="1">
        <f t="array" ref="E577">INDEX(aspek!$D$2:$D$337,
   MATCH(1,(aspek!$A$2:$A$337=B577)*
           (aspek!$B$2:$B$337=C577)*
           (aspek!$C$2:$C$337=D577),0))</f>
        <v>Rencana cadangan yang benar-benar dipakai</v>
      </c>
      <c r="F577" s="76">
        <v>1</v>
      </c>
      <c r="G577" s="56" t="str" cm="1">
        <f t="array" ref="G577">INDEX(deskripsi!$D$2:$H$337,
   MATCH(1,(deskripsi!$A$2:$A$337=B577)*
           (deskripsi!$B$2:$B$337=C577)*
           (deskripsi!$C$2:$C$337=D577),0),
   F577)</f>
        <v>Rencana cadangan tidak pernah disusun; kendala ditangani secara ad hoc saat terjadi.</v>
      </c>
    </row>
    <row r="578" spans="1:7">
      <c r="A578" t="str">
        <f t="shared" si="8"/>
        <v>Controlling &amp; Corrective Action|Division Head|4|2</v>
      </c>
      <c r="B578" t="str">
        <v>Controlling &amp; Corrective Action</v>
      </c>
      <c r="C578" t="str">
        <v>Division Head</v>
      </c>
      <c r="D578" s="76">
        <v>4</v>
      </c>
      <c r="E578" t="str" cm="1">
        <f t="array" ref="E578">INDEX(aspek!$D$2:$D$337,
   MATCH(1,(aspek!$A$2:$A$337=B578)*
           (aspek!$B$2:$B$337=C578)*
           (aspek!$C$2:$C$337=D578),0))</f>
        <v>Rencana cadangan yang benar-benar dipakai</v>
      </c>
      <c r="F578" s="76">
        <v>2</v>
      </c>
      <c r="G578" s="56" t="str" cm="1">
        <f t="array" ref="G578">INDEX(deskripsi!$D$2:$H$337,
   MATCH(1,(deskripsi!$A$2:$A$337=B578)*
           (deskripsi!$B$2:$B$337=C578)*
           (deskripsi!$C$2:$C$337=D578),0),
   F578)</f>
        <v>Rencana cadangan disusun tetapi tidak pernah diperiksa lagi setelah ditulis.</v>
      </c>
    </row>
    <row r="579" spans="1:7">
      <c r="A579" t="str">
        <f t="shared" ref="A579:A642" si="9">B579&amp;"|"&amp;C579&amp;"|"&amp;D579&amp;"|"&amp;F579</f>
        <v>Controlling &amp; Corrective Action|Division Head|4|3</v>
      </c>
      <c r="B579" t="str">
        <v>Controlling &amp; Corrective Action</v>
      </c>
      <c r="C579" t="str">
        <v>Division Head</v>
      </c>
      <c r="D579" s="76">
        <v>4</v>
      </c>
      <c r="E579" t="str" cm="1">
        <f t="array" ref="E579">INDEX(aspek!$D$2:$D$337,
   MATCH(1,(aspek!$A$2:$A$337=B579)*
           (aspek!$B$2:$B$337=C579)*
           (aspek!$C$2:$C$337=D579),0))</f>
        <v>Rencana cadangan yang benar-benar dipakai</v>
      </c>
      <c r="F579" s="76">
        <v>3</v>
      </c>
      <c r="G579" s="56" t="str" cm="1">
        <f t="array" ref="G579">INDEX(deskripsi!$D$2:$H$337,
   MATCH(1,(deskripsi!$A$2:$A$337=B579)*
           (deskripsi!$B$2:$B$337=C579)*
           (deskripsi!$C$2:$C$337=D579),0),
   F579)</f>
        <v>Rencana cadangan dipakai ketika kendala yang diantisipasi benar-benar terjadi.</v>
      </c>
    </row>
    <row r="580" spans="1:7">
      <c r="A580" t="str">
        <f t="shared" si="9"/>
        <v>Controlling &amp; Corrective Action|Division Head|4|4</v>
      </c>
      <c r="B580" t="str">
        <v>Controlling &amp; Corrective Action</v>
      </c>
      <c r="C580" t="str">
        <v>Division Head</v>
      </c>
      <c r="D580" s="76">
        <v>4</v>
      </c>
      <c r="E580" t="str" cm="1">
        <f t="array" ref="E580">INDEX(aspek!$D$2:$D$337,
   MATCH(1,(aspek!$A$2:$A$337=B580)*
           (aspek!$B$2:$B$337=C580)*
           (aspek!$C$2:$C$337=D580),0))</f>
        <v>Rencana cadangan yang benar-benar dipakai</v>
      </c>
      <c r="F580" s="76">
        <v>4</v>
      </c>
      <c r="G580" s="56" t="str" cm="1">
        <f t="array" ref="G580">INDEX(deskripsi!$D$2:$H$337,
   MATCH(1,(deskripsi!$A$2:$A$337=B580)*
           (deskripsi!$B$2:$B$337=C580)*
           (deskripsi!$C$2:$C$337=D580),0),
   F580)</f>
        <v>Rencana cadangan berhasil menjaga pekerjaan tetap berjalan tanpa henti berarti ketika kendala terjadi, dibuktikan dengan data.</v>
      </c>
    </row>
    <row r="581" spans="1:7">
      <c r="A581" t="str">
        <f t="shared" si="9"/>
        <v>Controlling &amp; Corrective Action|Division Head|4|5</v>
      </c>
      <c r="B581" t="str">
        <v>Controlling &amp; Corrective Action</v>
      </c>
      <c r="C581" t="str">
        <v>Division Head</v>
      </c>
      <c r="D581" s="76">
        <v>4</v>
      </c>
      <c r="E581" t="str" cm="1">
        <f t="array" ref="E581">INDEX(aspek!$D$2:$D$337,
   MATCH(1,(aspek!$A$2:$A$337=B581)*
           (aspek!$B$2:$B$337=C581)*
           (aspek!$C$2:$C$337=D581),0))</f>
        <v>Rencana cadangan yang benar-benar dipakai</v>
      </c>
      <c r="F581" s="76">
        <v>5</v>
      </c>
      <c r="G581" s="56" t="str" cm="1">
        <f t="array" ref="G581">INDEX(deskripsi!$D$2:$H$337,
   MATCH(1,(deskripsi!$A$2:$A$337=B581)*
           (deskripsi!$B$2:$B$337=C581)*
           (deskripsi!$C$2:$C$337=D581),0),
   F581)</f>
        <v>Rencana cadangannya menjadi standar penanganan kendala sejenis di luar unitnya.</v>
      </c>
    </row>
    <row r="582" spans="1:7">
      <c r="A582" t="str">
        <f t="shared" si="9"/>
        <v>Controlling &amp; Corrective Action|Director|1|1</v>
      </c>
      <c r="B582" t="str">
        <v>Controlling &amp; Corrective Action</v>
      </c>
      <c r="C582" t="str">
        <v>Director</v>
      </c>
      <c r="D582" s="76">
        <v>1</v>
      </c>
      <c r="E582" t="str" cm="1">
        <f t="array" ref="E582">INDEX(aspek!$D$2:$D$337,
   MATCH(1,(aspek!$A$2:$A$337=B582)*
           (aspek!$B$2:$B$337=C582)*
           (aspek!$C$2:$C$337=D582),0))</f>
        <v>Ketinggian standar pengendalian yang ditetapkan</v>
      </c>
      <c r="F582" s="76">
        <v>1</v>
      </c>
      <c r="G582" s="56" t="str" cm="1">
        <f t="array" ref="G582">INDEX(deskripsi!$D$2:$H$337,
   MATCH(1,(deskripsi!$A$2:$A$337=B582)*
           (deskripsi!$B$2:$B$337=C582)*
           (deskripsi!$C$2:$C$337=D582),0),
   F582)</f>
        <v>Menerima standar pengendalian yang berlaku apa adanya.</v>
      </c>
    </row>
    <row r="583" spans="1:7">
      <c r="A583" t="str">
        <f t="shared" si="9"/>
        <v>Controlling &amp; Corrective Action|Director|1|2</v>
      </c>
      <c r="B583" t="str">
        <v>Controlling &amp; Corrective Action</v>
      </c>
      <c r="C583" t="str">
        <v>Director</v>
      </c>
      <c r="D583" s="76">
        <v>1</v>
      </c>
      <c r="E583" t="str" cm="1">
        <f t="array" ref="E583">INDEX(aspek!$D$2:$D$337,
   MATCH(1,(aspek!$A$2:$A$337=B583)*
           (aspek!$B$2:$B$337=C583)*
           (aspek!$C$2:$C$337=D583),0))</f>
        <v>Ketinggian standar pengendalian yang ditetapkan</v>
      </c>
      <c r="F583" s="76">
        <v>2</v>
      </c>
      <c r="G583" s="56" t="str" cm="1">
        <f t="array" ref="G583">INDEX(deskripsi!$D$2:$H$337,
   MATCH(1,(deskripsi!$A$2:$A$337=B583)*
           (deskripsi!$B$2:$B$337=C583)*
           (deskripsi!$C$2:$C$337=D583),0),
   F583)</f>
        <v>Menaikkan standar hanya ketika diminta atau ketika insiden besar terjadi.</v>
      </c>
    </row>
    <row r="584" spans="1:7">
      <c r="A584" t="str">
        <f t="shared" si="9"/>
        <v>Controlling &amp; Corrective Action|Director|1|3</v>
      </c>
      <c r="B584" t="str">
        <v>Controlling &amp; Corrective Action</v>
      </c>
      <c r="C584" t="str">
        <v>Director</v>
      </c>
      <c r="D584" s="76">
        <v>1</v>
      </c>
      <c r="E584" t="str" cm="1">
        <f t="array" ref="E584">INDEX(aspek!$D$2:$D$337,
   MATCH(1,(aspek!$A$2:$A$337=B584)*
           (aspek!$B$2:$B$337=C584)*
           (aspek!$C$2:$C$337=D584),0))</f>
        <v>Ketinggian standar pengendalian yang ditetapkan</v>
      </c>
      <c r="F584" s="76">
        <v>3</v>
      </c>
      <c r="G584" s="56" t="str" cm="1">
        <f t="array" ref="G584">INDEX(deskripsi!$D$2:$H$337,
   MATCH(1,(deskripsi!$A$2:$A$337=B584)*
           (deskripsi!$B$2:$B$337=C584)*
           (deskripsi!$C$2:$C$337=D584),0),
   F584)</f>
        <v>Menaikkan standar secara berkala dengan pembanding kinerja organisasi sendiri.</v>
      </c>
    </row>
    <row r="585" spans="1:7">
      <c r="A585" t="str">
        <f t="shared" si="9"/>
        <v>Controlling &amp; Corrective Action|Director|1|4</v>
      </c>
      <c r="B585" t="str">
        <v>Controlling &amp; Corrective Action</v>
      </c>
      <c r="C585" t="str">
        <v>Director</v>
      </c>
      <c r="D585" s="76">
        <v>1</v>
      </c>
      <c r="E585" t="str" cm="1">
        <f t="array" ref="E585">INDEX(aspek!$D$2:$D$337,
   MATCH(1,(aspek!$A$2:$A$337=B585)*
           (aspek!$B$2:$B$337=C585)*
           (aspek!$C$2:$C$337=D585),0))</f>
        <v>Ketinggian standar pengendalian yang ditetapkan</v>
      </c>
      <c r="F585" s="76">
        <v>4</v>
      </c>
      <c r="G585" s="56" t="str" cm="1">
        <f t="array" ref="G585">INDEX(deskripsi!$D$2:$H$337,
   MATCH(1,(deskripsi!$A$2:$A$337=B585)*
           (deskripsi!$B$2:$B$337=C585)*
           (deskripsi!$C$2:$C$337=D585),0),
   F585)</f>
        <v>Menetapkan standar pengendalian berdasarkan pembanding di luar organisasi, dan mampu menjelaskan mengapa batas itu dipilih.</v>
      </c>
    </row>
    <row r="586" spans="1:7">
      <c r="A586" t="str">
        <f t="shared" si="9"/>
        <v>Controlling &amp; Corrective Action|Director|1|5</v>
      </c>
      <c r="B586" t="str">
        <v>Controlling &amp; Corrective Action</v>
      </c>
      <c r="C586" t="str">
        <v>Director</v>
      </c>
      <c r="D586" s="76">
        <v>1</v>
      </c>
      <c r="E586" t="str" cm="1">
        <f t="array" ref="E586">INDEX(aspek!$D$2:$D$337,
   MATCH(1,(aspek!$A$2:$A$337=B586)*
           (aspek!$B$2:$B$337=C586)*
           (aspek!$C$2:$C$337=D586),0))</f>
        <v>Ketinggian standar pengendalian yang ditetapkan</v>
      </c>
      <c r="F586" s="76">
        <v>5</v>
      </c>
      <c r="G586" s="56" t="str" cm="1">
        <f t="array" ref="G586">INDEX(deskripsi!$D$2:$H$337,
   MATCH(1,(deskripsi!$A$2:$A$337=B586)*
           (deskripsi!$B$2:$B$337=C586)*
           (deskripsi!$C$2:$C$337=D586),0),
   F586)</f>
        <v>Standar yang ia tetapkan menjadi acuan yang diikuti fungsi lain.</v>
      </c>
    </row>
    <row r="587" spans="1:7">
      <c r="A587" t="str">
        <f t="shared" si="9"/>
        <v>Controlling &amp; Corrective Action|Director|2|1</v>
      </c>
      <c r="B587" t="str">
        <v>Controlling &amp; Corrective Action</v>
      </c>
      <c r="C587" t="str">
        <v>Director</v>
      </c>
      <c r="D587" s="76">
        <v>2</v>
      </c>
      <c r="E587" t="str" cm="1">
        <f t="array" ref="E587">INDEX(aspek!$D$2:$D$337,
   MATCH(1,(aspek!$A$2:$A$337=B587)*
           (aspek!$B$2:$B$337=C587)*
           (aspek!$C$2:$C$337=D587),0))</f>
        <v>Standar bagi diri sendiri</v>
      </c>
      <c r="F587" s="76">
        <v>1</v>
      </c>
      <c r="G587" s="56" t="str" cm="1">
        <f t="array" ref="G587">INDEX(deskripsi!$D$2:$H$337,
   MATCH(1,(deskripsi!$A$2:$A$337=B587)*
           (deskripsi!$B$2:$B$337=C587)*
           (deskripsi!$C$2:$C$337=D587),0),
   F587)</f>
        <v>Menuntut disiplin pengendalian dari orang lain tanpa menerapkannya pada dirinya sendiri.</v>
      </c>
    </row>
    <row r="588" spans="1:7">
      <c r="A588" t="str">
        <f t="shared" si="9"/>
        <v>Controlling &amp; Corrective Action|Director|2|2</v>
      </c>
      <c r="B588" t="str">
        <v>Controlling &amp; Corrective Action</v>
      </c>
      <c r="C588" t="str">
        <v>Director</v>
      </c>
      <c r="D588" s="76">
        <v>2</v>
      </c>
      <c r="E588" t="str" cm="1">
        <f t="array" ref="E588">INDEX(aspek!$D$2:$D$337,
   MATCH(1,(aspek!$A$2:$A$337=B588)*
           (aspek!$B$2:$B$337=C588)*
           (aspek!$C$2:$C$337=D588),0))</f>
        <v>Standar bagi diri sendiri</v>
      </c>
      <c r="F588" s="76">
        <v>2</v>
      </c>
      <c r="G588" s="56" t="str" cm="1">
        <f t="array" ref="G588">INDEX(deskripsi!$D$2:$H$337,
   MATCH(1,(deskripsi!$A$2:$A$337=B588)*
           (deskripsi!$B$2:$B$337=C588)*
           (deskripsi!$C$2:$C$337=D588),0),
   F588)</f>
        <v>Menerapkan standar yang sama dengan timnya, tidak lebih.</v>
      </c>
    </row>
    <row r="589" spans="1:7">
      <c r="A589" t="str">
        <f t="shared" si="9"/>
        <v>Controlling &amp; Corrective Action|Director|2|3</v>
      </c>
      <c r="B589" t="str">
        <v>Controlling &amp; Corrective Action</v>
      </c>
      <c r="C589" t="str">
        <v>Director</v>
      </c>
      <c r="D589" s="76">
        <v>2</v>
      </c>
      <c r="E589" t="str" cm="1">
        <f t="array" ref="E589">INDEX(aspek!$D$2:$D$337,
   MATCH(1,(aspek!$A$2:$A$337=B589)*
           (aspek!$B$2:$B$337=C589)*
           (aspek!$C$2:$C$337=D589),0))</f>
        <v>Standar bagi diri sendiri</v>
      </c>
      <c r="F589" s="76">
        <v>3</v>
      </c>
      <c r="G589" s="56" t="str" cm="1">
        <f t="array" ref="G589">INDEX(deskripsi!$D$2:$H$337,
   MATCH(1,(deskripsi!$A$2:$A$337=B589)*
           (deskripsi!$B$2:$B$337=C589)*
           (deskripsi!$C$2:$C$337=D589),0),
   F589)</f>
        <v>Menetapkan standar pribadi yang lebih tinggi, tetapi menyimpannya untuk diri sendiri.</v>
      </c>
    </row>
    <row r="590" spans="1:7">
      <c r="A590" t="str">
        <f t="shared" si="9"/>
        <v>Controlling &amp; Corrective Action|Director|2|4</v>
      </c>
      <c r="B590" t="str">
        <v>Controlling &amp; Corrective Action</v>
      </c>
      <c r="C590" t="str">
        <v>Director</v>
      </c>
      <c r="D590" s="76">
        <v>2</v>
      </c>
      <c r="E590" t="str" cm="1">
        <f t="array" ref="E590">INDEX(aspek!$D$2:$D$337,
   MATCH(1,(aspek!$A$2:$A$337=B590)*
           (aspek!$B$2:$B$337=C590)*
           (aspek!$C$2:$C$337=D590),0))</f>
        <v>Standar bagi diri sendiri</v>
      </c>
      <c r="F590" s="76">
        <v>4</v>
      </c>
      <c r="G590" s="56" t="str" cm="1">
        <f t="array" ref="G590">INDEX(deskripsi!$D$2:$H$337,
   MATCH(1,(deskripsi!$A$2:$A$337=B590)*
           (deskripsi!$B$2:$B$337=C590)*
           (deskripsi!$C$2:$C$337=D590),0),
   F590)</f>
        <v>Menetapkan standar pribadi yang lebih tinggi daripada tuntutan jabatannya, mengumumkannya, dan melaporkan hasilnya apa adanya.</v>
      </c>
    </row>
    <row r="591" spans="1:7">
      <c r="A591" t="str">
        <f t="shared" si="9"/>
        <v>Controlling &amp; Corrective Action|Director|2|5</v>
      </c>
      <c r="B591" t="str">
        <v>Controlling &amp; Corrective Action</v>
      </c>
      <c r="C591" t="str">
        <v>Director</v>
      </c>
      <c r="D591" s="76">
        <v>2</v>
      </c>
      <c r="E591" t="str" cm="1">
        <f t="array" ref="E591">INDEX(aspek!$D$2:$D$337,
   MATCH(1,(aspek!$A$2:$A$337=B591)*
           (aspek!$B$2:$B$337=C591)*
           (aspek!$C$2:$C$337=D591),0))</f>
        <v>Standar bagi diri sendiri</v>
      </c>
      <c r="F591" s="76">
        <v>5</v>
      </c>
      <c r="G591" s="56" t="str" cm="1">
        <f t="array" ref="G591">INDEX(deskripsi!$D$2:$H$337,
   MATCH(1,(deskripsi!$A$2:$A$337=B591)*
           (deskripsi!$B$2:$B$337=C591)*
           (deskripsi!$C$2:$C$337=D591),0),
   F591)</f>
        <v>Standar pribadinya menjadi rujukan yang ditiru tanpa ia minta.</v>
      </c>
    </row>
    <row r="592" spans="1:7">
      <c r="A592" t="str">
        <f t="shared" si="9"/>
        <v>Controlling &amp; Corrective Action|Director|3|1</v>
      </c>
      <c r="B592" t="str">
        <v>Controlling &amp; Corrective Action</v>
      </c>
      <c r="C592" t="str">
        <v>Director</v>
      </c>
      <c r="D592" s="76">
        <v>3</v>
      </c>
      <c r="E592" t="str" cm="1">
        <f t="array" ref="E592">INDEX(aspek!$D$2:$D$337,
   MATCH(1,(aspek!$A$2:$A$337=B592)*
           (aspek!$B$2:$B$337=C592)*
           (aspek!$C$2:$C$337=D592),0))</f>
        <v>Pelembagaan sistem pengendalian</v>
      </c>
      <c r="F592" s="76">
        <v>1</v>
      </c>
      <c r="G592" s="56" t="str" cm="1">
        <f t="array" ref="G592">INDEX(deskripsi!$D$2:$H$337,
   MATCH(1,(deskripsi!$A$2:$A$337=B592)*
           (deskripsi!$B$2:$B$337=C592)*
           (deskripsi!$C$2:$C$337=D592),0),
   F592)</f>
        <v>Sistem pengendalian bergantung sepenuhnya pada pengawasannya.</v>
      </c>
    </row>
    <row r="593" spans="1:7">
      <c r="A593" t="str">
        <f t="shared" si="9"/>
        <v>Controlling &amp; Corrective Action|Director|3|2</v>
      </c>
      <c r="B593" t="str">
        <v>Controlling &amp; Corrective Action</v>
      </c>
      <c r="C593" t="str">
        <v>Director</v>
      </c>
      <c r="D593" s="76">
        <v>3</v>
      </c>
      <c r="E593" t="str" cm="1">
        <f t="array" ref="E593">INDEX(aspek!$D$2:$D$337,
   MATCH(1,(aspek!$A$2:$A$337=B593)*
           (aspek!$B$2:$B$337=C593)*
           (aspek!$C$2:$C$337=D593),0))</f>
        <v>Pelembagaan sistem pengendalian</v>
      </c>
      <c r="F593" s="76">
        <v>2</v>
      </c>
      <c r="G593" s="56" t="str" cm="1">
        <f t="array" ref="G593">INDEX(deskripsi!$D$2:$H$337,
   MATCH(1,(deskripsi!$A$2:$A$337=B593)*
           (deskripsi!$B$2:$B$337=C593)*
           (deskripsi!$C$2:$C$337=D593),0),
   F593)</f>
        <v>Sistem dituliskan tetapi tidak ada yang memeriksa dan tidak ada konsekuensinya.</v>
      </c>
    </row>
    <row r="594" spans="1:7">
      <c r="A594" t="str">
        <f t="shared" si="9"/>
        <v>Controlling &amp; Corrective Action|Director|3|3</v>
      </c>
      <c r="B594" t="str">
        <v>Controlling &amp; Corrective Action</v>
      </c>
      <c r="C594" t="str">
        <v>Director</v>
      </c>
      <c r="D594" s="76">
        <v>3</v>
      </c>
      <c r="E594" t="str" cm="1">
        <f t="array" ref="E594">INDEX(aspek!$D$2:$D$337,
   MATCH(1,(aspek!$A$2:$A$337=B594)*
           (aspek!$B$2:$B$337=C594)*
           (aspek!$C$2:$C$337=D594),0))</f>
        <v>Pelembagaan sistem pengendalian</v>
      </c>
      <c r="F594" s="76">
        <v>3</v>
      </c>
      <c r="G594" s="56" t="str" cm="1">
        <f t="array" ref="G594">INDEX(deskripsi!$D$2:$H$337,
   MATCH(1,(deskripsi!$A$2:$A$337=B594)*
           (deskripsi!$B$2:$B$337=C594)*
           (deskripsi!$C$2:$C$337=D594),0),
   F594)</f>
        <v>Sistem berjalan dengan peserta sebagai pemeriksanya.</v>
      </c>
    </row>
    <row r="595" spans="1:7">
      <c r="A595" t="str">
        <f t="shared" si="9"/>
        <v>Controlling &amp; Corrective Action|Director|3|4</v>
      </c>
      <c r="B595" t="str">
        <v>Controlling &amp; Corrective Action</v>
      </c>
      <c r="C595" t="str">
        <v>Director</v>
      </c>
      <c r="D595" s="76">
        <v>3</v>
      </c>
      <c r="E595" t="str" cm="1">
        <f t="array" ref="E595">INDEX(aspek!$D$2:$D$337,
   MATCH(1,(aspek!$A$2:$A$337=B595)*
           (aspek!$B$2:$B$337=C595)*
           (aspek!$C$2:$C$337=D595),0))</f>
        <v>Pelembagaan sistem pengendalian</v>
      </c>
      <c r="F595" s="76">
        <v>4</v>
      </c>
      <c r="G595" s="56" t="str" cm="1">
        <f t="array" ref="G595">INDEX(deskripsi!$D$2:$H$337,
   MATCH(1,(deskripsi!$A$2:$A$337=B595)*
           (deskripsi!$B$2:$B$337=C595)*
           (deskripsi!$C$2:$C$337=D595),0),
   F595)</f>
        <v>Sistem memiliki pemilik selain dirinya, irama peninjauan, dan konsekuensi — dan terbukti berjalan pada periode ia tidak terlibat.</v>
      </c>
    </row>
    <row r="596" spans="1:7">
      <c r="A596" t="str">
        <f t="shared" si="9"/>
        <v>Controlling &amp; Corrective Action|Director|3|5</v>
      </c>
      <c r="B596" t="str">
        <v>Controlling &amp; Corrective Action</v>
      </c>
      <c r="C596" t="str">
        <v>Director</v>
      </c>
      <c r="D596" s="76">
        <v>3</v>
      </c>
      <c r="E596" t="str" cm="1">
        <f t="array" ref="E596">INDEX(aspek!$D$2:$D$337,
   MATCH(1,(aspek!$A$2:$A$337=B596)*
           (aspek!$B$2:$B$337=C596)*
           (aspek!$C$2:$C$337=D596),0))</f>
        <v>Pelembagaan sistem pengendalian</v>
      </c>
      <c r="F596" s="76">
        <v>5</v>
      </c>
      <c r="G596" s="56" t="str" cm="1">
        <f t="array" ref="G596">INDEX(deskripsi!$D$2:$H$337,
   MATCH(1,(deskripsi!$A$2:$A$337=B596)*
           (deskripsi!$B$2:$B$337=C596)*
           (deskripsi!$C$2:$C$337=D596),0),
   F596)</f>
        <v>Sistem itu menjadi kebiasaan kerja yang dijaga sendiri oleh pelaksananya.</v>
      </c>
    </row>
    <row r="597" spans="1:7">
      <c r="A597" t="str">
        <f t="shared" si="9"/>
        <v>Controlling &amp; Corrective Action|Director|4|1</v>
      </c>
      <c r="B597" t="str">
        <v>Controlling &amp; Corrective Action</v>
      </c>
      <c r="C597" t="str">
        <v>Director</v>
      </c>
      <c r="D597" s="76">
        <v>4</v>
      </c>
      <c r="E597" t="str" cm="1">
        <f t="array" ref="E597">INDEX(aspek!$D$2:$D$337,
   MATCH(1,(aspek!$A$2:$A$337=B597)*
           (aspek!$B$2:$B$337=C597)*
           (aspek!$C$2:$C$337=D597),0))</f>
        <v>Ketahanan standar di bawah tekanan</v>
      </c>
      <c r="F597" s="76">
        <v>1</v>
      </c>
      <c r="G597" s="56" t="str" cm="1">
        <f t="array" ref="G597">INDEX(deskripsi!$D$2:$H$337,
   MATCH(1,(deskripsi!$A$2:$A$337=B597)*
           (deskripsi!$B$2:$B$337=C597)*
           (deskripsi!$C$2:$C$337=D597),0),
   F597)</f>
        <v>Standar dilonggarkan setiap kali ada tenggat mepet atau biaya membengkak.</v>
      </c>
    </row>
    <row r="598" spans="1:7">
      <c r="A598" t="str">
        <f t="shared" si="9"/>
        <v>Controlling &amp; Corrective Action|Director|4|2</v>
      </c>
      <c r="B598" t="str">
        <v>Controlling &amp; Corrective Action</v>
      </c>
      <c r="C598" t="str">
        <v>Director</v>
      </c>
      <c r="D598" s="76">
        <v>4</v>
      </c>
      <c r="E598" t="str" cm="1">
        <f t="array" ref="E598">INDEX(aspek!$D$2:$D$337,
   MATCH(1,(aspek!$A$2:$A$337=B598)*
           (aspek!$B$2:$B$337=C598)*
           (aspek!$C$2:$C$337=D598),0))</f>
        <v>Ketahanan standar di bawah tekanan</v>
      </c>
      <c r="F598" s="76">
        <v>2</v>
      </c>
      <c r="G598" s="56" t="str" cm="1">
        <f t="array" ref="G598">INDEX(deskripsi!$D$2:$H$337,
   MATCH(1,(deskripsi!$A$2:$A$337=B598)*
           (deskripsi!$B$2:$B$337=C598)*
           (deskripsi!$C$2:$C$337=D598),0),
   F598)</f>
        <v>Standar dipertahankan pada perkara kecil, dikompromikan pada perkara besar.</v>
      </c>
    </row>
    <row r="599" spans="1:7">
      <c r="A599" t="str">
        <f t="shared" si="9"/>
        <v>Controlling &amp; Corrective Action|Director|4|3</v>
      </c>
      <c r="B599" t="str">
        <v>Controlling &amp; Corrective Action</v>
      </c>
      <c r="C599" t="str">
        <v>Director</v>
      </c>
      <c r="D599" s="76">
        <v>4</v>
      </c>
      <c r="E599" t="str" cm="1">
        <f t="array" ref="E599">INDEX(aspek!$D$2:$D$337,
   MATCH(1,(aspek!$A$2:$A$337=B599)*
           (aspek!$B$2:$B$337=C599)*
           (aspek!$C$2:$C$337=D599),0))</f>
        <v>Ketahanan standar di bawah tekanan</v>
      </c>
      <c r="F599" s="76">
        <v>3</v>
      </c>
      <c r="G599" s="56" t="str" cm="1">
        <f t="array" ref="G599">INDEX(deskripsi!$D$2:$H$337,
   MATCH(1,(deskripsi!$A$2:$A$337=B599)*
           (deskripsi!$B$2:$B$337=C599)*
           (deskripsi!$C$2:$C$337=D599),0),
   F599)</f>
        <v>Standar dipertahankan, dengan biaya yang tidak dikelola.</v>
      </c>
    </row>
    <row r="600" spans="1:7">
      <c r="A600" t="str">
        <f t="shared" si="9"/>
        <v>Controlling &amp; Corrective Action|Director|4|4</v>
      </c>
      <c r="B600" t="str">
        <v>Controlling &amp; Corrective Action</v>
      </c>
      <c r="C600" t="str">
        <v>Director</v>
      </c>
      <c r="D600" s="76">
        <v>4</v>
      </c>
      <c r="E600" t="str" cm="1">
        <f t="array" ref="E600">INDEX(aspek!$D$2:$D$337,
   MATCH(1,(aspek!$A$2:$A$337=B600)*
           (aspek!$B$2:$B$337=C600)*
           (aspek!$C$2:$C$337=D600),0))</f>
        <v>Ketahanan standar di bawah tekanan</v>
      </c>
      <c r="F600" s="76">
        <v>4</v>
      </c>
      <c r="G600" s="56" t="str" cm="1">
        <f t="array" ref="G600">INDEX(deskripsi!$D$2:$H$337,
   MATCH(1,(deskripsi!$A$2:$A$337=B600)*
           (deskripsi!$B$2:$B$337=C600)*
           (deskripsi!$C$2:$C$337=D600),0),
   F600)</f>
        <v>Standar dipertahankan dalam situasi menuntut kompromi; bila diturunkan, diputuskan terbuka bersama direksi dengan rencana pemulihan.</v>
      </c>
    </row>
    <row r="601" spans="1:7">
      <c r="A601" t="str">
        <f t="shared" si="9"/>
        <v>Controlling &amp; Corrective Action|Director|4|5</v>
      </c>
      <c r="B601" t="str">
        <v>Controlling &amp; Corrective Action</v>
      </c>
      <c r="C601" t="str">
        <v>Director</v>
      </c>
      <c r="D601" s="76">
        <v>4</v>
      </c>
      <c r="E601" t="str" cm="1">
        <f t="array" ref="E601">INDEX(aspek!$D$2:$D$337,
   MATCH(1,(aspek!$A$2:$A$337=B601)*
           (aspek!$B$2:$B$337=C601)*
           (aspek!$C$2:$C$337=D601),0))</f>
        <v>Ketahanan standar di bawah tekanan</v>
      </c>
      <c r="F601" s="76">
        <v>5</v>
      </c>
      <c r="G601" s="56" t="str" cm="1">
        <f t="array" ref="G601">INDEX(deskripsi!$D$2:$H$337,
   MATCH(1,(deskripsi!$A$2:$A$337=B601)*
           (deskripsi!$B$2:$B$337=C601)*
           (deskripsi!$C$2:$C$337=D601),0),
   F601)</f>
        <v>Tekanan besar menjadi kesempatan menunjukkan standar dapat dipenuhi, sehingga batasnya naik permanen.</v>
      </c>
    </row>
    <row r="602" spans="1:7">
      <c r="A602" t="str">
        <f t="shared" si="9"/>
        <v>Analytical Thinking|Officer|1|1</v>
      </c>
      <c r="B602" t="str">
        <v>Analytical Thinking</v>
      </c>
      <c r="C602" t="str">
        <v>Officer</v>
      </c>
      <c r="D602" s="76">
        <v>1</v>
      </c>
      <c r="E602" t="str" cm="1">
        <f t="array" ref="E602">INDEX(aspek!$D$2:$D$337,
   MATCH(1,(aspek!$A$2:$A$337=B602)*
           (aspek!$B$2:$B$337=C602)*
           (aspek!$C$2:$C$337=D602),0))</f>
        <v>Kecepatan memahami</v>
      </c>
      <c r="F602" s="76">
        <v>1</v>
      </c>
      <c r="G602" s="56" t="str" cm="1">
        <f t="array" ref="G602">INDEX(deskripsi!$D$2:$H$337,
   MATCH(1,(deskripsi!$A$2:$A$337=B602)*
           (deskripsi!$B$2:$B$337=C602)*
           (deskripsi!$C$2:$C$337=D602),0),
   F602)</f>
        <v>Perlu dijelaskan berulang kali sebelum memahami isi sebuah dokumen kerja.</v>
      </c>
    </row>
    <row r="603" spans="1:7">
      <c r="A603" t="str">
        <f t="shared" si="9"/>
        <v>Analytical Thinking|Officer|1|2</v>
      </c>
      <c r="B603" t="str">
        <v>Analytical Thinking</v>
      </c>
      <c r="C603" t="str">
        <v>Officer</v>
      </c>
      <c r="D603" s="76">
        <v>1</v>
      </c>
      <c r="E603" t="str" cm="1">
        <f t="array" ref="E603">INDEX(aspek!$D$2:$D$337,
   MATCH(1,(aspek!$A$2:$A$337=B603)*
           (aspek!$B$2:$B$337=C603)*
           (aspek!$C$2:$C$337=D603),0))</f>
        <v>Kecepatan memahami</v>
      </c>
      <c r="F603" s="76">
        <v>2</v>
      </c>
      <c r="G603" s="56" t="str" cm="1">
        <f t="array" ref="G603">INDEX(deskripsi!$D$2:$H$337,
   MATCH(1,(deskripsi!$A$2:$A$337=B603)*
           (deskripsi!$B$2:$B$337=C603)*
           (deskripsi!$C$2:$C$337=D603),0),
   F603)</f>
        <v>Memahami setelah membaca beberapa kali, tetapi masih lebih lambat dari tuntutan pekerjaan.</v>
      </c>
    </row>
    <row r="604" spans="1:7">
      <c r="A604" t="str">
        <f t="shared" si="9"/>
        <v>Analytical Thinking|Officer|1|3</v>
      </c>
      <c r="B604" t="str">
        <v>Analytical Thinking</v>
      </c>
      <c r="C604" t="str">
        <v>Officer</v>
      </c>
      <c r="D604" s="76">
        <v>1</v>
      </c>
      <c r="E604" t="str" cm="1">
        <f t="array" ref="E604">INDEX(aspek!$D$2:$D$337,
   MATCH(1,(aspek!$A$2:$A$337=B604)*
           (aspek!$B$2:$B$337=C604)*
           (aspek!$C$2:$C$337=D604),0))</f>
        <v>Kecepatan memahami</v>
      </c>
      <c r="F604" s="76">
        <v>3</v>
      </c>
      <c r="G604" s="56" t="str" cm="1">
        <f t="array" ref="G604">INDEX(deskripsi!$D$2:$H$337,
   MATCH(1,(deskripsi!$A$2:$A$337=B604)*
           (deskripsi!$B$2:$B$337=C604)*
           (deskripsi!$C$2:$C$337=D604),0),
   F604)</f>
        <v>Memahami dokumen kerja rutin dalam waktu yang wajar tanpa penjelasan tambahan.</v>
      </c>
    </row>
    <row r="605" spans="1:7">
      <c r="A605" t="str">
        <f t="shared" si="9"/>
        <v>Analytical Thinking|Officer|1|4</v>
      </c>
      <c r="B605" t="str">
        <v>Analytical Thinking</v>
      </c>
      <c r="C605" t="str">
        <v>Officer</v>
      </c>
      <c r="D605" s="76">
        <v>1</v>
      </c>
      <c r="E605" t="str" cm="1">
        <f t="array" ref="E605">INDEX(aspek!$D$2:$D$337,
   MATCH(1,(aspek!$A$2:$A$337=B605)*
           (aspek!$B$2:$B$337=C605)*
           (aspek!$C$2:$C$337=D605),0))</f>
        <v>Kecepatan memahami</v>
      </c>
      <c r="F605" s="76">
        <v>4</v>
      </c>
      <c r="G605" s="56" t="str" cm="1">
        <f t="array" ref="G605">INDEX(deskripsi!$D$2:$H$337,
   MATCH(1,(deskripsi!$A$2:$A$337=B605)*
           (deskripsi!$B$2:$B$337=C605)*
           (deskripsi!$C$2:$C$337=D605),0),
   F605)</f>
        <v>Menangkap inti dokumen kerja yang baru baginya dalam waktu singkat, termasuk yang formatnya belum pernah ia temui.</v>
      </c>
    </row>
    <row r="606" spans="1:7">
      <c r="A606" t="str">
        <f t="shared" si="9"/>
        <v>Analytical Thinking|Officer|1|5</v>
      </c>
      <c r="B606" t="str">
        <v>Analytical Thinking</v>
      </c>
      <c r="C606" t="str">
        <v>Officer</v>
      </c>
      <c r="D606" s="76">
        <v>1</v>
      </c>
      <c r="E606" t="str" cm="1">
        <f t="array" ref="E606">INDEX(aspek!$D$2:$D$337,
   MATCH(1,(aspek!$A$2:$A$337=B606)*
           (aspek!$B$2:$B$337=C606)*
           (aspek!$C$2:$C$337=D606),0))</f>
        <v>Kecepatan memahami</v>
      </c>
      <c r="F606" s="76">
        <v>5</v>
      </c>
      <c r="G606" s="56" t="str" cm="1">
        <f t="array" ref="G606">INDEX(deskripsi!$D$2:$H$337,
   MATCH(1,(deskripsi!$A$2:$A$337=B606)*
           (deskripsi!$B$2:$B$337=C606)*
           (deskripsi!$C$2:$C$337=D606),0),
   F606)</f>
        <v>Menjadi orang yang dimintai bantuan rekan untuk membaca dokumen yang sulit dipahami.</v>
      </c>
    </row>
    <row r="607" spans="1:7">
      <c r="A607" t="str">
        <f t="shared" si="9"/>
        <v>Analytical Thinking|Officer|2|1</v>
      </c>
      <c r="B607" t="str">
        <v>Analytical Thinking</v>
      </c>
      <c r="C607" t="str">
        <v>Officer</v>
      </c>
      <c r="D607" s="76">
        <v>2</v>
      </c>
      <c r="E607" t="str" cm="1">
        <f t="array" ref="E607">INDEX(aspek!$D$2:$D$337,
   MATCH(1,(aspek!$A$2:$A$337=B607)*
           (aspek!$B$2:$B$337=C607)*
           (aspek!$C$2:$C$337=D607),0))</f>
        <v>Akurasi menangkap poin utama</v>
      </c>
      <c r="F607" s="76">
        <v>1</v>
      </c>
      <c r="G607" s="56" t="str" cm="1">
        <f t="array" ref="G607">INDEX(deskripsi!$D$2:$H$337,
   MATCH(1,(deskripsi!$A$2:$A$337=B607)*
           (deskripsi!$B$2:$B$337=C607)*
           (deskripsi!$C$2:$C$337=D607),0),
   F607)</f>
        <v>Menangkap bagian yang menarik baginya, bukan bagian yang terpenting.</v>
      </c>
    </row>
    <row r="608" spans="1:7">
      <c r="A608" t="str">
        <f t="shared" si="9"/>
        <v>Analytical Thinking|Officer|2|2</v>
      </c>
      <c r="B608" t="str">
        <v>Analytical Thinking</v>
      </c>
      <c r="C608" t="str">
        <v>Officer</v>
      </c>
      <c r="D608" s="76">
        <v>2</v>
      </c>
      <c r="E608" t="str" cm="1">
        <f t="array" ref="E608">INDEX(aspek!$D$2:$D$337,
   MATCH(1,(aspek!$A$2:$A$337=B608)*
           (aspek!$B$2:$B$337=C608)*
           (aspek!$C$2:$C$337=D608),0))</f>
        <v>Akurasi menangkap poin utama</v>
      </c>
      <c r="F608" s="76">
        <v>2</v>
      </c>
      <c r="G608" s="56" t="str" cm="1">
        <f t="array" ref="G608">INDEX(deskripsi!$D$2:$H$337,
   MATCH(1,(deskripsi!$A$2:$A$337=B608)*
           (deskripsi!$B$2:$B$337=C608)*
           (deskripsi!$C$2:$C$337=D608),0),
   F608)</f>
        <v>Menangkap sebagian poin utama, tetapi mencampurnya dengan detail yang tidak penting.</v>
      </c>
    </row>
    <row r="609" spans="1:7">
      <c r="A609" t="str">
        <f t="shared" si="9"/>
        <v>Analytical Thinking|Officer|2|3</v>
      </c>
      <c r="B609" t="str">
        <v>Analytical Thinking</v>
      </c>
      <c r="C609" t="str">
        <v>Officer</v>
      </c>
      <c r="D609" s="76">
        <v>2</v>
      </c>
      <c r="E609" t="str" cm="1">
        <f t="array" ref="E609">INDEX(aspek!$D$2:$D$337,
   MATCH(1,(aspek!$A$2:$A$337=B609)*
           (aspek!$B$2:$B$337=C609)*
           (aspek!$C$2:$C$337=D609),0))</f>
        <v>Akurasi menangkap poin utama</v>
      </c>
      <c r="F609" s="76">
        <v>3</v>
      </c>
      <c r="G609" s="56" t="str" cm="1">
        <f t="array" ref="G609">INDEX(deskripsi!$D$2:$H$337,
   MATCH(1,(deskripsi!$A$2:$A$337=B609)*
           (deskripsi!$B$2:$B$337=C609)*
           (deskripsi!$C$2:$C$337=D609),0),
   F609)</f>
        <v>Menangkap poin utama dengan benar pada dokumen yang strukturnya jelas.</v>
      </c>
    </row>
    <row r="610" spans="1:7">
      <c r="A610" t="str">
        <f t="shared" si="9"/>
        <v>Analytical Thinking|Officer|2|4</v>
      </c>
      <c r="B610" t="str">
        <v>Analytical Thinking</v>
      </c>
      <c r="C610" t="str">
        <v>Officer</v>
      </c>
      <c r="D610" s="76">
        <v>2</v>
      </c>
      <c r="E610" t="str" cm="1">
        <f t="array" ref="E610">INDEX(aspek!$D$2:$D$337,
   MATCH(1,(aspek!$A$2:$A$337=B610)*
           (aspek!$B$2:$B$337=C610)*
           (aspek!$C$2:$C$337=D610),0))</f>
        <v>Akurasi menangkap poin utama</v>
      </c>
      <c r="F610" s="76">
        <v>4</v>
      </c>
      <c r="G610" s="56" t="str" cm="1">
        <f t="array" ref="G610">INDEX(deskripsi!$D$2:$H$337,
   MATCH(1,(deskripsi!$A$2:$A$337=B610)*
           (deskripsi!$B$2:$B$337=C610)*
           (deskripsi!$C$2:$C$337=D610),0),
   F610)</f>
        <v>Poin utama yang ia tangkap dibenarkan oleh pemilik dokumen, termasuk pada dokumen yang panjang atau tidak terstruktur rapi.</v>
      </c>
    </row>
    <row r="611" spans="1:7">
      <c r="A611" t="str">
        <f t="shared" si="9"/>
        <v>Analytical Thinking|Officer|2|5</v>
      </c>
      <c r="B611" t="str">
        <v>Analytical Thinking</v>
      </c>
      <c r="C611" t="str">
        <v>Officer</v>
      </c>
      <c r="D611" s="76">
        <v>2</v>
      </c>
      <c r="E611" t="str" cm="1">
        <f t="array" ref="E611">INDEX(aspek!$D$2:$D$337,
   MATCH(1,(aspek!$A$2:$A$337=B611)*
           (aspek!$B$2:$B$337=C611)*
           (aspek!$C$2:$C$337=D611),0))</f>
        <v>Akurasi menangkap poin utama</v>
      </c>
      <c r="F611" s="76">
        <v>5</v>
      </c>
      <c r="G611" s="56" t="str" cm="1">
        <f t="array" ref="G611">INDEX(deskripsi!$D$2:$H$337,
   MATCH(1,(deskripsi!$A$2:$A$337=B611)*
           (deskripsi!$B$2:$B$337=C611)*
           (deskripsi!$C$2:$C$337=D611),0),
   F611)</f>
        <v>Menemukan poin penting yang bahkan tidak disadari pemilik dokumennya sendiri.</v>
      </c>
    </row>
    <row r="612" spans="1:7">
      <c r="A612" t="str">
        <f t="shared" si="9"/>
        <v>Analytical Thinking|Officer|3|1</v>
      </c>
      <c r="B612" t="str">
        <v>Analytical Thinking</v>
      </c>
      <c r="C612" t="str">
        <v>Officer</v>
      </c>
      <c r="D612" s="76">
        <v>3</v>
      </c>
      <c r="E612" t="str" cm="1">
        <f t="array" ref="E612">INDEX(aspek!$D$2:$D$337,
   MATCH(1,(aspek!$A$2:$A$337=B612)*
           (aspek!$B$2:$B$337=C612)*
           (aspek!$C$2:$C$337=D612),0))</f>
        <v>Kemandirian menyimpulkan</v>
      </c>
      <c r="F612" s="76">
        <v>1</v>
      </c>
      <c r="G612" s="56" t="str" cm="1">
        <f t="array" ref="G612">INDEX(deskripsi!$D$2:$H$337,
   MATCH(1,(deskripsi!$A$2:$A$337=B612)*
           (deskripsi!$B$2:$B$337=C612)*
           (deskripsi!$C$2:$C$337=D612),0),
   F612)</f>
        <v>Tidak menarik kesimpulan; menunggu diberi tahu apa artinya.</v>
      </c>
    </row>
    <row r="613" spans="1:7">
      <c r="A613" t="str">
        <f t="shared" si="9"/>
        <v>Analytical Thinking|Officer|3|2</v>
      </c>
      <c r="B613" t="str">
        <v>Analytical Thinking</v>
      </c>
      <c r="C613" t="str">
        <v>Officer</v>
      </c>
      <c r="D613" s="76">
        <v>3</v>
      </c>
      <c r="E613" t="str" cm="1">
        <f t="array" ref="E613">INDEX(aspek!$D$2:$D$337,
   MATCH(1,(aspek!$A$2:$A$337=B613)*
           (aspek!$B$2:$B$337=C613)*
           (aspek!$C$2:$C$337=D613),0))</f>
        <v>Kemandirian menyimpulkan</v>
      </c>
      <c r="F613" s="76">
        <v>2</v>
      </c>
      <c r="G613" s="56" t="str" cm="1">
        <f t="array" ref="G613">INDEX(deskripsi!$D$2:$H$337,
   MATCH(1,(deskripsi!$A$2:$A$337=B613)*
           (deskripsi!$B$2:$B$337=C613)*
           (deskripsi!$C$2:$C$337=D613),0),
   F613)</f>
        <v>Memahami isinya tetapi berhenti pada meringkas; kesimpulan tetap diserahkan kepada orang lain.</v>
      </c>
    </row>
    <row r="614" spans="1:7">
      <c r="A614" t="str">
        <f t="shared" si="9"/>
        <v>Analytical Thinking|Officer|3|3</v>
      </c>
      <c r="B614" t="str">
        <v>Analytical Thinking</v>
      </c>
      <c r="C614" t="str">
        <v>Officer</v>
      </c>
      <c r="D614" s="76">
        <v>3</v>
      </c>
      <c r="E614" t="str" cm="1">
        <f t="array" ref="E614">INDEX(aspek!$D$2:$D$337,
   MATCH(1,(aspek!$A$2:$A$337=B614)*
           (aspek!$B$2:$B$337=C614)*
           (aspek!$C$2:$C$337=D614),0))</f>
        <v>Kemandirian menyimpulkan</v>
      </c>
      <c r="F614" s="76">
        <v>3</v>
      </c>
      <c r="G614" s="56" t="str" cm="1">
        <f t="array" ref="G614">INDEX(deskripsi!$D$2:$H$337,
   MATCH(1,(deskripsi!$A$2:$A$337=B614)*
           (deskripsi!$B$2:$B$337=C614)*
           (deskripsi!$C$2:$C$337=D614),0),
   F614)</f>
        <v>Menarik kesimpulan sendiri, meski masih sering perlu dikoreksi.</v>
      </c>
    </row>
    <row r="615" spans="1:7">
      <c r="A615" t="str">
        <f t="shared" si="9"/>
        <v>Analytical Thinking|Officer|3|4</v>
      </c>
      <c r="B615" t="str">
        <v>Analytical Thinking</v>
      </c>
      <c r="C615" t="str">
        <v>Officer</v>
      </c>
      <c r="D615" s="76">
        <v>3</v>
      </c>
      <c r="E615" t="str" cm="1">
        <f t="array" ref="E615">INDEX(aspek!$D$2:$D$337,
   MATCH(1,(aspek!$A$2:$A$337=B615)*
           (aspek!$B$2:$B$337=C615)*
           (aspek!$C$2:$C$337=D615),0))</f>
        <v>Kemandirian menyimpulkan</v>
      </c>
      <c r="F615" s="76">
        <v>4</v>
      </c>
      <c r="G615" s="56" t="str" cm="1">
        <f t="array" ref="G615">INDEX(deskripsi!$D$2:$H$337,
   MATCH(1,(deskripsi!$A$2:$A$337=B615)*
           (deskripsi!$B$2:$B$337=C615)*
           (deskripsi!$C$2:$C$337=D615),0),
   F615)</f>
        <v>Menyampaikan kesimpulan sendiri sebelum meminta arahan, dan mayoritas kesimpulannya tepat.</v>
      </c>
    </row>
    <row r="616" spans="1:7">
      <c r="A616" t="str">
        <f t="shared" si="9"/>
        <v>Analytical Thinking|Officer|3|5</v>
      </c>
      <c r="B616" t="str">
        <v>Analytical Thinking</v>
      </c>
      <c r="C616" t="str">
        <v>Officer</v>
      </c>
      <c r="D616" s="76">
        <v>3</v>
      </c>
      <c r="E616" t="str" cm="1">
        <f t="array" ref="E616">INDEX(aspek!$D$2:$D$337,
   MATCH(1,(aspek!$A$2:$A$337=B616)*
           (aspek!$B$2:$B$337=C616)*
           (aspek!$C$2:$C$337=D616),0))</f>
        <v>Kemandirian menyimpulkan</v>
      </c>
      <c r="F616" s="76">
        <v>5</v>
      </c>
      <c r="G616" s="56" t="str" cm="1">
        <f t="array" ref="G616">INDEX(deskripsi!$D$2:$H$337,
   MATCH(1,(deskripsi!$A$2:$A$337=B616)*
           (deskripsi!$B$2:$B$337=C616)*
           (deskripsi!$C$2:$C$337=D616),0),
   F616)</f>
        <v>Kesimpulannya dipakai orang lain sebagai dasar keputusan tanpa perlu diperiksa ulang.</v>
      </c>
    </row>
    <row r="617" spans="1:7">
      <c r="A617" t="str">
        <f t="shared" si="9"/>
        <v>Analytical Thinking|Officer|4|1</v>
      </c>
      <c r="B617" t="str">
        <v>Analytical Thinking</v>
      </c>
      <c r="C617" t="str">
        <v>Officer</v>
      </c>
      <c r="D617" s="76">
        <v>4</v>
      </c>
      <c r="E617" t="str" cm="1">
        <f t="array" ref="E617">INDEX(aspek!$D$2:$D$337,
   MATCH(1,(aspek!$A$2:$A$337=B617)*
           (aspek!$B$2:$B$337=C617)*
           (aspek!$C$2:$C$337=D617),0))</f>
        <v>Memisahkan fakta dari asumsi</v>
      </c>
      <c r="F617" s="76">
        <v>1</v>
      </c>
      <c r="G617" s="56" t="str" cm="1">
        <f t="array" ref="G617">INDEX(deskripsi!$D$2:$H$337,
   MATCH(1,(deskripsi!$A$2:$A$337=B617)*
           (deskripsi!$B$2:$B$337=C617)*
           (deskripsi!$C$2:$C$337=D617),0),
   F617)</f>
        <v>Menyampaikan dugaan seolah-olah fakta, tanpa menyadari perbedaannya.</v>
      </c>
    </row>
    <row r="618" spans="1:7">
      <c r="A618" t="str">
        <f t="shared" si="9"/>
        <v>Analytical Thinking|Officer|4|2</v>
      </c>
      <c r="B618" t="str">
        <v>Analytical Thinking</v>
      </c>
      <c r="C618" t="str">
        <v>Officer</v>
      </c>
      <c r="D618" s="76">
        <v>4</v>
      </c>
      <c r="E618" t="str" cm="1">
        <f t="array" ref="E618">INDEX(aspek!$D$2:$D$337,
   MATCH(1,(aspek!$A$2:$A$337=B618)*
           (aspek!$B$2:$B$337=C618)*
           (aspek!$C$2:$C$337=D618),0))</f>
        <v>Memisahkan fakta dari asumsi</v>
      </c>
      <c r="F618" s="76">
        <v>2</v>
      </c>
      <c r="G618" s="56" t="str" cm="1">
        <f t="array" ref="G618">INDEX(deskripsi!$D$2:$H$337,
   MATCH(1,(deskripsi!$A$2:$A$337=B618)*
           (deskripsi!$B$2:$B$337=C618)*
           (deskripsi!$C$2:$C$337=D618),0),
   F618)</f>
        <v>Menyadari perbedaannya bila ditanya, tetapi tidak membedakannya saat menyampaikan.</v>
      </c>
    </row>
    <row r="619" spans="1:7">
      <c r="A619" t="str">
        <f t="shared" si="9"/>
        <v>Analytical Thinking|Officer|4|3</v>
      </c>
      <c r="B619" t="str">
        <v>Analytical Thinking</v>
      </c>
      <c r="C619" t="str">
        <v>Officer</v>
      </c>
      <c r="D619" s="76">
        <v>4</v>
      </c>
      <c r="E619" t="str" cm="1">
        <f t="array" ref="E619">INDEX(aspek!$D$2:$D$337,
   MATCH(1,(aspek!$A$2:$A$337=B619)*
           (aspek!$B$2:$B$337=C619)*
           (aspek!$C$2:$C$337=D619),0))</f>
        <v>Memisahkan fakta dari asumsi</v>
      </c>
      <c r="F619" s="76">
        <v>3</v>
      </c>
      <c r="G619" s="56" t="str" cm="1">
        <f t="array" ref="G619">INDEX(deskripsi!$D$2:$H$337,
   MATCH(1,(deskripsi!$A$2:$A$337=B619)*
           (deskripsi!$B$2:$B$337=C619)*
           (deskripsi!$C$2:$C$337=D619),0),
   F619)</f>
        <v>Menyebutkan mana yang berdasar data dan mana yang perkiraan, bila diminta.</v>
      </c>
    </row>
    <row r="620" spans="1:7">
      <c r="A620" t="str">
        <f t="shared" si="9"/>
        <v>Analytical Thinking|Officer|4|4</v>
      </c>
      <c r="B620" t="str">
        <v>Analytical Thinking</v>
      </c>
      <c r="C620" t="str">
        <v>Officer</v>
      </c>
      <c r="D620" s="76">
        <v>4</v>
      </c>
      <c r="E620" t="str" cm="1">
        <f t="array" ref="E620">INDEX(aspek!$D$2:$D$337,
   MATCH(1,(aspek!$A$2:$A$337=B620)*
           (aspek!$B$2:$B$337=C620)*
           (aspek!$C$2:$C$337=D620),0))</f>
        <v>Memisahkan fakta dari asumsi</v>
      </c>
      <c r="F620" s="76">
        <v>4</v>
      </c>
      <c r="G620" s="56" t="str" cm="1">
        <f t="array" ref="G620">INDEX(deskripsi!$D$2:$H$337,
   MATCH(1,(deskripsi!$A$2:$A$337=B620)*
           (deskripsi!$B$2:$B$337=C620)*
           (deskripsi!$C$2:$C$337=D620),0),
   F620)</f>
        <v>Secara otomatis menandai mana yang berdasar data, mana asumsi, dan seberapa yakin ia atas kesimpulannya.</v>
      </c>
    </row>
    <row r="621" spans="1:7">
      <c r="A621" t="str">
        <f t="shared" si="9"/>
        <v>Analytical Thinking|Officer|4|5</v>
      </c>
      <c r="B621" t="str">
        <v>Analytical Thinking</v>
      </c>
      <c r="C621" t="str">
        <v>Officer</v>
      </c>
      <c r="D621" s="76">
        <v>4</v>
      </c>
      <c r="E621" t="str" cm="1">
        <f t="array" ref="E621">INDEX(aspek!$D$2:$D$337,
   MATCH(1,(aspek!$A$2:$A$337=B621)*
           (aspek!$B$2:$B$337=C621)*
           (aspek!$C$2:$C$337=D621),0))</f>
        <v>Memisahkan fakta dari asumsi</v>
      </c>
      <c r="F621" s="76">
        <v>5</v>
      </c>
      <c r="G621" s="56" t="str" cm="1">
        <f t="array" ref="G621">INDEX(deskripsi!$D$2:$H$337,
   MATCH(1,(deskripsi!$A$2:$A$337=B621)*
           (deskripsi!$B$2:$B$337=C621)*
           (deskripsi!$C$2:$C$337=D621),0),
   F621)</f>
        <v>Kebiasaan memisahkan ini ditiru rekan kerjanya dan memperbaiki mutu laporan unit.</v>
      </c>
    </row>
    <row r="622" spans="1:7">
      <c r="A622" t="str">
        <f t="shared" si="9"/>
        <v>Analytical Thinking|Analyst|1|1</v>
      </c>
      <c r="B622" t="str">
        <v>Analytical Thinking</v>
      </c>
      <c r="C622" t="str">
        <v>Analyst</v>
      </c>
      <c r="D622" s="76">
        <v>1</v>
      </c>
      <c r="E622" t="str" cm="1">
        <f t="array" ref="E622">INDEX(aspek!$D$2:$D$337,
   MATCH(1,(aspek!$A$2:$A$337=B622)*
           (aspek!$B$2:$B$337=C622)*
           (aspek!$C$2:$C$337=D622),0))</f>
        <v>Kedalaman pertanyaan</v>
      </c>
      <c r="F622" s="76">
        <v>1</v>
      </c>
      <c r="G622" s="56" t="str" cm="1">
        <f t="array" ref="G622">INDEX(deskripsi!$D$2:$H$337,
   MATCH(1,(deskripsi!$A$2:$A$337=B622)*
           (deskripsi!$B$2:$B$337=C622)*
           (deskripsi!$C$2:$C$337=D622),0),
   F622)</f>
        <v>Menerima informasi dan arahan apa adanya; tidak mengajukan pertanyaan.</v>
      </c>
    </row>
    <row r="623" spans="1:7">
      <c r="A623" t="str">
        <f t="shared" si="9"/>
        <v>Analytical Thinking|Analyst|1|2</v>
      </c>
      <c r="B623" t="str">
        <v>Analytical Thinking</v>
      </c>
      <c r="C623" t="str">
        <v>Analyst</v>
      </c>
      <c r="D623" s="76">
        <v>1</v>
      </c>
      <c r="E623" t="str" cm="1">
        <f t="array" ref="E623">INDEX(aspek!$D$2:$D$337,
   MATCH(1,(aspek!$A$2:$A$337=B623)*
           (aspek!$B$2:$B$337=C623)*
           (aspek!$C$2:$C$337=D623),0))</f>
        <v>Kedalaman pertanyaan</v>
      </c>
      <c r="F623" s="76">
        <v>2</v>
      </c>
      <c r="G623" s="56" t="str" cm="1">
        <f t="array" ref="G623">INDEX(deskripsi!$D$2:$H$337,
   MATCH(1,(deskripsi!$A$2:$A$337=B623)*
           (deskripsi!$B$2:$B$337=C623)*
           (deskripsi!$C$2:$C$337=D623),0),
   F623)</f>
        <v>Bertanya untuk memastikan fakta — apa, kapan, berapa — tetapi tidak lebih jauh.</v>
      </c>
    </row>
    <row r="624" spans="1:7">
      <c r="A624" t="str">
        <f t="shared" si="9"/>
        <v>Analytical Thinking|Analyst|1|3</v>
      </c>
      <c r="B624" t="str">
        <v>Analytical Thinking</v>
      </c>
      <c r="C624" t="str">
        <v>Analyst</v>
      </c>
      <c r="D624" s="76">
        <v>1</v>
      </c>
      <c r="E624" t="str" cm="1">
        <f t="array" ref="E624">INDEX(aspek!$D$2:$D$337,
   MATCH(1,(aspek!$A$2:$A$337=B624)*
           (aspek!$B$2:$B$337=C624)*
           (aspek!$C$2:$C$337=D624),0))</f>
        <v>Kedalaman pertanyaan</v>
      </c>
      <c r="F624" s="76">
        <v>3</v>
      </c>
      <c r="G624" s="56" t="str" cm="1">
        <f t="array" ref="G624">INDEX(deskripsi!$D$2:$H$337,
   MATCH(1,(deskripsi!$A$2:$A$337=B624)*
           (deskripsi!$B$2:$B$337=C624)*
           (deskripsi!$C$2:$C$337=D624),0),
   F624)</f>
        <v>Bertanya untuk memahami alasan di balik sebuah angka, arahan, atau keputusan.</v>
      </c>
    </row>
    <row r="625" spans="1:7">
      <c r="A625" t="str">
        <f t="shared" si="9"/>
        <v>Analytical Thinking|Analyst|1|4</v>
      </c>
      <c r="B625" t="str">
        <v>Analytical Thinking</v>
      </c>
      <c r="C625" t="str">
        <v>Analyst</v>
      </c>
      <c r="D625" s="76">
        <v>1</v>
      </c>
      <c r="E625" t="str" cm="1">
        <f t="array" ref="E625">INDEX(aspek!$D$2:$D$337,
   MATCH(1,(aspek!$A$2:$A$337=B625)*
           (aspek!$B$2:$B$337=C625)*
           (aspek!$C$2:$C$337=D625),0))</f>
        <v>Kedalaman pertanyaan</v>
      </c>
      <c r="F625" s="76">
        <v>4</v>
      </c>
      <c r="G625" s="56" t="str" cm="1">
        <f t="array" ref="G625">INDEX(deskripsi!$D$2:$H$337,
   MATCH(1,(deskripsi!$A$2:$A$337=B625)*
           (deskripsi!$B$2:$B$337=C625)*
           (deskripsi!$C$2:$C$337=D625),0),
   F625)</f>
        <v>Menguji asumsi yang mendasari informasi dan mencari sumber pembanding sebelum menyimpulkan.</v>
      </c>
    </row>
    <row r="626" spans="1:7">
      <c r="A626" t="str">
        <f t="shared" si="9"/>
        <v>Analytical Thinking|Analyst|1|5</v>
      </c>
      <c r="B626" t="str">
        <v>Analytical Thinking</v>
      </c>
      <c r="C626" t="str">
        <v>Analyst</v>
      </c>
      <c r="D626" s="76">
        <v>1</v>
      </c>
      <c r="E626" t="str" cm="1">
        <f t="array" ref="E626">INDEX(aspek!$D$2:$D$337,
   MATCH(1,(aspek!$A$2:$A$337=B626)*
           (aspek!$B$2:$B$337=C626)*
           (aspek!$C$2:$C$337=D626),0))</f>
        <v>Kedalaman pertanyaan</v>
      </c>
      <c r="F626" s="76">
        <v>5</v>
      </c>
      <c r="G626" s="56" t="str" cm="1">
        <f t="array" ref="G626">INDEX(deskripsi!$D$2:$H$337,
   MATCH(1,(deskripsi!$A$2:$A$337=B626)*
           (deskripsi!$B$2:$B$337=C626)*
           (deskripsi!$C$2:$C$337=D626),0),
   F626)</f>
        <v>Mampu merangkai kerangka berpikir sendiri ketika informasi dari berbagai sumber saling bertentangan.</v>
      </c>
    </row>
    <row r="627" spans="1:7">
      <c r="A627" t="str">
        <f t="shared" si="9"/>
        <v>Analytical Thinking|Analyst|2|1</v>
      </c>
      <c r="B627" t="str">
        <v>Analytical Thinking</v>
      </c>
      <c r="C627" t="str">
        <v>Analyst</v>
      </c>
      <c r="D627" s="76">
        <v>2</v>
      </c>
      <c r="E627" t="str" cm="1">
        <f t="array" ref="E627">INDEX(aspek!$D$2:$D$337,
   MATCH(1,(aspek!$A$2:$A$337=B627)*
           (aspek!$B$2:$B$337=C627)*
           (aspek!$C$2:$C$337=D627),0))</f>
        <v>Keberanian menguji</v>
      </c>
      <c r="F627" s="76">
        <v>1</v>
      </c>
      <c r="G627" s="56" t="str" cm="1">
        <f t="array" ref="G627">INDEX(deskripsi!$D$2:$H$337,
   MATCH(1,(deskripsi!$A$2:$A$337=B627)*
           (deskripsi!$B$2:$B$337=C627)*
           (deskripsi!$C$2:$C$337=D627),0),
   F627)</f>
        <v>Tidak mempertanyakan apa pun, terutama dari pihak yang lebih senior.</v>
      </c>
    </row>
    <row r="628" spans="1:7">
      <c r="A628" t="str">
        <f t="shared" si="9"/>
        <v>Analytical Thinking|Analyst|2|2</v>
      </c>
      <c r="B628" t="str">
        <v>Analytical Thinking</v>
      </c>
      <c r="C628" t="str">
        <v>Analyst</v>
      </c>
      <c r="D628" s="76">
        <v>2</v>
      </c>
      <c r="E628" t="str" cm="1">
        <f t="array" ref="E628">INDEX(aspek!$D$2:$D$337,
   MATCH(1,(aspek!$A$2:$A$337=B628)*
           (aspek!$B$2:$B$337=C628)*
           (aspek!$C$2:$C$337=D628),0))</f>
        <v>Keberanian menguji</v>
      </c>
      <c r="F628" s="76">
        <v>2</v>
      </c>
      <c r="G628" s="56" t="str" cm="1">
        <f t="array" ref="G628">INDEX(deskripsi!$D$2:$H$337,
   MATCH(1,(deskripsi!$A$2:$A$337=B628)*
           (deskripsi!$B$2:$B$337=C628)*
           (deskripsi!$C$2:$C$337=D628),0),
   F628)</f>
        <v>Mempertanyakan hanya kepada rekan setingkat atau di belakang, bukan kepada orangnya.</v>
      </c>
    </row>
    <row r="629" spans="1:7">
      <c r="A629" t="str">
        <f t="shared" si="9"/>
        <v>Analytical Thinking|Analyst|2|3</v>
      </c>
      <c r="B629" t="str">
        <v>Analytical Thinking</v>
      </c>
      <c r="C629" t="str">
        <v>Analyst</v>
      </c>
      <c r="D629" s="76">
        <v>2</v>
      </c>
      <c r="E629" t="str" cm="1">
        <f t="array" ref="E629">INDEX(aspek!$D$2:$D$337,
   MATCH(1,(aspek!$A$2:$A$337=B629)*
           (aspek!$B$2:$B$337=C629)*
           (aspek!$C$2:$C$337=D629),0))</f>
        <v>Keberanian menguji</v>
      </c>
      <c r="F629" s="76">
        <v>3</v>
      </c>
      <c r="G629" s="56" t="str" cm="1">
        <f t="array" ref="G629">INDEX(deskripsi!$D$2:$H$337,
   MATCH(1,(deskripsi!$A$2:$A$337=B629)*
           (deskripsi!$B$2:$B$337=C629)*
           (deskripsi!$C$2:$C$337=D629),0),
   F629)</f>
        <v>Mempertanyakan secara terbuka pada hal-hal yang jelas keliru.</v>
      </c>
    </row>
    <row r="630" spans="1:7">
      <c r="A630" t="str">
        <f t="shared" si="9"/>
        <v>Analytical Thinking|Analyst|2|4</v>
      </c>
      <c r="B630" t="str">
        <v>Analytical Thinking</v>
      </c>
      <c r="C630" t="str">
        <v>Analyst</v>
      </c>
      <c r="D630" s="76">
        <v>2</v>
      </c>
      <c r="E630" t="str" cm="1">
        <f t="array" ref="E630">INDEX(aspek!$D$2:$D$337,
   MATCH(1,(aspek!$A$2:$A$337=B630)*
           (aspek!$B$2:$B$337=C630)*
           (aspek!$C$2:$C$337=D630),0))</f>
        <v>Keberanian menguji</v>
      </c>
      <c r="F630" s="76">
        <v>4</v>
      </c>
      <c r="G630" s="56" t="str" cm="1">
        <f t="array" ref="G630">INDEX(deskripsi!$D$2:$H$337,
   MATCH(1,(deskripsi!$A$2:$A$337=B630)*
           (deskripsi!$B$2:$B$337=C630)*
           (deskripsi!$C$2:$C$337=D630),0),
   F630)</f>
        <v>Mempertanyakan arahan dan usulan pihak yang lebih senior secara pantas, sebelum keputusan berjalan.</v>
      </c>
    </row>
    <row r="631" spans="1:7">
      <c r="A631" t="str">
        <f t="shared" si="9"/>
        <v>Analytical Thinking|Analyst|2|5</v>
      </c>
      <c r="B631" t="str">
        <v>Analytical Thinking</v>
      </c>
      <c r="C631" t="str">
        <v>Analyst</v>
      </c>
      <c r="D631" s="76">
        <v>2</v>
      </c>
      <c r="E631" t="str" cm="1">
        <f t="array" ref="E631">INDEX(aspek!$D$2:$D$337,
   MATCH(1,(aspek!$A$2:$A$337=B631)*
           (aspek!$B$2:$B$337=C631)*
           (aspek!$C$2:$C$337=D631),0))</f>
        <v>Keberanian menguji</v>
      </c>
      <c r="F631" s="76">
        <v>5</v>
      </c>
      <c r="G631" s="56" t="str" cm="1">
        <f t="array" ref="G631">INDEX(deskripsi!$D$2:$H$337,
   MATCH(1,(deskripsi!$A$2:$A$337=B631)*
           (deskripsi!$B$2:$B$337=C631)*
           (deskripsi!$C$2:$C$337=D631),0),
   F631)</f>
        <v>Dicari orang lain untuk memeriksa sebuah usulan justru karena pertanyaannya tajam dan tidak menyerang.</v>
      </c>
    </row>
    <row r="632" spans="1:7">
      <c r="A632" t="str">
        <f t="shared" si="9"/>
        <v>Analytical Thinking|Analyst|3|1</v>
      </c>
      <c r="B632" t="str">
        <v>Analytical Thinking</v>
      </c>
      <c r="C632" t="str">
        <v>Analyst</v>
      </c>
      <c r="D632" s="76">
        <v>3</v>
      </c>
      <c r="E632" t="str" cm="1">
        <f t="array" ref="E632">INDEX(aspek!$D$2:$D$337,
   MATCH(1,(aspek!$A$2:$A$337=B632)*
           (aspek!$B$2:$B$337=C632)*
           (aspek!$C$2:$C$337=D632),0))</f>
        <v>Pencarian pembanding</v>
      </c>
      <c r="F632" s="76">
        <v>1</v>
      </c>
      <c r="G632" s="56" t="str" cm="1">
        <f t="array" ref="G632">INDEX(deskripsi!$D$2:$H$337,
   MATCH(1,(deskripsi!$A$2:$A$337=B632)*
           (deskripsi!$B$2:$B$337=C632)*
           (deskripsi!$C$2:$C$337=D632),0),
   F632)</f>
        <v>Memakai satu sumber saja, biasanya yang paling mudah dijangkau.</v>
      </c>
    </row>
    <row r="633" spans="1:7">
      <c r="A633" t="str">
        <f t="shared" si="9"/>
        <v>Analytical Thinking|Analyst|3|2</v>
      </c>
      <c r="B633" t="str">
        <v>Analytical Thinking</v>
      </c>
      <c r="C633" t="str">
        <v>Analyst</v>
      </c>
      <c r="D633" s="76">
        <v>3</v>
      </c>
      <c r="E633" t="str" cm="1">
        <f t="array" ref="E633">INDEX(aspek!$D$2:$D$337,
   MATCH(1,(aspek!$A$2:$A$337=B633)*
           (aspek!$B$2:$B$337=C633)*
           (aspek!$C$2:$C$337=D633),0))</f>
        <v>Pencarian pembanding</v>
      </c>
      <c r="F633" s="76">
        <v>2</v>
      </c>
      <c r="G633" s="56" t="str" cm="1">
        <f t="array" ref="G633">INDEX(deskripsi!$D$2:$H$337,
   MATCH(1,(deskripsi!$A$2:$A$337=B633)*
           (deskripsi!$B$2:$B$337=C633)*
           (deskripsi!$C$2:$C$337=D633),0),
   F633)</f>
        <v>Memakai beberapa sumber, tetapi seluruhnya berasal dari lingkaran yang sama.</v>
      </c>
    </row>
    <row r="634" spans="1:7">
      <c r="A634" t="str">
        <f t="shared" si="9"/>
        <v>Analytical Thinking|Analyst|3|3</v>
      </c>
      <c r="B634" t="str">
        <v>Analytical Thinking</v>
      </c>
      <c r="C634" t="str">
        <v>Analyst</v>
      </c>
      <c r="D634" s="76">
        <v>3</v>
      </c>
      <c r="E634" t="str" cm="1">
        <f t="array" ref="E634">INDEX(aspek!$D$2:$D$337,
   MATCH(1,(aspek!$A$2:$A$337=B634)*
           (aspek!$B$2:$B$337=C634)*
           (aspek!$C$2:$C$337=D634),0))</f>
        <v>Pencarian pembanding</v>
      </c>
      <c r="F634" s="76">
        <v>3</v>
      </c>
      <c r="G634" s="56" t="str" cm="1">
        <f t="array" ref="G634">INDEX(deskripsi!$D$2:$H$337,
   MATCH(1,(deskripsi!$A$2:$A$337=B634)*
           (deskripsi!$B$2:$B$337=C634)*
           (deskripsi!$C$2:$C$337=D634),0),
   F634)</f>
        <v>Membandingkan beberapa sumber yang berbeda sebelum menyimpulkan.</v>
      </c>
    </row>
    <row r="635" spans="1:7">
      <c r="A635" t="str">
        <f t="shared" si="9"/>
        <v>Analytical Thinking|Analyst|3|4</v>
      </c>
      <c r="B635" t="str">
        <v>Analytical Thinking</v>
      </c>
      <c r="C635" t="str">
        <v>Analyst</v>
      </c>
      <c r="D635" s="76">
        <v>3</v>
      </c>
      <c r="E635" t="str" cm="1">
        <f t="array" ref="E635">INDEX(aspek!$D$2:$D$337,
   MATCH(1,(aspek!$A$2:$A$337=B635)*
           (aspek!$B$2:$B$337=C635)*
           (aspek!$C$2:$C$337=D635),0))</f>
        <v>Pencarian pembanding</v>
      </c>
      <c r="F635" s="76">
        <v>4</v>
      </c>
      <c r="G635" s="56" t="str" cm="1">
        <f t="array" ref="G635">INDEX(deskripsi!$D$2:$H$337,
   MATCH(1,(deskripsi!$A$2:$A$337=B635)*
           (deskripsi!$B$2:$B$337=C635)*
           (deskripsi!$C$2:$C$337=D635),0),
   F635)</f>
        <v>Sengaja mencari sumber yang BERPOTENSI MEMBANTAH kesimpulannya sendiri, dan mengubah kesimpulan ketika pembanding itu lebih kuat.</v>
      </c>
    </row>
    <row r="636" spans="1:7">
      <c r="A636" t="str">
        <f t="shared" si="9"/>
        <v>Analytical Thinking|Analyst|3|5</v>
      </c>
      <c r="B636" t="str">
        <v>Analytical Thinking</v>
      </c>
      <c r="C636" t="str">
        <v>Analyst</v>
      </c>
      <c r="D636" s="76">
        <v>3</v>
      </c>
      <c r="E636" t="str" cm="1">
        <f t="array" ref="E636">INDEX(aspek!$D$2:$D$337,
   MATCH(1,(aspek!$A$2:$A$337=B636)*
           (aspek!$B$2:$B$337=C636)*
           (aspek!$C$2:$C$337=D636),0))</f>
        <v>Pencarian pembanding</v>
      </c>
      <c r="F636" s="76">
        <v>5</v>
      </c>
      <c r="G636" s="56" t="str" cm="1">
        <f t="array" ref="G636">INDEX(deskripsi!$D$2:$H$337,
   MATCH(1,(deskripsi!$A$2:$A$337=B636)*
           (deskripsi!$B$2:$B$337=C636)*
           (deskripsi!$C$2:$C$337=D636),0),
   F636)</f>
        <v>Menemukan sumber pembanding yang sebelumnya tidak terpikir dipakai di unitnya.</v>
      </c>
    </row>
    <row r="637" spans="1:7">
      <c r="A637" t="str">
        <f t="shared" si="9"/>
        <v>Analytical Thinking|Analyst|4|1</v>
      </c>
      <c r="B637" t="str">
        <v>Analytical Thinking</v>
      </c>
      <c r="C637" t="str">
        <v>Analyst</v>
      </c>
      <c r="D637" s="76">
        <v>4</v>
      </c>
      <c r="E637" t="str" cm="1">
        <f t="array" ref="E637">INDEX(aspek!$D$2:$D$337,
   MATCH(1,(aspek!$A$2:$A$337=B637)*
           (aspek!$B$2:$B$337=C637)*
           (aspek!$C$2:$C$337=D637),0))</f>
        <v>Keingintahuan yang berkelanjutan</v>
      </c>
      <c r="F637" s="76">
        <v>1</v>
      </c>
      <c r="G637" s="56" t="str" cm="1">
        <f t="array" ref="G637">INDEX(deskripsi!$D$2:$H$337,
   MATCH(1,(deskripsi!$A$2:$A$337=B637)*
           (deskripsi!$B$2:$B$337=C637)*
           (deskripsi!$C$2:$C$337=D637),0),
   F637)</f>
        <v>Bertanya hanya ketika diminta atau ketika terpaksa.</v>
      </c>
    </row>
    <row r="638" spans="1:7">
      <c r="A638" t="str">
        <f t="shared" si="9"/>
        <v>Analytical Thinking|Analyst|4|2</v>
      </c>
      <c r="B638" t="str">
        <v>Analytical Thinking</v>
      </c>
      <c r="C638" t="str">
        <v>Analyst</v>
      </c>
      <c r="D638" s="76">
        <v>4</v>
      </c>
      <c r="E638" t="str" cm="1">
        <f t="array" ref="E638">INDEX(aspek!$D$2:$D$337,
   MATCH(1,(aspek!$A$2:$A$337=B638)*
           (aspek!$B$2:$B$337=C638)*
           (aspek!$C$2:$C$337=D638),0))</f>
        <v>Keingintahuan yang berkelanjutan</v>
      </c>
      <c r="F638" s="76">
        <v>2</v>
      </c>
      <c r="G638" s="56" t="str" cm="1">
        <f t="array" ref="G638">INDEX(deskripsi!$D$2:$H$337,
   MATCH(1,(deskripsi!$A$2:$A$337=B638)*
           (deskripsi!$B$2:$B$337=C638)*
           (deskripsi!$C$2:$C$337=D638),0),
   F638)</f>
        <v>Bertanya pada hal yang berkaitan langsung dengan tugasnya saja.</v>
      </c>
    </row>
    <row r="639" spans="1:7">
      <c r="A639" t="str">
        <f t="shared" si="9"/>
        <v>Analytical Thinking|Analyst|4|3</v>
      </c>
      <c r="B639" t="str">
        <v>Analytical Thinking</v>
      </c>
      <c r="C639" t="str">
        <v>Analyst</v>
      </c>
      <c r="D639" s="76">
        <v>4</v>
      </c>
      <c r="E639" t="str" cm="1">
        <f t="array" ref="E639">INDEX(aspek!$D$2:$D$337,
   MATCH(1,(aspek!$A$2:$A$337=B639)*
           (aspek!$B$2:$B$337=C639)*
           (aspek!$C$2:$C$337=D639),0))</f>
        <v>Keingintahuan yang berkelanjutan</v>
      </c>
      <c r="F639" s="76">
        <v>3</v>
      </c>
      <c r="G639" s="56" t="str" cm="1">
        <f t="array" ref="G639">INDEX(deskripsi!$D$2:$H$337,
   MATCH(1,(deskripsi!$A$2:$A$337=B639)*
           (deskripsi!$B$2:$B$337=C639)*
           (deskripsi!$C$2:$C$337=D639),0),
   F639)</f>
        <v>Menunjukkan minat pada alasan di balik pekerjaan, meski tidak selalu menindaklanjutinya.</v>
      </c>
    </row>
    <row r="640" spans="1:7">
      <c r="A640" t="str">
        <f t="shared" si="9"/>
        <v>Analytical Thinking|Analyst|4|4</v>
      </c>
      <c r="B640" t="str">
        <v>Analytical Thinking</v>
      </c>
      <c r="C640" t="str">
        <v>Analyst</v>
      </c>
      <c r="D640" s="76">
        <v>4</v>
      </c>
      <c r="E640" t="str" cm="1">
        <f t="array" ref="E640">INDEX(aspek!$D$2:$D$337,
   MATCH(1,(aspek!$A$2:$A$337=B640)*
           (aspek!$B$2:$B$337=C640)*
           (aspek!$C$2:$C$337=D640),0))</f>
        <v>Keingintahuan yang berkelanjutan</v>
      </c>
      <c r="F640" s="76">
        <v>4</v>
      </c>
      <c r="G640" s="56" t="str" cm="1">
        <f t="array" ref="G640">INDEX(deskripsi!$D$2:$H$337,
   MATCH(1,(deskripsi!$A$2:$A$337=B640)*
           (deskripsi!$B$2:$B$337=C640)*
           (deskripsi!$C$2:$C$337=D640),0),
   F640)</f>
        <v>Secara rutin memeriksa hal yang sudah dianggap benar di unitnya, tanpa diminta, dan menindaklanjuti temuannya.</v>
      </c>
    </row>
    <row r="641" spans="1:7">
      <c r="A641" t="str">
        <f t="shared" si="9"/>
        <v>Analytical Thinking|Analyst|4|5</v>
      </c>
      <c r="B641" t="str">
        <v>Analytical Thinking</v>
      </c>
      <c r="C641" t="str">
        <v>Analyst</v>
      </c>
      <c r="D641" s="76">
        <v>4</v>
      </c>
      <c r="E641" t="str" cm="1">
        <f t="array" ref="E641">INDEX(aspek!$D$2:$D$337,
   MATCH(1,(aspek!$A$2:$A$337=B641)*
           (aspek!$B$2:$B$337=C641)*
           (aspek!$C$2:$C$337=D641),0))</f>
        <v>Keingintahuan yang berkelanjutan</v>
      </c>
      <c r="F641" s="76">
        <v>5</v>
      </c>
      <c r="G641" s="56" t="str" cm="1">
        <f t="array" ref="G641">INDEX(deskripsi!$D$2:$H$337,
   MATCH(1,(deskripsi!$A$2:$A$337=B641)*
           (deskripsi!$B$2:$B$337=C641)*
           (deskripsi!$C$2:$C$337=D641),0),
   F641)</f>
        <v>Kebiasaannya memeriksa menular — rekan mulai ikut mempertanyakan hal yang selama ini diterima begitu saja.</v>
      </c>
    </row>
    <row r="642" spans="1:7">
      <c r="A642" t="str">
        <f t="shared" si="9"/>
        <v>Analytical Thinking|Unit Head/Specialist|1|1</v>
      </c>
      <c r="B642" t="str">
        <v>Analytical Thinking</v>
      </c>
      <c r="C642" t="str">
        <v>Unit Head/Specialist</v>
      </c>
      <c r="D642" s="76">
        <v>1</v>
      </c>
      <c r="E642" t="str" cm="1">
        <f t="array" ref="E642">INDEX(aspek!$D$2:$D$337,
   MATCH(1,(aspek!$A$2:$A$337=B642)*
           (aspek!$B$2:$B$337=C642)*
           (aspek!$C$2:$C$337=D642),0))</f>
        <v>Cakupan sudut pandang yang masuk</v>
      </c>
      <c r="F642" s="76">
        <v>1</v>
      </c>
      <c r="G642" s="56" t="str" cm="1">
        <f t="array" ref="G642">INDEX(deskripsi!$D$2:$H$337,
   MATCH(1,(deskripsi!$A$2:$A$337=B642)*
           (deskripsi!$B$2:$B$337=C642)*
           (deskripsi!$C$2:$C$337=D642),0),
   F642)</f>
        <v>Memutuskan berdasarkan sudut pandangnya sendiri; tidak mencari pendapat lain.</v>
      </c>
    </row>
    <row r="643" spans="1:7">
      <c r="A643" t="str">
        <f t="shared" ref="A643:A706" si="10">B643&amp;"|"&amp;C643&amp;"|"&amp;D643&amp;"|"&amp;F643</f>
        <v>Analytical Thinking|Unit Head/Specialist|1|2</v>
      </c>
      <c r="B643" t="str">
        <v>Analytical Thinking</v>
      </c>
      <c r="C643" t="str">
        <v>Unit Head/Specialist</v>
      </c>
      <c r="D643" s="76">
        <v>1</v>
      </c>
      <c r="E643" t="str" cm="1">
        <f t="array" ref="E643">INDEX(aspek!$D$2:$D$337,
   MATCH(1,(aspek!$A$2:$A$337=B643)*
           (aspek!$B$2:$B$337=C643)*
           (aspek!$C$2:$C$337=D643),0))</f>
        <v>Cakupan sudut pandang yang masuk</v>
      </c>
      <c r="F643" s="76">
        <v>2</v>
      </c>
      <c r="G643" s="56" t="str" cm="1">
        <f t="array" ref="G643">INDEX(deskripsi!$D$2:$H$337,
   MATCH(1,(deskripsi!$A$2:$A$337=B643)*
           (deskripsi!$B$2:$B$337=C643)*
           (deskripsi!$C$2:$C$337=D643),0),
   F643)</f>
        <v>Mendengar pendapat lain karena diminta atau karena formalitas, tetapi tidak memeriksanya.</v>
      </c>
    </row>
    <row r="644" spans="1:7">
      <c r="A644" t="str">
        <f t="shared" si="10"/>
        <v>Analytical Thinking|Unit Head/Specialist|1|3</v>
      </c>
      <c r="B644" t="str">
        <v>Analytical Thinking</v>
      </c>
      <c r="C644" t="str">
        <v>Unit Head/Specialist</v>
      </c>
      <c r="D644" s="76">
        <v>1</v>
      </c>
      <c r="E644" t="str" cm="1">
        <f t="array" ref="E644">INDEX(aspek!$D$2:$D$337,
   MATCH(1,(aspek!$A$2:$A$337=B644)*
           (aspek!$B$2:$B$337=C644)*
           (aspek!$C$2:$C$337=D644),0))</f>
        <v>Cakupan sudut pandang yang masuk</v>
      </c>
      <c r="F644" s="76">
        <v>3</v>
      </c>
      <c r="G644" s="56" t="str" cm="1">
        <f t="array" ref="G644">INDEX(deskripsi!$D$2:$H$337,
   MATCH(1,(deskripsi!$A$2:$A$337=B644)*
           (deskripsi!$B$2:$B$337=C644)*
           (deskripsi!$C$2:$C$337=D644),0),
   F644)</f>
        <v>Mengumpulkan pendapat pihak yang jelas berkepentingan sebelum memutuskan.</v>
      </c>
    </row>
    <row r="645" spans="1:7">
      <c r="A645" t="str">
        <f t="shared" si="10"/>
        <v>Analytical Thinking|Unit Head/Specialist|1|4</v>
      </c>
      <c r="B645" t="str">
        <v>Analytical Thinking</v>
      </c>
      <c r="C645" t="str">
        <v>Unit Head/Specialist</v>
      </c>
      <c r="D645" s="76">
        <v>1</v>
      </c>
      <c r="E645" t="str" cm="1">
        <f t="array" ref="E645">INDEX(aspek!$D$2:$D$337,
   MATCH(1,(aspek!$A$2:$A$337=B645)*
           (aspek!$B$2:$B$337=C645)*
           (aspek!$C$2:$C$337=D645),0))</f>
        <v>Cakupan sudut pandang yang masuk</v>
      </c>
      <c r="F645" s="76">
        <v>4</v>
      </c>
      <c r="G645" s="56" t="str" cm="1">
        <f t="array" ref="G645">INDEX(deskripsi!$D$2:$H$337,
   MATCH(1,(deskripsi!$A$2:$A$337=B645)*
           (deskripsi!$B$2:$B$337=C645)*
           (deskripsi!$C$2:$C$337=D645),0),
   F645)</f>
        <v>Secara sengaja mencari pihak yang kepentingannya BERTENTANGAN dengan arah yang ia condongi, dan menelusuri kepentingan pokok di balik posisi mereka.</v>
      </c>
    </row>
    <row r="646" spans="1:7">
      <c r="A646" t="str">
        <f t="shared" si="10"/>
        <v>Analytical Thinking|Unit Head/Specialist|1|5</v>
      </c>
      <c r="B646" t="str">
        <v>Analytical Thinking</v>
      </c>
      <c r="C646" t="str">
        <v>Unit Head/Specialist</v>
      </c>
      <c r="D646" s="76">
        <v>1</v>
      </c>
      <c r="E646" t="str" cm="1">
        <f t="array" ref="E646">INDEX(aspek!$D$2:$D$337,
   MATCH(1,(aspek!$A$2:$A$337=B646)*
           (aspek!$B$2:$B$337=C646)*
           (aspek!$C$2:$C$337=D646),0))</f>
        <v>Cakupan sudut pandang yang masuk</v>
      </c>
      <c r="F646" s="76">
        <v>5</v>
      </c>
      <c r="G646" s="56" t="str" cm="1">
        <f t="array" ref="G646">INDEX(deskripsi!$D$2:$H$337,
   MATCH(1,(deskripsi!$A$2:$A$337=B646)*
           (deskripsi!$B$2:$B$337=C646)*
           (deskripsi!$C$2:$C$337=D646),0),
   F646)</f>
        <v>Menemukan pihak berkepentingan yang selama ini tidak pernah dilibatkan dalam keputusan sejenis.</v>
      </c>
    </row>
    <row r="647" spans="1:7">
      <c r="A647" t="str">
        <f t="shared" si="10"/>
        <v>Analytical Thinking|Unit Head/Specialist|2|1</v>
      </c>
      <c r="B647" t="str">
        <v>Analytical Thinking</v>
      </c>
      <c r="C647" t="str">
        <v>Unit Head/Specialist</v>
      </c>
      <c r="D647" s="76">
        <v>2</v>
      </c>
      <c r="E647" t="str" cm="1">
        <f t="array" ref="E647">INDEX(aspek!$D$2:$D$337,
   MATCH(1,(aspek!$A$2:$A$337=B647)*
           (aspek!$B$2:$B$337=C647)*
           (aspek!$C$2:$C$337=D647),0))</f>
        <v>Memadukan versus memilih</v>
      </c>
      <c r="F647" s="76">
        <v>1</v>
      </c>
      <c r="G647" s="56" t="str" cm="1">
        <f t="array" ref="G647">INDEX(deskripsi!$D$2:$H$337,
   MATCH(1,(deskripsi!$A$2:$A$337=B647)*
           (deskripsi!$B$2:$B$337=C647)*
           (deskripsi!$C$2:$C$337=D647),0),
   F647)</f>
        <v>Memutuskan dengan memilih usulan yang paling mudah atau paling kuat suaranya.</v>
      </c>
    </row>
    <row r="648" spans="1:7">
      <c r="A648" t="str">
        <f t="shared" si="10"/>
        <v>Analytical Thinking|Unit Head/Specialist|2|2</v>
      </c>
      <c r="B648" t="str">
        <v>Analytical Thinking</v>
      </c>
      <c r="C648" t="str">
        <v>Unit Head/Specialist</v>
      </c>
      <c r="D648" s="76">
        <v>2</v>
      </c>
      <c r="E648" t="str" cm="1">
        <f t="array" ref="E648">INDEX(aspek!$D$2:$D$337,
   MATCH(1,(aspek!$A$2:$A$337=B648)*
           (aspek!$B$2:$B$337=C648)*
           (aspek!$C$2:$C$337=D648),0))</f>
        <v>Memadukan versus memilih</v>
      </c>
      <c r="F648" s="76">
        <v>2</v>
      </c>
      <c r="G648" s="56" t="str" cm="1">
        <f t="array" ref="G648">INDEX(deskripsi!$D$2:$H$337,
   MATCH(1,(deskripsi!$A$2:$A$337=B648)*
           (deskripsi!$B$2:$B$337=C648)*
           (deskripsi!$C$2:$C$337=D648),0),
   F648)</f>
        <v>Memilih salah satu usulan, dengan penjelasan mengapa yang lain tidak dipakai.</v>
      </c>
    </row>
    <row r="649" spans="1:7">
      <c r="A649" t="str">
        <f t="shared" si="10"/>
        <v>Analytical Thinking|Unit Head/Specialist|2|3</v>
      </c>
      <c r="B649" t="str">
        <v>Analytical Thinking</v>
      </c>
      <c r="C649" t="str">
        <v>Unit Head/Specialist</v>
      </c>
      <c r="D649" s="76">
        <v>2</v>
      </c>
      <c r="E649" t="str" cm="1">
        <f t="array" ref="E649">INDEX(aspek!$D$2:$D$337,
   MATCH(1,(aspek!$A$2:$A$337=B649)*
           (aspek!$B$2:$B$337=C649)*
           (aspek!$C$2:$C$337=D649),0))</f>
        <v>Memadukan versus memilih</v>
      </c>
      <c r="F649" s="76">
        <v>3</v>
      </c>
      <c r="G649" s="56" t="str" cm="1">
        <f t="array" ref="G649">INDEX(deskripsi!$D$2:$H$337,
   MATCH(1,(deskripsi!$A$2:$A$337=B649)*
           (deskripsi!$B$2:$B$337=C649)*
           (deskripsi!$C$2:$C$337=D649),0),
   F649)</f>
        <v>Mencari jalan tengah dengan membagi selisih antara usulan yang ada.</v>
      </c>
    </row>
    <row r="650" spans="1:7">
      <c r="A650" t="str">
        <f t="shared" si="10"/>
        <v>Analytical Thinking|Unit Head/Specialist|2|4</v>
      </c>
      <c r="B650" t="str">
        <v>Analytical Thinking</v>
      </c>
      <c r="C650" t="str">
        <v>Unit Head/Specialist</v>
      </c>
      <c r="D650" s="76">
        <v>2</v>
      </c>
      <c r="E650" t="str" cm="1">
        <f t="array" ref="E650">INDEX(aspek!$D$2:$D$337,
   MATCH(1,(aspek!$A$2:$A$337=B650)*
           (aspek!$B$2:$B$337=C650)*
           (aspek!$C$2:$C$337=D650),0))</f>
        <v>Memadukan versus memilih</v>
      </c>
      <c r="F650" s="76">
        <v>4</v>
      </c>
      <c r="G650" s="56" t="str" cm="1">
        <f t="array" ref="G650">INDEX(deskripsi!$D$2:$H$337,
   MATCH(1,(deskripsi!$A$2:$A$337=B650)*
           (deskripsi!$B$2:$B$337=C650)*
           (deskripsi!$C$2:$C$337=D650),0),
   F650)</f>
        <v>Menyusun opsi yang tidak ada di antara usulan awal, yang memenuhi kepentingan POKOK lebih dari satu pihak.</v>
      </c>
    </row>
    <row r="651" spans="1:7">
      <c r="A651" t="str">
        <f t="shared" si="10"/>
        <v>Analytical Thinking|Unit Head/Specialist|2|5</v>
      </c>
      <c r="B651" t="str">
        <v>Analytical Thinking</v>
      </c>
      <c r="C651" t="str">
        <v>Unit Head/Specialist</v>
      </c>
      <c r="D651" s="76">
        <v>2</v>
      </c>
      <c r="E651" t="str" cm="1">
        <f t="array" ref="E651">INDEX(aspek!$D$2:$D$337,
   MATCH(1,(aspek!$A$2:$A$337=B651)*
           (aspek!$B$2:$B$337=C651)*
           (aspek!$C$2:$C$337=D651),0))</f>
        <v>Memadukan versus memilih</v>
      </c>
      <c r="F651" s="76">
        <v>5</v>
      </c>
      <c r="G651" s="56" t="str" cm="1">
        <f t="array" ref="G651">INDEX(deskripsi!$D$2:$H$337,
   MATCH(1,(deskripsi!$A$2:$A$337=B651)*
           (deskripsi!$B$2:$B$337=C651)*
           (deskripsi!$C$2:$C$337=D651),0),
   F651)</f>
        <v>Keputusannya dinilai lebih baik daripada usulan awal siapa pun, termasuk usulannya sendiri.</v>
      </c>
    </row>
    <row r="652" spans="1:7">
      <c r="A652" t="str">
        <f t="shared" si="10"/>
        <v>Analytical Thinking|Unit Head/Specialist|3|1</v>
      </c>
      <c r="B652" t="str">
        <v>Analytical Thinking</v>
      </c>
      <c r="C652" t="str">
        <v>Unit Head/Specialist</v>
      </c>
      <c r="D652" s="76">
        <v>3</v>
      </c>
      <c r="E652" t="str" cm="1">
        <f t="array" ref="E652">INDEX(aspek!$D$2:$D$337,
   MATCH(1,(aspek!$A$2:$A$337=B652)*
           (aspek!$B$2:$B$337=C652)*
           (aspek!$C$2:$C$337=D652),0))</f>
        <v>Mengurangi dominasi sudut pandang sendiri</v>
      </c>
      <c r="F652" s="76">
        <v>1</v>
      </c>
      <c r="G652" s="56" t="str" cm="1">
        <f t="array" ref="G652">INDEX(deskripsi!$D$2:$H$337,
   MATCH(1,(deskripsi!$A$2:$A$337=B652)*
           (deskripsi!$B$2:$B$337=C652)*
           (deskripsi!$C$2:$C$337=D652),0),
   F652)</f>
        <v>Keputusan selalu sama dengan pendapat awalnya; masukan tidak pernah mengubah apa pun.</v>
      </c>
    </row>
    <row r="653" spans="1:7">
      <c r="A653" t="str">
        <f t="shared" si="10"/>
        <v>Analytical Thinking|Unit Head/Specialist|3|2</v>
      </c>
      <c r="B653" t="str">
        <v>Analytical Thinking</v>
      </c>
      <c r="C653" t="str">
        <v>Unit Head/Specialist</v>
      </c>
      <c r="D653" s="76">
        <v>3</v>
      </c>
      <c r="E653" t="str" cm="1">
        <f t="array" ref="E653">INDEX(aspek!$D$2:$D$337,
   MATCH(1,(aspek!$A$2:$A$337=B653)*
           (aspek!$B$2:$B$337=C653)*
           (aspek!$C$2:$C$337=D653),0))</f>
        <v>Mengurangi dominasi sudut pandang sendiri</v>
      </c>
      <c r="F653" s="76">
        <v>2</v>
      </c>
      <c r="G653" s="56" t="str" cm="1">
        <f t="array" ref="G653">INDEX(deskripsi!$D$2:$H$337,
   MATCH(1,(deskripsi!$A$2:$A$337=B653)*
           (deskripsi!$B$2:$B$337=C653)*
           (deskripsi!$C$2:$C$337=D653),0),
   F653)</f>
        <v>Mengubah keputusan hanya ketika ditekan atasan atau ketika buktinya tidak terbantahkan.</v>
      </c>
    </row>
    <row r="654" spans="1:7">
      <c r="A654" t="str">
        <f t="shared" si="10"/>
        <v>Analytical Thinking|Unit Head/Specialist|3|3</v>
      </c>
      <c r="B654" t="str">
        <v>Analytical Thinking</v>
      </c>
      <c r="C654" t="str">
        <v>Unit Head/Specialist</v>
      </c>
      <c r="D654" s="76">
        <v>3</v>
      </c>
      <c r="E654" t="str" cm="1">
        <f t="array" ref="E654">INDEX(aspek!$D$2:$D$337,
   MATCH(1,(aspek!$A$2:$A$337=B654)*
           (aspek!$B$2:$B$337=C654)*
           (aspek!$C$2:$C$337=D654),0))</f>
        <v>Mengurangi dominasi sudut pandang sendiri</v>
      </c>
      <c r="F654" s="76">
        <v>3</v>
      </c>
      <c r="G654" s="56" t="str" cm="1">
        <f t="array" ref="G654">INDEX(deskripsi!$D$2:$H$337,
   MATCH(1,(deskripsi!$A$2:$A$337=B654)*
           (deskripsi!$B$2:$B$337=C654)*
           (deskripsi!$C$2:$C$337=D654),0),
   F654)</f>
        <v>Bersedia mengubah sebagian keputusan ketika ada masukan yang lebih kuat.</v>
      </c>
    </row>
    <row r="655" spans="1:7">
      <c r="A655" t="str">
        <f t="shared" si="10"/>
        <v>Analytical Thinking|Unit Head/Specialist|3|4</v>
      </c>
      <c r="B655" t="str">
        <v>Analytical Thinking</v>
      </c>
      <c r="C655" t="str">
        <v>Unit Head/Specialist</v>
      </c>
      <c r="D655" s="76">
        <v>3</v>
      </c>
      <c r="E655" t="str" cm="1">
        <f t="array" ref="E655">INDEX(aspek!$D$2:$D$337,
   MATCH(1,(aspek!$A$2:$A$337=B655)*
           (aspek!$B$2:$B$337=C655)*
           (aspek!$C$2:$C$337=D655),0))</f>
        <v>Mengurangi dominasi sudut pandang sendiri</v>
      </c>
      <c r="F655" s="76">
        <v>4</v>
      </c>
      <c r="G655" s="56" t="str" cm="1">
        <f t="array" ref="G655">INDEX(deskripsi!$D$2:$H$337,
   MATCH(1,(deskripsi!$A$2:$A$337=B655)*
           (deskripsi!$B$2:$B$337=C655)*
           (deskripsi!$C$2:$C$337=D655),0),
   F655)</f>
        <v>Secara berkala memeriksa berapa banyak keputusannya yang berubah dari pendapat awal, dan menindaklanjuti bila terlalu sedikit.</v>
      </c>
    </row>
    <row r="656" spans="1:7">
      <c r="A656" t="str">
        <f t="shared" si="10"/>
        <v>Analytical Thinking|Unit Head/Specialist|3|5</v>
      </c>
      <c r="B656" t="str">
        <v>Analytical Thinking</v>
      </c>
      <c r="C656" t="str">
        <v>Unit Head/Specialist</v>
      </c>
      <c r="D656" s="76">
        <v>3</v>
      </c>
      <c r="E656" t="str" cm="1">
        <f t="array" ref="E656">INDEX(aspek!$D$2:$D$337,
   MATCH(1,(aspek!$A$2:$A$337=B656)*
           (aspek!$B$2:$B$337=C656)*
           (aspek!$C$2:$C$337=D656),0))</f>
        <v>Mengurangi dominasi sudut pandang sendiri</v>
      </c>
      <c r="F656" s="76">
        <v>5</v>
      </c>
      <c r="G656" s="56" t="str" cm="1">
        <f t="array" ref="G656">INDEX(deskripsi!$D$2:$H$337,
   MATCH(1,(deskripsi!$A$2:$A$337=B656)*
           (deskripsi!$B$2:$B$337=C656)*
           (deskripsi!$C$2:$C$337=D656),0),
   F656)</f>
        <v>Dikenal sebagai orang yang pendapat awalnya dapat berubah oleh argumen, sehingga orang bersedia menyampaikan pandangan berbeda kepadanya.</v>
      </c>
    </row>
    <row r="657" spans="1:7">
      <c r="A657" t="str">
        <f t="shared" si="10"/>
        <v>Analytical Thinking|Unit Head/Specialist|4|1</v>
      </c>
      <c r="B657" t="str">
        <v>Analytical Thinking</v>
      </c>
      <c r="C657" t="str">
        <v>Unit Head/Specialist</v>
      </c>
      <c r="D657" s="76">
        <v>4</v>
      </c>
      <c r="E657" t="str" cm="1">
        <f t="array" ref="E657">INDEX(aspek!$D$2:$D$337,
   MATCH(1,(aspek!$A$2:$A$337=B657)*
           (aspek!$B$2:$B$337=C657)*
           (aspek!$C$2:$C$337=D657),0))</f>
        <v>Keberterimaan keputusan oleh pihak yang tidak menang</v>
      </c>
      <c r="F657" s="76">
        <v>1</v>
      </c>
      <c r="G657" s="56" t="str" cm="1">
        <f t="array" ref="G657">INDEX(deskripsi!$D$2:$H$337,
   MATCH(1,(deskripsi!$A$2:$A$337=B657)*
           (deskripsi!$B$2:$B$337=C657)*
           (deskripsi!$C$2:$C$337=D657),0),
   F657)</f>
        <v>Pihak yang usulannya tidak dipakai merasa tidak didengar dan menghambat pelaksanaan.</v>
      </c>
    </row>
    <row r="658" spans="1:7">
      <c r="A658" t="str">
        <f t="shared" si="10"/>
        <v>Analytical Thinking|Unit Head/Specialist|4|2</v>
      </c>
      <c r="B658" t="str">
        <v>Analytical Thinking</v>
      </c>
      <c r="C658" t="str">
        <v>Unit Head/Specialist</v>
      </c>
      <c r="D658" s="76">
        <v>4</v>
      </c>
      <c r="E658" t="str" cm="1">
        <f t="array" ref="E658">INDEX(aspek!$D$2:$D$337,
   MATCH(1,(aspek!$A$2:$A$337=B658)*
           (aspek!$B$2:$B$337=C658)*
           (aspek!$C$2:$C$337=D658),0))</f>
        <v>Keberterimaan keputusan oleh pihak yang tidak menang</v>
      </c>
      <c r="F658" s="76">
        <v>2</v>
      </c>
      <c r="G658" s="56" t="str" cm="1">
        <f t="array" ref="G658">INDEX(deskripsi!$D$2:$H$337,
   MATCH(1,(deskripsi!$A$2:$A$337=B658)*
           (deskripsi!$B$2:$B$337=C658)*
           (deskripsi!$C$2:$C$337=D658),0),
   F658)</f>
        <v>Keputusan dijalankan karena perintah, bukan karena diterima.</v>
      </c>
    </row>
    <row r="659" spans="1:7">
      <c r="A659" t="str">
        <f t="shared" si="10"/>
        <v>Analytical Thinking|Unit Head/Specialist|4|3</v>
      </c>
      <c r="B659" t="str">
        <v>Analytical Thinking</v>
      </c>
      <c r="C659" t="str">
        <v>Unit Head/Specialist</v>
      </c>
      <c r="D659" s="76">
        <v>4</v>
      </c>
      <c r="E659" t="str" cm="1">
        <f t="array" ref="E659">INDEX(aspek!$D$2:$D$337,
   MATCH(1,(aspek!$A$2:$A$337=B659)*
           (aspek!$B$2:$B$337=C659)*
           (aspek!$C$2:$C$337=D659),0))</f>
        <v>Keberterimaan keputusan oleh pihak yang tidak menang</v>
      </c>
      <c r="F659" s="76">
        <v>3</v>
      </c>
      <c r="G659" s="56" t="str" cm="1">
        <f t="array" ref="G659">INDEX(deskripsi!$D$2:$H$337,
   MATCH(1,(deskripsi!$A$2:$A$337=B659)*
           (deskripsi!$B$2:$B$337=C659)*
           (deskripsi!$C$2:$C$337=D659),0),
   F659)</f>
        <v>Pihak yang tidak menang memahami alasan keputusan, meski tidak merasa kepentingannya terwadahi.</v>
      </c>
    </row>
    <row r="660" spans="1:7">
      <c r="A660" t="str">
        <f t="shared" si="10"/>
        <v>Analytical Thinking|Unit Head/Specialist|4|4</v>
      </c>
      <c r="B660" t="str">
        <v>Analytical Thinking</v>
      </c>
      <c r="C660" t="str">
        <v>Unit Head/Specialist</v>
      </c>
      <c r="D660" s="76">
        <v>4</v>
      </c>
      <c r="E660" t="str" cm="1">
        <f t="array" ref="E660">INDEX(aspek!$D$2:$D$337,
   MATCH(1,(aspek!$A$2:$A$337=B660)*
           (aspek!$B$2:$B$337=C660)*
           (aspek!$C$2:$C$337=D660),0))</f>
        <v>Keberterimaan keputusan oleh pihak yang tidak menang</v>
      </c>
      <c r="F660" s="76">
        <v>4</v>
      </c>
      <c r="G660" s="56" t="str" cm="1">
        <f t="array" ref="G660">INDEX(deskripsi!$D$2:$H$337,
   MATCH(1,(deskripsi!$A$2:$A$337=B660)*
           (deskripsi!$B$2:$B$337=C660)*
           (deskripsi!$C$2:$C$337=D660),0),
   F660)</f>
        <v>Pihak yang usulannya tidak dipakai mengonfirmasi kepentingan pokoknya tetap terwadahi, dan menjalankan keputusan tanpa eskalasi ulang.</v>
      </c>
    </row>
    <row r="661" spans="1:7">
      <c r="A661" t="str">
        <f t="shared" si="10"/>
        <v>Analytical Thinking|Unit Head/Specialist|4|5</v>
      </c>
      <c r="B661" t="str">
        <v>Analytical Thinking</v>
      </c>
      <c r="C661" t="str">
        <v>Unit Head/Specialist</v>
      </c>
      <c r="D661" s="76">
        <v>4</v>
      </c>
      <c r="E661" t="str" cm="1">
        <f t="array" ref="E661">INDEX(aspek!$D$2:$D$337,
   MATCH(1,(aspek!$A$2:$A$337=B661)*
           (aspek!$B$2:$B$337=C661)*
           (aspek!$C$2:$C$337=D661),0))</f>
        <v>Keberterimaan keputusan oleh pihak yang tidak menang</v>
      </c>
      <c r="F661" s="76">
        <v>5</v>
      </c>
      <c r="G661" s="56" t="str" cm="1">
        <f t="array" ref="G661">INDEX(deskripsi!$D$2:$H$337,
   MATCH(1,(deskripsi!$A$2:$A$337=B661)*
           (deskripsi!$B$2:$B$337=C661)*
           (deskripsi!$C$2:$C$337=D661),0),
   F661)</f>
        <v>Pihak yang berseberangan meminta ia menjadi pengambil keputusan pada perkara serupa berikutnya.</v>
      </c>
    </row>
    <row r="662" spans="1:7">
      <c r="A662" t="str">
        <f t="shared" si="10"/>
        <v>Analytical Thinking|Department Head|1|1</v>
      </c>
      <c r="B662" t="str">
        <v>Analytical Thinking</v>
      </c>
      <c r="C662" t="str">
        <v>Department Head</v>
      </c>
      <c r="D662" s="76">
        <v>1</v>
      </c>
      <c r="E662" t="str" cm="1">
        <f t="array" ref="E662">INDEX(aspek!$D$2:$D$337,
   MATCH(1,(aspek!$A$2:$A$337=B662)*
           (aspek!$B$2:$B$337=C662)*
           (aspek!$C$2:$C$337=D662),0))</f>
        <v>Kesediaan mengevaluasi ulang solusi sendiri</v>
      </c>
      <c r="F662" s="76">
        <v>1</v>
      </c>
      <c r="G662" s="56" t="str" cm="1">
        <f t="array" ref="G662">INDEX(deskripsi!$D$2:$H$337,
   MATCH(1,(deskripsi!$A$2:$A$337=B662)*
           (deskripsi!$B$2:$B$337=C662)*
           (deskripsi!$C$2:$C$337=D662),0),
   F662)</f>
        <v>Mengulang solusi yang sama setiap kali masalah muncul, tanpa memeriksa apakah ia menyelesaikan.</v>
      </c>
    </row>
    <row r="663" spans="1:7">
      <c r="A663" t="str">
        <f t="shared" si="10"/>
        <v>Analytical Thinking|Department Head|1|2</v>
      </c>
      <c r="B663" t="str">
        <v>Analytical Thinking</v>
      </c>
      <c r="C663" t="str">
        <v>Department Head</v>
      </c>
      <c r="D663" s="76">
        <v>1</v>
      </c>
      <c r="E663" t="str" cm="1">
        <f t="array" ref="E663">INDEX(aspek!$D$2:$D$337,
   MATCH(1,(aspek!$A$2:$A$337=B663)*
           (aspek!$B$2:$B$337=C663)*
           (aspek!$C$2:$C$337=D663),0))</f>
        <v>Kesediaan mengevaluasi ulang solusi sendiri</v>
      </c>
      <c r="F663" s="76">
        <v>2</v>
      </c>
      <c r="G663" s="56" t="str" cm="1">
        <f t="array" ref="G663">INDEX(deskripsi!$D$2:$H$337,
   MATCH(1,(deskripsi!$A$2:$A$337=B663)*
           (deskripsi!$B$2:$B$337=C663)*
           (deskripsi!$C$2:$C$337=D663),0),
   F663)</f>
        <v>Menyadari cara lama kurang efektif, tetapi memperbaikinya dengan pola pikir yang sama.</v>
      </c>
    </row>
    <row r="664" spans="1:7">
      <c r="A664" t="str">
        <f t="shared" si="10"/>
        <v>Analytical Thinking|Department Head|1|3</v>
      </c>
      <c r="B664" t="str">
        <v>Analytical Thinking</v>
      </c>
      <c r="C664" t="str">
        <v>Department Head</v>
      </c>
      <c r="D664" s="76">
        <v>1</v>
      </c>
      <c r="E664" t="str" cm="1">
        <f t="array" ref="E664">INDEX(aspek!$D$2:$D$337,
   MATCH(1,(aspek!$A$2:$A$337=B664)*
           (aspek!$B$2:$B$337=C664)*
           (aspek!$C$2:$C$337=D664),0))</f>
        <v>Kesediaan mengevaluasi ulang solusi sendiri</v>
      </c>
      <c r="F664" s="76">
        <v>3</v>
      </c>
      <c r="G664" s="56" t="str" cm="1">
        <f t="array" ref="G664">INDEX(deskripsi!$D$2:$H$337,
   MATCH(1,(deskripsi!$A$2:$A$337=B664)*
           (deskripsi!$B$2:$B$337=C664)*
           (deskripsi!$C$2:$C$337=D664),0),
   F664)</f>
        <v>Mengevaluasi solusi yang dipakai dan mencari alternatif ketika hasilnya jelas tidak memadai.</v>
      </c>
    </row>
    <row r="665" spans="1:7">
      <c r="A665" t="str">
        <f t="shared" si="10"/>
        <v>Analytical Thinking|Department Head|1|4</v>
      </c>
      <c r="B665" t="str">
        <v>Analytical Thinking</v>
      </c>
      <c r="C665" t="str">
        <v>Department Head</v>
      </c>
      <c r="D665" s="76">
        <v>1</v>
      </c>
      <c r="E665" t="str" cm="1">
        <f t="array" ref="E665">INDEX(aspek!$D$2:$D$337,
   MATCH(1,(aspek!$A$2:$A$337=B665)*
           (aspek!$B$2:$B$337=C665)*
           (aspek!$C$2:$C$337=D665),0))</f>
        <v>Kesediaan mengevaluasi ulang solusi sendiri</v>
      </c>
      <c r="F665" s="76">
        <v>4</v>
      </c>
      <c r="G665" s="56" t="str" cm="1">
        <f t="array" ref="G665">INDEX(deskripsi!$D$2:$H$337,
   MATCH(1,(deskripsi!$A$2:$A$337=B665)*
           (deskripsi!$B$2:$B$337=C665)*
           (deskripsi!$C$2:$C$337=D665),0),
   F665)</f>
        <v>Secara berkala memeriksa asumsi di balik praktik baku unitnya, termasuk praktik yang ia sendiri buat, dan bersedia menghentikannya.</v>
      </c>
    </row>
    <row r="666" spans="1:7">
      <c r="A666" t="str">
        <f t="shared" si="10"/>
        <v>Analytical Thinking|Department Head|1|5</v>
      </c>
      <c r="B666" t="str">
        <v>Analytical Thinking</v>
      </c>
      <c r="C666" t="str">
        <v>Department Head</v>
      </c>
      <c r="D666" s="76">
        <v>1</v>
      </c>
      <c r="E666" t="str" cm="1">
        <f t="array" ref="E666">INDEX(aspek!$D$2:$D$337,
   MATCH(1,(aspek!$A$2:$A$337=B666)*
           (aspek!$B$2:$B$337=C666)*
           (aspek!$C$2:$C$337=D666),0))</f>
        <v>Kesediaan mengevaluasi ulang solusi sendiri</v>
      </c>
      <c r="F666" s="76">
        <v>5</v>
      </c>
      <c r="G666" s="56" t="str" cm="1">
        <f t="array" ref="G666">INDEX(deskripsi!$D$2:$H$337,
   MATCH(1,(deskripsi!$A$2:$A$337=B666)*
           (deskripsi!$B$2:$B$337=C666)*
           (deskripsi!$C$2:$C$337=D666),0),
   F666)</f>
        <v>Menghentikan cara yang masih dianggap berhasil oleh orang lain karena melihat ia tidak akan bertahan.</v>
      </c>
    </row>
    <row r="667" spans="1:7">
      <c r="A667" t="str">
        <f t="shared" si="10"/>
        <v>Analytical Thinking|Department Head|2|1</v>
      </c>
      <c r="B667" t="str">
        <v>Analytical Thinking</v>
      </c>
      <c r="C667" t="str">
        <v>Department Head</v>
      </c>
      <c r="D667" s="76">
        <v>2</v>
      </c>
      <c r="E667" t="str" cm="1">
        <f t="array" ref="E667">INDEX(aspek!$D$2:$D$337,
   MATCH(1,(aspek!$A$2:$A$337=B667)*
           (aspek!$B$2:$B$337=C667)*
           (aspek!$C$2:$C$337=D667),0))</f>
        <v>Orisinalitas pendekatan</v>
      </c>
      <c r="F667" s="76">
        <v>1</v>
      </c>
      <c r="G667" s="56" t="str" cm="1">
        <f t="array" ref="G667">INDEX(deskripsi!$D$2:$H$337,
   MATCH(1,(deskripsi!$A$2:$A$337=B667)*
           (deskripsi!$B$2:$B$337=C667)*
           (deskripsi!$C$2:$C$337=D667),0),
   F667)</f>
        <v>Hanya mengenal satu cara untuk setiap jenis masalah.</v>
      </c>
    </row>
    <row r="668" spans="1:7">
      <c r="A668" t="str">
        <f t="shared" si="10"/>
        <v>Analytical Thinking|Department Head|2|2</v>
      </c>
      <c r="B668" t="str">
        <v>Analytical Thinking</v>
      </c>
      <c r="C668" t="str">
        <v>Department Head</v>
      </c>
      <c r="D668" s="76">
        <v>2</v>
      </c>
      <c r="E668" t="str" cm="1">
        <f t="array" ref="E668">INDEX(aspek!$D$2:$D$337,
   MATCH(1,(aspek!$A$2:$A$337=B668)*
           (aspek!$B$2:$B$337=C668)*
           (aspek!$C$2:$C$337=D668),0))</f>
        <v>Orisinalitas pendekatan</v>
      </c>
      <c r="F668" s="76">
        <v>2</v>
      </c>
      <c r="G668" s="56" t="str" cm="1">
        <f t="array" ref="G668">INDEX(deskripsi!$D$2:$H$337,
   MATCH(1,(deskripsi!$A$2:$A$337=B668)*
           (deskripsi!$B$2:$B$337=C668)*
           (deskripsi!$C$2:$C$337=D668),0),
   F668)</f>
        <v>Menghasilkan variasi dari cara yang sama — lebih cepat, lebih rapi, lebih ketat — tanpa mengubah dasarnya.</v>
      </c>
    </row>
    <row r="669" spans="1:7">
      <c r="A669" t="str">
        <f t="shared" si="10"/>
        <v>Analytical Thinking|Department Head|2|3</v>
      </c>
      <c r="B669" t="str">
        <v>Analytical Thinking</v>
      </c>
      <c r="C669" t="str">
        <v>Department Head</v>
      </c>
      <c r="D669" s="76">
        <v>2</v>
      </c>
      <c r="E669" t="str" cm="1">
        <f t="array" ref="E669">INDEX(aspek!$D$2:$D$337,
   MATCH(1,(aspek!$A$2:$A$337=B669)*
           (aspek!$B$2:$B$337=C669)*
           (aspek!$C$2:$C$337=D669),0))</f>
        <v>Orisinalitas pendekatan</v>
      </c>
      <c r="F669" s="76">
        <v>3</v>
      </c>
      <c r="G669" s="56" t="str" cm="1">
        <f t="array" ref="G669">INDEX(deskripsi!$D$2:$H$337,
   MATCH(1,(deskripsi!$A$2:$A$337=B669)*
           (deskripsi!$B$2:$B$337=C669)*
           (deskripsi!$C$2:$C$337=D669),0),
   F669)</f>
        <v>Mencari alternatif dari praktik unit lain atau dari referensi, lalu menerapkannya.</v>
      </c>
    </row>
    <row r="670" spans="1:7">
      <c r="A670" t="str">
        <f t="shared" si="10"/>
        <v>Analytical Thinking|Department Head|2|4</v>
      </c>
      <c r="B670" t="str">
        <v>Analytical Thinking</v>
      </c>
      <c r="C670" t="str">
        <v>Department Head</v>
      </c>
      <c r="D670" s="76">
        <v>2</v>
      </c>
      <c r="E670" t="str" cm="1">
        <f t="array" ref="E670">INDEX(aspek!$D$2:$D$337,
   MATCH(1,(aspek!$A$2:$A$337=B670)*
           (aspek!$B$2:$B$337=C670)*
           (aspek!$C$2:$C$337=D670),0))</f>
        <v>Orisinalitas pendekatan</v>
      </c>
      <c r="F670" s="76">
        <v>4</v>
      </c>
      <c r="G670" s="56" t="str" cm="1">
        <f t="array" ref="G670">INDEX(deskripsi!$D$2:$H$337,
   MATCH(1,(deskripsi!$A$2:$A$337=B670)*
           (deskripsi!$B$2:$B$337=C670)*
           (deskripsi!$C$2:$C$337=D670),0),
   F670)</f>
        <v>Menyusun pendekatan yang tidak ada di antara pilihan yang tersedia, dengan membalik asumsi atau mengambil analogi dari luar bidangnya.</v>
      </c>
    </row>
    <row r="671" spans="1:7">
      <c r="A671" t="str">
        <f t="shared" si="10"/>
        <v>Analytical Thinking|Department Head|2|5</v>
      </c>
      <c r="B671" t="str">
        <v>Analytical Thinking</v>
      </c>
      <c r="C671" t="str">
        <v>Department Head</v>
      </c>
      <c r="D671" s="76">
        <v>2</v>
      </c>
      <c r="E671" t="str" cm="1">
        <f t="array" ref="E671">INDEX(aspek!$D$2:$D$337,
   MATCH(1,(aspek!$A$2:$A$337=B671)*
           (aspek!$B$2:$B$337=C671)*
           (aspek!$C$2:$C$337=D671),0))</f>
        <v>Orisinalitas pendekatan</v>
      </c>
      <c r="F671" s="76">
        <v>5</v>
      </c>
      <c r="G671" s="56" t="str" cm="1">
        <f t="array" ref="G671">INDEX(deskripsi!$D$2:$H$337,
   MATCH(1,(deskripsi!$A$2:$A$337=B671)*
           (deskripsi!$B$2:$B$337=C671)*
           (deskripsi!$C$2:$C$337=D671),0),
   F671)</f>
        <v>Pendekatan yang ia ciptakan diadopsi unit lain untuk masalah sejenis.</v>
      </c>
    </row>
    <row r="672" spans="1:7">
      <c r="A672" t="str">
        <f t="shared" si="10"/>
        <v>Analytical Thinking|Department Head|3|1</v>
      </c>
      <c r="B672" t="str">
        <v>Analytical Thinking</v>
      </c>
      <c r="C672" t="str">
        <v>Department Head</v>
      </c>
      <c r="D672" s="76">
        <v>3</v>
      </c>
      <c r="E672" t="str" cm="1">
        <f t="array" ref="E672">INDEX(aspek!$D$2:$D$337,
   MATCH(1,(aspek!$A$2:$A$337=B672)*
           (aspek!$B$2:$B$337=C672)*
           (aspek!$C$2:$C$337=D672),0))</f>
        <v>Masalah berulang benar-benar berhenti</v>
      </c>
      <c r="F672" s="76">
        <v>1</v>
      </c>
      <c r="G672" s="56" t="str" cm="1">
        <f t="array" ref="G672">INDEX(deskripsi!$D$2:$H$337,
   MATCH(1,(deskripsi!$A$2:$A$337=B672)*
           (deskripsi!$B$2:$B$337=C672)*
           (deskripsi!$C$2:$C$337=D672),0),
   F672)</f>
        <v>Masalah yang sama terus muncul dengan frekuensi yang tidak berubah.</v>
      </c>
    </row>
    <row r="673" spans="1:7">
      <c r="A673" t="str">
        <f t="shared" si="10"/>
        <v>Analytical Thinking|Department Head|3|2</v>
      </c>
      <c r="B673" t="str">
        <v>Analytical Thinking</v>
      </c>
      <c r="C673" t="str">
        <v>Department Head</v>
      </c>
      <c r="D673" s="76">
        <v>3</v>
      </c>
      <c r="E673" t="str" cm="1">
        <f t="array" ref="E673">INDEX(aspek!$D$2:$D$337,
   MATCH(1,(aspek!$A$2:$A$337=B673)*
           (aspek!$B$2:$B$337=C673)*
           (aspek!$C$2:$C$337=D673),0))</f>
        <v>Masalah berulang benar-benar berhenti</v>
      </c>
      <c r="F673" s="76">
        <v>2</v>
      </c>
      <c r="G673" s="56" t="str" cm="1">
        <f t="array" ref="G673">INDEX(deskripsi!$D$2:$H$337,
   MATCH(1,(deskripsi!$A$2:$A$337=B673)*
           (deskripsi!$B$2:$B$337=C673)*
           (deskripsi!$C$2:$C$337=D673),0),
   F673)</f>
        <v>Masalah mereda sebentar lalu kembali dengan pola yang sama.</v>
      </c>
    </row>
    <row r="674" spans="1:7">
      <c r="A674" t="str">
        <f t="shared" si="10"/>
        <v>Analytical Thinking|Department Head|3|3</v>
      </c>
      <c r="B674" t="str">
        <v>Analytical Thinking</v>
      </c>
      <c r="C674" t="str">
        <v>Department Head</v>
      </c>
      <c r="D674" s="76">
        <v>3</v>
      </c>
      <c r="E674" t="str" cm="1">
        <f t="array" ref="E674">INDEX(aspek!$D$2:$D$337,
   MATCH(1,(aspek!$A$2:$A$337=B674)*
           (aspek!$B$2:$B$337=C674)*
           (aspek!$C$2:$C$337=D674),0))</f>
        <v>Masalah berulang benar-benar berhenti</v>
      </c>
      <c r="F674" s="76">
        <v>3</v>
      </c>
      <c r="G674" s="56" t="str" cm="1">
        <f t="array" ref="G674">INDEX(deskripsi!$D$2:$H$337,
   MATCH(1,(deskripsi!$A$2:$A$337=B674)*
           (deskripsi!$B$2:$B$337=C674)*
           (deskripsi!$C$2:$C$337=D674),0),
   F674)</f>
        <v>Sebagian masalah berulang berhasil ditekan, meski belum tuntas.</v>
      </c>
    </row>
    <row r="675" spans="1:7">
      <c r="A675" t="str">
        <f t="shared" si="10"/>
        <v>Analytical Thinking|Department Head|3|4</v>
      </c>
      <c r="B675" t="str">
        <v>Analytical Thinking</v>
      </c>
      <c r="C675" t="str">
        <v>Department Head</v>
      </c>
      <c r="D675" s="76">
        <v>3</v>
      </c>
      <c r="E675" t="str" cm="1">
        <f t="array" ref="E675">INDEX(aspek!$D$2:$D$337,
   MATCH(1,(aspek!$A$2:$A$337=B675)*
           (aspek!$B$2:$B$337=C675)*
           (aspek!$C$2:$C$337=D675),0))</f>
        <v>Masalah berulang benar-benar berhenti</v>
      </c>
      <c r="F675" s="76">
        <v>4</v>
      </c>
      <c r="G675" s="56" t="str" cm="1">
        <f t="array" ref="G675">INDEX(deskripsi!$D$2:$H$337,
   MATCH(1,(deskripsi!$A$2:$A$337=B675)*
           (deskripsi!$B$2:$B$337=C675)*
           (deskripsi!$C$2:$C$337=D675),0),
   F675)</f>
        <v>Minimal satu masalah yang sudah berulang bertahun-tahun tidak muncul kembali selama beberapa bulan setelah pendekatan baru dijalankan.</v>
      </c>
    </row>
    <row r="676" spans="1:7">
      <c r="A676" t="str">
        <f t="shared" si="10"/>
        <v>Analytical Thinking|Department Head|3|5</v>
      </c>
      <c r="B676" t="str">
        <v>Analytical Thinking</v>
      </c>
      <c r="C676" t="str">
        <v>Department Head</v>
      </c>
      <c r="D676" s="76">
        <v>3</v>
      </c>
      <c r="E676" t="str" cm="1">
        <f t="array" ref="E676">INDEX(aspek!$D$2:$D$337,
   MATCH(1,(aspek!$A$2:$A$337=B676)*
           (aspek!$B$2:$B$337=C676)*
           (aspek!$C$2:$C$337=D676),0))</f>
        <v>Masalah berulang benar-benar berhenti</v>
      </c>
      <c r="F676" s="76">
        <v>5</v>
      </c>
      <c r="G676" s="56" t="str" cm="1">
        <f t="array" ref="G676">INDEX(deskripsi!$D$2:$H$337,
   MATCH(1,(deskripsi!$A$2:$A$337=B676)*
           (deskripsi!$B$2:$B$337=C676)*
           (deskripsi!$C$2:$C$337=D676),0),
   F676)</f>
        <v>Unitnya dikenal sebagai tempat masalah tidak berulang, dan pendekatannya ditanyakan unit lain.</v>
      </c>
    </row>
    <row r="677" spans="1:7">
      <c r="A677" t="str">
        <f t="shared" si="10"/>
        <v>Analytical Thinking|Department Head|4|1</v>
      </c>
      <c r="B677" t="str">
        <v>Analytical Thinking</v>
      </c>
      <c r="C677" t="str">
        <v>Department Head</v>
      </c>
      <c r="D677" s="76">
        <v>4</v>
      </c>
      <c r="E677" t="str" cm="1">
        <f t="array" ref="E677">INDEX(aspek!$D$2:$D$337,
   MATCH(1,(aspek!$A$2:$A$337=B677)*
           (aspek!$B$2:$B$337=C677)*
           (aspek!$C$2:$C$337=D677),0))</f>
        <v>Prioritisasi berbasis dampak</v>
      </c>
      <c r="F677" s="76">
        <v>1</v>
      </c>
      <c r="G677" s="56" t="str" cm="1">
        <f t="array" ref="G677">INDEX(deskripsi!$D$2:$H$337,
   MATCH(1,(deskripsi!$A$2:$A$337=B677)*
           (deskripsi!$B$2:$B$337=C677)*
           (deskripsi!$C$2:$C$337=D677),0),
   F677)</f>
        <v>Menangani masalah sesuai urutan kemunculannya atau sesuai yang paling ramai dibicarakan.</v>
      </c>
    </row>
    <row r="678" spans="1:7">
      <c r="A678" t="str">
        <f t="shared" si="10"/>
        <v>Analytical Thinking|Department Head|4|2</v>
      </c>
      <c r="B678" t="str">
        <v>Analytical Thinking</v>
      </c>
      <c r="C678" t="str">
        <v>Department Head</v>
      </c>
      <c r="D678" s="76">
        <v>4</v>
      </c>
      <c r="E678" t="str" cm="1">
        <f t="array" ref="E678">INDEX(aspek!$D$2:$D$337,
   MATCH(1,(aspek!$A$2:$A$337=B678)*
           (aspek!$B$2:$B$337=C678)*
           (aspek!$C$2:$C$337=D678),0))</f>
        <v>Prioritisasi berbasis dampak</v>
      </c>
      <c r="F678" s="76">
        <v>2</v>
      </c>
      <c r="G678" s="56" t="str" cm="1">
        <f t="array" ref="G678">INDEX(deskripsi!$D$2:$H$337,
   MATCH(1,(deskripsi!$A$2:$A$337=B678)*
           (deskripsi!$B$2:$B$337=C678)*
           (deskripsi!$C$2:$C$337=D678),0),
   F678)</f>
        <v>Mengelompokkan masalah, tetapi urutan penanganannya ditentukan oleh kemudahan.</v>
      </c>
    </row>
    <row r="679" spans="1:7">
      <c r="A679" t="str">
        <f t="shared" si="10"/>
        <v>Analytical Thinking|Department Head|4|3</v>
      </c>
      <c r="B679" t="str">
        <v>Analytical Thinking</v>
      </c>
      <c r="C679" t="str">
        <v>Department Head</v>
      </c>
      <c r="D679" s="76">
        <v>4</v>
      </c>
      <c r="E679" t="str" cm="1">
        <f t="array" ref="E679">INDEX(aspek!$D$2:$D$337,
   MATCH(1,(aspek!$A$2:$A$337=B679)*
           (aspek!$B$2:$B$337=C679)*
           (aspek!$C$2:$C$337=D679),0))</f>
        <v>Prioritisasi berbasis dampak</v>
      </c>
      <c r="F679" s="76">
        <v>3</v>
      </c>
      <c r="G679" s="56" t="str" cm="1">
        <f t="array" ref="G679">INDEX(deskripsi!$D$2:$H$337,
   MATCH(1,(deskripsi!$A$2:$A$337=B679)*
           (deskripsi!$B$2:$B$337=C679)*
           (deskripsi!$C$2:$C$337=D679),0),
   F679)</f>
        <v>Menyusun prioritas berdasarkan dampak, dengan dasar yang dapat dijelaskan.</v>
      </c>
    </row>
    <row r="680" spans="1:7">
      <c r="A680" t="str">
        <f t="shared" si="10"/>
        <v>Analytical Thinking|Department Head|4|4</v>
      </c>
      <c r="B680" t="str">
        <v>Analytical Thinking</v>
      </c>
      <c r="C680" t="str">
        <v>Department Head</v>
      </c>
      <c r="D680" s="76">
        <v>4</v>
      </c>
      <c r="E680" t="str" cm="1">
        <f t="array" ref="E680">INDEX(aspek!$D$2:$D$337,
   MATCH(1,(aspek!$A$2:$A$337=B680)*
           (aspek!$B$2:$B$337=C680)*
           (aspek!$C$2:$C$337=D680),0))</f>
        <v>Prioritisasi berbasis dampak</v>
      </c>
      <c r="F680" s="76">
        <v>4</v>
      </c>
      <c r="G680" s="56" t="str" cm="1">
        <f t="array" ref="G680">INDEX(deskripsi!$D$2:$H$337,
   MATCH(1,(deskripsi!$A$2:$A$337=B680)*
           (deskripsi!$B$2:$B$337=C680)*
           (deskripsi!$C$2:$C$337=D680),0),
   F680)</f>
        <v>Menyusun prioritas berdasarkan dampak bisnis DAN biaya pengulangan, lalu benar-benar menangani sesuai urutan itu meski yang teratas paling sulit.</v>
      </c>
    </row>
    <row r="681" spans="1:7">
      <c r="A681" t="str">
        <f t="shared" si="10"/>
        <v>Analytical Thinking|Department Head|4|5</v>
      </c>
      <c r="B681" t="str">
        <v>Analytical Thinking</v>
      </c>
      <c r="C681" t="str">
        <v>Department Head</v>
      </c>
      <c r="D681" s="76">
        <v>4</v>
      </c>
      <c r="E681" t="str" cm="1">
        <f t="array" ref="E681">INDEX(aspek!$D$2:$D$337,
   MATCH(1,(aspek!$A$2:$A$337=B681)*
           (aspek!$B$2:$B$337=C681)*
           (aspek!$C$2:$C$337=D681),0))</f>
        <v>Prioritisasi berbasis dampak</v>
      </c>
      <c r="F681" s="76">
        <v>5</v>
      </c>
      <c r="G681" s="56" t="str" cm="1">
        <f t="array" ref="G681">INDEX(deskripsi!$D$2:$H$337,
   MATCH(1,(deskripsi!$A$2:$A$337=B681)*
           (deskripsi!$B$2:$B$337=C681)*
           (deskripsi!$C$2:$C$337=D681),0),
   F681)</f>
        <v>Logika prioritasnya dipakai unit lain sebagai acuan.</v>
      </c>
    </row>
    <row r="682" spans="1:7">
      <c r="A682" t="str">
        <f t="shared" si="10"/>
        <v>Analytical Thinking|Division Head|1|1</v>
      </c>
      <c r="B682" t="str">
        <v>Analytical Thinking</v>
      </c>
      <c r="C682" t="str">
        <v>Division Head</v>
      </c>
      <c r="D682" s="76">
        <v>1</v>
      </c>
      <c r="E682" t="str" cm="1">
        <f t="array" ref="E682">INDEX(aspek!$D$2:$D$337,
   MATCH(1,(aspek!$A$2:$A$337=B682)*
           (aspek!$B$2:$B$337=C682)*
           (aspek!$C$2:$C$337=D682),0))</f>
        <v xml:space="preserve"> Kesediaan bergerak tanpa kepastian</v>
      </c>
      <c r="F682" s="76">
        <v>1</v>
      </c>
      <c r="G682" s="56" t="str" cm="1">
        <f t="array" ref="G682">INDEX(deskripsi!$D$2:$H$337,
   MATCH(1,(deskripsi!$A$2:$A$337=B682)*
           (deskripsi!$B$2:$B$337=C682)*
           (deskripsi!$C$2:$C$337=D682),0),
   F682)</f>
        <v>Pekerjaan berhenti sampai arah atau data menjadi jelas.</v>
      </c>
    </row>
    <row r="683" spans="1:7">
      <c r="A683" t="str">
        <f t="shared" si="10"/>
        <v>Analytical Thinking|Division Head|1|2</v>
      </c>
      <c r="B683" t="str">
        <v>Analytical Thinking</v>
      </c>
      <c r="C683" t="str">
        <v>Division Head</v>
      </c>
      <c r="D683" s="76">
        <v>1</v>
      </c>
      <c r="E683" t="str" cm="1">
        <f t="array" ref="E683">INDEX(aspek!$D$2:$D$337,
   MATCH(1,(aspek!$A$2:$A$337=B683)*
           (aspek!$B$2:$B$337=C683)*
           (aspek!$C$2:$C$337=D683),0))</f>
        <v xml:space="preserve"> Kesediaan bergerak tanpa kepastian</v>
      </c>
      <c r="F683" s="76">
        <v>2</v>
      </c>
      <c r="G683" s="56" t="str" cm="1">
        <f t="array" ref="G683">INDEX(deskripsi!$D$2:$H$337,
   MATCH(1,(deskripsi!$A$2:$A$337=B683)*
           (deskripsi!$B$2:$B$337=C683)*
           (deskripsi!$C$2:$C$337=D683),0),
   F683)</f>
        <v>Bergerak hanya pada bagian yang sudah pasti; sisanya menunggu.</v>
      </c>
    </row>
    <row r="684" spans="1:7">
      <c r="A684" t="str">
        <f t="shared" si="10"/>
        <v>Analytical Thinking|Division Head|1|3</v>
      </c>
      <c r="B684" t="str">
        <v>Analytical Thinking</v>
      </c>
      <c r="C684" t="str">
        <v>Division Head</v>
      </c>
      <c r="D684" s="76">
        <v>1</v>
      </c>
      <c r="E684" t="str" cm="1">
        <f t="array" ref="E684">INDEX(aspek!$D$2:$D$337,
   MATCH(1,(aspek!$A$2:$A$337=B684)*
           (aspek!$B$2:$B$337=C684)*
           (aspek!$C$2:$C$337=D684),0))</f>
        <v xml:space="preserve"> Kesediaan bergerak tanpa kepastian</v>
      </c>
      <c r="F684" s="76">
        <v>3</v>
      </c>
      <c r="G684" s="56" t="str" cm="1">
        <f t="array" ref="G684">INDEX(deskripsi!$D$2:$H$337,
   MATCH(1,(deskripsi!$A$2:$A$337=B684)*
           (deskripsi!$B$2:$B$337=C684)*
           (deskripsi!$C$2:$C$337=D684),0),
   F684)</f>
        <v>Memutuskan setelah menunggu selama waktu yang wajar, dan biasanya tepat.</v>
      </c>
    </row>
    <row r="685" spans="1:7">
      <c r="A685" t="str">
        <f t="shared" si="10"/>
        <v>Analytical Thinking|Division Head|1|4</v>
      </c>
      <c r="B685" t="str">
        <v>Analytical Thinking</v>
      </c>
      <c r="C685" t="str">
        <v>Division Head</v>
      </c>
      <c r="D685" s="76">
        <v>1</v>
      </c>
      <c r="E685" t="str" cm="1">
        <f t="array" ref="E685">INDEX(aspek!$D$2:$D$337,
   MATCH(1,(aspek!$A$2:$A$337=B685)*
           (aspek!$B$2:$B$337=C685)*
           (aspek!$C$2:$C$337=D685),0))</f>
        <v xml:space="preserve"> Kesediaan bergerak tanpa kepastian</v>
      </c>
      <c r="F685" s="76">
        <v>4</v>
      </c>
      <c r="G685" s="56" t="str" cm="1">
        <f t="array" ref="G685">INDEX(deskripsi!$D$2:$H$337,
   MATCH(1,(deskripsi!$A$2:$A$337=B685)*
           (deskripsi!$B$2:$B$337=C685)*
           (deskripsi!$C$2:$C$337=D685),0),
   F685)</f>
        <v>Menetapkan sendiri batas menunggu di muka, lalu bergerak pada batas itu — termasuk ketika sebagian informasi memang tidak akan pernah tersedia.</v>
      </c>
    </row>
    <row r="686" spans="1:7">
      <c r="A686" t="str">
        <f t="shared" si="10"/>
        <v>Analytical Thinking|Division Head|1|5</v>
      </c>
      <c r="B686" t="str">
        <v>Analytical Thinking</v>
      </c>
      <c r="C686" t="str">
        <v>Division Head</v>
      </c>
      <c r="D686" s="76">
        <v>1</v>
      </c>
      <c r="E686" t="str" cm="1">
        <f t="array" ref="E686">INDEX(aspek!$D$2:$D$337,
   MATCH(1,(aspek!$A$2:$A$337=B686)*
           (aspek!$B$2:$B$337=C686)*
           (aspek!$C$2:$C$337=D686),0))</f>
        <v xml:space="preserve"> Kesediaan bergerak tanpa kepastian</v>
      </c>
      <c r="F686" s="76">
        <v>5</v>
      </c>
      <c r="G686" s="56" t="str" cm="1">
        <f t="array" ref="G686">INDEX(deskripsi!$D$2:$H$337,
   MATCH(1,(deskripsi!$A$2:$A$337=B686)*
           (deskripsi!$B$2:$B$337=C686)*
           (deskripsi!$C$2:$C$337=D686),0),
   F686)</f>
        <v>Melihat periode yang belum jelas sebagai kesempatan bergerak lebih dulu daripada pihak yang menunggu.</v>
      </c>
    </row>
    <row r="687" spans="1:7">
      <c r="A687" t="str">
        <f t="shared" si="10"/>
        <v>Analytical Thinking|Division Head|2|1</v>
      </c>
      <c r="B687" t="str">
        <v>Analytical Thinking</v>
      </c>
      <c r="C687" t="str">
        <v>Division Head</v>
      </c>
      <c r="D687" s="76">
        <v>2</v>
      </c>
      <c r="E687" t="str" cm="1">
        <f t="array" ref="E687">INDEX(aspek!$D$2:$D$337,
   MATCH(1,(aspek!$A$2:$A$337=B687)*
           (aspek!$B$2:$B$337=C687)*
           (aspek!$C$2:$C$337=D687),0))</f>
        <v>Produktivitas kognitif dalam ketidakjelasan</v>
      </c>
      <c r="F687" s="76">
        <v>1</v>
      </c>
      <c r="G687" s="56" t="str" cm="1">
        <f t="array" ref="G687">INDEX(deskripsi!$D$2:$H$337,
   MATCH(1,(deskripsi!$A$2:$A$337=B687)*
           (deskripsi!$B$2:$B$337=C687)*
           (deskripsi!$C$2:$C$337=D687),0),
   F687)</f>
        <v>Berhenti berpikir jernih ketika keadaan membingungkan; analisisnya berantakan atau tidak ada.</v>
      </c>
    </row>
    <row r="688" spans="1:7">
      <c r="A688" t="str">
        <f t="shared" si="10"/>
        <v>Analytical Thinking|Division Head|2|2</v>
      </c>
      <c r="B688" t="str">
        <v>Analytical Thinking</v>
      </c>
      <c r="C688" t="str">
        <v>Division Head</v>
      </c>
      <c r="D688" s="76">
        <v>2</v>
      </c>
      <c r="E688" t="str" cm="1">
        <f t="array" ref="E688">INDEX(aspek!$D$2:$D$337,
   MATCH(1,(aspek!$A$2:$A$337=B688)*
           (aspek!$B$2:$B$337=C688)*
           (aspek!$C$2:$C$337=D688),0))</f>
        <v>Produktivitas kognitif dalam ketidakjelasan</v>
      </c>
      <c r="F688" s="76">
        <v>2</v>
      </c>
      <c r="G688" s="56" t="str" cm="1">
        <f t="array" ref="G688">INDEX(deskripsi!$D$2:$H$337,
   MATCH(1,(deskripsi!$A$2:$A$337=B688)*
           (deskripsi!$B$2:$B$337=C688)*
           (deskripsi!$C$2:$C$337=D688),0),
   F688)</f>
        <v>Masih dapat berpikir, tetapi hanya menghasilkan daftar hal yang belum diketahui.</v>
      </c>
    </row>
    <row r="689" spans="1:7">
      <c r="A689" t="str">
        <f t="shared" si="10"/>
        <v>Analytical Thinking|Division Head|2|3</v>
      </c>
      <c r="B689" t="str">
        <v>Analytical Thinking</v>
      </c>
      <c r="C689" t="str">
        <v>Division Head</v>
      </c>
      <c r="D689" s="76">
        <v>2</v>
      </c>
      <c r="E689" t="str" cm="1">
        <f t="array" ref="E689">INDEX(aspek!$D$2:$D$337,
   MATCH(1,(aspek!$A$2:$A$337=B689)*
           (aspek!$B$2:$B$337=C689)*
           (aspek!$C$2:$C$337=D689),0))</f>
        <v>Produktivitas kognitif dalam ketidakjelasan</v>
      </c>
      <c r="F689" s="76">
        <v>3</v>
      </c>
      <c r="G689" s="56" t="str" cm="1">
        <f t="array" ref="G689">INDEX(deskripsi!$D$2:$H$337,
   MATCH(1,(deskripsi!$A$2:$A$337=B689)*
           (deskripsi!$B$2:$B$337=C689)*
           (deskripsi!$C$2:$C$337=D689),0),
   F689)</f>
        <v>Menghasilkan analisis yang rapi, meski kesimpulannya tetap menunggu data tambahan.</v>
      </c>
    </row>
    <row r="690" spans="1:7">
      <c r="A690" t="str">
        <f t="shared" si="10"/>
        <v>Analytical Thinking|Division Head|2|4</v>
      </c>
      <c r="B690" t="str">
        <v>Analytical Thinking</v>
      </c>
      <c r="C690" t="str">
        <v>Division Head</v>
      </c>
      <c r="D690" s="76">
        <v>2</v>
      </c>
      <c r="E690" t="str" cm="1">
        <f t="array" ref="E690">INDEX(aspek!$D$2:$D$337,
   MATCH(1,(aspek!$A$2:$A$337=B690)*
           (aspek!$B$2:$B$337=C690)*
           (aspek!$C$2:$C$337=D690),0))</f>
        <v>Produktivitas kognitif dalam ketidakjelasan</v>
      </c>
      <c r="F690" s="76">
        <v>4</v>
      </c>
      <c r="G690" s="56" t="str" cm="1">
        <f t="array" ref="G690">INDEX(deskripsi!$D$2:$H$337,
   MATCH(1,(deskripsi!$A$2:$A$337=B690)*
           (deskripsi!$B$2:$B$337=C690)*
           (deskripsi!$C$2:$C$337=D690),0),
   F690)</f>
        <v>Menghasilkan langkah yang tetap benar apa pun hasil akhirnya, dan menjalankannya tanpa menunggu kejelasan.</v>
      </c>
    </row>
    <row r="691" spans="1:7">
      <c r="A691" t="str">
        <f t="shared" si="10"/>
        <v>Analytical Thinking|Division Head|2|5</v>
      </c>
      <c r="B691" t="str">
        <v>Analytical Thinking</v>
      </c>
      <c r="C691" t="str">
        <v>Division Head</v>
      </c>
      <c r="D691" s="76">
        <v>2</v>
      </c>
      <c r="E691" t="str" cm="1">
        <f t="array" ref="E691">INDEX(aspek!$D$2:$D$337,
   MATCH(1,(aspek!$A$2:$A$337=B691)*
           (aspek!$B$2:$B$337=C691)*
           (aspek!$C$2:$C$337=D691),0))</f>
        <v>Produktivitas kognitif dalam ketidakjelasan</v>
      </c>
      <c r="F691" s="76">
        <v>5</v>
      </c>
      <c r="G691" s="56" t="str" cm="1">
        <f t="array" ref="G691">INDEX(deskripsi!$D$2:$H$337,
   MATCH(1,(deskripsi!$A$2:$A$337=B691)*
           (deskripsi!$B$2:$B$337=C691)*
           (deskripsi!$C$2:$C$337=D691),0),
   F691)</f>
        <v>Justru menemukan peluang atau penyederhanaan yang tidak terlihat ketika keadaan sudah jelas.</v>
      </c>
    </row>
    <row r="692" spans="1:7">
      <c r="A692" t="str">
        <f t="shared" si="10"/>
        <v>Analytical Thinking|Division Head|3|1</v>
      </c>
      <c r="B692" t="str">
        <v>Analytical Thinking</v>
      </c>
      <c r="C692" t="str">
        <v>Division Head</v>
      </c>
      <c r="D692" s="76">
        <v>3</v>
      </c>
      <c r="E692" t="str" cm="1">
        <f t="array" ref="E692">INDEX(aspek!$D$2:$D$337,
   MATCH(1,(aspek!$A$2:$A$337=B692)*
           (aspek!$B$2:$B$337=C692)*
           (aspek!$C$2:$C$337=D692),0))</f>
        <v>Kualitas pemetaan sebab-akibat majemuk</v>
      </c>
      <c r="F692" s="76">
        <v>1</v>
      </c>
      <c r="G692" s="56" t="str" cm="1">
        <f t="array" ref="G692">INDEX(deskripsi!$D$2:$H$337,
   MATCH(1,(deskripsi!$A$2:$A$337=B692)*
           (deskripsi!$B$2:$B$337=C692)*
           (deskripsi!$C$2:$C$337=D692),0),
   F692)</f>
        <v>Melihat satu penyebab tunggal untuk masalah yang sebenarnya berlapis.</v>
      </c>
    </row>
    <row r="693" spans="1:7">
      <c r="A693" t="str">
        <f t="shared" si="10"/>
        <v>Analytical Thinking|Division Head|3|2</v>
      </c>
      <c r="B693" t="str">
        <v>Analytical Thinking</v>
      </c>
      <c r="C693" t="str">
        <v>Division Head</v>
      </c>
      <c r="D693" s="76">
        <v>3</v>
      </c>
      <c r="E693" t="str" cm="1">
        <f t="array" ref="E693">INDEX(aspek!$D$2:$D$337,
   MATCH(1,(aspek!$A$2:$A$337=B693)*
           (aspek!$B$2:$B$337=C693)*
           (aspek!$C$2:$C$337=D693),0))</f>
        <v>Kualitas pemetaan sebab-akibat majemuk</v>
      </c>
      <c r="F693" s="76">
        <v>2</v>
      </c>
      <c r="G693" s="56" t="str" cm="1">
        <f t="array" ref="G693">INDEX(deskripsi!$D$2:$H$337,
   MATCH(1,(deskripsi!$A$2:$A$337=B693)*
           (deskripsi!$B$2:$B$337=C693)*
           (deskripsi!$C$2:$C$337=D693),0),
   F693)</f>
        <v>Menyebut beberapa penyebab, tetapi tidak menunjukkan keterkaitannya.</v>
      </c>
    </row>
    <row r="694" spans="1:7">
      <c r="A694" t="str">
        <f t="shared" si="10"/>
        <v>Analytical Thinking|Division Head|3|3</v>
      </c>
      <c r="B694" t="str">
        <v>Analytical Thinking</v>
      </c>
      <c r="C694" t="str">
        <v>Division Head</v>
      </c>
      <c r="D694" s="76">
        <v>3</v>
      </c>
      <c r="E694" t="str" cm="1">
        <f t="array" ref="E694">INDEX(aspek!$D$2:$D$337,
   MATCH(1,(aspek!$A$2:$A$337=B694)*
           (aspek!$B$2:$B$337=C694)*
           (aspek!$C$2:$C$337=D694),0))</f>
        <v>Kualitas pemetaan sebab-akibat majemuk</v>
      </c>
      <c r="F694" s="76">
        <v>3</v>
      </c>
      <c r="G694" s="56" t="str" cm="1">
        <f t="array" ref="G694">INDEX(deskripsi!$D$2:$H$337,
   MATCH(1,(deskripsi!$A$2:$A$337=B694)*
           (deskripsi!$B$2:$B$337=C694)*
           (deskripsi!$C$2:$C$337=D694),0),
   F694)</f>
        <v>Memetakan penyebab beserta keterkaitannya secara logis.</v>
      </c>
    </row>
    <row r="695" spans="1:7">
      <c r="A695" t="str">
        <f t="shared" si="10"/>
        <v>Analytical Thinking|Division Head|3|4</v>
      </c>
      <c r="B695" t="str">
        <v>Analytical Thinking</v>
      </c>
      <c r="C695" t="str">
        <v>Division Head</v>
      </c>
      <c r="D695" s="76">
        <v>3</v>
      </c>
      <c r="E695" t="str" cm="1">
        <f t="array" ref="E695">INDEX(aspek!$D$2:$D$337,
   MATCH(1,(aspek!$A$2:$A$337=B695)*
           (aspek!$B$2:$B$337=C695)*
           (aspek!$C$2:$C$337=D695),0))</f>
        <v>Kualitas pemetaan sebab-akibat majemuk</v>
      </c>
      <c r="F695" s="76">
        <v>4</v>
      </c>
      <c r="G695" s="56" t="str" cm="1">
        <f t="array" ref="G695">INDEX(deskripsi!$D$2:$H$337,
   MATCH(1,(deskripsi!$A$2:$A$337=B695)*
           (deskripsi!$B$2:$B$337=C695)*
           (deskripsi!$C$2:$C$337=D695),0),
   F695)</f>
        <v>Memetakan tautan sebab-akibat sekaligus MENANDAI mana yang terbukti, mana dugaan, dan mana yang tidak akan terbukti — lalu tetap memutuskan di atasnya.</v>
      </c>
    </row>
    <row r="696" spans="1:7">
      <c r="A696" t="str">
        <f t="shared" si="10"/>
        <v>Analytical Thinking|Division Head|3|5</v>
      </c>
      <c r="B696" t="str">
        <v>Analytical Thinking</v>
      </c>
      <c r="C696" t="str">
        <v>Division Head</v>
      </c>
      <c r="D696" s="76">
        <v>3</v>
      </c>
      <c r="E696" t="str" cm="1">
        <f t="array" ref="E696">INDEX(aspek!$D$2:$D$337,
   MATCH(1,(aspek!$A$2:$A$337=B696)*
           (aspek!$B$2:$B$337=C696)*
           (aspek!$C$2:$C$337=D696),0))</f>
        <v>Kualitas pemetaan sebab-akibat majemuk</v>
      </c>
      <c r="F696" s="76">
        <v>5</v>
      </c>
      <c r="G696" s="56" t="str" cm="1">
        <f t="array" ref="G696">INDEX(deskripsi!$D$2:$H$337,
   MATCH(1,(deskripsi!$A$2:$A$337=B696)*
           (deskripsi!$B$2:$B$337=C696)*
           (deskripsi!$C$2:$C$337=D696),0),
   F696)</f>
        <v>Petanya dipakai departemen lain sebagai dasar keputusan mereka sendiri.</v>
      </c>
    </row>
    <row r="697" spans="1:7">
      <c r="A697" t="str">
        <f t="shared" si="10"/>
        <v>Analytical Thinking|Division Head|4|1</v>
      </c>
      <c r="B697" t="str">
        <v>Analytical Thinking</v>
      </c>
      <c r="C697" t="str">
        <v>Division Head</v>
      </c>
      <c r="D697" s="76">
        <v>4</v>
      </c>
      <c r="E697" t="str" cm="1">
        <f t="array" ref="E697">INDEX(aspek!$D$2:$D$337,
   MATCH(1,(aspek!$A$2:$A$337=B697)*
           (aspek!$B$2:$B$337=C697)*
           (aspek!$C$2:$C$337=D697),0))</f>
        <v>Menjaga unit tetap berjalan</v>
      </c>
      <c r="F697" s="76">
        <v>1</v>
      </c>
      <c r="G697" s="56" t="str" cm="1">
        <f t="array" ref="G697">INDEX(deskripsi!$D$2:$H$337,
   MATCH(1,(deskripsi!$A$2:$A$337=B697)*
           (deskripsi!$B$2:$B$337=C697)*
           (deskripsi!$C$2:$C$337=D697),0),
   F697)</f>
        <v>Ketika arah belum turun, unit ikut berhenti dan menunggu.</v>
      </c>
    </row>
    <row r="698" spans="1:7">
      <c r="A698" t="str">
        <f t="shared" si="10"/>
        <v>Analytical Thinking|Division Head|4|2</v>
      </c>
      <c r="B698" t="str">
        <v>Analytical Thinking</v>
      </c>
      <c r="C698" t="str">
        <v>Division Head</v>
      </c>
      <c r="D698" s="76">
        <v>4</v>
      </c>
      <c r="E698" t="str" cm="1">
        <f t="array" ref="E698">INDEX(aspek!$D$2:$D$337,
   MATCH(1,(aspek!$A$2:$A$337=B698)*
           (aspek!$B$2:$B$337=C698)*
           (aspek!$C$2:$C$337=D698),0))</f>
        <v>Menjaga unit tetap berjalan</v>
      </c>
      <c r="F698" s="76">
        <v>2</v>
      </c>
      <c r="G698" s="56" t="str" cm="1">
        <f t="array" ref="G698">INDEX(deskripsi!$D$2:$H$337,
   MATCH(1,(deskripsi!$A$2:$A$337=B698)*
           (deskripsi!$B$2:$B$337=C698)*
           (deskripsi!$C$2:$C$337=D698),0),
   F698)</f>
        <v>Unit tetap mengerjakan rutinitas, tetapi pekerjaan penting tertahan.</v>
      </c>
    </row>
    <row r="699" spans="1:7">
      <c r="A699" t="str">
        <f t="shared" si="10"/>
        <v>Analytical Thinking|Division Head|4|3</v>
      </c>
      <c r="B699" t="str">
        <v>Analytical Thinking</v>
      </c>
      <c r="C699" t="str">
        <v>Division Head</v>
      </c>
      <c r="D699" s="76">
        <v>4</v>
      </c>
      <c r="E699" t="str" cm="1">
        <f t="array" ref="E699">INDEX(aspek!$D$2:$D$337,
   MATCH(1,(aspek!$A$2:$A$337=B699)*
           (aspek!$B$2:$B$337=C699)*
           (aspek!$C$2:$C$337=D699),0))</f>
        <v>Menjaga unit tetap berjalan</v>
      </c>
      <c r="F699" s="76">
        <v>3</v>
      </c>
      <c r="G699" s="56" t="str" cm="1">
        <f t="array" ref="G699">INDEX(deskripsi!$D$2:$H$337,
   MATCH(1,(deskripsi!$A$2:$A$337=B699)*
           (deskripsi!$B$2:$B$337=C699)*
           (deskripsi!$C$2:$C$337=D699),0),
   F699)</f>
        <v>Unit tetap berjalan karena peserta membagikan pekerjaan seadanya, tanpa penjelasan.</v>
      </c>
    </row>
    <row r="700" spans="1:7">
      <c r="A700" t="str">
        <f t="shared" si="10"/>
        <v>Analytical Thinking|Division Head|4|4</v>
      </c>
      <c r="B700" t="str">
        <v>Analytical Thinking</v>
      </c>
      <c r="C700" t="str">
        <v>Division Head</v>
      </c>
      <c r="D700" s="76">
        <v>4</v>
      </c>
      <c r="E700" t="str" cm="1">
        <f t="array" ref="E700">INDEX(aspek!$D$2:$D$337,
   MATCH(1,(aspek!$A$2:$A$337=B700)*
           (aspek!$B$2:$B$337=C700)*
           (aspek!$C$2:$C$337=D700),0))</f>
        <v>Menjaga unit tetap berjalan</v>
      </c>
      <c r="F700" s="76">
        <v>4</v>
      </c>
      <c r="G700" s="56" t="str" cm="1">
        <f t="array" ref="G700">INDEX(deskripsi!$D$2:$H$337,
   MATCH(1,(deskripsi!$A$2:$A$337=B700)*
           (deskripsi!$B$2:$B$337=C700)*
           (deskripsi!$C$2:$C$337=D700),0),
   F700)</f>
        <v>Unit tetap menghasilkan pada periode yang belum jelas karena diberi pekerjaan yang tetap benar apa pun arahnya, disertai penjelasan jujur bahwa arah belum pasti.</v>
      </c>
    </row>
    <row r="701" spans="1:7">
      <c r="A701" t="str">
        <f t="shared" si="10"/>
        <v>Analytical Thinking|Division Head|4|5</v>
      </c>
      <c r="B701" t="str">
        <v>Analytical Thinking</v>
      </c>
      <c r="C701" t="str">
        <v>Division Head</v>
      </c>
      <c r="D701" s="76">
        <v>4</v>
      </c>
      <c r="E701" t="str" cm="1">
        <f t="array" ref="E701">INDEX(aspek!$D$2:$D$337,
   MATCH(1,(aspek!$A$2:$A$337=B701)*
           (aspek!$B$2:$B$337=C701)*
           (aspek!$C$2:$C$337=D701),0))</f>
        <v>Menjaga unit tetap berjalan</v>
      </c>
      <c r="F701" s="76">
        <v>5</v>
      </c>
      <c r="G701" s="56" t="str" cm="1">
        <f t="array" ref="G701">INDEX(deskripsi!$D$2:$H$337,
   MATCH(1,(deskripsi!$A$2:$A$337=B701)*
           (deskripsi!$B$2:$B$337=C701)*
           (deskripsi!$C$2:$C$337=D701),0),
   F701)</f>
        <v>Anggota unit mulai sendiri menemukan pekerjaan yang tetap benar tanpa menunggu diberi tahu.</v>
      </c>
    </row>
    <row r="702" spans="1:7">
      <c r="A702" t="str">
        <f t="shared" si="10"/>
        <v>Analytical Thinking|Director|1|1</v>
      </c>
      <c r="B702" t="str">
        <v>Analytical Thinking</v>
      </c>
      <c r="C702" t="str">
        <v>Director</v>
      </c>
      <c r="D702" s="76">
        <v>1</v>
      </c>
      <c r="E702" t="str" cm="1">
        <f t="array" ref="E702">INDEX(aspek!$D$2:$D$337,
   MATCH(1,(aspek!$A$2:$A$337=B702)*
           (aspek!$B$2:$B$337=C702)*
           (aspek!$C$2:$C$337=D702),0))</f>
        <v>Memberi arah saat arah belum ada</v>
      </c>
      <c r="F702" s="76">
        <v>1</v>
      </c>
      <c r="G702" s="56" t="str" cm="1">
        <f t="array" ref="G702">INDEX(deskripsi!$D$2:$H$337,
   MATCH(1,(deskripsi!$A$2:$A$337=B702)*
           (deskripsi!$B$2:$B$337=C702)*
           (deskripsi!$C$2:$C$337=D702),0),
   F702)</f>
        <v>Ikut menunggu bersama tim; tidak ada arah yang diberikan sampai kejelasan datang dari atas.</v>
      </c>
    </row>
    <row r="703" spans="1:7">
      <c r="A703" t="str">
        <f t="shared" si="10"/>
        <v>Analytical Thinking|Director|1|2</v>
      </c>
      <c r="B703" t="str">
        <v>Analytical Thinking</v>
      </c>
      <c r="C703" t="str">
        <v>Director</v>
      </c>
      <c r="D703" s="76">
        <v>1</v>
      </c>
      <c r="E703" t="str" cm="1">
        <f t="array" ref="E703">INDEX(aspek!$D$2:$D$337,
   MATCH(1,(aspek!$A$2:$A$337=B703)*
           (aspek!$B$2:$B$337=C703)*
           (aspek!$C$2:$C$337=D703),0))</f>
        <v>Memberi arah saat arah belum ada</v>
      </c>
      <c r="F703" s="76">
        <v>2</v>
      </c>
      <c r="G703" s="56" t="str" cm="1">
        <f t="array" ref="G703">INDEX(deskripsi!$D$2:$H$337,
   MATCH(1,(deskripsi!$A$2:$A$337=B703)*
           (deskripsi!$B$2:$B$337=C703)*
           (deskripsi!$C$2:$C$337=D703),0),
   F703)</f>
        <v>Meneruskan ketidakjelasan apa adanya kepada tim, tanpa menerjemahkannya menjadi pekerjaan.</v>
      </c>
    </row>
    <row r="704" spans="1:7">
      <c r="A704" t="str">
        <f t="shared" si="10"/>
        <v>Analytical Thinking|Director|1|3</v>
      </c>
      <c r="B704" t="str">
        <v>Analytical Thinking</v>
      </c>
      <c r="C704" t="str">
        <v>Director</v>
      </c>
      <c r="D704" s="76">
        <v>1</v>
      </c>
      <c r="E704" t="str" cm="1">
        <f t="array" ref="E704">INDEX(aspek!$D$2:$D$337,
   MATCH(1,(aspek!$A$2:$A$337=B704)*
           (aspek!$B$2:$B$337=C704)*
           (aspek!$C$2:$C$337=D704),0))</f>
        <v>Memberi arah saat arah belum ada</v>
      </c>
      <c r="F704" s="76">
        <v>3</v>
      </c>
      <c r="G704" s="56" t="str" cm="1">
        <f t="array" ref="G704">INDEX(deskripsi!$D$2:$H$337,
   MATCH(1,(deskripsi!$A$2:$A$337=B704)*
           (deskripsi!$B$2:$B$337=C704)*
           (deskripsi!$C$2:$C$337=D704),0),
   F704)</f>
        <v>Memberi arah yang jelas segera setelah kejelasan datang.</v>
      </c>
    </row>
    <row r="705" spans="1:7">
      <c r="A705" t="str">
        <f t="shared" si="10"/>
        <v>Analytical Thinking|Director|1|4</v>
      </c>
      <c r="B705" t="str">
        <v>Analytical Thinking</v>
      </c>
      <c r="C705" t="str">
        <v>Director</v>
      </c>
      <c r="D705" s="76">
        <v>1</v>
      </c>
      <c r="E705" t="str" cm="1">
        <f t="array" ref="E705">INDEX(aspek!$D$2:$D$337,
   MATCH(1,(aspek!$A$2:$A$337=B705)*
           (aspek!$B$2:$B$337=C705)*
           (aspek!$C$2:$C$337=D705),0))</f>
        <v>Memberi arah saat arah belum ada</v>
      </c>
      <c r="F705" s="76">
        <v>4</v>
      </c>
      <c r="G705" s="56" t="str" cm="1">
        <f t="array" ref="G705">INDEX(deskripsi!$D$2:$H$337,
   MATCH(1,(deskripsi!$A$2:$A$337=B705)*
           (deskripsi!$B$2:$B$337=C705)*
           (deskripsi!$C$2:$C$337=D705),0),
   F705)</f>
        <v>Memberi arah SEBELUM kejelasan datang — menyatakan dengan jujur apa yang belum pasti, tetapi tetap menetapkan apa yang dikerjakan sekarang dan kapan akan ditinjau ulang.</v>
      </c>
    </row>
    <row r="706" spans="1:7">
      <c r="A706" t="str">
        <f t="shared" si="10"/>
        <v>Analytical Thinking|Director|1|5</v>
      </c>
      <c r="B706" t="str">
        <v>Analytical Thinking</v>
      </c>
      <c r="C706" t="str">
        <v>Director</v>
      </c>
      <c r="D706" s="76">
        <v>1</v>
      </c>
      <c r="E706" t="str" cm="1">
        <f t="array" ref="E706">INDEX(aspek!$D$2:$D$337,
   MATCH(1,(aspek!$A$2:$A$337=B706)*
           (aspek!$B$2:$B$337=C706)*
           (aspek!$C$2:$C$337=D706),0))</f>
        <v>Memberi arah saat arah belum ada</v>
      </c>
      <c r="F706" s="76">
        <v>5</v>
      </c>
      <c r="G706" s="56" t="str" cm="1">
        <f t="array" ref="G706">INDEX(deskripsi!$D$2:$H$337,
   MATCH(1,(deskripsi!$A$2:$A$337=B706)*
           (deskripsi!$B$2:$B$337=C706)*
           (deskripsi!$C$2:$C$337=D706),0),
   F706)</f>
        <v>Orang-orang mulai sendiri menentukan pekerjaan yang tetap benar tanpa menunggu arahan darinya.</v>
      </c>
    </row>
    <row r="707" spans="1:7">
      <c r="A707" t="str">
        <f t="shared" ref="A707:A770" si="11">B707&amp;"|"&amp;C707&amp;"|"&amp;D707&amp;"|"&amp;F707</f>
        <v>Analytical Thinking|Director|2|1</v>
      </c>
      <c r="B707" t="str">
        <v>Analytical Thinking</v>
      </c>
      <c r="C707" t="str">
        <v>Director</v>
      </c>
      <c r="D707" s="76">
        <v>2</v>
      </c>
      <c r="E707" t="str" cm="1">
        <f t="array" ref="E707">INDEX(aspek!$D$2:$D$337,
   MATCH(1,(aspek!$A$2:$A$337=B707)*
           (aspek!$B$2:$B$337=C707)*
           (aspek!$C$2:$C$337=D707),0))</f>
        <v>Menjaga orang lain tetap produktif</v>
      </c>
      <c r="F707" s="76">
        <v>1</v>
      </c>
      <c r="G707" s="56" t="str" cm="1">
        <f t="array" ref="G707">INDEX(deskripsi!$D$2:$H$337,
   MATCH(1,(deskripsi!$A$2:$A$337=B707)*
           (deskripsi!$B$2:$B$337=C707)*
           (deskripsi!$C$2:$C$337=D707),0),
   F707)</f>
        <v>Unit ikut berhenti; produktivitas turun tajam pada periode yang tidak jelas.</v>
      </c>
    </row>
    <row r="708" spans="1:7">
      <c r="A708" t="str">
        <f t="shared" si="11"/>
        <v>Analytical Thinking|Director|2|2</v>
      </c>
      <c r="B708" t="str">
        <v>Analytical Thinking</v>
      </c>
      <c r="C708" t="str">
        <v>Director</v>
      </c>
      <c r="D708" s="76">
        <v>2</v>
      </c>
      <c r="E708" t="str" cm="1">
        <f t="array" ref="E708">INDEX(aspek!$D$2:$D$337,
   MATCH(1,(aspek!$A$2:$A$337=B708)*
           (aspek!$B$2:$B$337=C708)*
           (aspek!$C$2:$C$337=D708),0))</f>
        <v>Menjaga orang lain tetap produktif</v>
      </c>
      <c r="F708" s="76">
        <v>2</v>
      </c>
      <c r="G708" s="56" t="str" cm="1">
        <f t="array" ref="G708">INDEX(deskripsi!$D$2:$H$337,
   MATCH(1,(deskripsi!$A$2:$A$337=B708)*
           (deskripsi!$B$2:$B$337=C708)*
           (deskripsi!$C$2:$C$337=D708),0),
   F708)</f>
        <v>Unit tetap mengerjakan rutinitas, tetapi pekerjaan penting tertahan menunggu keputusan.</v>
      </c>
    </row>
    <row r="709" spans="1:7">
      <c r="A709" t="str">
        <f t="shared" si="11"/>
        <v>Analytical Thinking|Director|2|3</v>
      </c>
      <c r="B709" t="str">
        <v>Analytical Thinking</v>
      </c>
      <c r="C709" t="str">
        <v>Director</v>
      </c>
      <c r="D709" s="76">
        <v>2</v>
      </c>
      <c r="E709" t="str" cm="1">
        <f t="array" ref="E709">INDEX(aspek!$D$2:$D$337,
   MATCH(1,(aspek!$A$2:$A$337=B709)*
           (aspek!$B$2:$B$337=C709)*
           (aspek!$C$2:$C$337=D709),0))</f>
        <v>Menjaga orang lain tetap produktif</v>
      </c>
      <c r="F709" s="76">
        <v>3</v>
      </c>
      <c r="G709" s="56" t="str" cm="1">
        <f t="array" ref="G709">INDEX(deskripsi!$D$2:$H$337,
   MATCH(1,(deskripsi!$A$2:$A$337=B709)*
           (deskripsi!$B$2:$B$337=C709)*
           (deskripsi!$C$2:$C$337=D709),0),
   F709)</f>
        <v>Unit tetap berjalan karena diberi pekerjaan, meski tanpa penjelasan mengapa.</v>
      </c>
    </row>
    <row r="710" spans="1:7">
      <c r="A710" t="str">
        <f t="shared" si="11"/>
        <v>Analytical Thinking|Director|2|4</v>
      </c>
      <c r="B710" t="str">
        <v>Analytical Thinking</v>
      </c>
      <c r="C710" t="str">
        <v>Director</v>
      </c>
      <c r="D710" s="76">
        <v>2</v>
      </c>
      <c r="E710" t="str" cm="1">
        <f t="array" ref="E710">INDEX(aspek!$D$2:$D$337,
   MATCH(1,(aspek!$A$2:$A$337=B710)*
           (aspek!$B$2:$B$337=C710)*
           (aspek!$C$2:$C$337=D710),0))</f>
        <v>Menjaga orang lain tetap produktif</v>
      </c>
      <c r="F710" s="76">
        <v>4</v>
      </c>
      <c r="G710" s="56" t="str" cm="1">
        <f t="array" ref="G710">INDEX(deskripsi!$D$2:$H$337,
   MATCH(1,(deskripsi!$A$2:$A$337=B710)*
           (deskripsi!$B$2:$B$337=C710)*
           (deskripsi!$C$2:$C$337=D710),0),
   F710)</f>
        <v>Keluaran unit tidak menurun pada periode yang tidak jelas, dan sebagian besar anggotanya tahu apa yang harus dikerjakan — dikonfirmasi oleh mereka sendiri.</v>
      </c>
    </row>
    <row r="711" spans="1:7">
      <c r="A711" t="str">
        <f t="shared" si="11"/>
        <v>Analytical Thinking|Director|2|5</v>
      </c>
      <c r="B711" t="str">
        <v>Analytical Thinking</v>
      </c>
      <c r="C711" t="str">
        <v>Director</v>
      </c>
      <c r="D711" s="76">
        <v>2</v>
      </c>
      <c r="E711" t="str" cm="1">
        <f t="array" ref="E711">INDEX(aspek!$D$2:$D$337,
   MATCH(1,(aspek!$A$2:$A$337=B711)*
           (aspek!$B$2:$B$337=C711)*
           (aspek!$C$2:$C$337=D711),0))</f>
        <v>Menjaga orang lain tetap produktif</v>
      </c>
      <c r="F711" s="76">
        <v>5</v>
      </c>
      <c r="G711" s="56" t="str" cm="1">
        <f t="array" ref="G711">INDEX(deskripsi!$D$2:$H$337,
   MATCH(1,(deskripsi!$A$2:$A$337=B711)*
           (deskripsi!$B$2:$B$337=C711)*
           (deskripsi!$C$2:$C$337=D711),0),
   F711)</f>
        <v>Fungsi di luar unitnya ikut tetap bergerak karena arah yang ia berikan.</v>
      </c>
    </row>
    <row r="712" spans="1:7">
      <c r="A712" t="str">
        <f t="shared" si="11"/>
        <v>Analytical Thinking|Director|3|1</v>
      </c>
      <c r="B712" t="str">
        <v>Analytical Thinking</v>
      </c>
      <c r="C712" t="str">
        <v>Director</v>
      </c>
      <c r="D712" s="76">
        <v>3</v>
      </c>
      <c r="E712" t="str" cm="1">
        <f t="array" ref="E712">INDEX(aspek!$D$2:$D$337,
   MATCH(1,(aspek!$A$2:$A$337=B712)*
           (aspek!$B$2:$B$337=C712)*
           (aspek!$C$2:$C$337=D712),0))</f>
        <v>Mengubah ketidakpastian menjadi peluang</v>
      </c>
      <c r="F712" s="76">
        <v>1</v>
      </c>
      <c r="G712" s="56" t="str" cm="1">
        <f t="array" ref="G712">INDEX(deskripsi!$D$2:$H$337,
   MATCH(1,(deskripsi!$A$2:$A$337=B712)*
           (deskripsi!$B$2:$B$337=C712)*
           (deskripsi!$C$2:$C$337=D712),0),
   F712)</f>
        <v>Membaca ketidakpastian hanya sebagai risiko yang harus ditahan.</v>
      </c>
    </row>
    <row r="713" spans="1:7">
      <c r="A713" t="str">
        <f t="shared" si="11"/>
        <v>Analytical Thinking|Director|3|2</v>
      </c>
      <c r="B713" t="str">
        <v>Analytical Thinking</v>
      </c>
      <c r="C713" t="str">
        <v>Director</v>
      </c>
      <c r="D713" s="76">
        <v>3</v>
      </c>
      <c r="E713" t="str" cm="1">
        <f t="array" ref="E713">INDEX(aspek!$D$2:$D$337,
   MATCH(1,(aspek!$A$2:$A$337=B713)*
           (aspek!$B$2:$B$337=C713)*
           (aspek!$C$2:$C$337=D713),0))</f>
        <v>Mengubah ketidakpastian menjadi peluang</v>
      </c>
      <c r="F713" s="76">
        <v>2</v>
      </c>
      <c r="G713" s="56" t="str" cm="1">
        <f t="array" ref="G713">INDEX(deskripsi!$D$2:$H$337,
   MATCH(1,(deskripsi!$A$2:$A$337=B713)*
           (deskripsi!$B$2:$B$337=C713)*
           (deskripsi!$C$2:$C$337=D713),0),
   F713)</f>
        <v>Menyusun rencana mitigasi, tetapi tidak melihat kemungkinan di baliknya.</v>
      </c>
    </row>
    <row r="714" spans="1:7">
      <c r="A714" t="str">
        <f t="shared" si="11"/>
        <v>Analytical Thinking|Director|3|3</v>
      </c>
      <c r="B714" t="str">
        <v>Analytical Thinking</v>
      </c>
      <c r="C714" t="str">
        <v>Director</v>
      </c>
      <c r="D714" s="76">
        <v>3</v>
      </c>
      <c r="E714" t="str" cm="1">
        <f t="array" ref="E714">INDEX(aspek!$D$2:$D$337,
   MATCH(1,(aspek!$A$2:$A$337=B714)*
           (aspek!$B$2:$B$337=C714)*
           (aspek!$C$2:$C$337=D714),0))</f>
        <v>Mengubah ketidakpastian menjadi peluang</v>
      </c>
      <c r="F714" s="76">
        <v>3</v>
      </c>
      <c r="G714" s="56" t="str" cm="1">
        <f t="array" ref="G714">INDEX(deskripsi!$D$2:$H$337,
   MATCH(1,(deskripsi!$A$2:$A$337=B714)*
           (deskripsi!$B$2:$B$337=C714)*
           (deskripsi!$C$2:$C$337=D714),0),
   F714)</f>
        <v>Mengenali peluang yang muncul dari perubahan, tetapi tidak menindaklanjutinya.</v>
      </c>
    </row>
    <row r="715" spans="1:7">
      <c r="A715" t="str">
        <f t="shared" si="11"/>
        <v>Analytical Thinking|Director|3|4</v>
      </c>
      <c r="B715" t="str">
        <v>Analytical Thinking</v>
      </c>
      <c r="C715" t="str">
        <v>Director</v>
      </c>
      <c r="D715" s="76">
        <v>3</v>
      </c>
      <c r="E715" t="str" cm="1">
        <f t="array" ref="E715">INDEX(aspek!$D$2:$D$337,
   MATCH(1,(aspek!$A$2:$A$337=B715)*
           (aspek!$B$2:$B$337=C715)*
           (aspek!$C$2:$C$337=D715),0))</f>
        <v>Mengubah ketidakpastian menjadi peluang</v>
      </c>
      <c r="F715" s="76">
        <v>4</v>
      </c>
      <c r="G715" s="56" t="str" cm="1">
        <f t="array" ref="G715">INDEX(deskripsi!$D$2:$H$337,
   MATCH(1,(deskripsi!$A$2:$A$337=B715)*
           (deskripsi!$B$2:$B$337=C715)*
           (deskripsi!$C$2:$C$337=D715),0),
   F715)</f>
        <v>Merumuskan peluang strategis dari ketidakpastian yang sedang berlangsung, mengajukannya, dan menggerakkan pihak lain menjalankan langkah pertamanya.</v>
      </c>
    </row>
    <row r="716" spans="1:7">
      <c r="A716" t="str">
        <f t="shared" si="11"/>
        <v>Analytical Thinking|Director|3|5</v>
      </c>
      <c r="B716" t="str">
        <v>Analytical Thinking</v>
      </c>
      <c r="C716" t="str">
        <v>Director</v>
      </c>
      <c r="D716" s="76">
        <v>3</v>
      </c>
      <c r="E716" t="str" cm="1">
        <f t="array" ref="E716">INDEX(aspek!$D$2:$D$337,
   MATCH(1,(aspek!$A$2:$A$337=B716)*
           (aspek!$B$2:$B$337=C716)*
           (aspek!$C$2:$C$337=D716),0))</f>
        <v>Mengubah ketidakpastian menjadi peluang</v>
      </c>
      <c r="F716" s="76">
        <v>5</v>
      </c>
      <c r="G716" s="56" t="str" cm="1">
        <f t="array" ref="G716">INDEX(deskripsi!$D$2:$H$337,
   MATCH(1,(deskripsi!$A$2:$A$337=B716)*
           (deskripsi!$B$2:$B$337=C716)*
           (deskripsi!$C$2:$C$337=D716),0),
   F716)</f>
        <v>Organisasi memperoleh posisi yang lebih baik justru karena periode ketidakpastian itu.</v>
      </c>
    </row>
    <row r="717" spans="1:7">
      <c r="A717" t="str">
        <f t="shared" si="11"/>
        <v>Analytical Thinking|Director|4|1</v>
      </c>
      <c r="B717" t="str">
        <v>Analytical Thinking</v>
      </c>
      <c r="C717" t="str">
        <v>Director</v>
      </c>
      <c r="D717" s="76">
        <v>4</v>
      </c>
      <c r="E717" t="str" cm="1">
        <f t="array" ref="E717">INDEX(aspek!$D$2:$D$337,
   MATCH(1,(aspek!$A$2:$A$337=B717)*
           (aspek!$B$2:$B$337=C717)*
           (aspek!$C$2:$C$337=D717),0))</f>
        <v>Model analisa yang dipakai orang lain</v>
      </c>
      <c r="F717" s="76">
        <v>1</v>
      </c>
      <c r="G717" s="56" t="str" cm="1">
        <f t="array" ref="G717">INDEX(deskripsi!$D$2:$H$337,
   MATCH(1,(deskripsi!$A$2:$A$337=B717)*
           (deskripsi!$B$2:$B$337=C717)*
           (deskripsi!$C$2:$C$337=D717),0),
   F717)</f>
        <v>Tidak memiliki kerangka; setiap persoalan kompleks ditangani menurut kebiasaan.</v>
      </c>
    </row>
    <row r="718" spans="1:7">
      <c r="A718" t="str">
        <f t="shared" si="11"/>
        <v>Analytical Thinking|Director|4|2</v>
      </c>
      <c r="B718" t="str">
        <v>Analytical Thinking</v>
      </c>
      <c r="C718" t="str">
        <v>Director</v>
      </c>
      <c r="D718" s="76">
        <v>4</v>
      </c>
      <c r="E718" t="str" cm="1">
        <f t="array" ref="E718">INDEX(aspek!$D$2:$D$337,
   MATCH(1,(aspek!$A$2:$A$337=B718)*
           (aspek!$B$2:$B$337=C718)*
           (aspek!$C$2:$C$337=D718),0))</f>
        <v>Model analisa yang dipakai orang lain</v>
      </c>
      <c r="F718" s="76">
        <v>2</v>
      </c>
      <c r="G718" s="56" t="str" cm="1">
        <f t="array" ref="G718">INDEX(deskripsi!$D$2:$H$337,
   MATCH(1,(deskripsi!$A$2:$A$337=B718)*
           (deskripsi!$B$2:$B$337=C718)*
           (deskripsi!$C$2:$C$337=D718),0),
   F718)</f>
        <v>Memakai kerangka yang sudah ada tanpa menyesuaikannya dengan persoalan organisasi.</v>
      </c>
    </row>
    <row r="719" spans="1:7">
      <c r="A719" t="str">
        <f t="shared" si="11"/>
        <v>Analytical Thinking|Director|4|3</v>
      </c>
      <c r="B719" t="str">
        <v>Analytical Thinking</v>
      </c>
      <c r="C719" t="str">
        <v>Director</v>
      </c>
      <c r="D719" s="76">
        <v>4</v>
      </c>
      <c r="E719" t="str" cm="1">
        <f t="array" ref="E719">INDEX(aspek!$D$2:$D$337,
   MATCH(1,(aspek!$A$2:$A$337=B719)*
           (aspek!$B$2:$B$337=C719)*
           (aspek!$C$2:$C$337=D719),0))</f>
        <v>Model analisa yang dipakai orang lain</v>
      </c>
      <c r="F719" s="76">
        <v>3</v>
      </c>
      <c r="G719" s="56" t="str" cm="1">
        <f t="array" ref="G719">INDEX(deskripsi!$D$2:$H$337,
   MATCH(1,(deskripsi!$A$2:$A$337=B719)*
           (deskripsi!$B$2:$B$337=C719)*
           (deskripsi!$C$2:$C$337=D719),0),
   F719)</f>
        <v>Menyusun kerangka analisa sendiri dan memakainya untuk keputusannya sendiri.</v>
      </c>
    </row>
    <row r="720" spans="1:7">
      <c r="A720" t="str">
        <f t="shared" si="11"/>
        <v>Analytical Thinking|Director|4|4</v>
      </c>
      <c r="B720" t="str">
        <v>Analytical Thinking</v>
      </c>
      <c r="C720" t="str">
        <v>Director</v>
      </c>
      <c r="D720" s="76">
        <v>4</v>
      </c>
      <c r="E720" t="str" cm="1">
        <f t="array" ref="E720">INDEX(aspek!$D$2:$D$337,
   MATCH(1,(aspek!$A$2:$A$337=B720)*
           (aspek!$B$2:$B$337=C720)*
           (aspek!$C$2:$C$337=D720),0))</f>
        <v>Model analisa yang dipakai orang lain</v>
      </c>
      <c r="F720" s="76">
        <v>4</v>
      </c>
      <c r="G720" s="56" t="str" cm="1">
        <f t="array" ref="G720">INDEX(deskripsi!$D$2:$H$337,
   MATCH(1,(deskripsi!$A$2:$A$337=B720)*
           (deskripsi!$B$2:$B$337=C720)*
           (deskripsi!$C$2:$C$337=D720),0),
   F720)</f>
        <v>Menyusun model yang cukup sederhana untuk dipakai unit lain tanpa kehadirannya, dan model itu benar-benar menghasilkan keputusan di unit tersebut.</v>
      </c>
    </row>
    <row r="721" spans="1:7">
      <c r="A721" t="str">
        <f t="shared" si="11"/>
        <v>Analytical Thinking|Director|4|5</v>
      </c>
      <c r="B721" t="str">
        <v>Analytical Thinking</v>
      </c>
      <c r="C721" t="str">
        <v>Director</v>
      </c>
      <c r="D721" s="76">
        <v>4</v>
      </c>
      <c r="E721" t="str" cm="1">
        <f t="array" ref="E721">INDEX(aspek!$D$2:$D$337,
   MATCH(1,(aspek!$A$2:$A$337=B721)*
           (aspek!$B$2:$B$337=C721)*
           (aspek!$C$2:$C$337=D721),0))</f>
        <v>Model analisa yang dipakai orang lain</v>
      </c>
      <c r="F721" s="76">
        <v>5</v>
      </c>
      <c r="G721" s="56" t="str" cm="1">
        <f t="array" ref="G721">INDEX(deskripsi!$D$2:$H$337,
   MATCH(1,(deskripsi!$A$2:$A$337=B721)*
           (deskripsi!$B$2:$B$337=C721)*
           (deskripsi!$C$2:$C$337=D721),0),
   F721)</f>
        <v>Modelnya menjadi cara baku organisasi menangani persoalan sejenis.</v>
      </c>
    </row>
    <row r="722" spans="1:7">
      <c r="A722" t="str">
        <f t="shared" si="11"/>
        <v>Managing Change|Officer|1|1</v>
      </c>
      <c r="B722" t="str">
        <v>Managing Change</v>
      </c>
      <c r="C722" t="str">
        <v>Officer</v>
      </c>
      <c r="D722" s="76">
        <v>1</v>
      </c>
      <c r="E722" t="str" cm="1">
        <f t="array" ref="E722">INDEX(aspek!$D$2:$D$337,
   MATCH(1,(aspek!$A$2:$A$337=B722)*
           (aspek!$B$2:$B$337=C722)*
           (aspek!$C$2:$C$337=D722),0))</f>
        <v>Kecepatan menguasai</v>
      </c>
      <c r="F722" s="76">
        <v>1</v>
      </c>
      <c r="G722" s="56" t="str" cm="1">
        <f t="array" ref="G722">INDEX(deskripsi!$D$2:$H$337,
   MATCH(1,(deskripsi!$A$2:$A$337=B722)*
           (deskripsi!$B$2:$B$337=C722)*
           (deskripsi!$C$2:$C$337=D722),0),
   F722)</f>
        <v>Belum dapat memakai sistem atau prosedur baru meski sudah lama diperkenalkan.</v>
      </c>
    </row>
    <row r="723" spans="1:7">
      <c r="A723" t="str">
        <f t="shared" si="11"/>
        <v>Managing Change|Officer|1|2</v>
      </c>
      <c r="B723" t="str">
        <v>Managing Change</v>
      </c>
      <c r="C723" t="str">
        <v>Officer</v>
      </c>
      <c r="D723" s="76">
        <v>1</v>
      </c>
      <c r="E723" t="str" cm="1">
        <f t="array" ref="E723">INDEX(aspek!$D$2:$D$337,
   MATCH(1,(aspek!$A$2:$A$337=B723)*
           (aspek!$B$2:$B$337=C723)*
           (aspek!$C$2:$C$337=D723),0))</f>
        <v>Kecepatan menguasai</v>
      </c>
      <c r="F723" s="76">
        <v>2</v>
      </c>
      <c r="G723" s="56" t="str" cm="1">
        <f t="array" ref="G723">INDEX(deskripsi!$D$2:$H$337,
   MATCH(1,(deskripsi!$A$2:$A$337=B723)*
           (deskripsi!$B$2:$B$337=C723)*
           (deskripsi!$C$2:$C$337=D723),0),
   F723)</f>
        <v>Dapat memakai setelah dibimbing langkah demi langkah, dan masih sering bertanya.</v>
      </c>
    </row>
    <row r="724" spans="1:7">
      <c r="A724" t="str">
        <f t="shared" si="11"/>
        <v>Managing Change|Officer|1|3</v>
      </c>
      <c r="B724" t="str">
        <v>Managing Change</v>
      </c>
      <c r="C724" t="str">
        <v>Officer</v>
      </c>
      <c r="D724" s="76">
        <v>1</v>
      </c>
      <c r="E724" t="str" cm="1">
        <f t="array" ref="E724">INDEX(aspek!$D$2:$D$337,
   MATCH(1,(aspek!$A$2:$A$337=B724)*
           (aspek!$B$2:$B$337=C724)*
           (aspek!$C$2:$C$337=D724),0))</f>
        <v>Kecepatan menguasai</v>
      </c>
      <c r="F724" s="76">
        <v>3</v>
      </c>
      <c r="G724" s="56" t="str" cm="1">
        <f t="array" ref="G724">INDEX(deskripsi!$D$2:$H$337,
   MATCH(1,(deskripsi!$A$2:$A$337=B724)*
           (deskripsi!$B$2:$B$337=C724)*
           (deskripsi!$C$2:$C$337=D724),0),
   F724)</f>
        <v>Menguasai dalam waktu yang wajar dengan bantuan sesekali.</v>
      </c>
    </row>
    <row r="725" spans="1:7">
      <c r="A725" t="str">
        <f t="shared" si="11"/>
        <v>Managing Change|Officer|1|4</v>
      </c>
      <c r="B725" t="str">
        <v>Managing Change</v>
      </c>
      <c r="C725" t="str">
        <v>Officer</v>
      </c>
      <c r="D725" s="76">
        <v>1</v>
      </c>
      <c r="E725" t="str" cm="1">
        <f t="array" ref="E725">INDEX(aspek!$D$2:$D$337,
   MATCH(1,(aspek!$A$2:$A$337=B725)*
           (aspek!$B$2:$B$337=C725)*
           (aspek!$C$2:$C$337=D725),0))</f>
        <v>Kecepatan menguasai</v>
      </c>
      <c r="F725" s="76">
        <v>4</v>
      </c>
      <c r="G725" s="56" t="str" cm="1">
        <f t="array" ref="G725">INDEX(deskripsi!$D$2:$H$337,
   MATCH(1,(deskripsi!$A$2:$A$337=B725)*
           (deskripsi!$B$2:$B$337=C725)*
           (deskripsi!$C$2:$C$337=D725),0),
   F725)</f>
        <v>Dapat memakai sistem baru tanpa bantuan dalam waktu yang lebih singkat daripada rata-rata unit, termasuk pada sistem yang belum pernah ia temui jenisnya.</v>
      </c>
    </row>
    <row r="726" spans="1:7">
      <c r="A726" t="str">
        <f t="shared" si="11"/>
        <v>Managing Change|Officer|1|5</v>
      </c>
      <c r="B726" t="str">
        <v>Managing Change</v>
      </c>
      <c r="C726" t="str">
        <v>Officer</v>
      </c>
      <c r="D726" s="76">
        <v>1</v>
      </c>
      <c r="E726" t="str" cm="1">
        <f t="array" ref="E726">INDEX(aspek!$D$2:$D$337,
   MATCH(1,(aspek!$A$2:$A$337=B726)*
           (aspek!$B$2:$B$337=C726)*
           (aspek!$C$2:$C$337=D726),0))</f>
        <v>Kecepatan menguasai</v>
      </c>
      <c r="F726" s="76">
        <v>5</v>
      </c>
      <c r="G726" s="56" t="str" cm="1">
        <f t="array" ref="G726">INDEX(deskripsi!$D$2:$H$337,
   MATCH(1,(deskripsi!$A$2:$A$337=B726)*
           (deskripsi!$B$2:$B$337=C726)*
           (deskripsi!$C$2:$C$337=D726),0),
   F726)</f>
        <v>Menjadi orang pertama yang menguasai dan menjadi tempat bertanya rekan.</v>
      </c>
    </row>
    <row r="727" spans="1:7">
      <c r="A727" t="str">
        <f t="shared" si="11"/>
        <v>Managing Change|Officer|2|1</v>
      </c>
      <c r="B727" t="str">
        <v>Managing Change</v>
      </c>
      <c r="C727" t="str">
        <v>Officer</v>
      </c>
      <c r="D727" s="76">
        <v>2</v>
      </c>
      <c r="E727" t="str" cm="1">
        <f t="array" ref="E727">INDEX(aspek!$D$2:$D$337,
   MATCH(1,(aspek!$A$2:$A$337=B727)*
           (aspek!$B$2:$B$337=C727)*
           (aspek!$C$2:$C$337=D727),0))</f>
        <v>Kemandirian mempelajari</v>
      </c>
      <c r="F727" s="76">
        <v>1</v>
      </c>
      <c r="G727" s="56" t="str" cm="1">
        <f t="array" ref="G727">INDEX(deskripsi!$D$2:$H$337,
   MATCH(1,(deskripsi!$A$2:$A$337=B727)*
           (deskripsi!$B$2:$B$337=C727)*
           (deskripsi!$C$2:$C$337=D727),0),
   F727)</f>
        <v>Menunggu diajari; tidak mencoba sebelum ada yang menunjukkan.</v>
      </c>
    </row>
    <row r="728" spans="1:7">
      <c r="A728" t="str">
        <f t="shared" si="11"/>
        <v>Managing Change|Officer|2|2</v>
      </c>
      <c r="B728" t="str">
        <v>Managing Change</v>
      </c>
      <c r="C728" t="str">
        <v>Officer</v>
      </c>
      <c r="D728" s="76">
        <v>2</v>
      </c>
      <c r="E728" t="str" cm="1">
        <f t="array" ref="E728">INDEX(aspek!$D$2:$D$337,
   MATCH(1,(aspek!$A$2:$A$337=B728)*
           (aspek!$B$2:$B$337=C728)*
           (aspek!$C$2:$C$337=D728),0))</f>
        <v>Kemandirian mempelajari</v>
      </c>
      <c r="F728" s="76">
        <v>2</v>
      </c>
      <c r="G728" s="56" t="str" cm="1">
        <f t="array" ref="G728">INDEX(deskripsi!$D$2:$H$337,
   MATCH(1,(deskripsi!$A$2:$A$337=B728)*
           (deskripsi!$B$2:$B$337=C728)*
           (deskripsi!$C$2:$C$337=D728),0),
   F728)</f>
        <v>Mencoba setelah diberi panduan lengkap, tetapi berhenti pada kendala pertama.</v>
      </c>
    </row>
    <row r="729" spans="1:7">
      <c r="A729" t="str">
        <f t="shared" si="11"/>
        <v>Managing Change|Officer|2|3</v>
      </c>
      <c r="B729" t="str">
        <v>Managing Change</v>
      </c>
      <c r="C729" t="str">
        <v>Officer</v>
      </c>
      <c r="D729" s="76">
        <v>2</v>
      </c>
      <c r="E729" t="str" cm="1">
        <f t="array" ref="E729">INDEX(aspek!$D$2:$D$337,
   MATCH(1,(aspek!$A$2:$A$337=B729)*
           (aspek!$B$2:$B$337=C729)*
           (aspek!$C$2:$C$337=D729),0))</f>
        <v>Kemandirian mempelajari</v>
      </c>
      <c r="F729" s="76">
        <v>3</v>
      </c>
      <c r="G729" s="56" t="str" cm="1">
        <f t="array" ref="G729">INDEX(deskripsi!$D$2:$H$337,
   MATCH(1,(deskripsi!$A$2:$A$337=B729)*
           (deskripsi!$B$2:$B$337=C729)*
           (deskripsi!$C$2:$C$337=D729),0),
   F729)</f>
        <v>Membaca panduan dan mencoba sendiri, bertanya ketika menemui kendala.</v>
      </c>
    </row>
    <row r="730" spans="1:7">
      <c r="A730" t="str">
        <f t="shared" si="11"/>
        <v>Managing Change|Officer|2|4</v>
      </c>
      <c r="B730" t="str">
        <v>Managing Change</v>
      </c>
      <c r="C730" t="str">
        <v>Officer</v>
      </c>
      <c r="D730" s="76">
        <v>2</v>
      </c>
      <c r="E730" t="str" cm="1">
        <f t="array" ref="E730">INDEX(aspek!$D$2:$D$337,
   MATCH(1,(aspek!$A$2:$A$337=B730)*
           (aspek!$B$2:$B$337=C730)*
           (aspek!$C$2:$C$337=D730),0))</f>
        <v>Kemandirian mempelajari</v>
      </c>
      <c r="F730" s="76">
        <v>4</v>
      </c>
      <c r="G730" s="56" t="str" cm="1">
        <f t="array" ref="G730">INDEX(deskripsi!$D$2:$H$337,
   MATCH(1,(deskripsi!$A$2:$A$337=B730)*
           (deskripsi!$B$2:$B$337=C730)*
           (deskripsi!$C$2:$C$337=D730),0),
   F730)</f>
        <v>Mempelajari sendiri dari panduan, percobaan, dan pesan kesalahan; bertanya hanya setelah mencari jawaban sendiri, dan pertanyaannya spesifik.</v>
      </c>
    </row>
    <row r="731" spans="1:7">
      <c r="A731" t="str">
        <f t="shared" si="11"/>
        <v>Managing Change|Officer|2|5</v>
      </c>
      <c r="B731" t="str">
        <v>Managing Change</v>
      </c>
      <c r="C731" t="str">
        <v>Officer</v>
      </c>
      <c r="D731" s="76">
        <v>2</v>
      </c>
      <c r="E731" t="str" cm="1">
        <f t="array" ref="E731">INDEX(aspek!$D$2:$D$337,
   MATCH(1,(aspek!$A$2:$A$337=B731)*
           (aspek!$B$2:$B$337=C731)*
           (aspek!$C$2:$C$337=D731),0))</f>
        <v>Kemandirian mempelajari</v>
      </c>
      <c r="F731" s="76">
        <v>5</v>
      </c>
      <c r="G731" s="56" t="str" cm="1">
        <f t="array" ref="G731">INDEX(deskripsi!$D$2:$H$337,
   MATCH(1,(deskripsi!$A$2:$A$337=B731)*
           (deskripsi!$B$2:$B$337=C731)*
           (deskripsi!$C$2:$C$337=D731),0),
   F731)</f>
        <v>Membuat catatan langkahnya sendiri yang kemudian dipakai orang lain.</v>
      </c>
    </row>
    <row r="732" spans="1:7">
      <c r="A732" t="str">
        <f t="shared" si="11"/>
        <v>Managing Change|Officer|3|1</v>
      </c>
      <c r="B732" t="str">
        <v>Managing Change</v>
      </c>
      <c r="C732" t="str">
        <v>Officer</v>
      </c>
      <c r="D732" s="76">
        <v>3</v>
      </c>
      <c r="E732" t="str" cm="1">
        <f t="array" ref="E732">INDEX(aspek!$D$2:$D$337,
   MATCH(1,(aspek!$A$2:$A$337=B732)*
           (aspek!$B$2:$B$337=C732)*
           (aspek!$C$2:$C$337=D732),0))</f>
        <v xml:space="preserve">Melepaskan kebiasaan lama </v>
      </c>
      <c r="F732" s="76">
        <v>1</v>
      </c>
      <c r="G732" s="56" t="str" cm="1">
        <f t="array" ref="G732">INDEX(deskripsi!$D$2:$H$337,
   MATCH(1,(deskripsi!$A$2:$A$337=B732)*
           (deskripsi!$B$2:$B$337=C732)*
           (deskripsi!$C$2:$C$337=D732),0),
   F732)</f>
        <v>Terus memakai cara lama meski cara baru sudah berlaku.</v>
      </c>
    </row>
    <row r="733" spans="1:7">
      <c r="A733" t="str">
        <f t="shared" si="11"/>
        <v>Managing Change|Officer|3|2</v>
      </c>
      <c r="B733" t="str">
        <v>Managing Change</v>
      </c>
      <c r="C733" t="str">
        <v>Officer</v>
      </c>
      <c r="D733" s="76">
        <v>3</v>
      </c>
      <c r="E733" t="str" cm="1">
        <f t="array" ref="E733">INDEX(aspek!$D$2:$D$337,
   MATCH(1,(aspek!$A$2:$A$337=B733)*
           (aspek!$B$2:$B$337=C733)*
           (aspek!$C$2:$C$337=D733),0))</f>
        <v xml:space="preserve">Melepaskan kebiasaan lama </v>
      </c>
      <c r="F733" s="76">
        <v>2</v>
      </c>
      <c r="G733" s="56" t="str" cm="1">
        <f t="array" ref="G733">INDEX(deskripsi!$D$2:$H$337,
   MATCH(1,(deskripsi!$A$2:$A$337=B733)*
           (deskripsi!$B$2:$B$337=C733)*
           (deskripsi!$C$2:$C$337=D733),0),
   F733)</f>
        <v>Memakai cara baru ketika diawasi, kembali ke cara lama ketika tidak.</v>
      </c>
    </row>
    <row r="734" spans="1:7">
      <c r="A734" t="str">
        <f t="shared" si="11"/>
        <v>Managing Change|Officer|3|3</v>
      </c>
      <c r="B734" t="str">
        <v>Managing Change</v>
      </c>
      <c r="C734" t="str">
        <v>Officer</v>
      </c>
      <c r="D734" s="76">
        <v>3</v>
      </c>
      <c r="E734" t="str" cm="1">
        <f t="array" ref="E734">INDEX(aspek!$D$2:$D$337,
   MATCH(1,(aspek!$A$2:$A$337=B734)*
           (aspek!$B$2:$B$337=C734)*
           (aspek!$C$2:$C$337=D734),0))</f>
        <v xml:space="preserve">Melepaskan kebiasaan lama </v>
      </c>
      <c r="F734" s="76">
        <v>3</v>
      </c>
      <c r="G734" s="56" t="str" cm="1">
        <f t="array" ref="G734">INDEX(deskripsi!$D$2:$H$337,
   MATCH(1,(deskripsi!$A$2:$A$337=B734)*
           (deskripsi!$B$2:$B$337=C734)*
           (deskripsi!$C$2:$C$337=D734),0),
   F734)</f>
        <v>Memakai cara baru sebagian besar waktu, kembali ke cara lama ketika sedang sibuk atau tertekan.</v>
      </c>
    </row>
    <row r="735" spans="1:7">
      <c r="A735" t="str">
        <f t="shared" si="11"/>
        <v>Managing Change|Officer|3|4</v>
      </c>
      <c r="B735" t="str">
        <v>Managing Change</v>
      </c>
      <c r="C735" t="str">
        <v>Officer</v>
      </c>
      <c r="D735" s="76">
        <v>3</v>
      </c>
      <c r="E735" t="str" cm="1">
        <f t="array" ref="E735">INDEX(aspek!$D$2:$D$337,
   MATCH(1,(aspek!$A$2:$A$337=B735)*
           (aspek!$B$2:$B$337=C735)*
           (aspek!$C$2:$C$337=D735),0))</f>
        <v xml:space="preserve">Melepaskan kebiasaan lama </v>
      </c>
      <c r="F735" s="76">
        <v>4</v>
      </c>
      <c r="G735" s="56" t="str" cm="1">
        <f t="array" ref="G735">INDEX(deskripsi!$D$2:$H$337,
   MATCH(1,(deskripsi!$A$2:$A$337=B735)*
           (deskripsi!$B$2:$B$337=C735)*
           (deskripsi!$C$2:$C$337=D735),0),
   F735)</f>
        <v>Memakai cara baru secara konsisten termasuk pada periode tersibuk, dan menyadari sendiri ketika hampir kembali ke cara lama.</v>
      </c>
    </row>
    <row r="736" spans="1:7">
      <c r="A736" t="str">
        <f t="shared" si="11"/>
        <v>Managing Change|Officer|3|5</v>
      </c>
      <c r="B736" t="str">
        <v>Managing Change</v>
      </c>
      <c r="C736" t="str">
        <v>Officer</v>
      </c>
      <c r="D736" s="76">
        <v>3</v>
      </c>
      <c r="E736" t="str" cm="1">
        <f t="array" ref="E736">INDEX(aspek!$D$2:$D$337,
   MATCH(1,(aspek!$A$2:$A$337=B736)*
           (aspek!$B$2:$B$337=C736)*
           (aspek!$C$2:$C$337=D736),0))</f>
        <v xml:space="preserve">Melepaskan kebiasaan lama </v>
      </c>
      <c r="F736" s="76">
        <v>5</v>
      </c>
      <c r="G736" s="56" t="str" cm="1">
        <f t="array" ref="G736">INDEX(deskripsi!$D$2:$H$337,
   MATCH(1,(deskripsi!$A$2:$A$337=B736)*
           (deskripsi!$B$2:$B$337=C736)*
           (deskripsi!$C$2:$C$337=D736),0),
   F736)</f>
        <v>Membantu rekan menyadari ketika mereka kembali ke cara lama.</v>
      </c>
    </row>
    <row r="737" spans="1:7">
      <c r="A737" t="str">
        <f t="shared" si="11"/>
        <v>Managing Change|Officer|4|1</v>
      </c>
      <c r="B737" t="str">
        <v>Managing Change</v>
      </c>
      <c r="C737" t="str">
        <v>Officer</v>
      </c>
      <c r="D737" s="76">
        <v>4</v>
      </c>
      <c r="E737" t="str" cm="1">
        <f t="array" ref="E737">INDEX(aspek!$D$2:$D$337,
   MATCH(1,(aspek!$A$2:$A$337=B737)*
           (aspek!$B$2:$B$337=C737)*
           (aspek!$C$2:$C$337=D737),0))</f>
        <v>Kecepatan membentuk kebiasaan baru</v>
      </c>
      <c r="F737" s="76">
        <v>1</v>
      </c>
      <c r="G737" s="56" t="str" cm="1">
        <f t="array" ref="G737">INDEX(deskripsi!$D$2:$H$337,
   MATCH(1,(deskripsi!$A$2:$A$337=B737)*
           (deskripsi!$B$2:$B$337=C737)*
           (deskripsi!$C$2:$C$337=D737),0),
   F737)</f>
        <v>Cara baru tidak pernah menjadi kebiasaan; selalu terasa asing.</v>
      </c>
    </row>
    <row r="738" spans="1:7">
      <c r="A738" t="str">
        <f t="shared" si="11"/>
        <v>Managing Change|Officer|4|2</v>
      </c>
      <c r="B738" t="str">
        <v>Managing Change</v>
      </c>
      <c r="C738" t="str">
        <v>Officer</v>
      </c>
      <c r="D738" s="76">
        <v>4</v>
      </c>
      <c r="E738" t="str" cm="1">
        <f t="array" ref="E738">INDEX(aspek!$D$2:$D$337,
   MATCH(1,(aspek!$A$2:$A$337=B738)*
           (aspek!$B$2:$B$337=C738)*
           (aspek!$C$2:$C$337=D738),0))</f>
        <v>Kecepatan membentuk kebiasaan baru</v>
      </c>
      <c r="F738" s="76">
        <v>2</v>
      </c>
      <c r="G738" s="56" t="str" cm="1">
        <f t="array" ref="G738">INDEX(deskripsi!$D$2:$H$337,
   MATCH(1,(deskripsi!$A$2:$A$337=B738)*
           (deskripsi!$B$2:$B$337=C738)*
           (deskripsi!$C$2:$C$337=D738),0),
   F738)</f>
        <v>Perlu waktu sangat lama dan pengingat terus-menerus.</v>
      </c>
    </row>
    <row r="739" spans="1:7">
      <c r="A739" t="str">
        <f t="shared" si="11"/>
        <v>Managing Change|Officer|4|3</v>
      </c>
      <c r="B739" t="str">
        <v>Managing Change</v>
      </c>
      <c r="C739" t="str">
        <v>Officer</v>
      </c>
      <c r="D739" s="76">
        <v>4</v>
      </c>
      <c r="E739" t="str" cm="1">
        <f t="array" ref="E739">INDEX(aspek!$D$2:$D$337,
   MATCH(1,(aspek!$A$2:$A$337=B739)*
           (aspek!$B$2:$B$337=C739)*
           (aspek!$C$2:$C$337=D739),0))</f>
        <v>Kecepatan membentuk kebiasaan baru</v>
      </c>
      <c r="F739" s="76">
        <v>3</v>
      </c>
      <c r="G739" s="56" t="str" cm="1">
        <f t="array" ref="G739">INDEX(deskripsi!$D$2:$H$337,
   MATCH(1,(deskripsi!$A$2:$A$337=B739)*
           (deskripsi!$B$2:$B$337=C739)*
           (deskripsi!$C$2:$C$337=D739),0),
   F739)</f>
        <v>Cara baru menjadi kebiasaan setelah beberapa bulan.</v>
      </c>
    </row>
    <row r="740" spans="1:7">
      <c r="A740" t="str">
        <f t="shared" si="11"/>
        <v>Managing Change|Officer|4|4</v>
      </c>
      <c r="B740" t="str">
        <v>Managing Change</v>
      </c>
      <c r="C740" t="str">
        <v>Officer</v>
      </c>
      <c r="D740" s="76">
        <v>4</v>
      </c>
      <c r="E740" t="str" cm="1">
        <f t="array" ref="E740">INDEX(aspek!$D$2:$D$337,
   MATCH(1,(aspek!$A$2:$A$337=B740)*
           (aspek!$B$2:$B$337=C740)*
           (aspek!$C$2:$C$337=D740),0))</f>
        <v>Kecepatan membentuk kebiasaan baru</v>
      </c>
      <c r="F740" s="76">
        <v>4</v>
      </c>
      <c r="G740" s="56" t="str" cm="1">
        <f t="array" ref="G740">INDEX(deskripsi!$D$2:$H$337,
   MATCH(1,(deskripsi!$A$2:$A$337=B740)*
           (deskripsi!$B$2:$B$337=C740)*
           (deskripsi!$C$2:$C$337=D740),0),
   F740)</f>
        <v>Cara baru menjadi wajar dalam hitungan minggu, dan waktu yang dibutuhkan makin pendek pada perubahan berikutnya.</v>
      </c>
    </row>
    <row r="741" spans="1:7">
      <c r="A741" t="str">
        <f t="shared" si="11"/>
        <v>Managing Change|Officer|4|5</v>
      </c>
      <c r="B741" t="str">
        <v>Managing Change</v>
      </c>
      <c r="C741" t="str">
        <v>Officer</v>
      </c>
      <c r="D741" s="76">
        <v>4</v>
      </c>
      <c r="E741" t="str" cm="1">
        <f t="array" ref="E741">INDEX(aspek!$D$2:$D$337,
   MATCH(1,(aspek!$A$2:$A$337=B741)*
           (aspek!$B$2:$B$337=C741)*
           (aspek!$C$2:$C$337=D741),0))</f>
        <v>Kecepatan membentuk kebiasaan baru</v>
      </c>
      <c r="F741" s="76">
        <v>5</v>
      </c>
      <c r="G741" s="56" t="str" cm="1">
        <f t="array" ref="G741">INDEX(deskripsi!$D$2:$H$337,
   MATCH(1,(deskripsi!$A$2:$A$337=B741)*
           (deskripsi!$B$2:$B$337=C741)*
           (deskripsi!$C$2:$C$337=D741),0),
   F741)</f>
        <v>Menghadapi cara kerja baru tanpa masa penyesuaian yang berarti.</v>
      </c>
    </row>
    <row r="742" spans="1:7">
      <c r="A742" t="str">
        <f t="shared" si="11"/>
        <v>Managing Change|Analyst|1|1</v>
      </c>
      <c r="B742" t="str">
        <v>Managing Change</v>
      </c>
      <c r="C742" t="str">
        <v>Analyst</v>
      </c>
      <c r="D742" s="76">
        <v>1</v>
      </c>
      <c r="E742" t="str" cm="1">
        <f t="array" ref="E742">INDEX(aspek!$D$2:$D$337,
   MATCH(1,(aspek!$A$2:$A$337=B742)*
           (aspek!$B$2:$B$337=C742)*
           (aspek!$C$2:$C$337=D742),0))</f>
        <v>Kecepatan pemulihan produktivitas</v>
      </c>
      <c r="F742" s="76">
        <v>1</v>
      </c>
      <c r="G742" s="56" t="str" cm="1">
        <f t="array" ref="G742">INDEX(deskripsi!$D$2:$H$337,
   MATCH(1,(deskripsi!$A$2:$A$337=B742)*
           (deskripsi!$B$2:$B$337=C742)*
           (deskripsi!$C$2:$C$337=D742),0),
   F742)</f>
        <v>Pekerjaan terhenti cukup lama setelah perubahan mendadak; perlu diarahkan ulang untuk mulai bergerak.</v>
      </c>
    </row>
    <row r="743" spans="1:7">
      <c r="A743" t="str">
        <f t="shared" si="11"/>
        <v>Managing Change|Analyst|1|2</v>
      </c>
      <c r="B743" t="str">
        <v>Managing Change</v>
      </c>
      <c r="C743" t="str">
        <v>Analyst</v>
      </c>
      <c r="D743" s="76">
        <v>1</v>
      </c>
      <c r="E743" t="str" cm="1">
        <f t="array" ref="E743">INDEX(aspek!$D$2:$D$337,
   MATCH(1,(aspek!$A$2:$A$337=B743)*
           (aspek!$B$2:$B$337=C743)*
           (aspek!$C$2:$C$337=D743),0))</f>
        <v>Kecepatan pemulihan produktivitas</v>
      </c>
      <c r="F743" s="76">
        <v>2</v>
      </c>
      <c r="G743" s="56" t="str" cm="1">
        <f t="array" ref="G743">INDEX(deskripsi!$D$2:$H$337,
   MATCH(1,(deskripsi!$A$2:$A$337=B743)*
           (deskripsi!$B$2:$B$337=C743)*
           (deskripsi!$C$2:$C$337=D743),0),
   F743)</f>
        <v>Kembali bekerja setelah beberapa hari, dengan produktivitas yang belum pulih penuh.</v>
      </c>
    </row>
    <row r="744" spans="1:7">
      <c r="A744" t="str">
        <f t="shared" si="11"/>
        <v>Managing Change|Analyst|1|3</v>
      </c>
      <c r="B744" t="str">
        <v>Managing Change</v>
      </c>
      <c r="C744" t="str">
        <v>Analyst</v>
      </c>
      <c r="D744" s="76">
        <v>1</v>
      </c>
      <c r="E744" t="str" cm="1">
        <f t="array" ref="E744">INDEX(aspek!$D$2:$D$337,
   MATCH(1,(aspek!$A$2:$A$337=B744)*
           (aspek!$B$2:$B$337=C744)*
           (aspek!$C$2:$C$337=D744),0))</f>
        <v>Kecepatan pemulihan produktivitas</v>
      </c>
      <c r="F744" s="76">
        <v>3</v>
      </c>
      <c r="G744" s="56" t="str" cm="1">
        <f t="array" ref="G744">INDEX(deskripsi!$D$2:$H$337,
   MATCH(1,(deskripsi!$A$2:$A$337=B744)*
           (deskripsi!$B$2:$B$337=C744)*
           (deskripsi!$C$2:$C$337=D744),0),
   F744)</f>
        <v>Kembali bekerja dalam waktu yang wajar, dengan bantuan atasan menentukan prioritas baru.</v>
      </c>
    </row>
    <row r="745" spans="1:7">
      <c r="A745" t="str">
        <f t="shared" si="11"/>
        <v>Managing Change|Analyst|1|4</v>
      </c>
      <c r="B745" t="str">
        <v>Managing Change</v>
      </c>
      <c r="C745" t="str">
        <v>Analyst</v>
      </c>
      <c r="D745" s="76">
        <v>1</v>
      </c>
      <c r="E745" t="str" cm="1">
        <f t="array" ref="E745">INDEX(aspek!$D$2:$D$337,
   MATCH(1,(aspek!$A$2:$A$337=B745)*
           (aspek!$B$2:$B$337=C745)*
           (aspek!$C$2:$C$337=D745),0))</f>
        <v>Kecepatan pemulihan produktivitas</v>
      </c>
      <c r="F745" s="76">
        <v>4</v>
      </c>
      <c r="G745" s="56" t="str" cm="1">
        <f t="array" ref="G745">INDEX(deskripsi!$D$2:$H$337,
   MATCH(1,(deskripsi!$A$2:$A$337=B745)*
           (deskripsi!$B$2:$B$337=C745)*
           (deskripsi!$C$2:$C$337=D745),0),
   F745)</f>
        <v>Menyusun ulang prioritas sendiri dan kembali produktif dalam hitungan jam, dan waktunya makin pendek pada kejadian berikutnya.</v>
      </c>
    </row>
    <row r="746" spans="1:7">
      <c r="A746" t="str">
        <f t="shared" si="11"/>
        <v>Managing Change|Analyst|1|5</v>
      </c>
      <c r="B746" t="str">
        <v>Managing Change</v>
      </c>
      <c r="C746" t="str">
        <v>Analyst</v>
      </c>
      <c r="D746" s="76">
        <v>1</v>
      </c>
      <c r="E746" t="str" cm="1">
        <f t="array" ref="E746">INDEX(aspek!$D$2:$D$337,
   MATCH(1,(aspek!$A$2:$A$337=B746)*
           (aspek!$B$2:$B$337=C746)*
           (aspek!$C$2:$C$337=D746),0))</f>
        <v>Kecepatan pemulihan produktivitas</v>
      </c>
      <c r="F746" s="76">
        <v>5</v>
      </c>
      <c r="G746" s="56" t="str" cm="1">
        <f t="array" ref="G746">INDEX(deskripsi!$D$2:$H$337,
   MATCH(1,(deskripsi!$A$2:$A$337=B746)*
           (deskripsi!$B$2:$B$337=C746)*
           (deskripsi!$C$2:$C$337=D746),0),
   F746)</f>
        <v>Membantu rekan menyusun ulang prioritas mereka sendiri setelah perubahan yang sama.</v>
      </c>
    </row>
    <row r="747" spans="1:7">
      <c r="A747" t="str">
        <f t="shared" si="11"/>
        <v>Managing Change|Analyst|2|1</v>
      </c>
      <c r="B747" t="str">
        <v>Managing Change</v>
      </c>
      <c r="C747" t="str">
        <v>Analyst</v>
      </c>
      <c r="D747" s="76">
        <v>2</v>
      </c>
      <c r="E747" t="str" cm="1">
        <f t="array" ref="E747">INDEX(aspek!$D$2:$D$337,
   MATCH(1,(aspek!$A$2:$A$337=B747)*
           (aspek!$B$2:$B$337=C747)*
           (aspek!$C$2:$C$337=D747),0))</f>
        <v>Konsistensi hasil kerja saat berubah</v>
      </c>
      <c r="F747" s="76">
        <v>1</v>
      </c>
      <c r="G747" s="56" t="str" cm="1">
        <f t="array" ref="G747">INDEX(deskripsi!$D$2:$H$337,
   MATCH(1,(deskripsi!$A$2:$A$337=B747)*
           (deskripsi!$B$2:$B$337=C747)*
           (deskripsi!$C$2:$C$337=D747),0),
   F747)</f>
        <v>Mutu dan ketepatan waktu turun tajam setiap kali ada perubahan.</v>
      </c>
    </row>
    <row r="748" spans="1:7">
      <c r="A748" t="str">
        <f t="shared" si="11"/>
        <v>Managing Change|Analyst|2|2</v>
      </c>
      <c r="B748" t="str">
        <v>Managing Change</v>
      </c>
      <c r="C748" t="str">
        <v>Analyst</v>
      </c>
      <c r="D748" s="76">
        <v>2</v>
      </c>
      <c r="E748" t="str" cm="1">
        <f t="array" ref="E748">INDEX(aspek!$D$2:$D$337,
   MATCH(1,(aspek!$A$2:$A$337=B748)*
           (aspek!$B$2:$B$337=C748)*
           (aspek!$C$2:$C$337=D748),0))</f>
        <v>Konsistensi hasil kerja saat berubah</v>
      </c>
      <c r="F748" s="76">
        <v>2</v>
      </c>
      <c r="G748" s="56" t="str" cm="1">
        <f t="array" ref="G748">INDEX(deskripsi!$D$2:$H$337,
   MATCH(1,(deskripsi!$A$2:$A$337=B748)*
           (deskripsi!$B$2:$B$337=C748)*
           (deskripsi!$C$2:$C$337=D748),0),
   F748)</f>
        <v>Pekerjaan yang terdampak terbengkalai, termasuk yang sebenarnya masih berlaku.</v>
      </c>
    </row>
    <row r="749" spans="1:7">
      <c r="A749" t="str">
        <f t="shared" si="11"/>
        <v>Managing Change|Analyst|2|3</v>
      </c>
      <c r="B749" t="str">
        <v>Managing Change</v>
      </c>
      <c r="C749" t="str">
        <v>Analyst</v>
      </c>
      <c r="D749" s="76">
        <v>2</v>
      </c>
      <c r="E749" t="str" cm="1">
        <f t="array" ref="E749">INDEX(aspek!$D$2:$D$337,
   MATCH(1,(aspek!$A$2:$A$337=B749)*
           (aspek!$B$2:$B$337=C749)*
           (aspek!$C$2:$C$337=D749),0))</f>
        <v>Konsistensi hasil kerja saat berubah</v>
      </c>
      <c r="F749" s="76">
        <v>3</v>
      </c>
      <c r="G749" s="56" t="str" cm="1">
        <f t="array" ref="G749">INDEX(deskripsi!$D$2:$H$337,
   MATCH(1,(deskripsi!$A$2:$A$337=B749)*
           (deskripsi!$B$2:$B$337=C749)*
           (deskripsi!$C$2:$C$337=D749),0),
   F749)</f>
        <v>Menjaga sebagian besar pekerjaan tetap jalan, dengan beberapa komitmen terlewat.</v>
      </c>
    </row>
    <row r="750" spans="1:7">
      <c r="A750" t="str">
        <f t="shared" si="11"/>
        <v>Managing Change|Analyst|2|4</v>
      </c>
      <c r="B750" t="str">
        <v>Managing Change</v>
      </c>
      <c r="C750" t="str">
        <v>Analyst</v>
      </c>
      <c r="D750" s="76">
        <v>2</v>
      </c>
      <c r="E750" t="str" cm="1">
        <f t="array" ref="E750">INDEX(aspek!$D$2:$D$337,
   MATCH(1,(aspek!$A$2:$A$337=B750)*
           (aspek!$B$2:$B$337=C750)*
           (aspek!$C$2:$C$337=D750),0))</f>
        <v>Konsistensi hasil kerja saat berubah</v>
      </c>
      <c r="F750" s="76">
        <v>4</v>
      </c>
      <c r="G750" s="56" t="str" cm="1">
        <f t="array" ref="G750">INDEX(deskripsi!$D$2:$H$337,
   MATCH(1,(deskripsi!$A$2:$A$337=B750)*
           (deskripsi!$B$2:$B$337=C750)*
           (deskripsi!$C$2:$C$337=D750),0),
   F750)</f>
        <v>Mutu dan ketepatan waktu tidak turun selama periode perubahan beruntun; komitmen yang terdampak dinegosiasikan ulang lebih dulu, bukan dibiarkan gagal.</v>
      </c>
    </row>
    <row r="751" spans="1:7">
      <c r="A751" t="str">
        <f t="shared" si="11"/>
        <v>Managing Change|Analyst|2|5</v>
      </c>
      <c r="B751" t="str">
        <v>Managing Change</v>
      </c>
      <c r="C751" t="str">
        <v>Analyst</v>
      </c>
      <c r="D751" s="76">
        <v>2</v>
      </c>
      <c r="E751" t="str" cm="1">
        <f t="array" ref="E751">INDEX(aspek!$D$2:$D$337,
   MATCH(1,(aspek!$A$2:$A$337=B751)*
           (aspek!$B$2:$B$337=C751)*
           (aspek!$C$2:$C$337=D751),0))</f>
        <v>Konsistensi hasil kerja saat berubah</v>
      </c>
      <c r="F751" s="76">
        <v>5</v>
      </c>
      <c r="G751" s="56" t="str" cm="1">
        <f t="array" ref="G751">INDEX(deskripsi!$D$2:$H$337,
   MATCH(1,(deskripsi!$A$2:$A$337=B751)*
           (deskripsi!$B$2:$B$337=C751)*
           (deskripsi!$C$2:$C$337=D751),0),
   F751)</f>
        <v>Unit tetap berjalan karena ia memilah dan membagikan pekerjaan yang masih berlaku.</v>
      </c>
    </row>
    <row r="752" spans="1:7">
      <c r="A752" t="str">
        <f t="shared" si="11"/>
        <v>Managing Change|Analyst|3|1</v>
      </c>
      <c r="B752" t="str">
        <v>Managing Change</v>
      </c>
      <c r="C752" t="str">
        <v>Analyst</v>
      </c>
      <c r="D752" s="76">
        <v>3</v>
      </c>
      <c r="E752" t="str" cm="1">
        <f t="array" ref="E752">INDEX(aspek!$D$2:$D$337,
   MATCH(1,(aspek!$A$2:$A$337=B752)*
           (aspek!$B$2:$B$337=C752)*
           (aspek!$C$2:$C$337=D752),0))</f>
        <v>Kesadaran atas penolakan diri</v>
      </c>
      <c r="F752" s="76">
        <v>1</v>
      </c>
      <c r="G752" s="56" t="str" cm="1">
        <f t="array" ref="G752">INDEX(deskripsi!$D$2:$H$337,
   MATCH(1,(deskripsi!$A$2:$A$337=B752)*
           (deskripsi!$B$2:$B$337=C752)*
           (deskripsi!$C$2:$C$337=D752),0),
   F752)</f>
        <v>Menolak perubahan dan menganggap penolakannya sebagai keberatan yang sepenuhnya objektif.</v>
      </c>
    </row>
    <row r="753" spans="1:7">
      <c r="A753" t="str">
        <f t="shared" si="11"/>
        <v>Managing Change|Analyst|3|2</v>
      </c>
      <c r="B753" t="str">
        <v>Managing Change</v>
      </c>
      <c r="C753" t="str">
        <v>Analyst</v>
      </c>
      <c r="D753" s="76">
        <v>3</v>
      </c>
      <c r="E753" t="str" cm="1">
        <f t="array" ref="E753">INDEX(aspek!$D$2:$D$337,
   MATCH(1,(aspek!$A$2:$A$337=B753)*
           (aspek!$B$2:$B$337=C753)*
           (aspek!$C$2:$C$337=D753),0))</f>
        <v>Kesadaran atas penolakan diri</v>
      </c>
      <c r="F753" s="76">
        <v>2</v>
      </c>
      <c r="G753" s="56" t="str" cm="1">
        <f t="array" ref="G753">INDEX(deskripsi!$D$2:$H$337,
   MATCH(1,(deskripsi!$A$2:$A$337=B753)*
           (deskripsi!$B$2:$B$337=C753)*
           (deskripsi!$C$2:$C$337=D753),0),
   F753)</f>
        <v>Menerima di permukaan, tetapi diam-diam kembali ke cara lama tanpa menyadarinya.</v>
      </c>
    </row>
    <row r="754" spans="1:7">
      <c r="A754" t="str">
        <f t="shared" si="11"/>
        <v>Managing Change|Analyst|3|3</v>
      </c>
      <c r="B754" t="str">
        <v>Managing Change</v>
      </c>
      <c r="C754" t="str">
        <v>Analyst</v>
      </c>
      <c r="D754" s="76">
        <v>3</v>
      </c>
      <c r="E754" t="str" cm="1">
        <f t="array" ref="E754">INDEX(aspek!$D$2:$D$337,
   MATCH(1,(aspek!$A$2:$A$337=B754)*
           (aspek!$B$2:$B$337=C754)*
           (aspek!$C$2:$C$337=D754),0))</f>
        <v>Kesadaran atas penolakan diri</v>
      </c>
      <c r="F754" s="76">
        <v>3</v>
      </c>
      <c r="G754" s="56" t="str" cm="1">
        <f t="array" ref="G754">INDEX(deskripsi!$D$2:$H$337,
   MATCH(1,(deskripsi!$A$2:$A$337=B754)*
           (deskripsi!$B$2:$B$337=C754)*
           (deskripsi!$C$2:$C$337=D754),0),
   F754)</f>
        <v>Menyadari penolakannya setelah diingatkan orang lain atau setelah kejadian berlalu.</v>
      </c>
    </row>
    <row r="755" spans="1:7">
      <c r="A755" t="str">
        <f t="shared" si="11"/>
        <v>Managing Change|Analyst|3|4</v>
      </c>
      <c r="B755" t="str">
        <v>Managing Change</v>
      </c>
      <c r="C755" t="str">
        <v>Analyst</v>
      </c>
      <c r="D755" s="76">
        <v>3</v>
      </c>
      <c r="E755" t="str" cm="1">
        <f t="array" ref="E755">INDEX(aspek!$D$2:$D$337,
   MATCH(1,(aspek!$A$2:$A$337=B755)*
           (aspek!$B$2:$B$337=C755)*
           (aspek!$C$2:$C$337=D755),0))</f>
        <v>Kesadaran atas penolakan diri</v>
      </c>
      <c r="F755" s="76">
        <v>4</v>
      </c>
      <c r="G755" s="56" t="str" cm="1">
        <f t="array" ref="G755">INDEX(deskripsi!$D$2:$H$337,
   MATCH(1,(deskripsi!$A$2:$A$337=B755)*
           (deskripsi!$B$2:$B$337=C755)*
           (deskripsi!$C$2:$C$337=D755),0),
   F755)</f>
        <v>Menyadari sendiri, pada saat kejadian, bahwa ia sedang menolak — dan mampu menyebutkan apa yang sebenarnya ia khawatirkan di baliknya.</v>
      </c>
    </row>
    <row r="756" spans="1:7">
      <c r="A756" t="str">
        <f t="shared" si="11"/>
        <v>Managing Change|Analyst|3|5</v>
      </c>
      <c r="B756" t="str">
        <v>Managing Change</v>
      </c>
      <c r="C756" t="str">
        <v>Analyst</v>
      </c>
      <c r="D756" s="76">
        <v>3</v>
      </c>
      <c r="E756" t="str" cm="1">
        <f t="array" ref="E756">INDEX(aspek!$D$2:$D$337,
   MATCH(1,(aspek!$A$2:$A$337=B756)*
           (aspek!$B$2:$B$337=C756)*
           (aspek!$C$2:$C$337=D756),0))</f>
        <v>Kesadaran atas penolakan diri</v>
      </c>
      <c r="F756" s="76">
        <v>5</v>
      </c>
      <c r="G756" s="56" t="str" cm="1">
        <f t="array" ref="G756">INDEX(deskripsi!$D$2:$H$337,
   MATCH(1,(deskripsi!$A$2:$A$337=B756)*
           (deskripsi!$B$2:$B$337=C756)*
           (deskripsi!$C$2:$C$337=D756),0),
   F756)</f>
        <v>Membantu rekan mengenali penolakan mereka sendiri tanpa membuat mereka defensif.</v>
      </c>
    </row>
    <row r="757" spans="1:7">
      <c r="A757" t="str">
        <f t="shared" si="11"/>
        <v>Managing Change|Analyst|4|1</v>
      </c>
      <c r="B757" t="str">
        <v>Managing Change</v>
      </c>
      <c r="C757" t="str">
        <v>Analyst</v>
      </c>
      <c r="D757" s="76">
        <v>4</v>
      </c>
      <c r="E757" t="str" cm="1">
        <f t="array" ref="E757">INDEX(aspek!$D$2:$D$337,
   MATCH(1,(aspek!$A$2:$A$337=B757)*
           (aspek!$B$2:$B$337=C757)*
           (aspek!$C$2:$C$337=D757),0))</f>
        <v>Pengelolaan yang konstruktif, bukan penyangkalan</v>
      </c>
      <c r="F757" s="76">
        <v>1</v>
      </c>
      <c r="G757" s="56" t="str" cm="1">
        <f t="array" ref="G757">INDEX(deskripsi!$D$2:$H$337,
   MATCH(1,(deskripsi!$A$2:$A$337=B757)*
           (deskripsi!$B$2:$B$337=C757)*
           (deskripsi!$C$2:$C$337=D757),0),
   F757)</f>
        <v>Menolak secara terbuka dan menghambat, atau menolak secara tersembunyi dengan menunda.</v>
      </c>
    </row>
    <row r="758" spans="1:7">
      <c r="A758" t="str">
        <f t="shared" si="11"/>
        <v>Managing Change|Analyst|4|2</v>
      </c>
      <c r="B758" t="str">
        <v>Managing Change</v>
      </c>
      <c r="C758" t="str">
        <v>Analyst</v>
      </c>
      <c r="D758" s="76">
        <v>4</v>
      </c>
      <c r="E758" t="str" cm="1">
        <f t="array" ref="E758">INDEX(aspek!$D$2:$D$337,
   MATCH(1,(aspek!$A$2:$A$337=B758)*
           (aspek!$B$2:$B$337=C758)*
           (aspek!$C$2:$C$337=D758),0))</f>
        <v>Pengelolaan yang konstruktif, bukan penyangkalan</v>
      </c>
      <c r="F758" s="76">
        <v>2</v>
      </c>
      <c r="G758" s="56" t="str" cm="1">
        <f t="array" ref="G758">INDEX(deskripsi!$D$2:$H$337,
   MATCH(1,(deskripsi!$A$2:$A$337=B758)*
           (deskripsi!$B$2:$B$337=C758)*
           (deskripsi!$C$2:$C$337=D758),0),
   F758)</f>
        <v>Menyatakan menerima tetapi tidak menjalankan; keberatan baru muncul setelah perubahan gagal.</v>
      </c>
    </row>
    <row r="759" spans="1:7">
      <c r="A759" t="str">
        <f t="shared" si="11"/>
        <v>Managing Change|Analyst|4|3</v>
      </c>
      <c r="B759" t="str">
        <v>Managing Change</v>
      </c>
      <c r="C759" t="str">
        <v>Analyst</v>
      </c>
      <c r="D759" s="76">
        <v>4</v>
      </c>
      <c r="E759" t="str" cm="1">
        <f t="array" ref="E759">INDEX(aspek!$D$2:$D$337,
   MATCH(1,(aspek!$A$2:$A$337=B759)*
           (aspek!$B$2:$B$337=C759)*
           (aspek!$C$2:$C$337=D759),0))</f>
        <v>Pengelolaan yang konstruktif, bukan penyangkalan</v>
      </c>
      <c r="F759" s="76">
        <v>3</v>
      </c>
      <c r="G759" s="56" t="str" cm="1">
        <f t="array" ref="G759">INDEX(deskripsi!$D$2:$H$337,
   MATCH(1,(deskripsi!$A$2:$A$337=B759)*
           (deskripsi!$B$2:$B$337=C759)*
           (deskripsi!$C$2:$C$337=D759),0),
   F759)</f>
        <v>Menjalankan perubahan setelah mendapat penjelasan dan dukungan yang cukup.</v>
      </c>
    </row>
    <row r="760" spans="1:7">
      <c r="A760" t="str">
        <f t="shared" si="11"/>
        <v>Managing Change|Analyst|4|4</v>
      </c>
      <c r="B760" t="str">
        <v>Managing Change</v>
      </c>
      <c r="C760" t="str">
        <v>Analyst</v>
      </c>
      <c r="D760" s="76">
        <v>4</v>
      </c>
      <c r="E760" t="str" cm="1">
        <f t="array" ref="E760">INDEX(aspek!$D$2:$D$337,
   MATCH(1,(aspek!$A$2:$A$337=B760)*
           (aspek!$B$2:$B$337=C760)*
           (aspek!$C$2:$C$337=D760),0))</f>
        <v>Pengelolaan yang konstruktif, bukan penyangkalan</v>
      </c>
      <c r="F760" s="76">
        <v>4</v>
      </c>
      <c r="G760" s="56" t="str" cm="1">
        <f t="array" ref="G760">INDEX(deskripsi!$D$2:$H$337,
   MATCH(1,(deskripsi!$A$2:$A$337=B760)*
           (deskripsi!$B$2:$B$337=C760)*
           (deskripsi!$C$2:$C$337=D760),0),
   F760)</f>
        <v>Menyampaikan keberatan secara terbuka SEBELUM keputusan berjalan, lalu menjalankan keputusan final sepenuhnya — termasuk perubahan yang ia sendiri tidak setujui.</v>
      </c>
    </row>
    <row r="761" spans="1:7">
      <c r="A761" t="str">
        <f t="shared" si="11"/>
        <v>Managing Change|Analyst|4|5</v>
      </c>
      <c r="B761" t="str">
        <v>Managing Change</v>
      </c>
      <c r="C761" t="str">
        <v>Analyst</v>
      </c>
      <c r="D761" s="76">
        <v>4</v>
      </c>
      <c r="E761" t="str" cm="1">
        <f t="array" ref="E761">INDEX(aspek!$D$2:$D$337,
   MATCH(1,(aspek!$A$2:$A$337=B761)*
           (aspek!$B$2:$B$337=C761)*
           (aspek!$C$2:$C$337=D761),0))</f>
        <v>Pengelolaan yang konstruktif, bukan penyangkalan</v>
      </c>
      <c r="F761" s="76">
        <v>5</v>
      </c>
      <c r="G761" s="56" t="str" cm="1">
        <f t="array" ref="G761">INDEX(deskripsi!$D$2:$H$337,
   MATCH(1,(deskripsi!$A$2:$A$337=B761)*
           (deskripsi!$B$2:$B$337=C761)*
           (deskripsi!$C$2:$C$337=D761),0),
   F761)</f>
        <v>Menjadi orang yang keberatannya dicari karena disampaikan pada waktu yang tepat dan tidak berujung hambatan.</v>
      </c>
    </row>
    <row r="762" spans="1:7">
      <c r="A762" t="str">
        <f t="shared" si="11"/>
        <v>Managing Change|Unit Head/Specialist|1|1</v>
      </c>
      <c r="B762" t="str">
        <v>Managing Change</v>
      </c>
      <c r="C762" t="str">
        <v>Unit Head/Specialist</v>
      </c>
      <c r="D762" s="76">
        <v>1</v>
      </c>
      <c r="E762" t="str" cm="1">
        <f t="array" ref="E762">INDEX(aspek!$D$2:$D$337,
   MATCH(1,(aspek!$A$2:$A$337=B762)*
           (aspek!$B$2:$B$337=C762)*
           (aspek!$C$2:$C$337=D762),0))</f>
        <v>Inisiatif belajar</v>
      </c>
      <c r="F762" s="76">
        <v>1</v>
      </c>
      <c r="G762" s="56" t="str" cm="1">
        <f t="array" ref="G762">INDEX(deskripsi!$D$2:$H$337,
   MATCH(1,(deskripsi!$A$2:$A$337=B762)*
           (deskripsi!$B$2:$B$337=C762)*
           (deskripsi!$C$2:$C$337=D762),0),
   F762)</f>
        <v>Mempelajari hal baru hanya ketika ditugaskan atau diwajibkan.</v>
      </c>
    </row>
    <row r="763" spans="1:7">
      <c r="A763" t="str">
        <f t="shared" si="11"/>
        <v>Managing Change|Unit Head/Specialist|1|2</v>
      </c>
      <c r="B763" t="str">
        <v>Managing Change</v>
      </c>
      <c r="C763" t="str">
        <v>Unit Head/Specialist</v>
      </c>
      <c r="D763" s="76">
        <v>1</v>
      </c>
      <c r="E763" t="str" cm="1">
        <f t="array" ref="E763">INDEX(aspek!$D$2:$D$337,
   MATCH(1,(aspek!$A$2:$A$337=B763)*
           (aspek!$B$2:$B$337=C763)*
           (aspek!$C$2:$C$337=D763),0))</f>
        <v>Inisiatif belajar</v>
      </c>
      <c r="F763" s="76">
        <v>2</v>
      </c>
      <c r="G763" s="56" t="str" cm="1">
        <f t="array" ref="G763">INDEX(deskripsi!$D$2:$H$337,
   MATCH(1,(deskripsi!$A$2:$A$337=B763)*
           (deskripsi!$B$2:$B$337=C763)*
           (deskripsi!$C$2:$C$337=D763),0),
   F763)</f>
        <v>Menyadari ada kemampuan yang dituntut, tetapi menunggu disediakan pelatihannya.</v>
      </c>
    </row>
    <row r="764" spans="1:7">
      <c r="A764" t="str">
        <f t="shared" si="11"/>
        <v>Managing Change|Unit Head/Specialist|1|3</v>
      </c>
      <c r="B764" t="str">
        <v>Managing Change</v>
      </c>
      <c r="C764" t="str">
        <v>Unit Head/Specialist</v>
      </c>
      <c r="D764" s="76">
        <v>1</v>
      </c>
      <c r="E764" t="str" cm="1">
        <f t="array" ref="E764">INDEX(aspek!$D$2:$D$337,
   MATCH(1,(aspek!$A$2:$A$337=B764)*
           (aspek!$B$2:$B$337=C764)*
           (aspek!$C$2:$C$337=D764),0))</f>
        <v>Inisiatif belajar</v>
      </c>
      <c r="F764" s="76">
        <v>3</v>
      </c>
      <c r="G764" s="56" t="str" cm="1">
        <f t="array" ref="G764">INDEX(deskripsi!$D$2:$H$337,
   MATCH(1,(deskripsi!$A$2:$A$337=B764)*
           (deskripsi!$B$2:$B$337=C764)*
           (deskripsi!$C$2:$C$337=D764),0),
   F764)</f>
        <v>Mencari sendiri cara mempelajarinya setelah diarahkan bahwa itu diperlukan.</v>
      </c>
    </row>
    <row r="765" spans="1:7">
      <c r="A765" t="str">
        <f t="shared" si="11"/>
        <v>Managing Change|Unit Head/Specialist|1|4</v>
      </c>
      <c r="B765" t="str">
        <v>Managing Change</v>
      </c>
      <c r="C765" t="str">
        <v>Unit Head/Specialist</v>
      </c>
      <c r="D765" s="76">
        <v>1</v>
      </c>
      <c r="E765" t="str" cm="1">
        <f t="array" ref="E765">INDEX(aspek!$D$2:$D$337,
   MATCH(1,(aspek!$A$2:$A$337=B765)*
           (aspek!$B$2:$B$337=C765)*
           (aspek!$C$2:$C$337=D765),0))</f>
        <v>Inisiatif belajar</v>
      </c>
      <c r="F765" s="76">
        <v>4</v>
      </c>
      <c r="G765" s="56" t="str" cm="1">
        <f t="array" ref="G765">INDEX(deskripsi!$D$2:$H$337,
   MATCH(1,(deskripsi!$A$2:$A$337=B765)*
           (deskripsi!$B$2:$B$337=C765)*
           (deskripsi!$C$2:$C$337=D765),0),
   F765)</f>
        <v>Mengenali sendiri kemampuan apa yang mulai dituntut oleh perubahan, lalu mempelajarinya tanpa menunggu ditugaskan maupun disediakan pelatihan.</v>
      </c>
    </row>
    <row r="766" spans="1:7">
      <c r="A766" t="str">
        <f t="shared" si="11"/>
        <v>Managing Change|Unit Head/Specialist|1|5</v>
      </c>
      <c r="B766" t="str">
        <v>Managing Change</v>
      </c>
      <c r="C766" t="str">
        <v>Unit Head/Specialist</v>
      </c>
      <c r="D766" s="76">
        <v>1</v>
      </c>
      <c r="E766" t="str" cm="1">
        <f t="array" ref="E766">INDEX(aspek!$D$2:$D$337,
   MATCH(1,(aspek!$A$2:$A$337=B766)*
           (aspek!$B$2:$B$337=C766)*
           (aspek!$C$2:$C$337=D766),0))</f>
        <v>Inisiatif belajar</v>
      </c>
      <c r="F766" s="76">
        <v>5</v>
      </c>
      <c r="G766" s="56" t="str" cm="1">
        <f t="array" ref="G766">INDEX(deskripsi!$D$2:$H$337,
   MATCH(1,(deskripsi!$A$2:$A$337=B766)*
           (deskripsi!$B$2:$B$337=C766)*
           (deskripsi!$C$2:$C$337=D766),0),
   F766)</f>
        <v>Mempelajari kemampuan yang belum dituntut tetapi akan dibutuhkan, sebelum orang lain menyadarinya.</v>
      </c>
    </row>
    <row r="767" spans="1:7">
      <c r="A767" t="str">
        <f t="shared" si="11"/>
        <v>Managing Change|Unit Head/Specialist|2|1</v>
      </c>
      <c r="B767" t="str">
        <v>Managing Change</v>
      </c>
      <c r="C767" t="str">
        <v>Unit Head/Specialist</v>
      </c>
      <c r="D767" s="76">
        <v>2</v>
      </c>
      <c r="E767" t="str" cm="1">
        <f t="array" ref="E767">INDEX(aspek!$D$2:$D$337,
   MATCH(1,(aspek!$A$2:$A$337=B767)*
           (aspek!$B$2:$B$337=C767)*
           (aspek!$C$2:$C$337=D767),0))</f>
        <v>Kesediaan bereksperimen</v>
      </c>
      <c r="F767" s="76">
        <v>1</v>
      </c>
      <c r="G767" s="56" t="str" cm="1">
        <f t="array" ref="G767">INDEX(deskripsi!$D$2:$H$337,
   MATCH(1,(deskripsi!$A$2:$A$337=B767)*
           (deskripsi!$B$2:$B$337=C767)*
           (deskripsi!$C$2:$C$337=D767),0),
   F767)</f>
        <v>Tidak mencoba pendekatan baru pada pekerjaan; bertahan pada cara yang sudah pasti berhasil.</v>
      </c>
    </row>
    <row r="768" spans="1:7">
      <c r="A768" t="str">
        <f t="shared" si="11"/>
        <v>Managing Change|Unit Head/Specialist|2|2</v>
      </c>
      <c r="B768" t="str">
        <v>Managing Change</v>
      </c>
      <c r="C768" t="str">
        <v>Unit Head/Specialist</v>
      </c>
      <c r="D768" s="76">
        <v>2</v>
      </c>
      <c r="E768" t="str" cm="1">
        <f t="array" ref="E768">INDEX(aspek!$D$2:$D$337,
   MATCH(1,(aspek!$A$2:$A$337=B768)*
           (aspek!$B$2:$B$337=C768)*
           (aspek!$C$2:$C$337=D768),0))</f>
        <v>Kesediaan bereksperimen</v>
      </c>
      <c r="F768" s="76">
        <v>2</v>
      </c>
      <c r="G768" s="56" t="str" cm="1">
        <f t="array" ref="G768">INDEX(deskripsi!$D$2:$H$337,
   MATCH(1,(deskripsi!$A$2:$A$337=B768)*
           (deskripsi!$B$2:$B$337=C768)*
           (deskripsi!$C$2:$C$337=D768),0),
   F768)</f>
        <v>Membahas pendekatan baru tetapi tidak pernah mengujinya pada pekerjaan nyata.</v>
      </c>
    </row>
    <row r="769" spans="1:7">
      <c r="A769" t="str">
        <f t="shared" si="11"/>
        <v>Managing Change|Unit Head/Specialist|2|3</v>
      </c>
      <c r="B769" t="str">
        <v>Managing Change</v>
      </c>
      <c r="C769" t="str">
        <v>Unit Head/Specialist</v>
      </c>
      <c r="D769" s="76">
        <v>2</v>
      </c>
      <c r="E769" t="str" cm="1">
        <f t="array" ref="E769">INDEX(aspek!$D$2:$D$337,
   MATCH(1,(aspek!$A$2:$A$337=B769)*
           (aspek!$B$2:$B$337=C769)*
           (aspek!$C$2:$C$337=D769),0))</f>
        <v>Kesediaan bereksperimen</v>
      </c>
      <c r="F769" s="76">
        <v>3</v>
      </c>
      <c r="G769" s="56" t="str" cm="1">
        <f t="array" ref="G769">INDEX(deskripsi!$D$2:$H$337,
   MATCH(1,(deskripsi!$A$2:$A$337=B769)*
           (deskripsi!$B$2:$B$337=C769)*
           (deskripsi!$C$2:$C$337=D769),0),
   F769)</f>
        <v>Mencoba pendekatan baru ketika cara lama sudah jelas gagal.</v>
      </c>
    </row>
    <row r="770" spans="1:7">
      <c r="A770" t="str">
        <f t="shared" si="11"/>
        <v>Managing Change|Unit Head/Specialist|2|4</v>
      </c>
      <c r="B770" t="str">
        <v>Managing Change</v>
      </c>
      <c r="C770" t="str">
        <v>Unit Head/Specialist</v>
      </c>
      <c r="D770" s="76">
        <v>2</v>
      </c>
      <c r="E770" t="str" cm="1">
        <f t="array" ref="E770">INDEX(aspek!$D$2:$D$337,
   MATCH(1,(aspek!$A$2:$A$337=B770)*
           (aspek!$B$2:$B$337=C770)*
           (aspek!$C$2:$C$337=D770),0))</f>
        <v>Kesediaan bereksperimen</v>
      </c>
      <c r="F770" s="76">
        <v>4</v>
      </c>
      <c r="G770" s="56" t="str" cm="1">
        <f t="array" ref="G770">INDEX(deskripsi!$D$2:$H$337,
   MATCH(1,(deskripsi!$A$2:$A$337=B770)*
           (deskripsi!$B$2:$B$337=C770)*
           (deskripsi!$C$2:$C$337=D770),0),
   F770)</f>
        <v>Menguji pendekatan baru pada skala kecil secara berkala, dengan ukuran dan batas waktu yang ditetapkan di muka, dan melaporkan hasil yang gagal secara terbuka.</v>
      </c>
    </row>
    <row r="771" spans="1:7">
      <c r="A771" t="str">
        <f t="shared" ref="A771:A834" si="12">B771&amp;"|"&amp;C771&amp;"|"&amp;D771&amp;"|"&amp;F771</f>
        <v>Managing Change|Unit Head/Specialist|2|5</v>
      </c>
      <c r="B771" t="str">
        <v>Managing Change</v>
      </c>
      <c r="C771" t="str">
        <v>Unit Head/Specialist</v>
      </c>
      <c r="D771" s="76">
        <v>2</v>
      </c>
      <c r="E771" t="str" cm="1">
        <f t="array" ref="E771">INDEX(aspek!$D$2:$D$337,
   MATCH(1,(aspek!$A$2:$A$337=B771)*
           (aspek!$B$2:$B$337=C771)*
           (aspek!$C$2:$C$337=D771),0))</f>
        <v>Kesediaan bereksperimen</v>
      </c>
      <c r="F771" s="76">
        <v>5</v>
      </c>
      <c r="G771" s="56" t="str" cm="1">
        <f t="array" ref="G771">INDEX(deskripsi!$D$2:$H$337,
   MATCH(1,(deskripsi!$A$2:$A$337=B771)*
           (deskripsi!$B$2:$B$337=C771)*
           (deskripsi!$C$2:$C$337=D771),0),
   F771)</f>
        <v>Menjadikan uji coba sebagai cara kerja unit; rekan ikut menguji sebelum menerapkan sesuatu secara luas.</v>
      </c>
    </row>
    <row r="772" spans="1:7">
      <c r="A772" t="str">
        <f t="shared" si="12"/>
        <v>Managing Change|Unit Head/Specialist|3|1</v>
      </c>
      <c r="B772" t="str">
        <v>Managing Change</v>
      </c>
      <c r="C772" t="str">
        <v>Unit Head/Specialist</v>
      </c>
      <c r="D772" s="76">
        <v>3</v>
      </c>
      <c r="E772" t="str" cm="1">
        <f t="array" ref="E772">INDEX(aspek!$D$2:$D$337,
   MATCH(1,(aspek!$A$2:$A$337=B772)*
           (aspek!$B$2:$B$337=C772)*
           (aspek!$C$2:$C$337=D772),0))</f>
        <v>Pembelajaran lintas bidang</v>
      </c>
      <c r="F772" s="76">
        <v>1</v>
      </c>
      <c r="G772" s="56" t="str" cm="1">
        <f t="array" ref="G772">INDEX(deskripsi!$D$2:$H$337,
   MATCH(1,(deskripsi!$A$2:$A$337=B772)*
           (deskripsi!$B$2:$B$337=C772)*
           (deskripsi!$C$2:$C$337=D772),0),
   F772)</f>
        <v>Hanya mempelajari hal yang berasal dari bidang dan fungsinya sendiri.</v>
      </c>
    </row>
    <row r="773" spans="1:7">
      <c r="A773" t="str">
        <f t="shared" si="12"/>
        <v>Managing Change|Unit Head/Specialist|3|2</v>
      </c>
      <c r="B773" t="str">
        <v>Managing Change</v>
      </c>
      <c r="C773" t="str">
        <v>Unit Head/Specialist</v>
      </c>
      <c r="D773" s="76">
        <v>3</v>
      </c>
      <c r="E773" t="str" cm="1">
        <f t="array" ref="E773">INDEX(aspek!$D$2:$D$337,
   MATCH(1,(aspek!$A$2:$A$337=B773)*
           (aspek!$B$2:$B$337=C773)*
           (aspek!$C$2:$C$337=D773),0))</f>
        <v>Pembelajaran lintas bidang</v>
      </c>
      <c r="F773" s="76">
        <v>2</v>
      </c>
      <c r="G773" s="56" t="str" cm="1">
        <f t="array" ref="G773">INDEX(deskripsi!$D$2:$H$337,
   MATCH(1,(deskripsi!$A$2:$A$337=B773)*
           (deskripsi!$B$2:$B$337=C773)*
           (deskripsi!$C$2:$C$337=D773),0),
   F773)</f>
        <v>Mengetahui praktik fungsi lain, tetapi menganggapnya tidak berlaku di tempatnya.</v>
      </c>
    </row>
    <row r="774" spans="1:7">
      <c r="A774" t="str">
        <f t="shared" si="12"/>
        <v>Managing Change|Unit Head/Specialist|3|3</v>
      </c>
      <c r="B774" t="str">
        <v>Managing Change</v>
      </c>
      <c r="C774" t="str">
        <v>Unit Head/Specialist</v>
      </c>
      <c r="D774" s="76">
        <v>3</v>
      </c>
      <c r="E774" t="str" cm="1">
        <f t="array" ref="E774">INDEX(aspek!$D$2:$D$337,
   MATCH(1,(aspek!$A$2:$A$337=B774)*
           (aspek!$B$2:$B$337=C774)*
           (aspek!$C$2:$C$337=D774),0))</f>
        <v>Pembelajaran lintas bidang</v>
      </c>
      <c r="F774" s="76">
        <v>3</v>
      </c>
      <c r="G774" s="56" t="str" cm="1">
        <f t="array" ref="G774">INDEX(deskripsi!$D$2:$H$337,
   MATCH(1,(deskripsi!$A$2:$A$337=B774)*
           (deskripsi!$B$2:$B$337=C774)*
           (deskripsi!$C$2:$C$337=D774),0),
   F774)</f>
        <v>Mengadopsi praktik dari fungsi lain di perusahaan yang sama.</v>
      </c>
    </row>
    <row r="775" spans="1:7">
      <c r="A775" t="str">
        <f t="shared" si="12"/>
        <v>Managing Change|Unit Head/Specialist|3|4</v>
      </c>
      <c r="B775" t="str">
        <v>Managing Change</v>
      </c>
      <c r="C775" t="str">
        <v>Unit Head/Specialist</v>
      </c>
      <c r="D775" s="76">
        <v>3</v>
      </c>
      <c r="E775" t="str" cm="1">
        <f t="array" ref="E775">INDEX(aspek!$D$2:$D$337,
   MATCH(1,(aspek!$A$2:$A$337=B775)*
           (aspek!$B$2:$B$337=C775)*
           (aspek!$C$2:$C$337=D775),0))</f>
        <v>Pembelajaran lintas bidang</v>
      </c>
      <c r="F775" s="76">
        <v>4</v>
      </c>
      <c r="G775" s="56" t="str" cm="1">
        <f t="array" ref="G775">INDEX(deskripsi!$D$2:$H$337,
   MATCH(1,(deskripsi!$A$2:$A$337=B775)*
           (deskripsi!$B$2:$B$337=C775)*
           (deskripsi!$C$2:$C$337=D775),0),
   F775)</f>
        <v>Mengambil pendekatan dari fungsi lain atau industri yang berbeda, memisahkan prinsipnya dari bentuk pelaksanaannya, lalu mengujinya pada konteks sendiri.</v>
      </c>
    </row>
    <row r="776" spans="1:7">
      <c r="A776" t="str">
        <f t="shared" si="12"/>
        <v>Managing Change|Unit Head/Specialist|3|5</v>
      </c>
      <c r="B776" t="str">
        <v>Managing Change</v>
      </c>
      <c r="C776" t="str">
        <v>Unit Head/Specialist</v>
      </c>
      <c r="D776" s="76">
        <v>3</v>
      </c>
      <c r="E776" t="str" cm="1">
        <f t="array" ref="E776">INDEX(aspek!$D$2:$D$337,
   MATCH(1,(aspek!$A$2:$A$337=B776)*
           (aspek!$B$2:$B$337=C776)*
           (aspek!$C$2:$C$337=D776),0))</f>
        <v>Pembelajaran lintas bidang</v>
      </c>
      <c r="F776" s="76">
        <v>5</v>
      </c>
      <c r="G776" s="56" t="str" cm="1">
        <f t="array" ref="G776">INDEX(deskripsi!$D$2:$H$337,
   MATCH(1,(deskripsi!$A$2:$A$337=B776)*
           (deskripsi!$B$2:$B$337=C776)*
           (deskripsi!$C$2:$C$337=D776),0),
   F776)</f>
        <v>Menjadi sumber pendekatan baru bagi unitnya, yang berasal dari luar kebiasaan perusahaan.</v>
      </c>
    </row>
    <row r="777" spans="1:7">
      <c r="A777" t="str">
        <f t="shared" si="12"/>
        <v>Managing Change|Unit Head/Specialist|4|1</v>
      </c>
      <c r="B777" t="str">
        <v>Managing Change</v>
      </c>
      <c r="C777" t="str">
        <v>Unit Head/Specialist</v>
      </c>
      <c r="D777" s="76">
        <v>4</v>
      </c>
      <c r="E777" t="str" cm="1">
        <f t="array" ref="E777">INDEX(aspek!$D$2:$D$337,
   MATCH(1,(aspek!$A$2:$A$337=B777)*
           (aspek!$B$2:$B$337=C777)*
           (aspek!$C$2:$C$337=D777),0))</f>
        <v>Penerapan pada solusi kerja</v>
      </c>
      <c r="F777" s="76">
        <v>1</v>
      </c>
      <c r="G777" s="56" t="str" cm="1">
        <f t="array" ref="G777">INDEX(deskripsi!$D$2:$H$337,
   MATCH(1,(deskripsi!$A$2:$A$337=B777)*
           (deskripsi!$B$2:$B$337=C777)*
           (deskripsi!$C$2:$C$337=D777),0),
   F777)</f>
        <v>Hal yang dipelajari tidak pernah masuk ke pekerjaan.</v>
      </c>
    </row>
    <row r="778" spans="1:7">
      <c r="A778" t="str">
        <f t="shared" si="12"/>
        <v>Managing Change|Unit Head/Specialist|4|2</v>
      </c>
      <c r="B778" t="str">
        <v>Managing Change</v>
      </c>
      <c r="C778" t="str">
        <v>Unit Head/Specialist</v>
      </c>
      <c r="D778" s="76">
        <v>4</v>
      </c>
      <c r="E778" t="str" cm="1">
        <f t="array" ref="E778">INDEX(aspek!$D$2:$D$337,
   MATCH(1,(aspek!$A$2:$A$337=B778)*
           (aspek!$B$2:$B$337=C778)*
           (aspek!$C$2:$C$337=D778),0))</f>
        <v>Penerapan pada solusi kerja</v>
      </c>
      <c r="F778" s="76">
        <v>2</v>
      </c>
      <c r="G778" s="56" t="str" cm="1">
        <f t="array" ref="G778">INDEX(deskripsi!$D$2:$H$337,
   MATCH(1,(deskripsi!$A$2:$A$337=B778)*
           (deskripsi!$B$2:$B$337=C778)*
           (deskripsi!$C$2:$C$337=D778),0),
   F778)</f>
        <v>Menghasilkan sertifikat dan ringkasan, tanpa jejak pada cara kerja.</v>
      </c>
    </row>
    <row r="779" spans="1:7">
      <c r="A779" t="str">
        <f t="shared" si="12"/>
        <v>Managing Change|Unit Head/Specialist|4|3</v>
      </c>
      <c r="B779" t="str">
        <v>Managing Change</v>
      </c>
      <c r="C779" t="str">
        <v>Unit Head/Specialist</v>
      </c>
      <c r="D779" s="76">
        <v>4</v>
      </c>
      <c r="E779" t="str" cm="1">
        <f t="array" ref="E779">INDEX(aspek!$D$2:$D$337,
   MATCH(1,(aspek!$A$2:$A$337=B779)*
           (aspek!$B$2:$B$337=C779)*
           (aspek!$C$2:$C$337=D779),0))</f>
        <v>Penerapan pada solusi kerja</v>
      </c>
      <c r="F779" s="76">
        <v>3</v>
      </c>
      <c r="G779" s="56" t="str" cm="1">
        <f t="array" ref="G779">INDEX(deskripsi!$D$2:$H$337,
   MATCH(1,(deskripsi!$A$2:$A$337=B779)*
           (deskripsi!$B$2:$B$337=C779)*
           (deskripsi!$C$2:$C$337=D779),0),
   F779)</f>
        <v>Menerapkan sebagian dari yang dipelajari ketika ada kesempatan.</v>
      </c>
    </row>
    <row r="780" spans="1:7">
      <c r="A780" t="str">
        <f t="shared" si="12"/>
        <v>Managing Change|Unit Head/Specialist|4|4</v>
      </c>
      <c r="B780" t="str">
        <v>Managing Change</v>
      </c>
      <c r="C780" t="str">
        <v>Unit Head/Specialist</v>
      </c>
      <c r="D780" s="76">
        <v>4</v>
      </c>
      <c r="E780" t="str" cm="1">
        <f t="array" ref="E780">INDEX(aspek!$D$2:$D$337,
   MATCH(1,(aspek!$A$2:$A$337=B780)*
           (aspek!$B$2:$B$337=C780)*
           (aspek!$C$2:$C$337=D780),0))</f>
        <v>Penerapan pada solusi kerja</v>
      </c>
      <c r="F780" s="76">
        <v>4</v>
      </c>
      <c r="G780" s="56" t="str" cm="1">
        <f t="array" ref="G780">INDEX(deskripsi!$D$2:$H$337,
   MATCH(1,(deskripsi!$A$2:$A$337=B780)*
           (deskripsi!$B$2:$B$337=C780)*
           (deskripsi!$C$2:$C$337=D780),0),
   F780)</f>
        <v>Setiap hal baru yang dipelajari diuji pada pekerjaan dalam waktu dekat, dan hasilnya dapat ditunjukkan — pembelajarannya dipicu tuntutan perubahan, bukan minat pribadi.</v>
      </c>
    </row>
    <row r="781" spans="1:7">
      <c r="A781" t="str">
        <f t="shared" si="12"/>
        <v>Managing Change|Unit Head/Specialist|4|5</v>
      </c>
      <c r="B781" t="str">
        <v>Managing Change</v>
      </c>
      <c r="C781" t="str">
        <v>Unit Head/Specialist</v>
      </c>
      <c r="D781" s="76">
        <v>4</v>
      </c>
      <c r="E781" t="str" cm="1">
        <f t="array" ref="E781">INDEX(aspek!$D$2:$D$337,
   MATCH(1,(aspek!$A$2:$A$337=B781)*
           (aspek!$B$2:$B$337=C781)*
           (aspek!$C$2:$C$337=D781),0))</f>
        <v>Penerapan pada solusi kerja</v>
      </c>
      <c r="F781" s="76">
        <v>5</v>
      </c>
      <c r="G781" s="56" t="str" cm="1">
        <f t="array" ref="G781">INDEX(deskripsi!$D$2:$H$337,
   MATCH(1,(deskripsi!$A$2:$A$337=B781)*
           (deskripsi!$B$2:$B$337=C781)*
           (deskripsi!$C$2:$C$337=D781),0),
   F781)</f>
        <v>Perubahan cara kerja unit dapat ditelusuri ke hal-hal yang ia pelajari dan uji.</v>
      </c>
    </row>
    <row r="782" spans="1:7">
      <c r="A782" t="str">
        <f t="shared" si="12"/>
        <v>Managing Change|Department Head|1|1</v>
      </c>
      <c r="B782" t="str">
        <v>Managing Change</v>
      </c>
      <c r="C782" t="str">
        <v>Department Head</v>
      </c>
      <c r="D782" s="76">
        <v>1</v>
      </c>
      <c r="E782" t="str" cm="1">
        <f t="array" ref="E782">INDEX(aspek!$D$2:$D$337,
   MATCH(1,(aspek!$A$2:$A$337=B782)*
           (aspek!$B$2:$B$337=C782)*
           (aspek!$C$2:$C$337=D782),0))</f>
        <v>Frekuensi mengusulkan</v>
      </c>
      <c r="F782" s="76">
        <v>1</v>
      </c>
      <c r="G782" s="56" t="str" cm="1">
        <f t="array" ref="G782">INDEX(deskripsi!$D$2:$H$337,
   MATCH(1,(deskripsi!$A$2:$A$337=B782)*
           (deskripsi!$B$2:$B$337=C782)*
           (deskripsi!$C$2:$C$337=D782),0),
   F782)</f>
        <v>Tidak mengusulkan perubahan; menjalankan apa yang diarahkan.</v>
      </c>
    </row>
    <row r="783" spans="1:7">
      <c r="A783" t="str">
        <f t="shared" si="12"/>
        <v>Managing Change|Department Head|1|2</v>
      </c>
      <c r="B783" t="str">
        <v>Managing Change</v>
      </c>
      <c r="C783" t="str">
        <v>Department Head</v>
      </c>
      <c r="D783" s="76">
        <v>1</v>
      </c>
      <c r="E783" t="str" cm="1">
        <f t="array" ref="E783">INDEX(aspek!$D$2:$D$337,
   MATCH(1,(aspek!$A$2:$A$337=B783)*
           (aspek!$B$2:$B$337=C783)*
           (aspek!$C$2:$C$337=D783),0))</f>
        <v>Frekuensi mengusulkan</v>
      </c>
      <c r="F783" s="76">
        <v>2</v>
      </c>
      <c r="G783" s="56" t="str" cm="1">
        <f t="array" ref="G783">INDEX(deskripsi!$D$2:$H$337,
   MATCH(1,(deskripsi!$A$2:$A$337=B783)*
           (deskripsi!$B$2:$B$337=C783)*
           (deskripsi!$C$2:$C$337=D783),0),
   F783)</f>
        <v>Mengusulkan sesekali, biasanya setelah diminta atau setelah masalah menjadi besar.</v>
      </c>
    </row>
    <row r="784" spans="1:7">
      <c r="A784" t="str">
        <f t="shared" si="12"/>
        <v>Managing Change|Department Head|1|3</v>
      </c>
      <c r="B784" t="str">
        <v>Managing Change</v>
      </c>
      <c r="C784" t="str">
        <v>Department Head</v>
      </c>
      <c r="D784" s="76">
        <v>1</v>
      </c>
      <c r="E784" t="str" cm="1">
        <f t="array" ref="E784">INDEX(aspek!$D$2:$D$337,
   MATCH(1,(aspek!$A$2:$A$337=B784)*
           (aspek!$B$2:$B$337=C784)*
           (aspek!$C$2:$C$337=D784),0))</f>
        <v>Frekuensi mengusulkan</v>
      </c>
      <c r="F784" s="76">
        <v>3</v>
      </c>
      <c r="G784" s="56" t="str" cm="1">
        <f t="array" ref="G784">INDEX(deskripsi!$D$2:$H$337,
   MATCH(1,(deskripsi!$A$2:$A$337=B784)*
           (deskripsi!$B$2:$B$337=C784)*
           (deskripsi!$C$2:$C$337=D784),0),
   F784)</f>
        <v>Mengusulkan secara berkala pada hal-hal yang jelas perlu diperbaiki.</v>
      </c>
    </row>
    <row r="785" spans="1:7">
      <c r="A785" t="str">
        <f t="shared" si="12"/>
        <v>Managing Change|Department Head|1|4</v>
      </c>
      <c r="B785" t="str">
        <v>Managing Change</v>
      </c>
      <c r="C785" t="str">
        <v>Department Head</v>
      </c>
      <c r="D785" s="76">
        <v>1</v>
      </c>
      <c r="E785" t="str" cm="1">
        <f t="array" ref="E785">INDEX(aspek!$D$2:$D$337,
   MATCH(1,(aspek!$A$2:$A$337=B785)*
           (aspek!$B$2:$B$337=C785)*
           (aspek!$C$2:$C$337=D785),0))</f>
        <v>Frekuensi mengusulkan</v>
      </c>
      <c r="F785" s="76">
        <v>4</v>
      </c>
      <c r="G785" s="56" t="str" cm="1">
        <f t="array" ref="G785">INDEX(deskripsi!$D$2:$H$337,
   MATCH(1,(deskripsi!$A$2:$A$337=B785)*
           (deskripsi!$B$2:$B$337=C785)*
           (deskripsi!$C$2:$C$337=D785),0),
   F785)</f>
        <v>Mengusulkan perbaikan secara rutin dari peluang yang ia lihat sendiri, tanpa menunggu masalah muncul atau arahan datang.</v>
      </c>
    </row>
    <row r="786" spans="1:7">
      <c r="A786" t="str">
        <f t="shared" si="12"/>
        <v>Managing Change|Department Head|1|5</v>
      </c>
      <c r="B786" t="str">
        <v>Managing Change</v>
      </c>
      <c r="C786" t="str">
        <v>Department Head</v>
      </c>
      <c r="D786" s="76">
        <v>1</v>
      </c>
      <c r="E786" t="str" cm="1">
        <f t="array" ref="E786">INDEX(aspek!$D$2:$D$337,
   MATCH(1,(aspek!$A$2:$A$337=B786)*
           (aspek!$B$2:$B$337=C786)*
           (aspek!$C$2:$C$337=D786),0))</f>
        <v>Frekuensi mengusulkan</v>
      </c>
      <c r="F786" s="76">
        <v>5</v>
      </c>
      <c r="G786" s="56" t="str" cm="1">
        <f t="array" ref="G786">INDEX(deskripsi!$D$2:$H$337,
   MATCH(1,(deskripsi!$A$2:$A$337=B786)*
           (deskripsi!$B$2:$B$337=C786)*
           (deskripsi!$C$2:$C$337=D786),0),
   F786)</f>
        <v>Usulannya dicari pimpinan sebelum sebuah keputusan diambil.</v>
      </c>
    </row>
    <row r="787" spans="1:7">
      <c r="A787" t="str">
        <f t="shared" si="12"/>
        <v>Managing Change|Department Head|2|1</v>
      </c>
      <c r="B787" t="str">
        <v>Managing Change</v>
      </c>
      <c r="C787" t="str">
        <v>Department Head</v>
      </c>
      <c r="D787" s="76">
        <v>2</v>
      </c>
      <c r="E787" t="str" cm="1">
        <f t="array" ref="E787">INDEX(aspek!$D$2:$D$337,
   MATCH(1,(aspek!$A$2:$A$337=B787)*
           (aspek!$B$2:$B$337=C787)*
           (aspek!$C$2:$C$337=D787),0))</f>
        <v>Relevansi dan realisme usulan</v>
      </c>
      <c r="F787" s="76">
        <v>1</v>
      </c>
      <c r="G787" s="56" t="str" cm="1">
        <f t="array" ref="G787">INDEX(deskripsi!$D$2:$H$337,
   MATCH(1,(deskripsi!$A$2:$A$337=B787)*
           (deskripsi!$B$2:$B$337=C787)*
           (deskripsi!$C$2:$C$337=D787),0),
   F787)</f>
        <v>Usulan tidak berkaitan dengan persoalan nyata, atau tidak mungkin dijalankan.</v>
      </c>
    </row>
    <row r="788" spans="1:7">
      <c r="A788" t="str">
        <f t="shared" si="12"/>
        <v>Managing Change|Department Head|2|2</v>
      </c>
      <c r="B788" t="str">
        <v>Managing Change</v>
      </c>
      <c r="C788" t="str">
        <v>Department Head</v>
      </c>
      <c r="D788" s="76">
        <v>2</v>
      </c>
      <c r="E788" t="str" cm="1">
        <f t="array" ref="E788">INDEX(aspek!$D$2:$D$337,
   MATCH(1,(aspek!$A$2:$A$337=B788)*
           (aspek!$B$2:$B$337=C788)*
           (aspek!$C$2:$C$337=D788),0))</f>
        <v>Relevansi dan realisme usulan</v>
      </c>
      <c r="F788" s="76">
        <v>2</v>
      </c>
      <c r="G788" s="56" t="str" cm="1">
        <f t="array" ref="G788">INDEX(deskripsi!$D$2:$H$337,
   MATCH(1,(deskripsi!$A$2:$A$337=B788)*
           (deskripsi!$B$2:$B$337=C788)*
           (deskripsi!$C$2:$C$337=D788),0),
   F788)</f>
        <v>Usulan relevan tetapi mengabaikan keterbatasan sumber daya dan waktu.</v>
      </c>
    </row>
    <row r="789" spans="1:7">
      <c r="A789" t="str">
        <f t="shared" si="12"/>
        <v>Managing Change|Department Head|2|3</v>
      </c>
      <c r="B789" t="str">
        <v>Managing Change</v>
      </c>
      <c r="C789" t="str">
        <v>Department Head</v>
      </c>
      <c r="D789" s="76">
        <v>2</v>
      </c>
      <c r="E789" t="str" cm="1">
        <f t="array" ref="E789">INDEX(aspek!$D$2:$D$337,
   MATCH(1,(aspek!$A$2:$A$337=B789)*
           (aspek!$B$2:$B$337=C789)*
           (aspek!$C$2:$C$337=D789),0))</f>
        <v>Relevansi dan realisme usulan</v>
      </c>
      <c r="F789" s="76">
        <v>3</v>
      </c>
      <c r="G789" s="56" t="str" cm="1">
        <f t="array" ref="G789">INDEX(deskripsi!$D$2:$H$337,
   MATCH(1,(deskripsi!$A$2:$A$337=B789)*
           (deskripsi!$B$2:$B$337=C789)*
           (deskripsi!$C$2:$C$337=D789),0),
   F789)</f>
        <v>Usulan relevan dan umumnya dapat dijalankan, meski perlu banyak perbaikan.</v>
      </c>
    </row>
    <row r="790" spans="1:7">
      <c r="A790" t="str">
        <f t="shared" si="12"/>
        <v>Managing Change|Department Head|2|4</v>
      </c>
      <c r="B790" t="str">
        <v>Managing Change</v>
      </c>
      <c r="C790" t="str">
        <v>Department Head</v>
      </c>
      <c r="D790" s="76">
        <v>2</v>
      </c>
      <c r="E790" t="str" cm="1">
        <f t="array" ref="E790">INDEX(aspek!$D$2:$D$337,
   MATCH(1,(aspek!$A$2:$A$337=B790)*
           (aspek!$B$2:$B$337=C790)*
           (aspek!$C$2:$C$337=D790),0))</f>
        <v>Relevansi dan realisme usulan</v>
      </c>
      <c r="F790" s="76">
        <v>4</v>
      </c>
      <c r="G790" s="56" t="str" cm="1">
        <f t="array" ref="G790">INDEX(deskripsi!$D$2:$H$337,
   MATCH(1,(deskripsi!$A$2:$A$337=B790)*
           (deskripsi!$B$2:$B$337=C790)*
           (deskripsi!$C$2:$C$337=D790),0),
   F790)</f>
        <v>Usulan diuji lebih dulu kepada pihak terdampak dan direvisi berdasarkan keberatan, sehingga sebagian besar dinilai relevan dan realistis saat diajukan resmi.</v>
      </c>
    </row>
    <row r="791" spans="1:7">
      <c r="A791" t="str">
        <f t="shared" si="12"/>
        <v>Managing Change|Department Head|2|5</v>
      </c>
      <c r="B791" t="str">
        <v>Managing Change</v>
      </c>
      <c r="C791" t="str">
        <v>Department Head</v>
      </c>
      <c r="D791" s="76">
        <v>2</v>
      </c>
      <c r="E791" t="str" cm="1">
        <f t="array" ref="E791">INDEX(aspek!$D$2:$D$337,
   MATCH(1,(aspek!$A$2:$A$337=B791)*
           (aspek!$B$2:$B$337=C791)*
           (aspek!$C$2:$C$337=D791),0))</f>
        <v>Relevansi dan realisme usulan</v>
      </c>
      <c r="F791" s="76">
        <v>5</v>
      </c>
      <c r="G791" s="56" t="str" cm="1">
        <f t="array" ref="G791">INDEX(deskripsi!$D$2:$H$337,
   MATCH(1,(deskripsi!$A$2:$A$337=B791)*
           (deskripsi!$B$2:$B$337=C791)*
           (deskripsi!$C$2:$C$337=D791),0),
   F791)</f>
        <v>Usulannya dipakai sebagai contoh cara menyusun usulan di unit lain.</v>
      </c>
    </row>
    <row r="792" spans="1:7">
      <c r="A792" t="str">
        <f t="shared" si="12"/>
        <v>Managing Change|Department Head|3|1</v>
      </c>
      <c r="B792" t="str">
        <v>Managing Change</v>
      </c>
      <c r="C792" t="str">
        <v>Department Head</v>
      </c>
      <c r="D792" s="76">
        <v>3</v>
      </c>
      <c r="E792" t="str" cm="1">
        <f t="array" ref="E792">INDEX(aspek!$D$2:$D$337,
   MATCH(1,(aspek!$A$2:$A$337=B792)*
           (aspek!$B$2:$B$337=C792)*
           (aspek!$C$2:$C$337=D792),0))</f>
        <v>Memperjuangkan sampai dijalankan</v>
      </c>
      <c r="F792" s="76">
        <v>1</v>
      </c>
      <c r="G792" s="56" t="str" cm="1">
        <f t="array" ref="G792">INDEX(deskripsi!$D$2:$H$337,
   MATCH(1,(deskripsi!$A$2:$A$337=B792)*
           (deskripsi!$B$2:$B$337=C792)*
           (deskripsi!$C$2:$C$337=D792),0),
   F792)</f>
        <v>Tidak mengajukan, atau mengajukan sekali lalu tidak menindaklanjuti.</v>
      </c>
    </row>
    <row r="793" spans="1:7">
      <c r="A793" t="str">
        <f t="shared" si="12"/>
        <v>Managing Change|Department Head|3|2</v>
      </c>
      <c r="B793" t="str">
        <v>Managing Change</v>
      </c>
      <c r="C793" t="str">
        <v>Department Head</v>
      </c>
      <c r="D793" s="76">
        <v>3</v>
      </c>
      <c r="E793" t="str" cm="1">
        <f t="array" ref="E793">INDEX(aspek!$D$2:$D$337,
   MATCH(1,(aspek!$A$2:$A$337=B793)*
           (aspek!$B$2:$B$337=C793)*
           (aspek!$C$2:$C$337=D793),0))</f>
        <v>Memperjuangkan sampai dijalankan</v>
      </c>
      <c r="F793" s="76">
        <v>2</v>
      </c>
      <c r="G793" s="56" t="str" cm="1">
        <f t="array" ref="G793">INDEX(deskripsi!$D$2:$H$337,
   MATCH(1,(deskripsi!$A$2:$A$337=B793)*
           (deskripsi!$B$2:$B$337=C793)*
           (deskripsi!$C$2:$C$337=D793),0),
   F793)</f>
        <v>Berhenti pada penolakan pertama dan menganggap usulannya tidak dikehendaki.</v>
      </c>
    </row>
    <row r="794" spans="1:7">
      <c r="A794" t="str">
        <f t="shared" si="12"/>
        <v>Managing Change|Department Head|3|3</v>
      </c>
      <c r="B794" t="str">
        <v>Managing Change</v>
      </c>
      <c r="C794" t="str">
        <v>Department Head</v>
      </c>
      <c r="D794" s="76">
        <v>3</v>
      </c>
      <c r="E794" t="str" cm="1">
        <f t="array" ref="E794">INDEX(aspek!$D$2:$D$337,
   MATCH(1,(aspek!$A$2:$A$337=B794)*
           (aspek!$B$2:$B$337=C794)*
           (aspek!$C$2:$C$337=D794),0))</f>
        <v>Memperjuangkan sampai dijalankan</v>
      </c>
      <c r="F794" s="76">
        <v>3</v>
      </c>
      <c r="G794" s="56" t="str" cm="1">
        <f t="array" ref="G794">INDEX(deskripsi!$D$2:$H$337,
   MATCH(1,(deskripsi!$A$2:$A$337=B794)*
           (deskripsi!$B$2:$B$337=C794)*
           (deskripsi!$C$2:$C$337=D794),0),
   F794)</f>
        <v>Mengajukan kembali setelah ditolak, dengan isi yang kurang lebih sama.</v>
      </c>
    </row>
    <row r="795" spans="1:7">
      <c r="A795" t="str">
        <f t="shared" si="12"/>
        <v>Managing Change|Department Head|3|4</v>
      </c>
      <c r="B795" t="str">
        <v>Managing Change</v>
      </c>
      <c r="C795" t="str">
        <v>Department Head</v>
      </c>
      <c r="D795" s="76">
        <v>3</v>
      </c>
      <c r="E795" t="str" cm="1">
        <f t="array" ref="E795">INDEX(aspek!$D$2:$D$337,
   MATCH(1,(aspek!$A$2:$A$337=B795)*
           (aspek!$B$2:$B$337=C795)*
           (aspek!$C$2:$C$337=D795),0))</f>
        <v>Memperjuangkan sampai dijalankan</v>
      </c>
      <c r="F795" s="76">
        <v>4</v>
      </c>
      <c r="G795" s="56" t="str" cm="1">
        <f t="array" ref="G795">INDEX(deskripsi!$D$2:$H$337,
   MATCH(1,(deskripsi!$A$2:$A$337=B795)*
           (deskripsi!$B$2:$B$337=C795)*
           (deskripsi!$C$2:$C$337=D795),0),
   F795)</f>
        <v>Menelusuri alasan penolakan, memperbaiki usulan berdasarkan alasan itu, mengumpulkan dukungan, dan mengajukan kembali sampai dijalankan — serta mengetahui kapan sebuah usulan memang harus dilepaskan.</v>
      </c>
    </row>
    <row r="796" spans="1:7">
      <c r="A796" t="str">
        <f t="shared" si="12"/>
        <v>Managing Change|Department Head|3|5</v>
      </c>
      <c r="B796" t="str">
        <v>Managing Change</v>
      </c>
      <c r="C796" t="str">
        <v>Department Head</v>
      </c>
      <c r="D796" s="76">
        <v>3</v>
      </c>
      <c r="E796" t="str" cm="1">
        <f t="array" ref="E796">INDEX(aspek!$D$2:$D$337,
   MATCH(1,(aspek!$A$2:$A$337=B796)*
           (aspek!$B$2:$B$337=C796)*
           (aspek!$C$2:$C$337=D796),0))</f>
        <v>Memperjuangkan sampai dijalankan</v>
      </c>
      <c r="F796" s="76">
        <v>5</v>
      </c>
      <c r="G796" s="56" t="str" cm="1">
        <f t="array" ref="G796">INDEX(deskripsi!$D$2:$H$337,
   MATCH(1,(deskripsi!$A$2:$A$337=B796)*
           (deskripsi!$B$2:$B$337=C796)*
           (deskripsi!$C$2:$C$337=D796),0),
   F796)</f>
        <v>Perubahan yang berjalan di unit dapat ditelusuri ke usulan yang ia perjuangkan.</v>
      </c>
    </row>
    <row r="797" spans="1:7">
      <c r="A797" t="str">
        <f t="shared" si="12"/>
        <v>Managing Change|Department Head|4|1</v>
      </c>
      <c r="B797" t="str">
        <v>Managing Change</v>
      </c>
      <c r="C797" t="str">
        <v>Department Head</v>
      </c>
      <c r="D797" s="76">
        <v>4</v>
      </c>
      <c r="E797" t="str" cm="1">
        <f t="array" ref="E797">INDEX(aspek!$D$2:$D$337,
   MATCH(1,(aspek!$A$2:$A$337=B797)*
           (aspek!$B$2:$B$337=C797)*
           (aspek!$C$2:$C$337=D797),0))</f>
        <v>Membaca keberatan yang tidak diucapkan</v>
      </c>
      <c r="F797" s="76">
        <v>1</v>
      </c>
      <c r="G797" s="56" t="str" cm="1">
        <f t="array" ref="G797">INDEX(deskripsi!$D$2:$H$337,
   MATCH(1,(deskripsi!$A$2:$A$337=B797)*
           (deskripsi!$B$2:$B$337=C797)*
           (deskripsi!$C$2:$C$337=D797),0),
   F797)</f>
        <v>Menganggap tidak ada keberatan karena tidak ada yang menyampaikannya.</v>
      </c>
    </row>
    <row r="798" spans="1:7">
      <c r="A798" t="str">
        <f t="shared" si="12"/>
        <v>Managing Change|Department Head|4|2</v>
      </c>
      <c r="B798" t="str">
        <v>Managing Change</v>
      </c>
      <c r="C798" t="str">
        <v>Department Head</v>
      </c>
      <c r="D798" s="76">
        <v>4</v>
      </c>
      <c r="E798" t="str" cm="1">
        <f t="array" ref="E798">INDEX(aspek!$D$2:$D$337,
   MATCH(1,(aspek!$A$2:$A$337=B798)*
           (aspek!$B$2:$B$337=C798)*
           (aspek!$C$2:$C$337=D798),0))</f>
        <v>Membaca keberatan yang tidak diucapkan</v>
      </c>
      <c r="F798" s="76">
        <v>2</v>
      </c>
      <c r="G798" s="56" t="str" cm="1">
        <f t="array" ref="G798">INDEX(deskripsi!$D$2:$H$337,
   MATCH(1,(deskripsi!$A$2:$A$337=B798)*
           (deskripsi!$B$2:$B$337=C798)*
           (deskripsi!$C$2:$C$337=D798),0),
   F798)</f>
        <v>Menyadari ada yang mengganjal, tetapi salah menebak sebabnya.</v>
      </c>
    </row>
    <row r="799" spans="1:7">
      <c r="A799" t="str">
        <f t="shared" si="12"/>
        <v>Managing Change|Department Head|4|3</v>
      </c>
      <c r="B799" t="str">
        <v>Managing Change</v>
      </c>
      <c r="C799" t="str">
        <v>Department Head</v>
      </c>
      <c r="D799" s="76">
        <v>4</v>
      </c>
      <c r="E799" t="str" cm="1">
        <f t="array" ref="E799">INDEX(aspek!$D$2:$D$337,
   MATCH(1,(aspek!$A$2:$A$337=B799)*
           (aspek!$B$2:$B$337=C799)*
           (aspek!$C$2:$C$337=D799),0))</f>
        <v>Membaca keberatan yang tidak diucapkan</v>
      </c>
      <c r="F799" s="76">
        <v>3</v>
      </c>
      <c r="G799" s="56" t="str" cm="1">
        <f t="array" ref="G799">INDEX(deskripsi!$D$2:$H$337,
   MATCH(1,(deskripsi!$A$2:$A$337=B799)*
           (deskripsi!$B$2:$B$337=C799)*
           (deskripsi!$C$2:$C$337=D799),0),
   F799)</f>
        <v>Menangkap keberatan yang disampaikan terbuka dan meresponsnya.</v>
      </c>
    </row>
    <row r="800" spans="1:7">
      <c r="A800" t="str">
        <f t="shared" si="12"/>
        <v>Managing Change|Department Head|4|4</v>
      </c>
      <c r="B800" t="str">
        <v>Managing Change</v>
      </c>
      <c r="C800" t="str">
        <v>Department Head</v>
      </c>
      <c r="D800" s="76">
        <v>4</v>
      </c>
      <c r="E800" t="str" cm="1">
        <f t="array" ref="E800">INDEX(aspek!$D$2:$D$337,
   MATCH(1,(aspek!$A$2:$A$337=B800)*
           (aspek!$B$2:$B$337=C800)*
           (aspek!$C$2:$C$337=D800),0))</f>
        <v>Membaca keberatan yang tidak diucapkan</v>
      </c>
      <c r="F800" s="76">
        <v>4</v>
      </c>
      <c r="G800" s="56" t="str" cm="1">
        <f t="array" ref="G800">INDEX(deskripsi!$D$2:$H$337,
   MATCH(1,(deskripsi!$A$2:$A$337=B800)*
           (deskripsi!$B$2:$B$337=C800)*
           (deskripsi!$C$2:$C$337=D800),0),
   F800)</f>
        <v>Menangkap keberatan yang tidak diucapkan dari sinyal, MEMERIKSA bacaannya kepada orangnya, dan menjawab kekhawatiran yang sebenarnya — bukan alasan yang disebutkan pertama.</v>
      </c>
    </row>
    <row r="801" spans="1:7">
      <c r="A801" t="str">
        <f t="shared" si="12"/>
        <v>Managing Change|Department Head|4|5</v>
      </c>
      <c r="B801" t="str">
        <v>Managing Change</v>
      </c>
      <c r="C801" t="str">
        <v>Department Head</v>
      </c>
      <c r="D801" s="76">
        <v>4</v>
      </c>
      <c r="E801" t="str" cm="1">
        <f t="array" ref="E801">INDEX(aspek!$D$2:$D$337,
   MATCH(1,(aspek!$A$2:$A$337=B801)*
           (aspek!$B$2:$B$337=C801)*
           (aspek!$C$2:$C$337=D801),0))</f>
        <v>Membaca keberatan yang tidak diucapkan</v>
      </c>
      <c r="F801" s="76">
        <v>5</v>
      </c>
      <c r="G801" s="56" t="str" cm="1">
        <f t="array" ref="G801">INDEX(deskripsi!$D$2:$H$337,
   MATCH(1,(deskripsi!$A$2:$A$337=B801)*
           (deskripsi!$B$2:$B$337=C801)*
           (deskripsi!$C$2:$C$337=D801),0),
   F801)</f>
        <v>Pihak yang keberatan menyampaikannya langsung kepadanya karena tahu akan didengar.</v>
      </c>
    </row>
    <row r="802" spans="1:7">
      <c r="A802" t="str">
        <f t="shared" si="12"/>
        <v>Managing Change|Division Head|1|1</v>
      </c>
      <c r="B802" t="str">
        <v>Managing Change</v>
      </c>
      <c r="C802" t="str">
        <v>Division Head</v>
      </c>
      <c r="D802" s="76">
        <v>1</v>
      </c>
      <c r="E802" t="str" cm="1">
        <f t="array" ref="E802">INDEX(aspek!$D$2:$D$337,
   MATCH(1,(aspek!$A$2:$A$337=B802)*
           (aspek!$B$2:$B$337=C802)*
           (aspek!$C$2:$C$337=D802),0))</f>
        <v>Regulasi diri saat keadaan berubah</v>
      </c>
      <c r="F802" s="76">
        <v>1</v>
      </c>
      <c r="G802" s="56" t="str" cm="1">
        <f t="array" ref="G802">INDEX(deskripsi!$D$2:$H$337,
   MATCH(1,(deskripsi!$A$2:$A$337=B802)*
           (deskripsi!$B$2:$B$337=C802)*
           (deskripsi!$C$2:$C$337=D802),0),
   F802)</f>
        <v>Ikut panik; ketegangannya terlihat jelas dan menular ke sekitarnya.</v>
      </c>
    </row>
    <row r="803" spans="1:7">
      <c r="A803" t="str">
        <f t="shared" si="12"/>
        <v>Managing Change|Division Head|1|2</v>
      </c>
      <c r="B803" t="str">
        <v>Managing Change</v>
      </c>
      <c r="C803" t="str">
        <v>Division Head</v>
      </c>
      <c r="D803" s="76">
        <v>1</v>
      </c>
      <c r="E803" t="str" cm="1">
        <f t="array" ref="E803">INDEX(aspek!$D$2:$D$337,
   MATCH(1,(aspek!$A$2:$A$337=B803)*
           (aspek!$B$2:$B$337=C803)*
           (aspek!$C$2:$C$337=D803),0))</f>
        <v>Regulasi diri saat keadaan berubah</v>
      </c>
      <c r="F803" s="76">
        <v>2</v>
      </c>
      <c r="G803" s="56" t="str" cm="1">
        <f t="array" ref="G803">INDEX(deskripsi!$D$2:$H$337,
   MATCH(1,(deskripsi!$A$2:$A$337=B803)*
           (deskripsi!$B$2:$B$337=C803)*
           (deskripsi!$C$2:$C$337=D803),0),
   F803)</f>
        <v>Berusaha tampak tenang, tetapi kegelisahannya tetap terbaca dari nada, kecepatan bicara, atau keputusan yang berubah-ubah.</v>
      </c>
    </row>
    <row r="804" spans="1:7">
      <c r="A804" t="str">
        <f t="shared" si="12"/>
        <v>Managing Change|Division Head|1|3</v>
      </c>
      <c r="B804" t="str">
        <v>Managing Change</v>
      </c>
      <c r="C804" t="str">
        <v>Division Head</v>
      </c>
      <c r="D804" s="76">
        <v>1</v>
      </c>
      <c r="E804" t="str" cm="1">
        <f t="array" ref="E804">INDEX(aspek!$D$2:$D$337,
   MATCH(1,(aspek!$A$2:$A$337=B804)*
           (aspek!$B$2:$B$337=C804)*
           (aspek!$C$2:$C$337=D804),0))</f>
        <v>Regulasi diri saat keadaan berubah</v>
      </c>
      <c r="F804" s="76">
        <v>3</v>
      </c>
      <c r="G804" s="56" t="str" cm="1">
        <f t="array" ref="G804">INDEX(deskripsi!$D$2:$H$337,
   MATCH(1,(deskripsi!$A$2:$A$337=B804)*
           (deskripsi!$B$2:$B$337=C804)*
           (deskripsi!$C$2:$C$337=D804),0),
   F804)</f>
        <v>Tetap tenang dan terkendali pada perubahan yang sudah pernah ia hadapi jenisnya.</v>
      </c>
    </row>
    <row r="805" spans="1:7">
      <c r="A805" t="str">
        <f t="shared" si="12"/>
        <v>Managing Change|Division Head|1|4</v>
      </c>
      <c r="B805" t="str">
        <v>Managing Change</v>
      </c>
      <c r="C805" t="str">
        <v>Division Head</v>
      </c>
      <c r="D805" s="76">
        <v>1</v>
      </c>
      <c r="E805" t="str" cm="1">
        <f t="array" ref="E805">INDEX(aspek!$D$2:$D$337,
   MATCH(1,(aspek!$A$2:$A$337=B805)*
           (aspek!$B$2:$B$337=C805)*
           (aspek!$C$2:$C$337=D805),0))</f>
        <v>Regulasi diri saat keadaan berubah</v>
      </c>
      <c r="F805" s="76">
        <v>4</v>
      </c>
      <c r="G805" s="56" t="str" cm="1">
        <f t="array" ref="G805">INDEX(deskripsi!$D$2:$H$337,
   MATCH(1,(deskripsi!$A$2:$A$337=B805)*
           (deskripsi!$B$2:$B$337=C805)*
           (deskripsi!$C$2:$C$337=D805),0),
   F805)</f>
        <v>Mengenali pemicunya sendiri, menahan diri sebelum meneruskan kabar, dan tetap terkendali termasuk pada perubahan yang ia sendiri belum tahu ujungnya.</v>
      </c>
    </row>
    <row r="806" spans="1:7">
      <c r="A806" t="str">
        <f t="shared" si="12"/>
        <v>Managing Change|Division Head|1|5</v>
      </c>
      <c r="B806" t="str">
        <v>Managing Change</v>
      </c>
      <c r="C806" t="str">
        <v>Division Head</v>
      </c>
      <c r="D806" s="76">
        <v>1</v>
      </c>
      <c r="E806" t="str" cm="1">
        <f t="array" ref="E806">INDEX(aspek!$D$2:$D$337,
   MATCH(1,(aspek!$A$2:$A$337=B806)*
           (aspek!$B$2:$B$337=C806)*
           (aspek!$C$2:$C$337=D806),0))</f>
        <v>Regulasi diri saat keadaan berubah</v>
      </c>
      <c r="F806" s="76">
        <v>5</v>
      </c>
      <c r="G806" s="56" t="str" cm="1">
        <f t="array" ref="G806">INDEX(deskripsi!$D$2:$H$337,
   MATCH(1,(deskripsi!$A$2:$A$337=B806)*
           (deskripsi!$B$2:$B$337=C806)*
           (deskripsi!$C$2:$C$337=D806),0),
   F806)</f>
        <v>Ketenangannya tidak bergantung pada seberapa besar perubahannya.</v>
      </c>
    </row>
    <row r="807" spans="1:7">
      <c r="A807" t="str">
        <f t="shared" si="12"/>
        <v>Managing Change|Division Head|2|1</v>
      </c>
      <c r="B807" t="str">
        <v>Managing Change</v>
      </c>
      <c r="C807" t="str">
        <v>Division Head</v>
      </c>
      <c r="D807" s="76">
        <v>2</v>
      </c>
      <c r="E807" t="str" cm="1">
        <f t="array" ref="E807">INDEX(aspek!$D$2:$D$337,
   MATCH(1,(aspek!$A$2:$A$337=B807)*
           (aspek!$B$2:$B$337=C807)*
           (aspek!$C$2:$C$337=D807),0))</f>
        <v>Kejernihan berpikir dan langkah saat belum jelas</v>
      </c>
      <c r="F807" s="76">
        <v>1</v>
      </c>
      <c r="G807" s="56" t="str" cm="1">
        <f t="array" ref="G807">INDEX(deskripsi!$D$2:$H$337,
   MATCH(1,(deskripsi!$A$2:$A$337=B807)*
           (deskripsi!$B$2:$B$337=C807)*
           (deskripsi!$C$2:$C$337=D807),0),
   F807)</f>
        <v>Berhenti mengambil langkah; menunggu sampai keadaan jelas.</v>
      </c>
    </row>
    <row r="808" spans="1:7">
      <c r="A808" t="str">
        <f t="shared" si="12"/>
        <v>Managing Change|Division Head|2|2</v>
      </c>
      <c r="B808" t="str">
        <v>Managing Change</v>
      </c>
      <c r="C808" t="str">
        <v>Division Head</v>
      </c>
      <c r="D808" s="76">
        <v>2</v>
      </c>
      <c r="E808" t="str" cm="1">
        <f t="array" ref="E808">INDEX(aspek!$D$2:$D$337,
   MATCH(1,(aspek!$A$2:$A$337=B808)*
           (aspek!$B$2:$B$337=C808)*
           (aspek!$C$2:$C$337=D808),0))</f>
        <v>Kejernihan berpikir dan langkah saat belum jelas</v>
      </c>
      <c r="F808" s="76">
        <v>2</v>
      </c>
      <c r="G808" s="56" t="str" cm="1">
        <f t="array" ref="G808">INDEX(deskripsi!$D$2:$H$337,
   MATCH(1,(deskripsi!$A$2:$A$337=B808)*
           (deskripsi!$B$2:$B$337=C808)*
           (deskripsi!$C$2:$C$337=D808),0),
   F808)</f>
        <v>Mengambil langkah yang berubah-ubah dan membingungkan tim.</v>
      </c>
    </row>
    <row r="809" spans="1:7">
      <c r="A809" t="str">
        <f t="shared" si="12"/>
        <v>Managing Change|Division Head|2|3</v>
      </c>
      <c r="B809" t="str">
        <v>Managing Change</v>
      </c>
      <c r="C809" t="str">
        <v>Division Head</v>
      </c>
      <c r="D809" s="76">
        <v>2</v>
      </c>
      <c r="E809" t="str" cm="1">
        <f t="array" ref="E809">INDEX(aspek!$D$2:$D$337,
   MATCH(1,(aspek!$A$2:$A$337=B809)*
           (aspek!$B$2:$B$337=C809)*
           (aspek!$C$2:$C$337=D809),0))</f>
        <v>Kejernihan berpikir dan langkah saat belum jelas</v>
      </c>
      <c r="F809" s="76">
        <v>3</v>
      </c>
      <c r="G809" s="56" t="str" cm="1">
        <f t="array" ref="G809">INDEX(deskripsi!$D$2:$H$337,
   MATCH(1,(deskripsi!$A$2:$A$337=B809)*
           (deskripsi!$B$2:$B$337=C809)*
           (deskripsi!$C$2:$C$337=D809),0),
   F809)</f>
        <v>Mengambil langkah yang tepat setelah keadaan cukup jelas.</v>
      </c>
    </row>
    <row r="810" spans="1:7">
      <c r="A810" t="str">
        <f t="shared" si="12"/>
        <v>Managing Change|Division Head|2|4</v>
      </c>
      <c r="B810" t="str">
        <v>Managing Change</v>
      </c>
      <c r="C810" t="str">
        <v>Division Head</v>
      </c>
      <c r="D810" s="76">
        <v>2</v>
      </c>
      <c r="E810" t="str" cm="1">
        <f t="array" ref="E810">INDEX(aspek!$D$2:$D$337,
   MATCH(1,(aspek!$A$2:$A$337=B810)*
           (aspek!$B$2:$B$337=C810)*
           (aspek!$C$2:$C$337=D810),0))</f>
        <v>Kejernihan berpikir dan langkah saat belum jelas</v>
      </c>
      <c r="F810" s="76">
        <v>4</v>
      </c>
      <c r="G810" s="56" t="str" cm="1">
        <f t="array" ref="G810">INDEX(deskripsi!$D$2:$H$337,
   MATCH(1,(deskripsi!$A$2:$A$337=B810)*
           (deskripsi!$B$2:$B$337=C810)*
           (deskripsi!$C$2:$C$337=D810),0),
   F810)</f>
        <v>Tetap menetapkan langkah yang masuk akal ketika arah belum ada, dan menjelaskan dasarnya kepada tim.</v>
      </c>
    </row>
    <row r="811" spans="1:7">
      <c r="A811" t="str">
        <f t="shared" si="12"/>
        <v>Managing Change|Division Head|2|5</v>
      </c>
      <c r="B811" t="str">
        <v>Managing Change</v>
      </c>
      <c r="C811" t="str">
        <v>Division Head</v>
      </c>
      <c r="D811" s="76">
        <v>2</v>
      </c>
      <c r="E811" t="str" cm="1">
        <f t="array" ref="E811">INDEX(aspek!$D$2:$D$337,
   MATCH(1,(aspek!$A$2:$A$337=B811)*
           (aspek!$B$2:$B$337=C811)*
           (aspek!$C$2:$C$337=D811),0))</f>
        <v>Kejernihan berpikir dan langkah saat belum jelas</v>
      </c>
      <c r="F811" s="76">
        <v>5</v>
      </c>
      <c r="G811" s="56" t="str" cm="1">
        <f t="array" ref="G811">INDEX(deskripsi!$D$2:$H$337,
   MATCH(1,(deskripsi!$A$2:$A$337=B811)*
           (deskripsi!$B$2:$B$337=C811)*
           (deskripsi!$C$2:$C$337=D811),0),
   F811)</f>
        <v>Langkah yang ia ambil di masa tidak jelas terbukti tetap tepat setelah keadaan jelas.</v>
      </c>
    </row>
    <row r="812" spans="1:7">
      <c r="A812" t="str">
        <f t="shared" si="12"/>
        <v>Managing Change|Division Head|3|1</v>
      </c>
      <c r="B812" t="str">
        <v>Managing Change</v>
      </c>
      <c r="C812" t="str">
        <v>Division Head</v>
      </c>
      <c r="D812" s="76">
        <v>3</v>
      </c>
      <c r="E812" t="str" cm="1">
        <f t="array" ref="E812">INDEX(aspek!$D$2:$D$337,
   MATCH(1,(aspek!$A$2:$A$337=B812)*
           (aspek!$B$2:$B$337=C812)*
           (aspek!$C$2:$C$337=D812),0))</f>
        <v>Efek menenangkan pada orang lain</v>
      </c>
      <c r="F812" s="76">
        <v>1</v>
      </c>
      <c r="G812" s="56" t="str" cm="1">
        <f t="array" ref="G812">INDEX(deskripsi!$D$2:$H$337,
   MATCH(1,(deskripsi!$A$2:$A$337=B812)*
           (deskripsi!$B$2:$B$337=C812)*
           (deskripsi!$C$2:$C$337=D812),0),
   F812)</f>
        <v>Kehadirannya menambah ketegangan; tim lebih cemas setelah bertemu dengannya.</v>
      </c>
    </row>
    <row r="813" spans="1:7">
      <c r="A813" t="str">
        <f t="shared" si="12"/>
        <v>Managing Change|Division Head|3|2</v>
      </c>
      <c r="B813" t="str">
        <v>Managing Change</v>
      </c>
      <c r="C813" t="str">
        <v>Division Head</v>
      </c>
      <c r="D813" s="76">
        <v>3</v>
      </c>
      <c r="E813" t="str" cm="1">
        <f t="array" ref="E813">INDEX(aspek!$D$2:$D$337,
   MATCH(1,(aspek!$A$2:$A$337=B813)*
           (aspek!$B$2:$B$337=C813)*
           (aspek!$C$2:$C$337=D813),0))</f>
        <v>Efek menenangkan pada orang lain</v>
      </c>
      <c r="F813" s="76">
        <v>2</v>
      </c>
      <c r="G813" s="56" t="str" cm="1">
        <f t="array" ref="G813">INDEX(deskripsi!$D$2:$H$337,
   MATCH(1,(deskripsi!$A$2:$A$337=B813)*
           (deskripsi!$B$2:$B$337=C813)*
           (deskripsi!$C$2:$C$337=D813),0),
   F813)</f>
        <v>Tidak menambah tegang, tetapi juga tidak membantu — tim mencari ketenangan dari orang lain.</v>
      </c>
    </row>
    <row r="814" spans="1:7">
      <c r="A814" t="str">
        <f t="shared" si="12"/>
        <v>Managing Change|Division Head|3|3</v>
      </c>
      <c r="B814" t="str">
        <v>Managing Change</v>
      </c>
      <c r="C814" t="str">
        <v>Division Head</v>
      </c>
      <c r="D814" s="76">
        <v>3</v>
      </c>
      <c r="E814" t="str" cm="1">
        <f t="array" ref="E814">INDEX(aspek!$D$2:$D$337,
   MATCH(1,(aspek!$A$2:$A$337=B814)*
           (aspek!$B$2:$B$337=C814)*
           (aspek!$C$2:$C$337=D814),0))</f>
        <v>Efek menenangkan pada orang lain</v>
      </c>
      <c r="F814" s="76">
        <v>3</v>
      </c>
      <c r="G814" s="56" t="str" cm="1">
        <f t="array" ref="G814">INDEX(deskripsi!$D$2:$H$337,
   MATCH(1,(deskripsi!$A$2:$A$337=B814)*
           (deskripsi!$B$2:$B$337=C814)*
           (deskripsi!$C$2:$C$337=D814),0),
   F814)</f>
        <v>Tim merasa cukup tenang, meski karena ia jarang menyampaikan hal yang mengkhawatirkan.</v>
      </c>
    </row>
    <row r="815" spans="1:7">
      <c r="A815" t="str">
        <f t="shared" si="12"/>
        <v>Managing Change|Division Head|3|4</v>
      </c>
      <c r="B815" t="str">
        <v>Managing Change</v>
      </c>
      <c r="C815" t="str">
        <v>Division Head</v>
      </c>
      <c r="D815" s="76">
        <v>3</v>
      </c>
      <c r="E815" t="str" cm="1">
        <f t="array" ref="E815">INDEX(aspek!$D$2:$D$337,
   MATCH(1,(aspek!$A$2:$A$337=B815)*
           (aspek!$B$2:$B$337=C815)*
           (aspek!$C$2:$C$337=D815),0))</f>
        <v>Efek menenangkan pada orang lain</v>
      </c>
      <c r="F815" s="76">
        <v>4</v>
      </c>
      <c r="G815" s="56" t="str" cm="1">
        <f t="array" ref="G815">INDEX(deskripsi!$D$2:$H$337,
   MATCH(1,(deskripsi!$A$2:$A$337=B815)*
           (deskripsi!$B$2:$B$337=C815)*
           (deskripsi!$C$2:$C$337=D815),0),
   F815)</f>
        <v>Tim mengonfirmasi sikapnya membuat mereka lebih tenang DAN mereka tetap tahu apa yang harus dikerjakan — ketenangan yang berasal dari kejelasan, bukan dari ketidaktahuan.</v>
      </c>
    </row>
    <row r="816" spans="1:7">
      <c r="A816" t="str">
        <f t="shared" si="12"/>
        <v>Managing Change|Division Head|3|5</v>
      </c>
      <c r="B816" t="str">
        <v>Managing Change</v>
      </c>
      <c r="C816" t="str">
        <v>Division Head</v>
      </c>
      <c r="D816" s="76">
        <v>3</v>
      </c>
      <c r="E816" t="str" cm="1">
        <f t="array" ref="E816">INDEX(aspek!$D$2:$D$337,
   MATCH(1,(aspek!$A$2:$A$337=B816)*
           (aspek!$B$2:$B$337=C816)*
           (aspek!$C$2:$C$337=D816),0))</f>
        <v>Efek menenangkan pada orang lain</v>
      </c>
      <c r="F816" s="76">
        <v>5</v>
      </c>
      <c r="G816" s="56" t="str" cm="1">
        <f t="array" ref="G816">INDEX(deskripsi!$D$2:$H$337,
   MATCH(1,(deskripsi!$A$2:$A$337=B816)*
           (deskripsi!$B$2:$B$337=C816)*
           (deskripsi!$C$2:$C$337=D816),0),
   F816)</f>
        <v>Menjadi orang yang dicari orang lain ketika keadaan tidak menentu, termasuk dari luar unitnya.</v>
      </c>
    </row>
    <row r="817" spans="1:7">
      <c r="A817" t="str">
        <f t="shared" si="12"/>
        <v>Managing Change|Division Head|4|1</v>
      </c>
      <c r="B817" t="str">
        <v>Managing Change</v>
      </c>
      <c r="C817" t="str">
        <v>Division Head</v>
      </c>
      <c r="D817" s="76">
        <v>4</v>
      </c>
      <c r="E817" t="str" cm="1">
        <f t="array" ref="E817">INDEX(aspek!$D$2:$D$337,
   MATCH(1,(aspek!$A$2:$A$337=B817)*
           (aspek!$B$2:$B$337=C817)*
           (aspek!$C$2:$C$337=D817),0))</f>
        <v>Mendampingi orang lain melewati perubahan</v>
      </c>
      <c r="F817" s="76">
        <v>1</v>
      </c>
      <c r="G817" s="56" t="str" cm="1">
        <f t="array" ref="G817">INDEX(deskripsi!$D$2:$H$337,
   MATCH(1,(deskripsi!$A$2:$A$337=B817)*
           (deskripsi!$B$2:$B$337=C817)*
           (deskripsi!$C$2:$C$337=D817),0),
   F817)</f>
        <v>Menuntut orang lain menyesuaikan diri tanpa membantu prosesnya.</v>
      </c>
    </row>
    <row r="818" spans="1:7">
      <c r="A818" t="str">
        <f t="shared" si="12"/>
        <v>Managing Change|Division Head|4|2</v>
      </c>
      <c r="B818" t="str">
        <v>Managing Change</v>
      </c>
      <c r="C818" t="str">
        <v>Division Head</v>
      </c>
      <c r="D818" s="76">
        <v>4</v>
      </c>
      <c r="E818" t="str" cm="1">
        <f t="array" ref="E818">INDEX(aspek!$D$2:$D$337,
   MATCH(1,(aspek!$A$2:$A$337=B818)*
           (aspek!$B$2:$B$337=C818)*
           (aspek!$C$2:$C$337=D818),0))</f>
        <v>Mendampingi orang lain melewati perubahan</v>
      </c>
      <c r="F818" s="76">
        <v>2</v>
      </c>
      <c r="G818" s="56" t="str" cm="1">
        <f t="array" ref="G818">INDEX(deskripsi!$D$2:$H$337,
   MATCH(1,(deskripsi!$A$2:$A$337=B818)*
           (deskripsi!$B$2:$B$337=C818)*
           (deskripsi!$C$2:$C$337=D818),0),
   F818)</f>
        <v>Menjelaskan perubahan sekali, lalu menganggap sisanya urusan masing-masing.</v>
      </c>
    </row>
    <row r="819" spans="1:7">
      <c r="A819" t="str">
        <f t="shared" si="12"/>
        <v>Managing Change|Division Head|4|3</v>
      </c>
      <c r="B819" t="str">
        <v>Managing Change</v>
      </c>
      <c r="C819" t="str">
        <v>Division Head</v>
      </c>
      <c r="D819" s="76">
        <v>4</v>
      </c>
      <c r="E819" t="str" cm="1">
        <f t="array" ref="E819">INDEX(aspek!$D$2:$D$337,
   MATCH(1,(aspek!$A$2:$A$337=B819)*
           (aspek!$B$2:$B$337=C819)*
           (aspek!$C$2:$C$337=D819),0))</f>
        <v>Mendampingi orang lain melewati perubahan</v>
      </c>
      <c r="F819" s="76">
        <v>3</v>
      </c>
      <c r="G819" s="56" t="str" cm="1">
        <f t="array" ref="G819">INDEX(deskripsi!$D$2:$H$337,
   MATCH(1,(deskripsi!$A$2:$A$337=B819)*
           (deskripsi!$B$2:$B$337=C819)*
           (deskripsi!$C$2:$C$337=D819),0),
   F819)</f>
        <v>Membantu yang meminta bantuan, dan berhenti setelah mereka mulai menjalankan.</v>
      </c>
    </row>
    <row r="820" spans="1:7">
      <c r="A820" t="str">
        <f t="shared" si="12"/>
        <v>Managing Change|Division Head|4|4</v>
      </c>
      <c r="B820" t="str">
        <v>Managing Change</v>
      </c>
      <c r="C820" t="str">
        <v>Division Head</v>
      </c>
      <c r="D820" s="76">
        <v>4</v>
      </c>
      <c r="E820" t="str" cm="1">
        <f t="array" ref="E820">INDEX(aspek!$D$2:$D$337,
   MATCH(1,(aspek!$A$2:$A$337=B820)*
           (aspek!$B$2:$B$337=C820)*
           (aspek!$C$2:$C$337=D820),0))</f>
        <v>Mendampingi orang lain melewati perubahan</v>
      </c>
      <c r="F820" s="76">
        <v>4</v>
      </c>
      <c r="G820" s="56" t="str" cm="1">
        <f t="array" ref="G820">INDEX(deskripsi!$D$2:$H$337,
   MATCH(1,(deskripsi!$A$2:$A$337=B820)*
           (deskripsi!$B$2:$B$337=C820)*
           (deskripsi!$C$2:$C$337=D820),0),
   F820)</f>
        <v>Mendampingi orang yang kesulitan sampai mereka benar-benar menjalankan — menelusuri kekhawatiran yang sebenarnya, bukan sekadar mengulang penjelasan.</v>
      </c>
    </row>
    <row r="821" spans="1:7">
      <c r="A821" t="str">
        <f t="shared" si="12"/>
        <v>Managing Change|Division Head|4|5</v>
      </c>
      <c r="B821" t="str">
        <v>Managing Change</v>
      </c>
      <c r="C821" t="str">
        <v>Division Head</v>
      </c>
      <c r="D821" s="76">
        <v>4</v>
      </c>
      <c r="E821" t="str" cm="1">
        <f t="array" ref="E821">INDEX(aspek!$D$2:$D$337,
   MATCH(1,(aspek!$A$2:$A$337=B821)*
           (aspek!$B$2:$B$337=C821)*
           (aspek!$C$2:$C$337=D821),0))</f>
        <v>Mendampingi orang lain melewati perubahan</v>
      </c>
      <c r="F821" s="76">
        <v>5</v>
      </c>
      <c r="G821" s="56" t="str" cm="1">
        <f t="array" ref="G821">INDEX(deskripsi!$D$2:$H$337,
   MATCH(1,(deskripsi!$A$2:$A$337=B821)*
           (deskripsi!$B$2:$B$337=C821)*
           (deskripsi!$C$2:$C$337=D821),0),
   F821)</f>
        <v>Orang yang pernah ia dampingi ikut mendampingi orang lain pada perubahan berikutnya.</v>
      </c>
    </row>
    <row r="822" spans="1:7">
      <c r="A822" t="str">
        <f t="shared" si="12"/>
        <v>Managing Change|Director|1|1</v>
      </c>
      <c r="B822" t="str">
        <v>Managing Change</v>
      </c>
      <c r="C822" t="str">
        <v>Director</v>
      </c>
      <c r="D822" s="76">
        <v>1</v>
      </c>
      <c r="E822" t="str" cm="1">
        <f t="array" ref="E822">INDEX(aspek!$D$2:$D$337,
   MATCH(1,(aspek!$A$2:$A$337=B822)*
           (aspek!$B$2:$B$337=C822)*
           (aspek!$C$2:$C$337=D822),0))</f>
        <v>Orientasi ke depan</v>
      </c>
      <c r="F822" s="76">
        <v>1</v>
      </c>
      <c r="G822" s="56" t="str" cm="1">
        <f t="array" ref="G822">INDEX(deskripsi!$D$2:$H$337,
   MATCH(1,(deskripsi!$A$2:$A$337=B822)*
           (deskripsi!$B$2:$B$337=C822)*
           (deskripsi!$C$2:$C$337=D822),0),
   F822)</f>
        <v>Bergerak setelah dampak perubahan terasa pada organisasi.</v>
      </c>
    </row>
    <row r="823" spans="1:7">
      <c r="A823" t="str">
        <f t="shared" si="12"/>
        <v>Managing Change|Director|1|2</v>
      </c>
      <c r="B823" t="str">
        <v>Managing Change</v>
      </c>
      <c r="C823" t="str">
        <v>Director</v>
      </c>
      <c r="D823" s="76">
        <v>1</v>
      </c>
      <c r="E823" t="str" cm="1">
        <f t="array" ref="E823">INDEX(aspek!$D$2:$D$337,
   MATCH(1,(aspek!$A$2:$A$337=B823)*
           (aspek!$B$2:$B$337=C823)*
           (aspek!$C$2:$C$337=D823),0))</f>
        <v>Orientasi ke depan</v>
      </c>
      <c r="F823" s="76">
        <v>2</v>
      </c>
      <c r="G823" s="56" t="str" cm="1">
        <f t="array" ref="G823">INDEX(deskripsi!$D$2:$H$337,
   MATCH(1,(deskripsi!$A$2:$A$337=B823)*
           (deskripsi!$B$2:$B$337=C823)*
           (deskripsi!$C$2:$C$337=D823),0),
   F823)</f>
        <v>Menyadari perubahan setelah ia terjadi, dan menjelaskan mengapa ia terjadi.</v>
      </c>
    </row>
    <row r="824" spans="1:7">
      <c r="A824" t="str">
        <f t="shared" si="12"/>
        <v>Managing Change|Director|1|3</v>
      </c>
      <c r="B824" t="str">
        <v>Managing Change</v>
      </c>
      <c r="C824" t="str">
        <v>Director</v>
      </c>
      <c r="D824" s="76">
        <v>1</v>
      </c>
      <c r="E824" t="str" cm="1">
        <f t="array" ref="E824">INDEX(aspek!$D$2:$D$337,
   MATCH(1,(aspek!$A$2:$A$337=B824)*
           (aspek!$B$2:$B$337=C824)*
           (aspek!$C$2:$C$337=D824),0))</f>
        <v>Orientasi ke depan</v>
      </c>
      <c r="F824" s="76">
        <v>3</v>
      </c>
      <c r="G824" s="56" t="str" cm="1">
        <f t="array" ref="G824">INDEX(deskripsi!$D$2:$H$337,
   MATCH(1,(deskripsi!$A$2:$A$337=B824)*
           (deskripsi!$B$2:$B$337=C824)*
           (deskripsi!$C$2:$C$337=D824),0),
   F824)</f>
        <v>Memantau tren dan menyusun laporan, tetapi pembacaannya berhenti pada dokumen.</v>
      </c>
    </row>
    <row r="825" spans="1:7">
      <c r="A825" t="str">
        <f t="shared" si="12"/>
        <v>Managing Change|Director|1|4</v>
      </c>
      <c r="B825" t="str">
        <v>Managing Change</v>
      </c>
      <c r="C825" t="str">
        <v>Director</v>
      </c>
      <c r="D825" s="76">
        <v>1</v>
      </c>
      <c r="E825" t="str" cm="1">
        <f t="array" ref="E825">INDEX(aspek!$D$2:$D$337,
   MATCH(1,(aspek!$A$2:$A$337=B825)*
           (aspek!$B$2:$B$337=C825)*
           (aspek!$C$2:$C$337=D825),0))</f>
        <v>Orientasi ke depan</v>
      </c>
      <c r="F825" s="76">
        <v>4</v>
      </c>
      <c r="G825" s="56" t="str" cm="1">
        <f t="array" ref="G825">INDEX(deskripsi!$D$2:$H$337,
   MATCH(1,(deskripsi!$A$2:$A$337=B825)*
           (deskripsi!$B$2:$B$337=C825)*
           (deskripsi!$C$2:$C$337=D825),0),
   F825)</f>
        <v>Memindai lingkungan secara rutin dari sumber di luar jalur resmi, menangkap sinyal ketika masih samar, dan menguji ketajaman pembacaannya dengan perkiraan bertanggal.</v>
      </c>
    </row>
    <row r="826" spans="1:7">
      <c r="A826" t="str">
        <f t="shared" si="12"/>
        <v>Managing Change|Director|1|5</v>
      </c>
      <c r="B826" t="str">
        <v>Managing Change</v>
      </c>
      <c r="C826" t="str">
        <v>Director</v>
      </c>
      <c r="D826" s="76">
        <v>1</v>
      </c>
      <c r="E826" t="str" cm="1">
        <f t="array" ref="E826">INDEX(aspek!$D$2:$D$337,
   MATCH(1,(aspek!$A$2:$A$337=B826)*
           (aspek!$B$2:$B$337=C826)*
           (aspek!$C$2:$C$337=D826),0))</f>
        <v>Orientasi ke depan</v>
      </c>
      <c r="F826" s="76">
        <v>5</v>
      </c>
      <c r="G826" s="56" t="str" cm="1">
        <f t="array" ref="G826">INDEX(deskripsi!$D$2:$H$337,
   MATCH(1,(deskripsi!$A$2:$A$337=B826)*
           (deskripsi!$B$2:$B$337=C826)*
           (deskripsi!$C$2:$C$337=D826),0),
   F826)</f>
        <v>Menangkap perubahan yang belum terlihat oleh pelaku industri lainnya.</v>
      </c>
    </row>
    <row r="827" spans="1:7">
      <c r="A827" t="str">
        <f t="shared" si="12"/>
        <v>Managing Change|Director|2|1</v>
      </c>
      <c r="B827" t="str">
        <v>Managing Change</v>
      </c>
      <c r="C827" t="str">
        <v>Director</v>
      </c>
      <c r="D827" s="76">
        <v>2</v>
      </c>
      <c r="E827" t="str" cm="1">
        <f t="array" ref="E827">INDEX(aspek!$D$2:$D$337,
   MATCH(1,(aspek!$A$2:$A$337=B827)*
           (aspek!$B$2:$B$337=C827)*
           (aspek!$C$2:$C$337=D827),0))</f>
        <v>Kesiapan skenario</v>
      </c>
      <c r="F827" s="76">
        <v>1</v>
      </c>
      <c r="G827" s="56" t="str" cm="1">
        <f t="array" ref="G827">INDEX(deskripsi!$D$2:$H$337,
   MATCH(1,(deskripsi!$A$2:$A$337=B827)*
           (deskripsi!$B$2:$B$337=C827)*
           (deskripsi!$C$2:$C$337=D827),0),
   F827)</f>
        <v>Tidak menyiapkan apa pun untuk kemungkinan yang belum pasti.</v>
      </c>
    </row>
    <row r="828" spans="1:7">
      <c r="A828" t="str">
        <f t="shared" si="12"/>
        <v>Managing Change|Director|2|2</v>
      </c>
      <c r="B828" t="str">
        <v>Managing Change</v>
      </c>
      <c r="C828" t="str">
        <v>Director</v>
      </c>
      <c r="D828" s="76">
        <v>2</v>
      </c>
      <c r="E828" t="str" cm="1">
        <f t="array" ref="E828">INDEX(aspek!$D$2:$D$337,
   MATCH(1,(aspek!$A$2:$A$337=B828)*
           (aspek!$B$2:$B$337=C828)*
           (aspek!$C$2:$C$337=D828),0))</f>
        <v>Kesiapan skenario</v>
      </c>
      <c r="F828" s="76">
        <v>2</v>
      </c>
      <c r="G828" s="56" t="str" cm="1">
        <f t="array" ref="G828">INDEX(deskripsi!$D$2:$H$337,
   MATCH(1,(deskripsi!$A$2:$A$337=B828)*
           (deskripsi!$B$2:$B$337=C828)*
           (deskripsi!$C$2:$C$337=D828),0),
   F828)</f>
        <v>Menyusun satu perkiraan tunggal dan bertindak seolah itu pasti terjadi.</v>
      </c>
    </row>
    <row r="829" spans="1:7">
      <c r="A829" t="str">
        <f t="shared" si="12"/>
        <v>Managing Change|Director|2|3</v>
      </c>
      <c r="B829" t="str">
        <v>Managing Change</v>
      </c>
      <c r="C829" t="str">
        <v>Director</v>
      </c>
      <c r="D829" s="76">
        <v>2</v>
      </c>
      <c r="E829" t="str" cm="1">
        <f t="array" ref="E829">INDEX(aspek!$D$2:$D$337,
   MATCH(1,(aspek!$A$2:$A$337=B829)*
           (aspek!$B$2:$B$337=C829)*
           (aspek!$C$2:$C$337=D829),0))</f>
        <v>Kesiapan skenario</v>
      </c>
      <c r="F829" s="76">
        <v>3</v>
      </c>
      <c r="G829" s="56" t="str" cm="1">
        <f t="array" ref="G829">INDEX(deskripsi!$D$2:$H$337,
   MATCH(1,(deskripsi!$A$2:$A$337=B829)*
           (deskripsi!$B$2:$B$337=C829)*
           (deskripsi!$C$2:$C$337=D829),0),
   F829)</f>
        <v>Menyusun beberapa skenario, tetapi tidak ada langkah yang menyertainya.</v>
      </c>
    </row>
    <row r="830" spans="1:7">
      <c r="A830" t="str">
        <f t="shared" si="12"/>
        <v>Managing Change|Director|2|4</v>
      </c>
      <c r="B830" t="str">
        <v>Managing Change</v>
      </c>
      <c r="C830" t="str">
        <v>Director</v>
      </c>
      <c r="D830" s="76">
        <v>2</v>
      </c>
      <c r="E830" t="str" cm="1">
        <f t="array" ref="E830">INDEX(aspek!$D$2:$D$337,
   MATCH(1,(aspek!$A$2:$A$337=B830)*
           (aspek!$B$2:$B$337=C830)*
           (aspek!$C$2:$C$337=D830),0))</f>
        <v>Kesiapan skenario</v>
      </c>
      <c r="F830" s="76">
        <v>4</v>
      </c>
      <c r="G830" s="56" t="str" cm="1">
        <f t="array" ref="G830">INDEX(deskripsi!$D$2:$H$337,
   MATCH(1,(deskripsi!$A$2:$A$337=B830)*
           (deskripsi!$B$2:$B$337=C830)*
           (deskripsi!$C$2:$C$337=D830),0),
   F830)</f>
        <v>Setiap skenario disertai tanda pemantau dan langkah persiapan yang dapat dijalankan sekarang, termasuk langkah yang tetap berguna apa pun bentuk perubahannya.</v>
      </c>
    </row>
    <row r="831" spans="1:7">
      <c r="A831" t="str">
        <f t="shared" si="12"/>
        <v>Managing Change|Director|2|5</v>
      </c>
      <c r="B831" t="str">
        <v>Managing Change</v>
      </c>
      <c r="C831" t="str">
        <v>Director</v>
      </c>
      <c r="D831" s="76">
        <v>2</v>
      </c>
      <c r="E831" t="str" cm="1">
        <f t="array" ref="E831">INDEX(aspek!$D$2:$D$337,
   MATCH(1,(aspek!$A$2:$A$337=B831)*
           (aspek!$B$2:$B$337=C831)*
           (aspek!$C$2:$C$337=D831),0))</f>
        <v>Kesiapan skenario</v>
      </c>
      <c r="F831" s="76">
        <v>5</v>
      </c>
      <c r="G831" s="56" t="str" cm="1">
        <f t="array" ref="G831">INDEX(deskripsi!$D$2:$H$337,
   MATCH(1,(deskripsi!$A$2:$A$337=B831)*
           (deskripsi!$B$2:$B$337=C831)*
           (deskripsi!$C$2:$C$337=D831),0),
   F831)</f>
        <v>Skenarionya dipakai fungsi lain sebagai dasar perencanaan mereka sendiri.</v>
      </c>
    </row>
    <row r="832" spans="1:7">
      <c r="A832" t="str">
        <f t="shared" si="12"/>
        <v>Managing Change|Director|3|1</v>
      </c>
      <c r="B832" t="str">
        <v>Managing Change</v>
      </c>
      <c r="C832" t="str">
        <v>Director</v>
      </c>
      <c r="D832" s="76">
        <v>3</v>
      </c>
      <c r="E832" t="str" cm="1">
        <f t="array" ref="E832">INDEX(aspek!$D$2:$D$337,
   MATCH(1,(aspek!$A$2:$A$337=B832)*
           (aspek!$B$2:$B$337=C832)*
           (aspek!$C$2:$C$337=D832),0))</f>
        <v>Penggerakan organisasi secara antisipatif</v>
      </c>
      <c r="F832" s="76">
        <v>1</v>
      </c>
      <c r="G832" s="56" t="str" cm="1">
        <f t="array" ref="G832">INDEX(deskripsi!$D$2:$H$337,
   MATCH(1,(deskripsi!$A$2:$A$337=B832)*
           (deskripsi!$B$2:$B$337=C832)*
           (deskripsi!$C$2:$C$337=D832),0),
   F832)</f>
        <v>Organisasi baru bergerak setelah perubahan memaksa.</v>
      </c>
    </row>
    <row r="833" spans="1:7">
      <c r="A833" t="str">
        <f t="shared" si="12"/>
        <v>Managing Change|Director|3|2</v>
      </c>
      <c r="B833" t="str">
        <v>Managing Change</v>
      </c>
      <c r="C833" t="str">
        <v>Director</v>
      </c>
      <c r="D833" s="76">
        <v>3</v>
      </c>
      <c r="E833" t="str" cm="1">
        <f t="array" ref="E833">INDEX(aspek!$D$2:$D$337,
   MATCH(1,(aspek!$A$2:$A$337=B833)*
           (aspek!$B$2:$B$337=C833)*
           (aspek!$C$2:$C$337=D833),0))</f>
        <v>Penggerakan organisasi secara antisipatif</v>
      </c>
      <c r="F833" s="76">
        <v>2</v>
      </c>
      <c r="G833" s="56" t="str" cm="1">
        <f t="array" ref="G833">INDEX(deskripsi!$D$2:$H$337,
   MATCH(1,(deskripsi!$A$2:$A$337=B833)*
           (deskripsi!$B$2:$B$337=C833)*
           (deskripsi!$C$2:$C$337=D833),0),
   F833)</f>
        <v>Menyampaikan peringatan, tetapi tidak ada yang berubah karenanya.</v>
      </c>
    </row>
    <row r="834" spans="1:7">
      <c r="A834" t="str">
        <f t="shared" si="12"/>
        <v>Managing Change|Director|3|3</v>
      </c>
      <c r="B834" t="str">
        <v>Managing Change</v>
      </c>
      <c r="C834" t="str">
        <v>Director</v>
      </c>
      <c r="D834" s="76">
        <v>3</v>
      </c>
      <c r="E834" t="str" cm="1">
        <f t="array" ref="E834">INDEX(aspek!$D$2:$D$337,
   MATCH(1,(aspek!$A$2:$A$337=B834)*
           (aspek!$B$2:$B$337=C834)*
           (aspek!$C$2:$C$337=D834),0))</f>
        <v>Penggerakan organisasi secara antisipatif</v>
      </c>
      <c r="F834" s="76">
        <v>3</v>
      </c>
      <c r="G834" s="56" t="str" cm="1">
        <f t="array" ref="G834">INDEX(deskripsi!$D$2:$H$337,
   MATCH(1,(deskripsi!$A$2:$A$337=B834)*
           (deskripsi!$B$2:$B$337=C834)*
           (deskripsi!$C$2:$C$337=D834),0),
   F834)</f>
        <v>Menggerakkan unitnya sendiri untuk bersiap, terbatas pada wilayah kewenangannya.</v>
      </c>
    </row>
    <row r="835" spans="1:7">
      <c r="A835" t="str">
        <f t="shared" ref="A835:A898" si="13">B835&amp;"|"&amp;C835&amp;"|"&amp;D835&amp;"|"&amp;F835</f>
        <v>Managing Change|Director|3|4</v>
      </c>
      <c r="B835" t="str">
        <v>Managing Change</v>
      </c>
      <c r="C835" t="str">
        <v>Director</v>
      </c>
      <c r="D835" s="76">
        <v>3</v>
      </c>
      <c r="E835" t="str" cm="1">
        <f t="array" ref="E835">INDEX(aspek!$D$2:$D$337,
   MATCH(1,(aspek!$A$2:$A$337=B835)*
           (aspek!$B$2:$B$337=C835)*
           (aspek!$C$2:$C$337=D835),0))</f>
        <v>Penggerakan organisasi secara antisipatif</v>
      </c>
      <c r="F835" s="76">
        <v>4</v>
      </c>
      <c r="G835" s="56" t="str" cm="1">
        <f t="array" ref="G835">INDEX(deskripsi!$D$2:$H$337,
   MATCH(1,(deskripsi!$A$2:$A$337=B835)*
           (deskripsi!$B$2:$B$337=C835)*
           (deskripsi!$C$2:$C$337=D835),0),
   F835)</f>
        <v>Menggerakkan fungsi di luar unitnya untuk bersiap SEBELUM perubahan datang, dengan pelaksana di luar dirinya sendiri — dibuktikan dengan tanggal.</v>
      </c>
    </row>
    <row r="836" spans="1:7">
      <c r="A836" t="str">
        <f t="shared" si="13"/>
        <v>Managing Change|Director|3|5</v>
      </c>
      <c r="B836" t="str">
        <v>Managing Change</v>
      </c>
      <c r="C836" t="str">
        <v>Director</v>
      </c>
      <c r="D836" s="76">
        <v>3</v>
      </c>
      <c r="E836" t="str" cm="1">
        <f t="array" ref="E836">INDEX(aspek!$D$2:$D$337,
   MATCH(1,(aspek!$A$2:$A$337=B836)*
           (aspek!$B$2:$B$337=C836)*
           (aspek!$C$2:$C$337=D836),0))</f>
        <v>Penggerakan organisasi secara antisipatif</v>
      </c>
      <c r="F836" s="76">
        <v>5</v>
      </c>
      <c r="G836" s="56" t="str" cm="1">
        <f t="array" ref="G836">INDEX(deskripsi!$D$2:$H$337,
   MATCH(1,(deskripsi!$A$2:$A$337=B836)*
           (deskripsi!$B$2:$B$337=C836)*
           (deskripsi!$C$2:$C$337=D836),0),
   F836)</f>
        <v>Organisasi sudah siap ketika perubahan itu tiba, dan kesiapan itu dapat ditelusuri ke langkah yang ia mulai.</v>
      </c>
    </row>
    <row r="837" spans="1:7">
      <c r="A837" t="str">
        <f t="shared" si="13"/>
        <v>Managing Change|Director|4|1</v>
      </c>
      <c r="B837" t="str">
        <v>Managing Change</v>
      </c>
      <c r="C837" t="str">
        <v>Director</v>
      </c>
      <c r="D837" s="76">
        <v>4</v>
      </c>
      <c r="E837" t="str" cm="1">
        <f t="array" ref="E837">INDEX(aspek!$D$2:$D$337,
   MATCH(1,(aspek!$A$2:$A$337=B837)*
           (aspek!$B$2:$B$337=C837)*
           (aspek!$C$2:$C$337=D837),0))</f>
        <v xml:space="preserve">Kalibrasi dari yang terlewat </v>
      </c>
      <c r="F837" s="76">
        <v>1</v>
      </c>
      <c r="G837" s="56" t="str" cm="1">
        <f t="array" ref="G837">INDEX(deskripsi!$D$2:$H$337,
   MATCH(1,(deskripsi!$A$2:$A$337=B837)*
           (deskripsi!$B$2:$B$337=C837)*
           (deskripsi!$C$2:$C$337=D837),0),
   F837)</f>
        <v>Tidak pernah memeriksa apakah perkiraannya tepat; yang meleset dilupakan.</v>
      </c>
    </row>
    <row r="838" spans="1:7">
      <c r="A838" t="str">
        <f t="shared" si="13"/>
        <v>Managing Change|Director|4|2</v>
      </c>
      <c r="B838" t="str">
        <v>Managing Change</v>
      </c>
      <c r="C838" t="str">
        <v>Director</v>
      </c>
      <c r="D838" s="76">
        <v>4</v>
      </c>
      <c r="E838" t="str" cm="1">
        <f t="array" ref="E838">INDEX(aspek!$D$2:$D$337,
   MATCH(1,(aspek!$A$2:$A$337=B838)*
           (aspek!$B$2:$B$337=C838)*
           (aspek!$C$2:$C$337=D838),0))</f>
        <v xml:space="preserve">Kalibrasi dari yang terlewat </v>
      </c>
      <c r="F838" s="76">
        <v>2</v>
      </c>
      <c r="G838" s="56" t="str" cm="1">
        <f t="array" ref="G838">INDEX(deskripsi!$D$2:$H$337,
   MATCH(1,(deskripsi!$A$2:$A$337=B838)*
           (deskripsi!$B$2:$B$337=C838)*
           (deskripsi!$C$2:$C$337=D838),0),
   F838)</f>
        <v>Menyadari ada yang terlewat, tetapi menganggapnya tidak dapat diperkirakan siapa pun.</v>
      </c>
    </row>
    <row r="839" spans="1:7">
      <c r="A839" t="str">
        <f t="shared" si="13"/>
        <v>Managing Change|Director|4|3</v>
      </c>
      <c r="B839" t="str">
        <v>Managing Change</v>
      </c>
      <c r="C839" t="str">
        <v>Director</v>
      </c>
      <c r="D839" s="76">
        <v>4</v>
      </c>
      <c r="E839" t="str" cm="1">
        <f t="array" ref="E839">INDEX(aspek!$D$2:$D$337,
   MATCH(1,(aspek!$A$2:$A$337=B839)*
           (aspek!$B$2:$B$337=C839)*
           (aspek!$C$2:$C$337=D839),0))</f>
        <v xml:space="preserve">Kalibrasi dari yang terlewat </v>
      </c>
      <c r="F839" s="76">
        <v>3</v>
      </c>
      <c r="G839" s="56" t="str" cm="1">
        <f t="array" ref="G839">INDEX(deskripsi!$D$2:$H$337,
   MATCH(1,(deskripsi!$A$2:$A$337=B839)*
           (deskripsi!$B$2:$B$337=C839)*
           (deskripsi!$C$2:$C$337=D839),0),
   F839)</f>
        <v>Meninjau perkiraan yang meleset dan mencatat pelajarannya.</v>
      </c>
    </row>
    <row r="840" spans="1:7">
      <c r="A840" t="str">
        <f t="shared" si="13"/>
        <v>Managing Change|Director|4|4</v>
      </c>
      <c r="B840" t="str">
        <v>Managing Change</v>
      </c>
      <c r="C840" t="str">
        <v>Director</v>
      </c>
      <c r="D840" s="76">
        <v>4</v>
      </c>
      <c r="E840" t="str" cm="1">
        <f t="array" ref="E840">INDEX(aspek!$D$2:$D$337,
   MATCH(1,(aspek!$A$2:$A$337=B840)*
           (aspek!$B$2:$B$337=C840)*
           (aspek!$C$2:$C$337=D840),0))</f>
        <v xml:space="preserve">Kalibrasi dari yang terlewat </v>
      </c>
      <c r="F840" s="76">
        <v>4</v>
      </c>
      <c r="G840" s="56" t="str" cm="1">
        <f t="array" ref="G840">INDEX(deskripsi!$D$2:$H$337,
   MATCH(1,(deskripsi!$A$2:$A$337=B840)*
           (deskripsi!$B$2:$B$337=C840)*
           (deskripsi!$C$2:$C$337=D840),0),
   F840)</f>
        <v>Menelusuri mundur perubahan yang terlewat sampai menemukan kapan sinyalnya sebenarnya sudah ada, lalu menambahkan sumber pemantauan agar tidak terlewat lagi — dan sumber baru itu terbukti menghasilkan sinyal.</v>
      </c>
    </row>
    <row r="841" spans="1:7">
      <c r="A841" t="str">
        <f t="shared" si="13"/>
        <v>Managing Change|Director|4|5</v>
      </c>
      <c r="B841" t="str">
        <v>Managing Change</v>
      </c>
      <c r="C841" t="str">
        <v>Director</v>
      </c>
      <c r="D841" s="76">
        <v>4</v>
      </c>
      <c r="E841" t="str" cm="1">
        <f t="array" ref="E841">INDEX(aspek!$D$2:$D$337,
   MATCH(1,(aspek!$A$2:$A$337=B841)*
           (aspek!$B$2:$B$337=C841)*
           (aspek!$C$2:$C$337=D841),0))</f>
        <v xml:space="preserve">Kalibrasi dari yang terlewat </v>
      </c>
      <c r="F841" s="76">
        <v>5</v>
      </c>
      <c r="G841" s="56" t="str" cm="1">
        <f t="array" ref="G841">INDEX(deskripsi!$D$2:$H$337,
   MATCH(1,(deskripsi!$A$2:$A$337=B841)*
           (deskripsi!$B$2:$B$337=C841)*
           (deskripsi!$C$2:$C$337=D841),0),
   F841)</f>
        <v>Ketajaman pembacaannya meningkat terukur dari waktu ke waktu, bukan karena kebetulan.</v>
      </c>
    </row>
    <row r="842" spans="1:7">
      <c r="A842" t="str">
        <f t="shared" si="13"/>
        <v>Strategic Thinking|Officer|1|1</v>
      </c>
      <c r="B842" t="str">
        <v>Strategic Thinking</v>
      </c>
      <c r="C842" t="str">
        <v>Officer</v>
      </c>
      <c r="D842" s="76">
        <v>1</v>
      </c>
      <c r="E842" t="str" cm="1">
        <f t="array" ref="E842">INDEX(aspek!$D$2:$D$337,
   MATCH(1,(aspek!$A$2:$A$337=B842)*
           (aspek!$B$2:$B$337=C842)*
           (aspek!$C$2:$C$337=D842),0))</f>
        <v>Kecepatan memahami informasi bisnis</v>
      </c>
      <c r="F842" s="76">
        <v>1</v>
      </c>
      <c r="G842" s="56" t="str" cm="1">
        <f t="array" ref="G842">INDEX(deskripsi!$D$2:$H$337,
   MATCH(1,(deskripsi!$A$2:$A$337=B842)*
           (deskripsi!$B$2:$B$337=C842)*
           (deskripsi!$C$2:$C$337=D842),0),
   F842)</f>
        <v>Perlu dijelaskan berulang kali sebelum memahami isi sebuah laporan atau dokumen bisnis.</v>
      </c>
    </row>
    <row r="843" spans="1:7">
      <c r="A843" t="str">
        <f t="shared" si="13"/>
        <v>Strategic Thinking|Officer|1|2</v>
      </c>
      <c r="B843" t="str">
        <v>Strategic Thinking</v>
      </c>
      <c r="C843" t="str">
        <v>Officer</v>
      </c>
      <c r="D843" s="76">
        <v>1</v>
      </c>
      <c r="E843" t="str" cm="1">
        <f t="array" ref="E843">INDEX(aspek!$D$2:$D$337,
   MATCH(1,(aspek!$A$2:$A$337=B843)*
           (aspek!$B$2:$B$337=C843)*
           (aspek!$C$2:$C$337=D843),0))</f>
        <v>Kecepatan memahami informasi bisnis</v>
      </c>
      <c r="F843" s="76">
        <v>2</v>
      </c>
      <c r="G843" s="56" t="str" cm="1">
        <f t="array" ref="G843">INDEX(deskripsi!$D$2:$H$337,
   MATCH(1,(deskripsi!$A$2:$A$337=B843)*
           (deskripsi!$B$2:$B$337=C843)*
           (deskripsi!$C$2:$C$337=D843),0),
   F843)</f>
        <v>Memahami setelah membaca beberapa kali, masih lebih lambat dari tuntutan pekerjaan.</v>
      </c>
    </row>
    <row r="844" spans="1:7">
      <c r="A844" t="str">
        <f t="shared" si="13"/>
        <v>Strategic Thinking|Officer|1|3</v>
      </c>
      <c r="B844" t="str">
        <v>Strategic Thinking</v>
      </c>
      <c r="C844" t="str">
        <v>Officer</v>
      </c>
      <c r="D844" s="76">
        <v>1</v>
      </c>
      <c r="E844" t="str" cm="1">
        <f t="array" ref="E844">INDEX(aspek!$D$2:$D$337,
   MATCH(1,(aspek!$A$2:$A$337=B844)*
           (aspek!$B$2:$B$337=C844)*
           (aspek!$C$2:$C$337=D844),0))</f>
        <v>Kecepatan memahami informasi bisnis</v>
      </c>
      <c r="F844" s="76">
        <v>3</v>
      </c>
      <c r="G844" s="56" t="str" cm="1">
        <f t="array" ref="G844">INDEX(deskripsi!$D$2:$H$337,
   MATCH(1,(deskripsi!$A$2:$A$337=B844)*
           (deskripsi!$B$2:$B$337=C844)*
           (deskripsi!$C$2:$C$337=D844),0),
   F844)</f>
        <v>Memahami dokumen bisnis rutin dalam waktu wajar tanpa penjelasan tambahan.</v>
      </c>
    </row>
    <row r="845" spans="1:7">
      <c r="A845" t="str">
        <f t="shared" si="13"/>
        <v>Strategic Thinking|Officer|1|4</v>
      </c>
      <c r="B845" t="str">
        <v>Strategic Thinking</v>
      </c>
      <c r="C845" t="str">
        <v>Officer</v>
      </c>
      <c r="D845" s="76">
        <v>1</v>
      </c>
      <c r="E845" t="str" cm="1">
        <f t="array" ref="E845">INDEX(aspek!$D$2:$D$337,
   MATCH(1,(aspek!$A$2:$A$337=B845)*
           (aspek!$B$2:$B$337=C845)*
           (aspek!$C$2:$C$337=D845),0))</f>
        <v>Kecepatan memahami informasi bisnis</v>
      </c>
      <c r="F845" s="76">
        <v>4</v>
      </c>
      <c r="G845" s="56" t="str" cm="1">
        <f t="array" ref="G845">INDEX(deskripsi!$D$2:$H$337,
   MATCH(1,(deskripsi!$A$2:$A$337=B845)*
           (deskripsi!$B$2:$B$337=C845)*
           (deskripsi!$C$2:$C$337=D845),0),
   F845)</f>
        <v>Menangkap inti dokumen bisnis yang baru baginya dalam waktu singkat, termasuk yang formatnya belum pernah ia temui.</v>
      </c>
    </row>
    <row r="846" spans="1:7">
      <c r="A846" t="str">
        <f t="shared" si="13"/>
        <v>Strategic Thinking|Officer|1|5</v>
      </c>
      <c r="B846" t="str">
        <v>Strategic Thinking</v>
      </c>
      <c r="C846" t="str">
        <v>Officer</v>
      </c>
      <c r="D846" s="76">
        <v>1</v>
      </c>
      <c r="E846" t="str" cm="1">
        <f t="array" ref="E846">INDEX(aspek!$D$2:$D$337,
   MATCH(1,(aspek!$A$2:$A$337=B846)*
           (aspek!$B$2:$B$337=C846)*
           (aspek!$C$2:$C$337=D846),0))</f>
        <v>Kecepatan memahami informasi bisnis</v>
      </c>
      <c r="F846" s="76">
        <v>5</v>
      </c>
      <c r="G846" s="56" t="str" cm="1">
        <f t="array" ref="G846">INDEX(deskripsi!$D$2:$H$337,
   MATCH(1,(deskripsi!$A$2:$A$337=B846)*
           (deskripsi!$B$2:$B$337=C846)*
           (deskripsi!$C$2:$C$337=D846),0),
   F846)</f>
        <v>Menjadi orang yang dimintai bantuan rekan untuk membaca laporan yang sulit dipahami.</v>
      </c>
    </row>
    <row r="847" spans="1:7">
      <c r="A847" t="str">
        <f t="shared" si="13"/>
        <v>Strategic Thinking|Officer|2|1</v>
      </c>
      <c r="B847" t="str">
        <v>Strategic Thinking</v>
      </c>
      <c r="C847" t="str">
        <v>Officer</v>
      </c>
      <c r="D847" s="76">
        <v>2</v>
      </c>
      <c r="E847" t="str" cm="1">
        <f t="array" ref="E847">INDEX(aspek!$D$2:$D$337,
   MATCH(1,(aspek!$A$2:$A$337=B847)*
           (aspek!$B$2:$B$337=C847)*
           (aspek!$C$2:$C$337=D847),0))</f>
        <v>Akurasi menangkap poin utama</v>
      </c>
      <c r="F847" s="76">
        <v>1</v>
      </c>
      <c r="G847" s="56" t="str" cm="1">
        <f t="array" ref="G847">INDEX(deskripsi!$D$2:$H$337,
   MATCH(1,(deskripsi!$A$2:$A$337=B847)*
           (deskripsi!$B$2:$B$337=C847)*
           (deskripsi!$C$2:$C$337=D847),0),
   F847)</f>
        <v>Menangkap bagian yang menarik baginya, bukan bagian yang terpenting bagi keputusan.</v>
      </c>
    </row>
    <row r="848" spans="1:7">
      <c r="A848" t="str">
        <f t="shared" si="13"/>
        <v>Strategic Thinking|Officer|2|2</v>
      </c>
      <c r="B848" t="str">
        <v>Strategic Thinking</v>
      </c>
      <c r="C848" t="str">
        <v>Officer</v>
      </c>
      <c r="D848" s="76">
        <v>2</v>
      </c>
      <c r="E848" t="str" cm="1">
        <f t="array" ref="E848">INDEX(aspek!$D$2:$D$337,
   MATCH(1,(aspek!$A$2:$A$337=B848)*
           (aspek!$B$2:$B$337=C848)*
           (aspek!$C$2:$C$337=D848),0))</f>
        <v>Akurasi menangkap poin utama</v>
      </c>
      <c r="F848" s="76">
        <v>2</v>
      </c>
      <c r="G848" s="56" t="str" cm="1">
        <f t="array" ref="G848">INDEX(deskripsi!$D$2:$H$337,
   MATCH(1,(deskripsi!$A$2:$A$337=B848)*
           (deskripsi!$B$2:$B$337=C848)*
           (deskripsi!$C$2:$C$337=D848),0),
   F848)</f>
        <v>Menangkap sebagian poin utama, tercampur dengan detail yang tidak menentukan.</v>
      </c>
    </row>
    <row r="849" spans="1:7">
      <c r="A849" t="str">
        <f t="shared" si="13"/>
        <v>Strategic Thinking|Officer|2|3</v>
      </c>
      <c r="B849" t="str">
        <v>Strategic Thinking</v>
      </c>
      <c r="C849" t="str">
        <v>Officer</v>
      </c>
      <c r="D849" s="76">
        <v>2</v>
      </c>
      <c r="E849" t="str" cm="1">
        <f t="array" ref="E849">INDEX(aspek!$D$2:$D$337,
   MATCH(1,(aspek!$A$2:$A$337=B849)*
           (aspek!$B$2:$B$337=C849)*
           (aspek!$C$2:$C$337=D849),0))</f>
        <v>Akurasi menangkap poin utama</v>
      </c>
      <c r="F849" s="76">
        <v>3</v>
      </c>
      <c r="G849" s="56" t="str" cm="1">
        <f t="array" ref="G849">INDEX(deskripsi!$D$2:$H$337,
   MATCH(1,(deskripsi!$A$2:$A$337=B849)*
           (deskripsi!$B$2:$B$337=C849)*
           (deskripsi!$C$2:$C$337=D849),0),
   F849)</f>
        <v>Menangkap poin utama dengan benar pada dokumen yang strukturnya jelas.</v>
      </c>
    </row>
    <row r="850" spans="1:7">
      <c r="A850" t="str">
        <f t="shared" si="13"/>
        <v>Strategic Thinking|Officer|2|4</v>
      </c>
      <c r="B850" t="str">
        <v>Strategic Thinking</v>
      </c>
      <c r="C850" t="str">
        <v>Officer</v>
      </c>
      <c r="D850" s="76">
        <v>2</v>
      </c>
      <c r="E850" t="str" cm="1">
        <f t="array" ref="E850">INDEX(aspek!$D$2:$D$337,
   MATCH(1,(aspek!$A$2:$A$337=B850)*
           (aspek!$B$2:$B$337=C850)*
           (aspek!$C$2:$C$337=D850),0))</f>
        <v>Akurasi menangkap poin utama</v>
      </c>
      <c r="F850" s="76">
        <v>4</v>
      </c>
      <c r="G850" s="56" t="str" cm="1">
        <f t="array" ref="G850">INDEX(deskripsi!$D$2:$H$337,
   MATCH(1,(deskripsi!$A$2:$A$337=B850)*
           (deskripsi!$B$2:$B$337=C850)*
           (deskripsi!$C$2:$C$337=D850),0),
   F850)</f>
        <v>Poin utama yang ia tangkap dibenarkan atasan atau pemilik dokumen, termasuk pada laporan yang panjang.</v>
      </c>
    </row>
    <row r="851" spans="1:7">
      <c r="A851" t="str">
        <f t="shared" si="13"/>
        <v>Strategic Thinking|Officer|2|5</v>
      </c>
      <c r="B851" t="str">
        <v>Strategic Thinking</v>
      </c>
      <c r="C851" t="str">
        <v>Officer</v>
      </c>
      <c r="D851" s="76">
        <v>2</v>
      </c>
      <c r="E851" t="str" cm="1">
        <f t="array" ref="E851">INDEX(aspek!$D$2:$D$337,
   MATCH(1,(aspek!$A$2:$A$337=B851)*
           (aspek!$B$2:$B$337=C851)*
           (aspek!$C$2:$C$337=D851),0))</f>
        <v>Akurasi menangkap poin utama</v>
      </c>
      <c r="F851" s="76">
        <v>5</v>
      </c>
      <c r="G851" s="56" t="str" cm="1">
        <f t="array" ref="G851">INDEX(deskripsi!$D$2:$H$337,
   MATCH(1,(deskripsi!$A$2:$A$337=B851)*
           (deskripsi!$B$2:$B$337=C851)*
           (deskripsi!$C$2:$C$337=D851),0),
   F851)</f>
        <v>Menemukan poin penting yang bahkan tidak disadari penyusun dokumennya.</v>
      </c>
    </row>
    <row r="852" spans="1:7">
      <c r="A852" t="str">
        <f t="shared" si="13"/>
        <v>Strategic Thinking|Officer|3|1</v>
      </c>
      <c r="B852" t="str">
        <v>Strategic Thinking</v>
      </c>
      <c r="C852" t="str">
        <v>Officer</v>
      </c>
      <c r="D852" s="76">
        <v>3</v>
      </c>
      <c r="E852" t="str" cm="1">
        <f t="array" ref="E852">INDEX(aspek!$D$2:$D$337,
   MATCH(1,(aspek!$A$2:$A$337=B852)*
           (aspek!$B$2:$B$337=C852)*
           (aspek!$C$2:$C$337=D852),0))</f>
        <v>Kemandirian menyimpulkan</v>
      </c>
      <c r="F852" s="76">
        <v>1</v>
      </c>
      <c r="G852" s="56" t="str" cm="1">
        <f t="array" ref="G852">INDEX(deskripsi!$D$2:$H$337,
   MATCH(1,(deskripsi!$A$2:$A$337=B852)*
           (deskripsi!$B$2:$B$337=C852)*
           (deskripsi!$C$2:$C$337=D852),0),
   F852)</f>
        <v>Tidak menarik kesimpulan; menunggu diberi tahu apa arti sebuah laporan.</v>
      </c>
    </row>
    <row r="853" spans="1:7">
      <c r="A853" t="str">
        <f t="shared" si="13"/>
        <v>Strategic Thinking|Officer|3|2</v>
      </c>
      <c r="B853" t="str">
        <v>Strategic Thinking</v>
      </c>
      <c r="C853" t="str">
        <v>Officer</v>
      </c>
      <c r="D853" s="76">
        <v>3</v>
      </c>
      <c r="E853" t="str" cm="1">
        <f t="array" ref="E853">INDEX(aspek!$D$2:$D$337,
   MATCH(1,(aspek!$A$2:$A$337=B853)*
           (aspek!$B$2:$B$337=C853)*
           (aspek!$C$2:$C$337=D853),0))</f>
        <v>Kemandirian menyimpulkan</v>
      </c>
      <c r="F853" s="76">
        <v>2</v>
      </c>
      <c r="G853" s="56" t="str" cm="1">
        <f t="array" ref="G853">INDEX(deskripsi!$D$2:$H$337,
   MATCH(1,(deskripsi!$A$2:$A$337=B853)*
           (deskripsi!$B$2:$B$337=C853)*
           (deskripsi!$C$2:$C$337=D853),0),
   F853)</f>
        <v>Meringkas isi dokumen, tetapi kesimpulan diserahkan kepada orang lain.</v>
      </c>
    </row>
    <row r="854" spans="1:7">
      <c r="A854" t="str">
        <f t="shared" si="13"/>
        <v>Strategic Thinking|Officer|3|3</v>
      </c>
      <c r="B854" t="str">
        <v>Strategic Thinking</v>
      </c>
      <c r="C854" t="str">
        <v>Officer</v>
      </c>
      <c r="D854" s="76">
        <v>3</v>
      </c>
      <c r="E854" t="str" cm="1">
        <f t="array" ref="E854">INDEX(aspek!$D$2:$D$337,
   MATCH(1,(aspek!$A$2:$A$337=B854)*
           (aspek!$B$2:$B$337=C854)*
           (aspek!$C$2:$C$337=D854),0))</f>
        <v>Kemandirian menyimpulkan</v>
      </c>
      <c r="F854" s="76">
        <v>3</v>
      </c>
      <c r="G854" s="56" t="str" cm="1">
        <f t="array" ref="G854">INDEX(deskripsi!$D$2:$H$337,
   MATCH(1,(deskripsi!$A$2:$A$337=B854)*
           (deskripsi!$B$2:$B$337=C854)*
           (deskripsi!$C$2:$C$337=D854),0),
   F854)</f>
        <v>Menarik kesimpulan sendiri, meski masih sering perlu dikoreksi.</v>
      </c>
    </row>
    <row r="855" spans="1:7">
      <c r="A855" t="str">
        <f t="shared" si="13"/>
        <v>Strategic Thinking|Officer|3|4</v>
      </c>
      <c r="B855" t="str">
        <v>Strategic Thinking</v>
      </c>
      <c r="C855" t="str">
        <v>Officer</v>
      </c>
      <c r="D855" s="76">
        <v>3</v>
      </c>
      <c r="E855" t="str" cm="1">
        <f t="array" ref="E855">INDEX(aspek!$D$2:$D$337,
   MATCH(1,(aspek!$A$2:$A$337=B855)*
           (aspek!$B$2:$B$337=C855)*
           (aspek!$C$2:$C$337=D855),0))</f>
        <v>Kemandirian menyimpulkan</v>
      </c>
      <c r="F855" s="76">
        <v>4</v>
      </c>
      <c r="G855" s="56" t="str" cm="1">
        <f t="array" ref="G855">INDEX(deskripsi!$D$2:$H$337,
   MATCH(1,(deskripsi!$A$2:$A$337=B855)*
           (deskripsi!$B$2:$B$337=C855)*
           (deskripsi!$C$2:$C$337=D855),0),
   F855)</f>
        <v>Menyampaikan kesimpulan sendiri sebelum meminta arahan, dan mayoritas kesimpulannya tepat.</v>
      </c>
    </row>
    <row r="856" spans="1:7">
      <c r="A856" t="str">
        <f t="shared" si="13"/>
        <v>Strategic Thinking|Officer|3|5</v>
      </c>
      <c r="B856" t="str">
        <v>Strategic Thinking</v>
      </c>
      <c r="C856" t="str">
        <v>Officer</v>
      </c>
      <c r="D856" s="76">
        <v>3</v>
      </c>
      <c r="E856" t="str" cm="1">
        <f t="array" ref="E856">INDEX(aspek!$D$2:$D$337,
   MATCH(1,(aspek!$A$2:$A$337=B856)*
           (aspek!$B$2:$B$337=C856)*
           (aspek!$C$2:$C$337=D856),0))</f>
        <v>Kemandirian menyimpulkan</v>
      </c>
      <c r="F856" s="76">
        <v>5</v>
      </c>
      <c r="G856" s="56" t="str" cm="1">
        <f t="array" ref="G856">INDEX(deskripsi!$D$2:$H$337,
   MATCH(1,(deskripsi!$A$2:$A$337=B856)*
           (deskripsi!$B$2:$B$337=C856)*
           (deskripsi!$C$2:$C$337=D856),0),
   F856)</f>
        <v>Kesimpulannya dipakai orang lain sebagai dasar keputusan tanpa perlu diperiksa ulang.</v>
      </c>
    </row>
    <row r="857" spans="1:7">
      <c r="A857" t="str">
        <f t="shared" si="13"/>
        <v>Strategic Thinking|Officer|4|1</v>
      </c>
      <c r="B857" t="str">
        <v>Strategic Thinking</v>
      </c>
      <c r="C857" t="str">
        <v>Officer</v>
      </c>
      <c r="D857" s="76">
        <v>4</v>
      </c>
      <c r="E857" t="str" cm="1">
        <f t="array" ref="E857">INDEX(aspek!$D$2:$D$337,
   MATCH(1,(aspek!$A$2:$A$337=B857)*
           (aspek!$B$2:$B$337=C857)*
           (aspek!$C$2:$C$337=D857),0))</f>
        <v>Menghubungkan dengan konteks pekerjaan</v>
      </c>
      <c r="F857" s="76">
        <v>1</v>
      </c>
      <c r="G857" s="56" t="str" cm="1">
        <f t="array" ref="G857">INDEX(deskripsi!$D$2:$H$337,
   MATCH(1,(deskripsi!$A$2:$A$337=B857)*
           (deskripsi!$B$2:$B$337=C857)*
           (deskripsi!$C$2:$C$337=D857),0),
   F857)</f>
        <v>Tidak melihat hubungan antara informasi bisnis dan pekerjaannya sendiri.</v>
      </c>
    </row>
    <row r="858" spans="1:7">
      <c r="A858" t="str">
        <f t="shared" si="13"/>
        <v>Strategic Thinking|Officer|4|2</v>
      </c>
      <c r="B858" t="str">
        <v>Strategic Thinking</v>
      </c>
      <c r="C858" t="str">
        <v>Officer</v>
      </c>
      <c r="D858" s="76">
        <v>4</v>
      </c>
      <c r="E858" t="str" cm="1">
        <f t="array" ref="E858">INDEX(aspek!$D$2:$D$337,
   MATCH(1,(aspek!$A$2:$A$337=B858)*
           (aspek!$B$2:$B$337=C858)*
           (aspek!$C$2:$C$337=D858),0))</f>
        <v>Menghubungkan dengan konteks pekerjaan</v>
      </c>
      <c r="F858" s="76">
        <v>2</v>
      </c>
      <c r="G858" s="56" t="str" cm="1">
        <f t="array" ref="G858">INDEX(deskripsi!$D$2:$H$337,
   MATCH(1,(deskripsi!$A$2:$A$337=B858)*
           (deskripsi!$B$2:$B$337=C858)*
           (deskripsi!$C$2:$C$337=D858),0),
   F858)</f>
        <v>Menyadari ada hubungan, tetapi tidak dapat menyebutkannya secara spesifik.</v>
      </c>
    </row>
    <row r="859" spans="1:7">
      <c r="A859" t="str">
        <f t="shared" si="13"/>
        <v>Strategic Thinking|Officer|4|3</v>
      </c>
      <c r="B859" t="str">
        <v>Strategic Thinking</v>
      </c>
      <c r="C859" t="str">
        <v>Officer</v>
      </c>
      <c r="D859" s="76">
        <v>4</v>
      </c>
      <c r="E859" t="str" cm="1">
        <f t="array" ref="E859">INDEX(aspek!$D$2:$D$337,
   MATCH(1,(aspek!$A$2:$A$337=B859)*
           (aspek!$B$2:$B$337=C859)*
           (aspek!$C$2:$C$337=D859),0))</f>
        <v>Menghubungkan dengan konteks pekerjaan</v>
      </c>
      <c r="F859" s="76">
        <v>3</v>
      </c>
      <c r="G859" s="56" t="str" cm="1">
        <f t="array" ref="G859">INDEX(deskripsi!$D$2:$H$337,
   MATCH(1,(deskripsi!$A$2:$A$337=B859)*
           (deskripsi!$B$2:$B$337=C859)*
           (deskripsi!$C$2:$C$337=D859),0),
   F859)</f>
        <v>Menjelaskan keterkaitan pekerjaannya dengan target unit.</v>
      </c>
    </row>
    <row r="860" spans="1:7">
      <c r="A860" t="str">
        <f t="shared" si="13"/>
        <v>Strategic Thinking|Officer|4|4</v>
      </c>
      <c r="B860" t="str">
        <v>Strategic Thinking</v>
      </c>
      <c r="C860" t="str">
        <v>Officer</v>
      </c>
      <c r="D860" s="76">
        <v>4</v>
      </c>
      <c r="E860" t="str" cm="1">
        <f t="array" ref="E860">INDEX(aspek!$D$2:$D$337,
   MATCH(1,(aspek!$A$2:$A$337=B860)*
           (aspek!$B$2:$B$337=C860)*
           (aspek!$C$2:$C$337=D860),0))</f>
        <v>Menghubungkan dengan konteks pekerjaan</v>
      </c>
      <c r="F860" s="76">
        <v>4</v>
      </c>
      <c r="G860" s="56" t="str" cm="1">
        <f t="array" ref="G860">INDEX(deskripsi!$D$2:$H$337,
   MATCH(1,(deskripsi!$A$2:$A$337=B860)*
           (deskripsi!$B$2:$B$337=C860)*
           (deskripsi!$C$2:$C$337=D860),0),
   F860)</f>
        <v>Menarik keterkaitan yang tepat antara prioritas perusahaan, target unit, dan pekerjaannya sendiri — berdasar dokumen, bukan dugaan, dan tidak memaksakan kaitan yang sebenarnya tidak ada.</v>
      </c>
    </row>
    <row r="861" spans="1:7">
      <c r="A861" t="str">
        <f t="shared" si="13"/>
        <v>Strategic Thinking|Officer|4|5</v>
      </c>
      <c r="B861" t="str">
        <v>Strategic Thinking</v>
      </c>
      <c r="C861" t="str">
        <v>Officer</v>
      </c>
      <c r="D861" s="76">
        <v>4</v>
      </c>
      <c r="E861" t="str" cm="1">
        <f t="array" ref="E861">INDEX(aspek!$D$2:$D$337,
   MATCH(1,(aspek!$A$2:$A$337=B861)*
           (aspek!$B$2:$B$337=C861)*
           (aspek!$C$2:$C$337=D861),0))</f>
        <v>Menghubungkan dengan konteks pekerjaan</v>
      </c>
      <c r="F861" s="76">
        <v>5</v>
      </c>
      <c r="G861" s="56" t="str" cm="1">
        <f t="array" ref="G861">INDEX(deskripsi!$D$2:$H$337,
   MATCH(1,(deskripsi!$A$2:$A$337=B861)*
           (deskripsi!$B$2:$B$337=C861)*
           (deskripsi!$C$2:$C$337=D861),0),
   F861)</f>
        <v>Menemukan keterkaitan yang belum terlihat oleh unitnya dan mengubah cara target disusun.</v>
      </c>
    </row>
    <row r="862" spans="1:7">
      <c r="A862" t="str">
        <f t="shared" si="13"/>
        <v>Strategic Thinking|Analyst|1|1</v>
      </c>
      <c r="B862" t="str">
        <v>Strategic Thinking</v>
      </c>
      <c r="C862" t="str">
        <v>Analyst</v>
      </c>
      <c r="D862" s="76">
        <v>1</v>
      </c>
      <c r="E862" t="str" cm="1">
        <f t="array" ref="E862">INDEX(aspek!$D$2:$D$337,
   MATCH(1,(aspek!$A$2:$A$337=B862)*
           (aspek!$B$2:$B$337=C862)*
           (aspek!$C$2:$C$337=D862),0))</f>
        <v>Struktur penjelasan</v>
      </c>
      <c r="F862" s="76">
        <v>1</v>
      </c>
      <c r="G862" s="56" t="str" cm="1">
        <f t="array" ref="G862">INDEX(deskripsi!$D$2:$H$337,
   MATCH(1,(deskripsi!$A$2:$A$337=B862)*
           (deskripsi!$B$2:$B$337=C862)*
           (deskripsi!$C$2:$C$337=D862),0),
   F862)</f>
        <v>Penjelasan analisis tidak terstruktur; pendengar tidak menemukan poin utamanya.</v>
      </c>
    </row>
    <row r="863" spans="1:7">
      <c r="A863" t="str">
        <f t="shared" si="13"/>
        <v>Strategic Thinking|Analyst|1|2</v>
      </c>
      <c r="B863" t="str">
        <v>Strategic Thinking</v>
      </c>
      <c r="C863" t="str">
        <v>Analyst</v>
      </c>
      <c r="D863" s="76">
        <v>1</v>
      </c>
      <c r="E863" t="str" cm="1">
        <f t="array" ref="E863">INDEX(aspek!$D$2:$D$337,
   MATCH(1,(aspek!$A$2:$A$337=B863)*
           (aspek!$B$2:$B$337=C863)*
           (aspek!$C$2:$C$337=D863),0))</f>
        <v>Struktur penjelasan</v>
      </c>
      <c r="F863" s="76">
        <v>2</v>
      </c>
      <c r="G863" s="56" t="str" cm="1">
        <f t="array" ref="G863">INDEX(deskripsi!$D$2:$H$337,
   MATCH(1,(deskripsi!$A$2:$A$337=B863)*
           (deskripsi!$B$2:$B$337=C863)*
           (deskripsi!$C$2:$C$337=D863),0),
   F863)</f>
        <v>Ada urutan, tetapi berbelit — kesimpulan tenggelam di antara data pendukung.</v>
      </c>
    </row>
    <row r="864" spans="1:7">
      <c r="A864" t="str">
        <f t="shared" si="13"/>
        <v>Strategic Thinking|Analyst|1|3</v>
      </c>
      <c r="B864" t="str">
        <v>Strategic Thinking</v>
      </c>
      <c r="C864" t="str">
        <v>Analyst</v>
      </c>
      <c r="D864" s="76">
        <v>1</v>
      </c>
      <c r="E864" t="str" cm="1">
        <f t="array" ref="E864">INDEX(aspek!$D$2:$D$337,
   MATCH(1,(aspek!$A$2:$A$337=B864)*
           (aspek!$B$2:$B$337=C864)*
           (aspek!$C$2:$C$337=D864),0))</f>
        <v>Struktur penjelasan</v>
      </c>
      <c r="F864" s="76">
        <v>3</v>
      </c>
      <c r="G864" s="56" t="str" cm="1">
        <f t="array" ref="G864">INDEX(deskripsi!$D$2:$H$337,
   MATCH(1,(deskripsi!$A$2:$A$337=B864)*
           (deskripsi!$B$2:$B$337=C864)*
           (deskripsi!$C$2:$C$337=D864),0),
   F864)</f>
        <v>Jelas dan runtut: kesimpulan di depan, didukung alasan yang dikelompokkan rapi.</v>
      </c>
    </row>
    <row r="865" spans="1:7">
      <c r="A865" t="str">
        <f t="shared" si="13"/>
        <v>Strategic Thinking|Analyst|1|4</v>
      </c>
      <c r="B865" t="str">
        <v>Strategic Thinking</v>
      </c>
      <c r="C865" t="str">
        <v>Analyst</v>
      </c>
      <c r="D865" s="76">
        <v>1</v>
      </c>
      <c r="E865" t="str" cm="1">
        <f t="array" ref="E865">INDEX(aspek!$D$2:$D$337,
   MATCH(1,(aspek!$A$2:$A$337=B865)*
           (aspek!$B$2:$B$337=C865)*
           (aspek!$C$2:$C$337=D865),0))</f>
        <v>Struktur penjelasan</v>
      </c>
      <c r="F865" s="76">
        <v>4</v>
      </c>
      <c r="G865" s="56" t="str" cm="1">
        <f t="array" ref="G865">INDEX(deskripsi!$D$2:$H$337,
   MATCH(1,(deskripsi!$A$2:$A$337=B865)*
           (deskripsi!$B$2:$B$337=C865)*
           (deskripsi!$C$2:$C$337=D865),0),
   F865)</f>
        <v>Struktur disusun mengikuti keputusan yang dibutuhkan pendengar, bukan mengikuti urutan pengerjaan analisisnya.</v>
      </c>
    </row>
    <row r="866" spans="1:7">
      <c r="A866" t="str">
        <f t="shared" si="13"/>
        <v>Strategic Thinking|Analyst|1|5</v>
      </c>
      <c r="B866" t="str">
        <v>Strategic Thinking</v>
      </c>
      <c r="C866" t="str">
        <v>Analyst</v>
      </c>
      <c r="D866" s="76">
        <v>1</v>
      </c>
      <c r="E866" t="str" cm="1">
        <f t="array" ref="E866">INDEX(aspek!$D$2:$D$337,
   MATCH(1,(aspek!$A$2:$A$337=B866)*
           (aspek!$B$2:$B$337=C866)*
           (aspek!$C$2:$C$337=D866),0))</f>
        <v>Struktur penjelasan</v>
      </c>
      <c r="F866" s="76">
        <v>5</v>
      </c>
      <c r="G866" s="56" t="str" cm="1">
        <f t="array" ref="G866">INDEX(deskripsi!$D$2:$H$337,
   MATCH(1,(deskripsi!$A$2:$A$337=B866)*
           (deskripsi!$B$2:$B$337=C866)*
           (deskripsi!$C$2:$C$337=D866),0),
   F866)</f>
        <v>Penjelasannya menjadi narasi yang menggerakkan pendengar untuk bertindak.</v>
      </c>
    </row>
    <row r="867" spans="1:7">
      <c r="A867" t="str">
        <f t="shared" si="13"/>
        <v>Strategic Thinking|Analyst|2|1</v>
      </c>
      <c r="B867" t="str">
        <v>Strategic Thinking</v>
      </c>
      <c r="C867" t="str">
        <v>Analyst</v>
      </c>
      <c r="D867" s="76">
        <v>2</v>
      </c>
      <c r="E867" t="str" cm="1">
        <f t="array" ref="E867">INDEX(aspek!$D$2:$D$337,
   MATCH(1,(aspek!$A$2:$A$337=B867)*
           (aspek!$B$2:$B$337=C867)*
           (aspek!$C$2:$C$337=D867),0))</f>
        <v>Penyesuaian terhadap audiens</v>
      </c>
      <c r="F867" s="76">
        <v>1</v>
      </c>
      <c r="G867" s="56" t="str" cm="1">
        <f t="array" ref="G867">INDEX(deskripsi!$D$2:$H$337,
   MATCH(1,(deskripsi!$A$2:$A$337=B867)*
           (deskripsi!$B$2:$B$337=C867)*
           (deskripsi!$C$2:$C$337=D867),0),
   F867)</f>
        <v>Analisis yang sama disampaikan dengan cara yang sama kepada siapa pun.</v>
      </c>
    </row>
    <row r="868" spans="1:7">
      <c r="A868" t="str">
        <f t="shared" si="13"/>
        <v>Strategic Thinking|Analyst|2|2</v>
      </c>
      <c r="B868" t="str">
        <v>Strategic Thinking</v>
      </c>
      <c r="C868" t="str">
        <v>Analyst</v>
      </c>
      <c r="D868" s="76">
        <v>2</v>
      </c>
      <c r="E868" t="str" cm="1">
        <f t="array" ref="E868">INDEX(aspek!$D$2:$D$337,
   MATCH(1,(aspek!$A$2:$A$337=B868)*
           (aspek!$B$2:$B$337=C868)*
           (aspek!$C$2:$C$337=D868),0))</f>
        <v>Penyesuaian terhadap audiens</v>
      </c>
      <c r="F868" s="76">
        <v>2</v>
      </c>
      <c r="G868" s="56" t="str" cm="1">
        <f t="array" ref="G868">INDEX(deskripsi!$D$2:$H$337,
   MATCH(1,(deskripsi!$A$2:$A$337=B868)*
           (deskripsi!$B$2:$B$337=C868)*
           (deskripsi!$C$2:$C$337=D868),0),
   F868)</f>
        <v>Menyadari audiens berbeda, tetapi penyesuaiannya hanya pada panjang-pendek.</v>
      </c>
    </row>
    <row r="869" spans="1:7">
      <c r="A869" t="str">
        <f t="shared" si="13"/>
        <v>Strategic Thinking|Analyst|2|3</v>
      </c>
      <c r="B869" t="str">
        <v>Strategic Thinking</v>
      </c>
      <c r="C869" t="str">
        <v>Analyst</v>
      </c>
      <c r="D869" s="76">
        <v>2</v>
      </c>
      <c r="E869" t="str" cm="1">
        <f t="array" ref="E869">INDEX(aspek!$D$2:$D$337,
   MATCH(1,(aspek!$A$2:$A$337=B869)*
           (aspek!$B$2:$B$337=C869)*
           (aspek!$C$2:$C$337=D869),0))</f>
        <v>Penyesuaian terhadap audiens</v>
      </c>
      <c r="F869" s="76">
        <v>3</v>
      </c>
      <c r="G869" s="56" t="str" cm="1">
        <f t="array" ref="G869">INDEX(deskripsi!$D$2:$H$337,
   MATCH(1,(deskripsi!$A$2:$A$337=B869)*
           (deskripsi!$B$2:$B$337=C869)*
           (deskripsi!$C$2:$C$337=D869),0),
   F869)</f>
        <v>Menyesuaikan bahasa dan istilah sesuai latar belakang pendengar.</v>
      </c>
    </row>
    <row r="870" spans="1:7">
      <c r="A870" t="str">
        <f t="shared" si="13"/>
        <v>Strategic Thinking|Analyst|2|4</v>
      </c>
      <c r="B870" t="str">
        <v>Strategic Thinking</v>
      </c>
      <c r="C870" t="str">
        <v>Analyst</v>
      </c>
      <c r="D870" s="76">
        <v>2</v>
      </c>
      <c r="E870" t="str" cm="1">
        <f t="array" ref="E870">INDEX(aspek!$D$2:$D$337,
   MATCH(1,(aspek!$A$2:$A$337=B870)*
           (aspek!$B$2:$B$337=C870)*
           (aspek!$C$2:$C$337=D870),0))</f>
        <v>Penyesuaian terhadap audiens</v>
      </c>
      <c r="F870" s="76">
        <v>4</v>
      </c>
      <c r="G870" s="56" t="str" cm="1">
        <f t="array" ref="G870">INDEX(deskripsi!$D$2:$H$337,
   MATCH(1,(deskripsi!$A$2:$A$337=B870)*
           (deskripsi!$B$2:$B$337=C870)*
           (deskripsi!$C$2:$C$337=D870),0),
   F870)</f>
        <v>Menyesuaikan kedalaman, pilihan data, dan sudut masuk sesuai apa yang perlu diketahui tiap audiens; mengubah pendekatan di tengah penjelasan ketika audiens terlihat tidak mengikuti.</v>
      </c>
    </row>
    <row r="871" spans="1:7">
      <c r="A871" t="str">
        <f t="shared" si="13"/>
        <v>Strategic Thinking|Analyst|2|5</v>
      </c>
      <c r="B871" t="str">
        <v>Strategic Thinking</v>
      </c>
      <c r="C871" t="str">
        <v>Analyst</v>
      </c>
      <c r="D871" s="76">
        <v>2</v>
      </c>
      <c r="E871" t="str" cm="1">
        <f t="array" ref="E871">INDEX(aspek!$D$2:$D$337,
   MATCH(1,(aspek!$A$2:$A$337=B871)*
           (aspek!$B$2:$B$337=C871)*
           (aspek!$C$2:$C$337=D871),0))</f>
        <v>Penyesuaian terhadap audiens</v>
      </c>
      <c r="F871" s="76">
        <v>5</v>
      </c>
      <c r="G871" s="56" t="str" cm="1">
        <f t="array" ref="G871">INDEX(deskripsi!$D$2:$H$337,
   MATCH(1,(deskripsi!$A$2:$A$337=B871)*
           (deskripsi!$B$2:$B$337=C871)*
           (deskripsi!$C$2:$C$337=D871),0),
   F871)</f>
        <v>Menjelaskan analisis yang sama secara meyakinkan kepada pihak yang kepentingannya berbeda.</v>
      </c>
    </row>
    <row r="872" spans="1:7">
      <c r="A872" t="str">
        <f t="shared" si="13"/>
        <v>Strategic Thinking|Analyst|3|1</v>
      </c>
      <c r="B872" t="str">
        <v>Strategic Thinking</v>
      </c>
      <c r="C872" t="str">
        <v>Analyst</v>
      </c>
      <c r="D872" s="76">
        <v>3</v>
      </c>
      <c r="E872" t="str" cm="1">
        <f t="array" ref="E872">INDEX(aspek!$D$2:$D$337,
   MATCH(1,(aspek!$A$2:$A$337=B872)*
           (aspek!$B$2:$B$337=C872)*
           (aspek!$C$2:$C$337=D872),0))</f>
        <v>Menyederhanakan tanpa kehilangan makna</v>
      </c>
      <c r="F872" s="76">
        <v>1</v>
      </c>
      <c r="G872" s="56" t="str" cm="1">
        <f t="array" ref="G872">INDEX(deskripsi!$D$2:$H$337,
   MATCH(1,(deskripsi!$A$2:$A$337=B872)*
           (deskripsi!$B$2:$B$337=C872)*
           (deskripsi!$C$2:$C$337=D872),0),
   F872)</f>
        <v>Menyampaikan seluruh data apa adanya, atau menyederhanakan sampai kesimpulannya berubah.</v>
      </c>
    </row>
    <row r="873" spans="1:7">
      <c r="A873" t="str">
        <f t="shared" si="13"/>
        <v>Strategic Thinking|Analyst|3|2</v>
      </c>
      <c r="B873" t="str">
        <v>Strategic Thinking</v>
      </c>
      <c r="C873" t="str">
        <v>Analyst</v>
      </c>
      <c r="D873" s="76">
        <v>3</v>
      </c>
      <c r="E873" t="str" cm="1">
        <f t="array" ref="E873">INDEX(aspek!$D$2:$D$337,
   MATCH(1,(aspek!$A$2:$A$337=B873)*
           (aspek!$B$2:$B$337=C873)*
           (aspek!$C$2:$C$337=D873),0))</f>
        <v>Menyederhanakan tanpa kehilangan makna</v>
      </c>
      <c r="F873" s="76">
        <v>2</v>
      </c>
      <c r="G873" s="56" t="str" cm="1">
        <f t="array" ref="G873">INDEX(deskripsi!$D$2:$H$337,
   MATCH(1,(deskripsi!$A$2:$A$337=B873)*
           (deskripsi!$B$2:$B$337=C873)*
           (deskripsi!$C$2:$C$337=D873),0),
   F873)</f>
        <v>Menyederhanakan dengan membuang bagian yang sulit dijelaskan, termasuk yang menentukan.</v>
      </c>
    </row>
    <row r="874" spans="1:7">
      <c r="A874" t="str">
        <f t="shared" si="13"/>
        <v>Strategic Thinking|Analyst|3|3</v>
      </c>
      <c r="B874" t="str">
        <v>Strategic Thinking</v>
      </c>
      <c r="C874" t="str">
        <v>Analyst</v>
      </c>
      <c r="D874" s="76">
        <v>3</v>
      </c>
      <c r="E874" t="str" cm="1">
        <f t="array" ref="E874">INDEX(aspek!$D$2:$D$337,
   MATCH(1,(aspek!$A$2:$A$337=B874)*
           (aspek!$B$2:$B$337=C874)*
           (aspek!$C$2:$C$337=D874),0))</f>
        <v>Menyederhanakan tanpa kehilangan makna</v>
      </c>
      <c r="F874" s="76">
        <v>3</v>
      </c>
      <c r="G874" s="56" t="str" cm="1">
        <f t="array" ref="G874">INDEX(deskripsi!$D$2:$H$337,
   MATCH(1,(deskripsi!$A$2:$A$337=B874)*
           (deskripsi!$B$2:$B$337=C874)*
           (deskripsi!$C$2:$C$337=D874),0),
   F874)</f>
        <v>Menerjemahkan istilah dan angka ke bahasa yang dapat dipahami dengan menjaga artinya.</v>
      </c>
    </row>
    <row r="875" spans="1:7">
      <c r="A875" t="str">
        <f t="shared" si="13"/>
        <v>Strategic Thinking|Analyst|3|4</v>
      </c>
      <c r="B875" t="str">
        <v>Strategic Thinking</v>
      </c>
      <c r="C875" t="str">
        <v>Analyst</v>
      </c>
      <c r="D875" s="76">
        <v>3</v>
      </c>
      <c r="E875" t="str" cm="1">
        <f t="array" ref="E875">INDEX(aspek!$D$2:$D$337,
   MATCH(1,(aspek!$A$2:$A$337=B875)*
           (aspek!$B$2:$B$337=C875)*
           (aspek!$C$2:$C$337=D875),0))</f>
        <v>Menyederhanakan tanpa kehilangan makna</v>
      </c>
      <c r="F875" s="76">
        <v>4</v>
      </c>
      <c r="G875" s="56" t="str" cm="1">
        <f t="array" ref="G875">INDEX(deskripsi!$D$2:$H$337,
   MATCH(1,(deskripsi!$A$2:$A$337=B875)*
           (deskripsi!$B$2:$B$337=C875)*
           (deskripsi!$C$2:$C$337=D875),0),
   F875)</f>
        <v>Memakai analogi, contoh, dan visual untuk menjelaskan analisis rumit, sambil menandai batas dan asumsi yang tetap harus diketahui pendengar.</v>
      </c>
    </row>
    <row r="876" spans="1:7">
      <c r="A876" t="str">
        <f t="shared" si="13"/>
        <v>Strategic Thinking|Analyst|3|5</v>
      </c>
      <c r="B876" t="str">
        <v>Strategic Thinking</v>
      </c>
      <c r="C876" t="str">
        <v>Analyst</v>
      </c>
      <c r="D876" s="76">
        <v>3</v>
      </c>
      <c r="E876" t="str" cm="1">
        <f t="array" ref="E876">INDEX(aspek!$D$2:$D$337,
   MATCH(1,(aspek!$A$2:$A$337=B876)*
           (aspek!$B$2:$B$337=C876)*
           (aspek!$C$2:$C$337=D876),0))</f>
        <v>Menyederhanakan tanpa kehilangan makna</v>
      </c>
      <c r="F876" s="76">
        <v>5</v>
      </c>
      <c r="G876" s="56" t="str" cm="1">
        <f t="array" ref="G876">INDEX(deskripsi!$D$2:$H$337,
   MATCH(1,(deskripsi!$A$2:$A$337=B876)*
           (deskripsi!$B$2:$B$337=C876)*
           (deskripsi!$C$2:$C$337=D876),0),
   F876)</f>
        <v>Ringkasannya dipakai orang lain sebagai rujukan karena lebih jelas daripada analisis aslinya.</v>
      </c>
    </row>
    <row r="877" spans="1:7">
      <c r="A877" t="str">
        <f t="shared" si="13"/>
        <v>Strategic Thinking|Analyst|4|1</v>
      </c>
      <c r="B877" t="str">
        <v>Strategic Thinking</v>
      </c>
      <c r="C877" t="str">
        <v>Analyst</v>
      </c>
      <c r="D877" s="76">
        <v>4</v>
      </c>
      <c r="E877" t="str" cm="1">
        <f t="array" ref="E877">INDEX(aspek!$D$2:$D$337,
   MATCH(1,(aspek!$A$2:$A$337=B877)*
           (aspek!$B$2:$B$337=C877)*
           (aspek!$C$2:$C$337=D877),0))</f>
        <v>Bukti pemahaman audiens</v>
      </c>
      <c r="F877" s="76">
        <v>1</v>
      </c>
      <c r="G877" s="56" t="str" cm="1">
        <f t="array" ref="G877">INDEX(deskripsi!$D$2:$H$337,
   MATCH(1,(deskripsi!$A$2:$A$337=B877)*
           (deskripsi!$B$2:$B$337=C877)*
           (deskripsi!$C$2:$C$337=D877),0),
   F877)</f>
        <v>Pendengar sering salah menangkap maksud analisis; keputusan diambil atas dasar yang keliru.</v>
      </c>
    </row>
    <row r="878" spans="1:7">
      <c r="A878" t="str">
        <f t="shared" si="13"/>
        <v>Strategic Thinking|Analyst|4|2</v>
      </c>
      <c r="B878" t="str">
        <v>Strategic Thinking</v>
      </c>
      <c r="C878" t="str">
        <v>Analyst</v>
      </c>
      <c r="D878" s="76">
        <v>4</v>
      </c>
      <c r="E878" t="str" cm="1">
        <f t="array" ref="E878">INDEX(aspek!$D$2:$D$337,
   MATCH(1,(aspek!$A$2:$A$337=B878)*
           (aspek!$B$2:$B$337=C878)*
           (aspek!$C$2:$C$337=D878),0))</f>
        <v>Bukti pemahaman audiens</v>
      </c>
      <c r="F878" s="76">
        <v>2</v>
      </c>
      <c r="G878" s="56" t="str" cm="1">
        <f t="array" ref="G878">INDEX(deskripsi!$D$2:$H$337,
   MATCH(1,(deskripsi!$A$2:$A$337=B878)*
           (deskripsi!$B$2:$B$337=C878)*
           (deskripsi!$C$2:$C$337=D878),0),
   F878)</f>
        <v>Pendengar perlu bertanya berulang untuk hal yang seharusnya sudah jelas.</v>
      </c>
    </row>
    <row r="879" spans="1:7">
      <c r="A879" t="str">
        <f t="shared" si="13"/>
        <v>Strategic Thinking|Analyst|4|3</v>
      </c>
      <c r="B879" t="str">
        <v>Strategic Thinking</v>
      </c>
      <c r="C879" t="str">
        <v>Analyst</v>
      </c>
      <c r="D879" s="76">
        <v>4</v>
      </c>
      <c r="E879" t="str" cm="1">
        <f t="array" ref="E879">INDEX(aspek!$D$2:$D$337,
   MATCH(1,(aspek!$A$2:$A$337=B879)*
           (aspek!$B$2:$B$337=C879)*
           (aspek!$C$2:$C$337=D879),0))</f>
        <v>Bukti pemahaman audiens</v>
      </c>
      <c r="F879" s="76">
        <v>3</v>
      </c>
      <c r="G879" s="56" t="str" cm="1">
        <f t="array" ref="G879">INDEX(deskripsi!$D$2:$H$337,
   MATCH(1,(deskripsi!$A$2:$A$337=B879)*
           (deskripsi!$B$2:$B$337=C879)*
           (deskripsi!$C$2:$C$337=D879),0),
   F879)</f>
        <v>Pendengar memahami inti analisis, meski beberapa detail masih perlu ditanyakan.</v>
      </c>
    </row>
    <row r="880" spans="1:7">
      <c r="A880" t="str">
        <f t="shared" si="13"/>
        <v>Strategic Thinking|Analyst|4|4</v>
      </c>
      <c r="B880" t="str">
        <v>Strategic Thinking</v>
      </c>
      <c r="C880" t="str">
        <v>Analyst</v>
      </c>
      <c r="D880" s="76">
        <v>4</v>
      </c>
      <c r="E880" t="str" cm="1">
        <f t="array" ref="E880">INDEX(aspek!$D$2:$D$337,
   MATCH(1,(aspek!$A$2:$A$337=B880)*
           (aspek!$B$2:$B$337=C880)*
           (aspek!$C$2:$C$337=D880),0))</f>
        <v>Bukti pemahaman audiens</v>
      </c>
      <c r="F880" s="76">
        <v>4</v>
      </c>
      <c r="G880" s="56" t="str" cm="1">
        <f t="array" ref="G880">INDEX(deskripsi!$D$2:$H$337,
   MATCH(1,(deskripsi!$A$2:$A$337=B880)*
           (deskripsi!$B$2:$B$337=C880)*
           (deskripsi!$C$2:$C$337=D880),0),
   F880)</f>
        <v>Pendengar mampu menjelaskan ulang isinya dengan bahasa sendiri sesuai maksud aslinya; pertanyaan yang muncul bersifat pendalaman, bukan pengulangan.</v>
      </c>
    </row>
    <row r="881" spans="1:7">
      <c r="A881" t="str">
        <f t="shared" si="13"/>
        <v>Strategic Thinking|Analyst|4|5</v>
      </c>
      <c r="B881" t="str">
        <v>Strategic Thinking</v>
      </c>
      <c r="C881" t="str">
        <v>Analyst</v>
      </c>
      <c r="D881" s="76">
        <v>4</v>
      </c>
      <c r="E881" t="str" cm="1">
        <f t="array" ref="E881">INDEX(aspek!$D$2:$D$337,
   MATCH(1,(aspek!$A$2:$A$337=B881)*
           (aspek!$B$2:$B$337=C881)*
           (aspek!$C$2:$C$337=D881),0))</f>
        <v>Bukti pemahaman audiens</v>
      </c>
      <c r="F881" s="76">
        <v>5</v>
      </c>
      <c r="G881" s="56" t="str" cm="1">
        <f t="array" ref="G881">INDEX(deskripsi!$D$2:$H$337,
   MATCH(1,(deskripsi!$A$2:$A$337=B881)*
           (deskripsi!$B$2:$B$337=C881)*
           (deskripsi!$C$2:$C$337=D881),0),
   F881)</f>
        <v>Pendengar dapat meneruskan analisis itu kepada orang lain dengan tepat tanpa kehadiran penyusunnya.</v>
      </c>
    </row>
    <row r="882" spans="1:7">
      <c r="A882" t="str">
        <f t="shared" si="13"/>
        <v>Strategic Thinking|Unit Head/Specialist|1|1</v>
      </c>
      <c r="B882" t="str">
        <v>Strategic Thinking</v>
      </c>
      <c r="C882" t="str">
        <v>Unit Head/Specialist</v>
      </c>
      <c r="D882" s="76">
        <v>1</v>
      </c>
      <c r="E882" t="str" cm="1">
        <f t="array" ref="E882">INDEX(aspek!$D$2:$D$337,
   MATCH(1,(aspek!$A$2:$A$337=B882)*
           (aspek!$B$2:$B$337=C882)*
           (aspek!$C$2:$C$337=D882),0))</f>
        <v>Framing pertama atas perubahan</v>
      </c>
      <c r="F882" s="76">
        <v>1</v>
      </c>
      <c r="G882" s="56" t="str" cm="1">
        <f t="array" ref="G882">INDEX(deskripsi!$D$2:$H$337,
   MATCH(1,(deskripsi!$A$2:$A$337=B882)*
           (deskripsi!$B$2:$B$337=C882)*
           (deskripsi!$C$2:$C$337=D882),0),
   F882)</f>
        <v>Reaksi pertama atas hampir setiap perubahan adalah ancaman; menolak atau mencari alasan menundanya.</v>
      </c>
    </row>
    <row r="883" spans="1:7">
      <c r="A883" t="str">
        <f t="shared" si="13"/>
        <v>Strategic Thinking|Unit Head/Specialist|1|2</v>
      </c>
      <c r="B883" t="str">
        <v>Strategic Thinking</v>
      </c>
      <c r="C883" t="str">
        <v>Unit Head/Specialist</v>
      </c>
      <c r="D883" s="76">
        <v>1</v>
      </c>
      <c r="E883" t="str" cm="1">
        <f t="array" ref="E883">INDEX(aspek!$D$2:$D$337,
   MATCH(1,(aspek!$A$2:$A$337=B883)*
           (aspek!$B$2:$B$337=C883)*
           (aspek!$C$2:$C$337=D883),0))</f>
        <v>Framing pertama atas perubahan</v>
      </c>
      <c r="F883" s="76">
        <v>2</v>
      </c>
      <c r="G883" s="56" t="str" cm="1">
        <f t="array" ref="G883">INDEX(deskripsi!$D$2:$H$337,
   MATCH(1,(deskripsi!$A$2:$A$337=B883)*
           (deskripsi!$B$2:$B$337=C883)*
           (deskripsi!$C$2:$C$337=D883),0),
   F883)</f>
        <v>Menerima perubahan sebagai beban yang harus dijalani; tidak mencari apa pun di dalamnya.</v>
      </c>
    </row>
    <row r="884" spans="1:7">
      <c r="A884" t="str">
        <f t="shared" si="13"/>
        <v>Strategic Thinking|Unit Head/Specialist|1|3</v>
      </c>
      <c r="B884" t="str">
        <v>Strategic Thinking</v>
      </c>
      <c r="C884" t="str">
        <v>Unit Head/Specialist</v>
      </c>
      <c r="D884" s="76">
        <v>1</v>
      </c>
      <c r="E884" t="str" cm="1">
        <f t="array" ref="E884">INDEX(aspek!$D$2:$D$337,
   MATCH(1,(aspek!$A$2:$A$337=B884)*
           (aspek!$B$2:$B$337=C884)*
           (aspek!$C$2:$C$337=D884),0))</f>
        <v>Framing pertama atas perubahan</v>
      </c>
      <c r="F884" s="76">
        <v>3</v>
      </c>
      <c r="G884" s="56" t="str" cm="1">
        <f t="array" ref="G884">INDEX(deskripsi!$D$2:$H$337,
   MATCH(1,(deskripsi!$A$2:$A$337=B884)*
           (deskripsi!$B$2:$B$337=C884)*
           (deskripsi!$C$2:$C$337=D884),0),
   F884)</f>
        <v>Menemukan sisi baik sebuah perubahan setelah menganalisisnya beberapa waktu.</v>
      </c>
    </row>
    <row r="885" spans="1:7">
      <c r="A885" t="str">
        <f t="shared" si="13"/>
        <v>Strategic Thinking|Unit Head/Specialist|1|4</v>
      </c>
      <c r="B885" t="str">
        <v>Strategic Thinking</v>
      </c>
      <c r="C885" t="str">
        <v>Unit Head/Specialist</v>
      </c>
      <c r="D885" s="76">
        <v>1</v>
      </c>
      <c r="E885" t="str" cm="1">
        <f t="array" ref="E885">INDEX(aspek!$D$2:$D$337,
   MATCH(1,(aspek!$A$2:$A$337=B885)*
           (aspek!$B$2:$B$337=C885)*
           (aspek!$C$2:$C$337=D885),0))</f>
        <v>Framing pertama atas perubahan</v>
      </c>
      <c r="F885" s="76">
        <v>4</v>
      </c>
      <c r="G885" s="56" t="str" cm="1">
        <f t="array" ref="G885">INDEX(deskripsi!$D$2:$H$337,
   MATCH(1,(deskripsi!$A$2:$A$337=B885)*
           (deskripsi!$B$2:$B$337=C885)*
           (deskripsi!$C$2:$C$337=D885),0),
   F885)</f>
        <v>Pada sebagian besar perubahan, hal pertama yang ia cari adalah peluangnya — terlihat pada reaksi 24 jam pertama, bukan pada kesimpulan setelah berhari-hari.</v>
      </c>
    </row>
    <row r="886" spans="1:7">
      <c r="A886" t="str">
        <f t="shared" si="13"/>
        <v>Strategic Thinking|Unit Head/Specialist|1|5</v>
      </c>
      <c r="B886" t="str">
        <v>Strategic Thinking</v>
      </c>
      <c r="C886" t="str">
        <v>Unit Head/Specialist</v>
      </c>
      <c r="D886" s="76">
        <v>1</v>
      </c>
      <c r="E886" t="str" cm="1">
        <f t="array" ref="E886">INDEX(aspek!$D$2:$D$337,
   MATCH(1,(aspek!$A$2:$A$337=B886)*
           (aspek!$B$2:$B$337=C886)*
           (aspek!$C$2:$C$337=D886),0))</f>
        <v>Framing pertama atas perubahan</v>
      </c>
      <c r="F886" s="76">
        <v>5</v>
      </c>
      <c r="G886" s="56" t="str" cm="1">
        <f t="array" ref="G886">INDEX(deskripsi!$D$2:$H$337,
   MATCH(1,(deskripsi!$A$2:$A$337=B886)*
           (deskripsi!$B$2:$B$337=C886)*
           (deskripsi!$C$2:$C$337=D886),0),
   F886)</f>
        <v>Reaksi pertamanya menular; rekan dan tim ikut membaca perubahan dari sisi peluangnya.</v>
      </c>
    </row>
    <row r="887" spans="1:7">
      <c r="A887" t="str">
        <f t="shared" si="13"/>
        <v>Strategic Thinking|Unit Head/Specialist|2|1</v>
      </c>
      <c r="B887" t="str">
        <v>Strategic Thinking</v>
      </c>
      <c r="C887" t="str">
        <v>Unit Head/Specialist</v>
      </c>
      <c r="D887" s="76">
        <v>2</v>
      </c>
      <c r="E887" t="str" cm="1">
        <f t="array" ref="E887">INDEX(aspek!$D$2:$D$337,
   MATCH(1,(aspek!$A$2:$A$337=B887)*
           (aspek!$B$2:$B$337=C887)*
           (aspek!$C$2:$C$337=D887),0))</f>
        <v>Aktif mencari peluang di dalam perubahan</v>
      </c>
      <c r="F887" s="76">
        <v>1</v>
      </c>
      <c r="G887" s="56" t="str" cm="1">
        <f t="array" ref="G887">INDEX(deskripsi!$D$2:$H$337,
   MATCH(1,(deskripsi!$A$2:$A$337=B887)*
           (deskripsi!$B$2:$B$337=C887)*
           (deskripsi!$C$2:$C$337=D887),0),
   F887)</f>
        <v>Menunggu diberi tahu apa yang harus dilakukan atas sebuah perubahan.</v>
      </c>
    </row>
    <row r="888" spans="1:7">
      <c r="A888" t="str">
        <f t="shared" si="13"/>
        <v>Strategic Thinking|Unit Head/Specialist|2|2</v>
      </c>
      <c r="B888" t="str">
        <v>Strategic Thinking</v>
      </c>
      <c r="C888" t="str">
        <v>Unit Head/Specialist</v>
      </c>
      <c r="D888" s="76">
        <v>2</v>
      </c>
      <c r="E888" t="str" cm="1">
        <f t="array" ref="E888">INDEX(aspek!$D$2:$D$337,
   MATCH(1,(aspek!$A$2:$A$337=B888)*
           (aspek!$B$2:$B$337=C888)*
           (aspek!$C$2:$C$337=D888),0))</f>
        <v>Aktif mencari peluang di dalam perubahan</v>
      </c>
      <c r="F888" s="76">
        <v>2</v>
      </c>
      <c r="G888" s="56" t="str" cm="1">
        <f t="array" ref="G888">INDEX(deskripsi!$D$2:$H$337,
   MATCH(1,(deskripsi!$A$2:$A$337=B888)*
           (deskripsi!$B$2:$B$337=C888)*
           (deskripsi!$C$2:$C$337=D888),0),
   F888)</f>
        <v>Menyebut peluang hanya ketika diminta, dan biasanya berupa peluang umum.</v>
      </c>
    </row>
    <row r="889" spans="1:7">
      <c r="A889" t="str">
        <f t="shared" si="13"/>
        <v>Strategic Thinking|Unit Head/Specialist|2|3</v>
      </c>
      <c r="B889" t="str">
        <v>Strategic Thinking</v>
      </c>
      <c r="C889" t="str">
        <v>Unit Head/Specialist</v>
      </c>
      <c r="D889" s="76">
        <v>2</v>
      </c>
      <c r="E889" t="str" cm="1">
        <f t="array" ref="E889">INDEX(aspek!$D$2:$D$337,
   MATCH(1,(aspek!$A$2:$A$337=B889)*
           (aspek!$B$2:$B$337=C889)*
           (aspek!$C$2:$C$337=D889),0))</f>
        <v>Aktif mencari peluang di dalam perubahan</v>
      </c>
      <c r="F889" s="76">
        <v>3</v>
      </c>
      <c r="G889" s="56" t="str" cm="1">
        <f t="array" ref="G889">INDEX(deskripsi!$D$2:$H$337,
   MATCH(1,(deskripsi!$A$2:$A$337=B889)*
           (deskripsi!$B$2:$B$337=C889)*
           (deskripsi!$C$2:$C$337=D889),0),
   F889)</f>
        <v>Mencari peluang pada perubahan yang jelas menguntungkan.</v>
      </c>
    </row>
    <row r="890" spans="1:7">
      <c r="A890" t="str">
        <f t="shared" si="13"/>
        <v>Strategic Thinking|Unit Head/Specialist|2|4</v>
      </c>
      <c r="B890" t="str">
        <v>Strategic Thinking</v>
      </c>
      <c r="C890" t="str">
        <v>Unit Head/Specialist</v>
      </c>
      <c r="D890" s="76">
        <v>2</v>
      </c>
      <c r="E890" t="str" cm="1">
        <f t="array" ref="E890">INDEX(aspek!$D$2:$D$337,
   MATCH(1,(aspek!$A$2:$A$337=B890)*
           (aspek!$B$2:$B$337=C890)*
           (aspek!$C$2:$C$337=D890),0))</f>
        <v>Aktif mencari peluang di dalam perubahan</v>
      </c>
      <c r="F890" s="76">
        <v>4</v>
      </c>
      <c r="G890" s="56" t="str" cm="1">
        <f t="array" ref="G890">INDEX(deskripsi!$D$2:$H$337,
   MATCH(1,(deskripsi!$A$2:$A$337=B890)*
           (deskripsi!$B$2:$B$337=C890)*
           (deskripsi!$C$2:$C$337=D890),0),
   F890)</f>
        <v>Secara rutin menelusuri peluang pada setiap perubahan yang terjadi, termasuk yang tidak berkaitan langsung dengan unitnya, dan peluang yang ditemukan berakar pada perubahan itu — bukan gagasan umum yang ditempelkan.</v>
      </c>
    </row>
    <row r="891" spans="1:7">
      <c r="A891" t="str">
        <f t="shared" si="13"/>
        <v>Strategic Thinking|Unit Head/Specialist|2|5</v>
      </c>
      <c r="B891" t="str">
        <v>Strategic Thinking</v>
      </c>
      <c r="C891" t="str">
        <v>Unit Head/Specialist</v>
      </c>
      <c r="D891" s="76">
        <v>2</v>
      </c>
      <c r="E891" t="str" cm="1">
        <f t="array" ref="E891">INDEX(aspek!$D$2:$D$337,
   MATCH(1,(aspek!$A$2:$A$337=B891)*
           (aspek!$B$2:$B$337=C891)*
           (aspek!$C$2:$C$337=D891),0))</f>
        <v>Aktif mencari peluang di dalam perubahan</v>
      </c>
      <c r="F891" s="76">
        <v>5</v>
      </c>
      <c r="G891" s="56" t="str" cm="1">
        <f t="array" ref="G891">INDEX(deskripsi!$D$2:$H$337,
   MATCH(1,(deskripsi!$A$2:$A$337=B891)*
           (deskripsi!$B$2:$B$337=C891)*
           (deskripsi!$C$2:$C$337=D891),0),
   F891)</f>
        <v>Menemukan peluang yang belum terlihat oleh fungsi yang justru paling terdampak perubahan itu.</v>
      </c>
    </row>
    <row r="892" spans="1:7">
      <c r="A892" t="str">
        <f t="shared" si="13"/>
        <v>Strategic Thinking|Unit Head/Specialist|3|1</v>
      </c>
      <c r="B892" t="str">
        <v>Strategic Thinking</v>
      </c>
      <c r="C892" t="str">
        <v>Unit Head/Specialist</v>
      </c>
      <c r="D892" s="76">
        <v>3</v>
      </c>
      <c r="E892" t="str" cm="1">
        <f t="array" ref="E892">INDEX(aspek!$D$2:$D$337,
   MATCH(1,(aspek!$A$2:$A$337=B892)*
           (aspek!$B$2:$B$337=C892)*
           (aspek!$C$2:$C$337=D892),0))</f>
        <v>Mengubah peluang menjadi langkah nyata</v>
      </c>
      <c r="F892" s="76">
        <v>1</v>
      </c>
      <c r="G892" s="56" t="str" cm="1">
        <f t="array" ref="G892">INDEX(deskripsi!$D$2:$H$337,
   MATCH(1,(deskripsi!$A$2:$A$337=B892)*
           (deskripsi!$B$2:$B$337=C892)*
           (deskripsi!$C$2:$C$337=D892),0),
   F892)</f>
        <v>Peluang yang disebutkan tidak pernah berlanjut menjadi apa pun.</v>
      </c>
    </row>
    <row r="893" spans="1:7">
      <c r="A893" t="str">
        <f t="shared" si="13"/>
        <v>Strategic Thinking|Unit Head/Specialist|3|2</v>
      </c>
      <c r="B893" t="str">
        <v>Strategic Thinking</v>
      </c>
      <c r="C893" t="str">
        <v>Unit Head/Specialist</v>
      </c>
      <c r="D893" s="76">
        <v>3</v>
      </c>
      <c r="E893" t="str" cm="1">
        <f t="array" ref="E893">INDEX(aspek!$D$2:$D$337,
   MATCH(1,(aspek!$A$2:$A$337=B893)*
           (aspek!$B$2:$B$337=C893)*
           (aspek!$C$2:$C$337=D893),0))</f>
        <v>Mengubah peluang menjadi langkah nyata</v>
      </c>
      <c r="F893" s="76">
        <v>2</v>
      </c>
      <c r="G893" s="56" t="str" cm="1">
        <f t="array" ref="G893">INDEX(deskripsi!$D$2:$H$337,
   MATCH(1,(deskripsi!$A$2:$A$337=B893)*
           (deskripsi!$B$2:$B$337=C893)*
           (deskripsi!$C$2:$C$337=D893),0),
   F893)</f>
        <v>Menuliskan gagasan, tetapi berhenti pada dokumen.</v>
      </c>
    </row>
    <row r="894" spans="1:7">
      <c r="A894" t="str">
        <f t="shared" si="13"/>
        <v>Strategic Thinking|Unit Head/Specialist|3|3</v>
      </c>
      <c r="B894" t="str">
        <v>Strategic Thinking</v>
      </c>
      <c r="C894" t="str">
        <v>Unit Head/Specialist</v>
      </c>
      <c r="D894" s="76">
        <v>3</v>
      </c>
      <c r="E894" t="str" cm="1">
        <f t="array" ref="E894">INDEX(aspek!$D$2:$D$337,
   MATCH(1,(aspek!$A$2:$A$337=B894)*
           (aspek!$B$2:$B$337=C894)*
           (aspek!$C$2:$C$337=D894),0))</f>
        <v>Mengubah peluang menjadi langkah nyata</v>
      </c>
      <c r="F894" s="76">
        <v>3</v>
      </c>
      <c r="G894" s="56" t="str" cm="1">
        <f t="array" ref="G894">INDEX(deskripsi!$D$2:$H$337,
   MATCH(1,(deskripsi!$A$2:$A$337=B894)*
           (deskripsi!$B$2:$B$337=C894)*
           (deskripsi!$C$2:$C$337=D894),0),
   F894)</f>
        <v>Menjalankan gagasan yang mudah dan berisiko kecil.</v>
      </c>
    </row>
    <row r="895" spans="1:7">
      <c r="A895" t="str">
        <f t="shared" si="13"/>
        <v>Strategic Thinking|Unit Head/Specialist|3|4</v>
      </c>
      <c r="B895" t="str">
        <v>Strategic Thinking</v>
      </c>
      <c r="C895" t="str">
        <v>Unit Head/Specialist</v>
      </c>
      <c r="D895" s="76">
        <v>3</v>
      </c>
      <c r="E895" t="str" cm="1">
        <f t="array" ref="E895">INDEX(aspek!$D$2:$D$337,
   MATCH(1,(aspek!$A$2:$A$337=B895)*
           (aspek!$B$2:$B$337=C895)*
           (aspek!$C$2:$C$337=D895),0))</f>
        <v>Mengubah peluang menjadi langkah nyata</v>
      </c>
      <c r="F895" s="76">
        <v>4</v>
      </c>
      <c r="G895" s="56" t="str" cm="1">
        <f t="array" ref="G895">INDEX(deskripsi!$D$2:$H$337,
   MATCH(1,(deskripsi!$A$2:$A$337=B895)*
           (deskripsi!$B$2:$B$337=C895)*
           (deskripsi!$C$2:$C$337=D895),0),
   F895)</f>
        <v>Mewujudkan peluang menjadi inisiatif yang berjalan, dan setiap inisiatif dapat ditelusuri ke perubahan spesifik yang memicunya.</v>
      </c>
    </row>
    <row r="896" spans="1:7">
      <c r="A896" t="str">
        <f t="shared" si="13"/>
        <v>Strategic Thinking|Unit Head/Specialist|3|5</v>
      </c>
      <c r="B896" t="str">
        <v>Strategic Thinking</v>
      </c>
      <c r="C896" t="str">
        <v>Unit Head/Specialist</v>
      </c>
      <c r="D896" s="76">
        <v>3</v>
      </c>
      <c r="E896" t="str" cm="1">
        <f t="array" ref="E896">INDEX(aspek!$D$2:$D$337,
   MATCH(1,(aspek!$A$2:$A$337=B896)*
           (aspek!$B$2:$B$337=C896)*
           (aspek!$C$2:$C$337=D896),0))</f>
        <v>Mengubah peluang menjadi langkah nyata</v>
      </c>
      <c r="F896" s="76">
        <v>5</v>
      </c>
      <c r="G896" s="56" t="str" cm="1">
        <f t="array" ref="G896">INDEX(deskripsi!$D$2:$H$337,
   MATCH(1,(deskripsi!$A$2:$A$337=B896)*
           (deskripsi!$B$2:$B$337=C896)*
           (deskripsi!$C$2:$C$337=D896),0),
   F896)</f>
        <v>Inisiatif yang lahir dari pembacaannya mengubah cara unit atau perusahaan bekerja.</v>
      </c>
    </row>
    <row r="897" spans="1:7">
      <c r="A897" t="str">
        <f t="shared" si="13"/>
        <v>Strategic Thinking|Unit Head/Specialist|4|1</v>
      </c>
      <c r="B897" t="str">
        <v>Strategic Thinking</v>
      </c>
      <c r="C897" t="str">
        <v>Unit Head/Specialist</v>
      </c>
      <c r="D897" s="76">
        <v>4</v>
      </c>
      <c r="E897" t="str" cm="1">
        <f t="array" ref="E897">INDEX(aspek!$D$2:$D$337,
   MATCH(1,(aspek!$A$2:$A$337=B897)*
           (aspek!$B$2:$B$337=C897)*
           (aspek!$C$2:$C$337=D897),0))</f>
        <v>Framing pada perubahan yang merugikan</v>
      </c>
      <c r="F897" s="76">
        <v>1</v>
      </c>
      <c r="G897" s="56" t="str" cm="1">
        <f t="array" ref="G897">INDEX(deskripsi!$D$2:$H$337,
   MATCH(1,(deskripsi!$A$2:$A$337=B897)*
           (deskripsi!$B$2:$B$337=C897)*
           (deskripsi!$C$2:$C$337=D897),0),
   F897)</f>
        <v>Perubahan yang merugikan dibaca sebagai kerugian semata dan dikeluhkan kepada tim.</v>
      </c>
    </row>
    <row r="898" spans="1:7">
      <c r="A898" t="str">
        <f t="shared" si="13"/>
        <v>Strategic Thinking|Unit Head/Specialist|4|2</v>
      </c>
      <c r="B898" t="str">
        <v>Strategic Thinking</v>
      </c>
      <c r="C898" t="str">
        <v>Unit Head/Specialist</v>
      </c>
      <c r="D898" s="76">
        <v>4</v>
      </c>
      <c r="E898" t="str" cm="1">
        <f t="array" ref="E898">INDEX(aspek!$D$2:$D$337,
   MATCH(1,(aspek!$A$2:$A$337=B898)*
           (aspek!$B$2:$B$337=C898)*
           (aspek!$C$2:$C$337=D898),0))</f>
        <v>Framing pada perubahan yang merugikan</v>
      </c>
      <c r="F898" s="76">
        <v>2</v>
      </c>
      <c r="G898" s="56" t="str" cm="1">
        <f t="array" ref="G898">INDEX(deskripsi!$D$2:$H$337,
   MATCH(1,(deskripsi!$A$2:$A$337=B898)*
           (deskripsi!$B$2:$B$337=C898)*
           (deskripsi!$C$2:$C$337=D898),0),
   F898)</f>
        <v>Menerima kerugian itu tanpa mengeluh, tetapi juga tanpa mencari apa pun di dalamnya.</v>
      </c>
    </row>
    <row r="899" spans="1:7">
      <c r="A899" t="str">
        <f t="shared" ref="A899:A962" si="14">B899&amp;"|"&amp;C899&amp;"|"&amp;D899&amp;"|"&amp;F899</f>
        <v>Strategic Thinking|Unit Head/Specialist|4|3</v>
      </c>
      <c r="B899" t="str">
        <v>Strategic Thinking</v>
      </c>
      <c r="C899" t="str">
        <v>Unit Head/Specialist</v>
      </c>
      <c r="D899" s="76">
        <v>4</v>
      </c>
      <c r="E899" t="str" cm="1">
        <f t="array" ref="E899">INDEX(aspek!$D$2:$D$337,
   MATCH(1,(aspek!$A$2:$A$337=B899)*
           (aspek!$B$2:$B$337=C899)*
           (aspek!$C$2:$C$337=D899),0))</f>
        <v>Framing pada perubahan yang merugikan</v>
      </c>
      <c r="F899" s="76">
        <v>3</v>
      </c>
      <c r="G899" s="56" t="str" cm="1">
        <f t="array" ref="G899">INDEX(deskripsi!$D$2:$H$337,
   MATCH(1,(deskripsi!$A$2:$A$337=B899)*
           (deskripsi!$B$2:$B$337=C899)*
           (deskripsi!$C$2:$C$337=D899),0),
   F899)</f>
        <v>Mencari cara meminimalkan kerugiannya.</v>
      </c>
    </row>
    <row r="900" spans="1:7">
      <c r="A900" t="str">
        <f t="shared" si="14"/>
        <v>Strategic Thinking|Unit Head/Specialist|4|4</v>
      </c>
      <c r="B900" t="str">
        <v>Strategic Thinking</v>
      </c>
      <c r="C900" t="str">
        <v>Unit Head/Specialist</v>
      </c>
      <c r="D900" s="76">
        <v>4</v>
      </c>
      <c r="E900" t="str" cm="1">
        <f t="array" ref="E900">INDEX(aspek!$D$2:$D$337,
   MATCH(1,(aspek!$A$2:$A$337=B900)*
           (aspek!$B$2:$B$337=C900)*
           (aspek!$C$2:$C$337=D900),0))</f>
        <v>Framing pada perubahan yang merugikan</v>
      </c>
      <c r="F900" s="76">
        <v>4</v>
      </c>
      <c r="G900" s="56" t="str" cm="1">
        <f t="array" ref="G900">INDEX(deskripsi!$D$2:$H$337,
   MATCH(1,(deskripsi!$A$2:$A$337=B900)*
           (deskripsi!$B$2:$B$337=C900)*
           (deskripsi!$C$2:$C$337=D900),0),
   F900)</f>
        <v>Menemukan dan mewujudkan peluang yang justru lahir dari keterbatasan itu, dan menyampaikannya kepada tim dengan menyebut peluangnya — bukan hanya kerugiannya.</v>
      </c>
    </row>
    <row r="901" spans="1:7">
      <c r="A901" t="str">
        <f t="shared" si="14"/>
        <v>Strategic Thinking|Unit Head/Specialist|4|5</v>
      </c>
      <c r="B901" t="str">
        <v>Strategic Thinking</v>
      </c>
      <c r="C901" t="str">
        <v>Unit Head/Specialist</v>
      </c>
      <c r="D901" s="76">
        <v>4</v>
      </c>
      <c r="E901" t="str" cm="1">
        <f t="array" ref="E901">INDEX(aspek!$D$2:$D$337,
   MATCH(1,(aspek!$A$2:$A$337=B901)*
           (aspek!$B$2:$B$337=C901)*
           (aspek!$C$2:$C$337=D901),0))</f>
        <v>Framing pada perubahan yang merugikan</v>
      </c>
      <c r="F901" s="76">
        <v>5</v>
      </c>
      <c r="G901" s="56" t="str" cm="1">
        <f t="array" ref="G901">INDEX(deskripsi!$D$2:$H$337,
   MATCH(1,(deskripsi!$A$2:$A$337=B901)*
           (deskripsi!$B$2:$B$337=C901)*
           (deskripsi!$C$2:$C$337=D901),0),
   F901)</f>
        <v>Unitnya keluar dari perubahan yang merugikan itu dalam posisi yang lebih baik daripada sebelumnya.</v>
      </c>
    </row>
    <row r="902" spans="1:7">
      <c r="A902" t="str">
        <f t="shared" si="14"/>
        <v>Strategic Thinking|Department Head|1|1</v>
      </c>
      <c r="B902" t="str">
        <v>Strategic Thinking</v>
      </c>
      <c r="C902" t="str">
        <v>Department Head</v>
      </c>
      <c r="D902" s="76">
        <v>1</v>
      </c>
      <c r="E902" t="str" cm="1">
        <f t="array" ref="E902">INDEX(aspek!$D$2:$D$337,
   MATCH(1,(aspek!$A$2:$A$337=B902)*
           (aspek!$B$2:$B$337=C902)*
           (aspek!$C$2:$C$337=D902),0))</f>
        <v>Kepekaan mendeteksi ketidak-efektifan</v>
      </c>
      <c r="F902" s="76">
        <v>1</v>
      </c>
      <c r="G902" s="56" t="str" cm="1">
        <f t="array" ref="G902">INDEX(deskripsi!$D$2:$H$337,
   MATCH(1,(deskripsi!$A$2:$A$337=B902)*
           (deskripsi!$B$2:$B$337=C902)*
           (deskripsi!$C$2:$C$337=D902),0),
   F902)</f>
        <v>Baru menyadari sebuah rencana tidak berjalan setelah targetnya gagal.</v>
      </c>
    </row>
    <row r="903" spans="1:7">
      <c r="A903" t="str">
        <f t="shared" si="14"/>
        <v>Strategic Thinking|Department Head|1|2</v>
      </c>
      <c r="B903" t="str">
        <v>Strategic Thinking</v>
      </c>
      <c r="C903" t="str">
        <v>Department Head</v>
      </c>
      <c r="D903" s="76">
        <v>1</v>
      </c>
      <c r="E903" t="str" cm="1">
        <f t="array" ref="E903">INDEX(aspek!$D$2:$D$337,
   MATCH(1,(aspek!$A$2:$A$337=B903)*
           (aspek!$B$2:$B$337=C903)*
           (aspek!$C$2:$C$337=D903),0))</f>
        <v>Kepekaan mendeteksi ketidak-efektifan</v>
      </c>
      <c r="F903" s="76">
        <v>2</v>
      </c>
      <c r="G903" s="56" t="str" cm="1">
        <f t="array" ref="G903">INDEX(deskripsi!$D$2:$H$337,
   MATCH(1,(deskripsi!$A$2:$A$337=B903)*
           (deskripsi!$B$2:$B$337=C903)*
           (deskripsi!$C$2:$C$337=D903),0),
   F903)</f>
        <v>Menyadari dari angka hasil yang sudah memburuk, ketika sebagian kerugian sudah terjadi.</v>
      </c>
    </row>
    <row r="904" spans="1:7">
      <c r="A904" t="str">
        <f t="shared" si="14"/>
        <v>Strategic Thinking|Department Head|1|3</v>
      </c>
      <c r="B904" t="str">
        <v>Strategic Thinking</v>
      </c>
      <c r="C904" t="str">
        <v>Department Head</v>
      </c>
      <c r="D904" s="76">
        <v>1</v>
      </c>
      <c r="E904" t="str" cm="1">
        <f t="array" ref="E904">INDEX(aspek!$D$2:$D$337,
   MATCH(1,(aspek!$A$2:$A$337=B904)*
           (aspek!$B$2:$B$337=C904)*
           (aspek!$C$2:$C$337=D904),0))</f>
        <v>Kepekaan mendeteksi ketidak-efektifan</v>
      </c>
      <c r="F904" s="76">
        <v>3</v>
      </c>
      <c r="G904" s="56" t="str" cm="1">
        <f t="array" ref="G904">INDEX(deskripsi!$D$2:$H$337,
   MATCH(1,(deskripsi!$A$2:$A$337=B904)*
           (deskripsi!$B$2:$B$337=C904)*
           (deskripsi!$C$2:$C$337=D904),0),
   F904)</f>
        <v>Menyadari dari tanda yang cukup jelas, biasanya setelah beberapa periode berjalan.</v>
      </c>
    </row>
    <row r="905" spans="1:7">
      <c r="A905" t="str">
        <f t="shared" si="14"/>
        <v>Strategic Thinking|Department Head|1|4</v>
      </c>
      <c r="B905" t="str">
        <v>Strategic Thinking</v>
      </c>
      <c r="C905" t="str">
        <v>Department Head</v>
      </c>
      <c r="D905" s="76">
        <v>1</v>
      </c>
      <c r="E905" t="str" cm="1">
        <f t="array" ref="E905">INDEX(aspek!$D$2:$D$337,
   MATCH(1,(aspek!$A$2:$A$337=B905)*
           (aspek!$B$2:$B$337=C905)*
           (aspek!$C$2:$C$337=D905),0))</f>
        <v>Kepekaan mendeteksi ketidak-efektifan</v>
      </c>
      <c r="F905" s="76">
        <v>4</v>
      </c>
      <c r="G905" s="56" t="str" cm="1">
        <f t="array" ref="G905">INDEX(deskripsi!$D$2:$H$337,
   MATCH(1,(deskripsi!$A$2:$A$337=B905)*
           (deskripsi!$B$2:$B$337=C905)*
           (deskripsi!$C$2:$C$337=D905),0),
   F905)</f>
        <v>Menetapkan indikator dini dan ambang perubahan di muka, sehingga penyimpangan terdeteksi sebelum hasilnya memburuk.</v>
      </c>
    </row>
    <row r="906" spans="1:7">
      <c r="A906" t="str">
        <f t="shared" si="14"/>
        <v>Strategic Thinking|Department Head|1|5</v>
      </c>
      <c r="B906" t="str">
        <v>Strategic Thinking</v>
      </c>
      <c r="C906" t="str">
        <v>Department Head</v>
      </c>
      <c r="D906" s="76">
        <v>1</v>
      </c>
      <c r="E906" t="str" cm="1">
        <f t="array" ref="E906">INDEX(aspek!$D$2:$D$337,
   MATCH(1,(aspek!$A$2:$A$337=B906)*
           (aspek!$B$2:$B$337=C906)*
           (aspek!$C$2:$C$337=D906),0))</f>
        <v>Kepekaan mendeteksi ketidak-efektifan</v>
      </c>
      <c r="F906" s="76">
        <v>5</v>
      </c>
      <c r="G906" s="56" t="str" cm="1">
        <f t="array" ref="G906">INDEX(deskripsi!$D$2:$H$337,
   MATCH(1,(deskripsi!$A$2:$A$337=B906)*
           (deskripsi!$B$2:$B$337=C906)*
           (deskripsi!$C$2:$C$337=D906),0),
   F906)</f>
        <v>Menyadari sebuah rencana akan kehilangan daya sebelum tandanya terlihat oleh orang lain.</v>
      </c>
    </row>
    <row r="907" spans="1:7">
      <c r="A907" t="str">
        <f t="shared" si="14"/>
        <v>Strategic Thinking|Department Head|2|1</v>
      </c>
      <c r="B907" t="str">
        <v>Strategic Thinking</v>
      </c>
      <c r="C907" t="str">
        <v>Department Head</v>
      </c>
      <c r="D907" s="76">
        <v>2</v>
      </c>
      <c r="E907" t="str" cm="1">
        <f t="array" ref="E907">INDEX(aspek!$D$2:$D$337,
   MATCH(1,(aspek!$A$2:$A$337=B907)*
           (aspek!$B$2:$B$337=C907)*
           (aspek!$C$2:$C$337=D907),0))</f>
        <v>Kemandirian mengubah arah</v>
      </c>
      <c r="F907" s="76">
        <v>1</v>
      </c>
      <c r="G907" s="56" t="str" cm="1">
        <f t="array" ref="G907">INDEX(deskripsi!$D$2:$H$337,
   MATCH(1,(deskripsi!$A$2:$A$337=B907)*
           (deskripsi!$B$2:$B$337=C907)*
           (deskripsi!$C$2:$C$337=D907),0),
   F907)</f>
        <v>Bertahan pada rencana sampai diperintahkan mengubahnya.</v>
      </c>
    </row>
    <row r="908" spans="1:7">
      <c r="A908" t="str">
        <f t="shared" si="14"/>
        <v>Strategic Thinking|Department Head|2|2</v>
      </c>
      <c r="B908" t="str">
        <v>Strategic Thinking</v>
      </c>
      <c r="C908" t="str">
        <v>Department Head</v>
      </c>
      <c r="D908" s="76">
        <v>2</v>
      </c>
      <c r="E908" t="str" cm="1">
        <f t="array" ref="E908">INDEX(aspek!$D$2:$D$337,
   MATCH(1,(aspek!$A$2:$A$337=B908)*
           (aspek!$B$2:$B$337=C908)*
           (aspek!$C$2:$C$337=D908),0))</f>
        <v>Kemandirian mengubah arah</v>
      </c>
      <c r="F908" s="76">
        <v>2</v>
      </c>
      <c r="G908" s="56" t="str" cm="1">
        <f t="array" ref="G908">INDEX(deskripsi!$D$2:$H$337,
   MATCH(1,(deskripsi!$A$2:$A$337=B908)*
           (deskripsi!$B$2:$B$337=C908)*
           (deskripsi!$C$2:$C$337=D908),0),
   F908)</f>
        <v>Melaporkan masalahnya kepada atasan dan menunggu keputusan.</v>
      </c>
    </row>
    <row r="909" spans="1:7">
      <c r="A909" t="str">
        <f t="shared" si="14"/>
        <v>Strategic Thinking|Department Head|2|3</v>
      </c>
      <c r="B909" t="str">
        <v>Strategic Thinking</v>
      </c>
      <c r="C909" t="str">
        <v>Department Head</v>
      </c>
      <c r="D909" s="76">
        <v>2</v>
      </c>
      <c r="E909" t="str" cm="1">
        <f t="array" ref="E909">INDEX(aspek!$D$2:$D$337,
   MATCH(1,(aspek!$A$2:$A$337=B909)*
           (aspek!$B$2:$B$337=C909)*
           (aspek!$C$2:$C$337=D909),0))</f>
        <v>Kemandirian mengubah arah</v>
      </c>
      <c r="F909" s="76">
        <v>3</v>
      </c>
      <c r="G909" s="56" t="str" cm="1">
        <f t="array" ref="G909">INDEX(deskripsi!$D$2:$H$337,
   MATCH(1,(deskripsi!$A$2:$A$337=B909)*
           (deskripsi!$B$2:$B$337=C909)*
           (deskripsi!$C$2:$C$337=D909),0),
   F909)</f>
        <v>Mengusulkan perubahan arah dan menjalankannya setelah disetujui.</v>
      </c>
    </row>
    <row r="910" spans="1:7">
      <c r="A910" t="str">
        <f t="shared" si="14"/>
        <v>Strategic Thinking|Department Head|2|4</v>
      </c>
      <c r="B910" t="str">
        <v>Strategic Thinking</v>
      </c>
      <c r="C910" t="str">
        <v>Department Head</v>
      </c>
      <c r="D910" s="76">
        <v>2</v>
      </c>
      <c r="E910" t="str" cm="1">
        <f t="array" ref="E910">INDEX(aspek!$D$2:$D$337,
   MATCH(1,(aspek!$A$2:$A$337=B910)*
           (aspek!$B$2:$B$337=C910)*
           (aspek!$C$2:$C$337=D910),0))</f>
        <v>Kemandirian mengubah arah</v>
      </c>
      <c r="F910" s="76">
        <v>4</v>
      </c>
      <c r="G910" s="56" t="str" cm="1">
        <f t="array" ref="G910">INDEX(deskripsi!$D$2:$H$337,
   MATCH(1,(deskripsi!$A$2:$A$337=B910)*
           (deskripsi!$B$2:$B$337=C910)*
           (deskripsi!$C$2:$C$337=D910),0),
   F910)</f>
        <v>Memutuskan sendiri untuk mengubah arah dalam batas kewenangannya, lalu melaporkan dasar dan hasilnya — tanpa menunggu diminta.</v>
      </c>
    </row>
    <row r="911" spans="1:7">
      <c r="A911" t="str">
        <f t="shared" si="14"/>
        <v>Strategic Thinking|Department Head|2|5</v>
      </c>
      <c r="B911" t="str">
        <v>Strategic Thinking</v>
      </c>
      <c r="C911" t="str">
        <v>Department Head</v>
      </c>
      <c r="D911" s="76">
        <v>2</v>
      </c>
      <c r="E911" t="str" cm="1">
        <f t="array" ref="E911">INDEX(aspek!$D$2:$D$337,
   MATCH(1,(aspek!$A$2:$A$337=B911)*
           (aspek!$B$2:$B$337=C911)*
           (aspek!$C$2:$C$337=D911),0))</f>
        <v>Kemandirian mengubah arah</v>
      </c>
      <c r="F911" s="76">
        <v>5</v>
      </c>
      <c r="G911" s="56" t="str" cm="1">
        <f t="array" ref="G911">INDEX(deskripsi!$D$2:$H$337,
   MATCH(1,(deskripsi!$A$2:$A$337=B911)*
           (deskripsi!$B$2:$B$337=C911)*
           (deskripsi!$C$2:$C$337=D911),0),
   F911)</f>
        <v>Perubahan arah yang ia putuskan dipakai unit lain sebagai rujukan untuk persoalan serupa.</v>
      </c>
    </row>
    <row r="912" spans="1:7">
      <c r="A912" t="str">
        <f t="shared" si="14"/>
        <v>Strategic Thinking|Department Head|3|1</v>
      </c>
      <c r="B912" t="str">
        <v>Strategic Thinking</v>
      </c>
      <c r="C912" t="str">
        <v>Department Head</v>
      </c>
      <c r="D912" s="76">
        <v>3</v>
      </c>
      <c r="E912" t="str" cm="1">
        <f t="array" ref="E912">INDEX(aspek!$D$2:$D$337,
   MATCH(1,(aspek!$A$2:$A$337=B912)*
           (aspek!$B$2:$B$337=C912)*
           (aspek!$C$2:$C$337=D912),0))</f>
        <v>Ketepatan waktu perubahan</v>
      </c>
      <c r="F912" s="76">
        <v>1</v>
      </c>
      <c r="G912" s="56" t="str" cm="1">
        <f t="array" ref="G912">INDEX(deskripsi!$D$2:$H$337,
   MATCH(1,(deskripsi!$A$2:$A$337=B912)*
           (deskripsi!$B$2:$B$337=C912)*
           (deskripsi!$C$2:$C$337=D912),0),
   F912)</f>
        <v>Perubahan dilakukan setelah kerugian besar terlanjur terjadi.</v>
      </c>
    </row>
    <row r="913" spans="1:7">
      <c r="A913" t="str">
        <f t="shared" si="14"/>
        <v>Strategic Thinking|Department Head|3|2</v>
      </c>
      <c r="B913" t="str">
        <v>Strategic Thinking</v>
      </c>
      <c r="C913" t="str">
        <v>Department Head</v>
      </c>
      <c r="D913" s="76">
        <v>3</v>
      </c>
      <c r="E913" t="str" cm="1">
        <f t="array" ref="E913">INDEX(aspek!$D$2:$D$337,
   MATCH(1,(aspek!$A$2:$A$337=B913)*
           (aspek!$B$2:$B$337=C913)*
           (aspek!$C$2:$C$337=D913),0))</f>
        <v>Ketepatan waktu perubahan</v>
      </c>
      <c r="F913" s="76">
        <v>2</v>
      </c>
      <c r="G913" s="56" t="str" cm="1">
        <f t="array" ref="G913">INDEX(deskripsi!$D$2:$H$337,
   MATCH(1,(deskripsi!$A$2:$A$337=B913)*
           (deskripsi!$B$2:$B$337=C913)*
           (deskripsi!$C$2:$C$337=D913),0),
   F913)</f>
        <v>Perubahan dilakukan tepat setelah target terlewat.</v>
      </c>
    </row>
    <row r="914" spans="1:7">
      <c r="A914" t="str">
        <f t="shared" si="14"/>
        <v>Strategic Thinking|Department Head|3|3</v>
      </c>
      <c r="B914" t="str">
        <v>Strategic Thinking</v>
      </c>
      <c r="C914" t="str">
        <v>Department Head</v>
      </c>
      <c r="D914" s="76">
        <v>3</v>
      </c>
      <c r="E914" t="str" cm="1">
        <f t="array" ref="E914">INDEX(aspek!$D$2:$D$337,
   MATCH(1,(aspek!$A$2:$A$337=B914)*
           (aspek!$B$2:$B$337=C914)*
           (aspek!$C$2:$C$337=D914),0))</f>
        <v>Ketepatan waktu perubahan</v>
      </c>
      <c r="F914" s="76">
        <v>3</v>
      </c>
      <c r="G914" s="56" t="str" cm="1">
        <f t="array" ref="G914">INDEX(deskripsi!$D$2:$H$337,
   MATCH(1,(deskripsi!$A$2:$A$337=B914)*
           (deskripsi!$B$2:$B$337=C914)*
           (deskripsi!$C$2:$C$337=D914),0),
   F914)</f>
        <v>Perubahan dilakukan ketika hasil mulai terlihat menurun.</v>
      </c>
    </row>
    <row r="915" spans="1:7">
      <c r="A915" t="str">
        <f t="shared" si="14"/>
        <v>Strategic Thinking|Department Head|3|4</v>
      </c>
      <c r="B915" t="str">
        <v>Strategic Thinking</v>
      </c>
      <c r="C915" t="str">
        <v>Department Head</v>
      </c>
      <c r="D915" s="76">
        <v>3</v>
      </c>
      <c r="E915" t="str" cm="1">
        <f t="array" ref="E915">INDEX(aspek!$D$2:$D$337,
   MATCH(1,(aspek!$A$2:$A$337=B915)*
           (aspek!$B$2:$B$337=C915)*
           (aspek!$C$2:$C$337=D915),0))</f>
        <v>Ketepatan waktu perubahan</v>
      </c>
      <c r="F915" s="76">
        <v>4</v>
      </c>
      <c r="G915" s="56" t="str" cm="1">
        <f t="array" ref="G915">INDEX(deskripsi!$D$2:$H$337,
   MATCH(1,(deskripsi!$A$2:$A$337=B915)*
           (deskripsi!$B$2:$B$337=C915)*
           (deskripsi!$C$2:$C$337=D915),0),
   F915)</f>
        <v>Perubahan dilakukan SEBELUM target terlewat atau hasilnya memburuk — dibuktikan dengan tanggal tanda dan tanggal tindakan.</v>
      </c>
    </row>
    <row r="916" spans="1:7">
      <c r="A916" t="str">
        <f t="shared" si="14"/>
        <v>Strategic Thinking|Department Head|3|5</v>
      </c>
      <c r="B916" t="str">
        <v>Strategic Thinking</v>
      </c>
      <c r="C916" t="str">
        <v>Department Head</v>
      </c>
      <c r="D916" s="76">
        <v>3</v>
      </c>
      <c r="E916" t="str" cm="1">
        <f t="array" ref="E916">INDEX(aspek!$D$2:$D$337,
   MATCH(1,(aspek!$A$2:$A$337=B916)*
           (aspek!$B$2:$B$337=C916)*
           (aspek!$C$2:$C$337=D916),0))</f>
        <v>Ketepatan waktu perubahan</v>
      </c>
      <c r="F916" s="76">
        <v>5</v>
      </c>
      <c r="G916" s="56" t="str" cm="1">
        <f t="array" ref="G916">INDEX(deskripsi!$D$2:$H$337,
   MATCH(1,(deskripsi!$A$2:$A$337=B916)*
           (deskripsi!$B$2:$B$337=C916)*
           (deskripsi!$C$2:$C$337=D916),0),
   F916)</f>
        <v>Perubahan dilakukan cukup awal sehingga sasaran semula tetap tercapai dengan cara yang berbeda.</v>
      </c>
    </row>
    <row r="917" spans="1:7">
      <c r="A917" t="str">
        <f t="shared" si="14"/>
        <v>Strategic Thinking|Department Head|4|1</v>
      </c>
      <c r="B917" t="str">
        <v>Strategic Thinking</v>
      </c>
      <c r="C917" t="str">
        <v>Department Head</v>
      </c>
      <c r="D917" s="76">
        <v>4</v>
      </c>
      <c r="E917" t="str" cm="1">
        <f t="array" ref="E917">INDEX(aspek!$D$2:$D$337,
   MATCH(1,(aspek!$A$2:$A$337=B917)*
           (aspek!$B$2:$B$337=C917)*
           (aspek!$C$2:$C$337=D917),0))</f>
        <v>Kerangka jangka panjang sebagai acuan</v>
      </c>
      <c r="F917" s="76">
        <v>1</v>
      </c>
      <c r="G917" s="56" t="str" cm="1">
        <f t="array" ref="G917">INDEX(deskripsi!$D$2:$H$337,
   MATCH(1,(deskripsi!$A$2:$A$337=B917)*
           (deskripsi!$B$2:$B$337=C917)*
           (deskripsi!$C$2:$C$337=D917),0),
   F917)</f>
        <v>Tidak memiliki kerangka; setiap rencana dinilai sendiri-sendiri tanpa acuan arah.</v>
      </c>
    </row>
    <row r="918" spans="1:7">
      <c r="A918" t="str">
        <f t="shared" si="14"/>
        <v>Strategic Thinking|Department Head|4|2</v>
      </c>
      <c r="B918" t="str">
        <v>Strategic Thinking</v>
      </c>
      <c r="C918" t="str">
        <v>Department Head</v>
      </c>
      <c r="D918" s="76">
        <v>4</v>
      </c>
      <c r="E918" t="str" cm="1">
        <f t="array" ref="E918">INDEX(aspek!$D$2:$D$337,
   MATCH(1,(aspek!$A$2:$A$337=B918)*
           (aspek!$B$2:$B$337=C918)*
           (aspek!$C$2:$C$337=D918),0))</f>
        <v>Kerangka jangka panjang sebagai acuan</v>
      </c>
      <c r="F918" s="76">
        <v>2</v>
      </c>
      <c r="G918" s="56" t="str" cm="1">
        <f t="array" ref="G918">INDEX(deskripsi!$D$2:$H$337,
   MATCH(1,(deskripsi!$A$2:$A$337=B918)*
           (deskripsi!$B$2:$B$337=C918)*
           (deskripsi!$C$2:$C$337=D918),0),
   F918)</f>
        <v>Memiliki gambaran arah, tetapi tidak dipakai untuk menilai rencana yang sedang berjalan.</v>
      </c>
    </row>
    <row r="919" spans="1:7">
      <c r="A919" t="str">
        <f t="shared" si="14"/>
        <v>Strategic Thinking|Department Head|4|3</v>
      </c>
      <c r="B919" t="str">
        <v>Strategic Thinking</v>
      </c>
      <c r="C919" t="str">
        <v>Department Head</v>
      </c>
      <c r="D919" s="76">
        <v>4</v>
      </c>
      <c r="E919" t="str" cm="1">
        <f t="array" ref="E919">INDEX(aspek!$D$2:$D$337,
   MATCH(1,(aspek!$A$2:$A$337=B919)*
           (aspek!$B$2:$B$337=C919)*
           (aspek!$C$2:$C$337=D919),0))</f>
        <v>Kerangka jangka panjang sebagai acuan</v>
      </c>
      <c r="F919" s="76">
        <v>3</v>
      </c>
      <c r="G919" s="56" t="str" cm="1">
        <f t="array" ref="G919">INDEX(deskripsi!$D$2:$H$337,
   MATCH(1,(deskripsi!$A$2:$A$337=B919)*
           (deskripsi!$B$2:$B$337=C919)*
           (deskripsi!$C$2:$C$337=D919),0),
   F919)</f>
        <v>Memantau rencana terhadap target tahunannya.</v>
      </c>
    </row>
    <row r="920" spans="1:7">
      <c r="A920" t="str">
        <f t="shared" si="14"/>
        <v>Strategic Thinking|Department Head|4|4</v>
      </c>
      <c r="B920" t="str">
        <v>Strategic Thinking</v>
      </c>
      <c r="C920" t="str">
        <v>Department Head</v>
      </c>
      <c r="D920" s="76">
        <v>4</v>
      </c>
      <c r="E920" t="str" cm="1">
        <f t="array" ref="E920">INDEX(aspek!$D$2:$D$337,
   MATCH(1,(aspek!$A$2:$A$337=B920)*
           (aspek!$B$2:$B$337=C920)*
           (aspek!$C$2:$C$337=D920),0))</f>
        <v>Kerangka jangka panjang sebagai acuan</v>
      </c>
      <c r="F920" s="76">
        <v>4</v>
      </c>
      <c r="G920" s="56" t="str" cm="1">
        <f t="array" ref="G920">INDEX(deskripsi!$D$2:$H$337,
   MATCH(1,(deskripsi!$A$2:$A$337=B920)*
           (deskripsi!$B$2:$B$337=C920)*
           (deskripsi!$C$2:$C$337=D920),0),
   F920)</f>
        <v>Memantau rencana terhadap kerangka jangka panjang area bisnisnya secara terus-menerus, sehingga penyimpangan arah terdeteksi — bukan hanya penyimpangan angka.</v>
      </c>
    </row>
    <row r="921" spans="1:7">
      <c r="A921" t="str">
        <f t="shared" si="14"/>
        <v>Strategic Thinking|Department Head|4|5</v>
      </c>
      <c r="B921" t="str">
        <v>Strategic Thinking</v>
      </c>
      <c r="C921" t="str">
        <v>Department Head</v>
      </c>
      <c r="D921" s="76">
        <v>4</v>
      </c>
      <c r="E921" t="str" cm="1">
        <f t="array" ref="E921">INDEX(aspek!$D$2:$D$337,
   MATCH(1,(aspek!$A$2:$A$337=B921)*
           (aspek!$B$2:$B$337=C921)*
           (aspek!$C$2:$C$337=D921),0))</f>
        <v>Kerangka jangka panjang sebagai acuan</v>
      </c>
      <c r="F921" s="76">
        <v>5</v>
      </c>
      <c r="G921" s="56" t="str" cm="1">
        <f t="array" ref="G921">INDEX(deskripsi!$D$2:$H$337,
   MATCH(1,(deskripsi!$A$2:$A$337=B921)*
           (deskripsi!$B$2:$B$337=C921)*
           (deskripsi!$C$2:$C$337=D921),0),
   F921)</f>
        <v>Kerangkanya dipakai unit lain untuk menilai rencana mereka sendiri.</v>
      </c>
    </row>
    <row r="922" spans="1:7">
      <c r="A922" t="str">
        <f t="shared" si="14"/>
        <v>Strategic Thinking|Division Head|1|1</v>
      </c>
      <c r="B922" t="str">
        <v>Strategic Thinking</v>
      </c>
      <c r="C922" t="str">
        <v>Division Head</v>
      </c>
      <c r="D922" s="76">
        <v>1</v>
      </c>
      <c r="E922" t="str" cm="1">
        <f t="array" ref="E922">INDEX(aspek!$D$2:$D$337,
   MATCH(1,(aspek!$A$2:$A$337=B922)*
           (aspek!$B$2:$B$337=C922)*
           (aspek!$C$2:$C$337=D922),0))</f>
        <v>Kesediaan bergerak tanpa kepastian strategis</v>
      </c>
      <c r="F922" s="76">
        <v>1</v>
      </c>
      <c r="G922" s="56" t="str" cm="1">
        <f t="array" ref="G922">INDEX(deskripsi!$D$2:$H$337,
   MATCH(1,(deskripsi!$A$2:$A$337=B922)*
           (deskripsi!$B$2:$B$337=C922)*
           (deskripsi!$C$2:$C$337=D922),0),
   F922)</f>
        <v>Pekerjaan strategis berhenti sampai arah atau data menjadi jelas.</v>
      </c>
    </row>
    <row r="923" spans="1:7">
      <c r="A923" t="str">
        <f t="shared" si="14"/>
        <v>Strategic Thinking|Division Head|1|2</v>
      </c>
      <c r="B923" t="str">
        <v>Strategic Thinking</v>
      </c>
      <c r="C923" t="str">
        <v>Division Head</v>
      </c>
      <c r="D923" s="76">
        <v>1</v>
      </c>
      <c r="E923" t="str" cm="1">
        <f t="array" ref="E923">INDEX(aspek!$D$2:$D$337,
   MATCH(1,(aspek!$A$2:$A$337=B923)*
           (aspek!$B$2:$B$337=C923)*
           (aspek!$C$2:$C$337=D923),0))</f>
        <v>Kesediaan bergerak tanpa kepastian strategis</v>
      </c>
      <c r="F923" s="76">
        <v>2</v>
      </c>
      <c r="G923" s="56" t="str" cm="1">
        <f t="array" ref="G923">INDEX(deskripsi!$D$2:$H$337,
   MATCH(1,(deskripsi!$A$2:$A$337=B923)*
           (deskripsi!$B$2:$B$337=C923)*
           (deskripsi!$C$2:$C$337=D923),0),
   F923)</f>
        <v>Bergerak hanya pada bagian yang sudah pasti; sisanya menunggu.</v>
      </c>
    </row>
    <row r="924" spans="1:7">
      <c r="A924" t="str">
        <f t="shared" si="14"/>
        <v>Strategic Thinking|Division Head|1|3</v>
      </c>
      <c r="B924" t="str">
        <v>Strategic Thinking</v>
      </c>
      <c r="C924" t="str">
        <v>Division Head</v>
      </c>
      <c r="D924" s="76">
        <v>1</v>
      </c>
      <c r="E924" t="str" cm="1">
        <f t="array" ref="E924">INDEX(aspek!$D$2:$D$337,
   MATCH(1,(aspek!$A$2:$A$337=B924)*
           (aspek!$B$2:$B$337=C924)*
           (aspek!$C$2:$C$337=D924),0))</f>
        <v>Kesediaan bergerak tanpa kepastian strategis</v>
      </c>
      <c r="F924" s="76">
        <v>3</v>
      </c>
      <c r="G924" s="56" t="str" cm="1">
        <f t="array" ref="G924">INDEX(deskripsi!$D$2:$H$337,
   MATCH(1,(deskripsi!$A$2:$A$337=B924)*
           (deskripsi!$B$2:$B$337=C924)*
           (deskripsi!$C$2:$C$337=D924),0),
   F924)</f>
        <v>Memutuskan setelah menunggu selama waktu yang wajar, dan biasanya tepat.</v>
      </c>
    </row>
    <row r="925" spans="1:7">
      <c r="A925" t="str">
        <f t="shared" si="14"/>
        <v>Strategic Thinking|Division Head|1|4</v>
      </c>
      <c r="B925" t="str">
        <v>Strategic Thinking</v>
      </c>
      <c r="C925" t="str">
        <v>Division Head</v>
      </c>
      <c r="D925" s="76">
        <v>1</v>
      </c>
      <c r="E925" t="str" cm="1">
        <f t="array" ref="E925">INDEX(aspek!$D$2:$D$337,
   MATCH(1,(aspek!$A$2:$A$337=B925)*
           (aspek!$B$2:$B$337=C925)*
           (aspek!$C$2:$C$337=D925),0))</f>
        <v>Kesediaan bergerak tanpa kepastian strategis</v>
      </c>
      <c r="F925" s="76">
        <v>4</v>
      </c>
      <c r="G925" s="56" t="str" cm="1">
        <f t="array" ref="G925">INDEX(deskripsi!$D$2:$H$337,
   MATCH(1,(deskripsi!$A$2:$A$337=B925)*
           (deskripsi!$B$2:$B$337=C925)*
           (deskripsi!$C$2:$C$337=D925),0),
   F925)</f>
        <v>Menetapkan sendiri batas menunggu di muka, lalu bergerak pada batas itu — termasuk ketika sebagian informasi memang tidak akan pernah tersedia.</v>
      </c>
    </row>
    <row r="926" spans="1:7">
      <c r="A926" t="str">
        <f t="shared" si="14"/>
        <v>Strategic Thinking|Division Head|1|5</v>
      </c>
      <c r="B926" t="str">
        <v>Strategic Thinking</v>
      </c>
      <c r="C926" t="str">
        <v>Division Head</v>
      </c>
      <c r="D926" s="76">
        <v>1</v>
      </c>
      <c r="E926" t="str" cm="1">
        <f t="array" ref="E926">INDEX(aspek!$D$2:$D$337,
   MATCH(1,(aspek!$A$2:$A$337=B926)*
           (aspek!$B$2:$B$337=C926)*
           (aspek!$C$2:$C$337=D926),0))</f>
        <v>Kesediaan bergerak tanpa kepastian strategis</v>
      </c>
      <c r="F926" s="76">
        <v>5</v>
      </c>
      <c r="G926" s="56" t="str" cm="1">
        <f t="array" ref="G926">INDEX(deskripsi!$D$2:$H$337,
   MATCH(1,(deskripsi!$A$2:$A$337=B926)*
           (deskripsi!$B$2:$B$337=C926)*
           (deskripsi!$C$2:$C$337=D926),0),
   F926)</f>
        <v>Melihat periode yang belum jelas sebagai kesempatan bergerak lebih dulu daripada pihak yang menunggu.</v>
      </c>
    </row>
    <row r="927" spans="1:7">
      <c r="A927" t="str">
        <f t="shared" si="14"/>
        <v>Strategic Thinking|Division Head|2|1</v>
      </c>
      <c r="B927" t="str">
        <v>Strategic Thinking</v>
      </c>
      <c r="C927" t="str">
        <v>Division Head</v>
      </c>
      <c r="D927" s="76">
        <v>2</v>
      </c>
      <c r="E927" t="str" cm="1">
        <f t="array" ref="E927">INDEX(aspek!$D$2:$D$337,
   MATCH(1,(aspek!$A$2:$A$337=B927)*
           (aspek!$B$2:$B$337=C927)*
           (aspek!$C$2:$C$337=D927),0))</f>
        <v>Produktivitas kognitif dalam ketidakjelasan</v>
      </c>
      <c r="F927" s="76">
        <v>1</v>
      </c>
      <c r="G927" s="56" t="str" cm="1">
        <f t="array" ref="G927">INDEX(deskripsi!$D$2:$H$337,
   MATCH(1,(deskripsi!$A$2:$A$337=B927)*
           (deskripsi!$B$2:$B$337=C927)*
           (deskripsi!$C$2:$C$337=D927),0),
   F927)</f>
        <v>Berhenti berpikir jernih ketika arah strategis membingungkan.</v>
      </c>
    </row>
    <row r="928" spans="1:7">
      <c r="A928" t="str">
        <f t="shared" si="14"/>
        <v>Strategic Thinking|Division Head|2|2</v>
      </c>
      <c r="B928" t="str">
        <v>Strategic Thinking</v>
      </c>
      <c r="C928" t="str">
        <v>Division Head</v>
      </c>
      <c r="D928" s="76">
        <v>2</v>
      </c>
      <c r="E928" t="str" cm="1">
        <f t="array" ref="E928">INDEX(aspek!$D$2:$D$337,
   MATCH(1,(aspek!$A$2:$A$337=B928)*
           (aspek!$B$2:$B$337=C928)*
           (aspek!$C$2:$C$337=D928),0))</f>
        <v>Produktivitas kognitif dalam ketidakjelasan</v>
      </c>
      <c r="F928" s="76">
        <v>2</v>
      </c>
      <c r="G928" s="56" t="str" cm="1">
        <f t="array" ref="G928">INDEX(deskripsi!$D$2:$H$337,
   MATCH(1,(deskripsi!$A$2:$A$337=B928)*
           (deskripsi!$B$2:$B$337=C928)*
           (deskripsi!$C$2:$C$337=D928),0),
   F928)</f>
        <v>Masih dapat menganalisis, tetapi hanya menghasilkan daftar hal yang belum diketahui.</v>
      </c>
    </row>
    <row r="929" spans="1:7">
      <c r="A929" t="str">
        <f t="shared" si="14"/>
        <v>Strategic Thinking|Division Head|2|3</v>
      </c>
      <c r="B929" t="str">
        <v>Strategic Thinking</v>
      </c>
      <c r="C929" t="str">
        <v>Division Head</v>
      </c>
      <c r="D929" s="76">
        <v>2</v>
      </c>
      <c r="E929" t="str" cm="1">
        <f t="array" ref="E929">INDEX(aspek!$D$2:$D$337,
   MATCH(1,(aspek!$A$2:$A$337=B929)*
           (aspek!$B$2:$B$337=C929)*
           (aspek!$C$2:$C$337=D929),0))</f>
        <v>Produktivitas kognitif dalam ketidakjelasan</v>
      </c>
      <c r="F929" s="76">
        <v>3</v>
      </c>
      <c r="G929" s="56" t="str" cm="1">
        <f t="array" ref="G929">INDEX(deskripsi!$D$2:$H$337,
   MATCH(1,(deskripsi!$A$2:$A$337=B929)*
           (deskripsi!$B$2:$B$337=C929)*
           (deskripsi!$C$2:$C$337=D929),0),
   F929)</f>
        <v>Menghasilkan analisis dan skenario yang rapi, meski kesimpulannya tetap menunggu data tambahan.</v>
      </c>
    </row>
    <row r="930" spans="1:7">
      <c r="A930" t="str">
        <f t="shared" si="14"/>
        <v>Strategic Thinking|Division Head|2|4</v>
      </c>
      <c r="B930" t="str">
        <v>Strategic Thinking</v>
      </c>
      <c r="C930" t="str">
        <v>Division Head</v>
      </c>
      <c r="D930" s="76">
        <v>2</v>
      </c>
      <c r="E930" t="str" cm="1">
        <f t="array" ref="E930">INDEX(aspek!$D$2:$D$337,
   MATCH(1,(aspek!$A$2:$A$337=B930)*
           (aspek!$B$2:$B$337=C930)*
           (aspek!$C$2:$C$337=D930),0))</f>
        <v>Produktivitas kognitif dalam ketidakjelasan</v>
      </c>
      <c r="F930" s="76">
        <v>4</v>
      </c>
      <c r="G930" s="56" t="str" cm="1">
        <f t="array" ref="G930">INDEX(deskripsi!$D$2:$H$337,
   MATCH(1,(deskripsi!$A$2:$A$337=B930)*
           (deskripsi!$B$2:$B$337=C930)*
           (deskripsi!$C$2:$C$337=D930),0),
   F930)</f>
        <v>Menghasilkan langkah yang tetap benar apa pun arah yang akhirnya diambil, dan menjalankannya tanpa menunggu kejelasan.</v>
      </c>
    </row>
    <row r="931" spans="1:7">
      <c r="A931" t="str">
        <f t="shared" si="14"/>
        <v>Strategic Thinking|Division Head|2|5</v>
      </c>
      <c r="B931" t="str">
        <v>Strategic Thinking</v>
      </c>
      <c r="C931" t="str">
        <v>Division Head</v>
      </c>
      <c r="D931" s="76">
        <v>2</v>
      </c>
      <c r="E931" t="str" cm="1">
        <f t="array" ref="E931">INDEX(aspek!$D$2:$D$337,
   MATCH(1,(aspek!$A$2:$A$337=B931)*
           (aspek!$B$2:$B$337=C931)*
           (aspek!$C$2:$C$337=D931),0))</f>
        <v>Produktivitas kognitif dalam ketidakjelasan</v>
      </c>
      <c r="F931" s="76">
        <v>5</v>
      </c>
      <c r="G931" s="56" t="str" cm="1">
        <f t="array" ref="G931">INDEX(deskripsi!$D$2:$H$337,
   MATCH(1,(deskripsi!$A$2:$A$337=B931)*
           (deskripsi!$B$2:$B$337=C931)*
           (deskripsi!$C$2:$C$337=D931),0),
   F931)</f>
        <v>Menemukan peluang strategis yang justru tidak terlihat ketika keadaan sudah jelas.</v>
      </c>
    </row>
    <row r="932" spans="1:7">
      <c r="A932" t="str">
        <f t="shared" si="14"/>
        <v>Strategic Thinking|Division Head|3|1</v>
      </c>
      <c r="B932" t="str">
        <v>Strategic Thinking</v>
      </c>
      <c r="C932" t="str">
        <v>Division Head</v>
      </c>
      <c r="D932" s="76">
        <v>3</v>
      </c>
      <c r="E932" t="str" cm="1">
        <f t="array" ref="E932">INDEX(aspek!$D$2:$D$337,
   MATCH(1,(aspek!$A$2:$A$337=B932)*
           (aspek!$B$2:$B$337=C932)*
           (aspek!$C$2:$C$337=D932),0))</f>
        <v>Menjaga unit tetap berjalan</v>
      </c>
      <c r="F932" s="76">
        <v>1</v>
      </c>
      <c r="G932" s="56" t="str" cm="1">
        <f t="array" ref="G932">INDEX(deskripsi!$D$2:$H$337,
   MATCH(1,(deskripsi!$A$2:$A$337=B932)*
           (deskripsi!$B$2:$B$337=C932)*
           (deskripsi!$C$2:$C$337=D932),0),
   F932)</f>
        <v>Ketika arah strategis belum turun, unit ikut berhenti dan menunggu.</v>
      </c>
    </row>
    <row r="933" spans="1:7">
      <c r="A933" t="str">
        <f t="shared" si="14"/>
        <v>Strategic Thinking|Division Head|3|2</v>
      </c>
      <c r="B933" t="str">
        <v>Strategic Thinking</v>
      </c>
      <c r="C933" t="str">
        <v>Division Head</v>
      </c>
      <c r="D933" s="76">
        <v>3</v>
      </c>
      <c r="E933" t="str" cm="1">
        <f t="array" ref="E933">INDEX(aspek!$D$2:$D$337,
   MATCH(1,(aspek!$A$2:$A$337=B933)*
           (aspek!$B$2:$B$337=C933)*
           (aspek!$C$2:$C$337=D933),0))</f>
        <v>Menjaga unit tetap berjalan</v>
      </c>
      <c r="F933" s="76">
        <v>2</v>
      </c>
      <c r="G933" s="56" t="str" cm="1">
        <f t="array" ref="G933">INDEX(deskripsi!$D$2:$H$337,
   MATCH(1,(deskripsi!$A$2:$A$337=B933)*
           (deskripsi!$B$2:$B$337=C933)*
           (deskripsi!$C$2:$C$337=D933),0),
   F933)</f>
        <v>Unit tetap mengerjakan rutinitas, tetapi pekerjaan penting tertahan.</v>
      </c>
    </row>
    <row r="934" spans="1:7">
      <c r="A934" t="str">
        <f t="shared" si="14"/>
        <v>Strategic Thinking|Division Head|3|3</v>
      </c>
      <c r="B934" t="str">
        <v>Strategic Thinking</v>
      </c>
      <c r="C934" t="str">
        <v>Division Head</v>
      </c>
      <c r="D934" s="76">
        <v>3</v>
      </c>
      <c r="E934" t="str" cm="1">
        <f t="array" ref="E934">INDEX(aspek!$D$2:$D$337,
   MATCH(1,(aspek!$A$2:$A$337=B934)*
           (aspek!$B$2:$B$337=C934)*
           (aspek!$C$2:$C$337=D934),0))</f>
        <v>Menjaga unit tetap berjalan</v>
      </c>
      <c r="F934" s="76">
        <v>3</v>
      </c>
      <c r="G934" s="56" t="str" cm="1">
        <f t="array" ref="G934">INDEX(deskripsi!$D$2:$H$337,
   MATCH(1,(deskripsi!$A$2:$A$337=B934)*
           (deskripsi!$B$2:$B$337=C934)*
           (deskripsi!$C$2:$C$337=D934),0),
   F934)</f>
        <v>Unit tetap berjalan karena diberi pekerjaan seadanya, tanpa penjelasan.</v>
      </c>
    </row>
    <row r="935" spans="1:7">
      <c r="A935" t="str">
        <f t="shared" si="14"/>
        <v>Strategic Thinking|Division Head|3|4</v>
      </c>
      <c r="B935" t="str">
        <v>Strategic Thinking</v>
      </c>
      <c r="C935" t="str">
        <v>Division Head</v>
      </c>
      <c r="D935" s="76">
        <v>3</v>
      </c>
      <c r="E935" t="str" cm="1">
        <f t="array" ref="E935">INDEX(aspek!$D$2:$D$337,
   MATCH(1,(aspek!$A$2:$A$337=B935)*
           (aspek!$B$2:$B$337=C935)*
           (aspek!$C$2:$C$337=D935),0))</f>
        <v>Menjaga unit tetap berjalan</v>
      </c>
      <c r="F935" s="76">
        <v>4</v>
      </c>
      <c r="G935" s="56" t="str" cm="1">
        <f t="array" ref="G935">INDEX(deskripsi!$D$2:$H$337,
   MATCH(1,(deskripsi!$A$2:$A$337=B935)*
           (deskripsi!$B$2:$B$337=C935)*
           (deskripsi!$C$2:$C$337=D935),0),
   F935)</f>
        <v>Unit tetap menghasilkan pada periode yang belum jelas karena diberi pekerjaan yang tetap benar apa pun arahnya, disertai penjelasan jujur bahwa arah belum pasti.</v>
      </c>
    </row>
    <row r="936" spans="1:7">
      <c r="A936" t="str">
        <f t="shared" si="14"/>
        <v>Strategic Thinking|Division Head|3|5</v>
      </c>
      <c r="B936" t="str">
        <v>Strategic Thinking</v>
      </c>
      <c r="C936" t="str">
        <v>Division Head</v>
      </c>
      <c r="D936" s="76">
        <v>3</v>
      </c>
      <c r="E936" t="str" cm="1">
        <f t="array" ref="E936">INDEX(aspek!$D$2:$D$337,
   MATCH(1,(aspek!$A$2:$A$337=B936)*
           (aspek!$B$2:$B$337=C936)*
           (aspek!$C$2:$C$337=D936),0))</f>
        <v>Menjaga unit tetap berjalan</v>
      </c>
      <c r="F936" s="76">
        <v>5</v>
      </c>
      <c r="G936" s="56" t="str" cm="1">
        <f t="array" ref="G936">INDEX(deskripsi!$D$2:$H$337,
   MATCH(1,(deskripsi!$A$2:$A$337=B936)*
           (deskripsi!$B$2:$B$337=C936)*
           (deskripsi!$C$2:$C$337=D936),0),
   F936)</f>
        <v>Anggota unit mulai sendiri menemukan pekerjaan yang tetap benar tanpa menunggu diberi tahu.</v>
      </c>
    </row>
    <row r="937" spans="1:7">
      <c r="A937" t="str">
        <f t="shared" si="14"/>
        <v>Strategic Thinking|Division Head|4|1</v>
      </c>
      <c r="B937" t="str">
        <v>Strategic Thinking</v>
      </c>
      <c r="C937" t="str">
        <v>Division Head</v>
      </c>
      <c r="D937" s="76">
        <v>4</v>
      </c>
      <c r="E937" t="str" cm="1">
        <f t="array" ref="E937">INDEX(aspek!$D$2:$D$337,
   MATCH(1,(aspek!$A$2:$A$337=B937)*
           (aspek!$B$2:$B$337=C937)*
           (aspek!$C$2:$C$337=D937),0))</f>
        <v xml:space="preserve">Terobosan tanpa bukti kelayakan penuh  </v>
      </c>
      <c r="F937" s="76">
        <v>1</v>
      </c>
      <c r="G937" s="56" t="str" cm="1">
        <f t="array" ref="G937">INDEX(deskripsi!$D$2:$H$337,
   MATCH(1,(deskripsi!$A$2:$A$337=B937)*
           (deskripsi!$B$2:$B$337=C937)*
           (deskripsi!$C$2:$C$337=D937),0),
   F937)</f>
        <v>Hanya menjalankan gagasan yang kelayakannya sudah terbukti sepenuhnya.</v>
      </c>
    </row>
    <row r="938" spans="1:7">
      <c r="A938" t="str">
        <f t="shared" si="14"/>
        <v>Strategic Thinking|Division Head|4|2</v>
      </c>
      <c r="B938" t="str">
        <v>Strategic Thinking</v>
      </c>
      <c r="C938" t="str">
        <v>Division Head</v>
      </c>
      <c r="D938" s="76">
        <v>4</v>
      </c>
      <c r="E938" t="str" cm="1">
        <f t="array" ref="E938">INDEX(aspek!$D$2:$D$337,
   MATCH(1,(aspek!$A$2:$A$337=B938)*
           (aspek!$B$2:$B$337=C938)*
           (aspek!$C$2:$C$337=D938),0))</f>
        <v xml:space="preserve">Terobosan tanpa bukti kelayakan penuh  </v>
      </c>
      <c r="F938" s="76">
        <v>2</v>
      </c>
      <c r="G938" s="56" t="str" cm="1">
        <f t="array" ref="G938">INDEX(deskripsi!$D$2:$H$337,
   MATCH(1,(deskripsi!$A$2:$A$337=B938)*
           (deskripsi!$B$2:$B$337=C938)*
           (deskripsi!$C$2:$C$337=D938),0),
   F938)</f>
        <v>Menyusun gagasan besar tetapi menundanya sampai ada bukti yang meyakinkan.</v>
      </c>
    </row>
    <row r="939" spans="1:7">
      <c r="A939" t="str">
        <f t="shared" si="14"/>
        <v>Strategic Thinking|Division Head|4|3</v>
      </c>
      <c r="B939" t="str">
        <v>Strategic Thinking</v>
      </c>
      <c r="C939" t="str">
        <v>Division Head</v>
      </c>
      <c r="D939" s="76">
        <v>4</v>
      </c>
      <c r="E939" t="str" cm="1">
        <f t="array" ref="E939">INDEX(aspek!$D$2:$D$337,
   MATCH(1,(aspek!$A$2:$A$337=B939)*
           (aspek!$B$2:$B$337=C939)*
           (aspek!$C$2:$C$337=D939),0))</f>
        <v xml:space="preserve">Terobosan tanpa bukti kelayakan penuh  </v>
      </c>
      <c r="F939" s="76">
        <v>3</v>
      </c>
      <c r="G939" s="56" t="str" cm="1">
        <f t="array" ref="G939">INDEX(deskripsi!$D$2:$H$337,
   MATCH(1,(deskripsi!$A$2:$A$337=B939)*
           (deskripsi!$B$2:$B$337=C939)*
           (deskripsi!$C$2:$C$337=D939),0),
   F939)</f>
        <v>Menjalankan gagasan baru setelah pihak lain membuktikannya lebih dulu.</v>
      </c>
    </row>
    <row r="940" spans="1:7">
      <c r="A940" t="str">
        <f t="shared" si="14"/>
        <v>Strategic Thinking|Division Head|4|4</v>
      </c>
      <c r="B940" t="str">
        <v>Strategic Thinking</v>
      </c>
      <c r="C940" t="str">
        <v>Division Head</v>
      </c>
      <c r="D940" s="76">
        <v>4</v>
      </c>
      <c r="E940" t="str" cm="1">
        <f t="array" ref="E940">INDEX(aspek!$D$2:$D$337,
   MATCH(1,(aspek!$A$2:$A$337=B940)*
           (aspek!$B$2:$B$337=C940)*
           (aspek!$C$2:$C$337=D940),0))</f>
        <v xml:space="preserve">Terobosan tanpa bukti kelayakan penuh  </v>
      </c>
      <c r="F940" s="76">
        <v>4</v>
      </c>
      <c r="G940" s="56" t="str" cm="1">
        <f t="array" ref="G940">INDEX(deskripsi!$D$2:$H$337,
   MATCH(1,(deskripsi!$A$2:$A$337=B940)*
           (deskripsi!$B$2:$B$337=C940)*
           (deskripsi!$C$2:$C$337=D940),0),
   F940)</f>
        <v>Menjalankan terobosan pada skala yang risikonya terkendali sebelum kelayakannya terbukti, dengan batas dan kriteria berhenti yang ditetapkan di muka.</v>
      </c>
    </row>
    <row r="941" spans="1:7">
      <c r="A941" t="str">
        <f t="shared" si="14"/>
        <v>Strategic Thinking|Division Head|4|5</v>
      </c>
      <c r="B941" t="str">
        <v>Strategic Thinking</v>
      </c>
      <c r="C941" t="str">
        <v>Division Head</v>
      </c>
      <c r="D941" s="76">
        <v>4</v>
      </c>
      <c r="E941" t="str" cm="1">
        <f t="array" ref="E941">INDEX(aspek!$D$2:$D$337,
   MATCH(1,(aspek!$A$2:$A$337=B941)*
           (aspek!$B$2:$B$337=C941)*
           (aspek!$C$2:$C$337=D941),0))</f>
        <v xml:space="preserve">Terobosan tanpa bukti kelayakan penuh  </v>
      </c>
      <c r="F941" s="76">
        <v>5</v>
      </c>
      <c r="G941" s="56" t="str" cm="1">
        <f t="array" ref="G941">INDEX(deskripsi!$D$2:$H$337,
   MATCH(1,(deskripsi!$A$2:$A$337=B941)*
           (deskripsi!$B$2:$B$337=C941)*
           (deskripsi!$C$2:$C$337=D941),0),
   F941)</f>
        <v>Terobosan yang ia jalankan menjadi rujukan yang kemudian diikuti pihak lain di industrinya.</v>
      </c>
    </row>
    <row r="942" spans="1:7">
      <c r="A942" t="str">
        <f t="shared" si="14"/>
        <v>Strategic Thinking|Director|1|1</v>
      </c>
      <c r="B942" t="str">
        <v>Strategic Thinking</v>
      </c>
      <c r="C942" t="str">
        <v>Director</v>
      </c>
      <c r="D942" s="76">
        <v>1</v>
      </c>
      <c r="E942" t="str" cm="1">
        <f t="array" ref="E942">INDEX(aspek!$D$2:$D$337,
   MATCH(1,(aspek!$A$2:$A$337=B942)*
           (aspek!$B$2:$B$337=C942)*
           (aspek!$C$2:$C$337=D942),0))</f>
        <v>Memberi arah saat arah belum ada</v>
      </c>
      <c r="F942" s="76">
        <v>1</v>
      </c>
      <c r="G942" s="56" t="str" cm="1">
        <f t="array" ref="G942">INDEX(deskripsi!$D$2:$H$337,
   MATCH(1,(deskripsi!$A$2:$A$337=B942)*
           (deskripsi!$B$2:$B$337=C942)*
           (deskripsi!$C$2:$C$337=D942),0),
   F942)</f>
        <v>Ikut menunggu bersama organisasi; tidak ada arah yang diberikan sampai kejelasan datang dari atas.</v>
      </c>
    </row>
    <row r="943" spans="1:7">
      <c r="A943" t="str">
        <f t="shared" si="14"/>
        <v>Strategic Thinking|Director|1|2</v>
      </c>
      <c r="B943" t="str">
        <v>Strategic Thinking</v>
      </c>
      <c r="C943" t="str">
        <v>Director</v>
      </c>
      <c r="D943" s="76">
        <v>1</v>
      </c>
      <c r="E943" t="str" cm="1">
        <f t="array" ref="E943">INDEX(aspek!$D$2:$D$337,
   MATCH(1,(aspek!$A$2:$A$337=B943)*
           (aspek!$B$2:$B$337=C943)*
           (aspek!$C$2:$C$337=D943),0))</f>
        <v>Memberi arah saat arah belum ada</v>
      </c>
      <c r="F943" s="76">
        <v>2</v>
      </c>
      <c r="G943" s="56" t="str" cm="1">
        <f t="array" ref="G943">INDEX(deskripsi!$D$2:$H$337,
   MATCH(1,(deskripsi!$A$2:$A$337=B943)*
           (deskripsi!$B$2:$B$337=C943)*
           (deskripsi!$C$2:$C$337=D943),0),
   F943)</f>
        <v>Meneruskan ketidakjelasan apa adanya, tanpa menerjemahkannya menjadi pekerjaan.</v>
      </c>
    </row>
    <row r="944" spans="1:7">
      <c r="A944" t="str">
        <f t="shared" si="14"/>
        <v>Strategic Thinking|Director|1|3</v>
      </c>
      <c r="B944" t="str">
        <v>Strategic Thinking</v>
      </c>
      <c r="C944" t="str">
        <v>Director</v>
      </c>
      <c r="D944" s="76">
        <v>1</v>
      </c>
      <c r="E944" t="str" cm="1">
        <f t="array" ref="E944">INDEX(aspek!$D$2:$D$337,
   MATCH(1,(aspek!$A$2:$A$337=B944)*
           (aspek!$B$2:$B$337=C944)*
           (aspek!$C$2:$C$337=D944),0))</f>
        <v>Memberi arah saat arah belum ada</v>
      </c>
      <c r="F944" s="76">
        <v>3</v>
      </c>
      <c r="G944" s="56" t="str" cm="1">
        <f t="array" ref="G944">INDEX(deskripsi!$D$2:$H$337,
   MATCH(1,(deskripsi!$A$2:$A$337=B944)*
           (deskripsi!$B$2:$B$337=C944)*
           (deskripsi!$C$2:$C$337=D944),0),
   F944)</f>
        <v>Memberi arah yang jelas segera setelah kejelasan datang.</v>
      </c>
    </row>
    <row r="945" spans="1:7">
      <c r="A945" t="str">
        <f t="shared" si="14"/>
        <v>Strategic Thinking|Director|1|4</v>
      </c>
      <c r="B945" t="str">
        <v>Strategic Thinking</v>
      </c>
      <c r="C945" t="str">
        <v>Director</v>
      </c>
      <c r="D945" s="76">
        <v>1</v>
      </c>
      <c r="E945" t="str" cm="1">
        <f t="array" ref="E945">INDEX(aspek!$D$2:$D$337,
   MATCH(1,(aspek!$A$2:$A$337=B945)*
           (aspek!$B$2:$B$337=C945)*
           (aspek!$C$2:$C$337=D945),0))</f>
        <v>Memberi arah saat arah belum ada</v>
      </c>
      <c r="F945" s="76">
        <v>4</v>
      </c>
      <c r="G945" s="56" t="str" cm="1">
        <f t="array" ref="G945">INDEX(deskripsi!$D$2:$H$337,
   MATCH(1,(deskripsi!$A$2:$A$337=B945)*
           (deskripsi!$B$2:$B$337=C945)*
           (deskripsi!$C$2:$C$337=D945),0),
   F945)</f>
        <v>Memberi arah SEBELUM kejelasan datang — menyatakan dengan jujur apa yang belum pasti, tetapi tetap menetapkan apa yang dikerjakan sekarang dan kapan akan ditinjau ulang.</v>
      </c>
    </row>
    <row r="946" spans="1:7">
      <c r="A946" t="str">
        <f t="shared" si="14"/>
        <v>Strategic Thinking|Director|1|5</v>
      </c>
      <c r="B946" t="str">
        <v>Strategic Thinking</v>
      </c>
      <c r="C946" t="str">
        <v>Director</v>
      </c>
      <c r="D946" s="76">
        <v>1</v>
      </c>
      <c r="E946" t="str" cm="1">
        <f t="array" ref="E946">INDEX(aspek!$D$2:$D$337,
   MATCH(1,(aspek!$A$2:$A$337=B946)*
           (aspek!$B$2:$B$337=C946)*
           (aspek!$C$2:$C$337=D946),0))</f>
        <v>Memberi arah saat arah belum ada</v>
      </c>
      <c r="F946" s="76">
        <v>5</v>
      </c>
      <c r="G946" s="56" t="str" cm="1">
        <f t="array" ref="G946">INDEX(deskripsi!$D$2:$H$337,
   MATCH(1,(deskripsi!$A$2:$A$337=B946)*
           (deskripsi!$B$2:$B$337=C946)*
           (deskripsi!$C$2:$C$337=D946),0),
   F946)</f>
        <v>Fungsi-fungsi mulai sendiri menentukan pekerjaan yang tetap benar tanpa menunggu arahan darinya.</v>
      </c>
    </row>
    <row r="947" spans="1:7">
      <c r="A947" t="str">
        <f t="shared" si="14"/>
        <v>Strategic Thinking|Director|2|1</v>
      </c>
      <c r="B947" t="str">
        <v>Strategic Thinking</v>
      </c>
      <c r="C947" t="str">
        <v>Director</v>
      </c>
      <c r="D947" s="76">
        <v>2</v>
      </c>
      <c r="E947" t="str" cm="1">
        <f t="array" ref="E947">INDEX(aspek!$D$2:$D$337,
   MATCH(1,(aspek!$A$2:$A$337=B947)*
           (aspek!$B$2:$B$337=C947)*
           (aspek!$C$2:$C$337=D947),0))</f>
        <v xml:space="preserve">Menjaga orang lain tetap produktif </v>
      </c>
      <c r="F947" s="76">
        <v>1</v>
      </c>
      <c r="G947" s="56" t="str" cm="1">
        <f t="array" ref="G947">INDEX(deskripsi!$D$2:$H$337,
   MATCH(1,(deskripsi!$A$2:$A$337=B947)*
           (deskripsi!$B$2:$B$337=C947)*
           (deskripsi!$C$2:$C$337=D947),0),
   F947)</f>
        <v>Fungsi yang dipimpinnya ikut berhenti; produktivitas turun tajam pada periode tidak jelas.</v>
      </c>
    </row>
    <row r="948" spans="1:7">
      <c r="A948" t="str">
        <f t="shared" si="14"/>
        <v>Strategic Thinking|Director|2|2</v>
      </c>
      <c r="B948" t="str">
        <v>Strategic Thinking</v>
      </c>
      <c r="C948" t="str">
        <v>Director</v>
      </c>
      <c r="D948" s="76">
        <v>2</v>
      </c>
      <c r="E948" t="str" cm="1">
        <f t="array" ref="E948">INDEX(aspek!$D$2:$D$337,
   MATCH(1,(aspek!$A$2:$A$337=B948)*
           (aspek!$B$2:$B$337=C948)*
           (aspek!$C$2:$C$337=D948),0))</f>
        <v xml:space="preserve">Menjaga orang lain tetap produktif </v>
      </c>
      <c r="F948" s="76">
        <v>2</v>
      </c>
      <c r="G948" s="56" t="str" cm="1">
        <f t="array" ref="G948">INDEX(deskripsi!$D$2:$H$337,
   MATCH(1,(deskripsi!$A$2:$A$337=B948)*
           (deskripsi!$B$2:$B$337=C948)*
           (deskripsi!$C$2:$C$337=D948),0),
   F948)</f>
        <v>Rutinitas berjalan, tetapi pekerjaan penting tertahan menunggu keputusan.</v>
      </c>
    </row>
    <row r="949" spans="1:7">
      <c r="A949" t="str">
        <f t="shared" si="14"/>
        <v>Strategic Thinking|Director|2|3</v>
      </c>
      <c r="B949" t="str">
        <v>Strategic Thinking</v>
      </c>
      <c r="C949" t="str">
        <v>Director</v>
      </c>
      <c r="D949" s="76">
        <v>2</v>
      </c>
      <c r="E949" t="str" cm="1">
        <f t="array" ref="E949">INDEX(aspek!$D$2:$D$337,
   MATCH(1,(aspek!$A$2:$A$337=B949)*
           (aspek!$B$2:$B$337=C949)*
           (aspek!$C$2:$C$337=D949),0))</f>
        <v xml:space="preserve">Menjaga orang lain tetap produktif </v>
      </c>
      <c r="F949" s="76">
        <v>3</v>
      </c>
      <c r="G949" s="56" t="str" cm="1">
        <f t="array" ref="G949">INDEX(deskripsi!$D$2:$H$337,
   MATCH(1,(deskripsi!$A$2:$A$337=B949)*
           (deskripsi!$B$2:$B$337=C949)*
           (deskripsi!$C$2:$C$337=D949),0),
   F949)</f>
        <v>Fungsi tetap berjalan karena diberi pekerjaan, meski tanpa penjelasan mengapa.</v>
      </c>
    </row>
    <row r="950" spans="1:7">
      <c r="A950" t="str">
        <f t="shared" si="14"/>
        <v>Strategic Thinking|Director|2|4</v>
      </c>
      <c r="B950" t="str">
        <v>Strategic Thinking</v>
      </c>
      <c r="C950" t="str">
        <v>Director</v>
      </c>
      <c r="D950" s="76">
        <v>2</v>
      </c>
      <c r="E950" t="str" cm="1">
        <f t="array" ref="E950">INDEX(aspek!$D$2:$D$337,
   MATCH(1,(aspek!$A$2:$A$337=B950)*
           (aspek!$B$2:$B$337=C950)*
           (aspek!$C$2:$C$337=D950),0))</f>
        <v xml:space="preserve">Menjaga orang lain tetap produktif </v>
      </c>
      <c r="F950" s="76">
        <v>4</v>
      </c>
      <c r="G950" s="56" t="str" cm="1">
        <f t="array" ref="G950">INDEX(deskripsi!$D$2:$H$337,
   MATCH(1,(deskripsi!$A$2:$A$337=B950)*
           (deskripsi!$B$2:$B$337=C950)*
           (deskripsi!$C$2:$C$337=D950),0),
   F950)</f>
        <v>Keluaran fungsi tidak menurun pada periode tidak jelas, dan sebagian besar anggotanya tahu apa yang harus dikerjakan — dikonfirmasi oleh mereka sendiri.</v>
      </c>
    </row>
    <row r="951" spans="1:7">
      <c r="A951" t="str">
        <f t="shared" si="14"/>
        <v>Strategic Thinking|Director|2|5</v>
      </c>
      <c r="B951" t="str">
        <v>Strategic Thinking</v>
      </c>
      <c r="C951" t="str">
        <v>Director</v>
      </c>
      <c r="D951" s="76">
        <v>2</v>
      </c>
      <c r="E951" t="str" cm="1">
        <f t="array" ref="E951">INDEX(aspek!$D$2:$D$337,
   MATCH(1,(aspek!$A$2:$A$337=B951)*
           (aspek!$B$2:$B$337=C951)*
           (aspek!$C$2:$C$337=D951),0))</f>
        <v xml:space="preserve">Menjaga orang lain tetap produktif </v>
      </c>
      <c r="F951" s="76">
        <v>5</v>
      </c>
      <c r="G951" s="56" t="str" cm="1">
        <f t="array" ref="G951">INDEX(deskripsi!$D$2:$H$337,
   MATCH(1,(deskripsi!$A$2:$A$337=B951)*
           (deskripsi!$B$2:$B$337=C951)*
           (deskripsi!$C$2:$C$337=D951),0),
   F951)</f>
        <v>Fungsi di luar tanggung jawabnya ikut tetap bergerak karena arah yang ia berikan.</v>
      </c>
    </row>
    <row r="952" spans="1:7">
      <c r="A952" t="str">
        <f t="shared" si="14"/>
        <v>Strategic Thinking|Director|3|1</v>
      </c>
      <c r="B952" t="str">
        <v>Strategic Thinking</v>
      </c>
      <c r="C952" t="str">
        <v>Director</v>
      </c>
      <c r="D952" s="76">
        <v>3</v>
      </c>
      <c r="E952" t="str" cm="1">
        <f t="array" ref="E952">INDEX(aspek!$D$2:$D$337,
   MATCH(1,(aspek!$A$2:$A$337=B952)*
           (aspek!$B$2:$B$337=C952)*
           (aspek!$C$2:$C$337=D952),0))</f>
        <v>Mengubah ketidakpastian menjadi peluang strategis</v>
      </c>
      <c r="F952" s="76">
        <v>1</v>
      </c>
      <c r="G952" s="56" t="str" cm="1">
        <f t="array" ref="G952">INDEX(deskripsi!$D$2:$H$337,
   MATCH(1,(deskripsi!$A$2:$A$337=B952)*
           (deskripsi!$B$2:$B$337=C952)*
           (deskripsi!$C$2:$C$337=D952),0),
   F952)</f>
        <v>Membaca ketidakpastian hanya sebagai risiko yang harus ditahan.</v>
      </c>
    </row>
    <row r="953" spans="1:7">
      <c r="A953" t="str">
        <f t="shared" si="14"/>
        <v>Strategic Thinking|Director|3|2</v>
      </c>
      <c r="B953" t="str">
        <v>Strategic Thinking</v>
      </c>
      <c r="C953" t="str">
        <v>Director</v>
      </c>
      <c r="D953" s="76">
        <v>3</v>
      </c>
      <c r="E953" t="str" cm="1">
        <f t="array" ref="E953">INDEX(aspek!$D$2:$D$337,
   MATCH(1,(aspek!$A$2:$A$337=B953)*
           (aspek!$B$2:$B$337=C953)*
           (aspek!$C$2:$C$337=D953),0))</f>
        <v>Mengubah ketidakpastian menjadi peluang strategis</v>
      </c>
      <c r="F953" s="76">
        <v>2</v>
      </c>
      <c r="G953" s="56" t="str" cm="1">
        <f t="array" ref="G953">INDEX(deskripsi!$D$2:$H$337,
   MATCH(1,(deskripsi!$A$2:$A$337=B953)*
           (deskripsi!$B$2:$B$337=C953)*
           (deskripsi!$C$2:$C$337=D953),0),
   F953)</f>
        <v>Menyusun rencana mitigasi, tetapi tidak melihat kemungkinan di baliknya.</v>
      </c>
    </row>
    <row r="954" spans="1:7">
      <c r="A954" t="str">
        <f t="shared" si="14"/>
        <v>Strategic Thinking|Director|3|3</v>
      </c>
      <c r="B954" t="str">
        <v>Strategic Thinking</v>
      </c>
      <c r="C954" t="str">
        <v>Director</v>
      </c>
      <c r="D954" s="76">
        <v>3</v>
      </c>
      <c r="E954" t="str" cm="1">
        <f t="array" ref="E954">INDEX(aspek!$D$2:$D$337,
   MATCH(1,(aspek!$A$2:$A$337=B954)*
           (aspek!$B$2:$B$337=C954)*
           (aspek!$C$2:$C$337=D954),0))</f>
        <v>Mengubah ketidakpastian menjadi peluang strategis</v>
      </c>
      <c r="F954" s="76">
        <v>3</v>
      </c>
      <c r="G954" s="56" t="str" cm="1">
        <f t="array" ref="G954">INDEX(deskripsi!$D$2:$H$337,
   MATCH(1,(deskripsi!$A$2:$A$337=B954)*
           (deskripsi!$B$2:$B$337=C954)*
           (deskripsi!$C$2:$C$337=D954),0),
   F954)</f>
        <v>Mengenali peluang yang muncul dari ketidakpastian, tetapi tidak menindaklanjutinya.</v>
      </c>
    </row>
    <row r="955" spans="1:7">
      <c r="A955" t="str">
        <f t="shared" si="14"/>
        <v>Strategic Thinking|Director|3|4</v>
      </c>
      <c r="B955" t="str">
        <v>Strategic Thinking</v>
      </c>
      <c r="C955" t="str">
        <v>Director</v>
      </c>
      <c r="D955" s="76">
        <v>3</v>
      </c>
      <c r="E955" t="str" cm="1">
        <f t="array" ref="E955">INDEX(aspek!$D$2:$D$337,
   MATCH(1,(aspek!$A$2:$A$337=B955)*
           (aspek!$B$2:$B$337=C955)*
           (aspek!$C$2:$C$337=D955),0))</f>
        <v>Mengubah ketidakpastian menjadi peluang strategis</v>
      </c>
      <c r="F955" s="76">
        <v>4</v>
      </c>
      <c r="G955" s="56" t="str" cm="1">
        <f t="array" ref="G955">INDEX(deskripsi!$D$2:$H$337,
   MATCH(1,(deskripsi!$A$2:$A$337=B955)*
           (deskripsi!$B$2:$B$337=C955)*
           (deskripsi!$C$2:$C$337=D955),0),
   F955)</f>
        <v>Merumuskan peluang strategis dari ketidakpastian yang sedang berlangsung, mengajukannya, dan menggerakkan pihak lain menjalankan langkah pertamanya.</v>
      </c>
    </row>
    <row r="956" spans="1:7">
      <c r="A956" t="str">
        <f t="shared" si="14"/>
        <v>Strategic Thinking|Director|3|5</v>
      </c>
      <c r="B956" t="str">
        <v>Strategic Thinking</v>
      </c>
      <c r="C956" t="str">
        <v>Director</v>
      </c>
      <c r="D956" s="76">
        <v>3</v>
      </c>
      <c r="E956" t="str" cm="1">
        <f t="array" ref="E956">INDEX(aspek!$D$2:$D$337,
   MATCH(1,(aspek!$A$2:$A$337=B956)*
           (aspek!$B$2:$B$337=C956)*
           (aspek!$C$2:$C$337=D956),0))</f>
        <v>Mengubah ketidakpastian menjadi peluang strategis</v>
      </c>
      <c r="F956" s="76">
        <v>5</v>
      </c>
      <c r="G956" s="56" t="str" cm="1">
        <f t="array" ref="G956">INDEX(deskripsi!$D$2:$H$337,
   MATCH(1,(deskripsi!$A$2:$A$337=B956)*
           (deskripsi!$B$2:$B$337=C956)*
           (deskripsi!$C$2:$C$337=D956),0),
   F956)</f>
        <v>Organisasi memperoleh posisi kepeloporan justru karena periode ketidakpastian itu.</v>
      </c>
    </row>
    <row r="957" spans="1:7">
      <c r="A957" t="str">
        <f t="shared" si="14"/>
        <v>Strategic Thinking|Director|4|1</v>
      </c>
      <c r="B957" t="str">
        <v>Strategic Thinking</v>
      </c>
      <c r="C957" t="str">
        <v>Director</v>
      </c>
      <c r="D957" s="76">
        <v>4</v>
      </c>
      <c r="E957" t="str" cm="1">
        <f t="array" ref="E957">INDEX(aspek!$D$2:$D$337,
   MATCH(1,(aspek!$A$2:$A$337=B957)*
           (aspek!$B$2:$B$337=C957)*
           (aspek!$C$2:$C$337=D957),0))</f>
        <v>Arah strategis yang benar-benar diturunkan</v>
      </c>
      <c r="F957" s="76">
        <v>1</v>
      </c>
      <c r="G957" s="56" t="str" cm="1">
        <f t="array" ref="G957">INDEX(deskripsi!$D$2:$H$337,
   MATCH(1,(deskripsi!$A$2:$A$337=B957)*
           (deskripsi!$B$2:$B$337=C957)*
           (deskripsi!$C$2:$C$337=D957),0),
   F957)</f>
        <v>Tidak merumuskan arah; menjalankan arah yang ditetapkan pihak lain.</v>
      </c>
    </row>
    <row r="958" spans="1:7">
      <c r="A958" t="str">
        <f t="shared" si="14"/>
        <v>Strategic Thinking|Director|4|2</v>
      </c>
      <c r="B958" t="str">
        <v>Strategic Thinking</v>
      </c>
      <c r="C958" t="str">
        <v>Director</v>
      </c>
      <c r="D958" s="76">
        <v>4</v>
      </c>
      <c r="E958" t="str" cm="1">
        <f t="array" ref="E958">INDEX(aspek!$D$2:$D$337,
   MATCH(1,(aspek!$A$2:$A$337=B958)*
           (aspek!$B$2:$B$337=C958)*
           (aspek!$C$2:$C$337=D958),0))</f>
        <v>Arah strategis yang benar-benar diturunkan</v>
      </c>
      <c r="F958" s="76">
        <v>2</v>
      </c>
      <c r="G958" s="56" t="str" cm="1">
        <f t="array" ref="G958">INDEX(deskripsi!$D$2:$H$337,
   MATCH(1,(deskripsi!$A$2:$A$337=B958)*
           (deskripsi!$B$2:$B$337=C958)*
           (deskripsi!$C$2:$C$337=D958),0),
   F958)</f>
        <v>Merumuskan visi yang terlalu umum untuk diterjemahkan menjadi pekerjaan.</v>
      </c>
    </row>
    <row r="959" spans="1:7">
      <c r="A959" t="str">
        <f t="shared" si="14"/>
        <v>Strategic Thinking|Director|4|3</v>
      </c>
      <c r="B959" t="str">
        <v>Strategic Thinking</v>
      </c>
      <c r="C959" t="str">
        <v>Director</v>
      </c>
      <c r="D959" s="76">
        <v>4</v>
      </c>
      <c r="E959" t="str" cm="1">
        <f t="array" ref="E959">INDEX(aspek!$D$2:$D$337,
   MATCH(1,(aspek!$A$2:$A$337=B959)*
           (aspek!$B$2:$B$337=C959)*
           (aspek!$C$2:$C$337=D959),0))</f>
        <v>Arah strategis yang benar-benar diturunkan</v>
      </c>
      <c r="F959" s="76">
        <v>3</v>
      </c>
      <c r="G959" s="56" t="str" cm="1">
        <f t="array" ref="G959">INDEX(deskripsi!$D$2:$H$337,
   MATCH(1,(deskripsi!$A$2:$A$337=B959)*
           (deskripsi!$B$2:$B$337=C959)*
           (deskripsi!$C$2:$C$337=D959),0),
   F959)</f>
        <v>Merumuskan arah dan mempresentasikannya; penurunannya diserahkan kepada masing-masing fungsi.</v>
      </c>
    </row>
    <row r="960" spans="1:7">
      <c r="A960" t="str">
        <f t="shared" si="14"/>
        <v>Strategic Thinking|Director|4|4</v>
      </c>
      <c r="B960" t="str">
        <v>Strategic Thinking</v>
      </c>
      <c r="C960" t="str">
        <v>Director</v>
      </c>
      <c r="D960" s="76">
        <v>4</v>
      </c>
      <c r="E960" t="str" cm="1">
        <f t="array" ref="E960">INDEX(aspek!$D$2:$D$337,
   MATCH(1,(aspek!$A$2:$A$337=B960)*
           (aspek!$B$2:$B$337=C960)*
           (aspek!$C$2:$C$337=D960),0))</f>
        <v>Arah strategis yang benar-benar diturunkan</v>
      </c>
      <c r="F960" s="76">
        <v>4</v>
      </c>
      <c r="G960" s="56" t="str" cm="1">
        <f t="array" ref="G960">INDEX(deskripsi!$D$2:$H$337,
   MATCH(1,(deskripsi!$A$2:$A$337=B960)*
           (deskripsi!$B$2:$B$337=C960)*
           (deskripsi!$C$2:$C$337=D960),0),
   F960)</f>
        <v>Arah yang ia susun diturunkan menjadi langkah per fungsi, dan minimal tiga fungsi benar-benar menjalankannya tanpa kehadirannya.</v>
      </c>
    </row>
    <row r="961" spans="1:7">
      <c r="A961" t="str">
        <f t="shared" si="14"/>
        <v>Strategic Thinking|Director|4|5</v>
      </c>
      <c r="B961" t="str">
        <v>Strategic Thinking</v>
      </c>
      <c r="C961" t="str">
        <v>Director</v>
      </c>
      <c r="D961" s="76">
        <v>4</v>
      </c>
      <c r="E961" t="str" cm="1">
        <f t="array" ref="E961">INDEX(aspek!$D$2:$D$337,
   MATCH(1,(aspek!$A$2:$A$337=B961)*
           (aspek!$B$2:$B$337=C961)*
           (aspek!$C$2:$C$337=D961),0))</f>
        <v>Arah strategis yang benar-benar diturunkan</v>
      </c>
      <c r="F961" s="76">
        <v>5</v>
      </c>
      <c r="G961" s="56" t="str" cm="1">
        <f t="array" ref="G961">INDEX(deskripsi!$D$2:$H$337,
   MATCH(1,(deskripsi!$A$2:$A$337=B961)*
           (deskripsi!$B$2:$B$337=C961)*
           (deskripsi!$C$2:$C$337=D961),0),
   F961)</f>
        <v>Arah yang ia susun menjadi cara organisasi menentukan langkah pada persoalan sejenis berikutnya.</v>
      </c>
    </row>
    <row r="962" spans="1:7">
      <c r="A962" t="str">
        <f t="shared" si="14"/>
        <v>Conceptual Thinking|Officer|1|1</v>
      </c>
      <c r="B962" t="str">
        <v>Conceptual Thinking</v>
      </c>
      <c r="C962" t="str">
        <v>Officer</v>
      </c>
      <c r="D962" s="76">
        <v>1</v>
      </c>
      <c r="E962" t="str" cm="1">
        <f t="array" ref="E962">INDEX(aspek!$D$2:$D$337,
   MATCH(1,(aspek!$A$2:$A$337=B962)*
           (aspek!$B$2:$B$337=C962)*
           (aspek!$C$2:$C$337=D962),0))</f>
        <v>Kecepatan memahami</v>
      </c>
      <c r="F962" s="76">
        <v>1</v>
      </c>
      <c r="G962" s="56" t="str" cm="1">
        <f t="array" ref="G962">INDEX(deskripsi!$D$2:$H$337,
   MATCH(1,(deskripsi!$A$2:$A$337=B962)*
           (deskripsi!$B$2:$B$337=C962)*
           (deskripsi!$C$2:$C$337=D962),0),
   F962)</f>
        <v>Perlu dijelaskan berulang sebelum memahami informasi kerja dasar.</v>
      </c>
    </row>
    <row r="963" spans="1:7">
      <c r="A963" t="str">
        <f t="shared" ref="A963:A1026" si="15">B963&amp;"|"&amp;C963&amp;"|"&amp;D963&amp;"|"&amp;F963</f>
        <v>Conceptual Thinking|Officer|1|2</v>
      </c>
      <c r="B963" t="str">
        <v>Conceptual Thinking</v>
      </c>
      <c r="C963" t="str">
        <v>Officer</v>
      </c>
      <c r="D963" s="76">
        <v>1</v>
      </c>
      <c r="E963" t="str" cm="1">
        <f t="array" ref="E963">INDEX(aspek!$D$2:$D$337,
   MATCH(1,(aspek!$A$2:$A$337=B963)*
           (aspek!$B$2:$B$337=C963)*
           (aspek!$C$2:$C$337=D963),0))</f>
        <v>Kecepatan memahami</v>
      </c>
      <c r="F963" s="76">
        <v>2</v>
      </c>
      <c r="G963" s="56" t="str" cm="1">
        <f t="array" ref="G963">INDEX(deskripsi!$D$2:$H$337,
   MATCH(1,(deskripsi!$A$2:$A$337=B963)*
           (deskripsi!$B$2:$B$337=C963)*
           (deskripsi!$C$2:$C$337=D963),0),
   F963)</f>
        <v>Memahami setelah membaca beberapa kali.</v>
      </c>
    </row>
    <row r="964" spans="1:7">
      <c r="A964" t="str">
        <f t="shared" si="15"/>
        <v>Conceptual Thinking|Officer|1|3</v>
      </c>
      <c r="B964" t="str">
        <v>Conceptual Thinking</v>
      </c>
      <c r="C964" t="str">
        <v>Officer</v>
      </c>
      <c r="D964" s="76">
        <v>1</v>
      </c>
      <c r="E964" t="str" cm="1">
        <f t="array" ref="E964">INDEX(aspek!$D$2:$D$337,
   MATCH(1,(aspek!$A$2:$A$337=B964)*
           (aspek!$B$2:$B$337=C964)*
           (aspek!$C$2:$C$337=D964),0))</f>
        <v>Kecepatan memahami</v>
      </c>
      <c r="F964" s="76">
        <v>3</v>
      </c>
      <c r="G964" s="56" t="str" cm="1">
        <f t="array" ref="G964">INDEX(deskripsi!$D$2:$H$337,
   MATCH(1,(deskripsi!$A$2:$A$337=B964)*
           (deskripsi!$B$2:$B$337=C964)*
           (deskripsi!$C$2:$C$337=D964),0),
   F964)</f>
        <v>Memahami dalam waktu wajar tanpa penjelasan tambahan.</v>
      </c>
    </row>
    <row r="965" spans="1:7">
      <c r="A965" t="str">
        <f t="shared" si="15"/>
        <v>Conceptual Thinking|Officer|1|4</v>
      </c>
      <c r="B965" t="str">
        <v>Conceptual Thinking</v>
      </c>
      <c r="C965" t="str">
        <v>Officer</v>
      </c>
      <c r="D965" s="76">
        <v>1</v>
      </c>
      <c r="E965" t="str" cm="1">
        <f t="array" ref="E965">INDEX(aspek!$D$2:$D$337,
   MATCH(1,(aspek!$A$2:$A$337=B965)*
           (aspek!$B$2:$B$337=C965)*
           (aspek!$C$2:$C$337=D965),0))</f>
        <v>Kecepatan memahami</v>
      </c>
      <c r="F965" s="76">
        <v>4</v>
      </c>
      <c r="G965" s="56" t="str" cm="1">
        <f t="array" ref="G965">INDEX(deskripsi!$D$2:$H$337,
   MATCH(1,(deskripsi!$A$2:$A$337=B965)*
           (deskripsi!$B$2:$B$337=C965)*
           (deskripsi!$C$2:$C$337=D965),0),
   F965)</f>
        <v>Menangkap inti informasi baru dengan cepat.</v>
      </c>
    </row>
    <row r="966" spans="1:7">
      <c r="A966" t="str">
        <f t="shared" si="15"/>
        <v>Conceptual Thinking|Officer|1|5</v>
      </c>
      <c r="B966" t="str">
        <v>Conceptual Thinking</v>
      </c>
      <c r="C966" t="str">
        <v>Officer</v>
      </c>
      <c r="D966" s="76">
        <v>1</v>
      </c>
      <c r="E966" t="str" cm="1">
        <f t="array" ref="E966">INDEX(aspek!$D$2:$D$337,
   MATCH(1,(aspek!$A$2:$A$337=B966)*
           (aspek!$B$2:$B$337=C966)*
           (aspek!$C$2:$C$337=D966),0))</f>
        <v>Kecepatan memahami</v>
      </c>
      <c r="F966" s="76">
        <v>5</v>
      </c>
      <c r="G966" s="56" t="str" cm="1">
        <f t="array" ref="G966">INDEX(deskripsi!$D$2:$H$337,
   MATCH(1,(deskripsi!$A$2:$A$337=B966)*
           (deskripsi!$B$2:$B$337=C966)*
           (deskripsi!$C$2:$C$337=D966),0),
   F966)</f>
        <v>Menjadi rujukan rekan untuk memahami informasi yang sulit.</v>
      </c>
    </row>
    <row r="967" spans="1:7">
      <c r="A967" t="str">
        <f t="shared" si="15"/>
        <v>Conceptual Thinking|Officer|2|1</v>
      </c>
      <c r="B967" t="str">
        <v>Conceptual Thinking</v>
      </c>
      <c r="C967" t="str">
        <v>Officer</v>
      </c>
      <c r="D967" s="76">
        <v>2</v>
      </c>
      <c r="E967" t="str" cm="1">
        <f t="array" ref="E967">INDEX(aspek!$D$2:$D$337,
   MATCH(1,(aspek!$A$2:$A$337=B967)*
           (aspek!$B$2:$B$337=C967)*
           (aspek!$C$2:$C$337=D967),0))</f>
        <v>Memisahkan fakta dari opini</v>
      </c>
      <c r="F967" s="76">
        <v>1</v>
      </c>
      <c r="G967" s="56" t="str" cm="1">
        <f t="array" ref="G967">INDEX(deskripsi!$D$2:$H$337,
   MATCH(1,(deskripsi!$A$2:$A$337=B967)*
           (deskripsi!$B$2:$B$337=C967)*
           (deskripsi!$C$2:$C$337=D967),0),
   F967)</f>
        <v>Mencampur opini dan fakta tanpa menyadarinya.</v>
      </c>
    </row>
    <row r="968" spans="1:7">
      <c r="A968" t="str">
        <f t="shared" si="15"/>
        <v>Conceptual Thinking|Officer|2|2</v>
      </c>
      <c r="B968" t="str">
        <v>Conceptual Thinking</v>
      </c>
      <c r="C968" t="str">
        <v>Officer</v>
      </c>
      <c r="D968" s="76">
        <v>2</v>
      </c>
      <c r="E968" t="str" cm="1">
        <f t="array" ref="E968">INDEX(aspek!$D$2:$D$337,
   MATCH(1,(aspek!$A$2:$A$337=B968)*
           (aspek!$B$2:$B$337=C968)*
           (aspek!$C$2:$C$337=D968),0))</f>
        <v>Memisahkan fakta dari opini</v>
      </c>
      <c r="F968" s="76">
        <v>2</v>
      </c>
      <c r="G968" s="56" t="str" cm="1">
        <f t="array" ref="G968">INDEX(deskripsi!$D$2:$H$337,
   MATCH(1,(deskripsi!$A$2:$A$337=B968)*
           (deskripsi!$B$2:$B$337=C968)*
           (deskripsi!$C$2:$C$337=D968),0),
   F968)</f>
        <v>Menyadari perbedaannya bila ditanya.</v>
      </c>
    </row>
    <row r="969" spans="1:7">
      <c r="A969" t="str">
        <f t="shared" si="15"/>
        <v>Conceptual Thinking|Officer|2|3</v>
      </c>
      <c r="B969" t="str">
        <v>Conceptual Thinking</v>
      </c>
      <c r="C969" t="str">
        <v>Officer</v>
      </c>
      <c r="D969" s="76">
        <v>2</v>
      </c>
      <c r="E969" t="str" cm="1">
        <f t="array" ref="E969">INDEX(aspek!$D$2:$D$337,
   MATCH(1,(aspek!$A$2:$A$337=B969)*
           (aspek!$B$2:$B$337=C969)*
           (aspek!$C$2:$C$337=D969),0))</f>
        <v>Memisahkan fakta dari opini</v>
      </c>
      <c r="F969" s="76">
        <v>3</v>
      </c>
      <c r="G969" s="56" t="str" cm="1">
        <f t="array" ref="G969">INDEX(deskripsi!$D$2:$H$337,
   MATCH(1,(deskripsi!$A$2:$A$337=B969)*
           (deskripsi!$B$2:$B$337=C969)*
           (deskripsi!$C$2:$C$337=D969),0),
   F969)</f>
        <v>Memisahkan keduanya pada kasus yang jelas.</v>
      </c>
    </row>
    <row r="970" spans="1:7">
      <c r="A970" t="str">
        <f t="shared" si="15"/>
        <v>Conceptual Thinking|Officer|2|4</v>
      </c>
      <c r="B970" t="str">
        <v>Conceptual Thinking</v>
      </c>
      <c r="C970" t="str">
        <v>Officer</v>
      </c>
      <c r="D970" s="76">
        <v>2</v>
      </c>
      <c r="E970" t="str" cm="1">
        <f t="array" ref="E970">INDEX(aspek!$D$2:$D$337,
   MATCH(1,(aspek!$A$2:$A$337=B970)*
           (aspek!$B$2:$B$337=C970)*
           (aspek!$C$2:$C$337=D970),0))</f>
        <v>Memisahkan fakta dari opini</v>
      </c>
      <c r="F970" s="76">
        <v>4</v>
      </c>
      <c r="G970" s="56" t="str" cm="1">
        <f t="array" ref="G970">INDEX(deskripsi!$D$2:$H$337,
   MATCH(1,(deskripsi!$A$2:$A$337=B970)*
           (deskripsi!$B$2:$B$337=C970)*
           (deskripsi!$C$2:$C$337=D970),0),
   F970)</f>
        <v>Secara konsisten memisahkan fakta dari opini, termasuk pada kasus yang batasnya tidak jelas, diverifikasi pihak lain.</v>
      </c>
    </row>
    <row r="971" spans="1:7">
      <c r="A971" t="str">
        <f t="shared" si="15"/>
        <v>Conceptual Thinking|Officer|2|5</v>
      </c>
      <c r="B971" t="str">
        <v>Conceptual Thinking</v>
      </c>
      <c r="C971" t="str">
        <v>Officer</v>
      </c>
      <c r="D971" s="76">
        <v>2</v>
      </c>
      <c r="E971" t="str" cm="1">
        <f t="array" ref="E971">INDEX(aspek!$D$2:$D$337,
   MATCH(1,(aspek!$A$2:$A$337=B971)*
           (aspek!$B$2:$B$337=C971)*
           (aspek!$C$2:$C$337=D971),0))</f>
        <v>Memisahkan fakta dari opini</v>
      </c>
      <c r="F971" s="76">
        <v>5</v>
      </c>
      <c r="G971" s="56" t="str" cm="1">
        <f t="array" ref="G971">INDEX(deskripsi!$D$2:$H$337,
   MATCH(1,(deskripsi!$A$2:$A$337=B971)*
           (deskripsi!$B$2:$B$337=C971)*
           (deskripsi!$C$2:$C$337=D971),0),
   F971)</f>
        <v>Kebiasaannya menular kepada rekan kerja.</v>
      </c>
    </row>
    <row r="972" spans="1:7">
      <c r="A972" t="str">
        <f t="shared" si="15"/>
        <v>Conceptual Thinking|Officer|3|1</v>
      </c>
      <c r="B972" t="str">
        <v>Conceptual Thinking</v>
      </c>
      <c r="C972" t="str">
        <v>Officer</v>
      </c>
      <c r="D972" s="76">
        <v>3</v>
      </c>
      <c r="E972" t="str" cm="1">
        <f t="array" ref="E972">INDEX(aspek!$D$2:$D$337,
   MATCH(1,(aspek!$A$2:$A$337=B972)*
           (aspek!$B$2:$B$337=C972)*
           (aspek!$C$2:$C$337=D972),0))</f>
        <v>Kemandirian menyimpulkan</v>
      </c>
      <c r="F972" s="76">
        <v>1</v>
      </c>
      <c r="G972" s="56" t="str" cm="1">
        <f t="array" ref="G972">INDEX(deskripsi!$D$2:$H$337,
   MATCH(1,(deskripsi!$A$2:$A$337=B972)*
           (deskripsi!$B$2:$B$337=C972)*
           (deskripsi!$C$2:$C$337=D972),0),
   F972)</f>
        <v>Menunggu diberi tahu apa arti sebuah informasi.</v>
      </c>
    </row>
    <row r="973" spans="1:7">
      <c r="A973" t="str">
        <f t="shared" si="15"/>
        <v>Conceptual Thinking|Officer|3|2</v>
      </c>
      <c r="B973" t="str">
        <v>Conceptual Thinking</v>
      </c>
      <c r="C973" t="str">
        <v>Officer</v>
      </c>
      <c r="D973" s="76">
        <v>3</v>
      </c>
      <c r="E973" t="str" cm="1">
        <f t="array" ref="E973">INDEX(aspek!$D$2:$D$337,
   MATCH(1,(aspek!$A$2:$A$337=B973)*
           (aspek!$B$2:$B$337=C973)*
           (aspek!$C$2:$C$337=D973),0))</f>
        <v>Kemandirian menyimpulkan</v>
      </c>
      <c r="F973" s="76">
        <v>2</v>
      </c>
      <c r="G973" s="56" t="str" cm="1">
        <f t="array" ref="G973">INDEX(deskripsi!$D$2:$H$337,
   MATCH(1,(deskripsi!$A$2:$A$337=B973)*
           (deskripsi!$B$2:$B$337=C973)*
           (deskripsi!$C$2:$C$337=D973),0),
   F973)</f>
        <v>Meringkas tanpa menyimpulkan.</v>
      </c>
    </row>
    <row r="974" spans="1:7">
      <c r="A974" t="str">
        <f t="shared" si="15"/>
        <v>Conceptual Thinking|Officer|3|3</v>
      </c>
      <c r="B974" t="str">
        <v>Conceptual Thinking</v>
      </c>
      <c r="C974" t="str">
        <v>Officer</v>
      </c>
      <c r="D974" s="76">
        <v>3</v>
      </c>
      <c r="E974" t="str" cm="1">
        <f t="array" ref="E974">INDEX(aspek!$D$2:$D$337,
   MATCH(1,(aspek!$A$2:$A$337=B974)*
           (aspek!$B$2:$B$337=C974)*
           (aspek!$C$2:$C$337=D974),0))</f>
        <v>Kemandirian menyimpulkan</v>
      </c>
      <c r="F974" s="76">
        <v>3</v>
      </c>
      <c r="G974" s="56" t="str" cm="1">
        <f t="array" ref="G974">INDEX(deskripsi!$D$2:$H$337,
   MATCH(1,(deskripsi!$A$2:$A$337=B974)*
           (deskripsi!$B$2:$B$337=C974)*
           (deskripsi!$C$2:$C$337=D974),0),
   F974)</f>
        <v>Menyimpulkan sendiri, sering perlu dikoreksi.</v>
      </c>
    </row>
    <row r="975" spans="1:7">
      <c r="A975" t="str">
        <f t="shared" si="15"/>
        <v>Conceptual Thinking|Officer|3|4</v>
      </c>
      <c r="B975" t="str">
        <v>Conceptual Thinking</v>
      </c>
      <c r="C975" t="str">
        <v>Officer</v>
      </c>
      <c r="D975" s="76">
        <v>3</v>
      </c>
      <c r="E975" t="str" cm="1">
        <f t="array" ref="E975">INDEX(aspek!$D$2:$D$337,
   MATCH(1,(aspek!$A$2:$A$337=B975)*
           (aspek!$B$2:$B$337=C975)*
           (aspek!$C$2:$C$337=D975),0))</f>
        <v>Kemandirian menyimpulkan</v>
      </c>
      <c r="F975" s="76">
        <v>4</v>
      </c>
      <c r="G975" s="56" t="str" cm="1">
        <f t="array" ref="G975">INDEX(deskripsi!$D$2:$H$337,
   MATCH(1,(deskripsi!$A$2:$A$337=B975)*
           (deskripsi!$B$2:$B$337=C975)*
           (deskripsi!$C$2:$C$337=D975),0),
   F975)</f>
        <v>Menyimpulkan mandiri dan mayoritas tepat.</v>
      </c>
    </row>
    <row r="976" spans="1:7">
      <c r="A976" t="str">
        <f t="shared" si="15"/>
        <v>Conceptual Thinking|Officer|3|5</v>
      </c>
      <c r="B976" t="str">
        <v>Conceptual Thinking</v>
      </c>
      <c r="C976" t="str">
        <v>Officer</v>
      </c>
      <c r="D976" s="76">
        <v>3</v>
      </c>
      <c r="E976" t="str" cm="1">
        <f t="array" ref="E976">INDEX(aspek!$D$2:$D$337,
   MATCH(1,(aspek!$A$2:$A$337=B976)*
           (aspek!$B$2:$B$337=C976)*
           (aspek!$C$2:$C$337=D976),0))</f>
        <v>Kemandirian menyimpulkan</v>
      </c>
      <c r="F976" s="76">
        <v>5</v>
      </c>
      <c r="G976" s="56" t="str" cm="1">
        <f t="array" ref="G976">INDEX(deskripsi!$D$2:$H$337,
   MATCH(1,(deskripsi!$A$2:$A$337=B976)*
           (deskripsi!$B$2:$B$337=C976)*
           (deskripsi!$C$2:$C$337=D976),0),
   F976)</f>
        <v>Kesimpulannya dipakai tanpa diperiksa ulang.</v>
      </c>
    </row>
    <row r="977" spans="1:7">
      <c r="A977" t="str">
        <f t="shared" si="15"/>
        <v>Conceptual Thinking|Officer|4|1</v>
      </c>
      <c r="B977" t="str">
        <v>Conceptual Thinking</v>
      </c>
      <c r="C977" t="str">
        <v>Officer</v>
      </c>
      <c r="D977" s="76">
        <v>4</v>
      </c>
      <c r="E977" t="str" cm="1">
        <f t="array" ref="E977">INDEX(aspek!$D$2:$D$337,
   MATCH(1,(aspek!$A$2:$A$337=B977)*
           (aspek!$B$2:$B$337=C977)*
           (aspek!$C$2:$C$337=D977),0))</f>
        <v>Menghubungkan dengan konteks</v>
      </c>
      <c r="F977" s="76">
        <v>1</v>
      </c>
      <c r="G977" s="56" t="str" cm="1">
        <f t="array" ref="G977">INDEX(deskripsi!$D$2:$H$337,
   MATCH(1,(deskripsi!$A$2:$A$337=B977)*
           (deskripsi!$B$2:$B$337=C977)*
           (deskripsi!$C$2:$C$337=D977),0),
   F977)</f>
        <v>Tidak melihat kaitan informasi dengan pekerjaannya.</v>
      </c>
    </row>
    <row r="978" spans="1:7">
      <c r="A978" t="str">
        <f t="shared" si="15"/>
        <v>Conceptual Thinking|Officer|4|2</v>
      </c>
      <c r="B978" t="str">
        <v>Conceptual Thinking</v>
      </c>
      <c r="C978" t="str">
        <v>Officer</v>
      </c>
      <c r="D978" s="76">
        <v>4</v>
      </c>
      <c r="E978" t="str" cm="1">
        <f t="array" ref="E978">INDEX(aspek!$D$2:$D$337,
   MATCH(1,(aspek!$A$2:$A$337=B978)*
           (aspek!$B$2:$B$337=C978)*
           (aspek!$C$2:$C$337=D978),0))</f>
        <v>Menghubungkan dengan konteks</v>
      </c>
      <c r="F978" s="76">
        <v>2</v>
      </c>
      <c r="G978" s="56" t="str" cm="1">
        <f t="array" ref="G978">INDEX(deskripsi!$D$2:$H$337,
   MATCH(1,(deskripsi!$A$2:$A$337=B978)*
           (deskripsi!$B$2:$B$337=C978)*
           (deskripsi!$C$2:$C$337=D978),0),
   F978)</f>
        <v>Menyadari ada kaitan, tidak dapat menyebutkannya.</v>
      </c>
    </row>
    <row r="979" spans="1:7">
      <c r="A979" t="str">
        <f t="shared" si="15"/>
        <v>Conceptual Thinking|Officer|4|3</v>
      </c>
      <c r="B979" t="str">
        <v>Conceptual Thinking</v>
      </c>
      <c r="C979" t="str">
        <v>Officer</v>
      </c>
      <c r="D979" s="76">
        <v>4</v>
      </c>
      <c r="E979" t="str" cm="1">
        <f t="array" ref="E979">INDEX(aspek!$D$2:$D$337,
   MATCH(1,(aspek!$A$2:$A$337=B979)*
           (aspek!$B$2:$B$337=C979)*
           (aspek!$C$2:$C$337=D979),0))</f>
        <v>Menghubungkan dengan konteks</v>
      </c>
      <c r="F979" s="76">
        <v>3</v>
      </c>
      <c r="G979" s="56" t="str" cm="1">
        <f t="array" ref="G979">INDEX(deskripsi!$D$2:$H$337,
   MATCH(1,(deskripsi!$A$2:$A$337=B979)*
           (deskripsi!$B$2:$B$337=C979)*
           (deskripsi!$C$2:$C$337=D979),0),
   F979)</f>
        <v>Menjelaskan kaitan pada kasus sederhana.</v>
      </c>
    </row>
    <row r="980" spans="1:7">
      <c r="A980" t="str">
        <f t="shared" si="15"/>
        <v>Conceptual Thinking|Officer|4|4</v>
      </c>
      <c r="B980" t="str">
        <v>Conceptual Thinking</v>
      </c>
      <c r="C980" t="str">
        <v>Officer</v>
      </c>
      <c r="D980" s="76">
        <v>4</v>
      </c>
      <c r="E980" t="str" cm="1">
        <f t="array" ref="E980">INDEX(aspek!$D$2:$D$337,
   MATCH(1,(aspek!$A$2:$A$337=B980)*
           (aspek!$B$2:$B$337=C980)*
           (aspek!$C$2:$C$337=D980),0))</f>
        <v>Menghubungkan dengan konteks</v>
      </c>
      <c r="F980" s="76">
        <v>4</v>
      </c>
      <c r="G980" s="56" t="str" cm="1">
        <f t="array" ref="G980">INDEX(deskripsi!$D$2:$H$337,
   MATCH(1,(deskripsi!$A$2:$A$337=B980)*
           (deskripsi!$B$2:$B$337=C980)*
           (deskripsi!$C$2:$C$337=D980),0),
   F980)</f>
        <v>Menghubungkan informasi dengan konteks tugas secara akurat dan berbasis fakta.</v>
      </c>
    </row>
    <row r="981" spans="1:7">
      <c r="A981" t="str">
        <f t="shared" si="15"/>
        <v>Conceptual Thinking|Officer|4|5</v>
      </c>
      <c r="B981" t="str">
        <v>Conceptual Thinking</v>
      </c>
      <c r="C981" t="str">
        <v>Officer</v>
      </c>
      <c r="D981" s="76">
        <v>4</v>
      </c>
      <c r="E981" t="str" cm="1">
        <f t="array" ref="E981">INDEX(aspek!$D$2:$D$337,
   MATCH(1,(aspek!$A$2:$A$337=B981)*
           (aspek!$B$2:$B$337=C981)*
           (aspek!$C$2:$C$337=D981),0))</f>
        <v>Menghubungkan dengan konteks</v>
      </c>
      <c r="F981" s="76">
        <v>5</v>
      </c>
      <c r="G981" s="56" t="str" cm="1">
        <f t="array" ref="G981">INDEX(deskripsi!$D$2:$H$337,
   MATCH(1,(deskripsi!$A$2:$A$337=B981)*
           (deskripsi!$B$2:$B$337=C981)*
           (deskripsi!$C$2:$C$337=D981),0),
   F981)</f>
        <v>Menemukan kaitan yang belum terlihat oleh unitnya.</v>
      </c>
    </row>
    <row r="982" spans="1:7">
      <c r="A982" t="str">
        <f t="shared" si="15"/>
        <v>Conceptual Thinking|Analyst|1|1</v>
      </c>
      <c r="B982" t="str">
        <v>Conceptual Thinking</v>
      </c>
      <c r="C982" t="str">
        <v>Analyst</v>
      </c>
      <c r="D982" s="76">
        <v>1</v>
      </c>
      <c r="E982" t="str" cm="1">
        <f t="array" ref="E982">INDEX(aspek!$D$2:$D$337,
   MATCH(1,(aspek!$A$2:$A$337=B982)*
           (aspek!$B$2:$B$337=C982)*
           (aspek!$C$2:$C$337=D982),0))</f>
        <v>Struktur penjelasan</v>
      </c>
      <c r="F982" s="76">
        <v>1</v>
      </c>
      <c r="G982" s="56" t="str" cm="1">
        <f t="array" ref="G982">INDEX(deskripsi!$D$2:$H$337,
   MATCH(1,(deskripsi!$A$2:$A$337=B982)*
           (deskripsi!$B$2:$B$337=C982)*
           (deskripsi!$C$2:$C$337=D982),0),
   F982)</f>
        <v>Tidak terstruktur; pendengar tidak menemukan poin utama.</v>
      </c>
    </row>
    <row r="983" spans="1:7">
      <c r="A983" t="str">
        <f t="shared" si="15"/>
        <v>Conceptual Thinking|Analyst|1|2</v>
      </c>
      <c r="B983" t="str">
        <v>Conceptual Thinking</v>
      </c>
      <c r="C983" t="str">
        <v>Analyst</v>
      </c>
      <c r="D983" s="76">
        <v>1</v>
      </c>
      <c r="E983" t="str" cm="1">
        <f t="array" ref="E983">INDEX(aspek!$D$2:$D$337,
   MATCH(1,(aspek!$A$2:$A$337=B983)*
           (aspek!$B$2:$B$337=C983)*
           (aspek!$C$2:$C$337=D983),0))</f>
        <v>Struktur penjelasan</v>
      </c>
      <c r="F983" s="76">
        <v>2</v>
      </c>
      <c r="G983" s="56" t="str" cm="1">
        <f t="array" ref="G983">INDEX(deskripsi!$D$2:$H$337,
   MATCH(1,(deskripsi!$A$2:$A$337=B983)*
           (deskripsi!$B$2:$B$337=C983)*
           (deskripsi!$C$2:$C$337=D983),0),
   F983)</f>
        <v>Ada urutan, tetapi berbelit.</v>
      </c>
    </row>
    <row r="984" spans="1:7">
      <c r="A984" t="str">
        <f t="shared" si="15"/>
        <v>Conceptual Thinking|Analyst|1|3</v>
      </c>
      <c r="B984" t="str">
        <v>Conceptual Thinking</v>
      </c>
      <c r="C984" t="str">
        <v>Analyst</v>
      </c>
      <c r="D984" s="76">
        <v>1</v>
      </c>
      <c r="E984" t="str" cm="1">
        <f t="array" ref="E984">INDEX(aspek!$D$2:$D$337,
   MATCH(1,(aspek!$A$2:$A$337=B984)*
           (aspek!$B$2:$B$337=C984)*
           (aspek!$C$2:$C$337=D984),0))</f>
        <v>Struktur penjelasan</v>
      </c>
      <c r="F984" s="76">
        <v>3</v>
      </c>
      <c r="G984" s="56" t="str" cm="1">
        <f t="array" ref="G984">INDEX(deskripsi!$D$2:$H$337,
   MATCH(1,(deskripsi!$A$2:$A$337=B984)*
           (deskripsi!$B$2:$B$337=C984)*
           (deskripsi!$C$2:$C$337=D984),0),
   F984)</f>
        <v>Jelas dan runtut: sebab, dampak, kesimpulan.</v>
      </c>
    </row>
    <row r="985" spans="1:7">
      <c r="A985" t="str">
        <f t="shared" si="15"/>
        <v>Conceptual Thinking|Analyst|1|4</v>
      </c>
      <c r="B985" t="str">
        <v>Conceptual Thinking</v>
      </c>
      <c r="C985" t="str">
        <v>Analyst</v>
      </c>
      <c r="D985" s="76">
        <v>1</v>
      </c>
      <c r="E985" t="str" cm="1">
        <f t="array" ref="E985">INDEX(aspek!$D$2:$D$337,
   MATCH(1,(aspek!$A$2:$A$337=B985)*
           (aspek!$B$2:$B$337=C985)*
           (aspek!$C$2:$C$337=D985),0))</f>
        <v>Struktur penjelasan</v>
      </c>
      <c r="F985" s="76">
        <v>4</v>
      </c>
      <c r="G985" s="56" t="str" cm="1">
        <f t="array" ref="G985">INDEX(deskripsi!$D$2:$H$337,
   MATCH(1,(deskripsi!$A$2:$A$337=B985)*
           (deskripsi!$B$2:$B$337=C985)*
           (deskripsi!$C$2:$C$337=D985),0),
   F985)</f>
        <v>Struktur disusun mengikuti apa yang perlu diketahui pendengar untuk memahami atau memutuskan.</v>
      </c>
    </row>
    <row r="986" spans="1:7">
      <c r="A986" t="str">
        <f t="shared" si="15"/>
        <v>Conceptual Thinking|Analyst|1|5</v>
      </c>
      <c r="B986" t="str">
        <v>Conceptual Thinking</v>
      </c>
      <c r="C986" t="str">
        <v>Analyst</v>
      </c>
      <c r="D986" s="76">
        <v>1</v>
      </c>
      <c r="E986" t="str" cm="1">
        <f t="array" ref="E986">INDEX(aspek!$D$2:$D$337,
   MATCH(1,(aspek!$A$2:$A$337=B986)*
           (aspek!$B$2:$B$337=C986)*
           (aspek!$C$2:$C$337=D986),0))</f>
        <v>Struktur penjelasan</v>
      </c>
      <c r="F986" s="76">
        <v>5</v>
      </c>
      <c r="G986" s="56" t="str" cm="1">
        <f t="array" ref="G986">INDEX(deskripsi!$D$2:$H$337,
   MATCH(1,(deskripsi!$A$2:$A$337=B986)*
           (deskripsi!$B$2:$B$337=C986)*
           (deskripsi!$C$2:$C$337=D986),0),
   F986)</f>
        <v>Menjadi narasi yang menggerakkan pendengar bertindak.</v>
      </c>
    </row>
    <row r="987" spans="1:7">
      <c r="A987" t="str">
        <f t="shared" si="15"/>
        <v>Conceptual Thinking|Analyst|2|1</v>
      </c>
      <c r="B987" t="str">
        <v>Conceptual Thinking</v>
      </c>
      <c r="C987" t="str">
        <v>Analyst</v>
      </c>
      <c r="D987" s="76">
        <v>2</v>
      </c>
      <c r="E987" t="str" cm="1">
        <f t="array" ref="E987">INDEX(aspek!$D$2:$D$337,
   MATCH(1,(aspek!$A$2:$A$337=B987)*
           (aspek!$B$2:$B$337=C987)*
           (aspek!$C$2:$C$337=D987),0))</f>
        <v>Memperjelas informasi ambigu</v>
      </c>
      <c r="F987" s="76">
        <v>1</v>
      </c>
      <c r="G987" s="56" t="str" cm="1">
        <f t="array" ref="G987">INDEX(deskripsi!$D$2:$H$337,
   MATCH(1,(deskripsi!$A$2:$A$337=B987)*
           (deskripsi!$B$2:$B$337=C987)*
           (deskripsi!$C$2:$C$337=D987),0),
   F987)</f>
        <v>Tidak menyadari informasi yang disampaikan berpotensi disalahpahami.</v>
      </c>
    </row>
    <row r="988" spans="1:7">
      <c r="A988" t="str">
        <f t="shared" si="15"/>
        <v>Conceptual Thinking|Analyst|2|2</v>
      </c>
      <c r="B988" t="str">
        <v>Conceptual Thinking</v>
      </c>
      <c r="C988" t="str">
        <v>Analyst</v>
      </c>
      <c r="D988" s="76">
        <v>2</v>
      </c>
      <c r="E988" t="str" cm="1">
        <f t="array" ref="E988">INDEX(aspek!$D$2:$D$337,
   MATCH(1,(aspek!$A$2:$A$337=B988)*
           (aspek!$B$2:$B$337=C988)*
           (aspek!$C$2:$C$337=D988),0))</f>
        <v>Memperjelas informasi ambigu</v>
      </c>
      <c r="F988" s="76">
        <v>2</v>
      </c>
      <c r="G988" s="56" t="str" cm="1">
        <f t="array" ref="G988">INDEX(deskripsi!$D$2:$H$337,
   MATCH(1,(deskripsi!$A$2:$A$337=B988)*
           (deskripsi!$B$2:$B$337=C988)*
           (deskripsi!$C$2:$C$337=D988),0),
   F988)</f>
        <v>Menyadari ambiguitas, tetapi tidak memperjelasnya.</v>
      </c>
    </row>
    <row r="989" spans="1:7">
      <c r="A989" t="str">
        <f t="shared" si="15"/>
        <v>Conceptual Thinking|Analyst|2|3</v>
      </c>
      <c r="B989" t="str">
        <v>Conceptual Thinking</v>
      </c>
      <c r="C989" t="str">
        <v>Analyst</v>
      </c>
      <c r="D989" s="76">
        <v>2</v>
      </c>
      <c r="E989" t="str" cm="1">
        <f t="array" ref="E989">INDEX(aspek!$D$2:$D$337,
   MATCH(1,(aspek!$A$2:$A$337=B989)*
           (aspek!$B$2:$B$337=C989)*
           (aspek!$C$2:$C$337=D989),0))</f>
        <v>Memperjelas informasi ambigu</v>
      </c>
      <c r="F989" s="76">
        <v>3</v>
      </c>
      <c r="G989" s="56" t="str" cm="1">
        <f t="array" ref="G989">INDEX(deskripsi!$D$2:$H$337,
   MATCH(1,(deskripsi!$A$2:$A$337=B989)*
           (deskripsi!$B$2:$B$337=C989)*
           (deskripsi!$C$2:$C$337=D989),0),
   F989)</f>
        <v>Memperjelas ambiguitas ketika ditanya.</v>
      </c>
    </row>
    <row r="990" spans="1:7">
      <c r="A990" t="str">
        <f t="shared" si="15"/>
        <v>Conceptual Thinking|Analyst|2|4</v>
      </c>
      <c r="B990" t="str">
        <v>Conceptual Thinking</v>
      </c>
      <c r="C990" t="str">
        <v>Analyst</v>
      </c>
      <c r="D990" s="76">
        <v>2</v>
      </c>
      <c r="E990" t="str" cm="1">
        <f t="array" ref="E990">INDEX(aspek!$D$2:$D$337,
   MATCH(1,(aspek!$A$2:$A$337=B990)*
           (aspek!$B$2:$B$337=C990)*
           (aspek!$C$2:$C$337=D990),0))</f>
        <v>Memperjelas informasi ambigu</v>
      </c>
      <c r="F990" s="76">
        <v>4</v>
      </c>
      <c r="G990" s="56" t="str" cm="1">
        <f t="array" ref="G990">INDEX(deskripsi!$D$2:$H$337,
   MATCH(1,(deskripsi!$A$2:$A$337=B990)*
           (deskripsi!$B$2:$B$337=C990)*
           (deskripsi!$C$2:$C$337=D990),0),
   F990)</f>
        <v>Secara proaktif mengenali dan memperjelas informasi ambigu sebelum menimbulkan salah paham, diverifikasi dari pemahaman penerima.</v>
      </c>
    </row>
    <row r="991" spans="1:7">
      <c r="A991" t="str">
        <f t="shared" si="15"/>
        <v>Conceptual Thinking|Analyst|2|5</v>
      </c>
      <c r="B991" t="str">
        <v>Conceptual Thinking</v>
      </c>
      <c r="C991" t="str">
        <v>Analyst</v>
      </c>
      <c r="D991" s="76">
        <v>2</v>
      </c>
      <c r="E991" t="str" cm="1">
        <f t="array" ref="E991">INDEX(aspek!$D$2:$D$337,
   MATCH(1,(aspek!$A$2:$A$337=B991)*
           (aspek!$B$2:$B$337=C991)*
           (aspek!$C$2:$C$337=D991),0))</f>
        <v>Memperjelas informasi ambigu</v>
      </c>
      <c r="F991" s="76">
        <v>5</v>
      </c>
      <c r="G991" s="56" t="str" cm="1">
        <f t="array" ref="G991">INDEX(deskripsi!$D$2:$H$337,
   MATCH(1,(deskripsi!$A$2:$A$337=B991)*
           (deskripsi!$B$2:$B$337=C991)*
           (deskripsi!$C$2:$C$337=D991),0),
   F991)</f>
        <v>Menjadi rujukan saat informasi di unit membingungkan banyak pihak.</v>
      </c>
    </row>
    <row r="992" spans="1:7">
      <c r="A992" t="str">
        <f t="shared" si="15"/>
        <v>Conceptual Thinking|Analyst|3|1</v>
      </c>
      <c r="B992" t="str">
        <v>Conceptual Thinking</v>
      </c>
      <c r="C992" t="str">
        <v>Analyst</v>
      </c>
      <c r="D992" s="76">
        <v>3</v>
      </c>
      <c r="E992" t="str" cm="1">
        <f t="array" ref="E992">INDEX(aspek!$D$2:$D$337,
   MATCH(1,(aspek!$A$2:$A$337=B992)*
           (aspek!$B$2:$B$337=C992)*
           (aspek!$C$2:$C$337=D992),0))</f>
        <v>Penyesuaian terhadap audiens</v>
      </c>
      <c r="F992" s="76">
        <v>1</v>
      </c>
      <c r="G992" s="56" t="str" cm="1">
        <f t="array" ref="G992">INDEX(deskripsi!$D$2:$H$337,
   MATCH(1,(deskripsi!$A$2:$A$337=B992)*
           (deskripsi!$B$2:$B$337=C992)*
           (deskripsi!$C$2:$C$337=D992),0),
   F992)</f>
        <v>Menyampaikan dengan cara yang sama kepada siapa pun.</v>
      </c>
    </row>
    <row r="993" spans="1:7">
      <c r="A993" t="str">
        <f t="shared" si="15"/>
        <v>Conceptual Thinking|Analyst|3|2</v>
      </c>
      <c r="B993" t="str">
        <v>Conceptual Thinking</v>
      </c>
      <c r="C993" t="str">
        <v>Analyst</v>
      </c>
      <c r="D993" s="76">
        <v>3</v>
      </c>
      <c r="E993" t="str" cm="1">
        <f t="array" ref="E993">INDEX(aspek!$D$2:$D$337,
   MATCH(1,(aspek!$A$2:$A$337=B993)*
           (aspek!$B$2:$B$337=C993)*
           (aspek!$C$2:$C$337=D993),0))</f>
        <v>Penyesuaian terhadap audiens</v>
      </c>
      <c r="F993" s="76">
        <v>2</v>
      </c>
      <c r="G993" s="56" t="str" cm="1">
        <f t="array" ref="G993">INDEX(deskripsi!$D$2:$H$337,
   MATCH(1,(deskripsi!$A$2:$A$337=B993)*
           (deskripsi!$B$2:$B$337=C993)*
           (deskripsi!$C$2:$C$337=D993),0),
   F993)</f>
        <v>Menyesuaikan panjang-pendek saja.</v>
      </c>
    </row>
    <row r="994" spans="1:7">
      <c r="A994" t="str">
        <f t="shared" si="15"/>
        <v>Conceptual Thinking|Analyst|3|3</v>
      </c>
      <c r="B994" t="str">
        <v>Conceptual Thinking</v>
      </c>
      <c r="C994" t="str">
        <v>Analyst</v>
      </c>
      <c r="D994" s="76">
        <v>3</v>
      </c>
      <c r="E994" t="str" cm="1">
        <f t="array" ref="E994">INDEX(aspek!$D$2:$D$337,
   MATCH(1,(aspek!$A$2:$A$337=B994)*
           (aspek!$B$2:$B$337=C994)*
           (aspek!$C$2:$C$337=D994),0))</f>
        <v>Penyesuaian terhadap audiens</v>
      </c>
      <c r="F994" s="76">
        <v>3</v>
      </c>
      <c r="G994" s="56" t="str" cm="1">
        <f t="array" ref="G994">INDEX(deskripsi!$D$2:$H$337,
   MATCH(1,(deskripsi!$A$2:$A$337=B994)*
           (deskripsi!$B$2:$B$337=C994)*
           (deskripsi!$C$2:$C$337=D994),0),
   F994)</f>
        <v>Menyesuaikan bahasa sesuai latar belakang pendengar.</v>
      </c>
    </row>
    <row r="995" spans="1:7">
      <c r="A995" t="str">
        <f t="shared" si="15"/>
        <v>Conceptual Thinking|Analyst|3|4</v>
      </c>
      <c r="B995" t="str">
        <v>Conceptual Thinking</v>
      </c>
      <c r="C995" t="str">
        <v>Analyst</v>
      </c>
      <c r="D995" s="76">
        <v>3</v>
      </c>
      <c r="E995" t="str" cm="1">
        <f t="array" ref="E995">INDEX(aspek!$D$2:$D$337,
   MATCH(1,(aspek!$A$2:$A$337=B995)*
           (aspek!$B$2:$B$337=C995)*
           (aspek!$C$2:$C$337=D995),0))</f>
        <v>Penyesuaian terhadap audiens</v>
      </c>
      <c r="F995" s="76">
        <v>4</v>
      </c>
      <c r="G995" s="56" t="str" cm="1">
        <f t="array" ref="G995">INDEX(deskripsi!$D$2:$H$337,
   MATCH(1,(deskripsi!$A$2:$A$337=B995)*
           (deskripsi!$B$2:$B$337=C995)*
           (deskripsi!$C$2:$C$337=D995),0),
   F995)</f>
        <v>Menyesuaikan kedalaman dan sudut masuk sesuai kebutuhan tiap audiens.</v>
      </c>
    </row>
    <row r="996" spans="1:7">
      <c r="A996" t="str">
        <f t="shared" si="15"/>
        <v>Conceptual Thinking|Analyst|3|5</v>
      </c>
      <c r="B996" t="str">
        <v>Conceptual Thinking</v>
      </c>
      <c r="C996" t="str">
        <v>Analyst</v>
      </c>
      <c r="D996" s="76">
        <v>3</v>
      </c>
      <c r="E996" t="str" cm="1">
        <f t="array" ref="E996">INDEX(aspek!$D$2:$D$337,
   MATCH(1,(aspek!$A$2:$A$337=B996)*
           (aspek!$B$2:$B$337=C996)*
           (aspek!$C$2:$C$337=D996),0))</f>
        <v>Penyesuaian terhadap audiens</v>
      </c>
      <c r="F996" s="76">
        <v>5</v>
      </c>
      <c r="G996" s="56" t="str" cm="1">
        <f t="array" ref="G996">INDEX(deskripsi!$D$2:$H$337,
   MATCH(1,(deskripsi!$A$2:$A$337=B996)*
           (deskripsi!$B$2:$B$337=C996)*
           (deskripsi!$C$2:$C$337=D996),0),
   F996)</f>
        <v>Menjelaskan hal yang sama secara meyakinkan kepada pihak berkepentingan berbeda.</v>
      </c>
    </row>
    <row r="997" spans="1:7">
      <c r="A997" t="str">
        <f t="shared" si="15"/>
        <v>Conceptual Thinking|Analyst|4|1</v>
      </c>
      <c r="B997" t="str">
        <v>Conceptual Thinking</v>
      </c>
      <c r="C997" t="str">
        <v>Analyst</v>
      </c>
      <c r="D997" s="76">
        <v>4</v>
      </c>
      <c r="E997" t="str" cm="1">
        <f t="array" ref="E997">INDEX(aspek!$D$2:$D$337,
   MATCH(1,(aspek!$A$2:$A$337=B997)*
           (aspek!$B$2:$B$337=C997)*
           (aspek!$C$2:$C$337=D997),0))</f>
        <v>Menyederhanakan tanpa kehilangan makna</v>
      </c>
      <c r="F997" s="76">
        <v>1</v>
      </c>
      <c r="G997" s="56" t="str" cm="1">
        <f t="array" ref="G997">INDEX(deskripsi!$D$2:$H$337,
   MATCH(1,(deskripsi!$A$2:$A$337=B997)*
           (deskripsi!$B$2:$B$337=C997)*
           (deskripsi!$C$2:$C$337=D997),0),
   F997)</f>
        <v>Menyampaikan seluruh data mentah, atau menyederhanakan sampai berubah maknanya.</v>
      </c>
    </row>
    <row r="998" spans="1:7">
      <c r="A998" t="str">
        <f t="shared" si="15"/>
        <v>Conceptual Thinking|Analyst|4|2</v>
      </c>
      <c r="B998" t="str">
        <v>Conceptual Thinking</v>
      </c>
      <c r="C998" t="str">
        <v>Analyst</v>
      </c>
      <c r="D998" s="76">
        <v>4</v>
      </c>
      <c r="E998" t="str" cm="1">
        <f t="array" ref="E998">INDEX(aspek!$D$2:$D$337,
   MATCH(1,(aspek!$A$2:$A$337=B998)*
           (aspek!$B$2:$B$337=C998)*
           (aspek!$C$2:$C$337=D998),0))</f>
        <v>Menyederhanakan tanpa kehilangan makna</v>
      </c>
      <c r="F998" s="76">
        <v>2</v>
      </c>
      <c r="G998" s="56" t="str" cm="1">
        <f t="array" ref="G998">INDEX(deskripsi!$D$2:$H$337,
   MATCH(1,(deskripsi!$A$2:$A$337=B998)*
           (deskripsi!$B$2:$B$337=C998)*
           (deskripsi!$C$2:$C$337=D998),0),
   F998)</f>
        <v>Membuang bagian yang sulit dijelaskan, termasuk yang penting.</v>
      </c>
    </row>
    <row r="999" spans="1:7">
      <c r="A999" t="str">
        <f t="shared" si="15"/>
        <v>Conceptual Thinking|Analyst|4|3</v>
      </c>
      <c r="B999" t="str">
        <v>Conceptual Thinking</v>
      </c>
      <c r="C999" t="str">
        <v>Analyst</v>
      </c>
      <c r="D999" s="76">
        <v>4</v>
      </c>
      <c r="E999" t="str" cm="1">
        <f t="array" ref="E999">INDEX(aspek!$D$2:$D$337,
   MATCH(1,(aspek!$A$2:$A$337=B999)*
           (aspek!$B$2:$B$337=C999)*
           (aspek!$C$2:$C$337=D999),0))</f>
        <v>Menyederhanakan tanpa kehilangan makna</v>
      </c>
      <c r="F999" s="76">
        <v>3</v>
      </c>
      <c r="G999" s="56" t="str" cm="1">
        <f t="array" ref="G999">INDEX(deskripsi!$D$2:$H$337,
   MATCH(1,(deskripsi!$A$2:$A$337=B999)*
           (deskripsi!$B$2:$B$337=C999)*
           (deskripsi!$C$2:$C$337=D999),0),
   F999)</f>
        <v>Menerjemahkan istilah dengan menjaga arti.</v>
      </c>
    </row>
    <row r="1000" spans="1:7">
      <c r="A1000" t="str">
        <f t="shared" si="15"/>
        <v>Conceptual Thinking|Analyst|4|4</v>
      </c>
      <c r="B1000" t="str">
        <v>Conceptual Thinking</v>
      </c>
      <c r="C1000" t="str">
        <v>Analyst</v>
      </c>
      <c r="D1000" s="76">
        <v>4</v>
      </c>
      <c r="E1000" t="str" cm="1">
        <f t="array" ref="E1000">INDEX(aspek!$D$2:$D$337,
   MATCH(1,(aspek!$A$2:$A$337=B1000)*
           (aspek!$B$2:$B$337=C1000)*
           (aspek!$C$2:$C$337=D1000),0))</f>
        <v>Menyederhanakan tanpa kehilangan makna</v>
      </c>
      <c r="F1000" s="76">
        <v>4</v>
      </c>
      <c r="G1000" s="56" t="str" cm="1">
        <f t="array" ref="G1000">INDEX(deskripsi!$D$2:$H$337,
   MATCH(1,(deskripsi!$A$2:$A$337=B1000)*
           (deskripsi!$B$2:$B$337=C1000)*
           (deskripsi!$C$2:$C$337=D1000),0),
   F1000)</f>
        <v>Menyederhanakan hal rumit dengan analogi atau visual, tetap menjaga batas dan asumsi penting.</v>
      </c>
    </row>
    <row r="1001" spans="1:7">
      <c r="A1001" t="str">
        <f t="shared" si="15"/>
        <v>Conceptual Thinking|Analyst|4|5</v>
      </c>
      <c r="B1001" t="str">
        <v>Conceptual Thinking</v>
      </c>
      <c r="C1001" t="str">
        <v>Analyst</v>
      </c>
      <c r="D1001" s="76">
        <v>4</v>
      </c>
      <c r="E1001" t="str" cm="1">
        <f t="array" ref="E1001">INDEX(aspek!$D$2:$D$337,
   MATCH(1,(aspek!$A$2:$A$337=B1001)*
           (aspek!$B$2:$B$337=C1001)*
           (aspek!$C$2:$C$337=D1001),0))</f>
        <v>Menyederhanakan tanpa kehilangan makna</v>
      </c>
      <c r="F1001" s="76">
        <v>5</v>
      </c>
      <c r="G1001" s="56" t="str" cm="1">
        <f t="array" ref="G1001">INDEX(deskripsi!$D$2:$H$337,
   MATCH(1,(deskripsi!$A$2:$A$337=B1001)*
           (deskripsi!$B$2:$B$337=C1001)*
           (deskripsi!$C$2:$C$337=D1001),0),
   F1001)</f>
        <v>Ringkasannya dipakai sebagai rujukan karena lebih jelas dari aslinya.</v>
      </c>
    </row>
    <row r="1002" spans="1:7">
      <c r="A1002" t="str">
        <f t="shared" si="15"/>
        <v>Conceptual Thinking|Unit Head/Specialist|1|1</v>
      </c>
      <c r="B1002" t="str">
        <v>Conceptual Thinking</v>
      </c>
      <c r="C1002" t="str">
        <v>Unit Head/Specialist</v>
      </c>
      <c r="D1002" s="76">
        <v>1</v>
      </c>
      <c r="E1002" t="str" cm="1">
        <f t="array" ref="E1002">INDEX(aspek!$D$2:$D$337,
   MATCH(1,(aspek!$A$2:$A$337=B1002)*
           (aspek!$B$2:$B$337=C1002)*
           (aspek!$C$2:$C$337=D1002),0))</f>
        <v>Melihat pola lintas sumber</v>
      </c>
      <c r="F1002" s="76">
        <v>1</v>
      </c>
      <c r="G1002" s="56" t="str" cm="1">
        <f t="array" ref="G1002">INDEX(deskripsi!$D$2:$H$337,
   MATCH(1,(deskripsi!$A$2:$A$337=B1002)*
           (deskripsi!$B$2:$B$337=C1002)*
           (deskripsi!$C$2:$C$337=D1002),0),
   F1002)</f>
        <v>Menerima setiap sumber informasi secara terpisah.</v>
      </c>
    </row>
    <row r="1003" spans="1:7">
      <c r="A1003" t="str">
        <f t="shared" si="15"/>
        <v>Conceptual Thinking|Unit Head/Specialist|1|2</v>
      </c>
      <c r="B1003" t="str">
        <v>Conceptual Thinking</v>
      </c>
      <c r="C1003" t="str">
        <v>Unit Head/Specialist</v>
      </c>
      <c r="D1003" s="76">
        <v>1</v>
      </c>
      <c r="E1003" t="str" cm="1">
        <f t="array" ref="E1003">INDEX(aspek!$D$2:$D$337,
   MATCH(1,(aspek!$A$2:$A$337=B1003)*
           (aspek!$B$2:$B$337=C1003)*
           (aspek!$C$2:$C$337=D1003),0))</f>
        <v>Melihat pola lintas sumber</v>
      </c>
      <c r="F1003" s="76">
        <v>2</v>
      </c>
      <c r="G1003" s="56" t="str" cm="1">
        <f t="array" ref="G1003">INDEX(deskripsi!$D$2:$H$337,
   MATCH(1,(deskripsi!$A$2:$A$337=B1003)*
           (deskripsi!$B$2:$B$337=C1003)*
           (deskripsi!$C$2:$C$337=D1003),0),
   F1003)</f>
        <v>Menggabungkan sumber yang sudah terlihat jelas terkait.</v>
      </c>
    </row>
    <row r="1004" spans="1:7">
      <c r="A1004" t="str">
        <f t="shared" si="15"/>
        <v>Conceptual Thinking|Unit Head/Specialist|1|3</v>
      </c>
      <c r="B1004" t="str">
        <v>Conceptual Thinking</v>
      </c>
      <c r="C1004" t="str">
        <v>Unit Head/Specialist</v>
      </c>
      <c r="D1004" s="76">
        <v>1</v>
      </c>
      <c r="E1004" t="str" cm="1">
        <f t="array" ref="E1004">INDEX(aspek!$D$2:$D$337,
   MATCH(1,(aspek!$A$2:$A$337=B1004)*
           (aspek!$B$2:$B$337=C1004)*
           (aspek!$C$2:$C$337=D1004),0))</f>
        <v>Melihat pola lintas sumber</v>
      </c>
      <c r="F1004" s="76">
        <v>3</v>
      </c>
      <c r="G1004" s="56" t="str" cm="1">
        <f t="array" ref="G1004">INDEX(deskripsi!$D$2:$H$337,
   MATCH(1,(deskripsi!$A$2:$A$337=B1004)*
           (deskripsi!$B$2:$B$337=C1004)*
           (deskripsi!$C$2:$C$337=D1004),0),
   F1004)</f>
        <v>Melihat pola dalam satu sumber informasi yang kompleks.</v>
      </c>
    </row>
    <row r="1005" spans="1:7">
      <c r="A1005" t="str">
        <f t="shared" si="15"/>
        <v>Conceptual Thinking|Unit Head/Specialist|1|4</v>
      </c>
      <c r="B1005" t="str">
        <v>Conceptual Thinking</v>
      </c>
      <c r="C1005" t="str">
        <v>Unit Head/Specialist</v>
      </c>
      <c r="D1005" s="76">
        <v>1</v>
      </c>
      <c r="E1005" t="str" cm="1">
        <f t="array" ref="E1005">INDEX(aspek!$D$2:$D$337,
   MATCH(1,(aspek!$A$2:$A$337=B1005)*
           (aspek!$B$2:$B$337=C1005)*
           (aspek!$C$2:$C$337=D1005),0))</f>
        <v>Melihat pola lintas sumber</v>
      </c>
      <c r="F1005" s="76">
        <v>4</v>
      </c>
      <c r="G1005" s="56" t="str" cm="1">
        <f t="array" ref="G1005">INDEX(deskripsi!$D$2:$H$337,
   MATCH(1,(deskripsi!$A$2:$A$337=B1005)*
           (deskripsi!$B$2:$B$337=C1005)*
           (deskripsi!$C$2:$C$337=D1005),0),
   F1005)</f>
        <v>Melihat pola yang menghubungkan sumber-sumber yang PADA AWALNYA tampak tidak berkaitan.</v>
      </c>
    </row>
    <row r="1006" spans="1:7">
      <c r="A1006" t="str">
        <f t="shared" si="15"/>
        <v>Conceptual Thinking|Unit Head/Specialist|1|5</v>
      </c>
      <c r="B1006" t="str">
        <v>Conceptual Thinking</v>
      </c>
      <c r="C1006" t="str">
        <v>Unit Head/Specialist</v>
      </c>
      <c r="D1006" s="76">
        <v>1</v>
      </c>
      <c r="E1006" t="str" cm="1">
        <f t="array" ref="E1006">INDEX(aspek!$D$2:$D$337,
   MATCH(1,(aspek!$A$2:$A$337=B1006)*
           (aspek!$B$2:$B$337=C1006)*
           (aspek!$C$2:$C$337=D1006),0))</f>
        <v>Melihat pola lintas sumber</v>
      </c>
      <c r="F1006" s="76">
        <v>5</v>
      </c>
      <c r="G1006" s="56" t="str" cm="1">
        <f t="array" ref="G1006">INDEX(deskripsi!$D$2:$H$337,
   MATCH(1,(deskripsi!$A$2:$A$337=B1006)*
           (deskripsi!$B$2:$B$337=C1006)*
           (deskripsi!$C$2:$C$337=D1006),0),
   F1006)</f>
        <v>Menemukan pola lintas sumber yang belum terlihat oleh siapa pun di unitnya.</v>
      </c>
    </row>
    <row r="1007" spans="1:7">
      <c r="A1007" t="str">
        <f t="shared" si="15"/>
        <v>Conceptual Thinking|Unit Head/Specialist|2|1</v>
      </c>
      <c r="B1007" t="str">
        <v>Conceptual Thinking</v>
      </c>
      <c r="C1007" t="str">
        <v>Unit Head/Specialist</v>
      </c>
      <c r="D1007" s="76">
        <v>2</v>
      </c>
      <c r="E1007" t="str" cm="1">
        <f t="array" ref="E1007">INDEX(aspek!$D$2:$D$337,
   MATCH(1,(aspek!$A$2:$A$337=B1007)*
           (aspek!$B$2:$B$337=C1007)*
           (aspek!$C$2:$C$337=D1007),0))</f>
        <v>Membangun kerangka baru</v>
      </c>
      <c r="F1007" s="76">
        <v>1</v>
      </c>
      <c r="G1007" s="56" t="str" cm="1">
        <f t="array" ref="G1007">INDEX(deskripsi!$D$2:$H$337,
   MATCH(1,(deskripsi!$A$2:$A$337=B1007)*
           (deskripsi!$B$2:$B$337=C1007)*
           (deskripsi!$C$2:$C$337=D1007),0),
   F1007)</f>
        <v>Tidak menyusun kerangka; hanya mendaftar informasi.</v>
      </c>
    </row>
    <row r="1008" spans="1:7">
      <c r="A1008" t="str">
        <f t="shared" si="15"/>
        <v>Conceptual Thinking|Unit Head/Specialist|2|2</v>
      </c>
      <c r="B1008" t="str">
        <v>Conceptual Thinking</v>
      </c>
      <c r="C1008" t="str">
        <v>Unit Head/Specialist</v>
      </c>
      <c r="D1008" s="76">
        <v>2</v>
      </c>
      <c r="E1008" t="str" cm="1">
        <f t="array" ref="E1008">INDEX(aspek!$D$2:$D$337,
   MATCH(1,(aspek!$A$2:$A$337=B1008)*
           (aspek!$B$2:$B$337=C1008)*
           (aspek!$C$2:$C$337=D1008),0))</f>
        <v>Membangun kerangka baru</v>
      </c>
      <c r="F1008" s="76">
        <v>2</v>
      </c>
      <c r="G1008" s="56" t="str" cm="1">
        <f t="array" ref="G1008">INDEX(deskripsi!$D$2:$H$337,
   MATCH(1,(deskripsi!$A$2:$A$337=B1008)*
           (deskripsi!$B$2:$B$337=C1008)*
           (deskripsi!$C$2:$C$337=D1008),0),
   F1008)</f>
        <v>Menyusun kerangka yang sebenarnya sudah ada sebelumnya.</v>
      </c>
    </row>
    <row r="1009" spans="1:7">
      <c r="A1009" t="str">
        <f t="shared" si="15"/>
        <v>Conceptual Thinking|Unit Head/Specialist|2|3</v>
      </c>
      <c r="B1009" t="str">
        <v>Conceptual Thinking</v>
      </c>
      <c r="C1009" t="str">
        <v>Unit Head/Specialist</v>
      </c>
      <c r="D1009" s="76">
        <v>2</v>
      </c>
      <c r="E1009" t="str" cm="1">
        <f t="array" ref="E1009">INDEX(aspek!$D$2:$D$337,
   MATCH(1,(aspek!$A$2:$A$337=B1009)*
           (aspek!$B$2:$B$337=C1009)*
           (aspek!$C$2:$C$337=D1009),0))</f>
        <v>Membangun kerangka baru</v>
      </c>
      <c r="F1009" s="76">
        <v>3</v>
      </c>
      <c r="G1009" s="56" t="str" cm="1">
        <f t="array" ref="G1009">INDEX(deskripsi!$D$2:$H$337,
   MATCH(1,(deskripsi!$A$2:$A$337=B1009)*
           (deskripsi!$B$2:$B$337=C1009)*
           (deskripsi!$C$2:$C$337=D1009),0),
   F1009)</f>
        <v>Menyusun kerangka baru untuk persoalan sederhana.</v>
      </c>
    </row>
    <row r="1010" spans="1:7">
      <c r="A1010" t="str">
        <f t="shared" si="15"/>
        <v>Conceptual Thinking|Unit Head/Specialist|2|4</v>
      </c>
      <c r="B1010" t="str">
        <v>Conceptual Thinking</v>
      </c>
      <c r="C1010" t="str">
        <v>Unit Head/Specialist</v>
      </c>
      <c r="D1010" s="76">
        <v>2</v>
      </c>
      <c r="E1010" t="str" cm="1">
        <f t="array" ref="E1010">INDEX(aspek!$D$2:$D$337,
   MATCH(1,(aspek!$A$2:$A$337=B1010)*
           (aspek!$B$2:$B$337=C1010)*
           (aspek!$C$2:$C$337=D1010),0))</f>
        <v>Membangun kerangka baru</v>
      </c>
      <c r="F1010" s="76">
        <v>4</v>
      </c>
      <c r="G1010" s="56" t="str" cm="1">
        <f t="array" ref="G1010">INDEX(deskripsi!$D$2:$H$337,
   MATCH(1,(deskripsi!$A$2:$A$337=B1010)*
           (deskripsi!$B$2:$B$337=C1010)*
           (deskripsi!$C$2:$C$337=D1010),0),
   F1010)</f>
        <v>Menyusun kerangka baru dari elemen yang sebelumnya tidak terkait, untuk persoalan yang kompleks.</v>
      </c>
    </row>
    <row r="1011" spans="1:7">
      <c r="A1011" t="str">
        <f t="shared" si="15"/>
        <v>Conceptual Thinking|Unit Head/Specialist|2|5</v>
      </c>
      <c r="B1011" t="str">
        <v>Conceptual Thinking</v>
      </c>
      <c r="C1011" t="str">
        <v>Unit Head/Specialist</v>
      </c>
      <c r="D1011" s="76">
        <v>2</v>
      </c>
      <c r="E1011" t="str" cm="1">
        <f t="array" ref="E1011">INDEX(aspek!$D$2:$D$337,
   MATCH(1,(aspek!$A$2:$A$337=B1011)*
           (aspek!$B$2:$B$337=C1011)*
           (aspek!$C$2:$C$337=D1011),0))</f>
        <v>Membangun kerangka baru</v>
      </c>
      <c r="F1011" s="76">
        <v>5</v>
      </c>
      <c r="G1011" s="56" t="str" cm="1">
        <f t="array" ref="G1011">INDEX(deskripsi!$D$2:$H$337,
   MATCH(1,(deskripsi!$A$2:$A$337=B1011)*
           (deskripsi!$B$2:$B$337=C1011)*
           (deskripsi!$C$2:$C$337=D1011),0),
   F1011)</f>
        <v>Kerangkanya dipakai orang lain untuk persoalan sejenis.</v>
      </c>
    </row>
    <row r="1012" spans="1:7">
      <c r="A1012" t="str">
        <f t="shared" si="15"/>
        <v>Conceptual Thinking|Unit Head/Specialist|3|1</v>
      </c>
      <c r="B1012" t="str">
        <v>Conceptual Thinking</v>
      </c>
      <c r="C1012" t="str">
        <v>Unit Head/Specialist</v>
      </c>
      <c r="D1012" s="76">
        <v>3</v>
      </c>
      <c r="E1012" t="str" cm="1">
        <f t="array" ref="E1012">INDEX(aspek!$D$2:$D$337,
   MATCH(1,(aspek!$A$2:$A$337=B1012)*
           (aspek!$B$2:$B$337=C1012)*
           (aspek!$C$2:$C$337=D1012),0))</f>
        <v>Pembeda dari sintesis sudut pandang</v>
      </c>
      <c r="F1012" s="76">
        <v>1</v>
      </c>
      <c r="G1012" s="56" t="str" cm="1">
        <f t="array" ref="G1012">INDEX(deskripsi!$D$2:$H$337,
   MATCH(1,(deskripsi!$A$2:$A$337=B1012)*
           (deskripsi!$B$2:$B$337=C1012)*
           (deskripsi!$C$2:$C$337=D1012),0),
   F1012)</f>
        <v>Mencampur sintesis data dengan sintesis pendapat orang, tidak membedakan keduanya.</v>
      </c>
    </row>
    <row r="1013" spans="1:7">
      <c r="A1013" t="str">
        <f t="shared" si="15"/>
        <v>Conceptual Thinking|Unit Head/Specialist|3|2</v>
      </c>
      <c r="B1013" t="str">
        <v>Conceptual Thinking</v>
      </c>
      <c r="C1013" t="str">
        <v>Unit Head/Specialist</v>
      </c>
      <c r="D1013" s="76">
        <v>3</v>
      </c>
      <c r="E1013" t="str" cm="1">
        <f t="array" ref="E1013">INDEX(aspek!$D$2:$D$337,
   MATCH(1,(aspek!$A$2:$A$337=B1013)*
           (aspek!$B$2:$B$337=C1013)*
           (aspek!$C$2:$C$337=D1013),0))</f>
        <v>Pembeda dari sintesis sudut pandang</v>
      </c>
      <c r="F1013" s="76">
        <v>2</v>
      </c>
      <c r="G1013" s="56" t="str" cm="1">
        <f t="array" ref="G1013">INDEX(deskripsi!$D$2:$H$337,
   MATCH(1,(deskripsi!$A$2:$A$337=B1013)*
           (deskripsi!$B$2:$B$337=C1013)*
           (deskripsi!$C$2:$C$337=D1013),0),
   F1013)</f>
        <v>Menyadari perbedaannya tetapi tetap mencampur dalam praktik.</v>
      </c>
    </row>
    <row r="1014" spans="1:7">
      <c r="A1014" t="str">
        <f t="shared" si="15"/>
        <v>Conceptual Thinking|Unit Head/Specialist|3|3</v>
      </c>
      <c r="B1014" t="str">
        <v>Conceptual Thinking</v>
      </c>
      <c r="C1014" t="str">
        <v>Unit Head/Specialist</v>
      </c>
      <c r="D1014" s="76">
        <v>3</v>
      </c>
      <c r="E1014" t="str" cm="1">
        <f t="array" ref="E1014">INDEX(aspek!$D$2:$D$337,
   MATCH(1,(aspek!$A$2:$A$337=B1014)*
           (aspek!$B$2:$B$337=C1014)*
           (aspek!$C$2:$C$337=D1014),0))</f>
        <v>Pembeda dari sintesis sudut pandang</v>
      </c>
      <c r="F1014" s="76">
        <v>3</v>
      </c>
      <c r="G1014" s="56" t="str" cm="1">
        <f t="array" ref="G1014">INDEX(deskripsi!$D$2:$H$337,
   MATCH(1,(deskripsi!$A$2:$A$337=B1014)*
           (deskripsi!$B$2:$B$337=C1014)*
           (deskripsi!$C$2:$C$337=D1014),0),
   F1014)</f>
        <v>Memisahkan sintesis data dari sintesis pendapat pada kasus sederhana.</v>
      </c>
    </row>
    <row r="1015" spans="1:7">
      <c r="A1015" t="str">
        <f t="shared" si="15"/>
        <v>Conceptual Thinking|Unit Head/Specialist|3|4</v>
      </c>
      <c r="B1015" t="str">
        <v>Conceptual Thinking</v>
      </c>
      <c r="C1015" t="str">
        <v>Unit Head/Specialist</v>
      </c>
      <c r="D1015" s="76">
        <v>3</v>
      </c>
      <c r="E1015" t="str" cm="1">
        <f t="array" ref="E1015">INDEX(aspek!$D$2:$D$337,
   MATCH(1,(aspek!$A$2:$A$337=B1015)*
           (aspek!$B$2:$B$337=C1015)*
           (aspek!$C$2:$C$337=D1015),0))</f>
        <v>Pembeda dari sintesis sudut pandang</v>
      </c>
      <c r="F1015" s="76">
        <v>4</v>
      </c>
      <c r="G1015" s="56" t="str" cm="1">
        <f t="array" ref="G1015">INDEX(deskripsi!$D$2:$H$337,
   MATCH(1,(deskripsi!$A$2:$A$337=B1015)*
           (deskripsi!$B$2:$B$337=C1015)*
           (deskripsi!$C$2:$C$337=D1015),0),
   F1015)</f>
        <v>Secara konsisten mensintesis DATA, KONSEP, dan TEMUAN — bukan sekadar pendapat orang — menjadi kerangka baru.</v>
      </c>
    </row>
    <row r="1016" spans="1:7">
      <c r="A1016" t="str">
        <f t="shared" si="15"/>
        <v>Conceptual Thinking|Unit Head/Specialist|3|5</v>
      </c>
      <c r="B1016" t="str">
        <v>Conceptual Thinking</v>
      </c>
      <c r="C1016" t="str">
        <v>Unit Head/Specialist</v>
      </c>
      <c r="D1016" s="76">
        <v>3</v>
      </c>
      <c r="E1016" t="str" cm="1">
        <f t="array" ref="E1016">INDEX(aspek!$D$2:$D$337,
   MATCH(1,(aspek!$A$2:$A$337=B1016)*
           (aspek!$B$2:$B$337=C1016)*
           (aspek!$C$2:$C$337=D1016),0))</f>
        <v>Pembeda dari sintesis sudut pandang</v>
      </c>
      <c r="F1016" s="76">
        <v>5</v>
      </c>
      <c r="G1016" s="56" t="str" cm="1">
        <f t="array" ref="G1016">INDEX(deskripsi!$D$2:$H$337,
   MATCH(1,(deskripsi!$A$2:$A$337=B1016)*
           (deskripsi!$B$2:$B$337=C1016)*
           (deskripsi!$C$2:$C$337=D1016),0),
   F1016)</f>
        <v>Mampu menjelaskan kepada orang lain kapan harus mensintesis data dan kapan mensintesis perspektif.</v>
      </c>
    </row>
    <row r="1017" spans="1:7">
      <c r="A1017" t="str">
        <f t="shared" si="15"/>
        <v>Conceptual Thinking|Unit Head/Specialist|4|1</v>
      </c>
      <c r="B1017" t="str">
        <v>Conceptual Thinking</v>
      </c>
      <c r="C1017" t="str">
        <v>Unit Head/Specialist</v>
      </c>
      <c r="D1017" s="76">
        <v>4</v>
      </c>
      <c r="E1017" t="str" cm="1">
        <f t="array" ref="E1017">INDEX(aspek!$D$2:$D$337,
   MATCH(1,(aspek!$A$2:$A$337=B1017)*
           (aspek!$B$2:$B$337=C1017)*
           (aspek!$C$2:$C$337=D1017),0))</f>
        <v>Kerangka teruji pada praktik</v>
      </c>
      <c r="F1017" s="76">
        <v>1</v>
      </c>
      <c r="G1017" s="56" t="str" cm="1">
        <f t="array" ref="G1017">INDEX(deskripsi!$D$2:$H$337,
   MATCH(1,(deskripsi!$A$2:$A$337=B1017)*
           (deskripsi!$B$2:$B$337=C1017)*
           (deskripsi!$C$2:$C$337=D1017),0),
   F1017)</f>
        <v>Kerangka tidak pernah diuji atau diterapkan.</v>
      </c>
    </row>
    <row r="1018" spans="1:7">
      <c r="A1018" t="str">
        <f t="shared" si="15"/>
        <v>Conceptual Thinking|Unit Head/Specialist|4|2</v>
      </c>
      <c r="B1018" t="str">
        <v>Conceptual Thinking</v>
      </c>
      <c r="C1018" t="str">
        <v>Unit Head/Specialist</v>
      </c>
      <c r="D1018" s="76">
        <v>4</v>
      </c>
      <c r="E1018" t="str" cm="1">
        <f t="array" ref="E1018">INDEX(aspek!$D$2:$D$337,
   MATCH(1,(aspek!$A$2:$A$337=B1018)*
           (aspek!$B$2:$B$337=C1018)*
           (aspek!$C$2:$C$337=D1018),0))</f>
        <v>Kerangka teruji pada praktik</v>
      </c>
      <c r="F1018" s="76">
        <v>2</v>
      </c>
      <c r="G1018" s="56" t="str" cm="1">
        <f t="array" ref="G1018">INDEX(deskripsi!$D$2:$H$337,
   MATCH(1,(deskripsi!$A$2:$A$337=B1018)*
           (deskripsi!$B$2:$B$337=C1018)*
           (deskripsi!$C$2:$C$337=D1018),0),
   F1018)</f>
        <v>Kerangka diterapkan tetapi tidak diukur dampaknya.</v>
      </c>
    </row>
    <row r="1019" spans="1:7">
      <c r="A1019" t="str">
        <f t="shared" si="15"/>
        <v>Conceptual Thinking|Unit Head/Specialist|4|3</v>
      </c>
      <c r="B1019" t="str">
        <v>Conceptual Thinking</v>
      </c>
      <c r="C1019" t="str">
        <v>Unit Head/Specialist</v>
      </c>
      <c r="D1019" s="76">
        <v>4</v>
      </c>
      <c r="E1019" t="str" cm="1">
        <f t="array" ref="E1019">INDEX(aspek!$D$2:$D$337,
   MATCH(1,(aspek!$A$2:$A$337=B1019)*
           (aspek!$B$2:$B$337=C1019)*
           (aspek!$C$2:$C$337=D1019),0))</f>
        <v>Kerangka teruji pada praktik</v>
      </c>
      <c r="F1019" s="76">
        <v>3</v>
      </c>
      <c r="G1019" s="56" t="str" cm="1">
        <f t="array" ref="G1019">INDEX(deskripsi!$D$2:$H$337,
   MATCH(1,(deskripsi!$A$2:$A$337=B1019)*
           (deskripsi!$B$2:$B$337=C1019)*
           (deskripsi!$C$2:$C$337=D1019),0),
   F1019)</f>
        <v>Kerangka diterapkan dan menunjukkan hasil pada kasus sederhana.</v>
      </c>
    </row>
    <row r="1020" spans="1:7">
      <c r="A1020" t="str">
        <f t="shared" si="15"/>
        <v>Conceptual Thinking|Unit Head/Specialist|4|4</v>
      </c>
      <c r="B1020" t="str">
        <v>Conceptual Thinking</v>
      </c>
      <c r="C1020" t="str">
        <v>Unit Head/Specialist</v>
      </c>
      <c r="D1020" s="76">
        <v>4</v>
      </c>
      <c r="E1020" t="str" cm="1">
        <f t="array" ref="E1020">INDEX(aspek!$D$2:$D$337,
   MATCH(1,(aspek!$A$2:$A$337=B1020)*
           (aspek!$B$2:$B$337=C1020)*
           (aspek!$C$2:$C$337=D1020),0))</f>
        <v>Kerangka teruji pada praktik</v>
      </c>
      <c r="F1020" s="76">
        <v>4</v>
      </c>
      <c r="G1020" s="56" t="str" cm="1">
        <f t="array" ref="G1020">INDEX(deskripsi!$D$2:$H$337,
   MATCH(1,(deskripsi!$A$2:$A$337=B1020)*
           (deskripsi!$B$2:$B$337=C1020)*
           (deskripsi!$C$2:$C$337=D1020),0),
   F1020)</f>
        <v>Kerangka diterapkan pada proyek nyata dan menghasilkan peningkatan efektivitas yang terukur.</v>
      </c>
    </row>
    <row r="1021" spans="1:7">
      <c r="A1021" t="str">
        <f t="shared" si="15"/>
        <v>Conceptual Thinking|Unit Head/Specialist|4|5</v>
      </c>
      <c r="B1021" t="str">
        <v>Conceptual Thinking</v>
      </c>
      <c r="C1021" t="str">
        <v>Unit Head/Specialist</v>
      </c>
      <c r="D1021" s="76">
        <v>4</v>
      </c>
      <c r="E1021" t="str" cm="1">
        <f t="array" ref="E1021">INDEX(aspek!$D$2:$D$337,
   MATCH(1,(aspek!$A$2:$A$337=B1021)*
           (aspek!$B$2:$B$337=C1021)*
           (aspek!$C$2:$C$337=D1021),0))</f>
        <v>Kerangka teruji pada praktik</v>
      </c>
      <c r="F1021" s="76">
        <v>5</v>
      </c>
      <c r="G1021" s="56" t="str" cm="1">
        <f t="array" ref="G1021">INDEX(deskripsi!$D$2:$H$337,
   MATCH(1,(deskripsi!$A$2:$A$337=B1021)*
           (deskripsi!$B$2:$B$337=C1021)*
           (deskripsi!$C$2:$C$337=D1021),0),
   F1021)</f>
        <v>Kerangkanya diadopsi sebagai pendekatan baku untuk persoalan sejenis.</v>
      </c>
    </row>
    <row r="1022" spans="1:7">
      <c r="A1022" t="str">
        <f t="shared" si="15"/>
        <v>Conceptual Thinking|Department Head|1|1</v>
      </c>
      <c r="B1022" t="str">
        <v>Conceptual Thinking</v>
      </c>
      <c r="C1022" t="str">
        <v>Department Head</v>
      </c>
      <c r="D1022" s="76">
        <v>1</v>
      </c>
      <c r="E1022" t="str" cm="1">
        <f t="array" ref="E1022">INDEX(aspek!$D$2:$D$337,
   MATCH(1,(aspek!$A$2:$A$337=B1022)*
           (aspek!$B$2:$B$337=C1022)*
           (aspek!$C$2:$C$337=D1022),0))</f>
        <v>Keterbukaan pada hal yang belum terbukti</v>
      </c>
      <c r="F1022" s="76">
        <v>1</v>
      </c>
      <c r="G1022" s="56" t="str" cm="1">
        <f t="array" ref="G1022">INDEX(deskripsi!$D$2:$H$337,
   MATCH(1,(deskripsi!$A$2:$A$337=B1022)*
           (deskripsi!$B$2:$B$337=C1022)*
           (deskripsi!$C$2:$C$337=D1022),0),
   F1022)</f>
        <v>Hanya memakai metode yang sudah familiar.</v>
      </c>
    </row>
    <row r="1023" spans="1:7">
      <c r="A1023" t="str">
        <f t="shared" si="15"/>
        <v>Conceptual Thinking|Department Head|1|2</v>
      </c>
      <c r="B1023" t="str">
        <v>Conceptual Thinking</v>
      </c>
      <c r="C1023" t="str">
        <v>Department Head</v>
      </c>
      <c r="D1023" s="76">
        <v>1</v>
      </c>
      <c r="E1023" t="str" cm="1">
        <f t="array" ref="E1023">INDEX(aspek!$D$2:$D$337,
   MATCH(1,(aspek!$A$2:$A$337=B1023)*
           (aspek!$B$2:$B$337=C1023)*
           (aspek!$C$2:$C$337=D1023),0))</f>
        <v>Keterbukaan pada hal yang belum terbukti</v>
      </c>
      <c r="F1023" s="76">
        <v>2</v>
      </c>
      <c r="G1023" s="56" t="str" cm="1">
        <f t="array" ref="G1023">INDEX(deskripsi!$D$2:$H$337,
   MATCH(1,(deskripsi!$A$2:$A$337=B1023)*
           (deskripsi!$B$2:$B$337=C1023)*
           (deskripsi!$C$2:$C$337=D1023),0),
   F1023)</f>
        <v>Mendengarkan ide baru tetapi tidak mencobanya.</v>
      </c>
    </row>
    <row r="1024" spans="1:7">
      <c r="A1024" t="str">
        <f t="shared" si="15"/>
        <v>Conceptual Thinking|Department Head|1|3</v>
      </c>
      <c r="B1024" t="str">
        <v>Conceptual Thinking</v>
      </c>
      <c r="C1024" t="str">
        <v>Department Head</v>
      </c>
      <c r="D1024" s="76">
        <v>1</v>
      </c>
      <c r="E1024" t="str" cm="1">
        <f t="array" ref="E1024">INDEX(aspek!$D$2:$D$337,
   MATCH(1,(aspek!$A$2:$A$337=B1024)*
           (aspek!$B$2:$B$337=C1024)*
           (aspek!$C$2:$C$337=D1024),0))</f>
        <v>Keterbukaan pada hal yang belum terbukti</v>
      </c>
      <c r="F1024" s="76">
        <v>3</v>
      </c>
      <c r="G1024" s="56" t="str" cm="1">
        <f t="array" ref="G1024">INDEX(deskripsi!$D$2:$H$337,
   MATCH(1,(deskripsi!$A$2:$A$337=B1024)*
           (deskripsi!$B$2:$B$337=C1024)*
           (deskripsi!$C$2:$C$337=D1024),0),
   F1024)</f>
        <v>Mencoba ide baru bila kondisinya mendukung.</v>
      </c>
    </row>
    <row r="1025" spans="1:7">
      <c r="A1025" t="str">
        <f t="shared" si="15"/>
        <v>Conceptual Thinking|Department Head|1|4</v>
      </c>
      <c r="B1025" t="str">
        <v>Conceptual Thinking</v>
      </c>
      <c r="C1025" t="str">
        <v>Department Head</v>
      </c>
      <c r="D1025" s="76">
        <v>1</v>
      </c>
      <c r="E1025" t="str" cm="1">
        <f t="array" ref="E1025">INDEX(aspek!$D$2:$D$337,
   MATCH(1,(aspek!$A$2:$A$337=B1025)*
           (aspek!$B$2:$B$337=C1025)*
           (aspek!$C$2:$C$337=D1025),0))</f>
        <v>Keterbukaan pada hal yang belum terbukti</v>
      </c>
      <c r="F1025" s="76">
        <v>4</v>
      </c>
      <c r="G1025" s="56" t="str" cm="1">
        <f t="array" ref="G1025">INDEX(deskripsi!$D$2:$H$337,
   MATCH(1,(deskripsi!$A$2:$A$337=B1025)*
           (deskripsi!$B$2:$B$337=C1025)*
           (deskripsi!$C$2:$C$337=D1025),0),
   F1025)</f>
        <v>Aktif mencari ide baru meski belum terbukti, dan mencobanya tanpa menunggu kondisi ideal.</v>
      </c>
    </row>
    <row r="1026" spans="1:7">
      <c r="A1026" t="str">
        <f t="shared" si="15"/>
        <v>Conceptual Thinking|Department Head|1|5</v>
      </c>
      <c r="B1026" t="str">
        <v>Conceptual Thinking</v>
      </c>
      <c r="C1026" t="str">
        <v>Department Head</v>
      </c>
      <c r="D1026" s="76">
        <v>1</v>
      </c>
      <c r="E1026" t="str" cm="1">
        <f t="array" ref="E1026">INDEX(aspek!$D$2:$D$337,
   MATCH(1,(aspek!$A$2:$A$337=B1026)*
           (aspek!$B$2:$B$337=C1026)*
           (aspek!$C$2:$C$337=D1026),0))</f>
        <v>Keterbukaan pada hal yang belum terbukti</v>
      </c>
      <c r="F1026" s="76">
        <v>5</v>
      </c>
      <c r="G1026" s="56" t="str" cm="1">
        <f t="array" ref="G1026">INDEX(deskripsi!$D$2:$H$337,
   MATCH(1,(deskripsi!$A$2:$A$337=B1026)*
           (deskripsi!$B$2:$B$337=C1026)*
           (deskripsi!$C$2:$C$337=D1026),0),
   F1026)</f>
        <v>Mendorong eksperimen dan pembelajaran darinya menjadi kebiasaan tim.</v>
      </c>
    </row>
    <row r="1027" spans="1:7">
      <c r="A1027" t="str">
        <f t="shared" ref="A1027:A1090" si="16">B1027&amp;"|"&amp;C1027&amp;"|"&amp;D1027&amp;"|"&amp;F1027</f>
        <v>Conceptual Thinking|Department Head|2|1</v>
      </c>
      <c r="B1027" t="str">
        <v>Conceptual Thinking</v>
      </c>
      <c r="C1027" t="str">
        <v>Department Head</v>
      </c>
      <c r="D1027" s="76">
        <v>2</v>
      </c>
      <c r="E1027" t="str" cm="1">
        <f t="array" ref="E1027">INDEX(aspek!$D$2:$D$337,
   MATCH(1,(aspek!$A$2:$A$337=B1027)*
           (aspek!$B$2:$B$337=C1027)*
           (aspek!$C$2:$C$337=D1027),0))</f>
        <v>Inisiatif mengeksplorasi</v>
      </c>
      <c r="F1027" s="76">
        <v>1</v>
      </c>
      <c r="G1027" s="56" t="str" cm="1">
        <f t="array" ref="G1027">INDEX(deskripsi!$D$2:$H$337,
   MATCH(1,(deskripsi!$A$2:$A$337=B1027)*
           (deskripsi!$B$2:$B$337=C1027)*
           (deskripsi!$C$2:$C$337=D1027),0),
   F1027)</f>
        <v>Tidak mencari ide baru sama sekali.</v>
      </c>
    </row>
    <row r="1028" spans="1:7">
      <c r="A1028" t="str">
        <f t="shared" si="16"/>
        <v>Conceptual Thinking|Department Head|2|2</v>
      </c>
      <c r="B1028" t="str">
        <v>Conceptual Thinking</v>
      </c>
      <c r="C1028" t="str">
        <v>Department Head</v>
      </c>
      <c r="D1028" s="76">
        <v>2</v>
      </c>
      <c r="E1028" t="str" cm="1">
        <f t="array" ref="E1028">INDEX(aspek!$D$2:$D$337,
   MATCH(1,(aspek!$A$2:$A$337=B1028)*
           (aspek!$B$2:$B$337=C1028)*
           (aspek!$C$2:$C$337=D1028),0))</f>
        <v>Inisiatif mengeksplorasi</v>
      </c>
      <c r="F1028" s="76">
        <v>2</v>
      </c>
      <c r="G1028" s="56" t="str" cm="1">
        <f t="array" ref="G1028">INDEX(deskripsi!$D$2:$H$337,
   MATCH(1,(deskripsi!$A$2:$A$337=B1028)*
           (deskripsi!$B$2:$B$337=C1028)*
           (deskripsi!$C$2:$C$337=D1028),0),
   F1028)</f>
        <v>Mencari ide hanya ketika ditugaskan.</v>
      </c>
    </row>
    <row r="1029" spans="1:7">
      <c r="A1029" t="str">
        <f t="shared" si="16"/>
        <v>Conceptual Thinking|Department Head|2|3</v>
      </c>
      <c r="B1029" t="str">
        <v>Conceptual Thinking</v>
      </c>
      <c r="C1029" t="str">
        <v>Department Head</v>
      </c>
      <c r="D1029" s="76">
        <v>2</v>
      </c>
      <c r="E1029" t="str" cm="1">
        <f t="array" ref="E1029">INDEX(aspek!$D$2:$D$337,
   MATCH(1,(aspek!$A$2:$A$337=B1029)*
           (aspek!$B$2:$B$337=C1029)*
           (aspek!$C$2:$C$337=D1029),0))</f>
        <v>Inisiatif mengeksplorasi</v>
      </c>
      <c r="F1029" s="76">
        <v>3</v>
      </c>
      <c r="G1029" s="56" t="str" cm="1">
        <f t="array" ref="G1029">INDEX(deskripsi!$D$2:$H$337,
   MATCH(1,(deskripsi!$A$2:$A$337=B1029)*
           (deskripsi!$B$2:$B$337=C1029)*
           (deskripsi!$C$2:$C$337=D1029),0),
   F1029)</f>
        <v>Mencari ide pada kesempatan tertentu.</v>
      </c>
    </row>
    <row r="1030" spans="1:7">
      <c r="A1030" t="str">
        <f t="shared" si="16"/>
        <v>Conceptual Thinking|Department Head|2|4</v>
      </c>
      <c r="B1030" t="str">
        <v>Conceptual Thinking</v>
      </c>
      <c r="C1030" t="str">
        <v>Department Head</v>
      </c>
      <c r="D1030" s="76">
        <v>2</v>
      </c>
      <c r="E1030" t="str" cm="1">
        <f t="array" ref="E1030">INDEX(aspek!$D$2:$D$337,
   MATCH(1,(aspek!$A$2:$A$337=B1030)*
           (aspek!$B$2:$B$337=C1030)*
           (aspek!$C$2:$C$337=D1030),0))</f>
        <v>Inisiatif mengeksplorasi</v>
      </c>
      <c r="F1030" s="76">
        <v>4</v>
      </c>
      <c r="G1030" s="56" t="str" cm="1">
        <f t="array" ref="G1030">INDEX(deskripsi!$D$2:$H$337,
   MATCH(1,(deskripsi!$A$2:$A$337=B1030)*
           (deskripsi!$B$2:$B$337=C1030)*
           (deskripsi!$C$2:$C$337=D1030),0),
   F1030)</f>
        <v>Secara rutin mencari ide baru atas dorongan sendiri, tanpa menunggu penugasan.</v>
      </c>
    </row>
    <row r="1031" spans="1:7">
      <c r="A1031" t="str">
        <f t="shared" si="16"/>
        <v>Conceptual Thinking|Department Head|2|5</v>
      </c>
      <c r="B1031" t="str">
        <v>Conceptual Thinking</v>
      </c>
      <c r="C1031" t="str">
        <v>Department Head</v>
      </c>
      <c r="D1031" s="76">
        <v>2</v>
      </c>
      <c r="E1031" t="str" cm="1">
        <f t="array" ref="E1031">INDEX(aspek!$D$2:$D$337,
   MATCH(1,(aspek!$A$2:$A$337=B1031)*
           (aspek!$B$2:$B$337=C1031)*
           (aspek!$C$2:$C$337=D1031),0))</f>
        <v>Inisiatif mengeksplorasi</v>
      </c>
      <c r="F1031" s="76">
        <v>5</v>
      </c>
      <c r="G1031" s="56" t="str" cm="1">
        <f t="array" ref="G1031">INDEX(deskripsi!$D$2:$H$337,
   MATCH(1,(deskripsi!$A$2:$A$337=B1031)*
           (deskripsi!$B$2:$B$337=C1031)*
           (deskripsi!$C$2:$C$337=D1031),0),
   F1031)</f>
        <v>Menjadi sumber ide bagi unit lain.</v>
      </c>
    </row>
    <row r="1032" spans="1:7">
      <c r="A1032" t="str">
        <f t="shared" si="16"/>
        <v>Conceptual Thinking|Department Head|3|1</v>
      </c>
      <c r="B1032" t="str">
        <v>Conceptual Thinking</v>
      </c>
      <c r="C1032" t="str">
        <v>Department Head</v>
      </c>
      <c r="D1032" s="76">
        <v>3</v>
      </c>
      <c r="E1032" t="str" cm="1">
        <f t="array" ref="E1032">INDEX(aspek!$D$2:$D$337,
   MATCH(1,(aspek!$A$2:$A$337=B1032)*
           (aspek!$B$2:$B$337=C1032)*
           (aspek!$C$2:$C$337=D1032),0))</f>
        <v>Keterbukaan lintas domain</v>
      </c>
      <c r="F1032" s="76">
        <v>1</v>
      </c>
      <c r="G1032" s="56" t="str" cm="1">
        <f t="array" ref="G1032">INDEX(deskripsi!$D$2:$H$337,
   MATCH(1,(deskripsi!$A$2:$A$337=B1032)*
           (deskripsi!$B$2:$B$337=C1032)*
           (deskripsi!$C$2:$C$337=D1032),0),
   F1032)</f>
        <v>Hanya mencari ide dari bidangnya sendiri.</v>
      </c>
    </row>
    <row r="1033" spans="1:7">
      <c r="A1033" t="str">
        <f t="shared" si="16"/>
        <v>Conceptual Thinking|Department Head|3|2</v>
      </c>
      <c r="B1033" t="str">
        <v>Conceptual Thinking</v>
      </c>
      <c r="C1033" t="str">
        <v>Department Head</v>
      </c>
      <c r="D1033" s="76">
        <v>3</v>
      </c>
      <c r="E1033" t="str" cm="1">
        <f t="array" ref="E1033">INDEX(aspek!$D$2:$D$337,
   MATCH(1,(aspek!$A$2:$A$337=B1033)*
           (aspek!$B$2:$B$337=C1033)*
           (aspek!$C$2:$C$337=D1033),0))</f>
        <v>Keterbukaan lintas domain</v>
      </c>
      <c r="F1033" s="76">
        <v>2</v>
      </c>
      <c r="G1033" s="56" t="str" cm="1">
        <f t="array" ref="G1033">INDEX(deskripsi!$D$2:$H$337,
   MATCH(1,(deskripsi!$A$2:$A$337=B1033)*
           (deskripsi!$B$2:$B$337=C1033)*
           (deskripsi!$C$2:$C$337=D1033),0),
   F1033)</f>
        <v>Mengetahui ide dari bidang lain, menganggapnya tidak relevan.</v>
      </c>
    </row>
    <row r="1034" spans="1:7">
      <c r="A1034" t="str">
        <f t="shared" si="16"/>
        <v>Conceptual Thinking|Department Head|3|3</v>
      </c>
      <c r="B1034" t="str">
        <v>Conceptual Thinking</v>
      </c>
      <c r="C1034" t="str">
        <v>Department Head</v>
      </c>
      <c r="D1034" s="76">
        <v>3</v>
      </c>
      <c r="E1034" t="str" cm="1">
        <f t="array" ref="E1034">INDEX(aspek!$D$2:$D$337,
   MATCH(1,(aspek!$A$2:$A$337=B1034)*
           (aspek!$B$2:$B$337=C1034)*
           (aspek!$C$2:$C$337=D1034),0))</f>
        <v>Keterbukaan lintas domain</v>
      </c>
      <c r="F1034" s="76">
        <v>3</v>
      </c>
      <c r="G1034" s="56" t="str" cm="1">
        <f t="array" ref="G1034">INDEX(deskripsi!$D$2:$H$337,
   MATCH(1,(deskripsi!$A$2:$A$337=B1034)*
           (deskripsi!$B$2:$B$337=C1034)*
           (deskripsi!$C$2:$C$337=D1034),0),
   F1034)</f>
        <v>Mengadaptasi ide dari fungsi lain di organisasi yang sama.</v>
      </c>
    </row>
    <row r="1035" spans="1:7">
      <c r="A1035" t="str">
        <f t="shared" si="16"/>
        <v>Conceptual Thinking|Department Head|3|4</v>
      </c>
      <c r="B1035" t="str">
        <v>Conceptual Thinking</v>
      </c>
      <c r="C1035" t="str">
        <v>Department Head</v>
      </c>
      <c r="D1035" s="76">
        <v>3</v>
      </c>
      <c r="E1035" t="str" cm="1">
        <f t="array" ref="E1035">INDEX(aspek!$D$2:$D$337,
   MATCH(1,(aspek!$A$2:$A$337=B1035)*
           (aspek!$B$2:$B$337=C1035)*
           (aspek!$C$2:$C$337=D1035),0))</f>
        <v>Keterbukaan lintas domain</v>
      </c>
      <c r="F1035" s="76">
        <v>4</v>
      </c>
      <c r="G1035" s="56" t="str" cm="1">
        <f t="array" ref="G1035">INDEX(deskripsi!$D$2:$H$337,
   MATCH(1,(deskripsi!$A$2:$A$337=B1035)*
           (deskripsi!$B$2:$B$337=C1035)*
           (deskripsi!$C$2:$C$337=D1035),0),
   F1035)</f>
        <v>Mengeksplorasi area yang belum dikuasai dan menemukan peluang dari sana.</v>
      </c>
    </row>
    <row r="1036" spans="1:7">
      <c r="A1036" t="str">
        <f t="shared" si="16"/>
        <v>Conceptual Thinking|Department Head|3|5</v>
      </c>
      <c r="B1036" t="str">
        <v>Conceptual Thinking</v>
      </c>
      <c r="C1036" t="str">
        <v>Department Head</v>
      </c>
      <c r="D1036" s="76">
        <v>3</v>
      </c>
      <c r="E1036" t="str" cm="1">
        <f t="array" ref="E1036">INDEX(aspek!$D$2:$D$337,
   MATCH(1,(aspek!$A$2:$A$337=B1036)*
           (aspek!$B$2:$B$337=C1036)*
           (aspek!$C$2:$C$337=D1036),0))</f>
        <v>Keterbukaan lintas domain</v>
      </c>
      <c r="F1036" s="76">
        <v>5</v>
      </c>
      <c r="G1036" s="56" t="str" cm="1">
        <f t="array" ref="G1036">INDEX(deskripsi!$D$2:$H$337,
   MATCH(1,(deskripsi!$A$2:$A$337=B1036)*
           (deskripsi!$B$2:$B$337=C1036)*
           (deskripsi!$C$2:$C$337=D1036),0),
   F1036)</f>
        <v>Menjadi jembatan ide antar bidang yang sebelumnya tidak saling terhubung.</v>
      </c>
    </row>
    <row r="1037" spans="1:7">
      <c r="A1037" t="str">
        <f t="shared" si="16"/>
        <v>Conceptual Thinking|Department Head|4|1</v>
      </c>
      <c r="B1037" t="str">
        <v>Conceptual Thinking</v>
      </c>
      <c r="C1037" t="str">
        <v>Department Head</v>
      </c>
      <c r="D1037" s="76">
        <v>4</v>
      </c>
      <c r="E1037" t="str" cm="1">
        <f t="array" ref="E1037">INDEX(aspek!$D$2:$D$337,
   MATCH(1,(aspek!$A$2:$A$337=B1037)*
           (aspek!$B$2:$B$337=C1037)*
           (aspek!$C$2:$C$337=D1037),0))</f>
        <v>Mendorong eksperimen dalam tim</v>
      </c>
      <c r="F1037" s="76">
        <v>1</v>
      </c>
      <c r="G1037" s="56" t="str" cm="1">
        <f t="array" ref="G1037">INDEX(deskripsi!$D$2:$H$337,
   MATCH(1,(deskripsi!$A$2:$A$337=B1037)*
           (deskripsi!$B$2:$B$337=C1037)*
           (deskripsi!$C$2:$C$337=D1037),0),
   F1037)</f>
        <v>Hanya dirinya yang mencoba; tim tetap memakai cara lama.</v>
      </c>
    </row>
    <row r="1038" spans="1:7">
      <c r="A1038" t="str">
        <f t="shared" si="16"/>
        <v>Conceptual Thinking|Department Head|4|2</v>
      </c>
      <c r="B1038" t="str">
        <v>Conceptual Thinking</v>
      </c>
      <c r="C1038" t="str">
        <v>Department Head</v>
      </c>
      <c r="D1038" s="76">
        <v>4</v>
      </c>
      <c r="E1038" t="str" cm="1">
        <f t="array" ref="E1038">INDEX(aspek!$D$2:$D$337,
   MATCH(1,(aspek!$A$2:$A$337=B1038)*
           (aspek!$B$2:$B$337=C1038)*
           (aspek!$C$2:$C$337=D1038),0))</f>
        <v>Mendorong eksperimen dalam tim</v>
      </c>
      <c r="F1038" s="76">
        <v>2</v>
      </c>
      <c r="G1038" s="56" t="str" cm="1">
        <f t="array" ref="G1038">INDEX(deskripsi!$D$2:$H$337,
   MATCH(1,(deskripsi!$A$2:$A$337=B1038)*
           (deskripsi!$B$2:$B$337=C1038)*
           (deskripsi!$C$2:$C$337=D1038),0),
   F1038)</f>
        <v>Mengizinkan tim mencoba bila diminta.</v>
      </c>
    </row>
    <row r="1039" spans="1:7">
      <c r="A1039" t="str">
        <f t="shared" si="16"/>
        <v>Conceptual Thinking|Department Head|4|3</v>
      </c>
      <c r="B1039" t="str">
        <v>Conceptual Thinking</v>
      </c>
      <c r="C1039" t="str">
        <v>Department Head</v>
      </c>
      <c r="D1039" s="76">
        <v>4</v>
      </c>
      <c r="E1039" t="str" cm="1">
        <f t="array" ref="E1039">INDEX(aspek!$D$2:$D$337,
   MATCH(1,(aspek!$A$2:$A$337=B1039)*
           (aspek!$B$2:$B$337=C1039)*
           (aspek!$C$2:$C$337=D1039),0))</f>
        <v>Mendorong eksperimen dalam tim</v>
      </c>
      <c r="F1039" s="76">
        <v>3</v>
      </c>
      <c r="G1039" s="56" t="str" cm="1">
        <f t="array" ref="G1039">INDEX(deskripsi!$D$2:$H$337,
   MATCH(1,(deskripsi!$A$2:$A$337=B1039)*
           (deskripsi!$B$2:$B$337=C1039)*
           (deskripsi!$C$2:$C$337=D1039),0),
   F1039)</f>
        <v>Mendorong tim mencoba pada kesempatan tertentu.</v>
      </c>
    </row>
    <row r="1040" spans="1:7">
      <c r="A1040" t="str">
        <f t="shared" si="16"/>
        <v>Conceptual Thinking|Department Head|4|4</v>
      </c>
      <c r="B1040" t="str">
        <v>Conceptual Thinking</v>
      </c>
      <c r="C1040" t="str">
        <v>Department Head</v>
      </c>
      <c r="D1040" s="76">
        <v>4</v>
      </c>
      <c r="E1040" t="str" cm="1">
        <f t="array" ref="E1040">INDEX(aspek!$D$2:$D$337,
   MATCH(1,(aspek!$A$2:$A$337=B1040)*
           (aspek!$B$2:$B$337=C1040)*
           (aspek!$C$2:$C$337=D1040),0))</f>
        <v>Mendorong eksperimen dalam tim</v>
      </c>
      <c r="F1040" s="76">
        <v>4</v>
      </c>
      <c r="G1040" s="56" t="str" cm="1">
        <f t="array" ref="G1040">INDEX(deskripsi!$D$2:$H$337,
   MATCH(1,(deskripsi!$A$2:$A$337=B1040)*
           (deskripsi!$B$2:$B$337=C1040)*
           (deskripsi!$C$2:$C$337=D1040),0),
   F1040)</f>
        <v>Secara aktif mendorong anggota tim mencoba dan memfasilitasi pembelajaran dari eksperimen mereka.</v>
      </c>
    </row>
    <row r="1041" spans="1:7">
      <c r="A1041" t="str">
        <f t="shared" si="16"/>
        <v>Conceptual Thinking|Department Head|4|5</v>
      </c>
      <c r="B1041" t="str">
        <v>Conceptual Thinking</v>
      </c>
      <c r="C1041" t="str">
        <v>Department Head</v>
      </c>
      <c r="D1041" s="76">
        <v>4</v>
      </c>
      <c r="E1041" t="str" cm="1">
        <f t="array" ref="E1041">INDEX(aspek!$D$2:$D$337,
   MATCH(1,(aspek!$A$2:$A$337=B1041)*
           (aspek!$B$2:$B$337=C1041)*
           (aspek!$C$2:$C$337=D1041),0))</f>
        <v>Mendorong eksperimen dalam tim</v>
      </c>
      <c r="F1041" s="76">
        <v>5</v>
      </c>
      <c r="G1041" s="56" t="str" cm="1">
        <f t="array" ref="G1041">INDEX(deskripsi!$D$2:$H$337,
   MATCH(1,(deskripsi!$A$2:$A$337=B1041)*
           (deskripsi!$B$2:$B$337=C1041)*
           (deskripsi!$C$2:$C$337=D1041),0),
   F1041)</f>
        <v>Eksplorasi menjadi kebiasaan tim yang berjalan tanpa dorongannya.</v>
      </c>
    </row>
    <row r="1042" spans="1:7">
      <c r="A1042" t="str">
        <f t="shared" si="16"/>
        <v>Conceptual Thinking|Division Head|1|1</v>
      </c>
      <c r="B1042" t="str">
        <v>Conceptual Thinking</v>
      </c>
      <c r="C1042" t="str">
        <v>Division Head</v>
      </c>
      <c r="D1042" s="76">
        <v>1</v>
      </c>
      <c r="E1042" t="str" cm="1">
        <f t="array" ref="E1042">INDEX(aspek!$D$2:$D$337,
   MATCH(1,(aspek!$A$2:$A$337=B1042)*
           (aspek!$B$2:$B$337=C1042)*
           (aspek!$C$2:$C$337=D1042),0))</f>
        <v>Kesediaan bergerak tanpa kepastian</v>
      </c>
      <c r="F1042" s="76">
        <v>1</v>
      </c>
      <c r="G1042" s="56" t="str" cm="1">
        <f t="array" ref="G1042">INDEX(deskripsi!$D$2:$H$337,
   MATCH(1,(deskripsi!$A$2:$A$337=B1042)*
           (deskripsi!$B$2:$B$337=C1042)*
           (deskripsi!$C$2:$C$337=D1042),0),
   F1042)</f>
        <v>Pekerjaan berhenti sampai model atau arah jelas.</v>
      </c>
    </row>
    <row r="1043" spans="1:7">
      <c r="A1043" t="str">
        <f t="shared" si="16"/>
        <v>Conceptual Thinking|Division Head|1|2</v>
      </c>
      <c r="B1043" t="str">
        <v>Conceptual Thinking</v>
      </c>
      <c r="C1043" t="str">
        <v>Division Head</v>
      </c>
      <c r="D1043" s="76">
        <v>1</v>
      </c>
      <c r="E1043" t="str" cm="1">
        <f t="array" ref="E1043">INDEX(aspek!$D$2:$D$337,
   MATCH(1,(aspek!$A$2:$A$337=B1043)*
           (aspek!$B$2:$B$337=C1043)*
           (aspek!$C$2:$C$337=D1043),0))</f>
        <v>Kesediaan bergerak tanpa kepastian</v>
      </c>
      <c r="F1043" s="76">
        <v>2</v>
      </c>
      <c r="G1043" s="56" t="str" cm="1">
        <f t="array" ref="G1043">INDEX(deskripsi!$D$2:$H$337,
   MATCH(1,(deskripsi!$A$2:$A$337=B1043)*
           (deskripsi!$B$2:$B$337=C1043)*
           (deskripsi!$C$2:$C$337=D1043),0),
   F1043)</f>
        <v>Bergerak hanya pada bagian yang sudah pasti.</v>
      </c>
    </row>
    <row r="1044" spans="1:7">
      <c r="A1044" t="str">
        <f t="shared" si="16"/>
        <v>Conceptual Thinking|Division Head|1|3</v>
      </c>
      <c r="B1044" t="str">
        <v>Conceptual Thinking</v>
      </c>
      <c r="C1044" t="str">
        <v>Division Head</v>
      </c>
      <c r="D1044" s="76">
        <v>1</v>
      </c>
      <c r="E1044" t="str" cm="1">
        <f t="array" ref="E1044">INDEX(aspek!$D$2:$D$337,
   MATCH(1,(aspek!$A$2:$A$337=B1044)*
           (aspek!$B$2:$B$337=C1044)*
           (aspek!$C$2:$C$337=D1044),0))</f>
        <v>Kesediaan bergerak tanpa kepastian</v>
      </c>
      <c r="F1044" s="76">
        <v>3</v>
      </c>
      <c r="G1044" s="56" t="str" cm="1">
        <f t="array" ref="G1044">INDEX(deskripsi!$D$2:$H$337,
   MATCH(1,(deskripsi!$A$2:$A$337=B1044)*
           (deskripsi!$B$2:$B$337=C1044)*
           (deskripsi!$C$2:$C$337=D1044),0),
   F1044)</f>
        <v>Memutuskan setelah menunggu waktu yang wajar.</v>
      </c>
    </row>
    <row r="1045" spans="1:7">
      <c r="A1045" t="str">
        <f t="shared" si="16"/>
        <v>Conceptual Thinking|Division Head|1|4</v>
      </c>
      <c r="B1045" t="str">
        <v>Conceptual Thinking</v>
      </c>
      <c r="C1045" t="str">
        <v>Division Head</v>
      </c>
      <c r="D1045" s="76">
        <v>1</v>
      </c>
      <c r="E1045" t="str" cm="1">
        <f t="array" ref="E1045">INDEX(aspek!$D$2:$D$337,
   MATCH(1,(aspek!$A$2:$A$337=B1045)*
           (aspek!$B$2:$B$337=C1045)*
           (aspek!$C$2:$C$337=D1045),0))</f>
        <v>Kesediaan bergerak tanpa kepastian</v>
      </c>
      <c r="F1045" s="76">
        <v>4</v>
      </c>
      <c r="G1045" s="56" t="str" cm="1">
        <f t="array" ref="G1045">INDEX(deskripsi!$D$2:$H$337,
   MATCH(1,(deskripsi!$A$2:$A$337=B1045)*
           (deskripsi!$B$2:$B$337=C1045)*
           (deskripsi!$C$2:$C$337=D1045),0),
   F1045)</f>
        <v>Menetapkan batas menunggu sendiri, lalu bergerak berdasarkan model yang belum sempurna.</v>
      </c>
    </row>
    <row r="1046" spans="1:7">
      <c r="A1046" t="str">
        <f t="shared" si="16"/>
        <v>Conceptual Thinking|Division Head|1|5</v>
      </c>
      <c r="B1046" t="str">
        <v>Conceptual Thinking</v>
      </c>
      <c r="C1046" t="str">
        <v>Division Head</v>
      </c>
      <c r="D1046" s="76">
        <v>1</v>
      </c>
      <c r="E1046" t="str" cm="1">
        <f t="array" ref="E1046">INDEX(aspek!$D$2:$D$337,
   MATCH(1,(aspek!$A$2:$A$337=B1046)*
           (aspek!$B$2:$B$337=C1046)*
           (aspek!$C$2:$C$337=D1046),0))</f>
        <v>Kesediaan bergerak tanpa kepastian</v>
      </c>
      <c r="F1046" s="76">
        <v>5</v>
      </c>
      <c r="G1046" s="56" t="str" cm="1">
        <f t="array" ref="G1046">INDEX(deskripsi!$D$2:$H$337,
   MATCH(1,(deskripsi!$A$2:$A$337=B1046)*
           (deskripsi!$B$2:$B$337=C1046)*
           (deskripsi!$C$2:$C$337=D1046),0),
   F1046)</f>
        <v>Melihat ketidakjelasan sebagai kesempatan bergerak lebih dulu.</v>
      </c>
    </row>
    <row r="1047" spans="1:7">
      <c r="A1047" t="str">
        <f t="shared" si="16"/>
        <v>Conceptual Thinking|Division Head|2|1</v>
      </c>
      <c r="B1047" t="str">
        <v>Conceptual Thinking</v>
      </c>
      <c r="C1047" t="str">
        <v>Division Head</v>
      </c>
      <c r="D1047" s="76">
        <v>2</v>
      </c>
      <c r="E1047" t="str" cm="1">
        <f t="array" ref="E1047">INDEX(aspek!$D$2:$D$337,
   MATCH(1,(aspek!$A$2:$A$337=B1047)*
           (aspek!$B$2:$B$337=C1047)*
           (aspek!$C$2:$C$337=D1047),0))</f>
        <v>Produktivitas kognitif dalam ketidakjelasan</v>
      </c>
      <c r="F1047" s="76">
        <v>1</v>
      </c>
      <c r="G1047" s="56" t="str" cm="1">
        <f t="array" ref="G1047">INDEX(deskripsi!$D$2:$H$337,
   MATCH(1,(deskripsi!$A$2:$A$337=B1047)*
           (deskripsi!$B$2:$B$337=C1047)*
           (deskripsi!$C$2:$C$337=D1047),0),
   F1047)</f>
        <v>Berhenti berpikir jernih saat keadaan membingungkan.</v>
      </c>
    </row>
    <row r="1048" spans="1:7">
      <c r="A1048" t="str">
        <f t="shared" si="16"/>
        <v>Conceptual Thinking|Division Head|2|2</v>
      </c>
      <c r="B1048" t="str">
        <v>Conceptual Thinking</v>
      </c>
      <c r="C1048" t="str">
        <v>Division Head</v>
      </c>
      <c r="D1048" s="76">
        <v>2</v>
      </c>
      <c r="E1048" t="str" cm="1">
        <f t="array" ref="E1048">INDEX(aspek!$D$2:$D$337,
   MATCH(1,(aspek!$A$2:$A$337=B1048)*
           (aspek!$B$2:$B$337=C1048)*
           (aspek!$C$2:$C$337=D1048),0))</f>
        <v>Produktivitas kognitif dalam ketidakjelasan</v>
      </c>
      <c r="F1048" s="76">
        <v>2</v>
      </c>
      <c r="G1048" s="56" t="str" cm="1">
        <f t="array" ref="G1048">INDEX(deskripsi!$D$2:$H$337,
   MATCH(1,(deskripsi!$A$2:$A$337=B1048)*
           (deskripsi!$B$2:$B$337=C1048)*
           (deskripsi!$C$2:$C$337=D1048),0),
   F1048)</f>
        <v>Masih berpikir, hanya menghasilkan daftar hal belum diketahui.</v>
      </c>
    </row>
    <row r="1049" spans="1:7">
      <c r="A1049" t="str">
        <f t="shared" si="16"/>
        <v>Conceptual Thinking|Division Head|2|3</v>
      </c>
      <c r="B1049" t="str">
        <v>Conceptual Thinking</v>
      </c>
      <c r="C1049" t="str">
        <v>Division Head</v>
      </c>
      <c r="D1049" s="76">
        <v>2</v>
      </c>
      <c r="E1049" t="str" cm="1">
        <f t="array" ref="E1049">INDEX(aspek!$D$2:$D$337,
   MATCH(1,(aspek!$A$2:$A$337=B1049)*
           (aspek!$B$2:$B$337=C1049)*
           (aspek!$C$2:$C$337=D1049),0))</f>
        <v>Produktivitas kognitif dalam ketidakjelasan</v>
      </c>
      <c r="F1049" s="76">
        <v>3</v>
      </c>
      <c r="G1049" s="56" t="str" cm="1">
        <f t="array" ref="G1049">INDEX(deskripsi!$D$2:$H$337,
   MATCH(1,(deskripsi!$A$2:$A$337=B1049)*
           (deskripsi!$B$2:$B$337=C1049)*
           (deskripsi!$C$2:$C$337=D1049),0),
   F1049)</f>
        <v>Menghasilkan model rapi, kesimpulan tetap menunggu validasi.</v>
      </c>
    </row>
    <row r="1050" spans="1:7">
      <c r="A1050" t="str">
        <f t="shared" si="16"/>
        <v>Conceptual Thinking|Division Head|2|4</v>
      </c>
      <c r="B1050" t="str">
        <v>Conceptual Thinking</v>
      </c>
      <c r="C1050" t="str">
        <v>Division Head</v>
      </c>
      <c r="D1050" s="76">
        <v>2</v>
      </c>
      <c r="E1050" t="str" cm="1">
        <f t="array" ref="E1050">INDEX(aspek!$D$2:$D$337,
   MATCH(1,(aspek!$A$2:$A$337=B1050)*
           (aspek!$B$2:$B$337=C1050)*
           (aspek!$C$2:$C$337=D1050),0))</f>
        <v>Produktivitas kognitif dalam ketidakjelasan</v>
      </c>
      <c r="F1050" s="76">
        <v>4</v>
      </c>
      <c r="G1050" s="56" t="str" cm="1">
        <f t="array" ref="G1050">INDEX(deskripsi!$D$2:$H$337,
   MATCH(1,(deskripsi!$A$2:$A$337=B1050)*
           (deskripsi!$B$2:$B$337=C1050)*
           (deskripsi!$C$2:$C$337=D1050),0),
   F1050)</f>
        <v>Menghasilkan langkah yang tetap benar apa pun bentuk akhir modelnya.</v>
      </c>
    </row>
    <row r="1051" spans="1:7">
      <c r="A1051" t="str">
        <f t="shared" si="16"/>
        <v>Conceptual Thinking|Division Head|2|5</v>
      </c>
      <c r="B1051" t="str">
        <v>Conceptual Thinking</v>
      </c>
      <c r="C1051" t="str">
        <v>Division Head</v>
      </c>
      <c r="D1051" s="76">
        <v>2</v>
      </c>
      <c r="E1051" t="str" cm="1">
        <f t="array" ref="E1051">INDEX(aspek!$D$2:$D$337,
   MATCH(1,(aspek!$A$2:$A$337=B1051)*
           (aspek!$B$2:$B$337=C1051)*
           (aspek!$C$2:$C$337=D1051),0))</f>
        <v>Produktivitas kognitif dalam ketidakjelasan</v>
      </c>
      <c r="F1051" s="76">
        <v>5</v>
      </c>
      <c r="G1051" s="56" t="str" cm="1">
        <f t="array" ref="G1051">INDEX(deskripsi!$D$2:$H$337,
   MATCH(1,(deskripsi!$A$2:$A$337=B1051)*
           (deskripsi!$B$2:$B$337=C1051)*
           (deskripsi!$C$2:$C$337=D1051),0),
   F1051)</f>
        <v>Menemukan peluang yang tidak terlihat ketika model sudah selesai.</v>
      </c>
    </row>
    <row r="1052" spans="1:7">
      <c r="A1052" t="str">
        <f t="shared" si="16"/>
        <v>Conceptual Thinking|Division Head|3|1</v>
      </c>
      <c r="B1052" t="str">
        <v>Conceptual Thinking</v>
      </c>
      <c r="C1052" t="str">
        <v>Division Head</v>
      </c>
      <c r="D1052" s="76">
        <v>3</v>
      </c>
      <c r="E1052" t="str" cm="1">
        <f t="array" ref="E1052">INDEX(aspek!$D$2:$D$337,
   MATCH(1,(aspek!$A$2:$A$337=B1052)*
           (aspek!$B$2:$B$337=C1052)*
           (aspek!$C$2:$C$337=D1052),0))</f>
        <v>Menjaga unit tetap berjalan</v>
      </c>
      <c r="F1052" s="76">
        <v>1</v>
      </c>
      <c r="G1052" s="56" t="str" cm="1">
        <f t="array" ref="G1052">INDEX(deskripsi!$D$2:$H$337,
   MATCH(1,(deskripsi!$A$2:$A$337=B1052)*
           (deskripsi!$B$2:$B$337=C1052)*
           (deskripsi!$C$2:$C$337=D1052),0),
   F1052)</f>
        <v>Unit ikut berhenti ketika model belum selesai.</v>
      </c>
    </row>
    <row r="1053" spans="1:7">
      <c r="A1053" t="str">
        <f t="shared" si="16"/>
        <v>Conceptual Thinking|Division Head|3|2</v>
      </c>
      <c r="B1053" t="str">
        <v>Conceptual Thinking</v>
      </c>
      <c r="C1053" t="str">
        <v>Division Head</v>
      </c>
      <c r="D1053" s="76">
        <v>3</v>
      </c>
      <c r="E1053" t="str" cm="1">
        <f t="array" ref="E1053">INDEX(aspek!$D$2:$D$337,
   MATCH(1,(aspek!$A$2:$A$337=B1053)*
           (aspek!$B$2:$B$337=C1053)*
           (aspek!$C$2:$C$337=D1053),0))</f>
        <v>Menjaga unit tetap berjalan</v>
      </c>
      <c r="F1053" s="76">
        <v>2</v>
      </c>
      <c r="G1053" s="56" t="str" cm="1">
        <f t="array" ref="G1053">INDEX(deskripsi!$D$2:$H$337,
   MATCH(1,(deskripsi!$A$2:$A$337=B1053)*
           (deskripsi!$B$2:$B$337=C1053)*
           (deskripsi!$C$2:$C$337=D1053),0),
   F1053)</f>
        <v>Unit mengerjakan rutinitas, pekerjaan penting tertahan.</v>
      </c>
    </row>
    <row r="1054" spans="1:7">
      <c r="A1054" t="str">
        <f t="shared" si="16"/>
        <v>Conceptual Thinking|Division Head|3|3</v>
      </c>
      <c r="B1054" t="str">
        <v>Conceptual Thinking</v>
      </c>
      <c r="C1054" t="str">
        <v>Division Head</v>
      </c>
      <c r="D1054" s="76">
        <v>3</v>
      </c>
      <c r="E1054" t="str" cm="1">
        <f t="array" ref="E1054">INDEX(aspek!$D$2:$D$337,
   MATCH(1,(aspek!$A$2:$A$337=B1054)*
           (aspek!$B$2:$B$337=C1054)*
           (aspek!$C$2:$C$337=D1054),0))</f>
        <v>Menjaga unit tetap berjalan</v>
      </c>
      <c r="F1054" s="76">
        <v>3</v>
      </c>
      <c r="G1054" s="56" t="str" cm="1">
        <f t="array" ref="G1054">INDEX(deskripsi!$D$2:$H$337,
   MATCH(1,(deskripsi!$A$2:$A$337=B1054)*
           (deskripsi!$B$2:$B$337=C1054)*
           (deskripsi!$C$2:$C$337=D1054),0),
   F1054)</f>
        <v>Unit berjalan karena diberi pekerjaan seadanya.</v>
      </c>
    </row>
    <row r="1055" spans="1:7">
      <c r="A1055" t="str">
        <f t="shared" si="16"/>
        <v>Conceptual Thinking|Division Head|3|4</v>
      </c>
      <c r="B1055" t="str">
        <v>Conceptual Thinking</v>
      </c>
      <c r="C1055" t="str">
        <v>Division Head</v>
      </c>
      <c r="D1055" s="76">
        <v>3</v>
      </c>
      <c r="E1055" t="str" cm="1">
        <f t="array" ref="E1055">INDEX(aspek!$D$2:$D$337,
   MATCH(1,(aspek!$A$2:$A$337=B1055)*
           (aspek!$B$2:$B$337=C1055)*
           (aspek!$C$2:$C$337=D1055),0))</f>
        <v>Menjaga unit tetap berjalan</v>
      </c>
      <c r="F1055" s="76">
        <v>4</v>
      </c>
      <c r="G1055" s="56" t="str" cm="1">
        <f t="array" ref="G1055">INDEX(deskripsi!$D$2:$H$337,
   MATCH(1,(deskripsi!$A$2:$A$337=B1055)*
           (deskripsi!$B$2:$B$337=C1055)*
           (deskripsi!$C$2:$C$337=D1055),0),
   F1055)</f>
        <v>Unit tetap menghasilkan pada periode model belum lengkap, disertai penjelasan jujur.</v>
      </c>
    </row>
    <row r="1056" spans="1:7">
      <c r="A1056" t="str">
        <f t="shared" si="16"/>
        <v>Conceptual Thinking|Division Head|3|5</v>
      </c>
      <c r="B1056" t="str">
        <v>Conceptual Thinking</v>
      </c>
      <c r="C1056" t="str">
        <v>Division Head</v>
      </c>
      <c r="D1056" s="76">
        <v>3</v>
      </c>
      <c r="E1056" t="str" cm="1">
        <f t="array" ref="E1056">INDEX(aspek!$D$2:$D$337,
   MATCH(1,(aspek!$A$2:$A$337=B1056)*
           (aspek!$B$2:$B$337=C1056)*
           (aspek!$C$2:$C$337=D1056),0))</f>
        <v>Menjaga unit tetap berjalan</v>
      </c>
      <c r="F1056" s="76">
        <v>5</v>
      </c>
      <c r="G1056" s="56" t="str" cm="1">
        <f t="array" ref="G1056">INDEX(deskripsi!$D$2:$H$337,
   MATCH(1,(deskripsi!$A$2:$A$337=B1056)*
           (deskripsi!$B$2:$B$337=C1056)*
           (deskripsi!$C$2:$C$337=D1056),0),
   F1056)</f>
        <v>Anggota unit menemukan sendiri pekerjaan yang tetap benar.</v>
      </c>
    </row>
    <row r="1057" spans="1:7">
      <c r="A1057" t="str">
        <f t="shared" si="16"/>
        <v>Conceptual Thinking|Division Head|4|1</v>
      </c>
      <c r="B1057" t="str">
        <v>Conceptual Thinking</v>
      </c>
      <c r="C1057" t="str">
        <v>Division Head</v>
      </c>
      <c r="D1057" s="76">
        <v>4</v>
      </c>
      <c r="E1057" t="str" cm="1">
        <f t="array" ref="E1057">INDEX(aspek!$D$2:$D$337,
   MATCH(1,(aspek!$A$2:$A$337=B1057)*
           (aspek!$B$2:$B$337=C1057)*
           (aspek!$C$2:$C$337=D1057),0))</f>
        <v>Target melampaui kepastian informasi</v>
      </c>
      <c r="F1057" s="76">
        <v>1</v>
      </c>
      <c r="G1057" s="56" t="str" cm="1">
        <f t="array" ref="G1057">INDEX(deskripsi!$D$2:$H$337,
   MATCH(1,(deskripsi!$A$2:$A$337=B1057)*
           (deskripsi!$B$2:$B$337=C1057)*
           (deskripsi!$C$2:$C$337=D1057),0),
   F1057)</f>
        <v>Menetapkan target hanya setelah seluruh data pendukung lengkap.</v>
      </c>
    </row>
    <row r="1058" spans="1:7">
      <c r="A1058" t="str">
        <f t="shared" si="16"/>
        <v>Conceptual Thinking|Division Head|4|2</v>
      </c>
      <c r="B1058" t="str">
        <v>Conceptual Thinking</v>
      </c>
      <c r="C1058" t="str">
        <v>Division Head</v>
      </c>
      <c r="D1058" s="76">
        <v>4</v>
      </c>
      <c r="E1058" t="str" cm="1">
        <f t="array" ref="E1058">INDEX(aspek!$D$2:$D$337,
   MATCH(1,(aspek!$A$2:$A$337=B1058)*
           (aspek!$B$2:$B$337=C1058)*
           (aspek!$C$2:$C$337=D1058),0))</f>
        <v>Target melampaui kepastian informasi</v>
      </c>
      <c r="F1058" s="76">
        <v>2</v>
      </c>
      <c r="G1058" s="56" t="str" cm="1">
        <f t="array" ref="G1058">INDEX(deskripsi!$D$2:$H$337,
   MATCH(1,(deskripsi!$A$2:$A$337=B1058)*
           (deskripsi!$B$2:$B$337=C1058)*
           (deskripsi!$C$2:$C$337=D1058),0),
   F1058)</f>
        <v>Menetapkan target sesuai standar organisasi, tidak melampauinya.</v>
      </c>
    </row>
    <row r="1059" spans="1:7">
      <c r="A1059" t="str">
        <f t="shared" si="16"/>
        <v>Conceptual Thinking|Division Head|4|3</v>
      </c>
      <c r="B1059" t="str">
        <v>Conceptual Thinking</v>
      </c>
      <c r="C1059" t="str">
        <v>Division Head</v>
      </c>
      <c r="D1059" s="76">
        <v>4</v>
      </c>
      <c r="E1059" t="str" cm="1">
        <f t="array" ref="E1059">INDEX(aspek!$D$2:$D$337,
   MATCH(1,(aspek!$A$2:$A$337=B1059)*
           (aspek!$B$2:$B$337=C1059)*
           (aspek!$C$2:$C$337=D1059),0))</f>
        <v>Target melampaui kepastian informasi</v>
      </c>
      <c r="F1059" s="76">
        <v>3</v>
      </c>
      <c r="G1059" s="56" t="str" cm="1">
        <f t="array" ref="G1059">INDEX(deskripsi!$D$2:$H$337,
   MATCH(1,(deskripsi!$A$2:$A$337=B1059)*
           (deskripsi!$B$2:$B$337=C1059)*
           (deskripsi!$C$2:$C$337=D1059),0),
   F1059)</f>
        <v>Menetapkan target di atas standar pada area yang sudah familiar.</v>
      </c>
    </row>
    <row r="1060" spans="1:7">
      <c r="A1060" t="str">
        <f t="shared" si="16"/>
        <v>Conceptual Thinking|Division Head|4|4</v>
      </c>
      <c r="B1060" t="str">
        <v>Conceptual Thinking</v>
      </c>
      <c r="C1060" t="str">
        <v>Division Head</v>
      </c>
      <c r="D1060" s="76">
        <v>4</v>
      </c>
      <c r="E1060" t="str" cm="1">
        <f t="array" ref="E1060">INDEX(aspek!$D$2:$D$337,
   MATCH(1,(aspek!$A$2:$A$337=B1060)*
           (aspek!$B$2:$B$337=C1060)*
           (aspek!$C$2:$C$337=D1060),0))</f>
        <v>Target melampaui kepastian informasi</v>
      </c>
      <c r="F1060" s="76">
        <v>4</v>
      </c>
      <c r="G1060" s="56" t="str" cm="1">
        <f t="array" ref="G1060">INDEX(deskripsi!$D$2:$H$337,
   MATCH(1,(deskripsi!$A$2:$A$337=B1060)*
           (deskripsi!$B$2:$B$337=C1060)*
           (deskripsi!$C$2:$C$337=D1060),0),
   F1060)</f>
        <v>Menetapkan target unit di atas target organisasi berdasarkan informasi yang tersedia meski belum lengkap, dan menjalankannya.</v>
      </c>
    </row>
    <row r="1061" spans="1:7">
      <c r="A1061" t="str">
        <f t="shared" si="16"/>
        <v>Conceptual Thinking|Division Head|4|5</v>
      </c>
      <c r="B1061" t="str">
        <v>Conceptual Thinking</v>
      </c>
      <c r="C1061" t="str">
        <v>Division Head</v>
      </c>
      <c r="D1061" s="76">
        <v>4</v>
      </c>
      <c r="E1061" t="str" cm="1">
        <f t="array" ref="E1061">INDEX(aspek!$D$2:$D$337,
   MATCH(1,(aspek!$A$2:$A$337=B1061)*
           (aspek!$B$2:$B$337=C1061)*
           (aspek!$C$2:$C$337=D1061),0))</f>
        <v>Target melampaui kepastian informasi</v>
      </c>
      <c r="F1061" s="76">
        <v>5</v>
      </c>
      <c r="G1061" s="56" t="str" cm="1">
        <f t="array" ref="G1061">INDEX(deskripsi!$D$2:$H$337,
   MATCH(1,(deskripsi!$A$2:$A$337=B1061)*
           (deskripsi!$B$2:$B$337=C1061)*
           (deskripsi!$C$2:$C$337=D1061),0),
   F1061)</f>
        <v>Target yang ditetapkan menjadi acuan baru bagi organisasi.</v>
      </c>
    </row>
    <row r="1062" spans="1:7">
      <c r="A1062" t="str">
        <f t="shared" si="16"/>
        <v>Conceptual Thinking|Director|1|1</v>
      </c>
      <c r="B1062" t="str">
        <v>Conceptual Thinking</v>
      </c>
      <c r="C1062" t="str">
        <v>Director</v>
      </c>
      <c r="D1062" s="76">
        <v>1</v>
      </c>
      <c r="E1062" t="str" cm="1">
        <f t="array" ref="E1062">INDEX(aspek!$D$2:$D$337,
   MATCH(1,(aspek!$A$2:$A$337=B1062)*
           (aspek!$B$2:$B$337=C1062)*
           (aspek!$C$2:$C$337=D1062),0))</f>
        <v>Memberi arah saat arah belum ada</v>
      </c>
      <c r="F1062" s="76">
        <v>1</v>
      </c>
      <c r="G1062" s="56" t="str" cm="1">
        <f t="array" ref="G1062">INDEX(deskripsi!$D$2:$H$337,
   MATCH(1,(deskripsi!$A$2:$A$337=B1062)*
           (deskripsi!$B$2:$B$337=C1062)*
           (deskripsi!$C$2:$C$337=D1062),0),
   F1062)</f>
        <v>Ikut menunggu bersama organisasi.</v>
      </c>
    </row>
    <row r="1063" spans="1:7">
      <c r="A1063" t="str">
        <f t="shared" si="16"/>
        <v>Conceptual Thinking|Director|1|2</v>
      </c>
      <c r="B1063" t="str">
        <v>Conceptual Thinking</v>
      </c>
      <c r="C1063" t="str">
        <v>Director</v>
      </c>
      <c r="D1063" s="76">
        <v>1</v>
      </c>
      <c r="E1063" t="str" cm="1">
        <f t="array" ref="E1063">INDEX(aspek!$D$2:$D$337,
   MATCH(1,(aspek!$A$2:$A$337=B1063)*
           (aspek!$B$2:$B$337=C1063)*
           (aspek!$C$2:$C$337=D1063),0))</f>
        <v>Memberi arah saat arah belum ada</v>
      </c>
      <c r="F1063" s="76">
        <v>2</v>
      </c>
      <c r="G1063" s="56" t="str" cm="1">
        <f t="array" ref="G1063">INDEX(deskripsi!$D$2:$H$337,
   MATCH(1,(deskripsi!$A$2:$A$337=B1063)*
           (deskripsi!$B$2:$B$337=C1063)*
           (deskripsi!$C$2:$C$337=D1063),0),
   F1063)</f>
        <v>Meneruskan ketidakjelasan apa adanya.</v>
      </c>
    </row>
    <row r="1064" spans="1:7">
      <c r="A1064" t="str">
        <f t="shared" si="16"/>
        <v>Conceptual Thinking|Director|1|3</v>
      </c>
      <c r="B1064" t="str">
        <v>Conceptual Thinking</v>
      </c>
      <c r="C1064" t="str">
        <v>Director</v>
      </c>
      <c r="D1064" s="76">
        <v>1</v>
      </c>
      <c r="E1064" t="str" cm="1">
        <f t="array" ref="E1064">INDEX(aspek!$D$2:$D$337,
   MATCH(1,(aspek!$A$2:$A$337=B1064)*
           (aspek!$B$2:$B$337=C1064)*
           (aspek!$C$2:$C$337=D1064),0))</f>
        <v>Memberi arah saat arah belum ada</v>
      </c>
      <c r="F1064" s="76">
        <v>3</v>
      </c>
      <c r="G1064" s="56" t="str" cm="1">
        <f t="array" ref="G1064">INDEX(deskripsi!$D$2:$H$337,
   MATCH(1,(deskripsi!$A$2:$A$337=B1064)*
           (deskripsi!$B$2:$B$337=C1064)*
           (deskripsi!$C$2:$C$337=D1064),0),
   F1064)</f>
        <v>Memberi arah setelah kejelasan datang.</v>
      </c>
    </row>
    <row r="1065" spans="1:7">
      <c r="A1065" t="str">
        <f t="shared" si="16"/>
        <v>Conceptual Thinking|Director|1|4</v>
      </c>
      <c r="B1065" t="str">
        <v>Conceptual Thinking</v>
      </c>
      <c r="C1065" t="str">
        <v>Director</v>
      </c>
      <c r="D1065" s="76">
        <v>1</v>
      </c>
      <c r="E1065" t="str" cm="1">
        <f t="array" ref="E1065">INDEX(aspek!$D$2:$D$337,
   MATCH(1,(aspek!$A$2:$A$337=B1065)*
           (aspek!$B$2:$B$337=C1065)*
           (aspek!$C$2:$C$337=D1065),0))</f>
        <v>Memberi arah saat arah belum ada</v>
      </c>
      <c r="F1065" s="76">
        <v>4</v>
      </c>
      <c r="G1065" s="56" t="str" cm="1">
        <f t="array" ref="G1065">INDEX(deskripsi!$D$2:$H$337,
   MATCH(1,(deskripsi!$A$2:$A$337=B1065)*
           (deskripsi!$B$2:$B$337=C1065)*
           (deskripsi!$C$2:$C$337=D1065),0),
   F1065)</f>
        <v>Memberi arah SEBELUM kejelasan datang, jujur tentang yang belum pasti.</v>
      </c>
    </row>
    <row r="1066" spans="1:7">
      <c r="A1066" t="str">
        <f t="shared" si="16"/>
        <v>Conceptual Thinking|Director|1|5</v>
      </c>
      <c r="B1066" t="str">
        <v>Conceptual Thinking</v>
      </c>
      <c r="C1066" t="str">
        <v>Director</v>
      </c>
      <c r="D1066" s="76">
        <v>1</v>
      </c>
      <c r="E1066" t="str" cm="1">
        <f t="array" ref="E1066">INDEX(aspek!$D$2:$D$337,
   MATCH(1,(aspek!$A$2:$A$337=B1066)*
           (aspek!$B$2:$B$337=C1066)*
           (aspek!$C$2:$C$337=D1066),0))</f>
        <v>Memberi arah saat arah belum ada</v>
      </c>
      <c r="F1066" s="76">
        <v>5</v>
      </c>
      <c r="G1066" s="56" t="str" cm="1">
        <f t="array" ref="G1066">INDEX(deskripsi!$D$2:$H$337,
   MATCH(1,(deskripsi!$A$2:$A$337=B1066)*
           (deskripsi!$B$2:$B$337=C1066)*
           (deskripsi!$C$2:$C$337=D1066),0),
   F1066)</f>
        <v>Fungsi-fungsi menentukan sendiri pekerjaan yang tetap benar tanpa menunggu arahan.</v>
      </c>
    </row>
    <row r="1067" spans="1:7">
      <c r="A1067" t="str">
        <f t="shared" si="16"/>
        <v>Conceptual Thinking|Director|2|1</v>
      </c>
      <c r="B1067" t="str">
        <v>Conceptual Thinking</v>
      </c>
      <c r="C1067" t="str">
        <v>Director</v>
      </c>
      <c r="D1067" s="76">
        <v>2</v>
      </c>
      <c r="E1067" t="str" cm="1">
        <f t="array" ref="E1067">INDEX(aspek!$D$2:$D$337,
   MATCH(1,(aspek!$A$2:$A$337=B1067)*
           (aspek!$B$2:$B$337=C1067)*
           (aspek!$C$2:$C$337=D1067),0))</f>
        <v>Menciptakan dan menggerakkan cara pandang baru</v>
      </c>
      <c r="F1067" s="76">
        <v>1</v>
      </c>
      <c r="G1067" s="56" t="str" cm="1">
        <f t="array" ref="G1067">INDEX(deskripsi!$D$2:$H$337,
   MATCH(1,(deskripsi!$A$2:$A$337=B1067)*
           (deskripsi!$B$2:$B$337=C1067)*
           (deskripsi!$C$2:$C$337=D1067),0),
   F1067)</f>
        <v>Tidak pernah mempertanyakan cara pandang yang berlaku.</v>
      </c>
    </row>
    <row r="1068" spans="1:7">
      <c r="A1068" t="str">
        <f t="shared" si="16"/>
        <v>Conceptual Thinking|Director|2|2</v>
      </c>
      <c r="B1068" t="str">
        <v>Conceptual Thinking</v>
      </c>
      <c r="C1068" t="str">
        <v>Director</v>
      </c>
      <c r="D1068" s="76">
        <v>2</v>
      </c>
      <c r="E1068" t="str" cm="1">
        <f t="array" ref="E1068">INDEX(aspek!$D$2:$D$337,
   MATCH(1,(aspek!$A$2:$A$337=B1068)*
           (aspek!$B$2:$B$337=C1068)*
           (aspek!$C$2:$C$337=D1068),0))</f>
        <v>Menciptakan dan menggerakkan cara pandang baru</v>
      </c>
      <c r="F1068" s="76">
        <v>2</v>
      </c>
      <c r="G1068" s="56" t="str" cm="1">
        <f t="array" ref="G1068">INDEX(deskripsi!$D$2:$H$337,
   MATCH(1,(deskripsi!$A$2:$A$337=B1068)*
           (deskripsi!$B$2:$B$337=C1068)*
           (deskripsi!$C$2:$C$337=D1068),0),
   F1068)</f>
        <v>Mempertanyakan cara pandang, tidak mengusulkan alternatif.</v>
      </c>
    </row>
    <row r="1069" spans="1:7">
      <c r="A1069" t="str">
        <f t="shared" si="16"/>
        <v>Conceptual Thinking|Director|2|3</v>
      </c>
      <c r="B1069" t="str">
        <v>Conceptual Thinking</v>
      </c>
      <c r="C1069" t="str">
        <v>Director</v>
      </c>
      <c r="D1069" s="76">
        <v>2</v>
      </c>
      <c r="E1069" t="str" cm="1">
        <f t="array" ref="E1069">INDEX(aspek!$D$2:$D$337,
   MATCH(1,(aspek!$A$2:$A$337=B1069)*
           (aspek!$B$2:$B$337=C1069)*
           (aspek!$C$2:$C$337=D1069),0))</f>
        <v>Menciptakan dan menggerakkan cara pandang baru</v>
      </c>
      <c r="F1069" s="76">
        <v>3</v>
      </c>
      <c r="G1069" s="56" t="str" cm="1">
        <f t="array" ref="G1069">INDEX(deskripsi!$D$2:$H$337,
   MATCH(1,(deskripsi!$A$2:$A$337=B1069)*
           (deskripsi!$B$2:$B$337=C1069)*
           (deskripsi!$C$2:$C$337=D1069),0),
   F1069)</f>
        <v>Mengusulkan cara pandang baru, berhenti sebagai wacana.</v>
      </c>
    </row>
    <row r="1070" spans="1:7">
      <c r="A1070" t="str">
        <f t="shared" si="16"/>
        <v>Conceptual Thinking|Director|2|4</v>
      </c>
      <c r="B1070" t="str">
        <v>Conceptual Thinking</v>
      </c>
      <c r="C1070" t="str">
        <v>Director</v>
      </c>
      <c r="D1070" s="76">
        <v>2</v>
      </c>
      <c r="E1070" t="str" cm="1">
        <f t="array" ref="E1070">INDEX(aspek!$D$2:$D$337,
   MATCH(1,(aspek!$A$2:$A$337=B1070)*
           (aspek!$B$2:$B$337=C1070)*
           (aspek!$C$2:$C$337=D1070),0))</f>
        <v>Menciptakan dan menggerakkan cara pandang baru</v>
      </c>
      <c r="F1070" s="76">
        <v>4</v>
      </c>
      <c r="G1070" s="56" t="str" cm="1">
        <f t="array" ref="G1070">INDEX(deskripsi!$D$2:$H$337,
   MATCH(1,(deskripsi!$A$2:$A$337=B1070)*
           (deskripsi!$B$2:$B$337=C1070)*
           (deskripsi!$C$2:$C$337=D1070),0),
   F1070)</f>
        <v>Cara pandang baru yang ia usulkan diterapkan oleh minimal 3 fungsi tanpa kehadirannya, mengubah cara kerja mereka.</v>
      </c>
    </row>
    <row r="1071" spans="1:7">
      <c r="A1071" t="str">
        <f t="shared" si="16"/>
        <v>Conceptual Thinking|Director|2|5</v>
      </c>
      <c r="B1071" t="str">
        <v>Conceptual Thinking</v>
      </c>
      <c r="C1071" t="str">
        <v>Director</v>
      </c>
      <c r="D1071" s="76">
        <v>2</v>
      </c>
      <c r="E1071" t="str" cm="1">
        <f t="array" ref="E1071">INDEX(aspek!$D$2:$D$337,
   MATCH(1,(aspek!$A$2:$A$337=B1071)*
           (aspek!$B$2:$B$337=C1071)*
           (aspek!$C$2:$C$337=D1071),0))</f>
        <v>Menciptakan dan menggerakkan cara pandang baru</v>
      </c>
      <c r="F1071" s="76">
        <v>5</v>
      </c>
      <c r="G1071" s="56" t="str" cm="1">
        <f t="array" ref="G1071">INDEX(deskripsi!$D$2:$H$337,
   MATCH(1,(deskripsi!$A$2:$A$337=B1071)*
           (deskripsi!$B$2:$B$337=C1071)*
           (deskripsi!$C$2:$C$337=D1071),0),
   F1071)</f>
        <v>Cara pandangnya mengubah cara organisasi bersaing secara berkelanjutan.</v>
      </c>
    </row>
    <row r="1072" spans="1:7">
      <c r="A1072" t="str">
        <f t="shared" si="16"/>
        <v>Conceptual Thinking|Director|3|1</v>
      </c>
      <c r="B1072" t="str">
        <v>Conceptual Thinking</v>
      </c>
      <c r="C1072" t="str">
        <v>Director</v>
      </c>
      <c r="D1072" s="76">
        <v>3</v>
      </c>
      <c r="E1072" t="str" cm="1">
        <f t="array" ref="E1072">INDEX(aspek!$D$2:$D$337,
   MATCH(1,(aspek!$A$2:$A$337=B1072)*
           (aspek!$B$2:$B$337=C1072)*
           (aspek!$C$2:$C$337=D1072),0))</f>
        <v>Mengubah ketidakpastian menjadi peluang strategis</v>
      </c>
      <c r="F1072" s="76">
        <v>1</v>
      </c>
      <c r="G1072" s="56" t="str" cm="1">
        <f t="array" ref="G1072">INDEX(deskripsi!$D$2:$H$337,
   MATCH(1,(deskripsi!$A$2:$A$337=B1072)*
           (deskripsi!$B$2:$B$337=C1072)*
           (deskripsi!$C$2:$C$337=D1072),0),
   F1072)</f>
        <v>Membaca ketidakpastian hanya sebagai risiko.</v>
      </c>
    </row>
    <row r="1073" spans="1:7">
      <c r="A1073" t="str">
        <f t="shared" si="16"/>
        <v>Conceptual Thinking|Director|3|2</v>
      </c>
      <c r="B1073" t="str">
        <v>Conceptual Thinking</v>
      </c>
      <c r="C1073" t="str">
        <v>Director</v>
      </c>
      <c r="D1073" s="76">
        <v>3</v>
      </c>
      <c r="E1073" t="str" cm="1">
        <f t="array" ref="E1073">INDEX(aspek!$D$2:$D$337,
   MATCH(1,(aspek!$A$2:$A$337=B1073)*
           (aspek!$B$2:$B$337=C1073)*
           (aspek!$C$2:$C$337=D1073),0))</f>
        <v>Mengubah ketidakpastian menjadi peluang strategis</v>
      </c>
      <c r="F1073" s="76">
        <v>2</v>
      </c>
      <c r="G1073" s="56" t="str" cm="1">
        <f t="array" ref="G1073">INDEX(deskripsi!$D$2:$H$337,
   MATCH(1,(deskripsi!$A$2:$A$337=B1073)*
           (deskripsi!$B$2:$B$337=C1073)*
           (deskripsi!$C$2:$C$337=D1073),0),
   F1073)</f>
        <v>Menyusun mitigasi, tidak melihat kemungkinan.</v>
      </c>
    </row>
    <row r="1074" spans="1:7">
      <c r="A1074" t="str">
        <f t="shared" si="16"/>
        <v>Conceptual Thinking|Director|3|3</v>
      </c>
      <c r="B1074" t="str">
        <v>Conceptual Thinking</v>
      </c>
      <c r="C1074" t="str">
        <v>Director</v>
      </c>
      <c r="D1074" s="76">
        <v>3</v>
      </c>
      <c r="E1074" t="str" cm="1">
        <f t="array" ref="E1074">INDEX(aspek!$D$2:$D$337,
   MATCH(1,(aspek!$A$2:$A$337=B1074)*
           (aspek!$B$2:$B$337=C1074)*
           (aspek!$C$2:$C$337=D1074),0))</f>
        <v>Mengubah ketidakpastian menjadi peluang strategis</v>
      </c>
      <c r="F1074" s="76">
        <v>3</v>
      </c>
      <c r="G1074" s="56" t="str" cm="1">
        <f t="array" ref="G1074">INDEX(deskripsi!$D$2:$H$337,
   MATCH(1,(deskripsi!$A$2:$A$337=B1074)*
           (deskripsi!$B$2:$B$337=C1074)*
           (deskripsi!$C$2:$C$337=D1074),0),
   F1074)</f>
        <v>Mengenali peluang, tidak menindaklanjuti.</v>
      </c>
    </row>
    <row r="1075" spans="1:7">
      <c r="A1075" t="str">
        <f t="shared" si="16"/>
        <v>Conceptual Thinking|Director|3|4</v>
      </c>
      <c r="B1075" t="str">
        <v>Conceptual Thinking</v>
      </c>
      <c r="C1075" t="str">
        <v>Director</v>
      </c>
      <c r="D1075" s="76">
        <v>3</v>
      </c>
      <c r="E1075" t="str" cm="1">
        <f t="array" ref="E1075">INDEX(aspek!$D$2:$D$337,
   MATCH(1,(aspek!$A$2:$A$337=B1075)*
           (aspek!$B$2:$B$337=C1075)*
           (aspek!$C$2:$C$337=D1075),0))</f>
        <v>Mengubah ketidakpastian menjadi peluang strategis</v>
      </c>
      <c r="F1075" s="76">
        <v>4</v>
      </c>
      <c r="G1075" s="56" t="str" cm="1">
        <f t="array" ref="G1075">INDEX(deskripsi!$D$2:$H$337,
   MATCH(1,(deskripsi!$A$2:$A$337=B1075)*
           (deskripsi!$B$2:$B$337=C1075)*
           (deskripsi!$C$2:$C$337=D1075),0),
   F1075)</f>
        <v>Merumuskan peluang strategis dan menggerakkan pihak lain menjalankan langkah pertamanya.</v>
      </c>
    </row>
    <row r="1076" spans="1:7">
      <c r="A1076" t="str">
        <f t="shared" si="16"/>
        <v>Conceptual Thinking|Director|3|5</v>
      </c>
      <c r="B1076" t="str">
        <v>Conceptual Thinking</v>
      </c>
      <c r="C1076" t="str">
        <v>Director</v>
      </c>
      <c r="D1076" s="76">
        <v>3</v>
      </c>
      <c r="E1076" t="str" cm="1">
        <f t="array" ref="E1076">INDEX(aspek!$D$2:$D$337,
   MATCH(1,(aspek!$A$2:$A$337=B1076)*
           (aspek!$B$2:$B$337=C1076)*
           (aspek!$C$2:$C$337=D1076),0))</f>
        <v>Mengubah ketidakpastian menjadi peluang strategis</v>
      </c>
      <c r="F1076" s="76">
        <v>5</v>
      </c>
      <c r="G1076" s="56" t="str" cm="1">
        <f t="array" ref="G1076">INDEX(deskripsi!$D$2:$H$337,
   MATCH(1,(deskripsi!$A$2:$A$337=B1076)*
           (deskripsi!$B$2:$B$337=C1076)*
           (deskripsi!$C$2:$C$337=D1076),0),
   F1076)</f>
        <v>Organisasi memperoleh posisi lebih baik justru karena ketidakpastian itu.</v>
      </c>
    </row>
    <row r="1077" spans="1:7">
      <c r="A1077" t="str">
        <f t="shared" si="16"/>
        <v>Conceptual Thinking|Director|4|1</v>
      </c>
      <c r="B1077" t="str">
        <v>Conceptual Thinking</v>
      </c>
      <c r="C1077" t="str">
        <v>Director</v>
      </c>
      <c r="D1077" s="76">
        <v>4</v>
      </c>
      <c r="E1077" t="str" cm="1">
        <f t="array" ref="E1077">INDEX(aspek!$D$2:$D$337,
   MATCH(1,(aspek!$A$2:$A$337=B1077)*
           (aspek!$B$2:$B$337=C1077)*
           (aspek!$C$2:$C$337=D1077),0))</f>
        <v>Mengarahkan keputusan lintas fungsi</v>
      </c>
      <c r="F1077" s="76">
        <v>1</v>
      </c>
      <c r="G1077" s="56" t="str" cm="1">
        <f t="array" ref="G1077">INDEX(deskripsi!$D$2:$H$337,
   MATCH(1,(deskripsi!$A$2:$A$337=B1077)*
           (deskripsi!$B$2:$B$337=C1077)*
           (deskripsi!$C$2:$C$337=D1077),0),
   F1077)</f>
        <v>Membiarkan setiap fungsi memutuskan sendiri tanpa arahan.</v>
      </c>
    </row>
    <row r="1078" spans="1:7">
      <c r="A1078" t="str">
        <f t="shared" si="16"/>
        <v>Conceptual Thinking|Director|4|2</v>
      </c>
      <c r="B1078" t="str">
        <v>Conceptual Thinking</v>
      </c>
      <c r="C1078" t="str">
        <v>Director</v>
      </c>
      <c r="D1078" s="76">
        <v>4</v>
      </c>
      <c r="E1078" t="str" cm="1">
        <f t="array" ref="E1078">INDEX(aspek!$D$2:$D$337,
   MATCH(1,(aspek!$A$2:$A$337=B1078)*
           (aspek!$B$2:$B$337=C1078)*
           (aspek!$C$2:$C$337=D1078),0))</f>
        <v>Mengarahkan keputusan lintas fungsi</v>
      </c>
      <c r="F1078" s="76">
        <v>2</v>
      </c>
      <c r="G1078" s="56" t="str" cm="1">
        <f t="array" ref="G1078">INDEX(deskripsi!$D$2:$H$337,
   MATCH(1,(deskripsi!$A$2:$A$337=B1078)*
           (deskripsi!$B$2:$B$337=C1078)*
           (deskripsi!$C$2:$C$337=D1078),0),
   F1078)</f>
        <v>Mengarahkan hanya fungsinya sendiri.</v>
      </c>
    </row>
    <row r="1079" spans="1:7">
      <c r="A1079" t="str">
        <f t="shared" si="16"/>
        <v>Conceptual Thinking|Director|4|3</v>
      </c>
      <c r="B1079" t="str">
        <v>Conceptual Thinking</v>
      </c>
      <c r="C1079" t="str">
        <v>Director</v>
      </c>
      <c r="D1079" s="76">
        <v>4</v>
      </c>
      <c r="E1079" t="str" cm="1">
        <f t="array" ref="E1079">INDEX(aspek!$D$2:$D$337,
   MATCH(1,(aspek!$A$2:$A$337=B1079)*
           (aspek!$B$2:$B$337=C1079)*
           (aspek!$C$2:$C$337=D1079),0))</f>
        <v>Mengarahkan keputusan lintas fungsi</v>
      </c>
      <c r="F1079" s="76">
        <v>3</v>
      </c>
      <c r="G1079" s="56" t="str" cm="1">
        <f t="array" ref="G1079">INDEX(deskripsi!$D$2:$H$337,
   MATCH(1,(deskripsi!$A$2:$A$337=B1079)*
           (deskripsi!$B$2:$B$337=C1079)*
           (deskripsi!$C$2:$C$337=D1079),0),
   F1079)</f>
        <v>Mengarahkan lintas fungsi pada keputusan yang informasinya lengkap.</v>
      </c>
    </row>
    <row r="1080" spans="1:7">
      <c r="A1080" t="str">
        <f t="shared" si="16"/>
        <v>Conceptual Thinking|Director|4|4</v>
      </c>
      <c r="B1080" t="str">
        <v>Conceptual Thinking</v>
      </c>
      <c r="C1080" t="str">
        <v>Director</v>
      </c>
      <c r="D1080" s="76">
        <v>4</v>
      </c>
      <c r="E1080" t="str" cm="1">
        <f t="array" ref="E1080">INDEX(aspek!$D$2:$D$337,
   MATCH(1,(aspek!$A$2:$A$337=B1080)*
           (aspek!$B$2:$B$337=C1080)*
           (aspek!$C$2:$C$337=D1080),0))</f>
        <v>Mengarahkan keputusan lintas fungsi</v>
      </c>
      <c r="F1080" s="76">
        <v>4</v>
      </c>
      <c r="G1080" s="56" t="str" cm="1">
        <f t="array" ref="G1080">INDEX(deskripsi!$D$2:$H$337,
   MATCH(1,(deskripsi!$A$2:$A$337=B1080)*
           (deskripsi!$B$2:$B$337=C1080)*
           (deskripsi!$C$2:$C$337=D1080),0),
   F1080)</f>
        <v>Mengarahkan dan menyelaraskan keputusan lintas fungsi meski informasi terbatas, dengan mempertimbangkan risiko dan implikasi jangka panjang.</v>
      </c>
    </row>
    <row r="1081" spans="1:7">
      <c r="A1081" t="str">
        <f t="shared" si="16"/>
        <v>Conceptual Thinking|Director|4|5</v>
      </c>
      <c r="B1081" t="str">
        <v>Conceptual Thinking</v>
      </c>
      <c r="C1081" t="str">
        <v>Director</v>
      </c>
      <c r="D1081" s="76">
        <v>4</v>
      </c>
      <c r="E1081" t="str" cm="1">
        <f t="array" ref="E1081">INDEX(aspek!$D$2:$D$337,
   MATCH(1,(aspek!$A$2:$A$337=B1081)*
           (aspek!$B$2:$B$337=C1081)*
           (aspek!$C$2:$C$337=D1081),0))</f>
        <v>Mengarahkan keputusan lintas fungsi</v>
      </c>
      <c r="F1081" s="76">
        <v>5</v>
      </c>
      <c r="G1081" s="56" t="str" cm="1">
        <f t="array" ref="G1081">INDEX(deskripsi!$D$2:$H$337,
   MATCH(1,(deskripsi!$A$2:$A$337=B1081)*
           (deskripsi!$B$2:$B$337=C1081)*
           (deskripsi!$C$2:$C$337=D1081),0),
   F1081)</f>
        <v>Menjadi rujukan cara mengambil keputusan strategis pada ketidakpastian tinggi bagi organisasi.</v>
      </c>
    </row>
    <row r="1082" spans="1:7">
      <c r="A1082" t="str">
        <f t="shared" si="16"/>
        <v>Leadership|Officer|1|1</v>
      </c>
      <c r="B1082" t="str">
        <v>Leadership</v>
      </c>
      <c r="C1082" t="str">
        <v>Officer</v>
      </c>
      <c r="D1082" s="76">
        <v>1</v>
      </c>
      <c r="E1082" t="str" cm="1">
        <f t="array" ref="E1082">INDEX(aspek!$D$2:$D$337,
   MATCH(1,(aspek!$A$2:$A$337=B1082)*
           (aspek!$B$2:$B$337=C1082)*
           (aspek!$C$2:$C$337=D1082),0))</f>
        <v>Jarak antara melihat dan bertindak</v>
      </c>
      <c r="F1082" s="76">
        <v>1</v>
      </c>
      <c r="G1082" s="56" t="str" cm="1">
        <f t="array" ref="G1082">INDEX(deskripsi!$D$2:$H$337,
   MATCH(1,(deskripsi!$A$2:$A$337=B1082)*
           (deskripsi!$B$2:$B$337=C1082)*
           (deskripsi!$C$2:$C$337=D1082),0),
   F1082)</f>
        <v>Menunggu instruksi eksplisit sebelum mengambil peran memimpin.</v>
      </c>
    </row>
    <row r="1083" spans="1:7">
      <c r="A1083" t="str">
        <f t="shared" si="16"/>
        <v>Leadership|Officer|1|2</v>
      </c>
      <c r="B1083" t="str">
        <v>Leadership</v>
      </c>
      <c r="C1083" t="str">
        <v>Officer</v>
      </c>
      <c r="D1083" s="76">
        <v>1</v>
      </c>
      <c r="E1083" t="str" cm="1">
        <f t="array" ref="E1083">INDEX(aspek!$D$2:$D$337,
   MATCH(1,(aspek!$A$2:$A$337=B1083)*
           (aspek!$B$2:$B$337=C1083)*
           (aspek!$C$2:$C$337=D1083),0))</f>
        <v>Jarak antara melihat dan bertindak</v>
      </c>
      <c r="F1083" s="76">
        <v>2</v>
      </c>
      <c r="G1083" s="56" t="str" cm="1">
        <f t="array" ref="G1083">INDEX(deskripsi!$D$2:$H$337,
   MATCH(1,(deskripsi!$A$2:$A$337=B1083)*
           (deskripsi!$B$2:$B$337=C1083)*
           (deskripsi!$C$2:$C$337=D1083),0),
   F1083)</f>
        <v>Melihat kebutuhan, tetapi menunggu persetujuan atau penunjukan.</v>
      </c>
    </row>
    <row r="1084" spans="1:7">
      <c r="A1084" t="str">
        <f t="shared" si="16"/>
        <v>Leadership|Officer|1|3</v>
      </c>
      <c r="B1084" t="str">
        <v>Leadership</v>
      </c>
      <c r="C1084" t="str">
        <v>Officer</v>
      </c>
      <c r="D1084" s="76">
        <v>1</v>
      </c>
      <c r="E1084" t="str" cm="1">
        <f t="array" ref="E1084">INDEX(aspek!$D$2:$D$337,
   MATCH(1,(aspek!$A$2:$A$337=B1084)*
           (aspek!$B$2:$B$337=C1084)*
           (aspek!$C$2:$C$337=D1084),0))</f>
        <v>Jarak antara melihat dan bertindak</v>
      </c>
      <c r="F1084" s="76">
        <v>3</v>
      </c>
      <c r="G1084" s="56" t="str" cm="1">
        <f t="array" ref="G1084">INDEX(deskripsi!$D$2:$H$337,
   MATCH(1,(deskripsi!$A$2:$A$337=B1084)*
           (deskripsi!$B$2:$B$337=C1084)*
           (deskripsi!$C$2:$C$337=D1084),0),
   F1084)</f>
        <v>Berinisiatif mengambil peran memimpin dalam area kerjanya sendiri.</v>
      </c>
    </row>
    <row r="1085" spans="1:7">
      <c r="A1085" t="str">
        <f t="shared" si="16"/>
        <v>Leadership|Officer|1|4</v>
      </c>
      <c r="B1085" t="str">
        <v>Leadership</v>
      </c>
      <c r="C1085" t="str">
        <v>Officer</v>
      </c>
      <c r="D1085" s="76">
        <v>1</v>
      </c>
      <c r="E1085" t="str" cm="1">
        <f t="array" ref="E1085">INDEX(aspek!$D$2:$D$337,
   MATCH(1,(aspek!$A$2:$A$337=B1085)*
           (aspek!$B$2:$B$337=C1085)*
           (aspek!$C$2:$C$337=D1085),0))</f>
        <v>Jarak antara melihat dan bertindak</v>
      </c>
      <c r="F1085" s="76">
        <v>4</v>
      </c>
      <c r="G1085" s="56" t="str" cm="1">
        <f t="array" ref="G1085">INDEX(deskripsi!$D$2:$H$337,
   MATCH(1,(deskripsi!$A$2:$A$337=B1085)*
           (deskripsi!$B$2:$B$337=C1085)*
           (deskripsi!$C$2:$C$337=D1085),0),
   F1085)</f>
        <v>Mengambil peran memimpin sebelum masalah berdampak, mengantisipasi kebutuhan lebih awal.</v>
      </c>
    </row>
    <row r="1086" spans="1:7">
      <c r="A1086" t="str">
        <f t="shared" si="16"/>
        <v>Leadership|Officer|1|5</v>
      </c>
      <c r="B1086" t="str">
        <v>Leadership</v>
      </c>
      <c r="C1086" t="str">
        <v>Officer</v>
      </c>
      <c r="D1086" s="76">
        <v>1</v>
      </c>
      <c r="E1086" t="str" cm="1">
        <f t="array" ref="E1086">INDEX(aspek!$D$2:$D$337,
   MATCH(1,(aspek!$A$2:$A$337=B1086)*
           (aspek!$B$2:$B$337=C1086)*
           (aspek!$C$2:$C$337=D1086),0))</f>
        <v>Jarak antara melihat dan bertindak</v>
      </c>
      <c r="F1086" s="76">
        <v>5</v>
      </c>
      <c r="G1086" s="56" t="str" cm="1">
        <f t="array" ref="G1086">INDEX(deskripsi!$D$2:$H$337,
   MATCH(1,(deskripsi!$A$2:$A$337=B1086)*
           (deskripsi!$B$2:$B$337=C1086)*
           (deskripsi!$C$2:$C$337=D1086),0),
   F1086)</f>
        <v>Menggerakkan orang lain untuk juga berinisiatif memimpin.</v>
      </c>
    </row>
    <row r="1087" spans="1:7">
      <c r="A1087" t="str">
        <f t="shared" si="16"/>
        <v>Leadership|Officer|2|1</v>
      </c>
      <c r="B1087" t="str">
        <v>Leadership</v>
      </c>
      <c r="C1087" t="str">
        <v>Officer</v>
      </c>
      <c r="D1087" s="76">
        <v>2</v>
      </c>
      <c r="E1087" t="str" cm="1">
        <f t="array" ref="E1087">INDEX(aspek!$D$2:$D$337,
   MATCH(1,(aspek!$A$2:$A$337=B1087)*
           (aspek!$B$2:$B$337=C1087)*
           (aspek!$C$2:$C$337=D1087),0))</f>
        <v>Kemandirian memulai</v>
      </c>
      <c r="F1087" s="76">
        <v>1</v>
      </c>
      <c r="G1087" s="56" t="str" cm="1">
        <f t="array" ref="G1087">INDEX(deskripsi!$D$2:$H$337,
   MATCH(1,(deskripsi!$A$2:$A$337=B1087)*
           (deskripsi!$B$2:$B$337=C1087)*
           (deskripsi!$C$2:$C$337=D1087),0),
   F1087)</f>
        <v>Tidak memulai peran memimpin tanpa arahan.</v>
      </c>
    </row>
    <row r="1088" spans="1:7">
      <c r="A1088" t="str">
        <f t="shared" si="16"/>
        <v>Leadership|Officer|2|2</v>
      </c>
      <c r="B1088" t="str">
        <v>Leadership</v>
      </c>
      <c r="C1088" t="str">
        <v>Officer</v>
      </c>
      <c r="D1088" s="76">
        <v>2</v>
      </c>
      <c r="E1088" t="str" cm="1">
        <f t="array" ref="E1088">INDEX(aspek!$D$2:$D$337,
   MATCH(1,(aspek!$A$2:$A$337=B1088)*
           (aspek!$B$2:$B$337=C1088)*
           (aspek!$C$2:$C$337=D1088),0))</f>
        <v>Kemandirian memulai</v>
      </c>
      <c r="F1088" s="76">
        <v>2</v>
      </c>
      <c r="G1088" s="56" t="str" cm="1">
        <f t="array" ref="G1088">INDEX(deskripsi!$D$2:$H$337,
   MATCH(1,(deskripsi!$A$2:$A$337=B1088)*
           (deskripsi!$B$2:$B$337=C1088)*
           (deskripsi!$C$2:$C$337=D1088),0),
   F1088)</f>
        <v>Memulai hanya setelah diyakinkan atau ditunjuk.</v>
      </c>
    </row>
    <row r="1089" spans="1:7">
      <c r="A1089" t="str">
        <f t="shared" si="16"/>
        <v>Leadership|Officer|2|3</v>
      </c>
      <c r="B1089" t="str">
        <v>Leadership</v>
      </c>
      <c r="C1089" t="str">
        <v>Officer</v>
      </c>
      <c r="D1089" s="76">
        <v>2</v>
      </c>
      <c r="E1089" t="str" cm="1">
        <f t="array" ref="E1089">INDEX(aspek!$D$2:$D$337,
   MATCH(1,(aspek!$A$2:$A$337=B1089)*
           (aspek!$B$2:$B$337=C1089)*
           (aspek!$C$2:$C$337=D1089),0))</f>
        <v>Kemandirian memulai</v>
      </c>
      <c r="F1089" s="76">
        <v>3</v>
      </c>
      <c r="G1089" s="56" t="str" cm="1">
        <f t="array" ref="G1089">INDEX(deskripsi!$D$2:$H$337,
   MATCH(1,(deskripsi!$A$2:$A$337=B1089)*
           (deskripsi!$B$2:$B$337=C1089)*
           (deskripsi!$C$2:$C$337=D1089),0),
   F1089)</f>
        <v>Memulai sendiri pada situasi yang familiar.</v>
      </c>
    </row>
    <row r="1090" spans="1:7">
      <c r="A1090" t="str">
        <f t="shared" si="16"/>
        <v>Leadership|Officer|2|4</v>
      </c>
      <c r="B1090" t="str">
        <v>Leadership</v>
      </c>
      <c r="C1090" t="str">
        <v>Officer</v>
      </c>
      <c r="D1090" s="76">
        <v>2</v>
      </c>
      <c r="E1090" t="str" cm="1">
        <f t="array" ref="E1090">INDEX(aspek!$D$2:$D$337,
   MATCH(1,(aspek!$A$2:$A$337=B1090)*
           (aspek!$B$2:$B$337=C1090)*
           (aspek!$C$2:$C$337=D1090),0))</f>
        <v>Kemandirian memulai</v>
      </c>
      <c r="F1090" s="76">
        <v>4</v>
      </c>
      <c r="G1090" s="56" t="str" cm="1">
        <f t="array" ref="G1090">INDEX(deskripsi!$D$2:$H$337,
   MATCH(1,(deskripsi!$A$2:$A$337=B1090)*
           (deskripsi!$B$2:$B$337=C1090)*
           (deskripsi!$C$2:$C$337=D1090),0),
   F1090)</f>
        <v>Memulai sendiri pada situasi baru yang belum familiar.</v>
      </c>
    </row>
    <row r="1091" spans="1:7">
      <c r="A1091" t="str">
        <f t="shared" ref="A1091:A1154" si="17">B1091&amp;"|"&amp;C1091&amp;"|"&amp;D1091&amp;"|"&amp;F1091</f>
        <v>Leadership|Officer|2|5</v>
      </c>
      <c r="B1091" t="str">
        <v>Leadership</v>
      </c>
      <c r="C1091" t="str">
        <v>Officer</v>
      </c>
      <c r="D1091" s="76">
        <v>2</v>
      </c>
      <c r="E1091" t="str" cm="1">
        <f t="array" ref="E1091">INDEX(aspek!$D$2:$D$337,
   MATCH(1,(aspek!$A$2:$A$337=B1091)*
           (aspek!$B$2:$B$337=C1091)*
           (aspek!$C$2:$C$337=D1091),0))</f>
        <v>Kemandirian memulai</v>
      </c>
      <c r="F1091" s="76">
        <v>5</v>
      </c>
      <c r="G1091" s="56" t="str" cm="1">
        <f t="array" ref="G1091">INDEX(deskripsi!$D$2:$H$337,
   MATCH(1,(deskripsi!$A$2:$A$337=B1091)*
           (deskripsi!$B$2:$B$337=C1091)*
           (deskripsi!$C$2:$C$337=D1091),0),
   F1091)</f>
        <v>Menjadi contoh yang membuat orang lain berani mengambil peran memimpin.</v>
      </c>
    </row>
    <row r="1092" spans="1:7">
      <c r="A1092" t="str">
        <f t="shared" si="17"/>
        <v>Leadership|Officer|3|1</v>
      </c>
      <c r="B1092" t="str">
        <v>Leadership</v>
      </c>
      <c r="C1092" t="str">
        <v>Officer</v>
      </c>
      <c r="D1092" s="76">
        <v>3</v>
      </c>
      <c r="E1092" t="str" cm="1">
        <f t="array" ref="E1092">INDEX(aspek!$D$2:$D$337,
   MATCH(1,(aspek!$A$2:$A$337=B1092)*
           (aspek!$B$2:$B$337=C1092)*
           (aspek!$C$2:$C$337=D1092),0))</f>
        <v>Ketepatan momen</v>
      </c>
      <c r="F1092" s="76">
        <v>1</v>
      </c>
      <c r="G1092" s="56" t="str" cm="1">
        <f t="array" ref="G1092">INDEX(deskripsi!$D$2:$H$337,
   MATCH(1,(deskripsi!$A$2:$A$337=B1092)*
           (deskripsi!$B$2:$B$337=C1092)*
           (deskripsi!$C$2:$C$337=D1092),0),
   F1092)</f>
        <v>Bertindak setelah masalah terjadi dan terlihat jelas.</v>
      </c>
    </row>
    <row r="1093" spans="1:7">
      <c r="A1093" t="str">
        <f t="shared" si="17"/>
        <v>Leadership|Officer|3|2</v>
      </c>
      <c r="B1093" t="str">
        <v>Leadership</v>
      </c>
      <c r="C1093" t="str">
        <v>Officer</v>
      </c>
      <c r="D1093" s="76">
        <v>3</v>
      </c>
      <c r="E1093" t="str" cm="1">
        <f t="array" ref="E1093">INDEX(aspek!$D$2:$D$337,
   MATCH(1,(aspek!$A$2:$A$337=B1093)*
           (aspek!$B$2:$B$337=C1093)*
           (aspek!$C$2:$C$337=D1093),0))</f>
        <v>Ketepatan momen</v>
      </c>
      <c r="F1093" s="76">
        <v>2</v>
      </c>
      <c r="G1093" s="56" t="str" cm="1">
        <f t="array" ref="G1093">INDEX(deskripsi!$D$2:$H$337,
   MATCH(1,(deskripsi!$A$2:$A$337=B1093)*
           (deskripsi!$B$2:$B$337=C1093)*
           (deskripsi!$C$2:$C$337=D1093),0),
   F1093)</f>
        <v>Menyadari potensi masalah, tidak bertindak sebelum terjadi.</v>
      </c>
    </row>
    <row r="1094" spans="1:7">
      <c r="A1094" t="str">
        <f t="shared" si="17"/>
        <v>Leadership|Officer|3|3</v>
      </c>
      <c r="B1094" t="str">
        <v>Leadership</v>
      </c>
      <c r="C1094" t="str">
        <v>Officer</v>
      </c>
      <c r="D1094" s="76">
        <v>3</v>
      </c>
      <c r="E1094" t="str" cm="1">
        <f t="array" ref="E1094">INDEX(aspek!$D$2:$D$337,
   MATCH(1,(aspek!$A$2:$A$337=B1094)*
           (aspek!$B$2:$B$337=C1094)*
           (aspek!$C$2:$C$337=D1094),0))</f>
        <v>Ketepatan momen</v>
      </c>
      <c r="F1094" s="76">
        <v>3</v>
      </c>
      <c r="G1094" s="56" t="str" cm="1">
        <f t="array" ref="G1094">INDEX(deskripsi!$D$2:$H$337,
   MATCH(1,(deskripsi!$A$2:$A$337=B1094)*
           (deskripsi!$B$2:$B$337=C1094)*
           (deskripsi!$C$2:$C$337=D1094),0),
   F1094)</f>
        <v>Bertindak mencegah masalah yang sudah sering terjadi.</v>
      </c>
    </row>
    <row r="1095" spans="1:7">
      <c r="A1095" t="str">
        <f t="shared" si="17"/>
        <v>Leadership|Officer|3|4</v>
      </c>
      <c r="B1095" t="str">
        <v>Leadership</v>
      </c>
      <c r="C1095" t="str">
        <v>Officer</v>
      </c>
      <c r="D1095" s="76">
        <v>3</v>
      </c>
      <c r="E1095" t="str" cm="1">
        <f t="array" ref="E1095">INDEX(aspek!$D$2:$D$337,
   MATCH(1,(aspek!$A$2:$A$337=B1095)*
           (aspek!$B$2:$B$337=C1095)*
           (aspek!$C$2:$C$337=D1095),0))</f>
        <v>Ketepatan momen</v>
      </c>
      <c r="F1095" s="76">
        <v>4</v>
      </c>
      <c r="G1095" s="56" t="str" cm="1">
        <f t="array" ref="G1095">INDEX(deskripsi!$D$2:$H$337,
   MATCH(1,(deskripsi!$A$2:$A$337=B1095)*
           (deskripsi!$B$2:$B$337=C1095)*
           (deskripsi!$C$2:$C$337=D1095),0),
   F1095)</f>
        <v>Bertindak mencegah kebutuhan kepemimpinan yang belum terjadi berdasarkan tanda awal.</v>
      </c>
    </row>
    <row r="1096" spans="1:7">
      <c r="A1096" t="str">
        <f t="shared" si="17"/>
        <v>Leadership|Officer|3|5</v>
      </c>
      <c r="B1096" t="str">
        <v>Leadership</v>
      </c>
      <c r="C1096" t="str">
        <v>Officer</v>
      </c>
      <c r="D1096" s="76">
        <v>3</v>
      </c>
      <c r="E1096" t="str" cm="1">
        <f t="array" ref="E1096">INDEX(aspek!$D$2:$D$337,
   MATCH(1,(aspek!$A$2:$A$337=B1096)*
           (aspek!$B$2:$B$337=C1096)*
           (aspek!$C$2:$C$337=D1096),0))</f>
        <v>Ketepatan momen</v>
      </c>
      <c r="F1096" s="76">
        <v>5</v>
      </c>
      <c r="G1096" s="56" t="str" cm="1">
        <f t="array" ref="G1096">INDEX(deskripsi!$D$2:$H$337,
   MATCH(1,(deskripsi!$A$2:$A$337=B1096)*
           (deskripsi!$B$2:$B$337=C1096)*
           (deskripsi!$C$2:$C$337=D1096),0),
   F1096)</f>
        <v>Antisipasinya menjadi kebiasaan yang diikuti tim.</v>
      </c>
    </row>
    <row r="1097" spans="1:7">
      <c r="A1097" t="str">
        <f t="shared" si="17"/>
        <v>Leadership|Officer|4|1</v>
      </c>
      <c r="B1097" t="str">
        <v>Leadership</v>
      </c>
      <c r="C1097" t="str">
        <v>Officer</v>
      </c>
      <c r="D1097" s="76">
        <v>4</v>
      </c>
      <c r="E1097" t="str" cm="1">
        <f t="array" ref="E1097">INDEX(aspek!$D$2:$D$337,
   MATCH(1,(aspek!$A$2:$A$337=B1097)*
           (aspek!$B$2:$B$337=C1097)*
           (aspek!$C$2:$C$337=D1097),0))</f>
        <v>Kepercayaan diri yang dipersepsikan</v>
      </c>
      <c r="F1097" s="76">
        <v>1</v>
      </c>
      <c r="G1097" s="56" t="str" cm="1">
        <f t="array" ref="G1097">INDEX(deskripsi!$D$2:$H$337,
   MATCH(1,(deskripsi!$A$2:$A$337=B1097)*
           (deskripsi!$B$2:$B$337=C1097)*
           (deskripsi!$C$2:$C$337=D1097),0),
   F1097)</f>
        <v>Ragu-ragu terlihat jelas saat mengambil peran memimpin.</v>
      </c>
    </row>
    <row r="1098" spans="1:7">
      <c r="A1098" t="str">
        <f t="shared" si="17"/>
        <v>Leadership|Officer|4|2</v>
      </c>
      <c r="B1098" t="str">
        <v>Leadership</v>
      </c>
      <c r="C1098" t="str">
        <v>Officer</v>
      </c>
      <c r="D1098" s="76">
        <v>4</v>
      </c>
      <c r="E1098" t="str" cm="1">
        <f t="array" ref="E1098">INDEX(aspek!$D$2:$D$337,
   MATCH(1,(aspek!$A$2:$A$337=B1098)*
           (aspek!$B$2:$B$337=C1098)*
           (aspek!$C$2:$C$337=D1098),0))</f>
        <v>Kepercayaan diri yang dipersepsikan</v>
      </c>
      <c r="F1098" s="76">
        <v>2</v>
      </c>
      <c r="G1098" s="56" t="str" cm="1">
        <f t="array" ref="G1098">INDEX(deskripsi!$D$2:$H$337,
   MATCH(1,(deskripsi!$A$2:$A$337=B1098)*
           (deskripsi!$B$2:$B$337=C1098)*
           (deskripsi!$C$2:$C$337=D1098),0),
   F1098)</f>
        <v>Mengambil peran dengan ragu, sering meminta persetujuan.</v>
      </c>
    </row>
    <row r="1099" spans="1:7">
      <c r="A1099" t="str">
        <f t="shared" si="17"/>
        <v>Leadership|Officer|4|3</v>
      </c>
      <c r="B1099" t="str">
        <v>Leadership</v>
      </c>
      <c r="C1099" t="str">
        <v>Officer</v>
      </c>
      <c r="D1099" s="76">
        <v>4</v>
      </c>
      <c r="E1099" t="str" cm="1">
        <f t="array" ref="E1099">INDEX(aspek!$D$2:$D$337,
   MATCH(1,(aspek!$A$2:$A$337=B1099)*
           (aspek!$B$2:$B$337=C1099)*
           (aspek!$C$2:$C$337=D1099),0))</f>
        <v>Kepercayaan diri yang dipersepsikan</v>
      </c>
      <c r="F1099" s="76">
        <v>3</v>
      </c>
      <c r="G1099" s="56" t="str" cm="1">
        <f t="array" ref="G1099">INDEX(deskripsi!$D$2:$H$337,
   MATCH(1,(deskripsi!$A$2:$A$337=B1099)*
           (deskripsi!$B$2:$B$337=C1099)*
           (deskripsi!$C$2:$C$337=D1099),0),
   F1099)</f>
        <v>Mengambil peran cukup percaya diri pada situasi familiar.</v>
      </c>
    </row>
    <row r="1100" spans="1:7">
      <c r="A1100" t="str">
        <f t="shared" si="17"/>
        <v>Leadership|Officer|4|4</v>
      </c>
      <c r="B1100" t="str">
        <v>Leadership</v>
      </c>
      <c r="C1100" t="str">
        <v>Officer</v>
      </c>
      <c r="D1100" s="76">
        <v>4</v>
      </c>
      <c r="E1100" t="str" cm="1">
        <f t="array" ref="E1100">INDEX(aspek!$D$2:$D$337,
   MATCH(1,(aspek!$A$2:$A$337=B1100)*
           (aspek!$B$2:$B$337=C1100)*
           (aspek!$C$2:$C$337=D1100),0))</f>
        <v>Kepercayaan diri yang dipersepsikan</v>
      </c>
      <c r="F1100" s="76">
        <v>4</v>
      </c>
      <c r="G1100" s="56" t="str" cm="1">
        <f t="array" ref="G1100">INDEX(deskripsi!$D$2:$H$337,
   MATCH(1,(deskripsi!$A$2:$A$337=B1100)*
           (deskripsi!$B$2:$B$337=C1100)*
           (deskripsi!$C$2:$C$337=D1100),0),
   F1100)</f>
        <v>Mengambil peran memimpin dengan percaya diri, dipersepsikan pantas oleh tim.</v>
      </c>
    </row>
    <row r="1101" spans="1:7">
      <c r="A1101" t="str">
        <f t="shared" si="17"/>
        <v>Leadership|Officer|4|5</v>
      </c>
      <c r="B1101" t="str">
        <v>Leadership</v>
      </c>
      <c r="C1101" t="str">
        <v>Officer</v>
      </c>
      <c r="D1101" s="76">
        <v>4</v>
      </c>
      <c r="E1101" t="str" cm="1">
        <f t="array" ref="E1101">INDEX(aspek!$D$2:$D$337,
   MATCH(1,(aspek!$A$2:$A$337=B1101)*
           (aspek!$B$2:$B$337=C1101)*
           (aspek!$C$2:$C$337=D1101),0))</f>
        <v>Kepercayaan diri yang dipersepsikan</v>
      </c>
      <c r="F1101" s="76">
        <v>5</v>
      </c>
      <c r="G1101" s="56" t="str" cm="1">
        <f t="array" ref="G1101">INDEX(deskripsi!$D$2:$H$337,
   MATCH(1,(deskripsi!$A$2:$A$337=B1101)*
           (deskripsi!$B$2:$B$337=C1101)*
           (deskripsi!$C$2:$C$337=D1101),0),
   F1101)</f>
        <v>Dipercaya tim untuk mengambil peran memimpin tanpa dipertanyakan.</v>
      </c>
    </row>
    <row r="1102" spans="1:7">
      <c r="A1102" t="str">
        <f t="shared" si="17"/>
        <v>Leadership|Analyst|1|1</v>
      </c>
      <c r="B1102" t="str">
        <v>Leadership</v>
      </c>
      <c r="C1102" t="str">
        <v>Analyst</v>
      </c>
      <c r="D1102" s="76">
        <v>1</v>
      </c>
      <c r="E1102" t="str" cm="1">
        <f t="array" ref="E1102">INDEX(aspek!$D$2:$D$337,
   MATCH(1,(aspek!$A$2:$A$337=B1102)*
           (aspek!$B$2:$B$337=C1102)*
           (aspek!$C$2:$C$337=D1102),0))</f>
        <v>Dasar pengurutan pekerjaan tim</v>
      </c>
      <c r="F1102" s="76">
        <v>1</v>
      </c>
      <c r="G1102" s="56" t="str" cm="1">
        <f t="array" ref="G1102">INDEX(deskripsi!$D$2:$H$337,
   MATCH(1,(deskripsi!$A$2:$A$337=B1102)*
           (deskripsi!$B$2:$B$337=C1102)*
           (deskripsi!$C$2:$C$337=D1102),0),
   F1102)</f>
        <v>Mengurutkan berdasarkan yang datang lebih dulu.</v>
      </c>
    </row>
    <row r="1103" spans="1:7">
      <c r="A1103" t="str">
        <f t="shared" si="17"/>
        <v>Leadership|Analyst|1|2</v>
      </c>
      <c r="B1103" t="str">
        <v>Leadership</v>
      </c>
      <c r="C1103" t="str">
        <v>Analyst</v>
      </c>
      <c r="D1103" s="76">
        <v>1</v>
      </c>
      <c r="E1103" t="str" cm="1">
        <f t="array" ref="E1103">INDEX(aspek!$D$2:$D$337,
   MATCH(1,(aspek!$A$2:$A$337=B1103)*
           (aspek!$B$2:$B$337=C1103)*
           (aspek!$C$2:$C$337=D1103),0))</f>
        <v>Dasar pengurutan pekerjaan tim</v>
      </c>
      <c r="F1103" s="76">
        <v>2</v>
      </c>
      <c r="G1103" s="56" t="str" cm="1">
        <f t="array" ref="G1103">INDEX(deskripsi!$D$2:$H$337,
   MATCH(1,(deskripsi!$A$2:$A$337=B1103)*
           (deskripsi!$B$2:$B$337=C1103)*
           (deskripsi!$C$2:$C$337=D1103),0),
   F1103)</f>
        <v>Mengurutkan berdasarkan kemudahan.</v>
      </c>
    </row>
    <row r="1104" spans="1:7">
      <c r="A1104" t="str">
        <f t="shared" si="17"/>
        <v>Leadership|Analyst|1|3</v>
      </c>
      <c r="B1104" t="str">
        <v>Leadership</v>
      </c>
      <c r="C1104" t="str">
        <v>Analyst</v>
      </c>
      <c r="D1104" s="76">
        <v>1</v>
      </c>
      <c r="E1104" t="str" cm="1">
        <f t="array" ref="E1104">INDEX(aspek!$D$2:$D$337,
   MATCH(1,(aspek!$A$2:$A$337=B1104)*
           (aspek!$B$2:$B$337=C1104)*
           (aspek!$C$2:$C$337=D1104),0))</f>
        <v>Dasar pengurutan pekerjaan tim</v>
      </c>
      <c r="F1104" s="76">
        <v>3</v>
      </c>
      <c r="G1104" s="56" t="str" cm="1">
        <f t="array" ref="G1104">INDEX(deskripsi!$D$2:$H$337,
   MATCH(1,(deskripsi!$A$2:$A$337=B1104)*
           (deskripsi!$B$2:$B$337=C1104)*
           (deskripsi!$C$2:$C$337=D1104),0),
   F1104)</f>
        <v>Mengurutkan berdasarkan tenggat dan tingkat kepentingan.</v>
      </c>
    </row>
    <row r="1105" spans="1:7">
      <c r="A1105" t="str">
        <f t="shared" si="17"/>
        <v>Leadership|Analyst|1|4</v>
      </c>
      <c r="B1105" t="str">
        <v>Leadership</v>
      </c>
      <c r="C1105" t="str">
        <v>Analyst</v>
      </c>
      <c r="D1105" s="76">
        <v>1</v>
      </c>
      <c r="E1105" t="str" cm="1">
        <f t="array" ref="E1105">INDEX(aspek!$D$2:$D$337,
   MATCH(1,(aspek!$A$2:$A$337=B1105)*
           (aspek!$B$2:$B$337=C1105)*
           (aspek!$C$2:$C$337=D1105),0))</f>
        <v>Dasar pengurutan pekerjaan tim</v>
      </c>
      <c r="F1105" s="76">
        <v>4</v>
      </c>
      <c r="G1105" s="56" t="str" cm="1">
        <f t="array" ref="G1105">INDEX(deskripsi!$D$2:$H$337,
   MATCH(1,(deskripsi!$A$2:$A$337=B1105)*
           (deskripsi!$B$2:$B$337=C1105)*
           (deskripsi!$C$2:$C$337=D1105),0),
   F1105)</f>
        <v>Mengurutkan dengan mempertimbangkan keterkaitan antar tugas dan ketergantungan.</v>
      </c>
    </row>
    <row r="1106" spans="1:7">
      <c r="A1106" t="str">
        <f t="shared" si="17"/>
        <v>Leadership|Analyst|1|5</v>
      </c>
      <c r="B1106" t="str">
        <v>Leadership</v>
      </c>
      <c r="C1106" t="str">
        <v>Analyst</v>
      </c>
      <c r="D1106" s="76">
        <v>1</v>
      </c>
      <c r="E1106" t="str" cm="1">
        <f t="array" ref="E1106">INDEX(aspek!$D$2:$D$337,
   MATCH(1,(aspek!$A$2:$A$337=B1106)*
           (aspek!$B$2:$B$337=C1106)*
           (aspek!$C$2:$C$337=D1106),0))</f>
        <v>Dasar pengurutan pekerjaan tim</v>
      </c>
      <c r="F1106" s="76">
        <v>5</v>
      </c>
      <c r="G1106" s="56" t="str" cm="1">
        <f t="array" ref="G1106">INDEX(deskripsi!$D$2:$H$337,
   MATCH(1,(deskripsi!$A$2:$A$337=B1106)*
           (deskripsi!$B$2:$B$337=C1106)*
           (deskripsi!$C$2:$C$337=D1106),0),
   F1106)</f>
        <v>Mengurutkan berdasarkan dampak terhadap tujuan besar, ditinjau ulang saat berubah.</v>
      </c>
    </row>
    <row r="1107" spans="1:7">
      <c r="A1107" t="str">
        <f t="shared" si="17"/>
        <v>Leadership|Analyst|2|1</v>
      </c>
      <c r="B1107" t="str">
        <v>Leadership</v>
      </c>
      <c r="C1107" t="str">
        <v>Analyst</v>
      </c>
      <c r="D1107" s="76">
        <v>2</v>
      </c>
      <c r="E1107" t="str" cm="1">
        <f t="array" ref="E1107">INDEX(aspek!$D$2:$D$337,
   MATCH(1,(aspek!$A$2:$A$337=B1107)*
           (aspek!$B$2:$B$337=C1107)*
           (aspek!$C$2:$C$337=D1107),0))</f>
        <v>Komunikasi prioritas kepada tim</v>
      </c>
      <c r="F1107" s="76">
        <v>1</v>
      </c>
      <c r="G1107" s="56" t="str" cm="1">
        <f t="array" ref="G1107">INDEX(deskripsi!$D$2:$H$337,
   MATCH(1,(deskripsi!$A$2:$A$337=B1107)*
           (deskripsi!$B$2:$B$337=C1107)*
           (deskripsi!$C$2:$C$337=D1107),0),
   F1107)</f>
        <v>Tim tidak tahu dasar urutan prioritas.</v>
      </c>
    </row>
    <row r="1108" spans="1:7">
      <c r="A1108" t="str">
        <f t="shared" si="17"/>
        <v>Leadership|Analyst|2|2</v>
      </c>
      <c r="B1108" t="str">
        <v>Leadership</v>
      </c>
      <c r="C1108" t="str">
        <v>Analyst</v>
      </c>
      <c r="D1108" s="76">
        <v>2</v>
      </c>
      <c r="E1108" t="str" cm="1">
        <f t="array" ref="E1108">INDEX(aspek!$D$2:$D$337,
   MATCH(1,(aspek!$A$2:$A$337=B1108)*
           (aspek!$B$2:$B$337=C1108)*
           (aspek!$C$2:$C$337=D1108),0))</f>
        <v>Komunikasi prioritas kepada tim</v>
      </c>
      <c r="F1108" s="76">
        <v>2</v>
      </c>
      <c r="G1108" s="56" t="str" cm="1">
        <f t="array" ref="G1108">INDEX(deskripsi!$D$2:$H$337,
   MATCH(1,(deskripsi!$A$2:$A$337=B1108)*
           (deskripsi!$B$2:$B$337=C1108)*
           (deskripsi!$C$2:$C$337=D1108),0),
   F1108)</f>
        <v>Prioritas disampaikan tanpa alasan.</v>
      </c>
    </row>
    <row r="1109" spans="1:7">
      <c r="A1109" t="str">
        <f t="shared" si="17"/>
        <v>Leadership|Analyst|2|3</v>
      </c>
      <c r="B1109" t="str">
        <v>Leadership</v>
      </c>
      <c r="C1109" t="str">
        <v>Analyst</v>
      </c>
      <c r="D1109" s="76">
        <v>2</v>
      </c>
      <c r="E1109" t="str" cm="1">
        <f t="array" ref="E1109">INDEX(aspek!$D$2:$D$337,
   MATCH(1,(aspek!$A$2:$A$337=B1109)*
           (aspek!$B$2:$B$337=C1109)*
           (aspek!$C$2:$C$337=D1109),0))</f>
        <v>Komunikasi prioritas kepada tim</v>
      </c>
      <c r="F1109" s="76">
        <v>3</v>
      </c>
      <c r="G1109" s="56" t="str" cm="1">
        <f t="array" ref="G1109">INDEX(deskripsi!$D$2:$H$337,
   MATCH(1,(deskripsi!$A$2:$A$337=B1109)*
           (deskripsi!$B$2:$B$337=C1109)*
           (deskripsi!$C$2:$C$337=D1109),0),
   F1109)</f>
        <v>Alasan disampaikan pada permintaan penting.</v>
      </c>
    </row>
    <row r="1110" spans="1:7">
      <c r="A1110" t="str">
        <f t="shared" si="17"/>
        <v>Leadership|Analyst|2|4</v>
      </c>
      <c r="B1110" t="str">
        <v>Leadership</v>
      </c>
      <c r="C1110" t="str">
        <v>Analyst</v>
      </c>
      <c r="D1110" s="76">
        <v>2</v>
      </c>
      <c r="E1110" t="str" cm="1">
        <f t="array" ref="E1110">INDEX(aspek!$D$2:$D$337,
   MATCH(1,(aspek!$A$2:$A$337=B1110)*
           (aspek!$B$2:$B$337=C1110)*
           (aspek!$C$2:$C$337=D1110),0))</f>
        <v>Komunikasi prioritas kepada tim</v>
      </c>
      <c r="F1110" s="76">
        <v>4</v>
      </c>
      <c r="G1110" s="56" t="str" cm="1">
        <f t="array" ref="G1110">INDEX(deskripsi!$D$2:$H$337,
   MATCH(1,(deskripsi!$A$2:$A$337=B1110)*
           (deskripsi!$B$2:$B$337=C1110)*
           (deskripsi!$C$2:$C$337=D1110),0),
   F1110)</f>
        <v>Alasan prioritas dikomunikasikan jelas pada hampir seluruh keputusan, tim tidak perlu terus bertanya.</v>
      </c>
    </row>
    <row r="1111" spans="1:7">
      <c r="A1111" t="str">
        <f t="shared" si="17"/>
        <v>Leadership|Analyst|2|5</v>
      </c>
      <c r="B1111" t="str">
        <v>Leadership</v>
      </c>
      <c r="C1111" t="str">
        <v>Analyst</v>
      </c>
      <c r="D1111" s="76">
        <v>2</v>
      </c>
      <c r="E1111" t="str" cm="1">
        <f t="array" ref="E1111">INDEX(aspek!$D$2:$D$337,
   MATCH(1,(aspek!$A$2:$A$337=B1111)*
           (aspek!$B$2:$B$337=C1111)*
           (aspek!$C$2:$C$337=D1111),0))</f>
        <v>Komunikasi prioritas kepada tim</v>
      </c>
      <c r="F1111" s="76">
        <v>5</v>
      </c>
      <c r="G1111" s="56" t="str" cm="1">
        <f t="array" ref="G1111">INDEX(deskripsi!$D$2:$H$337,
   MATCH(1,(deskripsi!$A$2:$A$337=B1111)*
           (deskripsi!$B$2:$B$337=C1111)*
           (deskripsi!$C$2:$C$337=D1111),0),
   F1111)</f>
        <v>Cara komunikasinya menjadi model bagi pemimpin lain.</v>
      </c>
    </row>
    <row r="1112" spans="1:7">
      <c r="A1112" t="str">
        <f t="shared" si="17"/>
        <v>Leadership|Analyst|3|1</v>
      </c>
      <c r="B1112" t="str">
        <v>Leadership</v>
      </c>
      <c r="C1112" t="str">
        <v>Analyst</v>
      </c>
      <c r="D1112" s="76">
        <v>3</v>
      </c>
      <c r="E1112" t="str" cm="1">
        <f t="array" ref="E1112">INDEX(aspek!$D$2:$D$337,
   MATCH(1,(aspek!$A$2:$A$337=B1112)*
           (aspek!$B$2:$B$337=C1112)*
           (aspek!$C$2:$C$337=D1112),0))</f>
        <v>Kesediaan meninjau ulang</v>
      </c>
      <c r="F1112" s="76">
        <v>1</v>
      </c>
      <c r="G1112" s="56" t="str" cm="1">
        <f t="array" ref="G1112">INDEX(deskripsi!$D$2:$H$337,
   MATCH(1,(deskripsi!$A$2:$A$337=B1112)*
           (deskripsi!$B$2:$B$337=C1112)*
           (deskripsi!$C$2:$C$337=D1112),0),
   F1112)</f>
        <v>Bertahan pada urutan lama meski situasi berubah.</v>
      </c>
    </row>
    <row r="1113" spans="1:7">
      <c r="A1113" t="str">
        <f t="shared" si="17"/>
        <v>Leadership|Analyst|3|2</v>
      </c>
      <c r="B1113" t="str">
        <v>Leadership</v>
      </c>
      <c r="C1113" t="str">
        <v>Analyst</v>
      </c>
      <c r="D1113" s="76">
        <v>3</v>
      </c>
      <c r="E1113" t="str" cm="1">
        <f t="array" ref="E1113">INDEX(aspek!$D$2:$D$337,
   MATCH(1,(aspek!$A$2:$A$337=B1113)*
           (aspek!$B$2:$B$337=C1113)*
           (aspek!$C$2:$C$337=D1113),0))</f>
        <v>Kesediaan meninjau ulang</v>
      </c>
      <c r="F1113" s="76">
        <v>2</v>
      </c>
      <c r="G1113" s="56" t="str" cm="1">
        <f t="array" ref="G1113">INDEX(deskripsi!$D$2:$H$337,
   MATCH(1,(deskripsi!$A$2:$A$337=B1113)*
           (deskripsi!$B$2:$B$337=C1113)*
           (deskripsi!$C$2:$C$337=D1113),0),
   F1113)</f>
        <v>Meninjau ulang hanya ketika diperintahkan.</v>
      </c>
    </row>
    <row r="1114" spans="1:7">
      <c r="A1114" t="str">
        <f t="shared" si="17"/>
        <v>Leadership|Analyst|3|3</v>
      </c>
      <c r="B1114" t="str">
        <v>Leadership</v>
      </c>
      <c r="C1114" t="str">
        <v>Analyst</v>
      </c>
      <c r="D1114" s="76">
        <v>3</v>
      </c>
      <c r="E1114" t="str" cm="1">
        <f t="array" ref="E1114">INDEX(aspek!$D$2:$D$337,
   MATCH(1,(aspek!$A$2:$A$337=B1114)*
           (aspek!$B$2:$B$337=C1114)*
           (aspek!$C$2:$C$337=D1114),0))</f>
        <v>Kesediaan meninjau ulang</v>
      </c>
      <c r="F1114" s="76">
        <v>3</v>
      </c>
      <c r="G1114" s="56" t="str" cm="1">
        <f t="array" ref="G1114">INDEX(deskripsi!$D$2:$H$337,
   MATCH(1,(deskripsi!$A$2:$A$337=B1114)*
           (deskripsi!$B$2:$B$337=C1114)*
           (deskripsi!$C$2:$C$337=D1114),0),
   F1114)</f>
        <v>Meninjau ulang pada perubahan yang jelas.</v>
      </c>
    </row>
    <row r="1115" spans="1:7">
      <c r="A1115" t="str">
        <f t="shared" si="17"/>
        <v>Leadership|Analyst|3|4</v>
      </c>
      <c r="B1115" t="str">
        <v>Leadership</v>
      </c>
      <c r="C1115" t="str">
        <v>Analyst</v>
      </c>
      <c r="D1115" s="76">
        <v>3</v>
      </c>
      <c r="E1115" t="str" cm="1">
        <f t="array" ref="E1115">INDEX(aspek!$D$2:$D$337,
   MATCH(1,(aspek!$A$2:$A$337=B1115)*
           (aspek!$B$2:$B$337=C1115)*
           (aspek!$C$2:$C$337=D1115),0))</f>
        <v>Kesediaan meninjau ulang</v>
      </c>
      <c r="F1115" s="76">
        <v>4</v>
      </c>
      <c r="G1115" s="56" t="str" cm="1">
        <f t="array" ref="G1115">INDEX(deskripsi!$D$2:$H$337,
   MATCH(1,(deskripsi!$A$2:$A$337=B1115)*
           (deskripsi!$B$2:$B$337=C1115)*
           (deskripsi!$C$2:$C$337=D1115),0),
   F1115)</f>
        <v>Meninjau ulang secara proaktif dan mengkomunikasikannya kepada tim.</v>
      </c>
    </row>
    <row r="1116" spans="1:7">
      <c r="A1116" t="str">
        <f t="shared" si="17"/>
        <v>Leadership|Analyst|3|5</v>
      </c>
      <c r="B1116" t="str">
        <v>Leadership</v>
      </c>
      <c r="C1116" t="str">
        <v>Analyst</v>
      </c>
      <c r="D1116" s="76">
        <v>3</v>
      </c>
      <c r="E1116" t="str" cm="1">
        <f t="array" ref="E1116">INDEX(aspek!$D$2:$D$337,
   MATCH(1,(aspek!$A$2:$A$337=B1116)*
           (aspek!$B$2:$B$337=C1116)*
           (aspek!$C$2:$C$337=D1116),0))</f>
        <v>Kesediaan meninjau ulang</v>
      </c>
      <c r="F1116" s="76">
        <v>5</v>
      </c>
      <c r="G1116" s="56" t="str" cm="1">
        <f t="array" ref="G1116">INDEX(deskripsi!$D$2:$H$337,
   MATCH(1,(deskripsi!$A$2:$A$337=B1116)*
           (deskripsi!$B$2:$B$337=C1116)*
           (deskripsi!$C$2:$C$337=D1116),0),
   F1116)</f>
        <v>Peninjauan ulangnya menjadi kebiasaan yang membuat tim tetap adaptif.</v>
      </c>
    </row>
    <row r="1117" spans="1:7">
      <c r="A1117" t="str">
        <f t="shared" si="17"/>
        <v>Leadership|Analyst|4|1</v>
      </c>
      <c r="B1117" t="str">
        <v>Leadership</v>
      </c>
      <c r="C1117" t="str">
        <v>Analyst</v>
      </c>
      <c r="D1117" s="76">
        <v>4</v>
      </c>
      <c r="E1117" t="str" cm="1">
        <f t="array" ref="E1117">INDEX(aspek!$D$2:$D$337,
   MATCH(1,(aspek!$A$2:$A$337=B1117)*
           (aspek!$B$2:$B$337=C1117)*
           (aspek!$C$2:$C$337=D1117),0))</f>
        <v>Mengurangi pengambilalihan tugas</v>
      </c>
      <c r="F1117" s="76">
        <v>1</v>
      </c>
      <c r="G1117" s="56" t="str" cm="1">
        <f t="array" ref="G1117">INDEX(deskripsi!$D$2:$H$337,
   MATCH(1,(deskripsi!$A$2:$A$337=B1117)*
           (deskripsi!$B$2:$B$337=C1117)*
           (deskripsi!$C$2:$C$337=D1117),0),
   F1117)</f>
        <v>Sering mengambil alih tugas tim karena prioritas tidak jelas.</v>
      </c>
    </row>
    <row r="1118" spans="1:7">
      <c r="A1118" t="str">
        <f t="shared" si="17"/>
        <v>Leadership|Analyst|4|2</v>
      </c>
      <c r="B1118" t="str">
        <v>Leadership</v>
      </c>
      <c r="C1118" t="str">
        <v>Analyst</v>
      </c>
      <c r="D1118" s="76">
        <v>4</v>
      </c>
      <c r="E1118" t="str" cm="1">
        <f t="array" ref="E1118">INDEX(aspek!$D$2:$D$337,
   MATCH(1,(aspek!$A$2:$A$337=B1118)*
           (aspek!$B$2:$B$337=C1118)*
           (aspek!$C$2:$C$337=D1118),0))</f>
        <v>Mengurangi pengambilalihan tugas</v>
      </c>
      <c r="F1118" s="76">
        <v>2</v>
      </c>
      <c r="G1118" s="56" t="str" cm="1">
        <f t="array" ref="G1118">INDEX(deskripsi!$D$2:$H$337,
   MATCH(1,(deskripsi!$A$2:$A$337=B1118)*
           (deskripsi!$B$2:$B$337=C1118)*
           (deskripsi!$C$2:$C$337=D1118),0),
   F1118)</f>
        <v>Mengambil alih pada sebagian tugas penting.</v>
      </c>
    </row>
    <row r="1119" spans="1:7">
      <c r="A1119" t="str">
        <f t="shared" si="17"/>
        <v>Leadership|Analyst|4|3</v>
      </c>
      <c r="B1119" t="str">
        <v>Leadership</v>
      </c>
      <c r="C1119" t="str">
        <v>Analyst</v>
      </c>
      <c r="D1119" s="76">
        <v>4</v>
      </c>
      <c r="E1119" t="str" cm="1">
        <f t="array" ref="E1119">INDEX(aspek!$D$2:$D$337,
   MATCH(1,(aspek!$A$2:$A$337=B1119)*
           (aspek!$B$2:$B$337=C1119)*
           (aspek!$C$2:$C$337=D1119),0))</f>
        <v>Mengurangi pengambilalihan tugas</v>
      </c>
      <c r="F1119" s="76">
        <v>3</v>
      </c>
      <c r="G1119" s="56" t="str" cm="1">
        <f t="array" ref="G1119">INDEX(deskripsi!$D$2:$H$337,
   MATCH(1,(deskripsi!$A$2:$A$337=B1119)*
           (deskripsi!$B$2:$B$337=C1119)*
           (deskripsi!$C$2:$C$337=D1119),0),
   F1119)</f>
        <v>Mengambil alih hanya pada situasi mendesak.</v>
      </c>
    </row>
    <row r="1120" spans="1:7">
      <c r="A1120" t="str">
        <f t="shared" si="17"/>
        <v>Leadership|Analyst|4|4</v>
      </c>
      <c r="B1120" t="str">
        <v>Leadership</v>
      </c>
      <c r="C1120" t="str">
        <v>Analyst</v>
      </c>
      <c r="D1120" s="76">
        <v>4</v>
      </c>
      <c r="E1120" t="str" cm="1">
        <f t="array" ref="E1120">INDEX(aspek!$D$2:$D$337,
   MATCH(1,(aspek!$A$2:$A$337=B1120)*
           (aspek!$B$2:$B$337=C1120)*
           (aspek!$C$2:$C$337=D1120),0))</f>
        <v>Mengurangi pengambilalihan tugas</v>
      </c>
      <c r="F1120" s="76">
        <v>4</v>
      </c>
      <c r="G1120" s="56" t="str" cm="1">
        <f t="array" ref="G1120">INDEX(deskripsi!$D$2:$H$337,
   MATCH(1,(deskripsi!$A$2:$A$337=B1120)*
           (deskripsi!$B$2:$B$337=C1120)*
           (deskripsi!$C$2:$C$337=D1120),0),
   F1120)</f>
        <v>Jarang mengambil alih karena prioritas sudah dipahami jelas oleh tim.</v>
      </c>
    </row>
    <row r="1121" spans="1:7">
      <c r="A1121" t="str">
        <f t="shared" si="17"/>
        <v>Leadership|Analyst|4|5</v>
      </c>
      <c r="B1121" t="str">
        <v>Leadership</v>
      </c>
      <c r="C1121" t="str">
        <v>Analyst</v>
      </c>
      <c r="D1121" s="76">
        <v>4</v>
      </c>
      <c r="E1121" t="str" cm="1">
        <f t="array" ref="E1121">INDEX(aspek!$D$2:$D$337,
   MATCH(1,(aspek!$A$2:$A$337=B1121)*
           (aspek!$B$2:$B$337=C1121)*
           (aspek!$C$2:$C$337=D1121),0))</f>
        <v>Mengurangi pengambilalihan tugas</v>
      </c>
      <c r="F1121" s="76">
        <v>5</v>
      </c>
      <c r="G1121" s="56" t="str" cm="1">
        <f t="array" ref="G1121">INDEX(deskripsi!$D$2:$H$337,
   MATCH(1,(deskripsi!$A$2:$A$337=B1121)*
           (deskripsi!$B$2:$B$337=C1121)*
           (deskripsi!$C$2:$C$337=D1121),0),
   F1121)</f>
        <v>Tim mampu menentukan urutan sendiri berdasarkan prinsip yang sudah diajarkan.</v>
      </c>
    </row>
    <row r="1122" spans="1:7">
      <c r="A1122" t="str">
        <f t="shared" si="17"/>
        <v>Leadership|Unit Head/Specialist|1|1</v>
      </c>
      <c r="B1122" t="str">
        <v>Leadership</v>
      </c>
      <c r="C1122" t="str">
        <v>Unit Head/Specialist</v>
      </c>
      <c r="D1122" s="76">
        <v>1</v>
      </c>
      <c r="E1122" t="str" cm="1">
        <f t="array" ref="E1122">INDEX(aspek!$D$2:$D$337,
   MATCH(1,(aspek!$A$2:$A$337=B1122)*
           (aspek!$B$2:$B$337=C1122)*
           (aspek!$C$2:$C$337=D1122),0))</f>
        <v>Kedalaman pemetaan perspektif</v>
      </c>
      <c r="F1122" s="76">
        <v>1</v>
      </c>
      <c r="G1122" s="56" t="str" cm="1">
        <f t="array" ref="G1122">INDEX(deskripsi!$D$2:$H$337,
   MATCH(1,(deskripsi!$A$2:$A$337=B1122)*
           (deskripsi!$B$2:$B$337=C1122)*
           (deskripsi!$C$2:$C$337=D1122),0),
   F1122)</f>
        <v>Bertahan pada pandangan sendiri.</v>
      </c>
    </row>
    <row r="1123" spans="1:7">
      <c r="A1123" t="str">
        <f t="shared" si="17"/>
        <v>Leadership|Unit Head/Specialist|1|2</v>
      </c>
      <c r="B1123" t="str">
        <v>Leadership</v>
      </c>
      <c r="C1123" t="str">
        <v>Unit Head/Specialist</v>
      </c>
      <c r="D1123" s="76">
        <v>1</v>
      </c>
      <c r="E1123" t="str" cm="1">
        <f t="array" ref="E1123">INDEX(aspek!$D$2:$D$337,
   MATCH(1,(aspek!$A$2:$A$337=B1123)*
           (aspek!$B$2:$B$337=C1123)*
           (aspek!$C$2:$C$337=D1123),0))</f>
        <v>Kedalaman pemetaan perspektif</v>
      </c>
      <c r="F1123" s="76">
        <v>2</v>
      </c>
      <c r="G1123" s="56" t="str" cm="1">
        <f t="array" ref="G1123">INDEX(deskripsi!$D$2:$H$337,
   MATCH(1,(deskripsi!$A$2:$A$337=B1123)*
           (deskripsi!$B$2:$B$337=C1123)*
           (deskripsi!$C$2:$C$337=D1123),0),
   F1123)</f>
        <v>Mencoba memahami tapi kembali ke perspektif awal.</v>
      </c>
    </row>
    <row r="1124" spans="1:7">
      <c r="A1124" t="str">
        <f t="shared" si="17"/>
        <v>Leadership|Unit Head/Specialist|1|3</v>
      </c>
      <c r="B1124" t="str">
        <v>Leadership</v>
      </c>
      <c r="C1124" t="str">
        <v>Unit Head/Specialist</v>
      </c>
      <c r="D1124" s="76">
        <v>1</v>
      </c>
      <c r="E1124" t="str" cm="1">
        <f t="array" ref="E1124">INDEX(aspek!$D$2:$D$337,
   MATCH(1,(aspek!$A$2:$A$337=B1124)*
           (aspek!$B$2:$B$337=C1124)*
           (aspek!$C$2:$C$337=D1124),0))</f>
        <v>Kedalaman pemetaan perspektif</v>
      </c>
      <c r="F1124" s="76">
        <v>3</v>
      </c>
      <c r="G1124" s="56" t="str" cm="1">
        <f t="array" ref="G1124">INDEX(deskripsi!$D$2:$H$337,
   MATCH(1,(deskripsi!$A$2:$A$337=B1124)*
           (deskripsi!$B$2:$B$337=C1124)*
           (deskripsi!$C$2:$C$337=D1124),0),
   F1124)</f>
        <v>Menerima perspektif lain bila dijelaskan logis.</v>
      </c>
    </row>
    <row r="1125" spans="1:7">
      <c r="A1125" t="str">
        <f t="shared" si="17"/>
        <v>Leadership|Unit Head/Specialist|1|4</v>
      </c>
      <c r="B1125" t="str">
        <v>Leadership</v>
      </c>
      <c r="C1125" t="str">
        <v>Unit Head/Specialist</v>
      </c>
      <c r="D1125" s="76">
        <v>1</v>
      </c>
      <c r="E1125" t="str" cm="1">
        <f t="array" ref="E1125">INDEX(aspek!$D$2:$D$337,
   MATCH(1,(aspek!$A$2:$A$337=B1125)*
           (aspek!$B$2:$B$337=C1125)*
           (aspek!$C$2:$C$337=D1125),0))</f>
        <v>Kedalaman pemetaan perspektif</v>
      </c>
      <c r="F1125" s="76">
        <v>4</v>
      </c>
      <c r="G1125" s="56" t="str" cm="1">
        <f t="array" ref="G1125">INDEX(deskripsi!$D$2:$H$337,
   MATCH(1,(deskripsi!$A$2:$A$337=B1125)*
           (deskripsi!$B$2:$B$337=C1125)*
           (deskripsi!$C$2:$C$337=D1125),0),
   F1125)</f>
        <v>Menganalisis kepentingan dan batasan berbagai pihak secara sistematis.</v>
      </c>
    </row>
    <row r="1126" spans="1:7">
      <c r="A1126" t="str">
        <f t="shared" si="17"/>
        <v>Leadership|Unit Head/Specialist|1|5</v>
      </c>
      <c r="B1126" t="str">
        <v>Leadership</v>
      </c>
      <c r="C1126" t="str">
        <v>Unit Head/Specialist</v>
      </c>
      <c r="D1126" s="76">
        <v>1</v>
      </c>
      <c r="E1126" t="str" cm="1">
        <f t="array" ref="E1126">INDEX(aspek!$D$2:$D$337,
   MATCH(1,(aspek!$A$2:$A$337=B1126)*
           (aspek!$B$2:$B$337=C1126)*
           (aspek!$C$2:$C$337=D1126),0))</f>
        <v>Kedalaman pemetaan perspektif</v>
      </c>
      <c r="F1126" s="76">
        <v>5</v>
      </c>
      <c r="G1126" s="56" t="str" cm="1">
        <f t="array" ref="G1126">INDEX(deskripsi!$D$2:$H$337,
   MATCH(1,(deskripsi!$A$2:$A$337=B1126)*
           (deskripsi!$B$2:$B$337=C1126)*
           (deskripsi!$C$2:$C$337=D1126),0),
   F1126)</f>
        <v>Memetakan perspektif yang bertentangan secara akurat.</v>
      </c>
    </row>
    <row r="1127" spans="1:7">
      <c r="A1127" t="str">
        <f t="shared" si="17"/>
        <v>Leadership|Unit Head/Specialist|2|1</v>
      </c>
      <c r="B1127" t="str">
        <v>Leadership</v>
      </c>
      <c r="C1127" t="str">
        <v>Unit Head/Specialist</v>
      </c>
      <c r="D1127" s="76">
        <v>2</v>
      </c>
      <c r="E1127" t="str" cm="1">
        <f t="array" ref="E1127">INDEX(aspek!$D$2:$D$337,
   MATCH(1,(aspek!$A$2:$A$337=B1127)*
           (aspek!$B$2:$B$337=C1127)*
           (aspek!$C$2:$C$337=D1127),0))</f>
        <v>Kejelasan arah dan ekspektasi</v>
      </c>
      <c r="F1127" s="76">
        <v>1</v>
      </c>
      <c r="G1127" s="56" t="str" cm="1">
        <f t="array" ref="G1127">INDEX(deskripsi!$D$2:$H$337,
   MATCH(1,(deskripsi!$A$2:$A$337=B1127)*
           (deskripsi!$B$2:$B$337=C1127)*
           (deskripsi!$C$2:$C$337=D1127),0),
   F1127)</f>
        <v>Anggota tim diharapkan memahami perannya sendiri.</v>
      </c>
    </row>
    <row r="1128" spans="1:7">
      <c r="A1128" t="str">
        <f t="shared" si="17"/>
        <v>Leadership|Unit Head/Specialist|2|2</v>
      </c>
      <c r="B1128" t="str">
        <v>Leadership</v>
      </c>
      <c r="C1128" t="str">
        <v>Unit Head/Specialist</v>
      </c>
      <c r="D1128" s="76">
        <v>2</v>
      </c>
      <c r="E1128" t="str" cm="1">
        <f t="array" ref="E1128">INDEX(aspek!$D$2:$D$337,
   MATCH(1,(aspek!$A$2:$A$337=B1128)*
           (aspek!$B$2:$B$337=C1128)*
           (aspek!$C$2:$C$337=D1128),0))</f>
        <v>Kejelasan arah dan ekspektasi</v>
      </c>
      <c r="F1128" s="76">
        <v>2</v>
      </c>
      <c r="G1128" s="56" t="str" cm="1">
        <f t="array" ref="G1128">INDEX(deskripsi!$D$2:$H$337,
   MATCH(1,(deskripsi!$A$2:$A$337=B1128)*
           (deskripsi!$B$2:$B$337=C1128)*
           (deskripsi!$C$2:$C$337=D1128),0),
   F1128)</f>
        <v>Hanya disampaikan apa yang harus dikerjakan, tanpa hasil yang diharapkan.</v>
      </c>
    </row>
    <row r="1129" spans="1:7">
      <c r="A1129" t="str">
        <f t="shared" si="17"/>
        <v>Leadership|Unit Head/Specialist|2|3</v>
      </c>
      <c r="B1129" t="str">
        <v>Leadership</v>
      </c>
      <c r="C1129" t="str">
        <v>Unit Head/Specialist</v>
      </c>
      <c r="D1129" s="76">
        <v>2</v>
      </c>
      <c r="E1129" t="str" cm="1">
        <f t="array" ref="E1129">INDEX(aspek!$D$2:$D$337,
   MATCH(1,(aspek!$A$2:$A$337=B1129)*
           (aspek!$B$2:$B$337=C1129)*
           (aspek!$C$2:$C$337=D1129),0))</f>
        <v>Kejelasan arah dan ekspektasi</v>
      </c>
      <c r="F1129" s="76">
        <v>3</v>
      </c>
      <c r="G1129" s="56" t="str" cm="1">
        <f t="array" ref="G1129">INDEX(deskripsi!$D$2:$H$337,
   MATCH(1,(deskripsi!$A$2:$A$337=B1129)*
           (deskripsi!$B$2:$B$337=C1129)*
           (deskripsi!$C$2:$C$337=D1129),0),
   F1129)</f>
        <v>Tujuan, peran, dan hasil yang diharapkan dijelaskan kepada semua pihak.</v>
      </c>
    </row>
    <row r="1130" spans="1:7">
      <c r="A1130" t="str">
        <f t="shared" si="17"/>
        <v>Leadership|Unit Head/Specialist|2|4</v>
      </c>
      <c r="B1130" t="str">
        <v>Leadership</v>
      </c>
      <c r="C1130" t="str">
        <v>Unit Head/Specialist</v>
      </c>
      <c r="D1130" s="76">
        <v>2</v>
      </c>
      <c r="E1130" t="str" cm="1">
        <f t="array" ref="E1130">INDEX(aspek!$D$2:$D$337,
   MATCH(1,(aspek!$A$2:$A$337=B1130)*
           (aspek!$B$2:$B$337=C1130)*
           (aspek!$C$2:$C$337=D1130),0))</f>
        <v>Kejelasan arah dan ekspektasi</v>
      </c>
      <c r="F1130" s="76">
        <v>4</v>
      </c>
      <c r="G1130" s="56" t="str" cm="1">
        <f t="array" ref="G1130">INDEX(deskripsi!$D$2:$H$337,
   MATCH(1,(deskripsi!$A$2:$A$337=B1130)*
           (deskripsi!$B$2:$B$337=C1130)*
           (deskripsi!$C$2:$C$337=D1130),0),
   F1130)</f>
        <v>Ukuran keberhasilan disepakati bersama dan tanggung jawab dipastikan dipahami.</v>
      </c>
    </row>
    <row r="1131" spans="1:7">
      <c r="A1131" t="str">
        <f t="shared" si="17"/>
        <v>Leadership|Unit Head/Specialist|2|5</v>
      </c>
      <c r="B1131" t="str">
        <v>Leadership</v>
      </c>
      <c r="C1131" t="str">
        <v>Unit Head/Specialist</v>
      </c>
      <c r="D1131" s="76">
        <v>2</v>
      </c>
      <c r="E1131" t="str" cm="1">
        <f t="array" ref="E1131">INDEX(aspek!$D$2:$D$337,
   MATCH(1,(aspek!$A$2:$A$337=B1131)*
           (aspek!$B$2:$B$337=C1131)*
           (aspek!$C$2:$C$337=D1131),0))</f>
        <v>Kejelasan arah dan ekspektasi</v>
      </c>
      <c r="F1131" s="76">
        <v>5</v>
      </c>
      <c r="G1131" s="56" t="str" cm="1">
        <f t="array" ref="G1131">INDEX(deskripsi!$D$2:$H$337,
   MATCH(1,(deskripsi!$A$2:$A$337=B1131)*
           (deskripsi!$B$2:$B$337=C1131)*
           (deskripsi!$C$2:$C$337=D1131),0),
   F1131)</f>
        <v>Arah cukup jelas sehingga anggota tim dapat memutuskan sendiri tanpa menunggu.</v>
      </c>
    </row>
    <row r="1132" spans="1:7">
      <c r="A1132" t="str">
        <f t="shared" si="17"/>
        <v>Leadership|Unit Head/Specialist|3|1</v>
      </c>
      <c r="B1132" t="str">
        <v>Leadership</v>
      </c>
      <c r="C1132" t="str">
        <v>Unit Head/Specialist</v>
      </c>
      <c r="D1132" s="76">
        <v>3</v>
      </c>
      <c r="E1132" t="str" cm="1">
        <f t="array" ref="E1132">INDEX(aspek!$D$2:$D$337,
   MATCH(1,(aspek!$A$2:$A$337=B1132)*
           (aspek!$B$2:$B$337=C1132)*
           (aspek!$C$2:$C$337=D1132),0))</f>
        <v>Kedalaman pemetaan bukan sekadar persetujuan</v>
      </c>
      <c r="F1132" s="76">
        <v>1</v>
      </c>
      <c r="G1132" s="56" t="str" cm="1">
        <f t="array" ref="G1132">INDEX(deskripsi!$D$2:$H$337,
   MATCH(1,(deskripsi!$A$2:$A$337=B1132)*
           (deskripsi!$B$2:$B$337=C1132)*
           (deskripsi!$C$2:$C$337=D1132),0),
   F1132)</f>
        <v>Menganggap memahami perspektif berarti menyetujuinya.</v>
      </c>
    </row>
    <row r="1133" spans="1:7">
      <c r="A1133" t="str">
        <f t="shared" si="17"/>
        <v>Leadership|Unit Head/Specialist|3|2</v>
      </c>
      <c r="B1133" t="str">
        <v>Leadership</v>
      </c>
      <c r="C1133" t="str">
        <v>Unit Head/Specialist</v>
      </c>
      <c r="D1133" s="76">
        <v>3</v>
      </c>
      <c r="E1133" t="str" cm="1">
        <f t="array" ref="E1133">INDEX(aspek!$D$2:$D$337,
   MATCH(1,(aspek!$A$2:$A$337=B1133)*
           (aspek!$B$2:$B$337=C1133)*
           (aspek!$C$2:$C$337=D1133),0))</f>
        <v>Kedalaman pemetaan bukan sekadar persetujuan</v>
      </c>
      <c r="F1133" s="76">
        <v>2</v>
      </c>
      <c r="G1133" s="56" t="str" cm="1">
        <f t="array" ref="G1133">INDEX(deskripsi!$D$2:$H$337,
   MATCH(1,(deskripsi!$A$2:$A$337=B1133)*
           (deskripsi!$B$2:$B$337=C1133)*
           (deskripsi!$C$2:$C$337=D1133),0),
   F1133)</f>
        <v>Memetakan hanya perspektif yang mudah diterima.</v>
      </c>
    </row>
    <row r="1134" spans="1:7">
      <c r="A1134" t="str">
        <f t="shared" si="17"/>
        <v>Leadership|Unit Head/Specialist|3|3</v>
      </c>
      <c r="B1134" t="str">
        <v>Leadership</v>
      </c>
      <c r="C1134" t="str">
        <v>Unit Head/Specialist</v>
      </c>
      <c r="D1134" s="76">
        <v>3</v>
      </c>
      <c r="E1134" t="str" cm="1">
        <f t="array" ref="E1134">INDEX(aspek!$D$2:$D$337,
   MATCH(1,(aspek!$A$2:$A$337=B1134)*
           (aspek!$B$2:$B$337=C1134)*
           (aspek!$C$2:$C$337=D1134),0))</f>
        <v>Kedalaman pemetaan bukan sekadar persetujuan</v>
      </c>
      <c r="F1134" s="76">
        <v>3</v>
      </c>
      <c r="G1134" s="56" t="str" cm="1">
        <f t="array" ref="G1134">INDEX(deskripsi!$D$2:$H$337,
   MATCH(1,(deskripsi!$A$2:$A$337=B1134)*
           (deskripsi!$B$2:$B$337=C1134)*
           (deskripsi!$C$2:$C$337=D1134),0),
   F1134)</f>
        <v>Memetakan perspektif yang berbeda, tetap kesulitan pada yang bertentangan.</v>
      </c>
    </row>
    <row r="1135" spans="1:7">
      <c r="A1135" t="str">
        <f t="shared" si="17"/>
        <v>Leadership|Unit Head/Specialist|3|4</v>
      </c>
      <c r="B1135" t="str">
        <v>Leadership</v>
      </c>
      <c r="C1135" t="str">
        <v>Unit Head/Specialist</v>
      </c>
      <c r="D1135" s="76">
        <v>3</v>
      </c>
      <c r="E1135" t="str" cm="1">
        <f t="array" ref="E1135">INDEX(aspek!$D$2:$D$337,
   MATCH(1,(aspek!$A$2:$A$337=B1135)*
           (aspek!$B$2:$B$337=C1135)*
           (aspek!$C$2:$C$337=D1135),0))</f>
        <v>Kedalaman pemetaan bukan sekadar persetujuan</v>
      </c>
      <c r="F1135" s="76">
        <v>4</v>
      </c>
      <c r="G1135" s="56" t="str" cm="1">
        <f t="array" ref="G1135">INDEX(deskripsi!$D$2:$H$337,
   MATCH(1,(deskripsi!$A$2:$A$337=B1135)*
           (deskripsi!$B$2:$B$337=C1135)*
           (deskripsi!$C$2:$C$337=D1135),0),
   F1135)</f>
        <v>Memetakan perspektif secara mendalam terlepas dari keputusan akhir yang akan diambil.</v>
      </c>
    </row>
    <row r="1136" spans="1:7">
      <c r="A1136" t="str">
        <f t="shared" si="17"/>
        <v>Leadership|Unit Head/Specialist|3|5</v>
      </c>
      <c r="B1136" t="str">
        <v>Leadership</v>
      </c>
      <c r="C1136" t="str">
        <v>Unit Head/Specialist</v>
      </c>
      <c r="D1136" s="76">
        <v>3</v>
      </c>
      <c r="E1136" t="str" cm="1">
        <f t="array" ref="E1136">INDEX(aspek!$D$2:$D$337,
   MATCH(1,(aspek!$A$2:$A$337=B1136)*
           (aspek!$B$2:$B$337=C1136)*
           (aspek!$C$2:$C$337=D1136),0))</f>
        <v>Kedalaman pemetaan bukan sekadar persetujuan</v>
      </c>
      <c r="F1136" s="76">
        <v>5</v>
      </c>
      <c r="G1136" s="56" t="str" cm="1">
        <f t="array" ref="G1136">INDEX(deskripsi!$D$2:$H$337,
   MATCH(1,(deskripsi!$A$2:$A$337=B1136)*
           (deskripsi!$B$2:$B$337=C1136)*
           (deskripsi!$C$2:$C$337=D1136),0),
   F1136)</f>
        <v>Pemetaannya dipakai pihak lain untuk memahami situasi yang kompleks.</v>
      </c>
    </row>
    <row r="1137" spans="1:7">
      <c r="A1137" t="str">
        <f t="shared" si="17"/>
        <v>Leadership|Unit Head/Specialist|4|1</v>
      </c>
      <c r="B1137" t="str">
        <v>Leadership</v>
      </c>
      <c r="C1137" t="str">
        <v>Unit Head/Specialist</v>
      </c>
      <c r="D1137" s="76">
        <v>4</v>
      </c>
      <c r="E1137" t="str" cm="1">
        <f t="array" ref="E1137">INDEX(aspek!$D$2:$D$337,
   MATCH(1,(aspek!$A$2:$A$337=B1137)*
           (aspek!$B$2:$B$337=C1137)*
           (aspek!$C$2:$C$337=D1137),0))</f>
        <v>Verifikasi pemahaman</v>
      </c>
      <c r="F1137" s="76">
        <v>1</v>
      </c>
      <c r="G1137" s="56" t="str" cm="1">
        <f t="array" ref="G1137">INDEX(deskripsi!$D$2:$H$337,
   MATCH(1,(deskripsi!$A$2:$A$337=B1137)*
           (deskripsi!$B$2:$B$337=C1137)*
           (deskripsi!$C$2:$C$337=D1137),0),
   F1137)</f>
        <v>Anggota tim sering bertanya ulang tentang apa yang diharapkan.</v>
      </c>
    </row>
    <row r="1138" spans="1:7">
      <c r="A1138" t="str">
        <f t="shared" si="17"/>
        <v>Leadership|Unit Head/Specialist|4|2</v>
      </c>
      <c r="B1138" t="str">
        <v>Leadership</v>
      </c>
      <c r="C1138" t="str">
        <v>Unit Head/Specialist</v>
      </c>
      <c r="D1138" s="76">
        <v>4</v>
      </c>
      <c r="E1138" t="str" cm="1">
        <f t="array" ref="E1138">INDEX(aspek!$D$2:$D$337,
   MATCH(1,(aspek!$A$2:$A$337=B1138)*
           (aspek!$B$2:$B$337=C1138)*
           (aspek!$C$2:$C$337=D1138),0))</f>
        <v>Verifikasi pemahaman</v>
      </c>
      <c r="F1138" s="76">
        <v>2</v>
      </c>
      <c r="G1138" s="56" t="str" cm="1">
        <f t="array" ref="G1138">INDEX(deskripsi!$D$2:$H$337,
   MATCH(1,(deskripsi!$A$2:$A$337=B1138)*
           (deskripsi!$B$2:$B$337=C1138)*
           (deskripsi!$C$2:$C$337=D1138),0),
   F1138)</f>
        <v>Bertanya ulang berkurang hanya pada tugas yang sederhana.</v>
      </c>
    </row>
    <row r="1139" spans="1:7">
      <c r="A1139" t="str">
        <f t="shared" si="17"/>
        <v>Leadership|Unit Head/Specialist|4|3</v>
      </c>
      <c r="B1139" t="str">
        <v>Leadership</v>
      </c>
      <c r="C1139" t="str">
        <v>Unit Head/Specialist</v>
      </c>
      <c r="D1139" s="76">
        <v>4</v>
      </c>
      <c r="E1139" t="str" cm="1">
        <f t="array" ref="E1139">INDEX(aspek!$D$2:$D$337,
   MATCH(1,(aspek!$A$2:$A$337=B1139)*
           (aspek!$B$2:$B$337=C1139)*
           (aspek!$C$2:$C$337=D1139),0))</f>
        <v>Verifikasi pemahaman</v>
      </c>
      <c r="F1139" s="76">
        <v>3</v>
      </c>
      <c r="G1139" s="56" t="str" cm="1">
        <f t="array" ref="G1139">INDEX(deskripsi!$D$2:$H$337,
   MATCH(1,(deskripsi!$A$2:$A$337=B1139)*
           (deskripsi!$B$2:$B$337=C1139)*
           (deskripsi!$C$2:$C$337=D1139),0),
   F1139)</f>
        <v>Bertanya ulang berkurang pada sebagian besar tugas.</v>
      </c>
    </row>
    <row r="1140" spans="1:7">
      <c r="A1140" t="str">
        <f t="shared" si="17"/>
        <v>Leadership|Unit Head/Specialist|4|4</v>
      </c>
      <c r="B1140" t="str">
        <v>Leadership</v>
      </c>
      <c r="C1140" t="str">
        <v>Unit Head/Specialist</v>
      </c>
      <c r="D1140" s="76">
        <v>4</v>
      </c>
      <c r="E1140" t="str" cm="1">
        <f t="array" ref="E1140">INDEX(aspek!$D$2:$D$337,
   MATCH(1,(aspek!$A$2:$A$337=B1140)*
           (aspek!$B$2:$B$337=C1140)*
           (aspek!$C$2:$C$337=D1140),0))</f>
        <v>Verifikasi pemahaman</v>
      </c>
      <c r="F1140" s="76">
        <v>4</v>
      </c>
      <c r="G1140" s="56" t="str" cm="1">
        <f t="array" ref="G1140">INDEX(deskripsi!$D$2:$H$337,
   MATCH(1,(deskripsi!$A$2:$A$337=B1140)*
           (deskripsi!$B$2:$B$337=C1140)*
           (deskripsi!$C$2:$C$337=D1140),0),
   F1140)</f>
        <v>Anggota tim jarang bertanya ulang karena ekspektasi sudah jelas dan diverifikasi.</v>
      </c>
    </row>
    <row r="1141" spans="1:7">
      <c r="A1141" t="str">
        <f t="shared" si="17"/>
        <v>Leadership|Unit Head/Specialist|4|5</v>
      </c>
      <c r="B1141" t="str">
        <v>Leadership</v>
      </c>
      <c r="C1141" t="str">
        <v>Unit Head/Specialist</v>
      </c>
      <c r="D1141" s="76">
        <v>4</v>
      </c>
      <c r="E1141" t="str" cm="1">
        <f t="array" ref="E1141">INDEX(aspek!$D$2:$D$337,
   MATCH(1,(aspek!$A$2:$A$337=B1141)*
           (aspek!$B$2:$B$337=C1141)*
           (aspek!$C$2:$C$337=D1141),0))</f>
        <v>Verifikasi pemahaman</v>
      </c>
      <c r="F1141" s="76">
        <v>5</v>
      </c>
      <c r="G1141" s="56" t="str" cm="1">
        <f t="array" ref="G1141">INDEX(deskripsi!$D$2:$H$337,
   MATCH(1,(deskripsi!$A$2:$A$337=B1141)*
           (deskripsi!$B$2:$B$337=C1141)*
           (deskripsi!$C$2:$C$337=D1141),0),
   F1141)</f>
        <v>Anggota tim mampu menjelaskan ekspektasi kepada rekan lain tanpa bantuan peserta.</v>
      </c>
    </row>
    <row r="1142" spans="1:7">
      <c r="A1142" t="str">
        <f t="shared" si="17"/>
        <v>Leadership|Department Head|1|1</v>
      </c>
      <c r="B1142" t="str">
        <v>Leadership</v>
      </c>
      <c r="C1142" t="str">
        <v>Department Head</v>
      </c>
      <c r="D1142" s="76">
        <v>1</v>
      </c>
      <c r="E1142" t="str" cm="1">
        <f t="array" ref="E1142">INDEX(aspek!$D$2:$D$337,
   MATCH(1,(aspek!$A$2:$A$337=B1142)*
           (aspek!$B$2:$B$337=C1142)*
           (aspek!$C$2:$C$337=D1142),0))</f>
        <v>Akurasi membaca emosi orang lain</v>
      </c>
      <c r="F1142" s="76">
        <v>1</v>
      </c>
      <c r="G1142" s="56" t="str" cm="1">
        <f t="array" ref="G1142">INDEX(deskripsi!$D$2:$H$337,
   MATCH(1,(deskripsi!$A$2:$A$337=B1142)*
           (deskripsi!$B$2:$B$337=C1142)*
           (deskripsi!$C$2:$C$337=D1142),0),
   F1142)</f>
        <v>Tidak menyadari emosi orang lain.</v>
      </c>
    </row>
    <row r="1143" spans="1:7">
      <c r="A1143" t="str">
        <f t="shared" si="17"/>
        <v>Leadership|Department Head|1|2</v>
      </c>
      <c r="B1143" t="str">
        <v>Leadership</v>
      </c>
      <c r="C1143" t="str">
        <v>Department Head</v>
      </c>
      <c r="D1143" s="76">
        <v>1</v>
      </c>
      <c r="E1143" t="str" cm="1">
        <f t="array" ref="E1143">INDEX(aspek!$D$2:$D$337,
   MATCH(1,(aspek!$A$2:$A$337=B1143)*
           (aspek!$B$2:$B$337=C1143)*
           (aspek!$C$2:$C$337=D1143),0))</f>
        <v>Akurasi membaca emosi orang lain</v>
      </c>
      <c r="F1143" s="76">
        <v>2</v>
      </c>
      <c r="G1143" s="56" t="str" cm="1">
        <f t="array" ref="G1143">INDEX(deskripsi!$D$2:$H$337,
   MATCH(1,(deskripsi!$A$2:$A$337=B1143)*
           (deskripsi!$B$2:$B$337=C1143)*
           (deskripsi!$C$2:$C$337=D1143),0),
   F1143)</f>
        <v>Membaca emosi yang sangat jelas saja.</v>
      </c>
    </row>
    <row r="1144" spans="1:7">
      <c r="A1144" t="str">
        <f t="shared" si="17"/>
        <v>Leadership|Department Head|1|3</v>
      </c>
      <c r="B1144" t="str">
        <v>Leadership</v>
      </c>
      <c r="C1144" t="str">
        <v>Department Head</v>
      </c>
      <c r="D1144" s="76">
        <v>1</v>
      </c>
      <c r="E1144" t="str" cm="1">
        <f t="array" ref="E1144">INDEX(aspek!$D$2:$D$337,
   MATCH(1,(aspek!$A$2:$A$337=B1144)*
           (aspek!$B$2:$B$337=C1144)*
           (aspek!$C$2:$C$337=D1144),0))</f>
        <v>Akurasi membaca emosi orang lain</v>
      </c>
      <c r="F1144" s="76">
        <v>3</v>
      </c>
      <c r="G1144" s="56" t="str" cm="1">
        <f t="array" ref="G1144">INDEX(deskripsi!$D$2:$H$337,
   MATCH(1,(deskripsi!$A$2:$A$337=B1144)*
           (deskripsi!$B$2:$B$337=C1144)*
           (deskripsi!$C$2:$C$337=D1144),0),
   F1144)</f>
        <v>Membaca emosi yang jelas dengan akurasi cukup baik.</v>
      </c>
    </row>
    <row r="1145" spans="1:7">
      <c r="A1145" t="str">
        <f t="shared" si="17"/>
        <v>Leadership|Department Head|1|4</v>
      </c>
      <c r="B1145" t="str">
        <v>Leadership</v>
      </c>
      <c r="C1145" t="str">
        <v>Department Head</v>
      </c>
      <c r="D1145" s="76">
        <v>1</v>
      </c>
      <c r="E1145" t="str" cm="1">
        <f t="array" ref="E1145">INDEX(aspek!$D$2:$D$337,
   MATCH(1,(aspek!$A$2:$A$337=B1145)*
           (aspek!$B$2:$B$337=C1145)*
           (aspek!$C$2:$C$337=D1145),0))</f>
        <v>Akurasi membaca emosi orang lain</v>
      </c>
      <c r="F1145" s="76">
        <v>4</v>
      </c>
      <c r="G1145" s="56" t="str" cm="1">
        <f t="array" ref="G1145">INDEX(deskripsi!$D$2:$H$337,
   MATCH(1,(deskripsi!$A$2:$A$337=B1145)*
           (deskripsi!$B$2:$B$337=C1145)*
           (deskripsi!$C$2:$C$337=D1145),0),
   F1145)</f>
        <v>Membaca emosi secara akurat termasuk yang tidak diucapkan, merespons tepat.</v>
      </c>
    </row>
    <row r="1146" spans="1:7">
      <c r="A1146" t="str">
        <f t="shared" si="17"/>
        <v>Leadership|Department Head|1|5</v>
      </c>
      <c r="B1146" t="str">
        <v>Leadership</v>
      </c>
      <c r="C1146" t="str">
        <v>Department Head</v>
      </c>
      <c r="D1146" s="76">
        <v>1</v>
      </c>
      <c r="E1146" t="str" cm="1">
        <f t="array" ref="E1146">INDEX(aspek!$D$2:$D$337,
   MATCH(1,(aspek!$A$2:$A$337=B1146)*
           (aspek!$B$2:$B$337=C1146)*
           (aspek!$C$2:$C$337=D1146),0))</f>
        <v>Akurasi membaca emosi orang lain</v>
      </c>
      <c r="F1146" s="76">
        <v>5</v>
      </c>
      <c r="G1146" s="56" t="str" cm="1">
        <f t="array" ref="G1146">INDEX(deskripsi!$D$2:$H$337,
   MATCH(1,(deskripsi!$A$2:$A$337=B1146)*
           (deskripsi!$B$2:$B$337=C1146)*
           (deskripsi!$C$2:$C$337=D1146),0),
   F1146)</f>
        <v>Memahami dinamika emosi kolektif dalam kelompok.</v>
      </c>
    </row>
    <row r="1147" spans="1:7">
      <c r="A1147" t="str">
        <f t="shared" si="17"/>
        <v>Leadership|Department Head|2|1</v>
      </c>
      <c r="B1147" t="str">
        <v>Leadership</v>
      </c>
      <c r="C1147" t="str">
        <v>Department Head</v>
      </c>
      <c r="D1147" s="76">
        <v>2</v>
      </c>
      <c r="E1147" t="str" cm="1">
        <f t="array" ref="E1147">INDEX(aspek!$D$2:$D$337,
   MATCH(1,(aspek!$A$2:$A$337=B1147)*
           (aspek!$B$2:$B$337=C1147)*
           (aspek!$C$2:$C$337=D1147),0))</f>
        <v>Kesadaran atas dampak perilaku sendiri</v>
      </c>
      <c r="F1147" s="76">
        <v>1</v>
      </c>
      <c r="G1147" s="56" t="str" cm="1">
        <f t="array" ref="G1147">INDEX(deskripsi!$D$2:$H$337,
   MATCH(1,(deskripsi!$A$2:$A$337=B1147)*
           (deskripsi!$B$2:$B$337=C1147)*
           (deskripsi!$C$2:$C$337=D1147),0),
   F1147)</f>
        <v>Tidak menyadari perilakunya mempengaruhi orang lain.</v>
      </c>
    </row>
    <row r="1148" spans="1:7">
      <c r="A1148" t="str">
        <f t="shared" si="17"/>
        <v>Leadership|Department Head|2|2</v>
      </c>
      <c r="B1148" t="str">
        <v>Leadership</v>
      </c>
      <c r="C1148" t="str">
        <v>Department Head</v>
      </c>
      <c r="D1148" s="76">
        <v>2</v>
      </c>
      <c r="E1148" t="str" cm="1">
        <f t="array" ref="E1148">INDEX(aspek!$D$2:$D$337,
   MATCH(1,(aspek!$A$2:$A$337=B1148)*
           (aspek!$B$2:$B$337=C1148)*
           (aspek!$C$2:$C$337=D1148),0))</f>
        <v>Kesadaran atas dampak perilaku sendiri</v>
      </c>
      <c r="F1148" s="76">
        <v>2</v>
      </c>
      <c r="G1148" s="56" t="str" cm="1">
        <f t="array" ref="G1148">INDEX(deskripsi!$D$2:$H$337,
   MATCH(1,(deskripsi!$A$2:$A$337=B1148)*
           (deskripsi!$B$2:$B$337=C1148)*
           (deskripsi!$C$2:$C$337=D1148),0),
   F1148)</f>
        <v>Sadar hanya setelah diberi tahu secara eksplisit.</v>
      </c>
    </row>
    <row r="1149" spans="1:7">
      <c r="A1149" t="str">
        <f t="shared" si="17"/>
        <v>Leadership|Department Head|2|3</v>
      </c>
      <c r="B1149" t="str">
        <v>Leadership</v>
      </c>
      <c r="C1149" t="str">
        <v>Department Head</v>
      </c>
      <c r="D1149" s="76">
        <v>2</v>
      </c>
      <c r="E1149" t="str" cm="1">
        <f t="array" ref="E1149">INDEX(aspek!$D$2:$D$337,
   MATCH(1,(aspek!$A$2:$A$337=B1149)*
           (aspek!$B$2:$B$337=C1149)*
           (aspek!$C$2:$C$337=D1149),0))</f>
        <v>Kesadaran atas dampak perilaku sendiri</v>
      </c>
      <c r="F1149" s="76">
        <v>3</v>
      </c>
      <c r="G1149" s="56" t="str" cm="1">
        <f t="array" ref="G1149">INDEX(deskripsi!$D$2:$H$337,
   MATCH(1,(deskripsi!$A$2:$A$337=B1149)*
           (deskripsi!$B$2:$B$337=C1149)*
           (deskripsi!$C$2:$C$337=D1149),0),
   F1149)</f>
        <v>Sadar pada kasus yang dampaknya mencolok.</v>
      </c>
    </row>
    <row r="1150" spans="1:7">
      <c r="A1150" t="str">
        <f t="shared" si="17"/>
        <v>Leadership|Department Head|2|4</v>
      </c>
      <c r="B1150" t="str">
        <v>Leadership</v>
      </c>
      <c r="C1150" t="str">
        <v>Department Head</v>
      </c>
      <c r="D1150" s="76">
        <v>2</v>
      </c>
      <c r="E1150" t="str" cm="1">
        <f t="array" ref="E1150">INDEX(aspek!$D$2:$D$337,
   MATCH(1,(aspek!$A$2:$A$337=B1150)*
           (aspek!$B$2:$B$337=C1150)*
           (aspek!$C$2:$C$337=D1150),0))</f>
        <v>Kesadaran atas dampak perilaku sendiri</v>
      </c>
      <c r="F1150" s="76">
        <v>4</v>
      </c>
      <c r="G1150" s="56" t="str" cm="1">
        <f t="array" ref="G1150">INDEX(deskripsi!$D$2:$H$337,
   MATCH(1,(deskripsi!$A$2:$A$337=B1150)*
           (deskripsi!$B$2:$B$337=C1150)*
           (deskripsi!$C$2:$C$337=D1150),0),
   F1150)</f>
        <v>Secara proaktif menyadari dampak perilaku dan cara komunikasinya, menyesuaikan diri agar positif.</v>
      </c>
    </row>
    <row r="1151" spans="1:7">
      <c r="A1151" t="str">
        <f t="shared" si="17"/>
        <v>Leadership|Department Head|2|5</v>
      </c>
      <c r="B1151" t="str">
        <v>Leadership</v>
      </c>
      <c r="C1151" t="str">
        <v>Department Head</v>
      </c>
      <c r="D1151" s="76">
        <v>2</v>
      </c>
      <c r="E1151" t="str" cm="1">
        <f t="array" ref="E1151">INDEX(aspek!$D$2:$D$337,
   MATCH(1,(aspek!$A$2:$A$337=B1151)*
           (aspek!$B$2:$B$337=C1151)*
           (aspek!$C$2:$C$337=D1151),0))</f>
        <v>Kesadaran atas dampak perilaku sendiri</v>
      </c>
      <c r="F1151" s="76">
        <v>5</v>
      </c>
      <c r="G1151" s="56" t="str" cm="1">
        <f t="array" ref="G1151">INDEX(deskripsi!$D$2:$H$337,
   MATCH(1,(deskripsi!$A$2:$A$337=B1151)*
           (deskripsi!$B$2:$B$337=C1151)*
           (deskripsi!$C$2:$C$337=D1151),0),
   F1151)</f>
        <v>Jejak yang ditinggalkan pada orang lain konsisten positif tanpa perlu diingatkan.</v>
      </c>
    </row>
    <row r="1152" spans="1:7">
      <c r="A1152" t="str">
        <f t="shared" si="17"/>
        <v>Leadership|Department Head|3|1</v>
      </c>
      <c r="B1152" t="str">
        <v>Leadership</v>
      </c>
      <c r="C1152" t="str">
        <v>Department Head</v>
      </c>
      <c r="D1152" s="76">
        <v>3</v>
      </c>
      <c r="E1152" t="str" cm="1">
        <f t="array" ref="E1152">INDEX(aspek!$D$2:$D$337,
   MATCH(1,(aspek!$A$2:$A$337=B1152)*
           (aspek!$B$2:$B$337=C1152)*
           (aspek!$C$2:$C$337=D1152),0))</f>
        <v>Ketepatan respons terhadap emosi</v>
      </c>
      <c r="F1152" s="76">
        <v>1</v>
      </c>
      <c r="G1152" s="56" t="str" cm="1">
        <f t="array" ref="G1152">INDEX(deskripsi!$D$2:$H$337,
   MATCH(1,(deskripsi!$A$2:$A$337=B1152)*
           (deskripsi!$B$2:$B$337=C1152)*
           (deskripsi!$C$2:$C$337=D1152),0),
   F1152)</f>
        <v>Merespons dengan analisis/logika, mengabaikan emosi.</v>
      </c>
    </row>
    <row r="1153" spans="1:7">
      <c r="A1153" t="str">
        <f t="shared" si="17"/>
        <v>Leadership|Department Head|3|2</v>
      </c>
      <c r="B1153" t="str">
        <v>Leadership</v>
      </c>
      <c r="C1153" t="str">
        <v>Department Head</v>
      </c>
      <c r="D1153" s="76">
        <v>3</v>
      </c>
      <c r="E1153" t="str" cm="1">
        <f t="array" ref="E1153">INDEX(aspek!$D$2:$D$337,
   MATCH(1,(aspek!$A$2:$A$337=B1153)*
           (aspek!$B$2:$B$337=C1153)*
           (aspek!$C$2:$C$337=D1153),0))</f>
        <v>Ketepatan respons terhadap emosi</v>
      </c>
      <c r="F1153" s="76">
        <v>2</v>
      </c>
      <c r="G1153" s="56" t="str" cm="1">
        <f t="array" ref="G1153">INDEX(deskripsi!$D$2:$H$337,
   MATCH(1,(deskripsi!$A$2:$A$337=B1153)*
           (deskripsi!$B$2:$B$337=C1153)*
           (deskripsi!$C$2:$C$337=D1153),0),
   F1153)</f>
        <v>Merespons emosi hanya pada situasi personal yang dekat.</v>
      </c>
    </row>
    <row r="1154" spans="1:7">
      <c r="A1154" t="str">
        <f t="shared" si="17"/>
        <v>Leadership|Department Head|3|3</v>
      </c>
      <c r="B1154" t="str">
        <v>Leadership</v>
      </c>
      <c r="C1154" t="str">
        <v>Department Head</v>
      </c>
      <c r="D1154" s="76">
        <v>3</v>
      </c>
      <c r="E1154" t="str" cm="1">
        <f t="array" ref="E1154">INDEX(aspek!$D$2:$D$337,
   MATCH(1,(aspek!$A$2:$A$337=B1154)*
           (aspek!$B$2:$B$337=C1154)*
           (aspek!$C$2:$C$337=D1154),0))</f>
        <v>Ketepatan respons terhadap emosi</v>
      </c>
      <c r="F1154" s="76">
        <v>3</v>
      </c>
      <c r="G1154" s="56" t="str" cm="1">
        <f t="array" ref="G1154">INDEX(deskripsi!$D$2:$H$337,
   MATCH(1,(deskripsi!$A$2:$A$337=B1154)*
           (deskripsi!$B$2:$B$337=C1154)*
           (deskripsi!$C$2:$C$337=D1154),0),
   F1154)</f>
        <v>Merespons emosi secara memadai pada situasi umum.</v>
      </c>
    </row>
    <row r="1155" spans="1:7">
      <c r="A1155" t="str">
        <f t="shared" ref="A1155:A1218" si="18">B1155&amp;"|"&amp;C1155&amp;"|"&amp;D1155&amp;"|"&amp;F1155</f>
        <v>Leadership|Department Head|3|4</v>
      </c>
      <c r="B1155" t="str">
        <v>Leadership</v>
      </c>
      <c r="C1155" t="str">
        <v>Department Head</v>
      </c>
      <c r="D1155" s="76">
        <v>3</v>
      </c>
      <c r="E1155" t="str" cm="1">
        <f t="array" ref="E1155">INDEX(aspek!$D$2:$D$337,
   MATCH(1,(aspek!$A$2:$A$337=B1155)*
           (aspek!$B$2:$B$337=C1155)*
           (aspek!$C$2:$C$337=D1155),0))</f>
        <v>Ketepatan respons terhadap emosi</v>
      </c>
      <c r="F1155" s="76">
        <v>4</v>
      </c>
      <c r="G1155" s="56" t="str" cm="1">
        <f t="array" ref="G1155">INDEX(deskripsi!$D$2:$H$337,
   MATCH(1,(deskripsi!$A$2:$A$337=B1155)*
           (deskripsi!$B$2:$B$337=C1155)*
           (deskripsi!$C$2:$C$337=D1155),0),
   F1155)</f>
        <v>Merespons emosi secara tepat dan konsisten, termasuk pada situasi kelompok yang kompleks.</v>
      </c>
    </row>
    <row r="1156" spans="1:7">
      <c r="A1156" t="str">
        <f t="shared" si="18"/>
        <v>Leadership|Department Head|3|5</v>
      </c>
      <c r="B1156" t="str">
        <v>Leadership</v>
      </c>
      <c r="C1156" t="str">
        <v>Department Head</v>
      </c>
      <c r="D1156" s="76">
        <v>3</v>
      </c>
      <c r="E1156" t="str" cm="1">
        <f t="array" ref="E1156">INDEX(aspek!$D$2:$D$337,
   MATCH(1,(aspek!$A$2:$A$337=B1156)*
           (aspek!$B$2:$B$337=C1156)*
           (aspek!$C$2:$C$337=D1156),0))</f>
        <v>Ketepatan respons terhadap emosi</v>
      </c>
      <c r="F1156" s="76">
        <v>5</v>
      </c>
      <c r="G1156" s="56" t="str" cm="1">
        <f t="array" ref="G1156">INDEX(deskripsi!$D$2:$H$337,
   MATCH(1,(deskripsi!$A$2:$A$337=B1156)*
           (deskripsi!$B$2:$B$337=C1156)*
           (deskripsi!$C$2:$C$337=D1156),0),
   F1156)</f>
        <v>Responsnya menjadi teladan bagi pemimpin lain.</v>
      </c>
    </row>
    <row r="1157" spans="1:7">
      <c r="A1157" t="str">
        <f t="shared" si="18"/>
        <v>Leadership|Department Head|4|1</v>
      </c>
      <c r="B1157" t="str">
        <v>Leadership</v>
      </c>
      <c r="C1157" t="str">
        <v>Department Head</v>
      </c>
      <c r="D1157" s="76">
        <v>4</v>
      </c>
      <c r="E1157" t="str" cm="1">
        <f t="array" ref="E1157">INDEX(aspek!$D$2:$D$337,
   MATCH(1,(aspek!$A$2:$A$337=B1157)*
           (aspek!$B$2:$B$337=C1157)*
           (aspek!$C$2:$C$337=D1157),0))</f>
        <v>Penyesuaian perilaku berbasis kesadaran diri</v>
      </c>
      <c r="F1157" s="76">
        <v>1</v>
      </c>
      <c r="G1157" s="56" t="str" cm="1">
        <f t="array" ref="G1157">INDEX(deskripsi!$D$2:$H$337,
   MATCH(1,(deskripsi!$A$2:$A$337=B1157)*
           (deskripsi!$B$2:$B$337=C1157)*
           (deskripsi!$C$2:$C$337=D1157),0),
   F1157)</f>
        <v>Perilaku tidak berubah meski tahu dampaknya negatif.</v>
      </c>
    </row>
    <row r="1158" spans="1:7">
      <c r="A1158" t="str">
        <f t="shared" si="18"/>
        <v>Leadership|Department Head|4|2</v>
      </c>
      <c r="B1158" t="str">
        <v>Leadership</v>
      </c>
      <c r="C1158" t="str">
        <v>Department Head</v>
      </c>
      <c r="D1158" s="76">
        <v>4</v>
      </c>
      <c r="E1158" t="str" cm="1">
        <f t="array" ref="E1158">INDEX(aspek!$D$2:$D$337,
   MATCH(1,(aspek!$A$2:$A$337=B1158)*
           (aspek!$B$2:$B$337=C1158)*
           (aspek!$C$2:$C$337=D1158),0))</f>
        <v>Penyesuaian perilaku berbasis kesadaran diri</v>
      </c>
      <c r="F1158" s="76">
        <v>2</v>
      </c>
      <c r="G1158" s="56" t="str" cm="1">
        <f t="array" ref="G1158">INDEX(deskripsi!$D$2:$H$337,
   MATCH(1,(deskripsi!$A$2:$A$337=B1158)*
           (deskripsi!$B$2:$B$337=C1158)*
           (deskripsi!$C$2:$C$337=D1158),0),
   F1158)</f>
        <v>Menyesuaikan hanya setelah ditegur.</v>
      </c>
    </row>
    <row r="1159" spans="1:7">
      <c r="A1159" t="str">
        <f t="shared" si="18"/>
        <v>Leadership|Department Head|4|3</v>
      </c>
      <c r="B1159" t="str">
        <v>Leadership</v>
      </c>
      <c r="C1159" t="str">
        <v>Department Head</v>
      </c>
      <c r="D1159" s="76">
        <v>4</v>
      </c>
      <c r="E1159" t="str" cm="1">
        <f t="array" ref="E1159">INDEX(aspek!$D$2:$D$337,
   MATCH(1,(aspek!$A$2:$A$337=B1159)*
           (aspek!$B$2:$B$337=C1159)*
           (aspek!$C$2:$C$337=D1159),0))</f>
        <v>Penyesuaian perilaku berbasis kesadaran diri</v>
      </c>
      <c r="F1159" s="76">
        <v>3</v>
      </c>
      <c r="G1159" s="56" t="str" cm="1">
        <f t="array" ref="G1159">INDEX(deskripsi!$D$2:$H$337,
   MATCH(1,(deskripsi!$A$2:$A$337=B1159)*
           (deskripsi!$B$2:$B$337=C1159)*
           (deskripsi!$C$2:$C$337=D1159),0),
   F1159)</f>
        <v>Menyesuaikan pada kasus yang jelas berdampak buruk.</v>
      </c>
    </row>
    <row r="1160" spans="1:7">
      <c r="A1160" t="str">
        <f t="shared" si="18"/>
        <v>Leadership|Department Head|4|4</v>
      </c>
      <c r="B1160" t="str">
        <v>Leadership</v>
      </c>
      <c r="C1160" t="str">
        <v>Department Head</v>
      </c>
      <c r="D1160" s="76">
        <v>4</v>
      </c>
      <c r="E1160" t="str" cm="1">
        <f t="array" ref="E1160">INDEX(aspek!$D$2:$D$337,
   MATCH(1,(aspek!$A$2:$A$337=B1160)*
           (aspek!$B$2:$B$337=C1160)*
           (aspek!$C$2:$C$337=D1160),0))</f>
        <v>Penyesuaian perilaku berbasis kesadaran diri</v>
      </c>
      <c r="F1160" s="76">
        <v>4</v>
      </c>
      <c r="G1160" s="56" t="str" cm="1">
        <f t="array" ref="G1160">INDEX(deskripsi!$D$2:$H$337,
   MATCH(1,(deskripsi!$A$2:$A$337=B1160)*
           (deskripsi!$B$2:$B$337=C1160)*
           (deskripsi!$C$2:$C$337=D1160),0),
   F1160)</f>
        <v>Menyesuaikan gaya komunikasi secara proaktif berdasarkan kesadaran dampak pada individu berbeda.</v>
      </c>
    </row>
    <row r="1161" spans="1:7">
      <c r="A1161" t="str">
        <f t="shared" si="18"/>
        <v>Leadership|Department Head|4|5</v>
      </c>
      <c r="B1161" t="str">
        <v>Leadership</v>
      </c>
      <c r="C1161" t="str">
        <v>Department Head</v>
      </c>
      <c r="D1161" s="76">
        <v>4</v>
      </c>
      <c r="E1161" t="str" cm="1">
        <f t="array" ref="E1161">INDEX(aspek!$D$2:$D$337,
   MATCH(1,(aspek!$A$2:$A$337=B1161)*
           (aspek!$B$2:$B$337=C1161)*
           (aspek!$C$2:$C$337=D1161),0))</f>
        <v>Penyesuaian perilaku berbasis kesadaran diri</v>
      </c>
      <c r="F1161" s="76">
        <v>5</v>
      </c>
      <c r="G1161" s="56" t="str" cm="1">
        <f t="array" ref="G1161">INDEX(deskripsi!$D$2:$H$337,
   MATCH(1,(deskripsi!$A$2:$A$337=B1161)*
           (deskripsi!$B$2:$B$337=C1161)*
           (deskripsi!$C$2:$C$337=D1161),0),
   F1161)</f>
        <v>Penyesuaiannya menjadi kebiasaan yang melekat, tidak lagi perlu usaha sadar.</v>
      </c>
    </row>
    <row r="1162" spans="1:7">
      <c r="A1162" t="str">
        <f t="shared" si="18"/>
        <v>Leadership|Division Head|1|1</v>
      </c>
      <c r="B1162" t="str">
        <v>Leadership</v>
      </c>
      <c r="C1162" t="str">
        <v>Division Head</v>
      </c>
      <c r="D1162" s="76">
        <v>1</v>
      </c>
      <c r="E1162" t="str" cm="1">
        <f t="array" ref="E1162">INDEX(aspek!$D$2:$D$337,
   MATCH(1,(aspek!$A$2:$A$337=B1162)*
           (aspek!$B$2:$B$337=C1162)*
           (aspek!$C$2:$C$337=D1162),0))</f>
        <v>Keluwesan gaya berdasarkan kesiapan</v>
      </c>
      <c r="F1162" s="76">
        <v>1</v>
      </c>
      <c r="G1162" s="56" t="str" cm="1">
        <f t="array" ref="G1162">INDEX(deskripsi!$D$2:$H$337,
   MATCH(1,(deskripsi!$A$2:$A$337=B1162)*
           (deskripsi!$B$2:$B$337=C1162)*
           (deskripsi!$C$2:$C$337=D1162),0),
   F1162)</f>
        <v>Memakai satu gaya yang sama untuk semua orang.</v>
      </c>
    </row>
    <row r="1163" spans="1:7">
      <c r="A1163" t="str">
        <f t="shared" si="18"/>
        <v>Leadership|Division Head|1|2</v>
      </c>
      <c r="B1163" t="str">
        <v>Leadership</v>
      </c>
      <c r="C1163" t="str">
        <v>Division Head</v>
      </c>
      <c r="D1163" s="76">
        <v>1</v>
      </c>
      <c r="E1163" t="str" cm="1">
        <f t="array" ref="E1163">INDEX(aspek!$D$2:$D$337,
   MATCH(1,(aspek!$A$2:$A$337=B1163)*
           (aspek!$B$2:$B$337=C1163)*
           (aspek!$C$2:$C$337=D1163),0))</f>
        <v>Keluwesan gaya berdasarkan kesiapan</v>
      </c>
      <c r="F1163" s="76">
        <v>2</v>
      </c>
      <c r="G1163" s="56" t="str" cm="1">
        <f t="array" ref="G1163">INDEX(deskripsi!$D$2:$H$337,
   MATCH(1,(deskripsi!$A$2:$A$337=B1163)*
           (deskripsi!$B$2:$B$337=C1163)*
           (deskripsi!$C$2:$C$337=D1163),0),
   F1163)</f>
        <v>Menyesuaikan gaya hanya setelah muncul masalah.</v>
      </c>
    </row>
    <row r="1164" spans="1:7">
      <c r="A1164" t="str">
        <f t="shared" si="18"/>
        <v>Leadership|Division Head|1|3</v>
      </c>
      <c r="B1164" t="str">
        <v>Leadership</v>
      </c>
      <c r="C1164" t="str">
        <v>Division Head</v>
      </c>
      <c r="D1164" s="76">
        <v>1</v>
      </c>
      <c r="E1164" t="str" cm="1">
        <f t="array" ref="E1164">INDEX(aspek!$D$2:$D$337,
   MATCH(1,(aspek!$A$2:$A$337=B1164)*
           (aspek!$B$2:$B$337=C1164)*
           (aspek!$C$2:$C$337=D1164),0))</f>
        <v>Keluwesan gaya berdasarkan kesiapan</v>
      </c>
      <c r="F1164" s="76">
        <v>3</v>
      </c>
      <c r="G1164" s="56" t="str" cm="1">
        <f t="array" ref="G1164">INDEX(deskripsi!$D$2:$H$337,
   MATCH(1,(deskripsi!$A$2:$A$337=B1164)*
           (deskripsi!$B$2:$B$337=C1164)*
           (deskripsi!$C$2:$C$337=D1164),0),
   F1164)</f>
        <v>Membedakan gaya antara yang berpengalaman dan yang masih baru.</v>
      </c>
    </row>
    <row r="1165" spans="1:7">
      <c r="A1165" t="str">
        <f t="shared" si="18"/>
        <v>Leadership|Division Head|1|4</v>
      </c>
      <c r="B1165" t="str">
        <v>Leadership</v>
      </c>
      <c r="C1165" t="str">
        <v>Division Head</v>
      </c>
      <c r="D1165" s="76">
        <v>1</v>
      </c>
      <c r="E1165" t="str" cm="1">
        <f t="array" ref="E1165">INDEX(aspek!$D$2:$D$337,
   MATCH(1,(aspek!$A$2:$A$337=B1165)*
           (aspek!$B$2:$B$337=C1165)*
           (aspek!$C$2:$C$337=D1165),0))</f>
        <v>Keluwesan gaya berdasarkan kesiapan</v>
      </c>
      <c r="F1165" s="76">
        <v>4</v>
      </c>
      <c r="G1165" s="56" t="str" cm="1">
        <f t="array" ref="G1165">INDEX(deskripsi!$D$2:$H$337,
   MATCH(1,(deskripsi!$A$2:$A$337=B1165)*
           (deskripsi!$B$2:$B$337=C1165)*
           (deskripsi!$C$2:$C$337=D1165),0),
   F1165)</f>
        <v>Menyesuaikan tingkat arahan dan dukungan sesuai kesiapan tiap orang pada tugas tertentu.</v>
      </c>
    </row>
    <row r="1166" spans="1:7">
      <c r="A1166" t="str">
        <f t="shared" si="18"/>
        <v>Leadership|Division Head|1|5</v>
      </c>
      <c r="B1166" t="str">
        <v>Leadership</v>
      </c>
      <c r="C1166" t="str">
        <v>Division Head</v>
      </c>
      <c r="D1166" s="76">
        <v>1</v>
      </c>
      <c r="E1166" t="str" cm="1">
        <f t="array" ref="E1166">INDEX(aspek!$D$2:$D$337,
   MATCH(1,(aspek!$A$2:$A$337=B1166)*
           (aspek!$B$2:$B$337=C1166)*
           (aspek!$C$2:$C$337=D1166),0))</f>
        <v>Keluwesan gaya berdasarkan kesiapan</v>
      </c>
      <c r="F1166" s="76">
        <v>5</v>
      </c>
      <c r="G1166" s="56" t="str" cm="1">
        <f t="array" ref="G1166">INDEX(deskripsi!$D$2:$H$337,
   MATCH(1,(deskripsi!$A$2:$A$337=B1166)*
           (deskripsi!$B$2:$B$337=C1166)*
           (deskripsi!$C$2:$C$337=D1166),0),
   F1166)</f>
        <v>Membaca kesiapan akurat dan mengubah gaya bahkan dalam satu percakapan.</v>
      </c>
    </row>
    <row r="1167" spans="1:7">
      <c r="A1167" t="str">
        <f t="shared" si="18"/>
        <v>Leadership|Division Head|2|1</v>
      </c>
      <c r="B1167" t="str">
        <v>Leadership</v>
      </c>
      <c r="C1167" t="str">
        <v>Division Head</v>
      </c>
      <c r="D1167" s="76">
        <v>2</v>
      </c>
      <c r="E1167" t="str" cm="1">
        <f t="array" ref="E1167">INDEX(aspek!$D$2:$D$337,
   MATCH(1,(aspek!$A$2:$A$337=B1167)*
           (aspek!$B$2:$B$337=C1167)*
           (aspek!$C$2:$C$337=D1167),0))</f>
        <v>Jeda dan kualitas respons di bawah tekanann</v>
      </c>
      <c r="F1167" s="76">
        <v>1</v>
      </c>
      <c r="G1167" s="56" t="str" cm="1">
        <f t="array" ref="G1167">INDEX(deskripsi!$D$2:$H$337,
   MATCH(1,(deskripsi!$A$2:$A$337=B1167)*
           (deskripsi!$B$2:$B$337=C1167)*
           (deskripsi!$C$2:$C$337=D1167),0),
   F1167)</f>
        <v>Bereaksi impulsif tanpa jeda.</v>
      </c>
    </row>
    <row r="1168" spans="1:7">
      <c r="A1168" t="str">
        <f t="shared" si="18"/>
        <v>Leadership|Division Head|2|2</v>
      </c>
      <c r="B1168" t="str">
        <v>Leadership</v>
      </c>
      <c r="C1168" t="str">
        <v>Division Head</v>
      </c>
      <c r="D1168" s="76">
        <v>2</v>
      </c>
      <c r="E1168" t="str" cm="1">
        <f t="array" ref="E1168">INDEX(aspek!$D$2:$D$337,
   MATCH(1,(aspek!$A$2:$A$337=B1168)*
           (aspek!$B$2:$B$337=C1168)*
           (aspek!$C$2:$C$337=D1168),0))</f>
        <v>Jeda dan kualitas respons di bawah tekanann</v>
      </c>
      <c r="F1168" s="76">
        <v>2</v>
      </c>
      <c r="G1168" s="56" t="str" cm="1">
        <f t="array" ref="G1168">INDEX(deskripsi!$D$2:$H$337,
   MATCH(1,(deskripsi!$A$2:$A$337=B1168)*
           (deskripsi!$B$2:$B$337=C1168)*
           (deskripsi!$C$2:$C$337=D1168),0),
   F1168)</f>
        <v>Menyadari reaksi berlebihan setelah terjadi.</v>
      </c>
    </row>
    <row r="1169" spans="1:7">
      <c r="A1169" t="str">
        <f t="shared" si="18"/>
        <v>Leadership|Division Head|2|3</v>
      </c>
      <c r="B1169" t="str">
        <v>Leadership</v>
      </c>
      <c r="C1169" t="str">
        <v>Division Head</v>
      </c>
      <c r="D1169" s="76">
        <v>2</v>
      </c>
      <c r="E1169" t="str" cm="1">
        <f t="array" ref="E1169">INDEX(aspek!$D$2:$D$337,
   MATCH(1,(aspek!$A$2:$A$337=B1169)*
           (aspek!$B$2:$B$337=C1169)*
           (aspek!$C$2:$C$337=D1169),0))</f>
        <v>Jeda dan kualitas respons di bawah tekanann</v>
      </c>
      <c r="F1169" s="76">
        <v>3</v>
      </c>
      <c r="G1169" s="56" t="str" cm="1">
        <f t="array" ref="G1169">INDEX(deskripsi!$D$2:$H$337,
   MATCH(1,(deskripsi!$A$2:$A$337=B1169)*
           (deskripsi!$B$2:$B$337=C1169)*
           (deskripsi!$C$2:$C$337=D1169),0),
   F1169)</f>
        <v>Mengenali emosi dan memilih respons, meski butuh usaha.</v>
      </c>
    </row>
    <row r="1170" spans="1:7">
      <c r="A1170" t="str">
        <f t="shared" si="18"/>
        <v>Leadership|Division Head|2|4</v>
      </c>
      <c r="B1170" t="str">
        <v>Leadership</v>
      </c>
      <c r="C1170" t="str">
        <v>Division Head</v>
      </c>
      <c r="D1170" s="76">
        <v>2</v>
      </c>
      <c r="E1170" t="str" cm="1">
        <f t="array" ref="E1170">INDEX(aspek!$D$2:$D$337,
   MATCH(1,(aspek!$A$2:$A$337=B1170)*
           (aspek!$B$2:$B$337=C1170)*
           (aspek!$C$2:$C$337=D1170),0))</f>
        <v>Jeda dan kualitas respons di bawah tekanann</v>
      </c>
      <c r="F1170" s="76">
        <v>4</v>
      </c>
      <c r="G1170" s="56" t="str" cm="1">
        <f t="array" ref="G1170">INDEX(deskripsi!$D$2:$H$337,
   MATCH(1,(deskripsi!$A$2:$A$337=B1170)*
           (deskripsi!$B$2:$B$337=C1170)*
           (deskripsi!$C$2:$C$337=D1170),0),
   F1170)</f>
        <v>Tetap tenang dan profesional secara konsisten, menjaga kualitas keputusan.</v>
      </c>
    </row>
    <row r="1171" spans="1:7">
      <c r="A1171" t="str">
        <f t="shared" si="18"/>
        <v>Leadership|Division Head|2|5</v>
      </c>
      <c r="B1171" t="str">
        <v>Leadership</v>
      </c>
      <c r="C1171" t="str">
        <v>Division Head</v>
      </c>
      <c r="D1171" s="76">
        <v>2</v>
      </c>
      <c r="E1171" t="str" cm="1">
        <f t="array" ref="E1171">INDEX(aspek!$D$2:$D$337,
   MATCH(1,(aspek!$A$2:$A$337=B1171)*
           (aspek!$B$2:$B$337=C1171)*
           (aspek!$C$2:$C$337=D1171),0))</f>
        <v>Jeda dan kualitas respons di bawah tekanann</v>
      </c>
      <c r="F1171" s="76">
        <v>5</v>
      </c>
      <c r="G1171" s="56" t="str" cm="1">
        <f t="array" ref="G1171">INDEX(deskripsi!$D$2:$H$337,
   MATCH(1,(deskripsi!$A$2:$A$337=B1171)*
           (deskripsi!$B$2:$B$337=C1171)*
           (deskripsi!$C$2:$C$337=D1171),0),
   F1171)</f>
        <v>Menenangkan orang lain dan menjaga kualitas keputusan sekaligus.</v>
      </c>
    </row>
    <row r="1172" spans="1:7">
      <c r="A1172" t="str">
        <f t="shared" si="18"/>
        <v>Leadership|Division Head|3|1</v>
      </c>
      <c r="B1172" t="str">
        <v>Leadership</v>
      </c>
      <c r="C1172" t="str">
        <v>Division Head</v>
      </c>
      <c r="D1172" s="76">
        <v>3</v>
      </c>
      <c r="E1172" t="str" cm="1">
        <f t="array" ref="E1172">INDEX(aspek!$D$2:$D$337,
   MATCH(1,(aspek!$A$2:$A$337=B1172)*
           (aspek!$B$2:$B$337=C1172)*
           (aspek!$C$2:$C$337=D1172),0))</f>
        <v>Akurasi membaca kesiapan</v>
      </c>
      <c r="F1172" s="76">
        <v>1</v>
      </c>
      <c r="G1172" s="56" t="str" cm="1">
        <f t="array" ref="G1172">INDEX(deskripsi!$D$2:$H$337,
   MATCH(1,(deskripsi!$A$2:$A$337=B1172)*
           (deskripsi!$B$2:$B$337=C1172)*
           (deskripsi!$C$2:$C$337=D1172),0),
   F1172)</f>
        <v>Tidak menilai kesiapan sebelum memberi tugas.</v>
      </c>
    </row>
    <row r="1173" spans="1:7">
      <c r="A1173" t="str">
        <f t="shared" si="18"/>
        <v>Leadership|Division Head|3|2</v>
      </c>
      <c r="B1173" t="str">
        <v>Leadership</v>
      </c>
      <c r="C1173" t="str">
        <v>Division Head</v>
      </c>
      <c r="D1173" s="76">
        <v>3</v>
      </c>
      <c r="E1173" t="str" cm="1">
        <f t="array" ref="E1173">INDEX(aspek!$D$2:$D$337,
   MATCH(1,(aspek!$A$2:$A$337=B1173)*
           (aspek!$B$2:$B$337=C1173)*
           (aspek!$C$2:$C$337=D1173),0))</f>
        <v>Akurasi membaca kesiapan</v>
      </c>
      <c r="F1173" s="76">
        <v>2</v>
      </c>
      <c r="G1173" s="56" t="str" cm="1">
        <f t="array" ref="G1173">INDEX(deskripsi!$D$2:$H$337,
   MATCH(1,(deskripsi!$A$2:$A$337=B1173)*
           (deskripsi!$B$2:$B$337=C1173)*
           (deskripsi!$C$2:$C$337=D1173),0),
   F1173)</f>
        <v>Menilai kesiapan berdasarkan kesan umum.</v>
      </c>
    </row>
    <row r="1174" spans="1:7">
      <c r="A1174" t="str">
        <f t="shared" si="18"/>
        <v>Leadership|Division Head|3|3</v>
      </c>
      <c r="B1174" t="str">
        <v>Leadership</v>
      </c>
      <c r="C1174" t="str">
        <v>Division Head</v>
      </c>
      <c r="D1174" s="76">
        <v>3</v>
      </c>
      <c r="E1174" t="str" cm="1">
        <f t="array" ref="E1174">INDEX(aspek!$D$2:$D$337,
   MATCH(1,(aspek!$A$2:$A$337=B1174)*
           (aspek!$B$2:$B$337=C1174)*
           (aspek!$C$2:$C$337=D1174),0))</f>
        <v>Akurasi membaca kesiapan</v>
      </c>
      <c r="F1174" s="76">
        <v>3</v>
      </c>
      <c r="G1174" s="56" t="str" cm="1">
        <f t="array" ref="G1174">INDEX(deskripsi!$D$2:$H$337,
   MATCH(1,(deskripsi!$A$2:$A$337=B1174)*
           (deskripsi!$B$2:$B$337=C1174)*
           (deskripsi!$C$2:$C$337=D1174),0),
   F1174)</f>
        <v>Menilai kesiapan berdasarkan pengalaman formal.</v>
      </c>
    </row>
    <row r="1175" spans="1:7">
      <c r="A1175" t="str">
        <f t="shared" si="18"/>
        <v>Leadership|Division Head|3|4</v>
      </c>
      <c r="B1175" t="str">
        <v>Leadership</v>
      </c>
      <c r="C1175" t="str">
        <v>Division Head</v>
      </c>
      <c r="D1175" s="76">
        <v>3</v>
      </c>
      <c r="E1175" t="str" cm="1">
        <f t="array" ref="E1175">INDEX(aspek!$D$2:$D$337,
   MATCH(1,(aspek!$A$2:$A$337=B1175)*
           (aspek!$B$2:$B$337=C1175)*
           (aspek!$C$2:$C$337=D1175),0))</f>
        <v>Akurasi membaca kesiapan</v>
      </c>
      <c r="F1175" s="76">
        <v>4</v>
      </c>
      <c r="G1175" s="56" t="str" cm="1">
        <f t="array" ref="G1175">INDEX(deskripsi!$D$2:$H$337,
   MATCH(1,(deskripsi!$A$2:$A$337=B1175)*
           (deskripsi!$B$2:$B$337=C1175)*
           (deskripsi!$C$2:$C$337=D1175),0),
   F1175)</f>
        <v>Mendiagnosis kesiapan secara akurat, membedakan kekurangan skill dari kekurangan will.</v>
      </c>
    </row>
    <row r="1176" spans="1:7">
      <c r="A1176" t="str">
        <f t="shared" si="18"/>
        <v>Leadership|Division Head|3|5</v>
      </c>
      <c r="B1176" t="str">
        <v>Leadership</v>
      </c>
      <c r="C1176" t="str">
        <v>Division Head</v>
      </c>
      <c r="D1176" s="76">
        <v>3</v>
      </c>
      <c r="E1176" t="str" cm="1">
        <f t="array" ref="E1176">INDEX(aspek!$D$2:$D$337,
   MATCH(1,(aspek!$A$2:$A$337=B1176)*
           (aspek!$B$2:$B$337=C1176)*
           (aspek!$C$2:$C$337=D1176),0))</f>
        <v>Akurasi membaca kesiapan</v>
      </c>
      <c r="F1176" s="76">
        <v>5</v>
      </c>
      <c r="G1176" s="56" t="str" cm="1">
        <f t="array" ref="G1176">INDEX(deskripsi!$D$2:$H$337,
   MATCH(1,(deskripsi!$A$2:$A$337=B1176)*
           (deskripsi!$B$2:$B$337=C1176)*
           (deskripsi!$C$2:$C$337=D1176),0),
   F1176)</f>
        <v>Diagnosisnya dikonfirmasi akurat bahkan oleh orang yang dinilai sendiri.</v>
      </c>
    </row>
    <row r="1177" spans="1:7">
      <c r="A1177" t="str">
        <f t="shared" si="18"/>
        <v>Leadership|Division Head|4|1</v>
      </c>
      <c r="B1177" t="str">
        <v>Leadership</v>
      </c>
      <c r="C1177" t="str">
        <v>Division Head</v>
      </c>
      <c r="D1177" s="76">
        <v>4</v>
      </c>
      <c r="E1177" t="str" cm="1">
        <f t="array" ref="E1177">INDEX(aspek!$D$2:$D$337,
   MATCH(1,(aspek!$A$2:$A$337=B1177)*
           (aspek!$B$2:$B$337=C1177)*
           (aspek!$C$2:$C$337=D1177),0))</f>
        <v>Ketenangan yang dipersepsikan orang lain</v>
      </c>
      <c r="F1177" s="76">
        <v>1</v>
      </c>
      <c r="G1177" s="56" t="str" cm="1">
        <f t="array" ref="G1177">INDEX(deskripsi!$D$2:$H$337,
   MATCH(1,(deskripsi!$A$2:$A$337=B1177)*
           (deskripsi!$B$2:$B$337=C1177)*
           (deskripsi!$C$2:$C$337=D1177),0),
   F1177)</f>
        <v>Terlihat panik atau reaktif oleh tim.</v>
      </c>
    </row>
    <row r="1178" spans="1:7">
      <c r="A1178" t="str">
        <f t="shared" si="18"/>
        <v>Leadership|Division Head|4|2</v>
      </c>
      <c r="B1178" t="str">
        <v>Leadership</v>
      </c>
      <c r="C1178" t="str">
        <v>Division Head</v>
      </c>
      <c r="D1178" s="76">
        <v>4</v>
      </c>
      <c r="E1178" t="str" cm="1">
        <f t="array" ref="E1178">INDEX(aspek!$D$2:$D$337,
   MATCH(1,(aspek!$A$2:$A$337=B1178)*
           (aspek!$B$2:$B$337=C1178)*
           (aspek!$C$2:$C$337=D1178),0))</f>
        <v>Ketenangan yang dipersepsikan orang lain</v>
      </c>
      <c r="F1178" s="76">
        <v>2</v>
      </c>
      <c r="G1178" s="56" t="str" cm="1">
        <f t="array" ref="G1178">INDEX(deskripsi!$D$2:$H$337,
   MATCH(1,(deskripsi!$A$2:$A$337=B1178)*
           (deskripsi!$B$2:$B$337=C1178)*
           (deskripsi!$C$2:$C$337=D1178),0),
   F1178)</f>
        <v>Terlihat tenang di permukaan, ketegangan terasa.</v>
      </c>
    </row>
    <row r="1179" spans="1:7">
      <c r="A1179" t="str">
        <f t="shared" si="18"/>
        <v>Leadership|Division Head|4|3</v>
      </c>
      <c r="B1179" t="str">
        <v>Leadership</v>
      </c>
      <c r="C1179" t="str">
        <v>Division Head</v>
      </c>
      <c r="D1179" s="76">
        <v>4</v>
      </c>
      <c r="E1179" t="str" cm="1">
        <f t="array" ref="E1179">INDEX(aspek!$D$2:$D$337,
   MATCH(1,(aspek!$A$2:$A$337=B1179)*
           (aspek!$B$2:$B$337=C1179)*
           (aspek!$C$2:$C$337=D1179),0))</f>
        <v>Ketenangan yang dipersepsikan orang lain</v>
      </c>
      <c r="F1179" s="76">
        <v>3</v>
      </c>
      <c r="G1179" s="56" t="str" cm="1">
        <f t="array" ref="G1179">INDEX(deskripsi!$D$2:$H$337,
   MATCH(1,(deskripsi!$A$2:$A$337=B1179)*
           (deskripsi!$B$2:$B$337=C1179)*
           (deskripsi!$C$2:$C$337=D1179),0),
   F1179)</f>
        <v>Terlihat tenang pada tekanan sedang.</v>
      </c>
    </row>
    <row r="1180" spans="1:7">
      <c r="A1180" t="str">
        <f t="shared" si="18"/>
        <v>Leadership|Division Head|4|4</v>
      </c>
      <c r="B1180" t="str">
        <v>Leadership</v>
      </c>
      <c r="C1180" t="str">
        <v>Division Head</v>
      </c>
      <c r="D1180" s="76">
        <v>4</v>
      </c>
      <c r="E1180" t="str" cm="1">
        <f t="array" ref="E1180">INDEX(aspek!$D$2:$D$337,
   MATCH(1,(aspek!$A$2:$A$337=B1180)*
           (aspek!$B$2:$B$337=C1180)*
           (aspek!$C$2:$C$337=D1180),0))</f>
        <v>Ketenangan yang dipersepsikan orang lain</v>
      </c>
      <c r="F1180" s="76">
        <v>4</v>
      </c>
      <c r="G1180" s="56" t="str" cm="1">
        <f t="array" ref="G1180">INDEX(deskripsi!$D$2:$H$337,
   MATCH(1,(deskripsi!$A$2:$A$337=B1180)*
           (deskripsi!$B$2:$B$337=C1180)*
           (deskripsi!$C$2:$C$337=D1180),0),
   F1180)</f>
        <v>Konsisten terlihat tenang bahkan pada tekanan tinggi.</v>
      </c>
    </row>
    <row r="1181" spans="1:7">
      <c r="A1181" t="str">
        <f t="shared" si="18"/>
        <v>Leadership|Division Head|4|5</v>
      </c>
      <c r="B1181" t="str">
        <v>Leadership</v>
      </c>
      <c r="C1181" t="str">
        <v>Division Head</v>
      </c>
      <c r="D1181" s="76">
        <v>4</v>
      </c>
      <c r="E1181" t="str" cm="1">
        <f t="array" ref="E1181">INDEX(aspek!$D$2:$D$337,
   MATCH(1,(aspek!$A$2:$A$337=B1181)*
           (aspek!$B$2:$B$337=C1181)*
           (aspek!$C$2:$C$337=D1181),0))</f>
        <v>Ketenangan yang dipersepsikan orang lain</v>
      </c>
      <c r="F1181" s="76">
        <v>5</v>
      </c>
      <c r="G1181" s="56" t="str" cm="1">
        <f t="array" ref="G1181">INDEX(deskripsi!$D$2:$H$337,
   MATCH(1,(deskripsi!$A$2:$A$337=B1181)*
           (deskripsi!$B$2:$B$337=C1181)*
           (deskripsi!$C$2:$C$337=D1181),0),
   F1181)</f>
        <v>Ketenangannya menjadi jangkar bagi tim di sekitarnya.</v>
      </c>
    </row>
    <row r="1182" spans="1:7">
      <c r="A1182" t="str">
        <f t="shared" si="18"/>
        <v>Leadership|Director|1|1</v>
      </c>
      <c r="B1182" t="str">
        <v>Leadership</v>
      </c>
      <c r="C1182" t="str">
        <v>Director</v>
      </c>
      <c r="D1182" s="76">
        <v>1</v>
      </c>
      <c r="E1182" t="str" cm="1">
        <f t="array" ref="E1182">INDEX(aspek!$D$2:$D$337,
   MATCH(1,(aspek!$A$2:$A$337=B1182)*
           (aspek!$B$2:$B$337=C1182)*
           (aspek!$C$2:$C$337=D1182),0))</f>
        <v>Netralitas yang dipersepsikan</v>
      </c>
      <c r="F1182" s="76">
        <v>1</v>
      </c>
      <c r="G1182" s="56" t="str" cm="1">
        <f t="array" ref="G1182">INDEX(deskripsi!$D$2:$H$337,
   MATCH(1,(deskripsi!$A$2:$A$337=B1182)*
           (deskripsi!$B$2:$B$337=C1182)*
           (deskripsi!$C$2:$C$337=D1182),0),
   F1182)</f>
        <v>Dianggap berpihak oleh salah satu atau kedua pihak.</v>
      </c>
    </row>
    <row r="1183" spans="1:7">
      <c r="A1183" t="str">
        <f t="shared" si="18"/>
        <v>Leadership|Director|1|2</v>
      </c>
      <c r="B1183" t="str">
        <v>Leadership</v>
      </c>
      <c r="C1183" t="str">
        <v>Director</v>
      </c>
      <c r="D1183" s="76">
        <v>1</v>
      </c>
      <c r="E1183" t="str" cm="1">
        <f t="array" ref="E1183">INDEX(aspek!$D$2:$D$337,
   MATCH(1,(aspek!$A$2:$A$337=B1183)*
           (aspek!$B$2:$B$337=C1183)*
           (aspek!$C$2:$C$337=D1183),0))</f>
        <v>Netralitas yang dipersepsikan</v>
      </c>
      <c r="F1183" s="76">
        <v>2</v>
      </c>
      <c r="G1183" s="56" t="str" cm="1">
        <f t="array" ref="G1183">INDEX(deskripsi!$D$2:$H$337,
   MATCH(1,(deskripsi!$A$2:$A$337=B1183)*
           (deskripsi!$B$2:$B$337=C1183)*
           (deskripsi!$C$2:$C$337=D1183),0),
   F1183)</f>
        <v>Dipercaya oleh sebagian pihak saja.</v>
      </c>
    </row>
    <row r="1184" spans="1:7">
      <c r="A1184" t="str">
        <f t="shared" si="18"/>
        <v>Leadership|Director|1|3</v>
      </c>
      <c r="B1184" t="str">
        <v>Leadership</v>
      </c>
      <c r="C1184" t="str">
        <v>Director</v>
      </c>
      <c r="D1184" s="76">
        <v>1</v>
      </c>
      <c r="E1184" t="str" cm="1">
        <f t="array" ref="E1184">INDEX(aspek!$D$2:$D$337,
   MATCH(1,(aspek!$A$2:$A$337=B1184)*
           (aspek!$B$2:$B$337=C1184)*
           (aspek!$C$2:$C$337=D1184),0))</f>
        <v>Netralitas yang dipersepsikan</v>
      </c>
      <c r="F1184" s="76">
        <v>3</v>
      </c>
      <c r="G1184" s="56" t="str" cm="1">
        <f t="array" ref="G1184">INDEX(deskripsi!$D$2:$H$337,
   MATCH(1,(deskripsi!$A$2:$A$337=B1184)*
           (deskripsi!$B$2:$B$337=C1184)*
           (deskripsi!$C$2:$C$337=D1184),0),
   F1184)</f>
        <v>Dipercaya kedua pihak pada konflik sederhana.</v>
      </c>
    </row>
    <row r="1185" spans="1:7">
      <c r="A1185" t="str">
        <f t="shared" si="18"/>
        <v>Leadership|Director|1|4</v>
      </c>
      <c r="B1185" t="str">
        <v>Leadership</v>
      </c>
      <c r="C1185" t="str">
        <v>Director</v>
      </c>
      <c r="D1185" s="76">
        <v>1</v>
      </c>
      <c r="E1185" t="str" cm="1">
        <f t="array" ref="E1185">INDEX(aspek!$D$2:$D$337,
   MATCH(1,(aspek!$A$2:$A$337=B1185)*
           (aspek!$B$2:$B$337=C1185)*
           (aspek!$C$2:$C$337=D1185),0))</f>
        <v>Netralitas yang dipersepsikan</v>
      </c>
      <c r="F1185" s="76">
        <v>4</v>
      </c>
      <c r="G1185" s="56" t="str" cm="1">
        <f t="array" ref="G1185">INDEX(deskripsi!$D$2:$H$337,
   MATCH(1,(deskripsi!$A$2:$A$337=B1185)*
           (deskripsi!$B$2:$B$337=C1185)*
           (deskripsi!$C$2:$C$337=D1185),0),
   F1185)</f>
        <v>Dipercaya sebagai netral oleh kedua pihak, bahkan pada konflik strategis kompleks.</v>
      </c>
    </row>
    <row r="1186" spans="1:7">
      <c r="A1186" t="str">
        <f t="shared" si="18"/>
        <v>Leadership|Director|1|5</v>
      </c>
      <c r="B1186" t="str">
        <v>Leadership</v>
      </c>
      <c r="C1186" t="str">
        <v>Director</v>
      </c>
      <c r="D1186" s="76">
        <v>1</v>
      </c>
      <c r="E1186" t="str" cm="1">
        <f t="array" ref="E1186">INDEX(aspek!$D$2:$D$337,
   MATCH(1,(aspek!$A$2:$A$337=B1186)*
           (aspek!$B$2:$B$337=C1186)*
           (aspek!$C$2:$C$337=D1186),0))</f>
        <v>Netralitas yang dipersepsikan</v>
      </c>
      <c r="F1186" s="76">
        <v>5</v>
      </c>
      <c r="G1186" s="56" t="str" cm="1">
        <f t="array" ref="G1186">INDEX(deskripsi!$D$2:$H$337,
   MATCH(1,(deskripsi!$A$2:$A$337=B1186)*
           (deskripsi!$B$2:$B$337=C1186)*
           (deskripsi!$C$2:$C$337=D1186),0),
   F1186)</f>
        <v>Menjadi rujukan organisasi ketika dibutuhkan mediator netral.</v>
      </c>
    </row>
    <row r="1187" spans="1:7">
      <c r="A1187" t="str">
        <f t="shared" si="18"/>
        <v>Leadership|Director|2|1</v>
      </c>
      <c r="B1187" t="str">
        <v>Leadership</v>
      </c>
      <c r="C1187" t="str">
        <v>Director</v>
      </c>
      <c r="D1187" s="76">
        <v>2</v>
      </c>
      <c r="E1187" t="str" cm="1">
        <f t="array" ref="E1187">INDEX(aspek!$D$2:$D$337,
   MATCH(1,(aspek!$A$2:$A$337=B1187)*
           (aspek!$B$2:$B$337=C1187)*
           (aspek!$C$2:$C$337=D1187),0))</f>
        <v>Ketinggian dan pelembagaan standar kinerja</v>
      </c>
      <c r="F1187" s="76">
        <v>1</v>
      </c>
      <c r="G1187" s="56" t="str" cm="1">
        <f t="array" ref="G1187">INDEX(deskripsi!$D$2:$H$337,
   MATCH(1,(deskripsi!$A$2:$A$337=B1187)*
           (deskripsi!$B$2:$B$337=C1187)*
           (deskripsi!$C$2:$C$337=D1187),0),
   F1187)</f>
        <v>Menerima standar kinerja yang berlaku apa adanya.</v>
      </c>
    </row>
    <row r="1188" spans="1:7">
      <c r="A1188" t="str">
        <f t="shared" si="18"/>
        <v>Leadership|Director|2|2</v>
      </c>
      <c r="B1188" t="str">
        <v>Leadership</v>
      </c>
      <c r="C1188" t="str">
        <v>Director</v>
      </c>
      <c r="D1188" s="76">
        <v>2</v>
      </c>
      <c r="E1188" t="str" cm="1">
        <f t="array" ref="E1188">INDEX(aspek!$D$2:$D$337,
   MATCH(1,(aspek!$A$2:$A$337=B1188)*
           (aspek!$B$2:$B$337=C1188)*
           (aspek!$C$2:$C$337=D1188),0))</f>
        <v>Ketinggian dan pelembagaan standar kinerja</v>
      </c>
      <c r="F1188" s="76">
        <v>2</v>
      </c>
      <c r="G1188" s="56" t="str" cm="1">
        <f t="array" ref="G1188">INDEX(deskripsi!$D$2:$H$337,
   MATCH(1,(deskripsi!$A$2:$A$337=B1188)*
           (deskripsi!$B$2:$B$337=C1188)*
           (deskripsi!$C$2:$C$337=D1188),0),
   F1188)</f>
        <v>Menaikkan standar hanya ketika diminta.</v>
      </c>
    </row>
    <row r="1189" spans="1:7">
      <c r="A1189" t="str">
        <f t="shared" si="18"/>
        <v>Leadership|Director|2|3</v>
      </c>
      <c r="B1189" t="str">
        <v>Leadership</v>
      </c>
      <c r="C1189" t="str">
        <v>Director</v>
      </c>
      <c r="D1189" s="76">
        <v>2</v>
      </c>
      <c r="E1189" t="str" cm="1">
        <f t="array" ref="E1189">INDEX(aspek!$D$2:$D$337,
   MATCH(1,(aspek!$A$2:$A$337=B1189)*
           (aspek!$B$2:$B$337=C1189)*
           (aspek!$C$2:$C$337=D1189),0))</f>
        <v>Ketinggian dan pelembagaan standar kinerja</v>
      </c>
      <c r="F1189" s="76">
        <v>3</v>
      </c>
      <c r="G1189" s="56" t="str" cm="1">
        <f t="array" ref="G1189">INDEX(deskripsi!$D$2:$H$337,
   MATCH(1,(deskripsi!$A$2:$A$337=B1189)*
           (deskripsi!$B$2:$B$337=C1189)*
           (deskripsi!$C$2:$C$337=D1189),0),
   F1189)</f>
        <v>Menaikkan standar dengan pembanding kinerja sendiri.</v>
      </c>
    </row>
    <row r="1190" spans="1:7">
      <c r="A1190" t="str">
        <f t="shared" si="18"/>
        <v>Leadership|Director|2|4</v>
      </c>
      <c r="B1190" t="str">
        <v>Leadership</v>
      </c>
      <c r="C1190" t="str">
        <v>Director</v>
      </c>
      <c r="D1190" s="76">
        <v>2</v>
      </c>
      <c r="E1190" t="str" cm="1">
        <f t="array" ref="E1190">INDEX(aspek!$D$2:$D$337,
   MATCH(1,(aspek!$A$2:$A$337=B1190)*
           (aspek!$B$2:$B$337=C1190)*
           (aspek!$C$2:$C$337=D1190),0))</f>
        <v>Ketinggian dan pelembagaan standar kinerja</v>
      </c>
      <c r="F1190" s="76">
        <v>4</v>
      </c>
      <c r="G1190" s="56" t="str" cm="1">
        <f t="array" ref="G1190">INDEX(deskripsi!$D$2:$H$337,
   MATCH(1,(deskripsi!$A$2:$A$337=B1190)*
           (deskripsi!$B$2:$B$337=C1190)*
           (deskripsi!$C$2:$C$337=D1190),0),
   F1190)</f>
        <v>Menetapkan standar berdasarkan pembanding eksternal, melembagakannya menjadi sistem yang berjalan tanpa dirinya.</v>
      </c>
    </row>
    <row r="1191" spans="1:7">
      <c r="A1191" t="str">
        <f t="shared" si="18"/>
        <v>Leadership|Director|2|5</v>
      </c>
      <c r="B1191" t="str">
        <v>Leadership</v>
      </c>
      <c r="C1191" t="str">
        <v>Director</v>
      </c>
      <c r="D1191" s="76">
        <v>2</v>
      </c>
      <c r="E1191" t="str" cm="1">
        <f t="array" ref="E1191">INDEX(aspek!$D$2:$D$337,
   MATCH(1,(aspek!$A$2:$A$337=B1191)*
           (aspek!$B$2:$B$337=C1191)*
           (aspek!$C$2:$C$337=D1191),0))</f>
        <v>Ketinggian dan pelembagaan standar kinerja</v>
      </c>
      <c r="F1191" s="76">
        <v>5</v>
      </c>
      <c r="G1191" s="56" t="str" cm="1">
        <f t="array" ref="G1191">INDEX(deskripsi!$D$2:$H$337,
   MATCH(1,(deskripsi!$A$2:$A$337=B1191)*
           (deskripsi!$B$2:$B$337=C1191)*
           (deskripsi!$C$2:$C$337=D1191),0),
   F1191)</f>
        <v>Standar yang ditetapkan menjadi acuan organisasi.</v>
      </c>
    </row>
    <row r="1192" spans="1:7">
      <c r="A1192" t="str">
        <f t="shared" si="18"/>
        <v>Leadership|Director|3|1</v>
      </c>
      <c r="B1192" t="str">
        <v>Leadership</v>
      </c>
      <c r="C1192" t="str">
        <v>Director</v>
      </c>
      <c r="D1192" s="76">
        <v>3</v>
      </c>
      <c r="E1192" t="str" cm="1">
        <f t="array" ref="E1192">INDEX(aspek!$D$2:$D$337,
   MATCH(1,(aspek!$A$2:$A$337=B1192)*
           (aspek!$B$2:$B$337=C1192)*
           (aspek!$C$2:$C$337=D1192),0))</f>
        <v>Kemampuan membangun komitmen jangka panjang</v>
      </c>
      <c r="F1192" s="76">
        <v>1</v>
      </c>
      <c r="G1192" s="56" t="str" cm="1">
        <f t="array" ref="G1192">INDEX(deskripsi!$D$2:$H$337,
   MATCH(1,(deskripsi!$A$2:$A$337=B1192)*
           (deskripsi!$B$2:$B$337=C1192)*
           (deskripsi!$C$2:$C$337=D1192),0),
   F1192)</f>
        <v>Kesepakatan hasil mediasi tidak ditindaklanjuti.</v>
      </c>
    </row>
    <row r="1193" spans="1:7">
      <c r="A1193" t="str">
        <f t="shared" si="18"/>
        <v>Leadership|Director|3|2</v>
      </c>
      <c r="B1193" t="str">
        <v>Leadership</v>
      </c>
      <c r="C1193" t="str">
        <v>Director</v>
      </c>
      <c r="D1193" s="76">
        <v>3</v>
      </c>
      <c r="E1193" t="str" cm="1">
        <f t="array" ref="E1193">INDEX(aspek!$D$2:$D$337,
   MATCH(1,(aspek!$A$2:$A$337=B1193)*
           (aspek!$B$2:$B$337=C1193)*
           (aspek!$C$2:$C$337=D1193),0))</f>
        <v>Kemampuan membangun komitmen jangka panjang</v>
      </c>
      <c r="F1193" s="76">
        <v>2</v>
      </c>
      <c r="G1193" s="56" t="str" cm="1">
        <f t="array" ref="G1193">INDEX(deskripsi!$D$2:$H$337,
   MATCH(1,(deskripsi!$A$2:$A$337=B1193)*
           (deskripsi!$B$2:$B$337=C1193)*
           (deskripsi!$C$2:$C$337=D1193),0),
   F1193)</f>
        <v>Kesepakatan dijalankan sebentar, ditinggalkan.</v>
      </c>
    </row>
    <row r="1194" spans="1:7">
      <c r="A1194" t="str">
        <f t="shared" si="18"/>
        <v>Leadership|Director|3|3</v>
      </c>
      <c r="B1194" t="str">
        <v>Leadership</v>
      </c>
      <c r="C1194" t="str">
        <v>Director</v>
      </c>
      <c r="D1194" s="76">
        <v>3</v>
      </c>
      <c r="E1194" t="str" cm="1">
        <f t="array" ref="E1194">INDEX(aspek!$D$2:$D$337,
   MATCH(1,(aspek!$A$2:$A$337=B1194)*
           (aspek!$B$2:$B$337=C1194)*
           (aspek!$C$2:$C$337=D1194),0))</f>
        <v>Kemampuan membangun komitmen jangka panjang</v>
      </c>
      <c r="F1194" s="76">
        <v>3</v>
      </c>
      <c r="G1194" s="56" t="str" cm="1">
        <f t="array" ref="G1194">INDEX(deskripsi!$D$2:$H$337,
   MATCH(1,(deskripsi!$A$2:$A$337=B1194)*
           (deskripsi!$B$2:$B$337=C1194)*
           (deskripsi!$C$2:$C$337=D1194),0),
   F1194)</f>
        <v>Kesepakatan dijalankan dengan pemantauan ketat.</v>
      </c>
    </row>
    <row r="1195" spans="1:7">
      <c r="A1195" t="str">
        <f t="shared" si="18"/>
        <v>Leadership|Director|3|4</v>
      </c>
      <c r="B1195" t="str">
        <v>Leadership</v>
      </c>
      <c r="C1195" t="str">
        <v>Director</v>
      </c>
      <c r="D1195" s="76">
        <v>3</v>
      </c>
      <c r="E1195" t="str" cm="1">
        <f t="array" ref="E1195">INDEX(aspek!$D$2:$D$337,
   MATCH(1,(aspek!$A$2:$A$337=B1195)*
           (aspek!$B$2:$B$337=C1195)*
           (aspek!$C$2:$C$337=D1195),0))</f>
        <v>Kemampuan membangun komitmen jangka panjang</v>
      </c>
      <c r="F1195" s="76">
        <v>4</v>
      </c>
      <c r="G1195" s="56" t="str" cm="1">
        <f t="array" ref="G1195">INDEX(deskripsi!$D$2:$H$337,
   MATCH(1,(deskripsi!$A$2:$A$337=B1195)*
           (deskripsi!$B$2:$B$337=C1195)*
           (deskripsi!$C$2:$C$337=D1195),0),
   F1195)</f>
        <v>Kesepakatan tetap dijalankan tanpa perlu dinegosiasikan ulang.</v>
      </c>
    </row>
    <row r="1196" spans="1:7">
      <c r="A1196" t="str">
        <f t="shared" si="18"/>
        <v>Leadership|Director|3|5</v>
      </c>
      <c r="B1196" t="str">
        <v>Leadership</v>
      </c>
      <c r="C1196" t="str">
        <v>Director</v>
      </c>
      <c r="D1196" s="76">
        <v>3</v>
      </c>
      <c r="E1196" t="str" cm="1">
        <f t="array" ref="E1196">INDEX(aspek!$D$2:$D$337,
   MATCH(1,(aspek!$A$2:$A$337=B1196)*
           (aspek!$B$2:$B$337=C1196)*
           (aspek!$C$2:$C$337=D1196),0))</f>
        <v>Kemampuan membangun komitmen jangka panjang</v>
      </c>
      <c r="F1196" s="76">
        <v>5</v>
      </c>
      <c r="G1196" s="56" t="str" cm="1">
        <f t="array" ref="G1196">INDEX(deskripsi!$D$2:$H$337,
   MATCH(1,(deskripsi!$A$2:$A$337=B1196)*
           (deskripsi!$B$2:$B$337=C1196)*
           (deskripsi!$C$2:$C$337=D1196),0),
   F1196)</f>
        <v>Kesepakatan menjadi mekanisme kolaborasi permanen.</v>
      </c>
    </row>
    <row r="1197" spans="1:7">
      <c r="A1197" t="str">
        <f t="shared" si="18"/>
        <v>Leadership|Director|4|1</v>
      </c>
      <c r="B1197" t="str">
        <v>Leadership</v>
      </c>
      <c r="C1197" t="str">
        <v>Director</v>
      </c>
      <c r="D1197" s="76">
        <v>4</v>
      </c>
      <c r="E1197" t="str" cm="1">
        <f t="array" ref="E1197">INDEX(aspek!$D$2:$D$337,
   MATCH(1,(aspek!$A$2:$A$337=B1197)*
           (aspek!$B$2:$B$337=C1197)*
           (aspek!$C$2:$C$337=D1197),0))</f>
        <v>Standar bagi diri sendiri</v>
      </c>
      <c r="F1197" s="76">
        <v>1</v>
      </c>
      <c r="G1197" s="56" t="str" cm="1">
        <f t="array" ref="G1197">INDEX(deskripsi!$D$2:$H$337,
   MATCH(1,(deskripsi!$A$2:$A$337=B1197)*
           (deskripsi!$B$2:$B$337=C1197)*
           (deskripsi!$C$2:$C$337=D1197),0),
   F1197)</f>
        <v>Menuntut standar tinggi tanpa menerapkannya sendiri.</v>
      </c>
    </row>
    <row r="1198" spans="1:7">
      <c r="A1198" t="str">
        <f t="shared" si="18"/>
        <v>Leadership|Director|4|2</v>
      </c>
      <c r="B1198" t="str">
        <v>Leadership</v>
      </c>
      <c r="C1198" t="str">
        <v>Director</v>
      </c>
      <c r="D1198" s="76">
        <v>4</v>
      </c>
      <c r="E1198" t="str" cm="1">
        <f t="array" ref="E1198">INDEX(aspek!$D$2:$D$337,
   MATCH(1,(aspek!$A$2:$A$337=B1198)*
           (aspek!$B$2:$B$337=C1198)*
           (aspek!$C$2:$C$337=D1198),0))</f>
        <v>Standar bagi diri sendiri</v>
      </c>
      <c r="F1198" s="76">
        <v>2</v>
      </c>
      <c r="G1198" s="56" t="str" cm="1">
        <f t="array" ref="G1198">INDEX(deskripsi!$D$2:$H$337,
   MATCH(1,(deskripsi!$A$2:$A$337=B1198)*
           (deskripsi!$B$2:$B$337=C1198)*
           (deskripsi!$C$2:$C$337=D1198),0),
   F1198)</f>
        <v>Menerapkan standar yang sama dengan timnya.</v>
      </c>
    </row>
    <row r="1199" spans="1:7">
      <c r="A1199" t="str">
        <f t="shared" si="18"/>
        <v>Leadership|Director|4|3</v>
      </c>
      <c r="B1199" t="str">
        <v>Leadership</v>
      </c>
      <c r="C1199" t="str">
        <v>Director</v>
      </c>
      <c r="D1199" s="76">
        <v>4</v>
      </c>
      <c r="E1199" t="str" cm="1">
        <f t="array" ref="E1199">INDEX(aspek!$D$2:$D$337,
   MATCH(1,(aspek!$A$2:$A$337=B1199)*
           (aspek!$B$2:$B$337=C1199)*
           (aspek!$C$2:$C$337=D1199),0))</f>
        <v>Standar bagi diri sendiri</v>
      </c>
      <c r="F1199" s="76">
        <v>3</v>
      </c>
      <c r="G1199" s="56" t="str" cm="1">
        <f t="array" ref="G1199">INDEX(deskripsi!$D$2:$H$337,
   MATCH(1,(deskripsi!$A$2:$A$337=B1199)*
           (deskripsi!$B$2:$B$337=C1199)*
           (deskripsi!$C$2:$C$337=D1199),0),
   F1199)</f>
        <v>Menetapkan standar pribadi lebih tinggi, disimpan sendiri.</v>
      </c>
    </row>
    <row r="1200" spans="1:7">
      <c r="A1200" t="str">
        <f t="shared" si="18"/>
        <v>Leadership|Director|4|4</v>
      </c>
      <c r="B1200" t="str">
        <v>Leadership</v>
      </c>
      <c r="C1200" t="str">
        <v>Director</v>
      </c>
      <c r="D1200" s="76">
        <v>4</v>
      </c>
      <c r="E1200" t="str" cm="1">
        <f t="array" ref="E1200">INDEX(aspek!$D$2:$D$337,
   MATCH(1,(aspek!$A$2:$A$337=B1200)*
           (aspek!$B$2:$B$337=C1200)*
           (aspek!$C$2:$C$337=D1200),0))</f>
        <v>Standar bagi diri sendiri</v>
      </c>
      <c r="F1200" s="76">
        <v>4</v>
      </c>
      <c r="G1200" s="56" t="str" cm="1">
        <f t="array" ref="G1200">INDEX(deskripsi!$D$2:$H$337,
   MATCH(1,(deskripsi!$A$2:$A$337=B1200)*
           (deskripsi!$B$2:$B$337=C1200)*
           (deskripsi!$C$2:$C$337=D1200),0),
   F1200)</f>
        <v>Menetapkan standar pribadi lebih tinggi, mengumumkannya, melaporkan hasilnya apa adanya.</v>
      </c>
    </row>
    <row r="1201" spans="1:7">
      <c r="A1201" t="str">
        <f t="shared" si="18"/>
        <v>Leadership|Director|4|5</v>
      </c>
      <c r="B1201" t="str">
        <v>Leadership</v>
      </c>
      <c r="C1201" t="str">
        <v>Director</v>
      </c>
      <c r="D1201" s="76">
        <v>4</v>
      </c>
      <c r="E1201" t="str" cm="1">
        <f t="array" ref="E1201">INDEX(aspek!$D$2:$D$337,
   MATCH(1,(aspek!$A$2:$A$337=B1201)*
           (aspek!$B$2:$B$337=C1201)*
           (aspek!$C$2:$C$337=D1201),0))</f>
        <v>Standar bagi diri sendiri</v>
      </c>
      <c r="F1201" s="76">
        <v>5</v>
      </c>
      <c r="G1201" s="56" t="str" cm="1">
        <f t="array" ref="G1201">INDEX(deskripsi!$D$2:$H$337,
   MATCH(1,(deskripsi!$A$2:$A$337=B1201)*
           (deskripsi!$B$2:$B$337=C1201)*
           (deskripsi!$C$2:$C$337=D1201),0),
   F1201)</f>
        <v>Standar pribadinya menjadi rujukan yang ditiru tanpa diminta.</v>
      </c>
    </row>
    <row r="1202" spans="1:7">
      <c r="A1202" t="str">
        <f t="shared" si="18"/>
        <v>Developing Others|Officer|1|1</v>
      </c>
      <c r="B1202" t="str">
        <v>Developing Others</v>
      </c>
      <c r="C1202" t="str">
        <v>Officer</v>
      </c>
      <c r="D1202" s="76">
        <v>1</v>
      </c>
      <c r="E1202" t="str" cm="1">
        <f t="array" ref="E1202">INDEX(aspek!$D$2:$D$337,
   MATCH(1,(aspek!$A$2:$A$337=B1202)*
           (aspek!$B$2:$B$337=C1202)*
           (aspek!$C$2:$C$337=D1202),0))</f>
        <v>Kecepatan menguasai</v>
      </c>
      <c r="F1202" s="76">
        <v>1</v>
      </c>
      <c r="G1202" s="56" t="str" cm="1">
        <f t="array" ref="G1202">INDEX(deskripsi!$D$2:$H$337,
   MATCH(1,(deskripsi!$A$2:$A$337=B1202)*
           (deskripsi!$B$2:$B$337=C1202)*
           (deskripsi!$C$2:$C$337=D1202),0),
   F1202)</f>
        <v>Tidak dapat memakai sistem baru tanpa dituntun langkah demi langkah.</v>
      </c>
    </row>
    <row r="1203" spans="1:7">
      <c r="A1203" t="str">
        <f t="shared" si="18"/>
        <v>Developing Others|Officer|1|2</v>
      </c>
      <c r="B1203" t="str">
        <v>Developing Others</v>
      </c>
      <c r="C1203" t="str">
        <v>Officer</v>
      </c>
      <c r="D1203" s="76">
        <v>1</v>
      </c>
      <c r="E1203" t="str" cm="1">
        <f t="array" ref="E1203">INDEX(aspek!$D$2:$D$337,
   MATCH(1,(aspek!$A$2:$A$337=B1203)*
           (aspek!$B$2:$B$337=C1203)*
           (aspek!$C$2:$C$337=D1203),0))</f>
        <v>Kecepatan menguasai</v>
      </c>
      <c r="F1203" s="76">
        <v>2</v>
      </c>
      <c r="G1203" s="56" t="str" cm="1">
        <f t="array" ref="G1203">INDEX(deskripsi!$D$2:$H$337,
   MATCH(1,(deskripsi!$A$2:$A$337=B1203)*
           (deskripsi!$B$2:$B$337=C1203)*
           (deskripsi!$C$2:$C$337=D1203),0),
   F1203)</f>
        <v>Bisa memakai dengan banyak bantuan berulang.</v>
      </c>
    </row>
    <row r="1204" spans="1:7">
      <c r="A1204" t="str">
        <f t="shared" si="18"/>
        <v>Developing Others|Officer|1|3</v>
      </c>
      <c r="B1204" t="str">
        <v>Developing Others</v>
      </c>
      <c r="C1204" t="str">
        <v>Officer</v>
      </c>
      <c r="D1204" s="76">
        <v>1</v>
      </c>
      <c r="E1204" t="str" cm="1">
        <f t="array" ref="E1204">INDEX(aspek!$D$2:$D$337,
   MATCH(1,(aspek!$A$2:$A$337=B1204)*
           (aspek!$B$2:$B$337=C1204)*
           (aspek!$C$2:$C$337=D1204),0))</f>
        <v>Kecepatan menguasai</v>
      </c>
      <c r="F1204" s="76">
        <v>3</v>
      </c>
      <c r="G1204" s="56" t="str" cm="1">
        <f t="array" ref="G1204">INDEX(deskripsi!$D$2:$H$337,
   MATCH(1,(deskripsi!$A$2:$A$337=B1204)*
           (deskripsi!$B$2:$B$337=C1204)*
           (deskripsi!$C$2:$C$337=D1204),0),
   F1204)</f>
        <v>Bisa memakai secara mandiri, tetapi lambat.</v>
      </c>
    </row>
    <row r="1205" spans="1:7">
      <c r="A1205" t="str">
        <f t="shared" si="18"/>
        <v>Developing Others|Officer|1|4</v>
      </c>
      <c r="B1205" t="str">
        <v>Developing Others</v>
      </c>
      <c r="C1205" t="str">
        <v>Officer</v>
      </c>
      <c r="D1205" s="76">
        <v>1</v>
      </c>
      <c r="E1205" t="str" cm="1">
        <f t="array" ref="E1205">INDEX(aspek!$D$2:$D$337,
   MATCH(1,(aspek!$A$2:$A$337=B1205)*
           (aspek!$B$2:$B$337=C1205)*
           (aspek!$C$2:$C$337=D1205),0))</f>
        <v>Kecepatan menguasai</v>
      </c>
      <c r="F1205" s="76">
        <v>4</v>
      </c>
      <c r="G1205" s="56" t="str" cm="1">
        <f t="array" ref="G1205">INDEX(deskripsi!$D$2:$H$337,
   MATCH(1,(deskripsi!$A$2:$A$337=B1205)*
           (deskripsi!$B$2:$B$337=C1205)*
           (deskripsi!$C$2:$C$337=D1205),0),
   F1205)</f>
        <v>Cepat menguasai sistem baru secara mandiri hingga dapat menggunakannya efektif.</v>
      </c>
    </row>
    <row r="1206" spans="1:7">
      <c r="A1206" t="str">
        <f t="shared" si="18"/>
        <v>Developing Others|Officer|1|5</v>
      </c>
      <c r="B1206" t="str">
        <v>Developing Others</v>
      </c>
      <c r="C1206" t="str">
        <v>Officer</v>
      </c>
      <c r="D1206" s="76">
        <v>1</v>
      </c>
      <c r="E1206" t="str" cm="1">
        <f t="array" ref="E1206">INDEX(aspek!$D$2:$D$337,
   MATCH(1,(aspek!$A$2:$A$337=B1206)*
           (aspek!$B$2:$B$337=C1206)*
           (aspek!$C$2:$C$337=D1206),0))</f>
        <v>Kecepatan menguasai</v>
      </c>
      <c r="F1206" s="76">
        <v>5</v>
      </c>
      <c r="G1206" s="56" t="str" cm="1">
        <f t="array" ref="G1206">INDEX(deskripsi!$D$2:$H$337,
   MATCH(1,(deskripsi!$A$2:$A$337=B1206)*
           (deskripsi!$B$2:$B$337=C1206)*
           (deskripsi!$C$2:$C$337=D1206),0),
   F1206)</f>
        <v>Menguasai sistem baru lebih cepat dari sebagian besar rekan sejawat.</v>
      </c>
    </row>
    <row r="1207" spans="1:7">
      <c r="A1207" t="str">
        <f t="shared" si="18"/>
        <v>Developing Others|Officer|2|1</v>
      </c>
      <c r="B1207" t="str">
        <v>Developing Others</v>
      </c>
      <c r="C1207" t="str">
        <v>Officer</v>
      </c>
      <c r="D1207" s="76">
        <v>2</v>
      </c>
      <c r="E1207" t="str" cm="1">
        <f t="array" ref="E1207">INDEX(aspek!$D$2:$D$337,
   MATCH(1,(aspek!$A$2:$A$337=B1207)*
           (aspek!$B$2:$B$337=C1207)*
           (aspek!$C$2:$C$337=D1207),0))</f>
        <v>Kemandirian dalam mempelajari</v>
      </c>
      <c r="F1207" s="76">
        <v>1</v>
      </c>
      <c r="G1207" s="56" t="str" cm="1">
        <f t="array" ref="G1207">INDEX(deskripsi!$D$2:$H$337,
   MATCH(1,(deskripsi!$A$2:$A$337=B1207)*
           (deskripsi!$B$2:$B$337=C1207)*
           (deskripsi!$C$2:$C$337=D1207),0),
   F1207)</f>
        <v>Selalu bertanya sebelum mencoba sendiri.</v>
      </c>
    </row>
    <row r="1208" spans="1:7">
      <c r="A1208" t="str">
        <f t="shared" si="18"/>
        <v>Developing Others|Officer|2|2</v>
      </c>
      <c r="B1208" t="str">
        <v>Developing Others</v>
      </c>
      <c r="C1208" t="str">
        <v>Officer</v>
      </c>
      <c r="D1208" s="76">
        <v>2</v>
      </c>
      <c r="E1208" t="str" cm="1">
        <f t="array" ref="E1208">INDEX(aspek!$D$2:$D$337,
   MATCH(1,(aspek!$A$2:$A$337=B1208)*
           (aspek!$B$2:$B$337=C1208)*
           (aspek!$C$2:$C$337=D1208),0))</f>
        <v>Kemandirian dalam mempelajari</v>
      </c>
      <c r="F1208" s="76">
        <v>2</v>
      </c>
      <c r="G1208" s="56" t="str" cm="1">
        <f t="array" ref="G1208">INDEX(deskripsi!$D$2:$H$337,
   MATCH(1,(deskripsi!$A$2:$A$337=B1208)*
           (deskripsi!$B$2:$B$337=C1208)*
           (deskripsi!$C$2:$C$337=D1208),0),
   F1208)</f>
        <v>Mencoba sendiri sebentar, cepat menyerah dan bertanya.</v>
      </c>
    </row>
    <row r="1209" spans="1:7">
      <c r="A1209" t="str">
        <f t="shared" si="18"/>
        <v>Developing Others|Officer|2|3</v>
      </c>
      <c r="B1209" t="str">
        <v>Developing Others</v>
      </c>
      <c r="C1209" t="str">
        <v>Officer</v>
      </c>
      <c r="D1209" s="76">
        <v>2</v>
      </c>
      <c r="E1209" t="str" cm="1">
        <f t="array" ref="E1209">INDEX(aspek!$D$2:$D$337,
   MATCH(1,(aspek!$A$2:$A$337=B1209)*
           (aspek!$B$2:$B$337=C1209)*
           (aspek!$C$2:$C$337=D1209),0))</f>
        <v>Kemandirian dalam mempelajari</v>
      </c>
      <c r="F1209" s="76">
        <v>3</v>
      </c>
      <c r="G1209" s="56" t="str" cm="1">
        <f t="array" ref="G1209">INDEX(deskripsi!$D$2:$H$337,
   MATCH(1,(deskripsi!$A$2:$A$337=B1209)*
           (deskripsi!$B$2:$B$337=C1209)*
           (deskripsi!$C$2:$C$337=D1209),0),
   F1209)</f>
        <v>Mencoba mandiri pada fitur yang sederhana.</v>
      </c>
    </row>
    <row r="1210" spans="1:7">
      <c r="A1210" t="str">
        <f t="shared" si="18"/>
        <v>Developing Others|Officer|2|4</v>
      </c>
      <c r="B1210" t="str">
        <v>Developing Others</v>
      </c>
      <c r="C1210" t="str">
        <v>Officer</v>
      </c>
      <c r="D1210" s="76">
        <v>2</v>
      </c>
      <c r="E1210" t="str" cm="1">
        <f t="array" ref="E1210">INDEX(aspek!$D$2:$D$337,
   MATCH(1,(aspek!$A$2:$A$337=B1210)*
           (aspek!$B$2:$B$337=C1210)*
           (aspek!$C$2:$C$337=D1210),0))</f>
        <v>Kemandirian dalam mempelajari</v>
      </c>
      <c r="F1210" s="76">
        <v>4</v>
      </c>
      <c r="G1210" s="56" t="str" cm="1">
        <f t="array" ref="G1210">INDEX(deskripsi!$D$2:$H$337,
   MATCH(1,(deskripsi!$A$2:$A$337=B1210)*
           (deskripsi!$B$2:$B$337=C1210)*
           (deskripsi!$C$2:$C$337=D1210),0),
   F1210)</f>
        <v>Mencoba mandiri secara konsisten sebelum bertanya, termasuk pada fitur yang rumit.</v>
      </c>
    </row>
    <row r="1211" spans="1:7">
      <c r="A1211" t="str">
        <f t="shared" si="18"/>
        <v>Developing Others|Officer|2|5</v>
      </c>
      <c r="B1211" t="str">
        <v>Developing Others</v>
      </c>
      <c r="C1211" t="str">
        <v>Officer</v>
      </c>
      <c r="D1211" s="76">
        <v>2</v>
      </c>
      <c r="E1211" t="str" cm="1">
        <f t="array" ref="E1211">INDEX(aspek!$D$2:$D$337,
   MATCH(1,(aspek!$A$2:$A$337=B1211)*
           (aspek!$B$2:$B$337=C1211)*
           (aspek!$C$2:$C$337=D1211),0))</f>
        <v>Kemandirian dalam mempelajari</v>
      </c>
      <c r="F1211" s="76">
        <v>5</v>
      </c>
      <c r="G1211" s="56" t="str" cm="1">
        <f t="array" ref="G1211">INDEX(deskripsi!$D$2:$H$337,
   MATCH(1,(deskripsi!$A$2:$A$337=B1211)*
           (deskripsi!$B$2:$B$337=C1211)*
           (deskripsi!$C$2:$C$337=D1211),0),
   F1211)</f>
        <v>Kemandiriannya menjadi contoh bagi rekan.</v>
      </c>
    </row>
    <row r="1212" spans="1:7">
      <c r="A1212" t="str">
        <f t="shared" si="18"/>
        <v>Developing Others|Officer|3|1</v>
      </c>
      <c r="B1212" t="str">
        <v>Developing Others</v>
      </c>
      <c r="C1212" t="str">
        <v>Officer</v>
      </c>
      <c r="D1212" s="76">
        <v>3</v>
      </c>
      <c r="E1212" t="str" cm="1">
        <f t="array" ref="E1212">INDEX(aspek!$D$2:$D$337,
   MATCH(1,(aspek!$A$2:$A$337=B1212)*
           (aspek!$B$2:$B$337=C1212)*
           (aspek!$C$2:$C$337=D1212),0))</f>
        <v>Menularkan penguasaan</v>
      </c>
      <c r="F1212" s="76">
        <v>1</v>
      </c>
      <c r="G1212" s="56" t="str" cm="1">
        <f t="array" ref="G1212">INDEX(deskripsi!$D$2:$H$337,
   MATCH(1,(deskripsi!$A$2:$A$337=B1212)*
           (deskripsi!$B$2:$B$337=C1212)*
           (deskripsi!$C$2:$C$337=D1212),0),
   F1212)</f>
        <v>Menguasai sistem baru hanya untuk diri sendiri.</v>
      </c>
    </row>
    <row r="1213" spans="1:7">
      <c r="A1213" t="str">
        <f t="shared" si="18"/>
        <v>Developing Others|Officer|3|2</v>
      </c>
      <c r="B1213" t="str">
        <v>Developing Others</v>
      </c>
      <c r="C1213" t="str">
        <v>Officer</v>
      </c>
      <c r="D1213" s="76">
        <v>3</v>
      </c>
      <c r="E1213" t="str" cm="1">
        <f t="array" ref="E1213">INDEX(aspek!$D$2:$D$337,
   MATCH(1,(aspek!$A$2:$A$337=B1213)*
           (aspek!$B$2:$B$337=C1213)*
           (aspek!$C$2:$C$337=D1213),0))</f>
        <v>Menularkan penguasaan</v>
      </c>
      <c r="F1213" s="76">
        <v>2</v>
      </c>
      <c r="G1213" s="56" t="str" cm="1">
        <f t="array" ref="G1213">INDEX(deskripsi!$D$2:$H$337,
   MATCH(1,(deskripsi!$A$2:$A$337=B1213)*
           (deskripsi!$B$2:$B$337=C1213)*
           (deskripsi!$C$2:$C$337=D1213),0),
   F1213)</f>
        <v>Menularkan hanya ketika diminta langsung.</v>
      </c>
    </row>
    <row r="1214" spans="1:7">
      <c r="A1214" t="str">
        <f t="shared" si="18"/>
        <v>Developing Others|Officer|3|3</v>
      </c>
      <c r="B1214" t="str">
        <v>Developing Others</v>
      </c>
      <c r="C1214" t="str">
        <v>Officer</v>
      </c>
      <c r="D1214" s="76">
        <v>3</v>
      </c>
      <c r="E1214" t="str" cm="1">
        <f t="array" ref="E1214">INDEX(aspek!$D$2:$D$337,
   MATCH(1,(aspek!$A$2:$A$337=B1214)*
           (aspek!$B$2:$B$337=C1214)*
           (aspek!$C$2:$C$337=D1214),0))</f>
        <v>Menularkan penguasaan</v>
      </c>
      <c r="F1214" s="76">
        <v>3</v>
      </c>
      <c r="G1214" s="56" t="str" cm="1">
        <f t="array" ref="G1214">INDEX(deskripsi!$D$2:$H$337,
   MATCH(1,(deskripsi!$A$2:$A$337=B1214)*
           (deskripsi!$B$2:$B$337=C1214)*
           (deskripsi!$C$2:$C$337=D1214),0),
   F1214)</f>
        <v>Menularkan pada kesempatan informal yang terbatas.</v>
      </c>
    </row>
    <row r="1215" spans="1:7">
      <c r="A1215" t="str">
        <f t="shared" si="18"/>
        <v>Developing Others|Officer|3|4</v>
      </c>
      <c r="B1215" t="str">
        <v>Developing Others</v>
      </c>
      <c r="C1215" t="str">
        <v>Officer</v>
      </c>
      <c r="D1215" s="76">
        <v>3</v>
      </c>
      <c r="E1215" t="str" cm="1">
        <f t="array" ref="E1215">INDEX(aspek!$D$2:$D$337,
   MATCH(1,(aspek!$A$2:$A$337=B1215)*
           (aspek!$B$2:$B$337=C1215)*
           (aspek!$C$2:$C$337=D1215),0))</f>
        <v>Menularkan penguasaan</v>
      </c>
      <c r="F1215" s="76">
        <v>4</v>
      </c>
      <c r="G1215" s="56" t="str" cm="1">
        <f t="array" ref="G1215">INDEX(deskripsi!$D$2:$H$337,
   MATCH(1,(deskripsi!$A$2:$A$337=B1215)*
           (deskripsi!$B$2:$B$337=C1215)*
           (deskripsi!$C$2:$C$337=D1215),0),
   F1215)</f>
        <v>Secara aktif mengajarkan sistem baru yang baru dikuasai kepada rekan, dengan panduan yang jelas.</v>
      </c>
    </row>
    <row r="1216" spans="1:7">
      <c r="A1216" t="str">
        <f t="shared" si="18"/>
        <v>Developing Others|Officer|3|5</v>
      </c>
      <c r="B1216" t="str">
        <v>Developing Others</v>
      </c>
      <c r="C1216" t="str">
        <v>Officer</v>
      </c>
      <c r="D1216" s="76">
        <v>3</v>
      </c>
      <c r="E1216" t="str" cm="1">
        <f t="array" ref="E1216">INDEX(aspek!$D$2:$D$337,
   MATCH(1,(aspek!$A$2:$A$337=B1216)*
           (aspek!$B$2:$B$337=C1216)*
           (aspek!$C$2:$C$337=D1216),0))</f>
        <v>Menularkan penguasaan</v>
      </c>
      <c r="F1216" s="76">
        <v>5</v>
      </c>
      <c r="G1216" s="56" t="str" cm="1">
        <f t="array" ref="G1216">INDEX(deskripsi!$D$2:$H$337,
   MATCH(1,(deskripsi!$A$2:$A$337=B1216)*
           (deskripsi!$B$2:$B$337=C1216)*
           (deskripsi!$C$2:$C$337=D1216),0),
   F1216)</f>
        <v>Menjadi rujukan tim untuk sistem baru, dicari sebelum bertanya ke pihak lain.</v>
      </c>
    </row>
    <row r="1217" spans="1:7">
      <c r="A1217" t="str">
        <f t="shared" si="18"/>
        <v>Developing Others|Officer|4|1</v>
      </c>
      <c r="B1217" t="str">
        <v>Developing Others</v>
      </c>
      <c r="C1217" t="str">
        <v>Officer</v>
      </c>
      <c r="D1217" s="76">
        <v>4</v>
      </c>
      <c r="E1217" t="str" cm="1">
        <f t="array" ref="E1217">INDEX(aspek!$D$2:$D$337,
   MATCH(1,(aspek!$A$2:$A$337=B1217)*
           (aspek!$B$2:$B$337=C1217)*
           (aspek!$C$2:$C$337=D1217),0))</f>
        <v>Efektivitas penggunaan setelah dikuasai</v>
      </c>
      <c r="F1217" s="76">
        <v>1</v>
      </c>
      <c r="G1217" s="56" t="str" cm="1">
        <f t="array" ref="G1217">INDEX(deskripsi!$D$2:$H$337,
   MATCH(1,(deskripsi!$A$2:$A$337=B1217)*
           (deskripsi!$B$2:$B$337=C1217)*
           (deskripsi!$C$2:$C$337=D1217),0),
   F1217)</f>
        <v>Meski sudah dipakai, masih sering melakukan kesalahan dasar.</v>
      </c>
    </row>
    <row r="1218" spans="1:7">
      <c r="A1218" t="str">
        <f t="shared" si="18"/>
        <v>Developing Others|Officer|4|2</v>
      </c>
      <c r="B1218" t="str">
        <v>Developing Others</v>
      </c>
      <c r="C1218" t="str">
        <v>Officer</v>
      </c>
      <c r="D1218" s="76">
        <v>4</v>
      </c>
      <c r="E1218" t="str" cm="1">
        <f t="array" ref="E1218">INDEX(aspek!$D$2:$D$337,
   MATCH(1,(aspek!$A$2:$A$337=B1218)*
           (aspek!$B$2:$B$337=C1218)*
           (aspek!$C$2:$C$337=D1218),0))</f>
        <v>Efektivitas penggunaan setelah dikuasai</v>
      </c>
      <c r="F1218" s="76">
        <v>2</v>
      </c>
      <c r="G1218" s="56" t="str" cm="1">
        <f t="array" ref="G1218">INDEX(deskripsi!$D$2:$H$337,
   MATCH(1,(deskripsi!$A$2:$A$337=B1218)*
           (deskripsi!$B$2:$B$337=C1218)*
           (deskripsi!$C$2:$C$337=D1218),0),
   F1218)</f>
        <v>Menggunakan sistem dengan benar pada fungsi dasar saja.</v>
      </c>
    </row>
    <row r="1219" spans="1:7">
      <c r="A1219" t="str">
        <f t="shared" ref="A1219:A1282" si="19">B1219&amp;"|"&amp;C1219&amp;"|"&amp;D1219&amp;"|"&amp;F1219</f>
        <v>Developing Others|Officer|4|3</v>
      </c>
      <c r="B1219" t="str">
        <v>Developing Others</v>
      </c>
      <c r="C1219" t="str">
        <v>Officer</v>
      </c>
      <c r="D1219" s="76">
        <v>4</v>
      </c>
      <c r="E1219" t="str" cm="1">
        <f t="array" ref="E1219">INDEX(aspek!$D$2:$D$337,
   MATCH(1,(aspek!$A$2:$A$337=B1219)*
           (aspek!$B$2:$B$337=C1219)*
           (aspek!$C$2:$C$337=D1219),0))</f>
        <v>Efektivitas penggunaan setelah dikuasai</v>
      </c>
      <c r="F1219" s="76">
        <v>3</v>
      </c>
      <c r="G1219" s="56" t="str" cm="1">
        <f t="array" ref="G1219">INDEX(deskripsi!$D$2:$H$337,
   MATCH(1,(deskripsi!$A$2:$A$337=B1219)*
           (deskripsi!$B$2:$B$337=C1219)*
           (deskripsi!$C$2:$C$337=D1219),0),
   F1219)</f>
        <v>Menggunakan sistem dengan benar pada sebagian besar fungsi.</v>
      </c>
    </row>
    <row r="1220" spans="1:7">
      <c r="A1220" t="str">
        <f t="shared" si="19"/>
        <v>Developing Others|Officer|4|4</v>
      </c>
      <c r="B1220" t="str">
        <v>Developing Others</v>
      </c>
      <c r="C1220" t="str">
        <v>Officer</v>
      </c>
      <c r="D1220" s="76">
        <v>4</v>
      </c>
      <c r="E1220" t="str" cm="1">
        <f t="array" ref="E1220">INDEX(aspek!$D$2:$D$337,
   MATCH(1,(aspek!$A$2:$A$337=B1220)*
           (aspek!$B$2:$B$337=C1220)*
           (aspek!$C$2:$C$337=D1220),0))</f>
        <v>Efektivitas penggunaan setelah dikuasai</v>
      </c>
      <c r="F1220" s="76">
        <v>4</v>
      </c>
      <c r="G1220" s="56" t="str" cm="1">
        <f t="array" ref="G1220">INDEX(deskripsi!$D$2:$H$337,
   MATCH(1,(deskripsi!$A$2:$A$337=B1220)*
           (deskripsi!$B$2:$B$337=C1220)*
           (deskripsi!$C$2:$C$337=D1220),0),
   F1220)</f>
        <v>Menggunakan sistem secara efektif pada seluruh fungsi yang relevan dengan pekerjaannya.</v>
      </c>
    </row>
    <row r="1221" spans="1:7">
      <c r="A1221" t="str">
        <f t="shared" si="19"/>
        <v>Developing Others|Officer|4|5</v>
      </c>
      <c r="B1221" t="str">
        <v>Developing Others</v>
      </c>
      <c r="C1221" t="str">
        <v>Officer</v>
      </c>
      <c r="D1221" s="76">
        <v>4</v>
      </c>
      <c r="E1221" t="str" cm="1">
        <f t="array" ref="E1221">INDEX(aspek!$D$2:$D$337,
   MATCH(1,(aspek!$A$2:$A$337=B1221)*
           (aspek!$B$2:$B$337=C1221)*
           (aspek!$C$2:$C$337=D1221),0))</f>
        <v>Efektivitas penggunaan setelah dikuasai</v>
      </c>
      <c r="F1221" s="76">
        <v>5</v>
      </c>
      <c r="G1221" s="56" t="str" cm="1">
        <f t="array" ref="G1221">INDEX(deskripsi!$D$2:$H$337,
   MATCH(1,(deskripsi!$A$2:$A$337=B1221)*
           (deskripsi!$B$2:$B$337=C1221)*
           (deskripsi!$C$2:$C$337=D1221),0),
   F1221)</f>
        <v>Menemukan cara memakai sistem yang lebih efisien daripada yang diajarkan awalnya.</v>
      </c>
    </row>
    <row r="1222" spans="1:7">
      <c r="A1222" t="str">
        <f t="shared" si="19"/>
        <v>Developing Others|Analyst|1|1</v>
      </c>
      <c r="B1222" t="str">
        <v>Developing Others</v>
      </c>
      <c r="C1222" t="str">
        <v>Analyst</v>
      </c>
      <c r="D1222" s="76">
        <v>1</v>
      </c>
      <c r="E1222" t="str" cm="1">
        <f t="array" ref="E1222">INDEX(aspek!$D$2:$D$337,
   MATCH(1,(aspek!$A$2:$A$337=B1222)*
           (aspek!$B$2:$B$337=C1222)*
           (aspek!$C$2:$C$337=D1222),0))</f>
        <v>Kedalaman penggalian</v>
      </c>
      <c r="F1222" s="76">
        <v>1</v>
      </c>
      <c r="G1222" s="56" t="str" cm="1">
        <f t="array" ref="G1222">INDEX(deskripsi!$D$2:$H$337,
   MATCH(1,(deskripsi!$A$2:$A$337=B1222)*
           (deskripsi!$B$2:$B$337=C1222)*
           (deskripsi!$C$2:$C$337=D1222),0),
   F1222)</f>
        <v>Cepat menyimpulkan tentang orang tanpa menggali.</v>
      </c>
    </row>
    <row r="1223" spans="1:7">
      <c r="A1223" t="str">
        <f t="shared" si="19"/>
        <v>Developing Others|Analyst|1|2</v>
      </c>
      <c r="B1223" t="str">
        <v>Developing Others</v>
      </c>
      <c r="C1223" t="str">
        <v>Analyst</v>
      </c>
      <c r="D1223" s="76">
        <v>1</v>
      </c>
      <c r="E1223" t="str" cm="1">
        <f t="array" ref="E1223">INDEX(aspek!$D$2:$D$337,
   MATCH(1,(aspek!$A$2:$A$337=B1223)*
           (aspek!$B$2:$B$337=C1223)*
           (aspek!$C$2:$C$337=D1223),0))</f>
        <v>Kedalaman penggalian</v>
      </c>
      <c r="F1223" s="76">
        <v>2</v>
      </c>
      <c r="G1223" s="56" t="str" cm="1">
        <f t="array" ref="G1223">INDEX(deskripsi!$D$2:$H$337,
   MATCH(1,(deskripsi!$A$2:$A$337=B1223)*
           (deskripsi!$B$2:$B$337=C1223)*
           (deskripsi!$C$2:$C$337=D1223),0),
   F1223)</f>
        <v>Bertanya seperlunya untuk memahami tugas mereka.</v>
      </c>
    </row>
    <row r="1224" spans="1:7">
      <c r="A1224" t="str">
        <f t="shared" si="19"/>
        <v>Developing Others|Analyst|1|3</v>
      </c>
      <c r="B1224" t="str">
        <v>Developing Others</v>
      </c>
      <c r="C1224" t="str">
        <v>Analyst</v>
      </c>
      <c r="D1224" s="76">
        <v>1</v>
      </c>
      <c r="E1224" t="str" cm="1">
        <f t="array" ref="E1224">INDEX(aspek!$D$2:$D$337,
   MATCH(1,(aspek!$A$2:$A$337=B1224)*
           (aspek!$B$2:$B$337=C1224)*
           (aspek!$C$2:$C$337=D1224),0))</f>
        <v>Kedalaman penggalian</v>
      </c>
      <c r="F1224" s="76">
        <v>3</v>
      </c>
      <c r="G1224" s="56" t="str" cm="1">
        <f t="array" ref="G1224">INDEX(deskripsi!$D$2:$H$337,
   MATCH(1,(deskripsi!$A$2:$A$337=B1224)*
           (deskripsi!$B$2:$B$337=C1224)*
           (deskripsi!$C$2:$C$337=D1224),0),
   F1224)</f>
        <v>Ingin tahu tentang konteks kehidupan orang lain secara umum.</v>
      </c>
    </row>
    <row r="1225" spans="1:7">
      <c r="A1225" t="str">
        <f t="shared" si="19"/>
        <v>Developing Others|Analyst|1|4</v>
      </c>
      <c r="B1225" t="str">
        <v>Developing Others</v>
      </c>
      <c r="C1225" t="str">
        <v>Analyst</v>
      </c>
      <c r="D1225" s="76">
        <v>1</v>
      </c>
      <c r="E1225" t="str" cm="1">
        <f t="array" ref="E1225">INDEX(aspek!$D$2:$D$337,
   MATCH(1,(aspek!$A$2:$A$337=B1225)*
           (aspek!$B$2:$B$337=C1225)*
           (aspek!$C$2:$C$337=D1225),0))</f>
        <v>Kedalaman penggalian</v>
      </c>
      <c r="F1225" s="76">
        <v>4</v>
      </c>
      <c r="G1225" s="56" t="str" cm="1">
        <f t="array" ref="G1225">INDEX(deskripsi!$D$2:$H$337,
   MATCH(1,(deskripsi!$A$2:$A$337=B1225)*
           (deskripsi!$B$2:$B$337=C1225)*
           (deskripsi!$C$2:$C$337=D1225),0),
   F1225)</f>
        <v>Menggali motivasi dan harapan orang lain secara spesifik dan mendalam.</v>
      </c>
    </row>
    <row r="1226" spans="1:7">
      <c r="A1226" t="str">
        <f t="shared" si="19"/>
        <v>Developing Others|Analyst|1|5</v>
      </c>
      <c r="B1226" t="str">
        <v>Developing Others</v>
      </c>
      <c r="C1226" t="str">
        <v>Analyst</v>
      </c>
      <c r="D1226" s="76">
        <v>1</v>
      </c>
      <c r="E1226" t="str" cm="1">
        <f t="array" ref="E1226">INDEX(aspek!$D$2:$D$337,
   MATCH(1,(aspek!$A$2:$A$337=B1226)*
           (aspek!$B$2:$B$337=C1226)*
           (aspek!$C$2:$C$337=D1226),0))</f>
        <v>Kedalaman penggalian</v>
      </c>
      <c r="F1226" s="76">
        <v>5</v>
      </c>
      <c r="G1226" s="56" t="str" cm="1">
        <f t="array" ref="G1226">INDEX(deskripsi!$D$2:$H$337,
   MATCH(1,(deskripsi!$A$2:$A$337=B1226)*
           (deskripsi!$B$2:$B$337=C1226)*
           (deskripsi!$C$2:$C$337=D1226),0),
   F1226)</f>
        <v>Membangun kepercayaan mendalam yang membuat orang bersedia berbagi hal yang jarang diungkapkan.</v>
      </c>
    </row>
    <row r="1227" spans="1:7">
      <c r="A1227" t="str">
        <f t="shared" si="19"/>
        <v>Developing Others|Analyst|2|1</v>
      </c>
      <c r="B1227" t="str">
        <v>Developing Others</v>
      </c>
      <c r="C1227" t="str">
        <v>Analyst</v>
      </c>
      <c r="D1227" s="76">
        <v>2</v>
      </c>
      <c r="E1227" t="str" cm="1">
        <f t="array" ref="E1227">INDEX(aspek!$D$2:$D$337,
   MATCH(1,(aspek!$A$2:$A$337=B1227)*
           (aspek!$B$2:$B$337=C1227)*
           (aspek!$C$2:$C$337=D1227),0))</f>
        <v>Ketulusan</v>
      </c>
      <c r="F1227" s="76">
        <v>1</v>
      </c>
      <c r="G1227" s="56" t="str" cm="1">
        <f t="array" ref="G1227">INDEX(deskripsi!$D$2:$H$337,
   MATCH(1,(deskripsi!$A$2:$A$337=B1227)*
           (deskripsi!$B$2:$B$337=C1227)*
           (deskripsi!$C$2:$C$337=D1227),0),
   F1227)</f>
        <v>Bertanya hanya karena formalitas atau kesopanan.</v>
      </c>
    </row>
    <row r="1228" spans="1:7">
      <c r="A1228" t="str">
        <f t="shared" si="19"/>
        <v>Developing Others|Analyst|2|2</v>
      </c>
      <c r="B1228" t="str">
        <v>Developing Others</v>
      </c>
      <c r="C1228" t="str">
        <v>Analyst</v>
      </c>
      <c r="D1228" s="76">
        <v>2</v>
      </c>
      <c r="E1228" t="str" cm="1">
        <f t="array" ref="E1228">INDEX(aspek!$D$2:$D$337,
   MATCH(1,(aspek!$A$2:$A$337=B1228)*
           (aspek!$B$2:$B$337=C1228)*
           (aspek!$C$2:$C$337=D1228),0))</f>
        <v>Ketulusan</v>
      </c>
      <c r="F1228" s="76">
        <v>2</v>
      </c>
      <c r="G1228" s="56" t="str" cm="1">
        <f t="array" ref="G1228">INDEX(deskripsi!$D$2:$H$337,
   MATCH(1,(deskripsi!$A$2:$A$337=B1228)*
           (deskripsi!$B$2:$B$337=C1228)*
           (deskripsi!$C$2:$C$337=D1228),0),
   F1228)</f>
        <v>Bertanya karena kebutuhan tugas, tanpa minat personal.</v>
      </c>
    </row>
    <row r="1229" spans="1:7">
      <c r="A1229" t="str">
        <f t="shared" si="19"/>
        <v>Developing Others|Analyst|2|3</v>
      </c>
      <c r="B1229" t="str">
        <v>Developing Others</v>
      </c>
      <c r="C1229" t="str">
        <v>Analyst</v>
      </c>
      <c r="D1229" s="76">
        <v>2</v>
      </c>
      <c r="E1229" t="str" cm="1">
        <f t="array" ref="E1229">INDEX(aspek!$D$2:$D$337,
   MATCH(1,(aspek!$A$2:$A$337=B1229)*
           (aspek!$B$2:$B$337=C1229)*
           (aspek!$C$2:$C$337=D1229),0))</f>
        <v>Ketulusan</v>
      </c>
      <c r="F1229" s="76">
        <v>3</v>
      </c>
      <c r="G1229" s="56" t="str" cm="1">
        <f t="array" ref="G1229">INDEX(deskripsi!$D$2:$H$337,
   MATCH(1,(deskripsi!$A$2:$A$337=B1229)*
           (deskripsi!$B$2:$B$337=C1229)*
           (deskripsi!$C$2:$C$337=D1229),0),
   F1229)</f>
        <v>Menunjukkan minat personal pada sebagian orang.</v>
      </c>
    </row>
    <row r="1230" spans="1:7">
      <c r="A1230" t="str">
        <f t="shared" si="19"/>
        <v>Developing Others|Analyst|2|4</v>
      </c>
      <c r="B1230" t="str">
        <v>Developing Others</v>
      </c>
      <c r="C1230" t="str">
        <v>Analyst</v>
      </c>
      <c r="D1230" s="76">
        <v>2</v>
      </c>
      <c r="E1230" t="str" cm="1">
        <f t="array" ref="E1230">INDEX(aspek!$D$2:$D$337,
   MATCH(1,(aspek!$A$2:$A$337=B1230)*
           (aspek!$B$2:$B$337=C1230)*
           (aspek!$C$2:$C$337=D1230),0))</f>
        <v>Ketulusan</v>
      </c>
      <c r="F1230" s="76">
        <v>4</v>
      </c>
      <c r="G1230" s="56" t="str" cm="1">
        <f t="array" ref="G1230">INDEX(deskripsi!$D$2:$H$337,
   MATCH(1,(deskripsi!$A$2:$A$337=B1230)*
           (deskripsi!$B$2:$B$337=C1230)*
           (deskripsi!$C$2:$C$337=D1230),0),
   F1230)</f>
        <v>Menunjukkan minat personal yang tulus, dikonfirmasi oleh orang yang digali sebagai bukan formalitas.</v>
      </c>
    </row>
    <row r="1231" spans="1:7">
      <c r="A1231" t="str">
        <f t="shared" si="19"/>
        <v>Developing Others|Analyst|2|5</v>
      </c>
      <c r="B1231" t="str">
        <v>Developing Others</v>
      </c>
      <c r="C1231" t="str">
        <v>Analyst</v>
      </c>
      <c r="D1231" s="76">
        <v>2</v>
      </c>
      <c r="E1231" t="str" cm="1">
        <f t="array" ref="E1231">INDEX(aspek!$D$2:$D$337,
   MATCH(1,(aspek!$A$2:$A$337=B1231)*
           (aspek!$B$2:$B$337=C1231)*
           (aspek!$C$2:$C$337=D1231),0))</f>
        <v>Ketulusan</v>
      </c>
      <c r="F1231" s="76">
        <v>5</v>
      </c>
      <c r="G1231" s="56" t="str" cm="1">
        <f t="array" ref="G1231">INDEX(deskripsi!$D$2:$H$337,
   MATCH(1,(deskripsi!$A$2:$A$337=B1231)*
           (deskripsi!$B$2:$B$337=C1231)*
           (deskripsi!$C$2:$C$337=D1231),0),
   F1231)</f>
        <v>Ketulusannya dikenal luas sebagai ciri khasnya.</v>
      </c>
    </row>
    <row r="1232" spans="1:7">
      <c r="A1232" t="str">
        <f t="shared" si="19"/>
        <v>Developing Others|Analyst|3|1</v>
      </c>
      <c r="B1232" t="str">
        <v>Developing Others</v>
      </c>
      <c r="C1232" t="str">
        <v>Analyst</v>
      </c>
      <c r="D1232" s="76">
        <v>3</v>
      </c>
      <c r="E1232" t="str" cm="1">
        <f t="array" ref="E1232">INDEX(aspek!$D$2:$D$337,
   MATCH(1,(aspek!$A$2:$A$337=B1232)*
           (aspek!$B$2:$B$337=C1232)*
           (aspek!$C$2:$C$337=D1232),0))</f>
        <v>Melampaui kebutuhan tugas</v>
      </c>
      <c r="F1232" s="76">
        <v>1</v>
      </c>
      <c r="G1232" s="56" t="str" cm="1">
        <f t="array" ref="G1232">INDEX(deskripsi!$D$2:$H$337,
   MATCH(1,(deskripsi!$A$2:$A$337=B1232)*
           (deskripsi!$B$2:$B$337=C1232)*
           (deskripsi!$C$2:$C$337=D1232),0),
   F1232)</f>
        <v>Tidak pernah bertanya di luar yang diperlukan tugas.</v>
      </c>
    </row>
    <row r="1233" spans="1:7">
      <c r="A1233" t="str">
        <f t="shared" si="19"/>
        <v>Developing Others|Analyst|3|2</v>
      </c>
      <c r="B1233" t="str">
        <v>Developing Others</v>
      </c>
      <c r="C1233" t="str">
        <v>Analyst</v>
      </c>
      <c r="D1233" s="76">
        <v>3</v>
      </c>
      <c r="E1233" t="str" cm="1">
        <f t="array" ref="E1233">INDEX(aspek!$D$2:$D$337,
   MATCH(1,(aspek!$A$2:$A$337=B1233)*
           (aspek!$B$2:$B$337=C1233)*
           (aspek!$C$2:$C$337=D1233),0))</f>
        <v>Melampaui kebutuhan tugas</v>
      </c>
      <c r="F1233" s="76">
        <v>2</v>
      </c>
      <c r="G1233" s="56" t="str" cm="1">
        <f t="array" ref="G1233">INDEX(deskripsi!$D$2:$H$337,
   MATCH(1,(deskripsi!$A$2:$A$337=B1233)*
           (deskripsi!$B$2:$B$337=C1233)*
           (deskripsi!$C$2:$C$337=D1233),0),
   F1233)</f>
        <v>Sesekali bertanya di luar tugas, tidak konsisten.</v>
      </c>
    </row>
    <row r="1234" spans="1:7">
      <c r="A1234" t="str">
        <f t="shared" si="19"/>
        <v>Developing Others|Analyst|3|3</v>
      </c>
      <c r="B1234" t="str">
        <v>Developing Others</v>
      </c>
      <c r="C1234" t="str">
        <v>Analyst</v>
      </c>
      <c r="D1234" s="76">
        <v>3</v>
      </c>
      <c r="E1234" t="str" cm="1">
        <f t="array" ref="E1234">INDEX(aspek!$D$2:$D$337,
   MATCH(1,(aspek!$A$2:$A$337=B1234)*
           (aspek!$B$2:$B$337=C1234)*
           (aspek!$C$2:$C$337=D1234),0))</f>
        <v>Melampaui kebutuhan tugas</v>
      </c>
      <c r="F1234" s="76">
        <v>3</v>
      </c>
      <c r="G1234" s="56" t="str" cm="1">
        <f t="array" ref="G1234">INDEX(deskripsi!$D$2:$H$337,
   MATCH(1,(deskripsi!$A$2:$A$337=B1234)*
           (deskripsi!$B$2:$B$337=C1234)*
           (deskripsi!$C$2:$C$337=D1234),0),
   F1234)</f>
        <v>Bertanya di luar tugas pada rekan yang dekat.</v>
      </c>
    </row>
    <row r="1235" spans="1:7">
      <c r="A1235" t="str">
        <f t="shared" si="19"/>
        <v>Developing Others|Analyst|3|4</v>
      </c>
      <c r="B1235" t="str">
        <v>Developing Others</v>
      </c>
      <c r="C1235" t="str">
        <v>Analyst</v>
      </c>
      <c r="D1235" s="76">
        <v>3</v>
      </c>
      <c r="E1235" t="str" cm="1">
        <f t="array" ref="E1235">INDEX(aspek!$D$2:$D$337,
   MATCH(1,(aspek!$A$2:$A$337=B1235)*
           (aspek!$B$2:$B$337=C1235)*
           (aspek!$C$2:$C$337=D1235),0))</f>
        <v>Melampaui kebutuhan tugas</v>
      </c>
      <c r="F1235" s="76">
        <v>4</v>
      </c>
      <c r="G1235" s="56" t="str" cm="1">
        <f t="array" ref="G1235">INDEX(deskripsi!$D$2:$H$337,
   MATCH(1,(deskripsi!$A$2:$A$337=B1235)*
           (deskripsi!$B$2:$B$337=C1235)*
           (deskripsi!$C$2:$C$337=D1235),0),
   F1235)</f>
        <v>Secara konsisten menggali hal di luar kebutuhan tugas pada berbagai rekan, bukan hanya yang dekat.</v>
      </c>
    </row>
    <row r="1236" spans="1:7">
      <c r="A1236" t="str">
        <f t="shared" si="19"/>
        <v>Developing Others|Analyst|3|5</v>
      </c>
      <c r="B1236" t="str">
        <v>Developing Others</v>
      </c>
      <c r="C1236" t="str">
        <v>Analyst</v>
      </c>
      <c r="D1236" s="76">
        <v>3</v>
      </c>
      <c r="E1236" t="str" cm="1">
        <f t="array" ref="E1236">INDEX(aspek!$D$2:$D$337,
   MATCH(1,(aspek!$A$2:$A$337=B1236)*
           (aspek!$B$2:$B$337=C1236)*
           (aspek!$C$2:$C$337=D1236),0))</f>
        <v>Melampaui kebutuhan tugas</v>
      </c>
      <c r="F1236" s="76">
        <v>5</v>
      </c>
      <c r="G1236" s="56" t="str" cm="1">
        <f t="array" ref="G1236">INDEX(deskripsi!$D$2:$H$337,
   MATCH(1,(deskripsi!$A$2:$A$337=B1236)*
           (deskripsi!$B$2:$B$337=C1236)*
           (deskripsi!$C$2:$C$337=D1236),0),
   F1236)</f>
        <v>Menjadi orang yang dipercaya untuk berbagi hal personal oleh banyak pihak.</v>
      </c>
    </row>
    <row r="1237" spans="1:7">
      <c r="A1237" t="str">
        <f t="shared" si="19"/>
        <v>Developing Others|Analyst|4|1</v>
      </c>
      <c r="B1237" t="str">
        <v>Developing Others</v>
      </c>
      <c r="C1237" t="str">
        <v>Analyst</v>
      </c>
      <c r="D1237" s="76">
        <v>4</v>
      </c>
      <c r="E1237" t="str" cm="1">
        <f t="array" ref="E1237">INDEX(aspek!$D$2:$D$337,
   MATCH(1,(aspek!$A$2:$A$337=B1237)*
           (aspek!$B$2:$B$337=C1237)*
           (aspek!$C$2:$C$337=D1237),0))</f>
        <v>Dampak pada tindakan</v>
      </c>
      <c r="F1237" s="76">
        <v>1</v>
      </c>
      <c r="G1237" s="56" t="str" cm="1">
        <f t="array" ref="G1237">INDEX(deskripsi!$D$2:$H$337,
   MATCH(1,(deskripsi!$A$2:$A$337=B1237)*
           (deskripsi!$B$2:$B$337=C1237)*
           (deskripsi!$C$2:$C$337=D1237),0),
   F1237)</f>
        <v>Pemahaman personal tidak pernah dipakai untuk membantu.</v>
      </c>
    </row>
    <row r="1238" spans="1:7">
      <c r="A1238" t="str">
        <f t="shared" si="19"/>
        <v>Developing Others|Analyst|4|2</v>
      </c>
      <c r="B1238" t="str">
        <v>Developing Others</v>
      </c>
      <c r="C1238" t="str">
        <v>Analyst</v>
      </c>
      <c r="D1238" s="76">
        <v>4</v>
      </c>
      <c r="E1238" t="str" cm="1">
        <f t="array" ref="E1238">INDEX(aspek!$D$2:$D$337,
   MATCH(1,(aspek!$A$2:$A$337=B1238)*
           (aspek!$B$2:$B$337=C1238)*
           (aspek!$C$2:$C$337=D1238),0))</f>
        <v>Dampak pada tindakan</v>
      </c>
      <c r="F1238" s="76">
        <v>2</v>
      </c>
      <c r="G1238" s="56" t="str" cm="1">
        <f t="array" ref="G1238">INDEX(deskripsi!$D$2:$H$337,
   MATCH(1,(deskripsi!$A$2:$A$337=B1238)*
           (deskripsi!$B$2:$B$337=C1238)*
           (deskripsi!$C$2:$C$337=D1238),0),
   F1238)</f>
        <v>Dipakai sesekali tanpa tindak lanjut nyata.</v>
      </c>
    </row>
    <row r="1239" spans="1:7">
      <c r="A1239" t="str">
        <f t="shared" si="19"/>
        <v>Developing Others|Analyst|4|3</v>
      </c>
      <c r="B1239" t="str">
        <v>Developing Others</v>
      </c>
      <c r="C1239" t="str">
        <v>Analyst</v>
      </c>
      <c r="D1239" s="76">
        <v>4</v>
      </c>
      <c r="E1239" t="str" cm="1">
        <f t="array" ref="E1239">INDEX(aspek!$D$2:$D$337,
   MATCH(1,(aspek!$A$2:$A$337=B1239)*
           (aspek!$B$2:$B$337=C1239)*
           (aspek!$C$2:$C$337=D1239),0))</f>
        <v>Dampak pada tindakan</v>
      </c>
      <c r="F1239" s="76">
        <v>3</v>
      </c>
      <c r="G1239" s="56" t="str" cm="1">
        <f t="array" ref="G1239">INDEX(deskripsi!$D$2:$H$337,
   MATCH(1,(deskripsi!$A$2:$A$337=B1239)*
           (deskripsi!$B$2:$B$337=C1239)*
           (deskripsi!$C$2:$C$337=D1239),0),
   F1239)</f>
        <v>Dipakai untuk membantu pada kasus yang mudah.</v>
      </c>
    </row>
    <row r="1240" spans="1:7">
      <c r="A1240" t="str">
        <f t="shared" si="19"/>
        <v>Developing Others|Analyst|4|4</v>
      </c>
      <c r="B1240" t="str">
        <v>Developing Others</v>
      </c>
      <c r="C1240" t="str">
        <v>Analyst</v>
      </c>
      <c r="D1240" s="76">
        <v>4</v>
      </c>
      <c r="E1240" t="str" cm="1">
        <f t="array" ref="E1240">INDEX(aspek!$D$2:$D$337,
   MATCH(1,(aspek!$A$2:$A$337=B1240)*
           (aspek!$B$2:$B$337=C1240)*
           (aspek!$C$2:$C$337=D1240),0))</f>
        <v>Dampak pada tindakan</v>
      </c>
      <c r="F1240" s="76">
        <v>4</v>
      </c>
      <c r="G1240" s="56" t="str" cm="1">
        <f t="array" ref="G1240">INDEX(deskripsi!$D$2:$H$337,
   MATCH(1,(deskripsi!$A$2:$A$337=B1240)*
           (deskripsi!$B$2:$B$337=C1240)*
           (deskripsi!$C$2:$C$337=D1240),0),
   F1240)</f>
        <v>Dipakai untuk membantu mengatasi kekhawatiran nyata, dikonfirmasi hasilnya.</v>
      </c>
    </row>
    <row r="1241" spans="1:7">
      <c r="A1241" t="str">
        <f t="shared" si="19"/>
        <v>Developing Others|Analyst|4|5</v>
      </c>
      <c r="B1241" t="str">
        <v>Developing Others</v>
      </c>
      <c r="C1241" t="str">
        <v>Analyst</v>
      </c>
      <c r="D1241" s="76">
        <v>4</v>
      </c>
      <c r="E1241" t="str" cm="1">
        <f t="array" ref="E1241">INDEX(aspek!$D$2:$D$337,
   MATCH(1,(aspek!$A$2:$A$337=B1241)*
           (aspek!$B$2:$B$337=C1241)*
           (aspek!$C$2:$C$337=D1241),0))</f>
        <v>Dampak pada tindakan</v>
      </c>
      <c r="F1241" s="76">
        <v>5</v>
      </c>
      <c r="G1241" s="56" t="str" cm="1">
        <f t="array" ref="G1241">INDEX(deskripsi!$D$2:$H$337,
   MATCH(1,(deskripsi!$A$2:$A$337=B1241)*
           (deskripsi!$B$2:$B$337=C1241)*
           (deskripsi!$C$2:$C$337=D1241),0),
   F1241)</f>
        <v>Pemahamannya menjadi dasar dukungan berkelanjutan bagi rekan.</v>
      </c>
    </row>
    <row r="1242" spans="1:7">
      <c r="A1242" t="str">
        <f t="shared" si="19"/>
        <v>Developing Others|Unit Head/Specialist|1|1</v>
      </c>
      <c r="B1242" t="str">
        <v>Developing Others</v>
      </c>
      <c r="C1242" t="str">
        <v>Unit Head/Specialist</v>
      </c>
      <c r="D1242" s="76">
        <v>1</v>
      </c>
      <c r="E1242" t="str" cm="1">
        <f t="array" ref="E1242">INDEX(aspek!$D$2:$D$337,
   MATCH(1,(aspek!$A$2:$A$337=B1242)*
           (aspek!$B$2:$B$337=C1242)*
           (aspek!$C$2:$C$337=D1242),0))</f>
        <v>Kedalaman pembacaan kemampuan</v>
      </c>
      <c r="F1242" s="76">
        <v>1</v>
      </c>
      <c r="G1242" s="56" t="str" cm="1">
        <f t="array" ref="G1242">INDEX(deskripsi!$D$2:$H$337,
   MATCH(1,(deskripsi!$A$2:$A$337=B1242)*
           (deskripsi!$B$2:$B$337=C1242)*
           (deskripsi!$C$2:$C$337=D1242),0),
   F1242)</f>
        <v>Perhatian terpusat pada tugas sendiri, tidak memperhatikan kemampuan orang lain.</v>
      </c>
    </row>
    <row r="1243" spans="1:7">
      <c r="A1243" t="str">
        <f t="shared" si="19"/>
        <v>Developing Others|Unit Head/Specialist|1|2</v>
      </c>
      <c r="B1243" t="str">
        <v>Developing Others</v>
      </c>
      <c r="C1243" t="str">
        <v>Unit Head/Specialist</v>
      </c>
      <c r="D1243" s="76">
        <v>1</v>
      </c>
      <c r="E1243" t="str" cm="1">
        <f t="array" ref="E1243">INDEX(aspek!$D$2:$D$337,
   MATCH(1,(aspek!$A$2:$A$337=B1243)*
           (aspek!$B$2:$B$337=C1243)*
           (aspek!$C$2:$C$337=D1243),0))</f>
        <v>Kedalaman pembacaan kemampuan</v>
      </c>
      <c r="F1243" s="76">
        <v>2</v>
      </c>
      <c r="G1243" s="56" t="str" cm="1">
        <f t="array" ref="G1243">INDEX(deskripsi!$D$2:$H$337,
   MATCH(1,(deskripsi!$A$2:$A$337=B1243)*
           (deskripsi!$B$2:$B$337=C1243)*
           (deskripsi!$C$2:$C$337=D1243),0),
   F1243)</f>
        <v>Tahu siapa yang kuat dan lemah, tanpa menelusuri sebabnya.</v>
      </c>
    </row>
    <row r="1244" spans="1:7">
      <c r="A1244" t="str">
        <f t="shared" si="19"/>
        <v>Developing Others|Unit Head/Specialist|1|3</v>
      </c>
      <c r="B1244" t="str">
        <v>Developing Others</v>
      </c>
      <c r="C1244" t="str">
        <v>Unit Head/Specialist</v>
      </c>
      <c r="D1244" s="76">
        <v>1</v>
      </c>
      <c r="E1244" t="str" cm="1">
        <f t="array" ref="E1244">INDEX(aspek!$D$2:$D$337,
   MATCH(1,(aspek!$A$2:$A$337=B1244)*
           (aspek!$B$2:$B$337=C1244)*
           (aspek!$C$2:$C$337=D1244),0))</f>
        <v>Kedalaman pembacaan kemampuan</v>
      </c>
      <c r="F1244" s="76">
        <v>3</v>
      </c>
      <c r="G1244" s="56" t="str" cm="1">
        <f t="array" ref="G1244">INDEX(deskripsi!$D$2:$H$337,
   MATCH(1,(deskripsi!$A$2:$A$337=B1244)*
           (deskripsi!$B$2:$B$337=C1244)*
           (deskripsi!$C$2:$C$337=D1244),0),
   F1244)</f>
        <v>Mengenali kekuatan dan area pengembangan berdasarkan hasil kerja.</v>
      </c>
    </row>
    <row r="1245" spans="1:7">
      <c r="A1245" t="str">
        <f t="shared" si="19"/>
        <v>Developing Others|Unit Head/Specialist|1|4</v>
      </c>
      <c r="B1245" t="str">
        <v>Developing Others</v>
      </c>
      <c r="C1245" t="str">
        <v>Unit Head/Specialist</v>
      </c>
      <c r="D1245" s="76">
        <v>1</v>
      </c>
      <c r="E1245" t="str" cm="1">
        <f t="array" ref="E1245">INDEX(aspek!$D$2:$D$337,
   MATCH(1,(aspek!$A$2:$A$337=B1245)*
           (aspek!$B$2:$B$337=C1245)*
           (aspek!$C$2:$C$337=D1245),0))</f>
        <v>Kedalaman pembacaan kemampuan</v>
      </c>
      <c r="F1245" s="76">
        <v>4</v>
      </c>
      <c r="G1245" s="56" t="str" cm="1">
        <f t="array" ref="G1245">INDEX(deskripsi!$D$2:$H$337,
   MATCH(1,(deskripsi!$A$2:$A$337=B1245)*
           (deskripsi!$B$2:$B$337=C1245)*
           (deskripsi!$C$2:$C$337=D1245),0),
   F1245)</f>
        <v>Menelusuri penyebab di balik kesenjangan kemampuan dan menyesuaikan cara bekerja dengan orang itu.</v>
      </c>
    </row>
    <row r="1246" spans="1:7">
      <c r="A1246" t="str">
        <f t="shared" si="19"/>
        <v>Developing Others|Unit Head/Specialist|1|5</v>
      </c>
      <c r="B1246" t="str">
        <v>Developing Others</v>
      </c>
      <c r="C1246" t="str">
        <v>Unit Head/Specialist</v>
      </c>
      <c r="D1246" s="76">
        <v>1</v>
      </c>
      <c r="E1246" t="str" cm="1">
        <f t="array" ref="E1246">INDEX(aspek!$D$2:$D$337,
   MATCH(1,(aspek!$A$2:$A$337=B1246)*
           (aspek!$B$2:$B$337=C1246)*
           (aspek!$C$2:$C$337=D1246),0))</f>
        <v>Kedalaman pembacaan kemampuan</v>
      </c>
      <c r="F1246" s="76">
        <v>5</v>
      </c>
      <c r="G1246" s="56" t="str" cm="1">
        <f t="array" ref="G1246">INDEX(deskripsi!$D$2:$H$337,
   MATCH(1,(deskripsi!$A$2:$A$337=B1246)*
           (deskripsi!$B$2:$B$337=C1246)*
           (deskripsi!$C$2:$C$337=D1246),0),
   F1246)</f>
        <v>Memetakan potensi secara akurat dan mengarahkannya pada peran yang tepat.</v>
      </c>
    </row>
    <row r="1247" spans="1:7">
      <c r="A1247" t="str">
        <f t="shared" si="19"/>
        <v>Developing Others|Unit Head/Specialist|2|1</v>
      </c>
      <c r="B1247" t="str">
        <v>Developing Others</v>
      </c>
      <c r="C1247" t="str">
        <v>Unit Head/Specialist</v>
      </c>
      <c r="D1247" s="76">
        <v>2</v>
      </c>
      <c r="E1247" t="str" cm="1">
        <f t="array" ref="E1247">INDEX(aspek!$D$2:$D$337,
   MATCH(1,(aspek!$A$2:$A$337=B1247)*
           (aspek!$B$2:$B$337=C1247)*
           (aspek!$C$2:$C$337=D1247),0))</f>
        <v>Akurasi pembacaan</v>
      </c>
      <c r="F1247" s="76">
        <v>1</v>
      </c>
      <c r="G1247" s="56" t="str" cm="1">
        <f t="array" ref="G1247">INDEX(deskripsi!$D$2:$H$337,
   MATCH(1,(deskripsi!$A$2:$A$337=B1247)*
           (deskripsi!$B$2:$B$337=C1247)*
           (deskripsi!$C$2:$C$337=D1247),0),
   F1247)</f>
        <v>Pembacaan sering keliru, tidak pernah dikonfirmasi.</v>
      </c>
    </row>
    <row r="1248" spans="1:7">
      <c r="A1248" t="str">
        <f t="shared" si="19"/>
        <v>Developing Others|Unit Head/Specialist|2|2</v>
      </c>
      <c r="B1248" t="str">
        <v>Developing Others</v>
      </c>
      <c r="C1248" t="str">
        <v>Unit Head/Specialist</v>
      </c>
      <c r="D1248" s="76">
        <v>2</v>
      </c>
      <c r="E1248" t="str" cm="1">
        <f t="array" ref="E1248">INDEX(aspek!$D$2:$D$337,
   MATCH(1,(aspek!$A$2:$A$337=B1248)*
           (aspek!$B$2:$B$337=C1248)*
           (aspek!$C$2:$C$337=D1248),0))</f>
        <v>Akurasi pembacaan</v>
      </c>
      <c r="F1248" s="76">
        <v>2</v>
      </c>
      <c r="G1248" s="56" t="str" cm="1">
        <f t="array" ref="G1248">INDEX(deskripsi!$D$2:$H$337,
   MATCH(1,(deskripsi!$A$2:$A$337=B1248)*
           (deskripsi!$B$2:$B$337=C1248)*
           (deskripsi!$C$2:$C$337=D1248),0),
   F1248)</f>
        <v>Pembacaan dikonfirmasi hanya sesekali.</v>
      </c>
    </row>
    <row r="1249" spans="1:7">
      <c r="A1249" t="str">
        <f t="shared" si="19"/>
        <v>Developing Others|Unit Head/Specialist|2|3</v>
      </c>
      <c r="B1249" t="str">
        <v>Developing Others</v>
      </c>
      <c r="C1249" t="str">
        <v>Unit Head/Specialist</v>
      </c>
      <c r="D1249" s="76">
        <v>2</v>
      </c>
      <c r="E1249" t="str" cm="1">
        <f t="array" ref="E1249">INDEX(aspek!$D$2:$D$337,
   MATCH(1,(aspek!$A$2:$A$337=B1249)*
           (aspek!$B$2:$B$337=C1249)*
           (aspek!$C$2:$C$337=D1249),0))</f>
        <v>Akurasi pembacaan</v>
      </c>
      <c r="F1249" s="76">
        <v>3</v>
      </c>
      <c r="G1249" s="56" t="str" cm="1">
        <f t="array" ref="G1249">INDEX(deskripsi!$D$2:$H$337,
   MATCH(1,(deskripsi!$A$2:$A$337=B1249)*
           (deskripsi!$B$2:$B$337=C1249)*
           (deskripsi!$C$2:$C$337=D1249),0),
   F1249)</f>
        <v>Pembacaan sesuai persepsi diri orang tersebut pada sebagian kasus.</v>
      </c>
    </row>
    <row r="1250" spans="1:7">
      <c r="A1250" t="str">
        <f t="shared" si="19"/>
        <v>Developing Others|Unit Head/Specialist|2|4</v>
      </c>
      <c r="B1250" t="str">
        <v>Developing Others</v>
      </c>
      <c r="C1250" t="str">
        <v>Unit Head/Specialist</v>
      </c>
      <c r="D1250" s="76">
        <v>2</v>
      </c>
      <c r="E1250" t="str" cm="1">
        <f t="array" ref="E1250">INDEX(aspek!$D$2:$D$337,
   MATCH(1,(aspek!$A$2:$A$337=B1250)*
           (aspek!$B$2:$B$337=C1250)*
           (aspek!$C$2:$C$337=D1250),0))</f>
        <v>Akurasi pembacaan</v>
      </c>
      <c r="F1250" s="76">
        <v>4</v>
      </c>
      <c r="G1250" s="56" t="str" cm="1">
        <f t="array" ref="G1250">INDEX(deskripsi!$D$2:$H$337,
   MATCH(1,(deskripsi!$A$2:$A$337=B1250)*
           (deskripsi!$B$2:$B$337=C1250)*
           (deskripsi!$C$2:$C$337=D1250),0),
   F1250)</f>
        <v>Pembacaan dikonfirmasi akurat oleh orang yang dinilai maupun pihak ketiga secara konsisten.</v>
      </c>
    </row>
    <row r="1251" spans="1:7">
      <c r="A1251" t="str">
        <f t="shared" si="19"/>
        <v>Developing Others|Unit Head/Specialist|2|5</v>
      </c>
      <c r="B1251" t="str">
        <v>Developing Others</v>
      </c>
      <c r="C1251" t="str">
        <v>Unit Head/Specialist</v>
      </c>
      <c r="D1251" s="76">
        <v>2</v>
      </c>
      <c r="E1251" t="str" cm="1">
        <f t="array" ref="E1251">INDEX(aspek!$D$2:$D$337,
   MATCH(1,(aspek!$A$2:$A$337=B1251)*
           (aspek!$B$2:$B$337=C1251)*
           (aspek!$C$2:$C$337=D1251),0))</f>
        <v>Akurasi pembacaan</v>
      </c>
      <c r="F1251" s="76">
        <v>5</v>
      </c>
      <c r="G1251" s="56" t="str" cm="1">
        <f t="array" ref="G1251">INDEX(deskripsi!$D$2:$H$337,
   MATCH(1,(deskripsi!$A$2:$A$337=B1251)*
           (deskripsi!$B$2:$B$337=C1251)*
           (deskripsi!$C$2:$C$337=D1251),0),
   F1251)</f>
        <v>Pembacaannya menjadi rujukan saat orang lain ragu menilai seseorang.</v>
      </c>
    </row>
    <row r="1252" spans="1:7">
      <c r="A1252" t="str">
        <f t="shared" si="19"/>
        <v>Developing Others|Unit Head/Specialist|3|1</v>
      </c>
      <c r="B1252" t="str">
        <v>Developing Others</v>
      </c>
      <c r="C1252" t="str">
        <v>Unit Head/Specialist</v>
      </c>
      <c r="D1252" s="76">
        <v>3</v>
      </c>
      <c r="E1252" t="str" cm="1">
        <f t="array" ref="E1252">INDEX(aspek!$D$2:$D$337,
   MATCH(1,(aspek!$A$2:$A$337=B1252)*
           (aspek!$B$2:$B$337=C1252)*
           (aspek!$C$2:$C$337=D1252),0))</f>
        <v>Penyesuaian cara kerja berbasis penyebab</v>
      </c>
      <c r="F1252" s="76">
        <v>1</v>
      </c>
      <c r="G1252" s="56" t="str" cm="1">
        <f t="array" ref="G1252">INDEX(deskripsi!$D$2:$H$337,
   MATCH(1,(deskripsi!$A$2:$A$337=B1252)*
           (deskripsi!$B$2:$B$337=C1252)*
           (deskripsi!$C$2:$C$337=D1252),0),
   F1252)</f>
        <v>Memperlakukan semua anggota tim dengan cara yang sama.</v>
      </c>
    </row>
    <row r="1253" spans="1:7">
      <c r="A1253" t="str">
        <f t="shared" si="19"/>
        <v>Developing Others|Unit Head/Specialist|3|2</v>
      </c>
      <c r="B1253" t="str">
        <v>Developing Others</v>
      </c>
      <c r="C1253" t="str">
        <v>Unit Head/Specialist</v>
      </c>
      <c r="D1253" s="76">
        <v>3</v>
      </c>
      <c r="E1253" t="str" cm="1">
        <f t="array" ref="E1253">INDEX(aspek!$D$2:$D$337,
   MATCH(1,(aspek!$A$2:$A$337=B1253)*
           (aspek!$B$2:$B$337=C1253)*
           (aspek!$C$2:$C$337=D1253),0))</f>
        <v>Penyesuaian cara kerja berbasis penyebab</v>
      </c>
      <c r="F1253" s="76">
        <v>2</v>
      </c>
      <c r="G1253" s="56" t="str" cm="1">
        <f t="array" ref="G1253">INDEX(deskripsi!$D$2:$H$337,
   MATCH(1,(deskripsi!$A$2:$A$337=B1253)*
           (deskripsi!$B$2:$B$337=C1253)*
           (deskripsi!$C$2:$C$337=D1253),0),
   F1253)</f>
        <v>Menyesuaikan cara kerja berdasarkan kesan umum, bukan penyebab spesifik.</v>
      </c>
    </row>
    <row r="1254" spans="1:7">
      <c r="A1254" t="str">
        <f t="shared" si="19"/>
        <v>Developing Others|Unit Head/Specialist|3|3</v>
      </c>
      <c r="B1254" t="str">
        <v>Developing Others</v>
      </c>
      <c r="C1254" t="str">
        <v>Unit Head/Specialist</v>
      </c>
      <c r="D1254" s="76">
        <v>3</v>
      </c>
      <c r="E1254" t="str" cm="1">
        <f t="array" ref="E1254">INDEX(aspek!$D$2:$D$337,
   MATCH(1,(aspek!$A$2:$A$337=B1254)*
           (aspek!$B$2:$B$337=C1254)*
           (aspek!$C$2:$C$337=D1254),0))</f>
        <v>Penyesuaian cara kerja berbasis penyebab</v>
      </c>
      <c r="F1254" s="76">
        <v>3</v>
      </c>
      <c r="G1254" s="56" t="str" cm="1">
        <f t="array" ref="G1254">INDEX(deskripsi!$D$2:$H$337,
   MATCH(1,(deskripsi!$A$2:$A$337=B1254)*
           (deskripsi!$B$2:$B$337=C1254)*
           (deskripsi!$C$2:$C$337=D1254),0),
   F1254)</f>
        <v>Menyesuaikan cara kerja pada sebagian anggota tim.</v>
      </c>
    </row>
    <row r="1255" spans="1:7">
      <c r="A1255" t="str">
        <f t="shared" si="19"/>
        <v>Developing Others|Unit Head/Specialist|3|4</v>
      </c>
      <c r="B1255" t="str">
        <v>Developing Others</v>
      </c>
      <c r="C1255" t="str">
        <v>Unit Head/Specialist</v>
      </c>
      <c r="D1255" s="76">
        <v>3</v>
      </c>
      <c r="E1255" t="str" cm="1">
        <f t="array" ref="E1255">INDEX(aspek!$D$2:$D$337,
   MATCH(1,(aspek!$A$2:$A$337=B1255)*
           (aspek!$B$2:$B$337=C1255)*
           (aspek!$C$2:$C$337=D1255),0))</f>
        <v>Penyesuaian cara kerja berbasis penyebab</v>
      </c>
      <c r="F1255" s="76">
        <v>4</v>
      </c>
      <c r="G1255" s="56" t="str" cm="1">
        <f t="array" ref="G1255">INDEX(deskripsi!$D$2:$H$337,
   MATCH(1,(deskripsi!$A$2:$A$337=B1255)*
           (deskripsi!$B$2:$B$337=C1255)*
           (deskripsi!$C$2:$C$337=D1255),0),
   F1255)</f>
        <v>Menyesuaikan cara kerja secara spesifik berdasarkan penyebab kesenjangan masing-masing anggota.</v>
      </c>
    </row>
    <row r="1256" spans="1:7">
      <c r="A1256" t="str">
        <f t="shared" si="19"/>
        <v>Developing Others|Unit Head/Specialist|3|5</v>
      </c>
      <c r="B1256" t="str">
        <v>Developing Others</v>
      </c>
      <c r="C1256" t="str">
        <v>Unit Head/Specialist</v>
      </c>
      <c r="D1256" s="76">
        <v>3</v>
      </c>
      <c r="E1256" t="str" cm="1">
        <f t="array" ref="E1256">INDEX(aspek!$D$2:$D$337,
   MATCH(1,(aspek!$A$2:$A$337=B1256)*
           (aspek!$B$2:$B$337=C1256)*
           (aspek!$C$2:$C$337=D1256),0))</f>
        <v>Penyesuaian cara kerja berbasis penyebab</v>
      </c>
      <c r="F1256" s="76">
        <v>5</v>
      </c>
      <c r="G1256" s="56" t="str" cm="1">
        <f t="array" ref="G1256">INDEX(deskripsi!$D$2:$H$337,
   MATCH(1,(deskripsi!$A$2:$A$337=B1256)*
           (deskripsi!$B$2:$B$337=C1256)*
           (deskripsi!$C$2:$C$337=D1256),0),
   F1256)</f>
        <v>Penyesuaiannya menjadi model bagi pemimpin lain dalam mengelola tim beragam.</v>
      </c>
    </row>
    <row r="1257" spans="1:7">
      <c r="A1257" t="str">
        <f t="shared" si="19"/>
        <v>Developing Others|Unit Head/Specialist|4|1</v>
      </c>
      <c r="B1257" t="str">
        <v>Developing Others</v>
      </c>
      <c r="C1257" t="str">
        <v>Unit Head/Specialist</v>
      </c>
      <c r="D1257" s="76">
        <v>4</v>
      </c>
      <c r="E1257" t="str" cm="1">
        <f t="array" ref="E1257">INDEX(aspek!$D$2:$D$337,
   MATCH(1,(aspek!$A$2:$A$337=B1257)*
           (aspek!$B$2:$B$337=C1257)*
           (aspek!$C$2:$C$337=D1257),0))</f>
        <v>Penempatan pada peran yang tepat</v>
      </c>
      <c r="F1257" s="76">
        <v>1</v>
      </c>
      <c r="G1257" s="56" t="str" cm="1">
        <f t="array" ref="G1257">INDEX(deskripsi!$D$2:$H$337,
   MATCH(1,(deskripsi!$A$2:$A$337=B1257)*
           (deskripsi!$B$2:$B$337=C1257)*
           (deskripsi!$C$2:$C$337=D1257),0),
   F1257)</f>
        <v>Menempatkan orang berdasarkan ketersediaan, bukan potensi.</v>
      </c>
    </row>
    <row r="1258" spans="1:7">
      <c r="A1258" t="str">
        <f t="shared" si="19"/>
        <v>Developing Others|Unit Head/Specialist|4|2</v>
      </c>
      <c r="B1258" t="str">
        <v>Developing Others</v>
      </c>
      <c r="C1258" t="str">
        <v>Unit Head/Specialist</v>
      </c>
      <c r="D1258" s="76">
        <v>4</v>
      </c>
      <c r="E1258" t="str" cm="1">
        <f t="array" ref="E1258">INDEX(aspek!$D$2:$D$337,
   MATCH(1,(aspek!$A$2:$A$337=B1258)*
           (aspek!$B$2:$B$337=C1258)*
           (aspek!$C$2:$C$337=D1258),0))</f>
        <v>Penempatan pada peran yang tepat</v>
      </c>
      <c r="F1258" s="76">
        <v>2</v>
      </c>
      <c r="G1258" s="56" t="str" cm="1">
        <f t="array" ref="G1258">INDEX(deskripsi!$D$2:$H$337,
   MATCH(1,(deskripsi!$A$2:$A$337=B1258)*
           (deskripsi!$B$2:$B$337=C1258)*
           (deskripsi!$C$2:$C$337=D1258),0),
   F1258)</f>
        <v>Mempertimbangkan potensi hanya untuk penempatan yang mudah.</v>
      </c>
    </row>
    <row r="1259" spans="1:7">
      <c r="A1259" t="str">
        <f t="shared" si="19"/>
        <v>Developing Others|Unit Head/Specialist|4|3</v>
      </c>
      <c r="B1259" t="str">
        <v>Developing Others</v>
      </c>
      <c r="C1259" t="str">
        <v>Unit Head/Specialist</v>
      </c>
      <c r="D1259" s="76">
        <v>4</v>
      </c>
      <c r="E1259" t="str" cm="1">
        <f t="array" ref="E1259">INDEX(aspek!$D$2:$D$337,
   MATCH(1,(aspek!$A$2:$A$337=B1259)*
           (aspek!$B$2:$B$337=C1259)*
           (aspek!$C$2:$C$337=D1259),0))</f>
        <v>Penempatan pada peran yang tepat</v>
      </c>
      <c r="F1259" s="76">
        <v>3</v>
      </c>
      <c r="G1259" s="56" t="str" cm="1">
        <f t="array" ref="G1259">INDEX(deskripsi!$D$2:$H$337,
   MATCH(1,(deskripsi!$A$2:$A$337=B1259)*
           (deskripsi!$B$2:$B$337=C1259)*
           (deskripsi!$C$2:$C$337=D1259),0),
   F1259)</f>
        <v>Menempatkan berdasarkan potensi pada sebagian kasus.</v>
      </c>
    </row>
    <row r="1260" spans="1:7">
      <c r="A1260" t="str">
        <f t="shared" si="19"/>
        <v>Developing Others|Unit Head/Specialist|4|4</v>
      </c>
      <c r="B1260" t="str">
        <v>Developing Others</v>
      </c>
      <c r="C1260" t="str">
        <v>Unit Head/Specialist</v>
      </c>
      <c r="D1260" s="76">
        <v>4</v>
      </c>
      <c r="E1260" t="str" cm="1">
        <f t="array" ref="E1260">INDEX(aspek!$D$2:$D$337,
   MATCH(1,(aspek!$A$2:$A$337=B1260)*
           (aspek!$B$2:$B$337=C1260)*
           (aspek!$C$2:$C$337=D1260),0))</f>
        <v>Penempatan pada peran yang tepat</v>
      </c>
      <c r="F1260" s="76">
        <v>4</v>
      </c>
      <c r="G1260" s="56" t="str" cm="1">
        <f t="array" ref="G1260">INDEX(deskripsi!$D$2:$H$337,
   MATCH(1,(deskripsi!$A$2:$A$337=B1260)*
           (deskripsi!$B$2:$B$337=C1260)*
           (deskripsi!$C$2:$C$337=D1260),0),
   F1260)</f>
        <v>Secara aktif menempatkan orang pada peran yang sesuai potensinya, dengan hasil yang terukur lebih baik.</v>
      </c>
    </row>
    <row r="1261" spans="1:7">
      <c r="A1261" t="str">
        <f t="shared" si="19"/>
        <v>Developing Others|Unit Head/Specialist|4|5</v>
      </c>
      <c r="B1261" t="str">
        <v>Developing Others</v>
      </c>
      <c r="C1261" t="str">
        <v>Unit Head/Specialist</v>
      </c>
      <c r="D1261" s="76">
        <v>4</v>
      </c>
      <c r="E1261" t="str" cm="1">
        <f t="array" ref="E1261">INDEX(aspek!$D$2:$D$337,
   MATCH(1,(aspek!$A$2:$A$337=B1261)*
           (aspek!$B$2:$B$337=C1261)*
           (aspek!$C$2:$C$337=D1261),0))</f>
        <v>Penempatan pada peran yang tepat</v>
      </c>
      <c r="F1261" s="76">
        <v>5</v>
      </c>
      <c r="G1261" s="56" t="str" cm="1">
        <f t="array" ref="G1261">INDEX(deskripsi!$D$2:$H$337,
   MATCH(1,(deskripsi!$A$2:$A$337=B1261)*
           (deskripsi!$B$2:$B$337=C1261)*
           (deskripsi!$C$2:$C$337=D1261),0),
   F1261)</f>
        <v>Penempatannya secara konsisten menghasilkan talent yang berkembang melampaui ekspektasi.</v>
      </c>
    </row>
    <row r="1262" spans="1:7">
      <c r="A1262" t="str">
        <f t="shared" si="19"/>
        <v>Developing Others|Department Head|1|1</v>
      </c>
      <c r="B1262" t="str">
        <v>Developing Others</v>
      </c>
      <c r="C1262" t="str">
        <v>Department Head</v>
      </c>
      <c r="D1262" s="76">
        <v>1</v>
      </c>
      <c r="E1262" t="str" cm="1">
        <f t="array" ref="E1262">INDEX(aspek!$D$2:$D$337,
   MATCH(1,(aspek!$A$2:$A$337=B1262)*
           (aspek!$B$2:$B$337=C1262)*
           (aspek!$C$2:$C$337=D1262),0))</f>
        <v>Keberanian menyampaikan</v>
      </c>
      <c r="F1262" s="76">
        <v>1</v>
      </c>
      <c r="G1262" s="56" t="str" cm="1">
        <f t="array" ref="G1262">INDEX(deskripsi!$D$2:$H$337,
   MATCH(1,(deskripsi!$A$2:$A$337=B1262)*
           (deskripsi!$B$2:$B$337=C1262)*
           (deskripsi!$C$2:$C$337=D1262),0),
   F1262)</f>
        <v>Masalah dibiarkan atau baru disampaikan saat sudah mendesak.</v>
      </c>
    </row>
    <row r="1263" spans="1:7">
      <c r="A1263" t="str">
        <f t="shared" si="19"/>
        <v>Developing Others|Department Head|1|2</v>
      </c>
      <c r="B1263" t="str">
        <v>Developing Others</v>
      </c>
      <c r="C1263" t="str">
        <v>Department Head</v>
      </c>
      <c r="D1263" s="76">
        <v>1</v>
      </c>
      <c r="E1263" t="str" cm="1">
        <f t="array" ref="E1263">INDEX(aspek!$D$2:$D$337,
   MATCH(1,(aspek!$A$2:$A$337=B1263)*
           (aspek!$B$2:$B$337=C1263)*
           (aspek!$C$2:$C$337=D1263),0))</f>
        <v>Keberanian menyampaikan</v>
      </c>
      <c r="F1263" s="76">
        <v>2</v>
      </c>
      <c r="G1263" s="56" t="str" cm="1">
        <f t="array" ref="G1263">INDEX(deskripsi!$D$2:$H$337,
   MATCH(1,(deskripsi!$A$2:$A$337=B1263)*
           (deskripsi!$B$2:$B$337=C1263)*
           (deskripsi!$C$2:$C$337=D1263),0),
   F1263)</f>
        <v>Ditunda, disampaikan hanya ketika terpaksa.</v>
      </c>
    </row>
    <row r="1264" spans="1:7">
      <c r="A1264" t="str">
        <f t="shared" si="19"/>
        <v>Developing Others|Department Head|1|3</v>
      </c>
      <c r="B1264" t="str">
        <v>Developing Others</v>
      </c>
      <c r="C1264" t="str">
        <v>Department Head</v>
      </c>
      <c r="D1264" s="76">
        <v>1</v>
      </c>
      <c r="E1264" t="str" cm="1">
        <f t="array" ref="E1264">INDEX(aspek!$D$2:$D$337,
   MATCH(1,(aspek!$A$2:$A$337=B1264)*
           (aspek!$B$2:$B$337=C1264)*
           (aspek!$C$2:$C$337=D1264),0))</f>
        <v>Keberanian menyampaikan</v>
      </c>
      <c r="F1264" s="76">
        <v>3</v>
      </c>
      <c r="G1264" s="56" t="str" cm="1">
        <f t="array" ref="G1264">INDEX(deskripsi!$D$2:$H$337,
   MATCH(1,(deskripsi!$A$2:$A$337=B1264)*
           (deskripsi!$B$2:$B$337=C1264)*
           (deskripsi!$C$2:$C$337=D1264),0),
   F1264)</f>
        <v>Disampaikan langsung disertai contoh yang jelas.</v>
      </c>
    </row>
    <row r="1265" spans="1:7">
      <c r="A1265" t="str">
        <f t="shared" si="19"/>
        <v>Developing Others|Department Head|1|4</v>
      </c>
      <c r="B1265" t="str">
        <v>Developing Others</v>
      </c>
      <c r="C1265" t="str">
        <v>Department Head</v>
      </c>
      <c r="D1265" s="76">
        <v>1</v>
      </c>
      <c r="E1265" t="str" cm="1">
        <f t="array" ref="E1265">INDEX(aspek!$D$2:$D$337,
   MATCH(1,(aspek!$A$2:$A$337=B1265)*
           (aspek!$B$2:$B$337=C1265)*
           (aspek!$C$2:$C$337=D1265),0))</f>
        <v>Keberanian menyampaikan</v>
      </c>
      <c r="F1265" s="76">
        <v>4</v>
      </c>
      <c r="G1265" s="56" t="str" cm="1">
        <f t="array" ref="G1265">INDEX(deskripsi!$D$2:$H$337,
   MATCH(1,(deskripsi!$A$2:$A$337=B1265)*
           (deskripsi!$B$2:$B$337=C1265)*
           (deskripsi!$C$2:$C$337=D1265),0),
   F1265)</f>
        <v>Disampaikan tepat waktu secara konsisten, termasuk pada masalah yang sulit disampaikan.</v>
      </c>
    </row>
    <row r="1266" spans="1:7">
      <c r="A1266" t="str">
        <f t="shared" si="19"/>
        <v>Developing Others|Department Head|1|5</v>
      </c>
      <c r="B1266" t="str">
        <v>Developing Others</v>
      </c>
      <c r="C1266" t="str">
        <v>Department Head</v>
      </c>
      <c r="D1266" s="76">
        <v>1</v>
      </c>
      <c r="E1266" t="str" cm="1">
        <f t="array" ref="E1266">INDEX(aspek!$D$2:$D$337,
   MATCH(1,(aspek!$A$2:$A$337=B1266)*
           (aspek!$B$2:$B$337=C1266)*
           (aspek!$C$2:$C$337=D1266),0))</f>
        <v>Keberanian menyampaikan</v>
      </c>
      <c r="F1266" s="76">
        <v>5</v>
      </c>
      <c r="G1266" s="56" t="str" cm="1">
        <f t="array" ref="G1266">INDEX(deskripsi!$D$2:$H$337,
   MATCH(1,(deskripsi!$A$2:$A$337=B1266)*
           (deskripsi!$B$2:$B$337=C1266)*
           (deskripsi!$C$2:$C$337=D1266),0),
   F1266)</f>
        <v>Disampaikan secara teratur sehingga tidak ada masalah yang dibiarkan menumpuk.</v>
      </c>
    </row>
    <row r="1267" spans="1:7">
      <c r="A1267" t="str">
        <f t="shared" si="19"/>
        <v>Developing Others|Department Head|2|1</v>
      </c>
      <c r="B1267" t="str">
        <v>Developing Others</v>
      </c>
      <c r="C1267" t="str">
        <v>Department Head</v>
      </c>
      <c r="D1267" s="76">
        <v>2</v>
      </c>
      <c r="E1267" t="str" cm="1">
        <f t="array" ref="E1267">INDEX(aspek!$D$2:$D$337,
   MATCH(1,(aspek!$A$2:$A$337=B1267)*
           (aspek!$B$2:$B$337=C1267)*
           (aspek!$C$2:$C$337=D1267),0))</f>
        <v>Kepekaan cara menyampaikan</v>
      </c>
      <c r="F1267" s="76">
        <v>1</v>
      </c>
      <c r="G1267" s="56" t="str" cm="1">
        <f t="array" ref="G1267">INDEX(deskripsi!$D$2:$H$337,
   MATCH(1,(deskripsi!$A$2:$A$337=B1267)*
           (deskripsi!$B$2:$B$337=C1267)*
           (deskripsi!$C$2:$C$337=D1267),0),
   F1267)</f>
        <v>Disampaikan dengan cara yang merendahkan atau menyerang karakter.</v>
      </c>
    </row>
    <row r="1268" spans="1:7">
      <c r="A1268" t="str">
        <f t="shared" si="19"/>
        <v>Developing Others|Department Head|2|2</v>
      </c>
      <c r="B1268" t="str">
        <v>Developing Others</v>
      </c>
      <c r="C1268" t="str">
        <v>Department Head</v>
      </c>
      <c r="D1268" s="76">
        <v>2</v>
      </c>
      <c r="E1268" t="str" cm="1">
        <f t="array" ref="E1268">INDEX(aspek!$D$2:$D$337,
   MATCH(1,(aspek!$A$2:$A$337=B1268)*
           (aspek!$B$2:$B$337=C1268)*
           (aspek!$C$2:$C$337=D1268),0))</f>
        <v>Kepekaan cara menyampaikan</v>
      </c>
      <c r="F1268" s="76">
        <v>2</v>
      </c>
      <c r="G1268" s="56" t="str" cm="1">
        <f t="array" ref="G1268">INDEX(deskripsi!$D$2:$H$337,
   MATCH(1,(deskripsi!$A$2:$A$337=B1268)*
           (deskripsi!$B$2:$B$337=C1268)*
           (deskripsi!$C$2:$C$337=D1268),0),
   F1268)</f>
        <v>Disampaikan tanpa memperhatikan reaksi penerima.</v>
      </c>
    </row>
    <row r="1269" spans="1:7">
      <c r="A1269" t="str">
        <f t="shared" si="19"/>
        <v>Developing Others|Department Head|2|3</v>
      </c>
      <c r="B1269" t="str">
        <v>Developing Others</v>
      </c>
      <c r="C1269" t="str">
        <v>Department Head</v>
      </c>
      <c r="D1269" s="76">
        <v>2</v>
      </c>
      <c r="E1269" t="str" cm="1">
        <f t="array" ref="E1269">INDEX(aspek!$D$2:$D$337,
   MATCH(1,(aspek!$A$2:$A$337=B1269)*
           (aspek!$B$2:$B$337=C1269)*
           (aspek!$C$2:$C$337=D1269),0))</f>
        <v>Kepekaan cara menyampaikan</v>
      </c>
      <c r="F1269" s="76">
        <v>3</v>
      </c>
      <c r="G1269" s="56" t="str" cm="1">
        <f t="array" ref="G1269">INDEX(deskripsi!$D$2:$H$337,
   MATCH(1,(deskripsi!$A$2:$A$337=B1269)*
           (deskripsi!$B$2:$B$337=C1269)*
           (deskripsi!$C$2:$C$337=D1269),0),
   F1269)</f>
        <v>Disampaikan dengan cukup hati-hati pada sebagian kasus.</v>
      </c>
    </row>
    <row r="1270" spans="1:7">
      <c r="A1270" t="str">
        <f t="shared" si="19"/>
        <v>Developing Others|Department Head|2|4</v>
      </c>
      <c r="B1270" t="str">
        <v>Developing Others</v>
      </c>
      <c r="C1270" t="str">
        <v>Department Head</v>
      </c>
      <c r="D1270" s="76">
        <v>2</v>
      </c>
      <c r="E1270" t="str" cm="1">
        <f t="array" ref="E1270">INDEX(aspek!$D$2:$D$337,
   MATCH(1,(aspek!$A$2:$A$337=B1270)*
           (aspek!$B$2:$B$337=C1270)*
           (aspek!$C$2:$C$337=D1270),0))</f>
        <v>Kepekaan cara menyampaikan</v>
      </c>
      <c r="F1270" s="76">
        <v>4</v>
      </c>
      <c r="G1270" s="56" t="str" cm="1">
        <f t="array" ref="G1270">INDEX(deskripsi!$D$2:$H$337,
   MATCH(1,(deskripsi!$A$2:$A$337=B1270)*
           (deskripsi!$B$2:$B$337=C1270)*
           (deskripsi!$C$2:$C$337=D1270),0),
   F1270)</f>
        <v>Disampaikan dengan menjaga harga diri penerima secara konsisten, disertai saran perbaikan.</v>
      </c>
    </row>
    <row r="1271" spans="1:7">
      <c r="A1271" t="str">
        <f t="shared" si="19"/>
        <v>Developing Others|Department Head|2|5</v>
      </c>
      <c r="B1271" t="str">
        <v>Developing Others</v>
      </c>
      <c r="C1271" t="str">
        <v>Department Head</v>
      </c>
      <c r="D1271" s="76">
        <v>2</v>
      </c>
      <c r="E1271" t="str" cm="1">
        <f t="array" ref="E1271">INDEX(aspek!$D$2:$D$337,
   MATCH(1,(aspek!$A$2:$A$337=B1271)*
           (aspek!$B$2:$B$337=C1271)*
           (aspek!$C$2:$C$337=D1271),0))</f>
        <v>Kepekaan cara menyampaikan</v>
      </c>
      <c r="F1271" s="76">
        <v>5</v>
      </c>
      <c r="G1271" s="56" t="str" cm="1">
        <f t="array" ref="G1271">INDEX(deskripsi!$D$2:$H$337,
   MATCH(1,(deskripsi!$A$2:$A$337=B1271)*
           (deskripsi!$B$2:$B$337=C1271)*
           (deskripsi!$C$2:$C$337=D1271),0),
   F1271)</f>
        <v>Caranya menjadi contoh bagi pemimpin lain dalam menyampaikan hal sulit.</v>
      </c>
    </row>
    <row r="1272" spans="1:7">
      <c r="A1272" t="str">
        <f t="shared" si="19"/>
        <v>Developing Others|Department Head|3|1</v>
      </c>
      <c r="B1272" t="str">
        <v>Developing Others</v>
      </c>
      <c r="C1272" t="str">
        <v>Department Head</v>
      </c>
      <c r="D1272" s="76">
        <v>3</v>
      </c>
      <c r="E1272" t="str" cm="1">
        <f t="array" ref="E1272">INDEX(aspek!$D$2:$D$337,
   MATCH(1,(aspek!$A$2:$A$337=B1272)*
           (aspek!$B$2:$B$337=C1272)*
           (aspek!$C$2:$C$337=D1272),0))</f>
        <v>Hasil: perbaikan alih-alih penolakan</v>
      </c>
      <c r="F1272" s="76">
        <v>1</v>
      </c>
      <c r="G1272" s="56" t="str" cm="1">
        <f t="array" ref="G1272">INDEX(deskripsi!$D$2:$H$337,
   MATCH(1,(deskripsi!$A$2:$A$337=B1272)*
           (deskripsi!$B$2:$B$337=C1272)*
           (deskripsi!$C$2:$C$337=D1272),0),
   F1272)</f>
        <v>Masukan yang disampaikan selalu ditolak atau memicu defensif.</v>
      </c>
    </row>
    <row r="1273" spans="1:7">
      <c r="A1273" t="str">
        <f t="shared" si="19"/>
        <v>Developing Others|Department Head|3|2</v>
      </c>
      <c r="B1273" t="str">
        <v>Developing Others</v>
      </c>
      <c r="C1273" t="str">
        <v>Department Head</v>
      </c>
      <c r="D1273" s="76">
        <v>3</v>
      </c>
      <c r="E1273" t="str" cm="1">
        <f t="array" ref="E1273">INDEX(aspek!$D$2:$D$337,
   MATCH(1,(aspek!$A$2:$A$337=B1273)*
           (aspek!$B$2:$B$337=C1273)*
           (aspek!$C$2:$C$337=D1273),0))</f>
        <v>Hasil: perbaikan alih-alih penolakan</v>
      </c>
      <c r="F1273" s="76">
        <v>2</v>
      </c>
      <c r="G1273" s="56" t="str" cm="1">
        <f t="array" ref="G1273">INDEX(deskripsi!$D$2:$H$337,
   MATCH(1,(deskripsi!$A$2:$A$337=B1273)*
           (deskripsi!$B$2:$B$337=C1273)*
           (deskripsi!$C$2:$C$337=D1273),0),
   F1273)</f>
        <v>Sebagian masukan diterima, sebagian ditolak.</v>
      </c>
    </row>
    <row r="1274" spans="1:7">
      <c r="A1274" t="str">
        <f t="shared" si="19"/>
        <v>Developing Others|Department Head|3|3</v>
      </c>
      <c r="B1274" t="str">
        <v>Developing Others</v>
      </c>
      <c r="C1274" t="str">
        <v>Department Head</v>
      </c>
      <c r="D1274" s="76">
        <v>3</v>
      </c>
      <c r="E1274" t="str" cm="1">
        <f t="array" ref="E1274">INDEX(aspek!$D$2:$D$337,
   MATCH(1,(aspek!$A$2:$A$337=B1274)*
           (aspek!$B$2:$B$337=C1274)*
           (aspek!$C$2:$C$337=D1274),0))</f>
        <v>Hasil: perbaikan alih-alih penolakan</v>
      </c>
      <c r="F1274" s="76">
        <v>3</v>
      </c>
      <c r="G1274" s="56" t="str" cm="1">
        <f t="array" ref="G1274">INDEX(deskripsi!$D$2:$H$337,
   MATCH(1,(deskripsi!$A$2:$A$337=B1274)*
           (deskripsi!$B$2:$B$337=C1274)*
           (deskripsi!$C$2:$C$337=D1274),0),
   F1274)</f>
        <v>Sebagian besar masukan diterima dan ditindaklanjuti.</v>
      </c>
    </row>
    <row r="1275" spans="1:7">
      <c r="A1275" t="str">
        <f t="shared" si="19"/>
        <v>Developing Others|Department Head|3|4</v>
      </c>
      <c r="B1275" t="str">
        <v>Developing Others</v>
      </c>
      <c r="C1275" t="str">
        <v>Department Head</v>
      </c>
      <c r="D1275" s="76">
        <v>3</v>
      </c>
      <c r="E1275" t="str" cm="1">
        <f t="array" ref="E1275">INDEX(aspek!$D$2:$D$337,
   MATCH(1,(aspek!$A$2:$A$337=B1275)*
           (aspek!$B$2:$B$337=C1275)*
           (aspek!$C$2:$C$337=D1275),0))</f>
        <v>Hasil: perbaikan alih-alih penolakan</v>
      </c>
      <c r="F1275" s="76">
        <v>4</v>
      </c>
      <c r="G1275" s="56" t="str" cm="1">
        <f t="array" ref="G1275">INDEX(deskripsi!$D$2:$H$337,
   MATCH(1,(deskripsi!$A$2:$A$337=B1275)*
           (deskripsi!$B$2:$B$337=C1275)*
           (deskripsi!$C$2:$C$337=D1275),0),
   F1275)</f>
        <v>Masukan secara konsisten menghasilkan perbaikan nyata pada kinerja penerima.</v>
      </c>
    </row>
    <row r="1276" spans="1:7">
      <c r="A1276" t="str">
        <f t="shared" si="19"/>
        <v>Developing Others|Department Head|3|5</v>
      </c>
      <c r="B1276" t="str">
        <v>Developing Others</v>
      </c>
      <c r="C1276" t="str">
        <v>Department Head</v>
      </c>
      <c r="D1276" s="76">
        <v>3</v>
      </c>
      <c r="E1276" t="str" cm="1">
        <f t="array" ref="E1276">INDEX(aspek!$D$2:$D$337,
   MATCH(1,(aspek!$A$2:$A$337=B1276)*
           (aspek!$B$2:$B$337=C1276)*
           (aspek!$C$2:$C$337=D1276),0))</f>
        <v>Hasil: perbaikan alih-alih penolakan</v>
      </c>
      <c r="F1276" s="76">
        <v>5</v>
      </c>
      <c r="G1276" s="56" t="str" cm="1">
        <f t="array" ref="G1276">INDEX(deskripsi!$D$2:$H$337,
   MATCH(1,(deskripsi!$A$2:$A$337=B1276)*
           (deskripsi!$B$2:$B$337=C1276)*
           (deskripsi!$C$2:$C$337=D1276),0),
   F1276)</f>
        <v>Penerima secara aktif meminta masukan lebih lanjut karena mempercayai caranya.</v>
      </c>
    </row>
    <row r="1277" spans="1:7">
      <c r="A1277" t="str">
        <f t="shared" si="19"/>
        <v>Developing Others|Department Head|4|1</v>
      </c>
      <c r="B1277" t="str">
        <v>Developing Others</v>
      </c>
      <c r="C1277" t="str">
        <v>Department Head</v>
      </c>
      <c r="D1277" s="76">
        <v>4</v>
      </c>
      <c r="E1277" t="str" cm="1">
        <f t="array" ref="E1277">INDEX(aspek!$D$2:$D$337,
   MATCH(1,(aspek!$A$2:$A$337=B1277)*
           (aspek!$B$2:$B$337=C1277)*
           (aspek!$C$2:$C$337=D1277),0))</f>
        <v>Menjadi kebiasaan rutin</v>
      </c>
      <c r="F1277" s="76">
        <v>1</v>
      </c>
      <c r="G1277" s="56" t="str" cm="1">
        <f t="array" ref="G1277">INDEX(deskripsi!$D$2:$H$337,
   MATCH(1,(deskripsi!$A$2:$A$337=B1277)*
           (deskripsi!$B$2:$B$337=C1277)*
           (deskripsi!$C$2:$C$337=D1277),0),
   F1277)</f>
        <v>Umpan balik hanya terjadi pada momen krisis.</v>
      </c>
    </row>
    <row r="1278" spans="1:7">
      <c r="A1278" t="str">
        <f t="shared" si="19"/>
        <v>Developing Others|Department Head|4|2</v>
      </c>
      <c r="B1278" t="str">
        <v>Developing Others</v>
      </c>
      <c r="C1278" t="str">
        <v>Department Head</v>
      </c>
      <c r="D1278" s="76">
        <v>4</v>
      </c>
      <c r="E1278" t="str" cm="1">
        <f t="array" ref="E1278">INDEX(aspek!$D$2:$D$337,
   MATCH(1,(aspek!$A$2:$A$337=B1278)*
           (aspek!$B$2:$B$337=C1278)*
           (aspek!$C$2:$C$337=D1278),0))</f>
        <v>Menjadi kebiasaan rutin</v>
      </c>
      <c r="F1278" s="76">
        <v>2</v>
      </c>
      <c r="G1278" s="56" t="str" cm="1">
        <f t="array" ref="G1278">INDEX(deskripsi!$D$2:$H$337,
   MATCH(1,(deskripsi!$A$2:$A$337=B1278)*
           (deskripsi!$B$2:$B$337=C1278)*
           (deskripsi!$C$2:$C$337=D1278),0),
   F1278)</f>
        <v>Umpan balik terjadi sesekali di luar krisis.</v>
      </c>
    </row>
    <row r="1279" spans="1:7">
      <c r="A1279" t="str">
        <f t="shared" si="19"/>
        <v>Developing Others|Department Head|4|3</v>
      </c>
      <c r="B1279" t="str">
        <v>Developing Others</v>
      </c>
      <c r="C1279" t="str">
        <v>Department Head</v>
      </c>
      <c r="D1279" s="76">
        <v>4</v>
      </c>
      <c r="E1279" t="str" cm="1">
        <f t="array" ref="E1279">INDEX(aspek!$D$2:$D$337,
   MATCH(1,(aspek!$A$2:$A$337=B1279)*
           (aspek!$B$2:$B$337=C1279)*
           (aspek!$C$2:$C$337=D1279),0))</f>
        <v>Menjadi kebiasaan rutin</v>
      </c>
      <c r="F1279" s="76">
        <v>3</v>
      </c>
      <c r="G1279" s="56" t="str" cm="1">
        <f t="array" ref="G1279">INDEX(deskripsi!$D$2:$H$337,
   MATCH(1,(deskripsi!$A$2:$A$337=B1279)*
           (deskripsi!$B$2:$B$337=C1279)*
           (deskripsi!$C$2:$C$337=D1279),0),
   F1279)</f>
        <v>Umpan balik terjadi cukup rutin pada sebagian anggota tim.</v>
      </c>
    </row>
    <row r="1280" spans="1:7">
      <c r="A1280" t="str">
        <f t="shared" si="19"/>
        <v>Developing Others|Department Head|4|4</v>
      </c>
      <c r="B1280" t="str">
        <v>Developing Others</v>
      </c>
      <c r="C1280" t="str">
        <v>Department Head</v>
      </c>
      <c r="D1280" s="76">
        <v>4</v>
      </c>
      <c r="E1280" t="str" cm="1">
        <f t="array" ref="E1280">INDEX(aspek!$D$2:$D$337,
   MATCH(1,(aspek!$A$2:$A$337=B1280)*
           (aspek!$B$2:$B$337=C1280)*
           (aspek!$C$2:$C$337=D1280),0))</f>
        <v>Menjadi kebiasaan rutin</v>
      </c>
      <c r="F1280" s="76">
        <v>4</v>
      </c>
      <c r="G1280" s="56" t="str" cm="1">
        <f t="array" ref="G1280">INDEX(deskripsi!$D$2:$H$337,
   MATCH(1,(deskripsi!$A$2:$A$337=B1280)*
           (deskripsi!$B$2:$B$337=C1280)*
           (deskripsi!$C$2:$C$337=D1280),0),
   F1280)</f>
        <v>Umpan balik terjadi secara rutin dan terjadwal, dianggap hal biasa oleh tim.</v>
      </c>
    </row>
    <row r="1281" spans="1:7">
      <c r="A1281" t="str">
        <f t="shared" si="19"/>
        <v>Developing Others|Department Head|4|5</v>
      </c>
      <c r="B1281" t="str">
        <v>Developing Others</v>
      </c>
      <c r="C1281" t="str">
        <v>Department Head</v>
      </c>
      <c r="D1281" s="76">
        <v>4</v>
      </c>
      <c r="E1281" t="str" cm="1">
        <f t="array" ref="E1281">INDEX(aspek!$D$2:$D$337,
   MATCH(1,(aspek!$A$2:$A$337=B1281)*
           (aspek!$B$2:$B$337=C1281)*
           (aspek!$C$2:$C$337=D1281),0))</f>
        <v>Menjadi kebiasaan rutin</v>
      </c>
      <c r="F1281" s="76">
        <v>5</v>
      </c>
      <c r="G1281" s="56" t="str" cm="1">
        <f t="array" ref="G1281">INDEX(deskripsi!$D$2:$H$337,
   MATCH(1,(deskripsi!$A$2:$A$337=B1281)*
           (deskripsi!$B$2:$B$337=C1281)*
           (deskripsi!$C$2:$C$337=D1281),0),
   F1281)</f>
        <v>Budaya umpan balik rutin ini menular ke anggota tim yang saling memberi umpan balik sendiri.</v>
      </c>
    </row>
    <row r="1282" spans="1:7">
      <c r="A1282" t="str">
        <f t="shared" si="19"/>
        <v>Developing Others|Division Head|1|1</v>
      </c>
      <c r="B1282" t="str">
        <v>Developing Others</v>
      </c>
      <c r="C1282" t="str">
        <v>Division Head</v>
      </c>
      <c r="D1282" s="76">
        <v>1</v>
      </c>
      <c r="E1282" t="str" cm="1">
        <f t="array" ref="E1282">INDEX(aspek!$D$2:$D$337,
   MATCH(1,(aspek!$A$2:$A$337=B1282)*
           (aspek!$B$2:$B$337=C1282)*
           (aspek!$C$2:$C$337=D1282),0))</f>
        <v>Dasar pemilihan tugas yang didelegasikan</v>
      </c>
      <c r="F1282" s="76">
        <v>1</v>
      </c>
      <c r="G1282" s="56" t="str" cm="1">
        <f t="array" ref="G1282">INDEX(deskripsi!$D$2:$H$337,
   MATCH(1,(deskripsi!$A$2:$A$337=B1282)*
           (deskripsi!$B$2:$B$337=C1282)*
           (deskripsi!$C$2:$C$337=D1282),0),
   F1282)</f>
        <v>Dikerjakan sendiri karena lebih cepat, atau hanya tugas rutin yang diserahkan.</v>
      </c>
    </row>
    <row r="1283" spans="1:7">
      <c r="A1283" t="str">
        <f t="shared" ref="A1283:A1346" si="20">B1283&amp;"|"&amp;C1283&amp;"|"&amp;D1283&amp;"|"&amp;F1283</f>
        <v>Developing Others|Division Head|1|2</v>
      </c>
      <c r="B1283" t="str">
        <v>Developing Others</v>
      </c>
      <c r="C1283" t="str">
        <v>Division Head</v>
      </c>
      <c r="D1283" s="76">
        <v>1</v>
      </c>
      <c r="E1283" t="str" cm="1">
        <f t="array" ref="E1283">INDEX(aspek!$D$2:$D$337,
   MATCH(1,(aspek!$A$2:$A$337=B1283)*
           (aspek!$B$2:$B$337=C1283)*
           (aspek!$C$2:$C$337=D1283),0))</f>
        <v>Dasar pemilihan tugas yang didelegasikan</v>
      </c>
      <c r="F1283" s="76">
        <v>2</v>
      </c>
      <c r="G1283" s="56" t="str" cm="1">
        <f t="array" ref="G1283">INDEX(deskripsi!$D$2:$H$337,
   MATCH(1,(deskripsi!$A$2:$A$337=B1283)*
           (deskripsi!$B$2:$B$337=C1283)*
           (deskripsi!$C$2:$C$337=D1283),0),
   F1283)</f>
        <v>Diserahkan berdasarkan kemudahan atau ketidakpentingan tugas itu bagi diri sendiri.</v>
      </c>
    </row>
    <row r="1284" spans="1:7">
      <c r="A1284" t="str">
        <f t="shared" si="20"/>
        <v>Developing Others|Division Head|1|3</v>
      </c>
      <c r="B1284" t="str">
        <v>Developing Others</v>
      </c>
      <c r="C1284" t="str">
        <v>Division Head</v>
      </c>
      <c r="D1284" s="76">
        <v>1</v>
      </c>
      <c r="E1284" t="str" cm="1">
        <f t="array" ref="E1284">INDEX(aspek!$D$2:$D$337,
   MATCH(1,(aspek!$A$2:$A$337=B1284)*
           (aspek!$B$2:$B$337=C1284)*
           (aspek!$C$2:$C$337=D1284),0))</f>
        <v>Dasar pemilihan tugas yang didelegasikan</v>
      </c>
      <c r="F1284" s="76">
        <v>3</v>
      </c>
      <c r="G1284" s="56" t="str" cm="1">
        <f t="array" ref="G1284">INDEX(deskripsi!$D$2:$H$337,
   MATCH(1,(deskripsi!$A$2:$A$337=B1284)*
           (deskripsi!$B$2:$B$337=C1284)*
           (deskripsi!$C$2:$C$337=D1284),0),
   F1284)</f>
        <v>Diserahkan disertai penjelasan dan arahan yang memadai.</v>
      </c>
    </row>
    <row r="1285" spans="1:7">
      <c r="A1285" t="str">
        <f t="shared" si="20"/>
        <v>Developing Others|Division Head|1|4</v>
      </c>
      <c r="B1285" t="str">
        <v>Developing Others</v>
      </c>
      <c r="C1285" t="str">
        <v>Division Head</v>
      </c>
      <c r="D1285" s="76">
        <v>1</v>
      </c>
      <c r="E1285" t="str" cm="1">
        <f t="array" ref="E1285">INDEX(aspek!$D$2:$D$337,
   MATCH(1,(aspek!$A$2:$A$337=B1285)*
           (aspek!$B$2:$B$337=C1285)*
           (aspek!$C$2:$C$337=D1285),0))</f>
        <v>Dasar pemilihan tugas yang didelegasikan</v>
      </c>
      <c r="F1285" s="76">
        <v>4</v>
      </c>
      <c r="G1285" s="56" t="str" cm="1">
        <f t="array" ref="G1285">INDEX(deskripsi!$D$2:$H$337,
   MATCH(1,(deskripsi!$A$2:$A$337=B1285)*
           (deskripsi!$B$2:$B$337=C1285)*
           (deskripsi!$C$2:$C$337=D1285),0),
   F1285)</f>
        <v>Tugas dipilih secara sengaja karena sekaligus menjadi kesempatan belajar bagi penerima.</v>
      </c>
    </row>
    <row r="1286" spans="1:7">
      <c r="A1286" t="str">
        <f t="shared" si="20"/>
        <v>Developing Others|Division Head|1|5</v>
      </c>
      <c r="B1286" t="str">
        <v>Developing Others</v>
      </c>
      <c r="C1286" t="str">
        <v>Division Head</v>
      </c>
      <c r="D1286" s="76">
        <v>1</v>
      </c>
      <c r="E1286" t="str" cm="1">
        <f t="array" ref="E1286">INDEX(aspek!$D$2:$D$337,
   MATCH(1,(aspek!$A$2:$A$337=B1286)*
           (aspek!$B$2:$B$337=C1286)*
           (aspek!$C$2:$C$337=D1286),0))</f>
        <v>Dasar pemilihan tugas yang didelegasikan</v>
      </c>
      <c r="F1286" s="76">
        <v>5</v>
      </c>
      <c r="G1286" s="56" t="str" cm="1">
        <f t="array" ref="G1286">INDEX(deskripsi!$D$2:$H$337,
   MATCH(1,(deskripsi!$A$2:$A$337=B1286)*
           (deskripsi!$B$2:$B$337=C1286)*
           (deskripsi!$C$2:$C$337=D1286),0),
   F1286)</f>
        <v>Pemilihan tugasnya menjadi model delegasi yang dipelajari pemimpin lain.</v>
      </c>
    </row>
    <row r="1287" spans="1:7">
      <c r="A1287" t="str">
        <f t="shared" si="20"/>
        <v>Developing Others|Division Head|2|1</v>
      </c>
      <c r="B1287" t="str">
        <v>Developing Others</v>
      </c>
      <c r="C1287" t="str">
        <v>Division Head</v>
      </c>
      <c r="D1287" s="76">
        <v>2</v>
      </c>
      <c r="E1287" t="str" cm="1">
        <f t="array" ref="E1287">INDEX(aspek!$D$2:$D$337,
   MATCH(1,(aspek!$A$2:$A$337=B1287)*
           (aspek!$B$2:$B$337=C1287)*
           (aspek!$C$2:$C$337=D1287),0))</f>
        <v>Pendampingan yang memadai</v>
      </c>
      <c r="F1287" s="76">
        <v>1</v>
      </c>
      <c r="G1287" s="56" t="str" cm="1">
        <f t="array" ref="G1287">INDEX(deskripsi!$D$2:$H$337,
   MATCH(1,(deskripsi!$A$2:$A$337=B1287)*
           (deskripsi!$B$2:$B$337=C1287)*
           (deskripsi!$C$2:$C$337=D1287),0),
   F1287)</f>
        <v>Tugas diserahkan tanpa penjelasan.</v>
      </c>
    </row>
    <row r="1288" spans="1:7">
      <c r="A1288" t="str">
        <f t="shared" si="20"/>
        <v>Developing Others|Division Head|2|2</v>
      </c>
      <c r="B1288" t="str">
        <v>Developing Others</v>
      </c>
      <c r="C1288" t="str">
        <v>Division Head</v>
      </c>
      <c r="D1288" s="76">
        <v>2</v>
      </c>
      <c r="E1288" t="str" cm="1">
        <f t="array" ref="E1288">INDEX(aspek!$D$2:$D$337,
   MATCH(1,(aspek!$A$2:$A$337=B1288)*
           (aspek!$B$2:$B$337=C1288)*
           (aspek!$C$2:$C$337=D1288),0))</f>
        <v>Pendampingan yang memadai</v>
      </c>
      <c r="F1288" s="76">
        <v>2</v>
      </c>
      <c r="G1288" s="56" t="str" cm="1">
        <f t="array" ref="G1288">INDEX(deskripsi!$D$2:$H$337,
   MATCH(1,(deskripsi!$A$2:$A$337=B1288)*
           (deskripsi!$B$2:$B$337=C1288)*
           (deskripsi!$C$2:$C$337=D1288),0),
   F1288)</f>
        <v>Penjelasan diberikan sekali di awal, tidak ada pendampingan lanjutan.</v>
      </c>
    </row>
    <row r="1289" spans="1:7">
      <c r="A1289" t="str">
        <f t="shared" si="20"/>
        <v>Developing Others|Division Head|2|3</v>
      </c>
      <c r="B1289" t="str">
        <v>Developing Others</v>
      </c>
      <c r="C1289" t="str">
        <v>Division Head</v>
      </c>
      <c r="D1289" s="76">
        <v>2</v>
      </c>
      <c r="E1289" t="str" cm="1">
        <f t="array" ref="E1289">INDEX(aspek!$D$2:$D$337,
   MATCH(1,(aspek!$A$2:$A$337=B1289)*
           (aspek!$B$2:$B$337=C1289)*
           (aspek!$C$2:$C$337=D1289),0))</f>
        <v>Pendampingan yang memadai</v>
      </c>
      <c r="F1289" s="76">
        <v>3</v>
      </c>
      <c r="G1289" s="56" t="str" cm="1">
        <f t="array" ref="G1289">INDEX(deskripsi!$D$2:$H$337,
   MATCH(1,(deskripsi!$A$2:$A$337=B1289)*
           (deskripsi!$B$2:$B$337=C1289)*
           (deskripsi!$C$2:$C$337=D1289),0),
   F1289)</f>
        <v>Pendampingan diberikan ketika penerima meminta.</v>
      </c>
    </row>
    <row r="1290" spans="1:7">
      <c r="A1290" t="str">
        <f t="shared" si="20"/>
        <v>Developing Others|Division Head|2|4</v>
      </c>
      <c r="B1290" t="str">
        <v>Developing Others</v>
      </c>
      <c r="C1290" t="str">
        <v>Division Head</v>
      </c>
      <c r="D1290" s="76">
        <v>2</v>
      </c>
      <c r="E1290" t="str" cm="1">
        <f t="array" ref="E1290">INDEX(aspek!$D$2:$D$337,
   MATCH(1,(aspek!$A$2:$A$337=B1290)*
           (aspek!$B$2:$B$337=C1290)*
           (aspek!$C$2:$C$337=D1290),0))</f>
        <v>Pendampingan yang memadai</v>
      </c>
      <c r="F1290" s="76">
        <v>4</v>
      </c>
      <c r="G1290" s="56" t="str" cm="1">
        <f t="array" ref="G1290">INDEX(deskripsi!$D$2:$H$337,
   MATCH(1,(deskripsi!$A$2:$A$337=B1290)*
           (deskripsi!$B$2:$B$337=C1290)*
           (deskripsi!$C$2:$C$337=D1290),0),
   F1290)</f>
        <v>Pendampingan disediakan secara proaktif dan memadai, disesuaikan tingkat kesulitan tugas.</v>
      </c>
    </row>
    <row r="1291" spans="1:7">
      <c r="A1291" t="str">
        <f t="shared" si="20"/>
        <v>Developing Others|Division Head|2|5</v>
      </c>
      <c r="B1291" t="str">
        <v>Developing Others</v>
      </c>
      <c r="C1291" t="str">
        <v>Division Head</v>
      </c>
      <c r="D1291" s="76">
        <v>2</v>
      </c>
      <c r="E1291" t="str" cm="1">
        <f t="array" ref="E1291">INDEX(aspek!$D$2:$D$337,
   MATCH(1,(aspek!$A$2:$A$337=B1291)*
           (aspek!$B$2:$B$337=C1291)*
           (aspek!$C$2:$C$337=D1291),0))</f>
        <v>Pendampingan yang memadai</v>
      </c>
      <c r="F1291" s="76">
        <v>5</v>
      </c>
      <c r="G1291" s="56" t="str" cm="1">
        <f t="array" ref="G1291">INDEX(deskripsi!$D$2:$H$337,
   MATCH(1,(deskripsi!$A$2:$A$337=B1291)*
           (deskripsi!$B$2:$B$337=C1291)*
           (deskripsi!$C$2:$C$337=D1291),0),
   F1291)</f>
        <v>Pendampingannya membuat penerima berkembang melampaui ekspektasi tugas awal.</v>
      </c>
    </row>
    <row r="1292" spans="1:7">
      <c r="A1292" t="str">
        <f t="shared" si="20"/>
        <v>Developing Others|Division Head|3|1</v>
      </c>
      <c r="B1292" t="str">
        <v>Developing Others</v>
      </c>
      <c r="C1292" t="str">
        <v>Division Head</v>
      </c>
      <c r="D1292" s="76">
        <v>3</v>
      </c>
      <c r="E1292" t="str" cm="1">
        <f t="array" ref="E1292">INDEX(aspek!$D$2:$D$337,
   MATCH(1,(aspek!$A$2:$A$337=B1292)*
           (aspek!$B$2:$B$337=C1292)*
           (aspek!$C$2:$C$337=D1292),0))</f>
        <v>Ruang untuk keliru</v>
      </c>
      <c r="F1292" s="76">
        <v>1</v>
      </c>
      <c r="G1292" s="56" t="str" cm="1">
        <f t="array" ref="G1292">INDEX(deskripsi!$D$2:$H$337,
   MATCH(1,(deskripsi!$A$2:$A$337=B1292)*
           (deskripsi!$B$2:$B$337=C1292)*
           (deskripsi!$C$2:$C$337=D1292),0),
   F1292)</f>
        <v>Kesalahan langsung diambil alih atau dihukum keras.</v>
      </c>
    </row>
    <row r="1293" spans="1:7">
      <c r="A1293" t="str">
        <f t="shared" si="20"/>
        <v>Developing Others|Division Head|3|2</v>
      </c>
      <c r="B1293" t="str">
        <v>Developing Others</v>
      </c>
      <c r="C1293" t="str">
        <v>Division Head</v>
      </c>
      <c r="D1293" s="76">
        <v>3</v>
      </c>
      <c r="E1293" t="str" cm="1">
        <f t="array" ref="E1293">INDEX(aspek!$D$2:$D$337,
   MATCH(1,(aspek!$A$2:$A$337=B1293)*
           (aspek!$B$2:$B$337=C1293)*
           (aspek!$C$2:$C$337=D1293),0))</f>
        <v>Ruang untuk keliru</v>
      </c>
      <c r="F1293" s="76">
        <v>2</v>
      </c>
      <c r="G1293" s="56" t="str" cm="1">
        <f t="array" ref="G1293">INDEX(deskripsi!$D$2:$H$337,
   MATCH(1,(deskripsi!$A$2:$A$337=B1293)*
           (deskripsi!$B$2:$B$337=C1293)*
           (deskripsi!$C$2:$C$337=D1293),0),
   F1293)</f>
        <v>Kesalahan ditoleransi hanya pada tugas yang tidak penting.</v>
      </c>
    </row>
    <row r="1294" spans="1:7">
      <c r="A1294" t="str">
        <f t="shared" si="20"/>
        <v>Developing Others|Division Head|3|3</v>
      </c>
      <c r="B1294" t="str">
        <v>Developing Others</v>
      </c>
      <c r="C1294" t="str">
        <v>Division Head</v>
      </c>
      <c r="D1294" s="76">
        <v>3</v>
      </c>
      <c r="E1294" t="str" cm="1">
        <f t="array" ref="E1294">INDEX(aspek!$D$2:$D$337,
   MATCH(1,(aspek!$A$2:$A$337=B1294)*
           (aspek!$B$2:$B$337=C1294)*
           (aspek!$C$2:$C$337=D1294),0))</f>
        <v>Ruang untuk keliru</v>
      </c>
      <c r="F1294" s="76">
        <v>3</v>
      </c>
      <c r="G1294" s="56" t="str" cm="1">
        <f t="array" ref="G1294">INDEX(deskripsi!$D$2:$H$337,
   MATCH(1,(deskripsi!$A$2:$A$337=B1294)*
           (deskripsi!$B$2:$B$337=C1294)*
           (deskripsi!$C$2:$C$337=D1294),0),
   F1294)</f>
        <v>Kesalahan pada tugas penting ditoleransi dengan pengawasan ketat.</v>
      </c>
    </row>
    <row r="1295" spans="1:7">
      <c r="A1295" t="str">
        <f t="shared" si="20"/>
        <v>Developing Others|Division Head|3|4</v>
      </c>
      <c r="B1295" t="str">
        <v>Developing Others</v>
      </c>
      <c r="C1295" t="str">
        <v>Division Head</v>
      </c>
      <c r="D1295" s="76">
        <v>3</v>
      </c>
      <c r="E1295" t="str" cm="1">
        <f t="array" ref="E1295">INDEX(aspek!$D$2:$D$337,
   MATCH(1,(aspek!$A$2:$A$337=B1295)*
           (aspek!$B$2:$B$337=C1295)*
           (aspek!$C$2:$C$337=D1295),0))</f>
        <v>Ruang untuk keliru</v>
      </c>
      <c r="F1295" s="76">
        <v>4</v>
      </c>
      <c r="G1295" s="56" t="str" cm="1">
        <f t="array" ref="G1295">INDEX(deskripsi!$D$2:$H$337,
   MATCH(1,(deskripsi!$A$2:$A$337=B1295)*
           (deskripsi!$B$2:$B$337=C1295)*
           (deskripsi!$C$2:$C$337=D1295),0),
   F1295)</f>
        <v>Memberi ruang untuk keliru pada tugas yang meregangkan kemampuan, merespons kesalahan sebagai pembelajaran.</v>
      </c>
    </row>
    <row r="1296" spans="1:7">
      <c r="A1296" t="str">
        <f t="shared" si="20"/>
        <v>Developing Others|Division Head|3|5</v>
      </c>
      <c r="B1296" t="str">
        <v>Developing Others</v>
      </c>
      <c r="C1296" t="str">
        <v>Division Head</v>
      </c>
      <c r="D1296" s="76">
        <v>3</v>
      </c>
      <c r="E1296" t="str" cm="1">
        <f t="array" ref="E1296">INDEX(aspek!$D$2:$D$337,
   MATCH(1,(aspek!$A$2:$A$337=B1296)*
           (aspek!$B$2:$B$337=C1296)*
           (aspek!$C$2:$C$337=D1296),0))</f>
        <v>Ruang untuk keliru</v>
      </c>
      <c r="F1296" s="76">
        <v>5</v>
      </c>
      <c r="G1296" s="56" t="str" cm="1">
        <f t="array" ref="G1296">INDEX(deskripsi!$D$2:$H$337,
   MATCH(1,(deskripsi!$A$2:$A$337=B1296)*
           (deskripsi!$B$2:$B$337=C1296)*
           (deskripsi!$C$2:$C$337=D1296),0),
   F1296)</f>
        <v>Budaya memberi ruang untuk keliru ini menular ke seluruh tim.</v>
      </c>
    </row>
    <row r="1297" spans="1:7">
      <c r="A1297" t="str">
        <f t="shared" si="20"/>
        <v>Developing Others|Division Head|4|1</v>
      </c>
      <c r="B1297" t="str">
        <v>Developing Others</v>
      </c>
      <c r="C1297" t="str">
        <v>Division Head</v>
      </c>
      <c r="D1297" s="76">
        <v>4</v>
      </c>
      <c r="E1297" t="str" cm="1">
        <f t="array" ref="E1297">INDEX(aspek!$D$2:$D$337,
   MATCH(1,(aspek!$A$2:$A$337=B1297)*
           (aspek!$B$2:$B$337=C1297)*
           (aspek!$C$2:$C$337=D1297),0))</f>
        <v>Pertumbuhan kapasitas penerima</v>
      </c>
      <c r="F1297" s="76">
        <v>1</v>
      </c>
      <c r="G1297" s="56" t="str" cm="1">
        <f t="array" ref="G1297">INDEX(deskripsi!$D$2:$H$337,
   MATCH(1,(deskripsi!$A$2:$A$337=B1297)*
           (deskripsi!$B$2:$B$337=C1297)*
           (deskripsi!$C$2:$C$337=D1297),0),
   F1297)</f>
        <v>Penerima delegasi tidak menunjukkan pertumbuhan kapasitas.</v>
      </c>
    </row>
    <row r="1298" spans="1:7">
      <c r="A1298" t="str">
        <f t="shared" si="20"/>
        <v>Developing Others|Division Head|4|2</v>
      </c>
      <c r="B1298" t="str">
        <v>Developing Others</v>
      </c>
      <c r="C1298" t="str">
        <v>Division Head</v>
      </c>
      <c r="D1298" s="76">
        <v>4</v>
      </c>
      <c r="E1298" t="str" cm="1">
        <f t="array" ref="E1298">INDEX(aspek!$D$2:$D$337,
   MATCH(1,(aspek!$A$2:$A$337=B1298)*
           (aspek!$B$2:$B$337=C1298)*
           (aspek!$C$2:$C$337=D1298),0))</f>
        <v>Pertumbuhan kapasitas penerima</v>
      </c>
      <c r="F1298" s="76">
        <v>2</v>
      </c>
      <c r="G1298" s="56" t="str" cm="1">
        <f t="array" ref="G1298">INDEX(deskripsi!$D$2:$H$337,
   MATCH(1,(deskripsi!$A$2:$A$337=B1298)*
           (deskripsi!$B$2:$B$337=C1298)*
           (deskripsi!$C$2:$C$337=D1298),0),
   F1298)</f>
        <v>Pertumbuhan terjadi kebetulan, tidak disengaja.</v>
      </c>
    </row>
    <row r="1299" spans="1:7">
      <c r="A1299" t="str">
        <f t="shared" si="20"/>
        <v>Developing Others|Division Head|4|3</v>
      </c>
      <c r="B1299" t="str">
        <v>Developing Others</v>
      </c>
      <c r="C1299" t="str">
        <v>Division Head</v>
      </c>
      <c r="D1299" s="76">
        <v>4</v>
      </c>
      <c r="E1299" t="str" cm="1">
        <f t="array" ref="E1299">INDEX(aspek!$D$2:$D$337,
   MATCH(1,(aspek!$A$2:$A$337=B1299)*
           (aspek!$B$2:$B$337=C1299)*
           (aspek!$C$2:$C$337=D1299),0))</f>
        <v>Pertumbuhan kapasitas penerima</v>
      </c>
      <c r="F1299" s="76">
        <v>3</v>
      </c>
      <c r="G1299" s="56" t="str" cm="1">
        <f t="array" ref="G1299">INDEX(deskripsi!$D$2:$H$337,
   MATCH(1,(deskripsi!$A$2:$A$337=B1299)*
           (deskripsi!$B$2:$B$337=C1299)*
           (deskripsi!$C$2:$C$337=D1299),0),
   F1299)</f>
        <v>Pertumbuhan terjadi pada sebagian penerima.</v>
      </c>
    </row>
    <row r="1300" spans="1:7">
      <c r="A1300" t="str">
        <f t="shared" si="20"/>
        <v>Developing Others|Division Head|4|4</v>
      </c>
      <c r="B1300" t="str">
        <v>Developing Others</v>
      </c>
      <c r="C1300" t="str">
        <v>Division Head</v>
      </c>
      <c r="D1300" s="76">
        <v>4</v>
      </c>
      <c r="E1300" t="str" cm="1">
        <f t="array" ref="E1300">INDEX(aspek!$D$2:$D$337,
   MATCH(1,(aspek!$A$2:$A$337=B1300)*
           (aspek!$B$2:$B$337=C1300)*
           (aspek!$C$2:$C$337=D1300),0))</f>
        <v>Pertumbuhan kapasitas penerima</v>
      </c>
      <c r="F1300" s="76">
        <v>4</v>
      </c>
      <c r="G1300" s="56" t="str" cm="1">
        <f t="array" ref="G1300">INDEX(deskripsi!$D$2:$H$337,
   MATCH(1,(deskripsi!$A$2:$A$337=B1300)*
           (deskripsi!$B$2:$B$337=C1300)*
           (deskripsi!$C$2:$C$337=D1300),0),
   F1300)</f>
        <v>Pertumbuhan kapasitas terjadi secara konsisten dan terukur pada penerima delegasi.</v>
      </c>
    </row>
    <row r="1301" spans="1:7">
      <c r="A1301" t="str">
        <f t="shared" si="20"/>
        <v>Developing Others|Division Head|4|5</v>
      </c>
      <c r="B1301" t="str">
        <v>Developing Others</v>
      </c>
      <c r="C1301" t="str">
        <v>Division Head</v>
      </c>
      <c r="D1301" s="76">
        <v>4</v>
      </c>
      <c r="E1301" t="str" cm="1">
        <f t="array" ref="E1301">INDEX(aspek!$D$2:$D$337,
   MATCH(1,(aspek!$A$2:$A$337=B1301)*
           (aspek!$B$2:$B$337=C1301)*
           (aspek!$C$2:$C$337=D1301),0))</f>
        <v>Pertumbuhan kapasitas penerima</v>
      </c>
      <c r="F1301" s="76">
        <v>5</v>
      </c>
      <c r="G1301" s="56" t="str" cm="1">
        <f t="array" ref="G1301">INDEX(deskripsi!$D$2:$H$337,
   MATCH(1,(deskripsi!$A$2:$A$337=B1301)*
           (deskripsi!$B$2:$B$337=C1301)*
           (deskripsi!$C$2:$C$337=D1301),0),
   F1301)</f>
        <v>Penerima delegasi menjadi mampu mendelegasikan dengan cara yang sama kepada orang lain.</v>
      </c>
    </row>
    <row r="1302" spans="1:7">
      <c r="A1302" t="str">
        <f t="shared" si="20"/>
        <v>Developing Others|Director|1|1</v>
      </c>
      <c r="B1302" t="str">
        <v>Developing Others</v>
      </c>
      <c r="C1302" t="str">
        <v>Director</v>
      </c>
      <c r="D1302" s="76">
        <v>1</v>
      </c>
      <c r="E1302" t="str" cm="1">
        <f t="array" ref="E1302">INDEX(aspek!$D$2:$D$337,
   MATCH(1,(aspek!$A$2:$A$337=B1302)*
           (aspek!$B$2:$B$337=C1302)*
           (aspek!$C$2:$C$337=D1302),0))</f>
        <v>Keteraturan percakapan pengembangan</v>
      </c>
      <c r="F1302" s="76">
        <v>1</v>
      </c>
      <c r="G1302" s="56" t="str" cm="1">
        <f t="array" ref="G1302">INDEX(deskripsi!$D$2:$H$337,
   MATCH(1,(deskripsi!$A$2:$A$337=B1302)*
           (deskripsi!$B$2:$B$337=C1302)*
           (deskripsi!$C$2:$C$337=D1302),0),
   F1302)</f>
        <v>Pengembangan dianggap tanggung jawab fungsi SDM.</v>
      </c>
    </row>
    <row r="1303" spans="1:7">
      <c r="A1303" t="str">
        <f t="shared" si="20"/>
        <v>Developing Others|Director|1|2</v>
      </c>
      <c r="B1303" t="str">
        <v>Developing Others</v>
      </c>
      <c r="C1303" t="str">
        <v>Director</v>
      </c>
      <c r="D1303" s="76">
        <v>1</v>
      </c>
      <c r="E1303" t="str" cm="1">
        <f t="array" ref="E1303">INDEX(aspek!$D$2:$D$337,
   MATCH(1,(aspek!$A$2:$A$337=B1303)*
           (aspek!$B$2:$B$337=C1303)*
           (aspek!$C$2:$C$337=D1303),0))</f>
        <v>Keteraturan percakapan pengembangan</v>
      </c>
      <c r="F1303" s="76">
        <v>2</v>
      </c>
      <c r="G1303" s="56" t="str" cm="1">
        <f t="array" ref="G1303">INDEX(deskripsi!$D$2:$H$337,
   MATCH(1,(deskripsi!$A$2:$A$337=B1303)*
           (deskripsi!$B$2:$B$337=C1303)*
           (deskripsi!$C$2:$C$337=D1303),0),
   F1303)</f>
        <v>Didukung hanya ketika program pengembangan tersedia.</v>
      </c>
    </row>
    <row r="1304" spans="1:7">
      <c r="A1304" t="str">
        <f t="shared" si="20"/>
        <v>Developing Others|Director|1|3</v>
      </c>
      <c r="B1304" t="str">
        <v>Developing Others</v>
      </c>
      <c r="C1304" t="str">
        <v>Director</v>
      </c>
      <c r="D1304" s="76">
        <v>1</v>
      </c>
      <c r="E1304" t="str" cm="1">
        <f t="array" ref="E1304">INDEX(aspek!$D$2:$D$337,
   MATCH(1,(aspek!$A$2:$A$337=B1304)*
           (aspek!$B$2:$B$337=C1304)*
           (aspek!$C$2:$C$337=D1304),0))</f>
        <v>Keteraturan percakapan pengembangan</v>
      </c>
      <c r="F1304" s="76">
        <v>3</v>
      </c>
      <c r="G1304" s="56" t="str" cm="1">
        <f t="array" ref="G1304">INDEX(deskripsi!$D$2:$H$337,
   MATCH(1,(deskripsi!$A$2:$A$337=B1304)*
           (deskripsi!$B$2:$B$337=C1304)*
           (deskripsi!$C$2:$C$337=D1304),0),
   F1304)</f>
        <v>Mengarahkan orang lain pada kesempatan belajar yang relevan.</v>
      </c>
    </row>
    <row r="1305" spans="1:7">
      <c r="A1305" t="str">
        <f t="shared" si="20"/>
        <v>Developing Others|Director|1|4</v>
      </c>
      <c r="B1305" t="str">
        <v>Developing Others</v>
      </c>
      <c r="C1305" t="str">
        <v>Director</v>
      </c>
      <c r="D1305" s="76">
        <v>1</v>
      </c>
      <c r="E1305" t="str" cm="1">
        <f t="array" ref="E1305">INDEX(aspek!$D$2:$D$337,
   MATCH(1,(aspek!$A$2:$A$337=B1305)*
           (aspek!$B$2:$B$337=C1305)*
           (aspek!$C$2:$C$337=D1305),0))</f>
        <v>Keteraturan percakapan pengembangan</v>
      </c>
      <c r="F1305" s="76">
        <v>4</v>
      </c>
      <c r="G1305" s="56" t="str" cm="1">
        <f t="array" ref="G1305">INDEX(deskripsi!$D$2:$H$337,
   MATCH(1,(deskripsi!$A$2:$A$337=B1305)*
           (deskripsi!$B$2:$B$337=C1305)*
           (deskripsi!$C$2:$C$337=D1305),0),
   F1305)</f>
        <v>Mendampingi perkembangan orang lain melalui percakapan pengembangan yang TERATUR dan terjadwal.</v>
      </c>
    </row>
    <row r="1306" spans="1:7">
      <c r="A1306" t="str">
        <f t="shared" si="20"/>
        <v>Developing Others|Director|1|5</v>
      </c>
      <c r="B1306" t="str">
        <v>Developing Others</v>
      </c>
      <c r="C1306" t="str">
        <v>Director</v>
      </c>
      <c r="D1306" s="76">
        <v>1</v>
      </c>
      <c r="E1306" t="str" cm="1">
        <f t="array" ref="E1306">INDEX(aspek!$D$2:$D$337,
   MATCH(1,(aspek!$A$2:$A$337=B1306)*
           (aspek!$B$2:$B$337=C1306)*
           (aspek!$C$2:$C$337=D1306),0))</f>
        <v>Keteraturan percakapan pengembangan</v>
      </c>
      <c r="F1306" s="76">
        <v>5</v>
      </c>
      <c r="G1306" s="56" t="str" cm="1">
        <f t="array" ref="G1306">INDEX(deskripsi!$D$2:$H$337,
   MATCH(1,(deskripsi!$A$2:$A$337=B1306)*
           (deskripsi!$B$2:$B$337=C1306)*
           (deskripsi!$C$2:$C$337=D1306),0),
   F1306)</f>
        <v>Keteraturannya menjadi model yang ditiru pemimpin lain.</v>
      </c>
    </row>
    <row r="1307" spans="1:7">
      <c r="A1307" t="str">
        <f t="shared" si="20"/>
        <v>Developing Others|Director|2|1</v>
      </c>
      <c r="B1307" t="str">
        <v>Developing Others</v>
      </c>
      <c r="C1307" t="str">
        <v>Director</v>
      </c>
      <c r="D1307" s="76">
        <v>2</v>
      </c>
      <c r="E1307" t="str" cm="1">
        <f t="array" ref="E1307">INDEX(aspek!$D$2:$D$337,
   MATCH(1,(aspek!$A$2:$A$337=B1307)*
           (aspek!$B$2:$B$337=C1307)*
           (aspek!$C$2:$C$337=D1307),0))</f>
        <v>Kemandirian pembelajaran yang dibangun</v>
      </c>
      <c r="F1307" s="76">
        <v>1</v>
      </c>
      <c r="G1307" s="56" t="str" cm="1">
        <f t="array" ref="G1307">INDEX(deskripsi!$D$2:$H$337,
   MATCH(1,(deskripsi!$A$2:$A$337=B1307)*
           (deskripsi!$B$2:$B$337=C1307)*
           (deskripsi!$C$2:$C$337=D1307),0),
   F1307)</f>
        <v>Pembelajaran orang lain sepenuhnya bergantung pada kehadirannya.</v>
      </c>
    </row>
    <row r="1308" spans="1:7">
      <c r="A1308" t="str">
        <f t="shared" si="20"/>
        <v>Developing Others|Director|2|2</v>
      </c>
      <c r="B1308" t="str">
        <v>Developing Others</v>
      </c>
      <c r="C1308" t="str">
        <v>Director</v>
      </c>
      <c r="D1308" s="76">
        <v>2</v>
      </c>
      <c r="E1308" t="str" cm="1">
        <f t="array" ref="E1308">INDEX(aspek!$D$2:$D$337,
   MATCH(1,(aspek!$A$2:$A$337=B1308)*
           (aspek!$B$2:$B$337=C1308)*
           (aspek!$C$2:$C$337=D1308),0))</f>
        <v>Kemandirian pembelajaran yang dibangun</v>
      </c>
      <c r="F1308" s="76">
        <v>2</v>
      </c>
      <c r="G1308" s="56" t="str" cm="1">
        <f t="array" ref="G1308">INDEX(deskripsi!$D$2:$H$337,
   MATCH(1,(deskripsi!$A$2:$A$337=B1308)*
           (deskripsi!$B$2:$B$337=C1308)*
           (deskripsi!$C$2:$C$337=D1308),0),
   F1308)</f>
        <v>Sebagian pembelajaran bergantung padanya, sebagian tidak.</v>
      </c>
    </row>
    <row r="1309" spans="1:7">
      <c r="A1309" t="str">
        <f t="shared" si="20"/>
        <v>Developing Others|Director|2|3</v>
      </c>
      <c r="B1309" t="str">
        <v>Developing Others</v>
      </c>
      <c r="C1309" t="str">
        <v>Director</v>
      </c>
      <c r="D1309" s="76">
        <v>2</v>
      </c>
      <c r="E1309" t="str" cm="1">
        <f t="array" ref="E1309">INDEX(aspek!$D$2:$D$337,
   MATCH(1,(aspek!$A$2:$A$337=B1309)*
           (aspek!$B$2:$B$337=C1309)*
           (aspek!$C$2:$C$337=D1309),0))</f>
        <v>Kemandirian pembelajaran yang dibangun</v>
      </c>
      <c r="F1309" s="76">
        <v>3</v>
      </c>
      <c r="G1309" s="56" t="str" cm="1">
        <f t="array" ref="G1309">INDEX(deskripsi!$D$2:$H$337,
   MATCH(1,(deskripsi!$A$2:$A$337=B1309)*
           (deskripsi!$B$2:$B$337=C1309)*
           (deskripsi!$C$2:$C$337=D1309),0),
   F1309)</f>
        <v>Pembelajaran berjalan mandiri pada kesempatan yang sederhana.</v>
      </c>
    </row>
    <row r="1310" spans="1:7">
      <c r="A1310" t="str">
        <f t="shared" si="20"/>
        <v>Developing Others|Director|2|4</v>
      </c>
      <c r="B1310" t="str">
        <v>Developing Others</v>
      </c>
      <c r="C1310" t="str">
        <v>Director</v>
      </c>
      <c r="D1310" s="76">
        <v>2</v>
      </c>
      <c r="E1310" t="str" cm="1">
        <f t="array" ref="E1310">INDEX(aspek!$D$2:$D$337,
   MATCH(1,(aspek!$A$2:$A$337=B1310)*
           (aspek!$B$2:$B$337=C1310)*
           (aspek!$C$2:$C$337=D1310),0))</f>
        <v>Kemandirian pembelajaran yang dibangun</v>
      </c>
      <c r="F1310" s="76">
        <v>4</v>
      </c>
      <c r="G1310" s="56" t="str" cm="1">
        <f t="array" ref="G1310">INDEX(deskripsi!$D$2:$H$337,
   MATCH(1,(deskripsi!$A$2:$A$337=B1310)*
           (deskripsi!$B$2:$B$337=C1310)*
           (deskripsi!$C$2:$C$337=D1310),0),
   F1310)</f>
        <v>Membangun kebiasaan saling mengembangkan yang mulai berjalan tanpa kehadirannya.</v>
      </c>
    </row>
    <row r="1311" spans="1:7">
      <c r="A1311" t="str">
        <f t="shared" si="20"/>
        <v>Developing Others|Director|2|5</v>
      </c>
      <c r="B1311" t="str">
        <v>Developing Others</v>
      </c>
      <c r="C1311" t="str">
        <v>Director</v>
      </c>
      <c r="D1311" s="76">
        <v>2</v>
      </c>
      <c r="E1311" t="str" cm="1">
        <f t="array" ref="E1311">INDEX(aspek!$D$2:$D$337,
   MATCH(1,(aspek!$A$2:$A$337=B1311)*
           (aspek!$B$2:$B$337=C1311)*
           (aspek!$C$2:$C$337=D1311),0))</f>
        <v>Kemandirian pembelajaran yang dibangun</v>
      </c>
      <c r="F1311" s="76">
        <v>5</v>
      </c>
      <c r="G1311" s="56" t="str" cm="1">
        <f t="array" ref="G1311">INDEX(deskripsi!$D$2:$H$337,
   MATCH(1,(deskripsi!$A$2:$A$337=B1311)*
           (deskripsi!$B$2:$B$337=C1311)*
           (deskripsi!$C$2:$C$337=D1311),0),
   F1311)</f>
        <v>Pembelajaran terus berjalan sepenuhnya tanpa bergantung pada dirinya, bahkan setelah ia tidak lagi terlibat.</v>
      </c>
    </row>
    <row r="1312" spans="1:7">
      <c r="A1312" t="str">
        <f t="shared" si="20"/>
        <v>Developing Others|Director|3|1</v>
      </c>
      <c r="B1312" t="str">
        <v>Developing Others</v>
      </c>
      <c r="C1312" t="str">
        <v>Director</v>
      </c>
      <c r="D1312" s="76">
        <v>3</v>
      </c>
      <c r="E1312" t="str" cm="1">
        <f t="array" ref="E1312">INDEX(aspek!$D$2:$D$337,
   MATCH(1,(aspek!$A$2:$A$337=B1312)*
           (aspek!$B$2:$B$337=C1312)*
           (aspek!$C$2:$C$337=D1312),0))</f>
        <v>Kedalaman pendampingan individual</v>
      </c>
      <c r="F1312" s="76">
        <v>1</v>
      </c>
      <c r="G1312" s="56" t="str" cm="1">
        <f t="array" ref="G1312">INDEX(deskripsi!$D$2:$H$337,
   MATCH(1,(deskripsi!$A$2:$A$337=B1312)*
           (deskripsi!$B$2:$B$337=C1312)*
           (deskripsi!$C$2:$C$337=D1312),0),
   F1312)</f>
        <v>Interaksi dengan bawahan sebatas urusan tugas.</v>
      </c>
    </row>
    <row r="1313" spans="1:7">
      <c r="A1313" t="str">
        <f t="shared" si="20"/>
        <v>Developing Others|Director|3|2</v>
      </c>
      <c r="B1313" t="str">
        <v>Developing Others</v>
      </c>
      <c r="C1313" t="str">
        <v>Director</v>
      </c>
      <c r="D1313" s="76">
        <v>3</v>
      </c>
      <c r="E1313" t="str" cm="1">
        <f t="array" ref="E1313">INDEX(aspek!$D$2:$D$337,
   MATCH(1,(aspek!$A$2:$A$337=B1313)*
           (aspek!$B$2:$B$337=C1313)*
           (aspek!$C$2:$C$337=D1313),0))</f>
        <v>Kedalaman pendampingan individual</v>
      </c>
      <c r="F1313" s="76">
        <v>2</v>
      </c>
      <c r="G1313" s="56" t="str" cm="1">
        <f t="array" ref="G1313">INDEX(deskripsi!$D$2:$H$337,
   MATCH(1,(deskripsi!$A$2:$A$337=B1313)*
           (deskripsi!$B$2:$B$337=C1313)*
           (deskripsi!$C$2:$C$337=D1313),0),
   F1313)</f>
        <v>Sesekali membahas pengembangan, tidak terstruktur.</v>
      </c>
    </row>
    <row r="1314" spans="1:7">
      <c r="A1314" t="str">
        <f t="shared" si="20"/>
        <v>Developing Others|Director|3|3</v>
      </c>
      <c r="B1314" t="str">
        <v>Developing Others</v>
      </c>
      <c r="C1314" t="str">
        <v>Director</v>
      </c>
      <c r="D1314" s="76">
        <v>3</v>
      </c>
      <c r="E1314" t="str" cm="1">
        <f t="array" ref="E1314">INDEX(aspek!$D$2:$D$337,
   MATCH(1,(aspek!$A$2:$A$337=B1314)*
           (aspek!$B$2:$B$337=C1314)*
           (aspek!$C$2:$C$337=D1314),0))</f>
        <v>Kedalaman pendampingan individual</v>
      </c>
      <c r="F1314" s="76">
        <v>3</v>
      </c>
      <c r="G1314" s="56" t="str" cm="1">
        <f t="array" ref="G1314">INDEX(deskripsi!$D$2:$H$337,
   MATCH(1,(deskripsi!$A$2:$A$337=B1314)*
           (deskripsi!$B$2:$B$337=C1314)*
           (deskripsi!$C$2:$C$337=D1314),0),
   F1314)</f>
        <v>Membahas pengembangan pada momen formal (review tahunan).</v>
      </c>
    </row>
    <row r="1315" spans="1:7">
      <c r="A1315" t="str">
        <f t="shared" si="20"/>
        <v>Developing Others|Director|3|4</v>
      </c>
      <c r="B1315" t="str">
        <v>Developing Others</v>
      </c>
      <c r="C1315" t="str">
        <v>Director</v>
      </c>
      <c r="D1315" s="76">
        <v>3</v>
      </c>
      <c r="E1315" t="str" cm="1">
        <f t="array" ref="E1315">INDEX(aspek!$D$2:$D$337,
   MATCH(1,(aspek!$A$2:$A$337=B1315)*
           (aspek!$B$2:$B$337=C1315)*
           (aspek!$C$2:$C$337=D1315),0))</f>
        <v>Kedalaman pendampingan individual</v>
      </c>
      <c r="F1315" s="76">
        <v>4</v>
      </c>
      <c r="G1315" s="56" t="str" cm="1">
        <f t="array" ref="G1315">INDEX(deskripsi!$D$2:$H$337,
   MATCH(1,(deskripsi!$A$2:$A$337=B1315)*
           (deskripsi!$B$2:$B$337=C1315)*
           (deskripsi!$C$2:$C$337=D1315),0),
   F1315)</f>
        <v>Membahas pengembangan secara teratur di luar siklus formal, dengan komitmen yang dipantau.</v>
      </c>
    </row>
    <row r="1316" spans="1:7">
      <c r="A1316" t="str">
        <f t="shared" si="20"/>
        <v>Developing Others|Director|3|5</v>
      </c>
      <c r="B1316" t="str">
        <v>Developing Others</v>
      </c>
      <c r="C1316" t="str">
        <v>Director</v>
      </c>
      <c r="D1316" s="76">
        <v>3</v>
      </c>
      <c r="E1316" t="str" cm="1">
        <f t="array" ref="E1316">INDEX(aspek!$D$2:$D$337,
   MATCH(1,(aspek!$A$2:$A$337=B1316)*
           (aspek!$B$2:$B$337=C1316)*
           (aspek!$C$2:$C$337=D1316),0))</f>
        <v>Kedalaman pendampingan individual</v>
      </c>
      <c r="F1316" s="76">
        <v>5</v>
      </c>
      <c r="G1316" s="56" t="str" cm="1">
        <f t="array" ref="G1316">INDEX(deskripsi!$D$2:$H$337,
   MATCH(1,(deskripsi!$A$2:$A$337=B1316)*
           (deskripsi!$B$2:$B$337=C1316)*
           (deskripsi!$C$2:$C$337=D1316),0),
   F1316)</f>
        <v>Menjadi tempat individu secara sukarela mencari pendampingan pengembangan.</v>
      </c>
    </row>
    <row r="1317" spans="1:7">
      <c r="A1317" t="str">
        <f t="shared" si="20"/>
        <v>Developing Others|Director|4|1</v>
      </c>
      <c r="B1317" t="str">
        <v>Developing Others</v>
      </c>
      <c r="C1317" t="str">
        <v>Director</v>
      </c>
      <c r="D1317" s="76">
        <v>4</v>
      </c>
      <c r="E1317" t="str" cm="1">
        <f t="array" ref="E1317">INDEX(aspek!$D$2:$D$337,
   MATCH(1,(aspek!$A$2:$A$337=B1317)*
           (aspek!$B$2:$B$337=C1317)*
           (aspek!$C$2:$C$337=D1317),0))</f>
        <v>Pelembagaan sistem pengembangan yang inklusif</v>
      </c>
      <c r="F1317" s="76">
        <v>1</v>
      </c>
      <c r="G1317" s="56" t="str" cm="1">
        <f t="array" ref="G1317">INDEX(deskripsi!$D$2:$H$337,
   MATCH(1,(deskripsi!$A$2:$A$337=B1317)*
           (deskripsi!$B$2:$B$337=C1317)*
           (deskripsi!$C$2:$C$337=D1317),0),
   F1317)</f>
        <v>Sistem pengembangan berjalan tanpa memperhatikan bias.</v>
      </c>
    </row>
    <row r="1318" spans="1:7">
      <c r="A1318" t="str">
        <f t="shared" si="20"/>
        <v>Developing Others|Director|4|2</v>
      </c>
      <c r="B1318" t="str">
        <v>Developing Others</v>
      </c>
      <c r="C1318" t="str">
        <v>Director</v>
      </c>
      <c r="D1318" s="76">
        <v>4</v>
      </c>
      <c r="E1318" t="str" cm="1">
        <f t="array" ref="E1318">INDEX(aspek!$D$2:$D$337,
   MATCH(1,(aspek!$A$2:$A$337=B1318)*
           (aspek!$B$2:$B$337=C1318)*
           (aspek!$C$2:$C$337=D1318),0))</f>
        <v>Pelembagaan sistem pengembangan yang inklusif</v>
      </c>
      <c r="F1318" s="76">
        <v>2</v>
      </c>
      <c r="G1318" s="56" t="str" cm="1">
        <f t="array" ref="G1318">INDEX(deskripsi!$D$2:$H$337,
   MATCH(1,(deskripsi!$A$2:$A$337=B1318)*
           (deskripsi!$B$2:$B$337=C1318)*
           (deskripsi!$C$2:$C$337=D1318),0),
   F1318)</f>
        <v>Menyadari ada bias, tidak mengambil tindakan.</v>
      </c>
    </row>
    <row r="1319" spans="1:7">
      <c r="A1319" t="str">
        <f t="shared" si="20"/>
        <v>Developing Others|Director|4|3</v>
      </c>
      <c r="B1319" t="str">
        <v>Developing Others</v>
      </c>
      <c r="C1319" t="str">
        <v>Director</v>
      </c>
      <c r="D1319" s="76">
        <v>4</v>
      </c>
      <c r="E1319" t="str" cm="1">
        <f t="array" ref="E1319">INDEX(aspek!$D$2:$D$337,
   MATCH(1,(aspek!$A$2:$A$337=B1319)*
           (aspek!$B$2:$B$337=C1319)*
           (aspek!$C$2:$C$337=D1319),0))</f>
        <v>Pelembagaan sistem pengembangan yang inklusif</v>
      </c>
      <c r="F1319" s="76">
        <v>3</v>
      </c>
      <c r="G1319" s="56" t="str" cm="1">
        <f t="array" ref="G1319">INDEX(deskripsi!$D$2:$H$337,
   MATCH(1,(deskripsi!$A$2:$A$337=B1319)*
           (deskripsi!$B$2:$B$337=C1319)*
           (deskripsi!$C$2:$C$337=D1319),0),
   F1319)</f>
        <v>Mengambil tindakan pada bias yang paling jelas.</v>
      </c>
    </row>
    <row r="1320" spans="1:7">
      <c r="A1320" t="str">
        <f t="shared" si="20"/>
        <v>Developing Others|Director|4|4</v>
      </c>
      <c r="B1320" t="str">
        <v>Developing Others</v>
      </c>
      <c r="C1320" t="str">
        <v>Director</v>
      </c>
      <c r="D1320" s="76">
        <v>4</v>
      </c>
      <c r="E1320" t="str" cm="1">
        <f t="array" ref="E1320">INDEX(aspek!$D$2:$D$337,
   MATCH(1,(aspek!$A$2:$A$337=B1320)*
           (aspek!$B$2:$B$337=C1320)*
           (aspek!$C$2:$C$337=D1320),0))</f>
        <v>Pelembagaan sistem pengembangan yang inklusif</v>
      </c>
      <c r="F1320" s="76">
        <v>4</v>
      </c>
      <c r="G1320" s="56" t="str" cm="1">
        <f t="array" ref="G1320">INDEX(deskripsi!$D$2:$H$337,
   MATCH(1,(deskripsi!$A$2:$A$337=B1320)*
           (deskripsi!$B$2:$B$337=C1320)*
           (deskripsi!$C$2:$C$337=D1320),0),
   F1320)</f>
        <v>Merancang sistem pengembangan yang secara eksplisit mengurangi bias dan meningkatkan inklusivitas.</v>
      </c>
    </row>
    <row r="1321" spans="1:7">
      <c r="A1321" t="str">
        <f t="shared" si="20"/>
        <v>Developing Others|Director|4|5</v>
      </c>
      <c r="B1321" t="str">
        <v>Developing Others</v>
      </c>
      <c r="C1321" t="str">
        <v>Director</v>
      </c>
      <c r="D1321" s="76">
        <v>4</v>
      </c>
      <c r="E1321" t="str" cm="1">
        <f t="array" ref="E1321">INDEX(aspek!$D$2:$D$337,
   MATCH(1,(aspek!$A$2:$A$337=B1321)*
           (aspek!$B$2:$B$337=C1321)*
           (aspek!$C$2:$C$337=D1321),0))</f>
        <v>Pelembagaan sistem pengembangan yang inklusif</v>
      </c>
      <c r="F1321" s="76">
        <v>5</v>
      </c>
      <c r="G1321" s="56" t="str" cm="1">
        <f t="array" ref="G1321">INDEX(deskripsi!$D$2:$H$337,
   MATCH(1,(deskripsi!$A$2:$A$337=B1321)*
           (deskripsi!$B$2:$B$337=C1321)*
           (deskripsi!$C$2:$C$337=D1321),0),
   F1321)</f>
        <v>Sistemnya menjadi rujukan praktik pengembangan talenta yang inklusif di organisasi.</v>
      </c>
    </row>
    <row r="1322" spans="1:7">
      <c r="A1322" t="str">
        <f t="shared" si="20"/>
        <v>Team Work|Officer|1|1</v>
      </c>
      <c r="B1322" t="str">
        <v>Team Work</v>
      </c>
      <c r="C1322" t="str">
        <v>Officer</v>
      </c>
      <c r="D1322" s="76">
        <v>1</v>
      </c>
      <c r="E1322" t="str" cm="1">
        <f t="array" ref="E1322">INDEX(aspek!$D$2:$D$337,
   MATCH(1,(aspek!$A$2:$A$337=B1322)*
           (aspek!$B$2:$B$337=C1322)*
           (aspek!$C$2:$C$337=D1322),0))</f>
        <v>Kualitas perhatian</v>
      </c>
      <c r="F1322" s="76">
        <v>1</v>
      </c>
      <c r="G1322" s="56" t="str" cm="1">
        <f t="array" ref="G1322">INDEX(deskripsi!$D$2:$H$337,
   MATCH(1,(deskripsi!$A$2:$A$337=B1322)*
           (deskripsi!$B$2:$B$337=C1322)*
           (deskripsi!$C$2:$C$337=D1322),0),
   F1322)</f>
        <v>Perhatian teralih; memikirkan hal lain saat orang lain berbicara.</v>
      </c>
    </row>
    <row r="1323" spans="1:7">
      <c r="A1323" t="str">
        <f t="shared" si="20"/>
        <v>Team Work|Officer|1|2</v>
      </c>
      <c r="B1323" t="str">
        <v>Team Work</v>
      </c>
      <c r="C1323" t="str">
        <v>Officer</v>
      </c>
      <c r="D1323" s="76">
        <v>1</v>
      </c>
      <c r="E1323" t="str" cm="1">
        <f t="array" ref="E1323">INDEX(aspek!$D$2:$D$337,
   MATCH(1,(aspek!$A$2:$A$337=B1323)*
           (aspek!$B$2:$B$337=C1323)*
           (aspek!$C$2:$C$337=D1323),0))</f>
        <v>Kualitas perhatian</v>
      </c>
      <c r="F1323" s="76">
        <v>2</v>
      </c>
      <c r="G1323" s="56" t="str" cm="1">
        <f t="array" ref="G1323">INDEX(deskripsi!$D$2:$H$337,
   MATCH(1,(deskripsi!$A$2:$A$337=B1323)*
           (deskripsi!$B$2:$B$337=C1323)*
           (deskripsi!$C$2:$C$337=D1323),0),
   F1323)</f>
        <v>Mendengar sebagian; menangkap sebagian isi, melewatkan bagian penting.</v>
      </c>
    </row>
    <row r="1324" spans="1:7">
      <c r="A1324" t="str">
        <f t="shared" si="20"/>
        <v>Team Work|Officer|1|3</v>
      </c>
      <c r="B1324" t="str">
        <v>Team Work</v>
      </c>
      <c r="C1324" t="str">
        <v>Officer</v>
      </c>
      <c r="D1324" s="76">
        <v>1</v>
      </c>
      <c r="E1324" t="str" cm="1">
        <f t="array" ref="E1324">INDEX(aspek!$D$2:$D$337,
   MATCH(1,(aspek!$A$2:$A$337=B1324)*
           (aspek!$B$2:$B$337=C1324)*
           (aspek!$C$2:$C$337=D1324),0))</f>
        <v>Kualitas perhatian</v>
      </c>
      <c r="F1324" s="76">
        <v>3</v>
      </c>
      <c r="G1324" s="56" t="str" cm="1">
        <f t="array" ref="G1324">INDEX(deskripsi!$D$2:$H$337,
   MATCH(1,(deskripsi!$A$2:$A$337=B1324)*
           (deskripsi!$B$2:$B$337=C1324)*
           (deskripsi!$C$2:$C$337=D1324),0),
   F1324)</f>
        <v>Mendengar penuh isi yang disampaikan pada percakapan yang tidak rumit.</v>
      </c>
    </row>
    <row r="1325" spans="1:7">
      <c r="A1325" t="str">
        <f t="shared" si="20"/>
        <v>Team Work|Officer|1|4</v>
      </c>
      <c r="B1325" t="str">
        <v>Team Work</v>
      </c>
      <c r="C1325" t="str">
        <v>Officer</v>
      </c>
      <c r="D1325" s="76">
        <v>1</v>
      </c>
      <c r="E1325" t="str" cm="1">
        <f t="array" ref="E1325">INDEX(aspek!$D$2:$D$337,
   MATCH(1,(aspek!$A$2:$A$337=B1325)*
           (aspek!$B$2:$B$337=C1325)*
           (aspek!$C$2:$C$337=D1325),0))</f>
        <v>Kualitas perhatian</v>
      </c>
      <c r="F1325" s="76">
        <v>4</v>
      </c>
      <c r="G1325" s="56" t="str" cm="1">
        <f t="array" ref="G1325">INDEX(deskripsi!$D$2:$H$337,
   MATCH(1,(deskripsi!$A$2:$A$337=B1325)*
           (deskripsi!$B$2:$B$337=C1325)*
           (deskripsi!$C$2:$C$337=D1325),0),
   F1325)</f>
        <v>Mendengar penuh dan aktif mengklarifikasi pada percakapan yang kompleks atau ambigu.</v>
      </c>
    </row>
    <row r="1326" spans="1:7">
      <c r="A1326" t="str">
        <f t="shared" si="20"/>
        <v>Team Work|Officer|1|5</v>
      </c>
      <c r="B1326" t="str">
        <v>Team Work</v>
      </c>
      <c r="C1326" t="str">
        <v>Officer</v>
      </c>
      <c r="D1326" s="76">
        <v>1</v>
      </c>
      <c r="E1326" t="str" cm="1">
        <f t="array" ref="E1326">INDEX(aspek!$D$2:$D$337,
   MATCH(1,(aspek!$A$2:$A$337=B1326)*
           (aspek!$B$2:$B$337=C1326)*
           (aspek!$C$2:$C$337=D1326),0))</f>
        <v>Kualitas perhatian</v>
      </c>
      <c r="F1326" s="76">
        <v>5</v>
      </c>
      <c r="G1326" s="56" t="str" cm="1">
        <f t="array" ref="G1326">INDEX(deskripsi!$D$2:$H$337,
   MATCH(1,(deskripsi!$A$2:$A$337=B1326)*
           (deskripsi!$B$2:$B$337=C1326)*
           (deskripsi!$C$2:$C$337=D1326),0),
   F1326)</f>
        <v>Perhatiannya membuat lawan bicara merasa benar-benar didengar, bahkan pada topik sensitif.</v>
      </c>
    </row>
    <row r="1327" spans="1:7">
      <c r="A1327" t="str">
        <f t="shared" si="20"/>
        <v>Team Work|Officer|2|1</v>
      </c>
      <c r="B1327" t="str">
        <v>Team Work</v>
      </c>
      <c r="C1327" t="str">
        <v>Officer</v>
      </c>
      <c r="D1327" s="76">
        <v>2</v>
      </c>
      <c r="E1327" t="str" cm="1">
        <f t="array" ref="E1327">INDEX(aspek!$D$2:$D$337,
   MATCH(1,(aspek!$A$2:$A$337=B1327)*
           (aspek!$B$2:$B$337=C1327)*
           (aspek!$C$2:$C$337=D1327),0))</f>
        <v>Kemampuan merangkum</v>
      </c>
      <c r="F1327" s="76">
        <v>1</v>
      </c>
      <c r="G1327" s="56" t="str" cm="1">
        <f t="array" ref="G1327">INDEX(deskripsi!$D$2:$H$337,
   MATCH(1,(deskripsi!$A$2:$A$337=B1327)*
           (deskripsi!$B$2:$B$337=C1327)*
           (deskripsi!$C$2:$C$337=D1327),0),
   F1327)</f>
        <v>Tidak dapat merangkum; hanya mengulang sebagian kata.</v>
      </c>
    </row>
    <row r="1328" spans="1:7">
      <c r="A1328" t="str">
        <f t="shared" si="20"/>
        <v>Team Work|Officer|2|2</v>
      </c>
      <c r="B1328" t="str">
        <v>Team Work</v>
      </c>
      <c r="C1328" t="str">
        <v>Officer</v>
      </c>
      <c r="D1328" s="76">
        <v>2</v>
      </c>
      <c r="E1328" t="str" cm="1">
        <f t="array" ref="E1328">INDEX(aspek!$D$2:$D$337,
   MATCH(1,(aspek!$A$2:$A$337=B1328)*
           (aspek!$B$2:$B$337=C1328)*
           (aspek!$C$2:$C$337=D1328),0))</f>
        <v>Kemampuan merangkum</v>
      </c>
      <c r="F1328" s="76">
        <v>2</v>
      </c>
      <c r="G1328" s="56" t="str" cm="1">
        <f t="array" ref="G1328">INDEX(deskripsi!$D$2:$H$337,
   MATCH(1,(deskripsi!$A$2:$A$337=B1328)*
           (deskripsi!$B$2:$B$337=C1328)*
           (deskripsi!$C$2:$C$337=D1328),0),
   F1328)</f>
        <v>Merangkum dengan menambahkan opini sendiri, mengubah makna.</v>
      </c>
    </row>
    <row r="1329" spans="1:7">
      <c r="A1329" t="str">
        <f t="shared" si="20"/>
        <v>Team Work|Officer|2|3</v>
      </c>
      <c r="B1329" t="str">
        <v>Team Work</v>
      </c>
      <c r="C1329" t="str">
        <v>Officer</v>
      </c>
      <c r="D1329" s="76">
        <v>2</v>
      </c>
      <c r="E1329" t="str" cm="1">
        <f t="array" ref="E1329">INDEX(aspek!$D$2:$D$337,
   MATCH(1,(aspek!$A$2:$A$337=B1329)*
           (aspek!$B$2:$B$337=C1329)*
           (aspek!$C$2:$C$337=D1329),0))</f>
        <v>Kemampuan merangkum</v>
      </c>
      <c r="F1329" s="76">
        <v>3</v>
      </c>
      <c r="G1329" s="56" t="str" cm="1">
        <f t="array" ref="G1329">INDEX(deskripsi!$D$2:$H$337,
   MATCH(1,(deskripsi!$A$2:$A$337=B1329)*
           (deskripsi!$B$2:$B$337=C1329)*
           (deskripsi!$C$2:$C$337=D1329),0),
   F1329)</f>
        <v>Merangkum secara akurat pada percakapan sederhana.</v>
      </c>
    </row>
    <row r="1330" spans="1:7">
      <c r="A1330" t="str">
        <f t="shared" si="20"/>
        <v>Team Work|Officer|2|4</v>
      </c>
      <c r="B1330" t="str">
        <v>Team Work</v>
      </c>
      <c r="C1330" t="str">
        <v>Officer</v>
      </c>
      <c r="D1330" s="76">
        <v>2</v>
      </c>
      <c r="E1330" t="str" cm="1">
        <f t="array" ref="E1330">INDEX(aspek!$D$2:$D$337,
   MATCH(1,(aspek!$A$2:$A$337=B1330)*
           (aspek!$B$2:$B$337=C1330)*
           (aspek!$C$2:$C$337=D1330),0))</f>
        <v>Kemampuan merangkum</v>
      </c>
      <c r="F1330" s="76">
        <v>4</v>
      </c>
      <c r="G1330" s="56" t="str" cm="1">
        <f t="array" ref="G1330">INDEX(deskripsi!$D$2:$H$337,
   MATCH(1,(deskripsi!$A$2:$A$337=B1330)*
           (deskripsi!$B$2:$B$337=C1330)*
           (deskripsi!$C$2:$C$337=D1330),0),
   F1330)</f>
        <v>Merangkum secara akurat dan diverifikasi tepat oleh pembicara, termasuk pada percakapan yang kompleks.</v>
      </c>
    </row>
    <row r="1331" spans="1:7">
      <c r="A1331" t="str">
        <f t="shared" si="20"/>
        <v>Team Work|Officer|2|5</v>
      </c>
      <c r="B1331" t="str">
        <v>Team Work</v>
      </c>
      <c r="C1331" t="str">
        <v>Officer</v>
      </c>
      <c r="D1331" s="76">
        <v>2</v>
      </c>
      <c r="E1331" t="str" cm="1">
        <f t="array" ref="E1331">INDEX(aspek!$D$2:$D$337,
   MATCH(1,(aspek!$A$2:$A$337=B1331)*
           (aspek!$B$2:$B$337=C1331)*
           (aspek!$C$2:$C$337=D1331),0))</f>
        <v>Kemampuan merangkum</v>
      </c>
      <c r="F1331" s="76">
        <v>5</v>
      </c>
      <c r="G1331" s="56" t="str" cm="1">
        <f t="array" ref="G1331">INDEX(deskripsi!$D$2:$H$337,
   MATCH(1,(deskripsi!$A$2:$A$337=B1331)*
           (deskripsi!$B$2:$B$337=C1331)*
           (deskripsi!$C$2:$C$337=D1331),0),
   F1331)</f>
        <v>Rangkumannya dipakai untuk menyelesaikan perbedaan pandangan dalam kelompok.</v>
      </c>
    </row>
    <row r="1332" spans="1:7">
      <c r="A1332" t="str">
        <f t="shared" si="20"/>
        <v>Team Work|Officer|3|1</v>
      </c>
      <c r="B1332" t="str">
        <v>Team Work</v>
      </c>
      <c r="C1332" t="str">
        <v>Officer</v>
      </c>
      <c r="D1332" s="76">
        <v>3</v>
      </c>
      <c r="E1332" t="str" cm="1">
        <f t="array" ref="E1332">INDEX(aspek!$D$2:$D$337,
   MATCH(1,(aspek!$A$2:$A$337=B1332)*
           (aspek!$B$2:$B$337=C1332)*
           (aspek!$C$2:$C$337=D1332),0))</f>
        <v>Kepekaan pada nada dan emosi</v>
      </c>
      <c r="F1332" s="76">
        <v>1</v>
      </c>
      <c r="G1332" s="56" t="str" cm="1">
        <f t="array" ref="G1332">INDEX(deskripsi!$D$2:$H$337,
   MATCH(1,(deskripsi!$A$2:$A$337=B1332)*
           (deskripsi!$B$2:$B$337=C1332)*
           (deskripsi!$C$2:$C$337=D1332),0),
   F1332)</f>
        <v>Tidak menyadari emosi di balik kata-kata.</v>
      </c>
    </row>
    <row r="1333" spans="1:7">
      <c r="A1333" t="str">
        <f t="shared" si="20"/>
        <v>Team Work|Officer|3|2</v>
      </c>
      <c r="B1333" t="str">
        <v>Team Work</v>
      </c>
      <c r="C1333" t="str">
        <v>Officer</v>
      </c>
      <c r="D1333" s="76">
        <v>3</v>
      </c>
      <c r="E1333" t="str" cm="1">
        <f t="array" ref="E1333">INDEX(aspek!$D$2:$D$337,
   MATCH(1,(aspek!$A$2:$A$337=B1333)*
           (aspek!$B$2:$B$337=C1333)*
           (aspek!$C$2:$C$337=D1333),0))</f>
        <v>Kepekaan pada nada dan emosi</v>
      </c>
      <c r="F1333" s="76">
        <v>2</v>
      </c>
      <c r="G1333" s="56" t="str" cm="1">
        <f t="array" ref="G1333">INDEX(deskripsi!$D$2:$H$337,
   MATCH(1,(deskripsi!$A$2:$A$337=B1333)*
           (deskripsi!$B$2:$B$337=C1333)*
           (deskripsi!$C$2:$C$337=D1333),0),
   F1333)</f>
        <v>Menyadari ada emosi, tetapi salah menebak jenisnya.</v>
      </c>
    </row>
    <row r="1334" spans="1:7">
      <c r="A1334" t="str">
        <f t="shared" si="20"/>
        <v>Team Work|Officer|3|3</v>
      </c>
      <c r="B1334" t="str">
        <v>Team Work</v>
      </c>
      <c r="C1334" t="str">
        <v>Officer</v>
      </c>
      <c r="D1334" s="76">
        <v>3</v>
      </c>
      <c r="E1334" t="str" cm="1">
        <f t="array" ref="E1334">INDEX(aspek!$D$2:$D$337,
   MATCH(1,(aspek!$A$2:$A$337=B1334)*
           (aspek!$B$2:$B$337=C1334)*
           (aspek!$C$2:$C$337=D1334),0))</f>
        <v>Kepekaan pada nada dan emosi</v>
      </c>
      <c r="F1334" s="76">
        <v>3</v>
      </c>
      <c r="G1334" s="56" t="str" cm="1">
        <f t="array" ref="G1334">INDEX(deskripsi!$D$2:$H$337,
   MATCH(1,(deskripsi!$A$2:$A$337=B1334)*
           (deskripsi!$B$2:$B$337=C1334)*
           (deskripsi!$C$2:$C$337=D1334),0),
   F1334)</f>
        <v>Menangkap emosi yang jelas dan eksplisit.</v>
      </c>
    </row>
    <row r="1335" spans="1:7">
      <c r="A1335" t="str">
        <f t="shared" si="20"/>
        <v>Team Work|Officer|3|4</v>
      </c>
      <c r="B1335" t="str">
        <v>Team Work</v>
      </c>
      <c r="C1335" t="str">
        <v>Officer</v>
      </c>
      <c r="D1335" s="76">
        <v>3</v>
      </c>
      <c r="E1335" t="str" cm="1">
        <f t="array" ref="E1335">INDEX(aspek!$D$2:$D$337,
   MATCH(1,(aspek!$A$2:$A$337=B1335)*
           (aspek!$B$2:$B$337=C1335)*
           (aspek!$C$2:$C$337=D1335),0))</f>
        <v>Kepekaan pada nada dan emosi</v>
      </c>
      <c r="F1335" s="76">
        <v>4</v>
      </c>
      <c r="G1335" s="56" t="str" cm="1">
        <f t="array" ref="G1335">INDEX(deskripsi!$D$2:$H$337,
   MATCH(1,(deskripsi!$A$2:$A$337=B1335)*
           (deskripsi!$B$2:$B$337=C1335)*
           (deskripsi!$C$2:$C$337=D1335),0),
   F1335)</f>
        <v>Menangkap emosi yang tidak diucapkan secara eksplisit dan merespons sesuai, dikonfirmasi oleh orangnya.</v>
      </c>
    </row>
    <row r="1336" spans="1:7">
      <c r="A1336" t="str">
        <f t="shared" si="20"/>
        <v>Team Work|Officer|3|5</v>
      </c>
      <c r="B1336" t="str">
        <v>Team Work</v>
      </c>
      <c r="C1336" t="str">
        <v>Officer</v>
      </c>
      <c r="D1336" s="76">
        <v>3</v>
      </c>
      <c r="E1336" t="str" cm="1">
        <f t="array" ref="E1336">INDEX(aspek!$D$2:$D$337,
   MATCH(1,(aspek!$A$2:$A$337=B1336)*
           (aspek!$B$2:$B$337=C1336)*
           (aspek!$C$2:$C$337=D1336),0))</f>
        <v>Kepekaan pada nada dan emosi</v>
      </c>
      <c r="F1336" s="76">
        <v>5</v>
      </c>
      <c r="G1336" s="56" t="str" cm="1">
        <f t="array" ref="G1336">INDEX(deskripsi!$D$2:$H$337,
   MATCH(1,(deskripsi!$A$2:$A$337=B1336)*
           (deskripsi!$B$2:$B$337=C1336)*
           (deskripsi!$C$2:$C$337=D1336),0),
   F1336)</f>
        <v>Kepekaannya membuat orang lain nyaman menyampaikan hal yang sulit diucapkan.</v>
      </c>
    </row>
    <row r="1337" spans="1:7">
      <c r="A1337" t="str">
        <f t="shared" si="20"/>
        <v>Team Work|Officer|4|1</v>
      </c>
      <c r="B1337" t="str">
        <v>Team Work</v>
      </c>
      <c r="C1337" t="str">
        <v>Officer</v>
      </c>
      <c r="D1337" s="76">
        <v>4</v>
      </c>
      <c r="E1337" t="str" cm="1">
        <f t="array" ref="E1337">INDEX(aspek!$D$2:$D$337,
   MATCH(1,(aspek!$A$2:$A$337=B1337)*
           (aspek!$B$2:$B$337=C1337)*
           (aspek!$C$2:$C$337=D1337),0))</f>
        <v>Mendorong konsensus</v>
      </c>
      <c r="F1337" s="76">
        <v>1</v>
      </c>
      <c r="G1337" s="56" t="str" cm="1">
        <f t="array" ref="G1337">INDEX(deskripsi!$D$2:$H$337,
   MATCH(1,(deskripsi!$A$2:$A$337=B1337)*
           (deskripsi!$B$2:$B$337=C1337)*
           (deskripsi!$C$2:$C$337=D1337),0),
   F1337)</f>
        <v>Mendengarkan tidak pernah dipakai untuk membantu kelompok memutuskan.</v>
      </c>
    </row>
    <row r="1338" spans="1:7">
      <c r="A1338" t="str">
        <f t="shared" si="20"/>
        <v>Team Work|Officer|4|2</v>
      </c>
      <c r="B1338" t="str">
        <v>Team Work</v>
      </c>
      <c r="C1338" t="str">
        <v>Officer</v>
      </c>
      <c r="D1338" s="76">
        <v>4</v>
      </c>
      <c r="E1338" t="str" cm="1">
        <f t="array" ref="E1338">INDEX(aspek!$D$2:$D$337,
   MATCH(1,(aspek!$A$2:$A$337=B1338)*
           (aspek!$B$2:$B$337=C1338)*
           (aspek!$C$2:$C$337=D1338),0))</f>
        <v>Mendorong konsensus</v>
      </c>
      <c r="F1338" s="76">
        <v>2</v>
      </c>
      <c r="G1338" s="56" t="str" cm="1">
        <f t="array" ref="G1338">INDEX(deskripsi!$D$2:$H$337,
   MATCH(1,(deskripsi!$A$2:$A$337=B1338)*
           (deskripsi!$B$2:$B$337=C1338)*
           (deskripsi!$C$2:$C$337=D1338),0),
   F1338)</f>
        <v>Mendengarkan hanya untuk dirinya sendiri, tidak dibagikan ke forum.</v>
      </c>
    </row>
    <row r="1339" spans="1:7">
      <c r="A1339" t="str">
        <f t="shared" si="20"/>
        <v>Team Work|Officer|4|3</v>
      </c>
      <c r="B1339" t="str">
        <v>Team Work</v>
      </c>
      <c r="C1339" t="str">
        <v>Officer</v>
      </c>
      <c r="D1339" s="76">
        <v>4</v>
      </c>
      <c r="E1339" t="str" cm="1">
        <f t="array" ref="E1339">INDEX(aspek!$D$2:$D$337,
   MATCH(1,(aspek!$A$2:$A$337=B1339)*
           (aspek!$B$2:$B$337=C1339)*
           (aspek!$C$2:$C$337=D1339),0))</f>
        <v>Mendorong konsensus</v>
      </c>
      <c r="F1339" s="76">
        <v>3</v>
      </c>
      <c r="G1339" s="56" t="str" cm="1">
        <f t="array" ref="G1339">INDEX(deskripsi!$D$2:$H$337,
   MATCH(1,(deskripsi!$A$2:$A$337=B1339)*
           (deskripsi!$B$2:$B$337=C1339)*
           (deskripsi!$C$2:$C$337=D1339),0),
   F1339)</f>
        <v>Menyampaikan apa yang didengar kepada forum, tanpa menyintesiskannya.</v>
      </c>
    </row>
    <row r="1340" spans="1:7">
      <c r="A1340" t="str">
        <f t="shared" si="20"/>
        <v>Team Work|Officer|4|4</v>
      </c>
      <c r="B1340" t="str">
        <v>Team Work</v>
      </c>
      <c r="C1340" t="str">
        <v>Officer</v>
      </c>
      <c r="D1340" s="76">
        <v>4</v>
      </c>
      <c r="E1340" t="str" cm="1">
        <f t="array" ref="E1340">INDEX(aspek!$D$2:$D$337,
   MATCH(1,(aspek!$A$2:$A$337=B1340)*
           (aspek!$B$2:$B$337=C1340)*
           (aspek!$C$2:$C$337=D1340),0))</f>
        <v>Mendorong konsensus</v>
      </c>
      <c r="F1340" s="76">
        <v>4</v>
      </c>
      <c r="G1340" s="56" t="str" cm="1">
        <f t="array" ref="G1340">INDEX(deskripsi!$D$2:$H$337,
   MATCH(1,(deskripsi!$A$2:$A$337=B1340)*
           (deskripsi!$B$2:$B$337=C1340)*
           (deskripsi!$C$2:$C$337=D1340),0),
   F1340)</f>
        <v>Merangkum pandangan yang berbeda secara adil dan membantu forum menemukan titik temu.</v>
      </c>
    </row>
    <row r="1341" spans="1:7">
      <c r="A1341" t="str">
        <f t="shared" si="20"/>
        <v>Team Work|Officer|4|5</v>
      </c>
      <c r="B1341" t="str">
        <v>Team Work</v>
      </c>
      <c r="C1341" t="str">
        <v>Officer</v>
      </c>
      <c r="D1341" s="76">
        <v>4</v>
      </c>
      <c r="E1341" t="str" cm="1">
        <f t="array" ref="E1341">INDEX(aspek!$D$2:$D$337,
   MATCH(1,(aspek!$A$2:$A$337=B1341)*
           (aspek!$B$2:$B$337=C1341)*
           (aspek!$C$2:$C$337=D1341),0))</f>
        <v>Mendorong konsensus</v>
      </c>
      <c r="F1341" s="76">
        <v>5</v>
      </c>
      <c r="G1341" s="56" t="str" cm="1">
        <f t="array" ref="G1341">INDEX(deskripsi!$D$2:$H$337,
   MATCH(1,(deskripsi!$A$2:$A$337=B1341)*
           (deskripsi!$B$2:$B$337=C1341)*
           (deskripsi!$C$2:$C$337=D1341),0),
   F1341)</f>
        <v>Menjadi orang yang dicari untuk merangkum ketika forum menghadapi kebuntuan.</v>
      </c>
    </row>
    <row r="1342" spans="1:7">
      <c r="A1342" t="str">
        <f t="shared" si="20"/>
        <v>Team Work|Analyst|1|1</v>
      </c>
      <c r="B1342" t="str">
        <v>Team Work</v>
      </c>
      <c r="C1342" t="str">
        <v>Analyst</v>
      </c>
      <c r="D1342" s="76">
        <v>1</v>
      </c>
      <c r="E1342" t="str" cm="1">
        <f t="array" ref="E1342">INDEX(aspek!$D$2:$D$337,
   MATCH(1,(aspek!$A$2:$A$337=B1342)*
           (aspek!$B$2:$B$337=C1342)*
           (aspek!$C$2:$C$337=D1342),0))</f>
        <v>Kesediaan berkolaborasi dengan yang berbeda</v>
      </c>
      <c r="F1342" s="76">
        <v>1</v>
      </c>
      <c r="G1342" s="56" t="str" cm="1">
        <f t="array" ref="G1342">INDEX(deskripsi!$D$2:$H$337,
   MATCH(1,(deskripsi!$A$2:$A$337=B1342)*
           (deskripsi!$B$2:$B$337=C1342)*
           (deskripsi!$C$2:$C$337=D1342),0),
   F1342)</f>
        <v>Memilih bekerja hanya dengan orang yang serupa dengannya.</v>
      </c>
    </row>
    <row r="1343" spans="1:7">
      <c r="A1343" t="str">
        <f t="shared" si="20"/>
        <v>Team Work|Analyst|1|2</v>
      </c>
      <c r="B1343" t="str">
        <v>Team Work</v>
      </c>
      <c r="C1343" t="str">
        <v>Analyst</v>
      </c>
      <c r="D1343" s="76">
        <v>1</v>
      </c>
      <c r="E1343" t="str" cm="1">
        <f t="array" ref="E1343">INDEX(aspek!$D$2:$D$337,
   MATCH(1,(aspek!$A$2:$A$337=B1343)*
           (aspek!$B$2:$B$337=C1343)*
           (aspek!$C$2:$C$337=D1343),0))</f>
        <v>Kesediaan berkolaborasi dengan yang berbeda</v>
      </c>
      <c r="F1343" s="76">
        <v>2</v>
      </c>
      <c r="G1343" s="56" t="str" cm="1">
        <f t="array" ref="G1343">INDEX(deskripsi!$D$2:$H$337,
   MATCH(1,(deskripsi!$A$2:$A$337=B1343)*
           (deskripsi!$B$2:$B$337=C1343)*
           (deskripsi!$C$2:$C$337=D1343),0),
   F1343)</f>
        <v>Bekerja dengan yang berbeda hanya ketika diarahkan.</v>
      </c>
    </row>
    <row r="1344" spans="1:7">
      <c r="A1344" t="str">
        <f t="shared" si="20"/>
        <v>Team Work|Analyst|1|3</v>
      </c>
      <c r="B1344" t="str">
        <v>Team Work</v>
      </c>
      <c r="C1344" t="str">
        <v>Analyst</v>
      </c>
      <c r="D1344" s="76">
        <v>1</v>
      </c>
      <c r="E1344" t="str" cm="1">
        <f t="array" ref="E1344">INDEX(aspek!$D$2:$D$337,
   MATCH(1,(aspek!$A$2:$A$337=B1344)*
           (aspek!$B$2:$B$337=C1344)*
           (aspek!$C$2:$C$337=D1344),0))</f>
        <v>Kesediaan berkolaborasi dengan yang berbeda</v>
      </c>
      <c r="F1344" s="76">
        <v>3</v>
      </c>
      <c r="G1344" s="56" t="str" cm="1">
        <f t="array" ref="G1344">INDEX(deskripsi!$D$2:$H$337,
   MATCH(1,(deskripsi!$A$2:$A$337=B1344)*
           (deskripsi!$B$2:$B$337=C1344)*
           (deskripsi!$C$2:$C$337=D1344),0),
   F1344)</f>
        <v>Bekerja dengan yang berbeda atas inisiatif sendiri pada situasi yang familiar.</v>
      </c>
    </row>
    <row r="1345" spans="1:7">
      <c r="A1345" t="str">
        <f t="shared" si="20"/>
        <v>Team Work|Analyst|1|4</v>
      </c>
      <c r="B1345" t="str">
        <v>Team Work</v>
      </c>
      <c r="C1345" t="str">
        <v>Analyst</v>
      </c>
      <c r="D1345" s="76">
        <v>1</v>
      </c>
      <c r="E1345" t="str" cm="1">
        <f t="array" ref="E1345">INDEX(aspek!$D$2:$D$337,
   MATCH(1,(aspek!$A$2:$A$337=B1345)*
           (aspek!$B$2:$B$337=C1345)*
           (aspek!$C$2:$C$337=D1345),0))</f>
        <v>Kesediaan berkolaborasi dengan yang berbeda</v>
      </c>
      <c r="F1345" s="76">
        <v>4</v>
      </c>
      <c r="G1345" s="56" t="str" cm="1">
        <f t="array" ref="G1345">INDEX(deskripsi!$D$2:$H$337,
   MATCH(1,(deskripsi!$A$2:$A$337=B1345)*
           (deskripsi!$B$2:$B$337=C1345)*
           (deskripsi!$C$2:$C$337=D1345),0),
   F1345)</f>
        <v>Secara aktif mencari kolaborasi dengan pihak berbeda karena menyadari nilai yang bisa dihasilkan.</v>
      </c>
    </row>
    <row r="1346" spans="1:7">
      <c r="A1346" t="str">
        <f t="shared" si="20"/>
        <v>Team Work|Analyst|1|5</v>
      </c>
      <c r="B1346" t="str">
        <v>Team Work</v>
      </c>
      <c r="C1346" t="str">
        <v>Analyst</v>
      </c>
      <c r="D1346" s="76">
        <v>1</v>
      </c>
      <c r="E1346" t="str" cm="1">
        <f t="array" ref="E1346">INDEX(aspek!$D$2:$D$337,
   MATCH(1,(aspek!$A$2:$A$337=B1346)*
           (aspek!$B$2:$B$337=C1346)*
           (aspek!$C$2:$C$337=D1346),0))</f>
        <v>Kesediaan berkolaborasi dengan yang berbeda</v>
      </c>
      <c r="F1346" s="76">
        <v>5</v>
      </c>
      <c r="G1346" s="56" t="str" cm="1">
        <f t="array" ref="G1346">INDEX(deskripsi!$D$2:$H$337,
   MATCH(1,(deskripsi!$A$2:$A$337=B1346)*
           (deskripsi!$B$2:$B$337=C1346)*
           (deskripsi!$C$2:$C$337=D1346),0),
   F1346)</f>
        <v>Menjadi orang yang dicari ketika sebuah tim membutuhkan sudut pandang yang berbeda.</v>
      </c>
    </row>
    <row r="1347" spans="1:7">
      <c r="A1347" t="str">
        <f t="shared" ref="A1347:A1410" si="21">B1347&amp;"|"&amp;C1347&amp;"|"&amp;D1347&amp;"|"&amp;F1347</f>
        <v>Team Work|Analyst|2|1</v>
      </c>
      <c r="B1347" t="str">
        <v>Team Work</v>
      </c>
      <c r="C1347" t="str">
        <v>Analyst</v>
      </c>
      <c r="D1347" s="76">
        <v>2</v>
      </c>
      <c r="E1347" t="str" cm="1">
        <f t="array" ref="E1347">INDEX(aspek!$D$2:$D$337,
   MATCH(1,(aspek!$A$2:$A$337=B1347)*
           (aspek!$B$2:$B$337=C1347)*
           (aspek!$C$2:$C$337=D1347),0))</f>
        <v>Penyesuaian gaya komunikasi</v>
      </c>
      <c r="F1347" s="76">
        <v>1</v>
      </c>
      <c r="G1347" s="56" t="str" cm="1">
        <f t="array" ref="G1347">INDEX(deskripsi!$D$2:$H$337,
   MATCH(1,(deskripsi!$A$2:$A$337=B1347)*
           (deskripsi!$B$2:$B$337=C1347)*
           (deskripsi!$C$2:$C$337=D1347),0),
   F1347)</f>
        <v>Berkomunikasi dengan cara yang sama kepada siapa pun.</v>
      </c>
    </row>
    <row r="1348" spans="1:7">
      <c r="A1348" t="str">
        <f t="shared" si="21"/>
        <v>Team Work|Analyst|2|2</v>
      </c>
      <c r="B1348" t="str">
        <v>Team Work</v>
      </c>
      <c r="C1348" t="str">
        <v>Analyst</v>
      </c>
      <c r="D1348" s="76">
        <v>2</v>
      </c>
      <c r="E1348" t="str" cm="1">
        <f t="array" ref="E1348">INDEX(aspek!$D$2:$D$337,
   MATCH(1,(aspek!$A$2:$A$337=B1348)*
           (aspek!$B$2:$B$337=C1348)*
           (aspek!$C$2:$C$337=D1348),0))</f>
        <v>Penyesuaian gaya komunikasi</v>
      </c>
      <c r="F1348" s="76">
        <v>2</v>
      </c>
      <c r="G1348" s="56" t="str" cm="1">
        <f t="array" ref="G1348">INDEX(deskripsi!$D$2:$H$337,
   MATCH(1,(deskripsi!$A$2:$A$337=B1348)*
           (deskripsi!$B$2:$B$337=C1348)*
           (deskripsi!$C$2:$C$337=D1348),0),
   F1348)</f>
        <v>Menyesuaikan cara berkomunikasi ketika diminta atau diarahkan.</v>
      </c>
    </row>
    <row r="1349" spans="1:7">
      <c r="A1349" t="str">
        <f t="shared" si="21"/>
        <v>Team Work|Analyst|2|3</v>
      </c>
      <c r="B1349" t="str">
        <v>Team Work</v>
      </c>
      <c r="C1349" t="str">
        <v>Analyst</v>
      </c>
      <c r="D1349" s="76">
        <v>2</v>
      </c>
      <c r="E1349" t="str" cm="1">
        <f t="array" ref="E1349">INDEX(aspek!$D$2:$D$337,
   MATCH(1,(aspek!$A$2:$A$337=B1349)*
           (aspek!$B$2:$B$337=C1349)*
           (aspek!$C$2:$C$337=D1349),0))</f>
        <v>Penyesuaian gaya komunikasi</v>
      </c>
      <c r="F1349" s="76">
        <v>3</v>
      </c>
      <c r="G1349" s="56" t="str" cm="1">
        <f t="array" ref="G1349">INDEX(deskripsi!$D$2:$H$337,
   MATCH(1,(deskripsi!$A$2:$A$337=B1349)*
           (deskripsi!$B$2:$B$337=C1349)*
           (deskripsi!$C$2:$C$337=D1349),0),
   F1349)</f>
        <v>Menyesuaikan gaya komunikasi secara mandiri sesuai lawan bicara.</v>
      </c>
    </row>
    <row r="1350" spans="1:7">
      <c r="A1350" t="str">
        <f t="shared" si="21"/>
        <v>Team Work|Analyst|2|4</v>
      </c>
      <c r="B1350" t="str">
        <v>Team Work</v>
      </c>
      <c r="C1350" t="str">
        <v>Analyst</v>
      </c>
      <c r="D1350" s="76">
        <v>2</v>
      </c>
      <c r="E1350" t="str" cm="1">
        <f t="array" ref="E1350">INDEX(aspek!$D$2:$D$337,
   MATCH(1,(aspek!$A$2:$A$337=B1350)*
           (aspek!$B$2:$B$337=C1350)*
           (aspek!$C$2:$C$337=D1350),0))</f>
        <v>Penyesuaian gaya komunikasi</v>
      </c>
      <c r="F1350" s="76">
        <v>4</v>
      </c>
      <c r="G1350" s="56" t="str" cm="1">
        <f t="array" ref="G1350">INDEX(deskripsi!$D$2:$H$337,
   MATCH(1,(deskripsi!$A$2:$A$337=B1350)*
           (deskripsi!$B$2:$B$337=C1350)*
           (deskripsi!$C$2:$C$337=D1350),0),
   F1350)</f>
        <v>Menyesuaikan gaya secara konsisten, dan kolaborasi menjadi lebih produktif karenanya, dikonfirmasi lawan kolaborasi.</v>
      </c>
    </row>
    <row r="1351" spans="1:7">
      <c r="A1351" t="str">
        <f t="shared" si="21"/>
        <v>Team Work|Analyst|2|5</v>
      </c>
      <c r="B1351" t="str">
        <v>Team Work</v>
      </c>
      <c r="C1351" t="str">
        <v>Analyst</v>
      </c>
      <c r="D1351" s="76">
        <v>2</v>
      </c>
      <c r="E1351" t="str" cm="1">
        <f t="array" ref="E1351">INDEX(aspek!$D$2:$D$337,
   MATCH(1,(aspek!$A$2:$A$337=B1351)*
           (aspek!$B$2:$B$337=C1351)*
           (aspek!$C$2:$C$337=D1351),0))</f>
        <v>Penyesuaian gaya komunikasi</v>
      </c>
      <c r="F1351" s="76">
        <v>5</v>
      </c>
      <c r="G1351" s="56" t="str" cm="1">
        <f t="array" ref="G1351">INDEX(deskripsi!$D$2:$H$337,
   MATCH(1,(deskripsi!$A$2:$A$337=B1351)*
           (deskripsi!$B$2:$B$337=C1351)*
           (deskripsi!$C$2:$C$337=D1351),0),
   F1351)</f>
        <v>Penyesuaiannya menjadi contoh yang ditiru rekan lain.</v>
      </c>
    </row>
    <row r="1352" spans="1:7">
      <c r="A1352" t="str">
        <f t="shared" si="21"/>
        <v>Team Work|Analyst|3|1</v>
      </c>
      <c r="B1352" t="str">
        <v>Team Work</v>
      </c>
      <c r="C1352" t="str">
        <v>Analyst</v>
      </c>
      <c r="D1352" s="76">
        <v>3</v>
      </c>
      <c r="E1352" t="str" cm="1">
        <f t="array" ref="E1352">INDEX(aspek!$D$2:$D$337,
   MATCH(1,(aspek!$A$2:$A$337=B1352)*
           (aspek!$B$2:$B$337=C1352)*
           (aspek!$C$2:$C$337=D1352),0))</f>
        <v xml:space="preserve">Memanfaatkan perbedaan sebagai sumber nilai </v>
      </c>
      <c r="F1352" s="76">
        <v>1</v>
      </c>
      <c r="G1352" s="56" t="str" cm="1">
        <f t="array" ref="G1352">INDEX(deskripsi!$D$2:$H$337,
   MATCH(1,(deskripsi!$A$2:$A$337=B1352)*
           (deskripsi!$B$2:$B$337=C1352)*
           (deskripsi!$C$2:$C$337=D1352),0),
   F1352)</f>
        <v>Menghindari perbedaan pandangan, memilih yang sepakat.</v>
      </c>
    </row>
    <row r="1353" spans="1:7">
      <c r="A1353" t="str">
        <f t="shared" si="21"/>
        <v>Team Work|Analyst|3|2</v>
      </c>
      <c r="B1353" t="str">
        <v>Team Work</v>
      </c>
      <c r="C1353" t="str">
        <v>Analyst</v>
      </c>
      <c r="D1353" s="76">
        <v>3</v>
      </c>
      <c r="E1353" t="str" cm="1">
        <f t="array" ref="E1353">INDEX(aspek!$D$2:$D$337,
   MATCH(1,(aspek!$A$2:$A$337=B1353)*
           (aspek!$B$2:$B$337=C1353)*
           (aspek!$C$2:$C$337=D1353),0))</f>
        <v xml:space="preserve">Memanfaatkan perbedaan sebagai sumber nilai </v>
      </c>
      <c r="F1353" s="76">
        <v>2</v>
      </c>
      <c r="G1353" s="56" t="str" cm="1">
        <f t="array" ref="G1353">INDEX(deskripsi!$D$2:$H$337,
   MATCH(1,(deskripsi!$A$2:$A$337=B1353)*
           (deskripsi!$B$2:$B$337=C1353)*
           (deskripsi!$C$2:$C$337=D1353),0),
   F1353)</f>
        <v>Menerima perbedaan pandangan, tidak menggunakannya.</v>
      </c>
    </row>
    <row r="1354" spans="1:7">
      <c r="A1354" t="str">
        <f t="shared" si="21"/>
        <v>Team Work|Analyst|3|3</v>
      </c>
      <c r="B1354" t="str">
        <v>Team Work</v>
      </c>
      <c r="C1354" t="str">
        <v>Analyst</v>
      </c>
      <c r="D1354" s="76">
        <v>3</v>
      </c>
      <c r="E1354" t="str" cm="1">
        <f t="array" ref="E1354">INDEX(aspek!$D$2:$D$337,
   MATCH(1,(aspek!$A$2:$A$337=B1354)*
           (aspek!$B$2:$B$337=C1354)*
           (aspek!$C$2:$C$337=D1354),0))</f>
        <v xml:space="preserve">Memanfaatkan perbedaan sebagai sumber nilai </v>
      </c>
      <c r="F1354" s="76">
        <v>3</v>
      </c>
      <c r="G1354" s="56" t="str" cm="1">
        <f t="array" ref="G1354">INDEX(deskripsi!$D$2:$H$337,
   MATCH(1,(deskripsi!$A$2:$A$337=B1354)*
           (deskripsi!$B$2:$B$337=C1354)*
           (deskripsi!$C$2:$C$337=D1354),0),
   F1354)</f>
        <v>Mendengarkan perbedaan pandangan, kadang menerapkannya sebagian.</v>
      </c>
    </row>
    <row r="1355" spans="1:7">
      <c r="A1355" t="str">
        <f t="shared" si="21"/>
        <v>Team Work|Analyst|3|4</v>
      </c>
      <c r="B1355" t="str">
        <v>Team Work</v>
      </c>
      <c r="C1355" t="str">
        <v>Analyst</v>
      </c>
      <c r="D1355" s="76">
        <v>3</v>
      </c>
      <c r="E1355" t="str" cm="1">
        <f t="array" ref="E1355">INDEX(aspek!$D$2:$D$337,
   MATCH(1,(aspek!$A$2:$A$337=B1355)*
           (aspek!$B$2:$B$337=C1355)*
           (aspek!$C$2:$C$337=D1355),0))</f>
        <v xml:space="preserve">Memanfaatkan perbedaan sebagai sumber nilai </v>
      </c>
      <c r="F1355" s="76">
        <v>4</v>
      </c>
      <c r="G1355" s="56" t="str" cm="1">
        <f t="array" ref="G1355">INDEX(deskripsi!$D$2:$H$337,
   MATCH(1,(deskripsi!$A$2:$A$337=B1355)*
           (deskripsi!$B$2:$B$337=C1355)*
           (deskripsi!$C$2:$C$337=D1355),0),
   F1355)</f>
        <v>Menggabungkan sudut pandang berbeda menghasilkan solusi yang terbukti lebih baik daripada tanpa perbedaan itu.</v>
      </c>
    </row>
    <row r="1356" spans="1:7">
      <c r="A1356" t="str">
        <f t="shared" si="21"/>
        <v>Team Work|Analyst|3|5</v>
      </c>
      <c r="B1356" t="str">
        <v>Team Work</v>
      </c>
      <c r="C1356" t="str">
        <v>Analyst</v>
      </c>
      <c r="D1356" s="76">
        <v>3</v>
      </c>
      <c r="E1356" t="str" cm="1">
        <f t="array" ref="E1356">INDEX(aspek!$D$2:$D$337,
   MATCH(1,(aspek!$A$2:$A$337=B1356)*
           (aspek!$B$2:$B$337=C1356)*
           (aspek!$C$2:$C$337=D1356),0))</f>
        <v xml:space="preserve">Memanfaatkan perbedaan sebagai sumber nilai </v>
      </c>
      <c r="F1356" s="76">
        <v>5</v>
      </c>
      <c r="G1356" s="56" t="str" cm="1">
        <f t="array" ref="G1356">INDEX(deskripsi!$D$2:$H$337,
   MATCH(1,(deskripsi!$A$2:$A$337=B1356)*
           (deskripsi!$B$2:$B$337=C1356)*
           (deskripsi!$C$2:$C$337=D1356),0),
   F1356)</f>
        <v>Keberagaman menjadi sumber nilai yang diandalkan tim secara rutin.</v>
      </c>
    </row>
    <row r="1357" spans="1:7">
      <c r="A1357" t="str">
        <f t="shared" si="21"/>
        <v>Team Work|Analyst|4|1</v>
      </c>
      <c r="B1357" t="str">
        <v>Team Work</v>
      </c>
      <c r="C1357" t="str">
        <v>Analyst</v>
      </c>
      <c r="D1357" s="76">
        <v>4</v>
      </c>
      <c r="E1357" t="str" cm="1">
        <f t="array" ref="E1357">INDEX(aspek!$D$2:$D$337,
   MATCH(1,(aspek!$A$2:$A$337=B1357)*
           (aspek!$B$2:$B$337=C1357)*
           (aspek!$C$2:$C$337=D1357),0))</f>
        <v>Membangun budaya inklusif</v>
      </c>
      <c r="F1357" s="76">
        <v>1</v>
      </c>
      <c r="G1357" s="56" t="str" cm="1">
        <f t="array" ref="G1357">INDEX(deskripsi!$D$2:$H$337,
   MATCH(1,(deskripsi!$A$2:$A$337=B1357)*
           (deskripsi!$B$2:$B$337=C1357)*
           (deskripsi!$C$2:$C$337=D1357),0),
   F1357)</f>
        <v>Tidak memperhatikan apakah orang lain merasa nyaman berkolaborasi dengannya.</v>
      </c>
    </row>
    <row r="1358" spans="1:7">
      <c r="A1358" t="str">
        <f t="shared" si="21"/>
        <v>Team Work|Analyst|4|2</v>
      </c>
      <c r="B1358" t="str">
        <v>Team Work</v>
      </c>
      <c r="C1358" t="str">
        <v>Analyst</v>
      </c>
      <c r="D1358" s="76">
        <v>4</v>
      </c>
      <c r="E1358" t="str" cm="1">
        <f t="array" ref="E1358">INDEX(aspek!$D$2:$D$337,
   MATCH(1,(aspek!$A$2:$A$337=B1358)*
           (aspek!$B$2:$B$337=C1358)*
           (aspek!$C$2:$C$337=D1358),0))</f>
        <v>Membangun budaya inklusif</v>
      </c>
      <c r="F1358" s="76">
        <v>2</v>
      </c>
      <c r="G1358" s="56" t="str" cm="1">
        <f t="array" ref="G1358">INDEX(deskripsi!$D$2:$H$337,
   MATCH(1,(deskripsi!$A$2:$A$337=B1358)*
           (deskripsi!$B$2:$B$337=C1358)*
           (deskripsi!$C$2:$C$337=D1358),0),
   F1358)</f>
        <v>Nyaman untuk dirinya sendiri, tidak memperhatikan kenyamanan pihak yang berbeda.</v>
      </c>
    </row>
    <row r="1359" spans="1:7">
      <c r="A1359" t="str">
        <f t="shared" si="21"/>
        <v>Team Work|Analyst|4|3</v>
      </c>
      <c r="B1359" t="str">
        <v>Team Work</v>
      </c>
      <c r="C1359" t="str">
        <v>Analyst</v>
      </c>
      <c r="D1359" s="76">
        <v>4</v>
      </c>
      <c r="E1359" t="str" cm="1">
        <f t="array" ref="E1359">INDEX(aspek!$D$2:$D$337,
   MATCH(1,(aspek!$A$2:$A$337=B1359)*
           (aspek!$B$2:$B$337=C1359)*
           (aspek!$C$2:$C$337=D1359),0))</f>
        <v>Membangun budaya inklusif</v>
      </c>
      <c r="F1359" s="76">
        <v>3</v>
      </c>
      <c r="G1359" s="56" t="str" cm="1">
        <f t="array" ref="G1359">INDEX(deskripsi!$D$2:$H$337,
   MATCH(1,(deskripsi!$A$2:$A$337=B1359)*
           (deskripsi!$B$2:$B$337=C1359)*
           (deskripsi!$C$2:$C$337=D1359),0),
   F1359)</f>
        <v>Membantu sebagian pihak yang kesulitan berkolaborasi karena perbedaan.</v>
      </c>
    </row>
    <row r="1360" spans="1:7">
      <c r="A1360" t="str">
        <f t="shared" si="21"/>
        <v>Team Work|Analyst|4|4</v>
      </c>
      <c r="B1360" t="str">
        <v>Team Work</v>
      </c>
      <c r="C1360" t="str">
        <v>Analyst</v>
      </c>
      <c r="D1360" s="76">
        <v>4</v>
      </c>
      <c r="E1360" t="str" cm="1">
        <f t="array" ref="E1360">INDEX(aspek!$D$2:$D$337,
   MATCH(1,(aspek!$A$2:$A$337=B1360)*
           (aspek!$B$2:$B$337=C1360)*
           (aspek!$C$2:$C$337=D1360),0))</f>
        <v>Membangun budaya inklusif</v>
      </c>
      <c r="F1360" s="76">
        <v>4</v>
      </c>
      <c r="G1360" s="56" t="str" cm="1">
        <f t="array" ref="G1360">INDEX(deskripsi!$D$2:$H$337,
   MATCH(1,(deskripsi!$A$2:$A$337=B1360)*
           (deskripsi!$B$2:$B$337=C1360)*
           (deskripsi!$C$2:$C$337=D1360),0),
   F1360)</f>
        <v>Membantu rekan lain menyesuaikan diri dengan pihak yang berbeda gaya kerjanya.</v>
      </c>
    </row>
    <row r="1361" spans="1:7">
      <c r="A1361" t="str">
        <f t="shared" si="21"/>
        <v>Team Work|Analyst|4|5</v>
      </c>
      <c r="B1361" t="str">
        <v>Team Work</v>
      </c>
      <c r="C1361" t="str">
        <v>Analyst</v>
      </c>
      <c r="D1361" s="76">
        <v>4</v>
      </c>
      <c r="E1361" t="str" cm="1">
        <f t="array" ref="E1361">INDEX(aspek!$D$2:$D$337,
   MATCH(1,(aspek!$A$2:$A$337=B1361)*
           (aspek!$B$2:$B$337=C1361)*
           (aspek!$C$2:$C$337=D1361),0))</f>
        <v>Membangun budaya inklusif</v>
      </c>
      <c r="F1361" s="76">
        <v>5</v>
      </c>
      <c r="G1361" s="56" t="str" cm="1">
        <f t="array" ref="G1361">INDEX(deskripsi!$D$2:$H$337,
   MATCH(1,(deskripsi!$A$2:$A$337=B1361)*
           (deskripsi!$B$2:$B$337=C1361)*
           (deskripsi!$C$2:$C$337=D1361),0),
   F1361)</f>
        <v>Menjadi contoh budaya kerja yang membuat perbedaan terasa sebagai kekuatan, bukan hambatan.</v>
      </c>
    </row>
    <row r="1362" spans="1:7">
      <c r="A1362" t="str">
        <f t="shared" si="21"/>
        <v>Team Work|Unit Head/Specialist|1|1</v>
      </c>
      <c r="B1362" t="str">
        <v>Team Work</v>
      </c>
      <c r="C1362" t="str">
        <v>Unit Head/Specialist</v>
      </c>
      <c r="D1362" s="76">
        <v>1</v>
      </c>
      <c r="E1362" t="str" cm="1">
        <f t="array" ref="E1362">INDEX(aspek!$D$2:$D$337,
   MATCH(1,(aspek!$A$2:$A$337=B1362)*
           (aspek!$B$2:$B$337=C1362)*
           (aspek!$C$2:$C$337=D1362),0))</f>
        <v>Ruang yang diberikan</v>
      </c>
      <c r="F1362" s="76">
        <v>1</v>
      </c>
      <c r="G1362" s="56" t="str" cm="1">
        <f t="array" ref="G1362">INDEX(deskripsi!$D$2:$H$337,
   MATCH(1,(deskripsi!$A$2:$A$337=B1362)*
           (deskripsi!$B$2:$B$337=C1362)*
           (deskripsi!$C$2:$C$337=D1362),0),
   F1362)</f>
        <v>Mengabaikan atau memotong pendapat yang berbeda.</v>
      </c>
    </row>
    <row r="1363" spans="1:7">
      <c r="A1363" t="str">
        <f t="shared" si="21"/>
        <v>Team Work|Unit Head/Specialist|1|2</v>
      </c>
      <c r="B1363" t="str">
        <v>Team Work</v>
      </c>
      <c r="C1363" t="str">
        <v>Unit Head/Specialist</v>
      </c>
      <c r="D1363" s="76">
        <v>1</v>
      </c>
      <c r="E1363" t="str" cm="1">
        <f t="array" ref="E1363">INDEX(aspek!$D$2:$D$337,
   MATCH(1,(aspek!$A$2:$A$337=B1363)*
           (aspek!$B$2:$B$337=C1363)*
           (aspek!$C$2:$C$337=D1363),0))</f>
        <v>Ruang yang diberikan</v>
      </c>
      <c r="F1363" s="76">
        <v>2</v>
      </c>
      <c r="G1363" s="56" t="str" cm="1">
        <f t="array" ref="G1363">INDEX(deskripsi!$D$2:$H$337,
   MATCH(1,(deskripsi!$A$2:$A$337=B1363)*
           (deskripsi!$B$2:$B$337=C1363)*
           (deskripsi!$C$2:$C$337=D1363),0),
   F1363)</f>
        <v>Mendengar pendapat berbeda tanpa memberinya bobot apa pun.</v>
      </c>
    </row>
    <row r="1364" spans="1:7">
      <c r="A1364" t="str">
        <f t="shared" si="21"/>
        <v>Team Work|Unit Head/Specialist|1|3</v>
      </c>
      <c r="B1364" t="str">
        <v>Team Work</v>
      </c>
      <c r="C1364" t="str">
        <v>Unit Head/Specialist</v>
      </c>
      <c r="D1364" s="76">
        <v>1</v>
      </c>
      <c r="E1364" t="str" cm="1">
        <f t="array" ref="E1364">INDEX(aspek!$D$2:$D$337,
   MATCH(1,(aspek!$A$2:$A$337=B1364)*
           (aspek!$B$2:$B$337=C1364)*
           (aspek!$C$2:$C$337=D1364),0))</f>
        <v>Ruang yang diberikan</v>
      </c>
      <c r="F1364" s="76">
        <v>3</v>
      </c>
      <c r="G1364" s="56" t="str" cm="1">
        <f t="array" ref="G1364">INDEX(deskripsi!$D$2:$H$337,
   MATCH(1,(deskripsi!$A$2:$A$337=B1364)*
           (deskripsi!$B$2:$B$337=C1364)*
           (deskripsi!$C$2:$C$337=D1364),0),
   F1364)</f>
        <v>Memberi ruang pada pendapat berbeda yang terdengar wajar atau familiar.</v>
      </c>
    </row>
    <row r="1365" spans="1:7">
      <c r="A1365" t="str">
        <f t="shared" si="21"/>
        <v>Team Work|Unit Head/Specialist|1|4</v>
      </c>
      <c r="B1365" t="str">
        <v>Team Work</v>
      </c>
      <c r="C1365" t="str">
        <v>Unit Head/Specialist</v>
      </c>
      <c r="D1365" s="76">
        <v>1</v>
      </c>
      <c r="E1365" t="str" cm="1">
        <f t="array" ref="E1365">INDEX(aspek!$D$2:$D$337,
   MATCH(1,(aspek!$A$2:$A$337=B1365)*
           (aspek!$B$2:$B$337=C1365)*
           (aspek!$C$2:$C$337=D1365),0))</f>
        <v>Ruang yang diberikan</v>
      </c>
      <c r="F1365" s="76">
        <v>4</v>
      </c>
      <c r="G1365" s="56" t="str" cm="1">
        <f t="array" ref="G1365">INDEX(deskripsi!$D$2:$H$337,
   MATCH(1,(deskripsi!$A$2:$A$337=B1365)*
           (deskripsi!$B$2:$B$337=C1365)*
           (deskripsi!$C$2:$C$337=D1365),0),
   F1365)</f>
        <v>Memberi ruang dan bobot serius pada SEMUA pendapat berbeda, termasuk yang bertentangan dengan pandangannya sendiri.</v>
      </c>
    </row>
    <row r="1366" spans="1:7">
      <c r="A1366" t="str">
        <f t="shared" si="21"/>
        <v>Team Work|Unit Head/Specialist|1|5</v>
      </c>
      <c r="B1366" t="str">
        <v>Team Work</v>
      </c>
      <c r="C1366" t="str">
        <v>Unit Head/Specialist</v>
      </c>
      <c r="D1366" s="76">
        <v>1</v>
      </c>
      <c r="E1366" t="str" cm="1">
        <f t="array" ref="E1366">INDEX(aspek!$D$2:$D$337,
   MATCH(1,(aspek!$A$2:$A$337=B1366)*
           (aspek!$B$2:$B$337=C1366)*
           (aspek!$C$2:$C$337=D1366),0))</f>
        <v>Ruang yang diberikan</v>
      </c>
      <c r="F1366" s="76">
        <v>5</v>
      </c>
      <c r="G1366" s="56" t="str" cm="1">
        <f t="array" ref="G1366">INDEX(deskripsi!$D$2:$H$337,
   MATCH(1,(deskripsi!$A$2:$A$337=B1366)*
           (deskripsi!$B$2:$B$337=C1366)*
           (deskripsi!$C$2:$C$337=D1366),0),
   F1366)</f>
        <v>Menjadi rujukan tempat orang merasa aman menyampaikan pendapat yang tidak populer.</v>
      </c>
    </row>
    <row r="1367" spans="1:7">
      <c r="A1367" t="str">
        <f t="shared" si="21"/>
        <v>Team Work|Unit Head/Specialist|2|1</v>
      </c>
      <c r="B1367" t="str">
        <v>Team Work</v>
      </c>
      <c r="C1367" t="str">
        <v>Unit Head/Specialist</v>
      </c>
      <c r="D1367" s="76">
        <v>2</v>
      </c>
      <c r="E1367" t="str" cm="1">
        <f t="array" ref="E1367">INDEX(aspek!$D$2:$D$337,
   MATCH(1,(aspek!$A$2:$A$337=B1367)*
           (aspek!$B$2:$B$337=C1367)*
           (aspek!$C$2:$C$337=D1367),0))</f>
        <v>Memisahkan respek dari hasil keputusan</v>
      </c>
      <c r="F1367" s="76">
        <v>1</v>
      </c>
      <c r="G1367" s="56" t="str" cm="1">
        <f t="array" ref="G1367">INDEX(deskripsi!$D$2:$H$337,
   MATCH(1,(deskripsi!$A$2:$A$337=B1367)*
           (deskripsi!$B$2:$B$337=C1367)*
           (deskripsi!$C$2:$C$337=D1367),0),
   F1367)</f>
        <v>Menghargai pendapat hanya ketika pendapat itu akhirnya dipakai.</v>
      </c>
    </row>
    <row r="1368" spans="1:7">
      <c r="A1368" t="str">
        <f t="shared" si="21"/>
        <v>Team Work|Unit Head/Specialist|2|2</v>
      </c>
      <c r="B1368" t="str">
        <v>Team Work</v>
      </c>
      <c r="C1368" t="str">
        <v>Unit Head/Specialist</v>
      </c>
      <c r="D1368" s="76">
        <v>2</v>
      </c>
      <c r="E1368" t="str" cm="1">
        <f t="array" ref="E1368">INDEX(aspek!$D$2:$D$337,
   MATCH(1,(aspek!$A$2:$A$337=B1368)*
           (aspek!$B$2:$B$337=C1368)*
           (aspek!$C$2:$C$337=D1368),0))</f>
        <v>Memisahkan respek dari hasil keputusan</v>
      </c>
      <c r="F1368" s="76">
        <v>2</v>
      </c>
      <c r="G1368" s="56" t="str" cm="1">
        <f t="array" ref="G1368">INDEX(deskripsi!$D$2:$H$337,
   MATCH(1,(deskripsi!$A$2:$A$337=B1368)*
           (deskripsi!$B$2:$B$337=C1368)*
           (deskripsi!$C$2:$C$337=D1368),0),
   F1368)</f>
        <v>Menyamakan "dihargai" dengan "dipakai dalam keputusan".</v>
      </c>
    </row>
    <row r="1369" spans="1:7">
      <c r="A1369" t="str">
        <f t="shared" si="21"/>
        <v>Team Work|Unit Head/Specialist|2|3</v>
      </c>
      <c r="B1369" t="str">
        <v>Team Work</v>
      </c>
      <c r="C1369" t="str">
        <v>Unit Head/Specialist</v>
      </c>
      <c r="D1369" s="76">
        <v>2</v>
      </c>
      <c r="E1369" t="str" cm="1">
        <f t="array" ref="E1369">INDEX(aspek!$D$2:$D$337,
   MATCH(1,(aspek!$A$2:$A$337=B1369)*
           (aspek!$B$2:$B$337=C1369)*
           (aspek!$C$2:$C$337=D1369),0))</f>
        <v>Memisahkan respek dari hasil keputusan</v>
      </c>
      <c r="F1369" s="76">
        <v>3</v>
      </c>
      <c r="G1369" s="56" t="str" cm="1">
        <f t="array" ref="G1369">INDEX(deskripsi!$D$2:$H$337,
   MATCH(1,(deskripsi!$A$2:$A$337=B1369)*
           (deskripsi!$B$2:$B$337=C1369)*
           (deskripsi!$C$2:$C$337=D1369),0),
   F1369)</f>
        <v>Sesekali menunjukkan penghargaan pada pendapat yang tidak dipakai.</v>
      </c>
    </row>
    <row r="1370" spans="1:7">
      <c r="A1370" t="str">
        <f t="shared" si="21"/>
        <v>Team Work|Unit Head/Specialist|2|4</v>
      </c>
      <c r="B1370" t="str">
        <v>Team Work</v>
      </c>
      <c r="C1370" t="str">
        <v>Unit Head/Specialist</v>
      </c>
      <c r="D1370" s="76">
        <v>2</v>
      </c>
      <c r="E1370" t="str" cm="1">
        <f t="array" ref="E1370">INDEX(aspek!$D$2:$D$337,
   MATCH(1,(aspek!$A$2:$A$337=B1370)*
           (aspek!$B$2:$B$337=C1370)*
           (aspek!$C$2:$C$337=D1370),0))</f>
        <v>Memisahkan respek dari hasil keputusan</v>
      </c>
      <c r="F1370" s="76">
        <v>4</v>
      </c>
      <c r="G1370" s="56" t="str" cm="1">
        <f t="array" ref="G1370">INDEX(deskripsi!$D$2:$H$337,
   MATCH(1,(deskripsi!$A$2:$A$337=B1370)*
           (deskripsi!$B$2:$B$337=C1370)*
           (deskripsi!$C$2:$C$337=D1370),0),
   F1370)</f>
        <v>Secara konsisten membuat pemilik pendapat merasa dihargai meski pendapatnya tidak dipakai dalam keputusan akhir.</v>
      </c>
    </row>
    <row r="1371" spans="1:7">
      <c r="A1371" t="str">
        <f t="shared" si="21"/>
        <v>Team Work|Unit Head/Specialist|2|5</v>
      </c>
      <c r="B1371" t="str">
        <v>Team Work</v>
      </c>
      <c r="C1371" t="str">
        <v>Unit Head/Specialist</v>
      </c>
      <c r="D1371" s="76">
        <v>2</v>
      </c>
      <c r="E1371" t="str" cm="1">
        <f t="array" ref="E1371">INDEX(aspek!$D$2:$D$337,
   MATCH(1,(aspek!$A$2:$A$337=B1371)*
           (aspek!$B$2:$B$337=C1371)*
           (aspek!$C$2:$C$337=D1371),0))</f>
        <v>Memisahkan respek dari hasil keputusan</v>
      </c>
      <c r="F1371" s="76">
        <v>5</v>
      </c>
      <c r="G1371" s="56" t="str" cm="1">
        <f t="array" ref="G1371">INDEX(deskripsi!$D$2:$H$337,
   MATCH(1,(deskripsi!$A$2:$A$337=B1371)*
           (deskripsi!$B$2:$B$337=C1371)*
           (deskripsi!$C$2:$C$337=D1371),0),
   F1371)</f>
        <v>Pendapat yang tidak dipakai tetap dicatat dan dihormati sebagai kontribusi yang berarti.</v>
      </c>
    </row>
    <row r="1372" spans="1:7">
      <c r="A1372" t="str">
        <f t="shared" si="21"/>
        <v>Team Work|Unit Head/Specialist|3|1</v>
      </c>
      <c r="B1372" t="str">
        <v>Team Work</v>
      </c>
      <c r="C1372" t="str">
        <v>Unit Head/Specialist</v>
      </c>
      <c r="D1372" s="76">
        <v>3</v>
      </c>
      <c r="E1372" t="str" cm="1">
        <f t="array" ref="E1372">INDEX(aspek!$D$2:$D$337,
   MATCH(1,(aspek!$A$2:$A$337=B1372)*
           (aspek!$B$2:$B$337=C1372)*
           (aspek!$C$2:$C$337=D1372),0))</f>
        <v>Menggali pendapat secara aktif</v>
      </c>
      <c r="F1372" s="76">
        <v>1</v>
      </c>
      <c r="G1372" s="56" t="str" cm="1">
        <f t="array" ref="G1372">INDEX(deskripsi!$D$2:$H$337,
   MATCH(1,(deskripsi!$A$2:$A$337=B1372)*
           (deskripsi!$B$2:$B$337=C1372)*
           (deskripsi!$C$2:$C$337=D1372),0),
   F1372)</f>
        <v>Tidak pernah menanyakan pendapat yang berbeda.</v>
      </c>
    </row>
    <row r="1373" spans="1:7">
      <c r="A1373" t="str">
        <f t="shared" si="21"/>
        <v>Team Work|Unit Head/Specialist|3|2</v>
      </c>
      <c r="B1373" t="str">
        <v>Team Work</v>
      </c>
      <c r="C1373" t="str">
        <v>Unit Head/Specialist</v>
      </c>
      <c r="D1373" s="76">
        <v>3</v>
      </c>
      <c r="E1373" t="str" cm="1">
        <f t="array" ref="E1373">INDEX(aspek!$D$2:$D$337,
   MATCH(1,(aspek!$A$2:$A$337=B1373)*
           (aspek!$B$2:$B$337=C1373)*
           (aspek!$C$2:$C$337=D1373),0))</f>
        <v>Menggali pendapat secara aktif</v>
      </c>
      <c r="F1373" s="76">
        <v>2</v>
      </c>
      <c r="G1373" s="56" t="str" cm="1">
        <f t="array" ref="G1373">INDEX(deskripsi!$D$2:$H$337,
   MATCH(1,(deskripsi!$A$2:$A$337=B1373)*
           (deskripsi!$B$2:$B$337=C1373)*
           (deskripsi!$C$2:$C$337=D1373),0),
   F1373)</f>
        <v>Menerima pendapat berbeda hanya jika disampaikan tanpa diminta.</v>
      </c>
    </row>
    <row r="1374" spans="1:7">
      <c r="A1374" t="str">
        <f t="shared" si="21"/>
        <v>Team Work|Unit Head/Specialist|3|3</v>
      </c>
      <c r="B1374" t="str">
        <v>Team Work</v>
      </c>
      <c r="C1374" t="str">
        <v>Unit Head/Specialist</v>
      </c>
      <c r="D1374" s="76">
        <v>3</v>
      </c>
      <c r="E1374" t="str" cm="1">
        <f t="array" ref="E1374">INDEX(aspek!$D$2:$D$337,
   MATCH(1,(aspek!$A$2:$A$337=B1374)*
           (aspek!$B$2:$B$337=C1374)*
           (aspek!$C$2:$C$337=D1374),0))</f>
        <v>Menggali pendapat secara aktif</v>
      </c>
      <c r="F1374" s="76">
        <v>3</v>
      </c>
      <c r="G1374" s="56" t="str" cm="1">
        <f t="array" ref="G1374">INDEX(deskripsi!$D$2:$H$337,
   MATCH(1,(deskripsi!$A$2:$A$337=B1374)*
           (deskripsi!$B$2:$B$337=C1374)*
           (deskripsi!$C$2:$C$337=D1374),0),
   F1374)</f>
        <v>Menanyakan pendapat berbeda pada keputusan yang dianggap penting.</v>
      </c>
    </row>
    <row r="1375" spans="1:7">
      <c r="A1375" t="str">
        <f t="shared" si="21"/>
        <v>Team Work|Unit Head/Specialist|3|4</v>
      </c>
      <c r="B1375" t="str">
        <v>Team Work</v>
      </c>
      <c r="C1375" t="str">
        <v>Unit Head/Specialist</v>
      </c>
      <c r="D1375" s="76">
        <v>3</v>
      </c>
      <c r="E1375" t="str" cm="1">
        <f t="array" ref="E1375">INDEX(aspek!$D$2:$D$337,
   MATCH(1,(aspek!$A$2:$A$337=B1375)*
           (aspek!$B$2:$B$337=C1375)*
           (aspek!$C$2:$C$337=D1375),0))</f>
        <v>Menggali pendapat secara aktif</v>
      </c>
      <c r="F1375" s="76">
        <v>4</v>
      </c>
      <c r="G1375" s="56" t="str" cm="1">
        <f t="array" ref="G1375">INDEX(deskripsi!$D$2:$H$337,
   MATCH(1,(deskripsi!$A$2:$A$337=B1375)*
           (deskripsi!$B$2:$B$337=C1375)*
           (deskripsi!$C$2:$C$337=D1375),0),
   F1375)</f>
        <v>Secara aktif menggali kekhawatiran dan pendapat alternatif sebelum keputusan difinalisasi, pada hampir semua keputusan penting.</v>
      </c>
    </row>
    <row r="1376" spans="1:7">
      <c r="A1376" t="str">
        <f t="shared" si="21"/>
        <v>Team Work|Unit Head/Specialist|3|5</v>
      </c>
      <c r="B1376" t="str">
        <v>Team Work</v>
      </c>
      <c r="C1376" t="str">
        <v>Unit Head/Specialist</v>
      </c>
      <c r="D1376" s="76">
        <v>3</v>
      </c>
      <c r="E1376" t="str" cm="1">
        <f t="array" ref="E1376">INDEX(aspek!$D$2:$D$337,
   MATCH(1,(aspek!$A$2:$A$337=B1376)*
           (aspek!$B$2:$B$337=C1376)*
           (aspek!$C$2:$C$337=D1376),0))</f>
        <v>Menggali pendapat secara aktif</v>
      </c>
      <c r="F1376" s="76">
        <v>5</v>
      </c>
      <c r="G1376" s="56" t="str" cm="1">
        <f t="array" ref="G1376">INDEX(deskripsi!$D$2:$H$337,
   MATCH(1,(deskripsi!$A$2:$A$337=B1376)*
           (deskripsi!$B$2:$B$337=C1376)*
           (deskripsi!$C$2:$C$337=D1376),0),
   F1376)</f>
        <v>Kebiasaan menggali pendapat ini menular dan menjadi budaya tim.</v>
      </c>
    </row>
    <row r="1377" spans="1:7">
      <c r="A1377" t="str">
        <f t="shared" si="21"/>
        <v>Team Work|Unit Head/Specialist|4|1</v>
      </c>
      <c r="B1377" t="str">
        <v>Team Work</v>
      </c>
      <c r="C1377" t="str">
        <v>Unit Head/Specialist</v>
      </c>
      <c r="D1377" s="76">
        <v>4</v>
      </c>
      <c r="E1377" t="str" cm="1">
        <f t="array" ref="E1377">INDEX(aspek!$D$2:$D$337,
   MATCH(1,(aspek!$A$2:$A$337=B1377)*
           (aspek!$B$2:$B$337=C1377)*
           (aspek!$C$2:$C$337=D1377),0))</f>
        <v>Ketahanan memberi ruang pada pendapat yang berulang tidak dipakai</v>
      </c>
      <c r="F1377" s="76">
        <v>1</v>
      </c>
      <c r="G1377" s="56" t="str" cm="1">
        <f t="array" ref="G1377">INDEX(deskripsi!$D$2:$H$337,
   MATCH(1,(deskripsi!$A$2:$A$337=B1377)*
           (deskripsi!$B$2:$B$337=C1377)*
           (deskripsi!$C$2:$C$337=D1377),0),
   F1377)</f>
        <v>Berhenti mendengarkan seseorang setelah pendapatnya beberapa kali tidak dipakai.</v>
      </c>
    </row>
    <row r="1378" spans="1:7">
      <c r="A1378" t="str">
        <f t="shared" si="21"/>
        <v>Team Work|Unit Head/Specialist|4|2</v>
      </c>
      <c r="B1378" t="str">
        <v>Team Work</v>
      </c>
      <c r="C1378" t="str">
        <v>Unit Head/Specialist</v>
      </c>
      <c r="D1378" s="76">
        <v>4</v>
      </c>
      <c r="E1378" t="str" cm="1">
        <f t="array" ref="E1378">INDEX(aspek!$D$2:$D$337,
   MATCH(1,(aspek!$A$2:$A$337=B1378)*
           (aspek!$B$2:$B$337=C1378)*
           (aspek!$C$2:$C$337=D1378),0))</f>
        <v>Ketahanan memberi ruang pada pendapat yang berulang tidak dipakai</v>
      </c>
      <c r="F1378" s="76">
        <v>2</v>
      </c>
      <c r="G1378" s="56" t="str" cm="1">
        <f t="array" ref="G1378">INDEX(deskripsi!$D$2:$H$337,
   MATCH(1,(deskripsi!$A$2:$A$337=B1378)*
           (deskripsi!$B$2:$B$337=C1378)*
           (deskripsi!$C$2:$C$337=D1378),0),
   F1378)</f>
        <v>Tetap mendengarkan, tetapi dengan semangat yang menurun.</v>
      </c>
    </row>
    <row r="1379" spans="1:7">
      <c r="A1379" t="str">
        <f t="shared" si="21"/>
        <v>Team Work|Unit Head/Specialist|4|3</v>
      </c>
      <c r="B1379" t="str">
        <v>Team Work</v>
      </c>
      <c r="C1379" t="str">
        <v>Unit Head/Specialist</v>
      </c>
      <c r="D1379" s="76">
        <v>4</v>
      </c>
      <c r="E1379" t="str" cm="1">
        <f t="array" ref="E1379">INDEX(aspek!$D$2:$D$337,
   MATCH(1,(aspek!$A$2:$A$337=B1379)*
           (aspek!$B$2:$B$337=C1379)*
           (aspek!$C$2:$C$337=D1379),0))</f>
        <v>Ketahanan memberi ruang pada pendapat yang berulang tidak dipakai</v>
      </c>
      <c r="F1379" s="76">
        <v>3</v>
      </c>
      <c r="G1379" s="56" t="str" cm="1">
        <f t="array" ref="G1379">INDEX(deskripsi!$D$2:$H$337,
   MATCH(1,(deskripsi!$A$2:$A$337=B1379)*
           (deskripsi!$B$2:$B$337=C1379)*
           (deskripsi!$C$2:$C$337=D1379),0),
   F1379)</f>
        <v>Tetap memberi ruang pada sebagian besar kesempatan.</v>
      </c>
    </row>
    <row r="1380" spans="1:7">
      <c r="A1380" t="str">
        <f t="shared" si="21"/>
        <v>Team Work|Unit Head/Specialist|4|4</v>
      </c>
      <c r="B1380" t="str">
        <v>Team Work</v>
      </c>
      <c r="C1380" t="str">
        <v>Unit Head/Specialist</v>
      </c>
      <c r="D1380" s="76">
        <v>4</v>
      </c>
      <c r="E1380" t="str" cm="1">
        <f t="array" ref="E1380">INDEX(aspek!$D$2:$D$337,
   MATCH(1,(aspek!$A$2:$A$337=B1380)*
           (aspek!$B$2:$B$337=C1380)*
           (aspek!$C$2:$C$337=D1380),0))</f>
        <v>Ketahanan memberi ruang pada pendapat yang berulang tidak dipakai</v>
      </c>
      <c r="F1380" s="76">
        <v>4</v>
      </c>
      <c r="G1380" s="56" t="str" cm="1">
        <f t="array" ref="G1380">INDEX(deskripsi!$D$2:$H$337,
   MATCH(1,(deskripsi!$A$2:$A$337=B1380)*
           (deskripsi!$B$2:$B$337=C1380)*
           (deskripsi!$C$2:$C$337=D1380),0),
   F1380)</f>
        <v>Tetap memberi ruang dan bobot serius secara konsisten, bahkan kepada orang yang pendapatnya berulang kali tidak dipakai.</v>
      </c>
    </row>
    <row r="1381" spans="1:7">
      <c r="A1381" t="str">
        <f t="shared" si="21"/>
        <v>Team Work|Unit Head/Specialist|4|5</v>
      </c>
      <c r="B1381" t="str">
        <v>Team Work</v>
      </c>
      <c r="C1381" t="str">
        <v>Unit Head/Specialist</v>
      </c>
      <c r="D1381" s="76">
        <v>4</v>
      </c>
      <c r="E1381" t="str" cm="1">
        <f t="array" ref="E1381">INDEX(aspek!$D$2:$D$337,
   MATCH(1,(aspek!$A$2:$A$337=B1381)*
           (aspek!$B$2:$B$337=C1381)*
           (aspek!$C$2:$C$337=D1381),0))</f>
        <v>Ketahanan memberi ruang pada pendapat yang berulang tidak dipakai</v>
      </c>
      <c r="F1381" s="76">
        <v>5</v>
      </c>
      <c r="G1381" s="56" t="str" cm="1">
        <f t="array" ref="G1381">INDEX(deskripsi!$D$2:$H$337,
   MATCH(1,(deskripsi!$A$2:$A$337=B1381)*
           (deskripsi!$B$2:$B$337=C1381)*
           (deskripsi!$C$2:$C$337=D1381),0),
   F1381)</f>
        <v>Orang yang pendapatnya sering tidak dipakai tetap merasa nyaman dan terus berkontribusi.</v>
      </c>
    </row>
    <row r="1382" spans="1:7">
      <c r="A1382" t="str">
        <f t="shared" si="21"/>
        <v>Team Work|Department Head|1|1</v>
      </c>
      <c r="B1382" t="str">
        <v>Team Work</v>
      </c>
      <c r="C1382" t="str">
        <v>Department Head</v>
      </c>
      <c r="D1382" s="76">
        <v>1</v>
      </c>
      <c r="E1382" t="str" cm="1">
        <f t="array" ref="E1382">INDEX(aspek!$D$2:$D$337,
   MATCH(1,(aspek!$A$2:$A$337=B1382)*
           (aspek!$B$2:$B$337=C1382)*
           (aspek!$C$2:$C$337=D1382),0))</f>
        <v>Kesediaan mengambil risiko dalam konteks tim</v>
      </c>
      <c r="F1382" s="76">
        <v>1</v>
      </c>
      <c r="G1382" s="56" t="str" cm="1">
        <f t="array" ref="G1382">INDEX(deskripsi!$D$2:$H$337,
   MATCH(1,(deskripsi!$A$2:$A$337=B1382)*
           (deskripsi!$B$2:$B$337=C1382)*
           (deskripsi!$C$2:$C$337=D1382),0),
   F1382)</f>
        <v>Menghindari risiko; tim bertahan pada cara yang pasti aman.</v>
      </c>
    </row>
    <row r="1383" spans="1:7">
      <c r="A1383" t="str">
        <f t="shared" si="21"/>
        <v>Team Work|Department Head|1|2</v>
      </c>
      <c r="B1383" t="str">
        <v>Team Work</v>
      </c>
      <c r="C1383" t="str">
        <v>Department Head</v>
      </c>
      <c r="D1383" s="76">
        <v>1</v>
      </c>
      <c r="E1383" t="str" cm="1">
        <f t="array" ref="E1383">INDEX(aspek!$D$2:$D$337,
   MATCH(1,(aspek!$A$2:$A$337=B1383)*
           (aspek!$B$2:$B$337=C1383)*
           (aspek!$C$2:$C$337=D1383),0))</f>
        <v>Kesediaan mengambil risiko dalam konteks tim</v>
      </c>
      <c r="F1383" s="76">
        <v>2</v>
      </c>
      <c r="G1383" s="56" t="str" cm="1">
        <f t="array" ref="G1383">INDEX(deskripsi!$D$2:$H$337,
   MATCH(1,(deskripsi!$A$2:$A$337=B1383)*
           (deskripsi!$B$2:$B$337=C1383)*
           (deskripsi!$C$2:$C$337=D1383),0),
   F1383)</f>
        <v>Mempertimbangkan mencoba, tetapi ragu dan kembali ke cara lama.</v>
      </c>
    </row>
    <row r="1384" spans="1:7">
      <c r="A1384" t="str">
        <f t="shared" si="21"/>
        <v>Team Work|Department Head|1|3</v>
      </c>
      <c r="B1384" t="str">
        <v>Team Work</v>
      </c>
      <c r="C1384" t="str">
        <v>Department Head</v>
      </c>
      <c r="D1384" s="76">
        <v>1</v>
      </c>
      <c r="E1384" t="str" cm="1">
        <f t="array" ref="E1384">INDEX(aspek!$D$2:$D$337,
   MATCH(1,(aspek!$A$2:$A$337=B1384)*
           (aspek!$B$2:$B$337=C1384)*
           (aspek!$C$2:$C$337=D1384),0))</f>
        <v>Kesediaan mengambil risiko dalam konteks tim</v>
      </c>
      <c r="F1384" s="76">
        <v>3</v>
      </c>
      <c r="G1384" s="56" t="str" cm="1">
        <f t="array" ref="G1384">INDEX(deskripsi!$D$2:$H$337,
   MATCH(1,(deskripsi!$A$2:$A$337=B1384)*
           (deskripsi!$B$2:$B$337=C1384)*
           (deskripsi!$C$2:$C$337=D1384),0),
   F1384)</f>
        <v>Mencoba pendekatan tim baru setelah risikonya dihitung dan dinilai kecil.</v>
      </c>
    </row>
    <row r="1385" spans="1:7">
      <c r="A1385" t="str">
        <f t="shared" si="21"/>
        <v>Team Work|Department Head|1|4</v>
      </c>
      <c r="B1385" t="str">
        <v>Team Work</v>
      </c>
      <c r="C1385" t="str">
        <v>Department Head</v>
      </c>
      <c r="D1385" s="76">
        <v>1</v>
      </c>
      <c r="E1385" t="str" cm="1">
        <f t="array" ref="E1385">INDEX(aspek!$D$2:$D$337,
   MATCH(1,(aspek!$A$2:$A$337=B1385)*
           (aspek!$B$2:$B$337=C1385)*
           (aspek!$C$2:$C$337=D1385),0))</f>
        <v>Kesediaan mengambil risiko dalam konteks tim</v>
      </c>
      <c r="F1385" s="76">
        <v>4</v>
      </c>
      <c r="G1385" s="56" t="str" cm="1">
        <f t="array" ref="G1385">INDEX(deskripsi!$D$2:$H$337,
   MATCH(1,(deskripsi!$A$2:$A$337=B1385)*
           (deskripsi!$B$2:$B$337=C1385)*
           (deskripsi!$C$2:$C$337=D1385),0),
   F1385)</f>
        <v>Mendorong tim mencoba meski hasil akhirnya belum jelas, dengan risiko yang dihitung dan dikelola.</v>
      </c>
    </row>
    <row r="1386" spans="1:7">
      <c r="A1386" t="str">
        <f t="shared" si="21"/>
        <v>Team Work|Department Head|1|5</v>
      </c>
      <c r="B1386" t="str">
        <v>Team Work</v>
      </c>
      <c r="C1386" t="str">
        <v>Department Head</v>
      </c>
      <c r="D1386" s="76">
        <v>1</v>
      </c>
      <c r="E1386" t="str" cm="1">
        <f t="array" ref="E1386">INDEX(aspek!$D$2:$D$337,
   MATCH(1,(aspek!$A$2:$A$337=B1386)*
           (aspek!$B$2:$B$337=C1386)*
           (aspek!$C$2:$C$337=D1386),0))</f>
        <v>Kesediaan mengambil risiko dalam konteks tim</v>
      </c>
      <c r="F1386" s="76">
        <v>5</v>
      </c>
      <c r="G1386" s="56" t="str" cm="1">
        <f t="array" ref="G1386">INDEX(deskripsi!$D$2:$H$337,
   MATCH(1,(deskripsi!$A$2:$A$337=B1386)*
           (deskripsi!$B$2:$B$337=C1386)*
           (deskripsi!$C$2:$C$337=D1386),0),
   F1386)</f>
        <v>Mendorong eksperimen menjadi kebiasaan tim yang berjalan tanpa harus terus didorong.</v>
      </c>
    </row>
    <row r="1387" spans="1:7">
      <c r="A1387" t="str">
        <f t="shared" si="21"/>
        <v>Team Work|Department Head|2|1</v>
      </c>
      <c r="B1387" t="str">
        <v>Team Work</v>
      </c>
      <c r="C1387" t="str">
        <v>Department Head</v>
      </c>
      <c r="D1387" s="76">
        <v>2</v>
      </c>
      <c r="E1387" t="str" cm="1">
        <f t="array" ref="E1387">INDEX(aspek!$D$2:$D$337,
   MATCH(1,(aspek!$A$2:$A$337=B1387)*
           (aspek!$B$2:$B$337=C1387)*
           (aspek!$C$2:$C$337=D1387),0))</f>
        <v>Kualitas perhitungan risiko tim</v>
      </c>
      <c r="F1387" s="76">
        <v>1</v>
      </c>
      <c r="G1387" s="56" t="str" cm="1">
        <f t="array" ref="G1387">INDEX(deskripsi!$D$2:$H$337,
   MATCH(1,(deskripsi!$A$2:$A$337=B1387)*
           (deskripsi!$B$2:$B$337=C1387)*
           (deskripsi!$C$2:$C$337=D1387),0),
   F1387)</f>
        <v>Tidak menghitung risiko sebelum tim mencoba.</v>
      </c>
    </row>
    <row r="1388" spans="1:7">
      <c r="A1388" t="str">
        <f t="shared" si="21"/>
        <v>Team Work|Department Head|2|2</v>
      </c>
      <c r="B1388" t="str">
        <v>Team Work</v>
      </c>
      <c r="C1388" t="str">
        <v>Department Head</v>
      </c>
      <c r="D1388" s="76">
        <v>2</v>
      </c>
      <c r="E1388" t="str" cm="1">
        <f t="array" ref="E1388">INDEX(aspek!$D$2:$D$337,
   MATCH(1,(aspek!$A$2:$A$337=B1388)*
           (aspek!$B$2:$B$337=C1388)*
           (aspek!$C$2:$C$337=D1388),0))</f>
        <v>Kualitas perhitungan risiko tim</v>
      </c>
      <c r="F1388" s="76">
        <v>2</v>
      </c>
      <c r="G1388" s="56" t="str" cm="1">
        <f t="array" ref="G1388">INDEX(deskripsi!$D$2:$H$337,
   MATCH(1,(deskripsi!$A$2:$A$337=B1388)*
           (deskripsi!$B$2:$B$337=C1388)*
           (deskripsi!$C$2:$C$337=D1388),0),
   F1388)</f>
        <v>Menghitung risiko tetapi terlalu berhati-hati sehingga tim tidak pernah benar-benar mencoba.</v>
      </c>
    </row>
    <row r="1389" spans="1:7">
      <c r="A1389" t="str">
        <f t="shared" si="21"/>
        <v>Team Work|Department Head|2|3</v>
      </c>
      <c r="B1389" t="str">
        <v>Team Work</v>
      </c>
      <c r="C1389" t="str">
        <v>Department Head</v>
      </c>
      <c r="D1389" s="76">
        <v>2</v>
      </c>
      <c r="E1389" t="str" cm="1">
        <f t="array" ref="E1389">INDEX(aspek!$D$2:$D$337,
   MATCH(1,(aspek!$A$2:$A$337=B1389)*
           (aspek!$B$2:$B$337=C1389)*
           (aspek!$C$2:$C$337=D1389),0))</f>
        <v>Kualitas perhitungan risiko tim</v>
      </c>
      <c r="F1389" s="76">
        <v>3</v>
      </c>
      <c r="G1389" s="56" t="str" cm="1">
        <f t="array" ref="G1389">INDEX(deskripsi!$D$2:$H$337,
   MATCH(1,(deskripsi!$A$2:$A$337=B1389)*
           (deskripsi!$B$2:$B$337=C1389)*
           (deskripsi!$C$2:$C$337=D1389),0),
   F1389)</f>
        <v>Menghitung risiko secara wajar untuk uji coba tim skala kecil.</v>
      </c>
    </row>
    <row r="1390" spans="1:7">
      <c r="A1390" t="str">
        <f t="shared" si="21"/>
        <v>Team Work|Department Head|2|4</v>
      </c>
      <c r="B1390" t="str">
        <v>Team Work</v>
      </c>
      <c r="C1390" t="str">
        <v>Department Head</v>
      </c>
      <c r="D1390" s="76">
        <v>2</v>
      </c>
      <c r="E1390" t="str" cm="1">
        <f t="array" ref="E1390">INDEX(aspek!$D$2:$D$337,
   MATCH(1,(aspek!$A$2:$A$337=B1390)*
           (aspek!$B$2:$B$337=C1390)*
           (aspek!$C$2:$C$337=D1390),0))</f>
        <v>Kualitas perhitungan risiko tim</v>
      </c>
      <c r="F1390" s="76">
        <v>4</v>
      </c>
      <c r="G1390" s="56" t="str" cm="1">
        <f t="array" ref="G1390">INDEX(deskripsi!$D$2:$H$337,
   MATCH(1,(deskripsi!$A$2:$A$337=B1390)*
           (deskripsi!$B$2:$B$337=C1390)*
           (deskripsi!$C$2:$C$337=D1390),0),
   F1390)</f>
        <v>Menetapkan batas kerugian yang dapat diterima sebelum tim mencoba, dan kerugian tetap dalam batas itu ketika gagal.</v>
      </c>
    </row>
    <row r="1391" spans="1:7">
      <c r="A1391" t="str">
        <f t="shared" si="21"/>
        <v>Team Work|Department Head|2|5</v>
      </c>
      <c r="B1391" t="str">
        <v>Team Work</v>
      </c>
      <c r="C1391" t="str">
        <v>Department Head</v>
      </c>
      <c r="D1391" s="76">
        <v>2</v>
      </c>
      <c r="E1391" t="str" cm="1">
        <f t="array" ref="E1391">INDEX(aspek!$D$2:$D$337,
   MATCH(1,(aspek!$A$2:$A$337=B1391)*
           (aspek!$B$2:$B$337=C1391)*
           (aspek!$C$2:$C$337=D1391),0))</f>
        <v>Kualitas perhitungan risiko tim</v>
      </c>
      <c r="F1391" s="76">
        <v>5</v>
      </c>
      <c r="G1391" s="56" t="str" cm="1">
        <f t="array" ref="G1391">INDEX(deskripsi!$D$2:$H$337,
   MATCH(1,(deskripsi!$A$2:$A$337=B1391)*
           (deskripsi!$B$2:$B$337=C1391)*
           (deskripsi!$C$2:$C$337=D1391),0),
   F1391)</f>
        <v>Perhitungan risikonya menjadi acuan bagi tim lain.</v>
      </c>
    </row>
    <row r="1392" spans="1:7">
      <c r="A1392" t="str">
        <f t="shared" si="21"/>
        <v>Team Work|Department Head|3|1</v>
      </c>
      <c r="B1392" t="str">
        <v>Team Work</v>
      </c>
      <c r="C1392" t="str">
        <v>Department Head</v>
      </c>
      <c r="D1392" s="76">
        <v>3</v>
      </c>
      <c r="E1392" t="str" cm="1">
        <f t="array" ref="E1392">INDEX(aspek!$D$2:$D$337,
   MATCH(1,(aspek!$A$2:$A$337=B1392)*
           (aspek!$B$2:$B$337=C1392)*
           (aspek!$C$2:$C$337=D1392),0))</f>
        <v>Pengelolaan kegagalan tim tanpa kambing hitam</v>
      </c>
      <c r="F1392" s="76">
        <v>1</v>
      </c>
      <c r="G1392" s="56" t="str" cm="1">
        <f t="array" ref="G1392">INDEX(deskripsi!$D$2:$H$337,
   MATCH(1,(deskripsi!$A$2:$A$337=B1392)*
           (deskripsi!$B$2:$B$337=C1392)*
           (deskripsi!$C$2:$C$337=D1392),0),
   F1392)</f>
        <v>Menyalahkan individu ketika uji coba tim gagal.</v>
      </c>
    </row>
    <row r="1393" spans="1:7">
      <c r="A1393" t="str">
        <f t="shared" si="21"/>
        <v>Team Work|Department Head|3|2</v>
      </c>
      <c r="B1393" t="str">
        <v>Team Work</v>
      </c>
      <c r="C1393" t="str">
        <v>Department Head</v>
      </c>
      <c r="D1393" s="76">
        <v>3</v>
      </c>
      <c r="E1393" t="str" cm="1">
        <f t="array" ref="E1393">INDEX(aspek!$D$2:$D$337,
   MATCH(1,(aspek!$A$2:$A$337=B1393)*
           (aspek!$B$2:$B$337=C1393)*
           (aspek!$C$2:$C$337=D1393),0))</f>
        <v>Pengelolaan kegagalan tim tanpa kambing hitam</v>
      </c>
      <c r="F1393" s="76">
        <v>2</v>
      </c>
      <c r="G1393" s="56" t="str" cm="1">
        <f t="array" ref="G1393">INDEX(deskripsi!$D$2:$H$337,
   MATCH(1,(deskripsi!$A$2:$A$337=B1393)*
           (deskripsi!$B$2:$B$337=C1393)*
           (deskripsi!$C$2:$C$337=D1393),0),
   F1393)</f>
        <v>Melaporkan kegagalan hanya ketika ditanya.</v>
      </c>
    </row>
    <row r="1394" spans="1:7">
      <c r="A1394" t="str">
        <f t="shared" si="21"/>
        <v>Team Work|Department Head|3|3</v>
      </c>
      <c r="B1394" t="str">
        <v>Team Work</v>
      </c>
      <c r="C1394" t="str">
        <v>Department Head</v>
      </c>
      <c r="D1394" s="76">
        <v>3</v>
      </c>
      <c r="E1394" t="str" cm="1">
        <f t="array" ref="E1394">INDEX(aspek!$D$2:$D$337,
   MATCH(1,(aspek!$A$2:$A$337=B1394)*
           (aspek!$B$2:$B$337=C1394)*
           (aspek!$C$2:$C$337=D1394),0))</f>
        <v>Pengelolaan kegagalan tim tanpa kambing hitam</v>
      </c>
      <c r="F1394" s="76">
        <v>3</v>
      </c>
      <c r="G1394" s="56" t="str" cm="1">
        <f t="array" ref="G1394">INDEX(deskripsi!$D$2:$H$337,
   MATCH(1,(deskripsi!$A$2:$A$337=B1394)*
           (deskripsi!$B$2:$B$337=C1394)*
           (deskripsi!$C$2:$C$337=D1394),0),
   F1394)</f>
        <v>Melaporkan kegagalan tim secara terbuka pada kasus kecil.</v>
      </c>
    </row>
    <row r="1395" spans="1:7">
      <c r="A1395" t="str">
        <f t="shared" si="21"/>
        <v>Team Work|Department Head|3|4</v>
      </c>
      <c r="B1395" t="str">
        <v>Team Work</v>
      </c>
      <c r="C1395" t="str">
        <v>Department Head</v>
      </c>
      <c r="D1395" s="76">
        <v>3</v>
      </c>
      <c r="E1395" t="str" cm="1">
        <f t="array" ref="E1395">INDEX(aspek!$D$2:$D$337,
   MATCH(1,(aspek!$A$2:$A$337=B1395)*
           (aspek!$B$2:$B$337=C1395)*
           (aspek!$C$2:$C$337=D1395),0))</f>
        <v>Pengelolaan kegagalan tim tanpa kambing hitam</v>
      </c>
      <c r="F1395" s="76">
        <v>4</v>
      </c>
      <c r="G1395" s="56" t="str" cm="1">
        <f t="array" ref="G1395">INDEX(deskripsi!$D$2:$H$337,
   MATCH(1,(deskripsi!$A$2:$A$337=B1395)*
           (deskripsi!$B$2:$B$337=C1395)*
           (deskripsi!$C$2:$C$337=D1395),0),
   F1395)</f>
        <v>Melaporkan kegagalan tim secara terbuka dan cepat, menarik pembelajaran tanpa menyalahkan individu.</v>
      </c>
    </row>
    <row r="1396" spans="1:7">
      <c r="A1396" t="str">
        <f t="shared" si="21"/>
        <v>Team Work|Department Head|3|5</v>
      </c>
      <c r="B1396" t="str">
        <v>Team Work</v>
      </c>
      <c r="C1396" t="str">
        <v>Department Head</v>
      </c>
      <c r="D1396" s="76">
        <v>3</v>
      </c>
      <c r="E1396" t="str" cm="1">
        <f t="array" ref="E1396">INDEX(aspek!$D$2:$D$337,
   MATCH(1,(aspek!$A$2:$A$337=B1396)*
           (aspek!$B$2:$B$337=C1396)*
           (aspek!$C$2:$C$337=D1396),0))</f>
        <v>Pengelolaan kegagalan tim tanpa kambing hitam</v>
      </c>
      <c r="F1396" s="76">
        <v>5</v>
      </c>
      <c r="G1396" s="56" t="str" cm="1">
        <f t="array" ref="G1396">INDEX(deskripsi!$D$2:$H$337,
   MATCH(1,(deskripsi!$A$2:$A$337=B1396)*
           (deskripsi!$B$2:$B$337=C1396)*
           (deskripsi!$C$2:$C$337=D1396),0),
   F1396)</f>
        <v>Kegagalan tim menjadi bahan pembelajaran yang dibagikan sukarela ke unit lain.</v>
      </c>
    </row>
    <row r="1397" spans="1:7">
      <c r="A1397" t="str">
        <f t="shared" si="21"/>
        <v>Team Work|Department Head|4|1</v>
      </c>
      <c r="B1397" t="str">
        <v>Team Work</v>
      </c>
      <c r="C1397" t="str">
        <v>Department Head</v>
      </c>
      <c r="D1397" s="76">
        <v>4</v>
      </c>
      <c r="E1397" t="str" cm="1">
        <f t="array" ref="E1397">INDEX(aspek!$D$2:$D$337,
   MATCH(1,(aspek!$A$2:$A$337=B1397)*
           (aspek!$B$2:$B$337=C1397)*
           (aspek!$C$2:$C$337=D1397),0))</f>
        <v>Mendorong gagasan menjadi eksperimen</v>
      </c>
      <c r="F1397" s="76">
        <v>1</v>
      </c>
      <c r="G1397" s="56" t="str" cm="1">
        <f t="array" ref="G1397">INDEX(deskripsi!$D$2:$H$337,
   MATCH(1,(deskripsi!$A$2:$A$337=B1397)*
           (deskripsi!$B$2:$B$337=C1397)*
           (deskripsi!$C$2:$C$337=D1397),0),
   F1397)</f>
        <v>Tidak mendorong anggota tim mengusulkan gagasan.</v>
      </c>
    </row>
    <row r="1398" spans="1:7">
      <c r="A1398" t="str">
        <f t="shared" si="21"/>
        <v>Team Work|Department Head|4|2</v>
      </c>
      <c r="B1398" t="str">
        <v>Team Work</v>
      </c>
      <c r="C1398" t="str">
        <v>Department Head</v>
      </c>
      <c r="D1398" s="76">
        <v>4</v>
      </c>
      <c r="E1398" t="str" cm="1">
        <f t="array" ref="E1398">INDEX(aspek!$D$2:$D$337,
   MATCH(1,(aspek!$A$2:$A$337=B1398)*
           (aspek!$B$2:$B$337=C1398)*
           (aspek!$C$2:$C$337=D1398),0))</f>
        <v>Mendorong gagasan menjadi eksperimen</v>
      </c>
      <c r="F1398" s="76">
        <v>2</v>
      </c>
      <c r="G1398" s="56" t="str" cm="1">
        <f t="array" ref="G1398">INDEX(deskripsi!$D$2:$H$337,
   MATCH(1,(deskripsi!$A$2:$A$337=B1398)*
           (deskripsi!$B$2:$B$337=C1398)*
           (deskripsi!$C$2:$C$337=D1398),0),
   F1398)</f>
        <v>Mendorong mengusulkan, tetapi berhenti di situ — gagasan tidak pernah dicoba.</v>
      </c>
    </row>
    <row r="1399" spans="1:7">
      <c r="A1399" t="str">
        <f t="shared" si="21"/>
        <v>Team Work|Department Head|4|3</v>
      </c>
      <c r="B1399" t="str">
        <v>Team Work</v>
      </c>
      <c r="C1399" t="str">
        <v>Department Head</v>
      </c>
      <c r="D1399" s="76">
        <v>4</v>
      </c>
      <c r="E1399" t="str" cm="1">
        <f t="array" ref="E1399">INDEX(aspek!$D$2:$D$337,
   MATCH(1,(aspek!$A$2:$A$337=B1399)*
           (aspek!$B$2:$B$337=C1399)*
           (aspek!$C$2:$C$337=D1399),0))</f>
        <v>Mendorong gagasan menjadi eksperimen</v>
      </c>
      <c r="F1399" s="76">
        <v>3</v>
      </c>
      <c r="G1399" s="56" t="str" cm="1">
        <f t="array" ref="G1399">INDEX(deskripsi!$D$2:$H$337,
   MATCH(1,(deskripsi!$A$2:$A$337=B1399)*
           (deskripsi!$B$2:$B$337=C1399)*
           (deskripsi!$C$2:$C$337=D1399),0),
   F1399)</f>
        <v>Sesekali mendorong gagasan sampai dicoba.</v>
      </c>
    </row>
    <row r="1400" spans="1:7">
      <c r="A1400" t="str">
        <f t="shared" si="21"/>
        <v>Team Work|Department Head|4|4</v>
      </c>
      <c r="B1400" t="str">
        <v>Team Work</v>
      </c>
      <c r="C1400" t="str">
        <v>Department Head</v>
      </c>
      <c r="D1400" s="76">
        <v>4</v>
      </c>
      <c r="E1400" t="str" cm="1">
        <f t="array" ref="E1400">INDEX(aspek!$D$2:$D$337,
   MATCH(1,(aspek!$A$2:$A$337=B1400)*
           (aspek!$B$2:$B$337=C1400)*
           (aspek!$C$2:$C$337=D1400),0))</f>
        <v>Mendorong gagasan menjadi eksperimen</v>
      </c>
      <c r="F1400" s="76">
        <v>4</v>
      </c>
      <c r="G1400" s="56" t="str" cm="1">
        <f t="array" ref="G1400">INDEX(deskripsi!$D$2:$H$337,
   MATCH(1,(deskripsi!$A$2:$A$337=B1400)*
           (deskripsi!$B$2:$B$337=C1400)*
           (deskripsi!$C$2:$C$337=D1400),0),
   F1400)</f>
        <v>Secara aktif mendampingi anggota tim mengusulkan DAN mencoba gagasannya sendiri, dengan risiko terukur.</v>
      </c>
    </row>
    <row r="1401" spans="1:7">
      <c r="A1401" t="str">
        <f t="shared" si="21"/>
        <v>Team Work|Department Head|4|5</v>
      </c>
      <c r="B1401" t="str">
        <v>Team Work</v>
      </c>
      <c r="C1401" t="str">
        <v>Department Head</v>
      </c>
      <c r="D1401" s="76">
        <v>4</v>
      </c>
      <c r="E1401" t="str" cm="1">
        <f t="array" ref="E1401">INDEX(aspek!$D$2:$D$337,
   MATCH(1,(aspek!$A$2:$A$337=B1401)*
           (aspek!$B$2:$B$337=C1401)*
           (aspek!$C$2:$C$337=D1401),0))</f>
        <v>Mendorong gagasan menjadi eksperimen</v>
      </c>
      <c r="F1401" s="76">
        <v>5</v>
      </c>
      <c r="G1401" s="56" t="str" cm="1">
        <f t="array" ref="G1401">INDEX(deskripsi!$D$2:$H$337,
   MATCH(1,(deskripsi!$A$2:$A$337=B1401)*
           (deskripsi!$B$2:$B$337=C1401)*
           (deskripsi!$C$2:$C$337=D1401),0),
   F1401)</f>
        <v>Tim secara mandiri mengusulkan dan mencoba gagasan tanpa perlu didorong.</v>
      </c>
    </row>
    <row r="1402" spans="1:7">
      <c r="A1402" t="str">
        <f t="shared" si="21"/>
        <v>Team Work|Division Head|1|1</v>
      </c>
      <c r="B1402" t="str">
        <v>Team Work</v>
      </c>
      <c r="C1402" t="str">
        <v>Division Head</v>
      </c>
      <c r="D1402" s="76">
        <v>1</v>
      </c>
      <c r="E1402" t="str" cm="1">
        <f t="array" ref="E1402">INDEX(aspek!$D$2:$D$337,
   MATCH(1,(aspek!$A$2:$A$337=B1402)*
           (aspek!$B$2:$B$337=C1402)*
           (aspek!$C$2:$C$337=D1402),0))</f>
        <v>Keberlanjutan relasi</v>
      </c>
      <c r="F1402" s="76">
        <v>1</v>
      </c>
      <c r="G1402" s="56" t="str" cm="1">
        <f t="array" ref="G1402">INDEX(deskripsi!$D$2:$H$337,
   MATCH(1,(deskripsi!$A$2:$A$337=B1402)*
           (deskripsi!$B$2:$B$337=C1402)*
           (deskripsi!$C$2:$C$337=D1402),0),
   F1402)</f>
        <v>Berhubungan hanya ketika ada kebutuhan mendesak.</v>
      </c>
    </row>
    <row r="1403" spans="1:7">
      <c r="A1403" t="str">
        <f t="shared" si="21"/>
        <v>Team Work|Division Head|1|2</v>
      </c>
      <c r="B1403" t="str">
        <v>Team Work</v>
      </c>
      <c r="C1403" t="str">
        <v>Division Head</v>
      </c>
      <c r="D1403" s="76">
        <v>1</v>
      </c>
      <c r="E1403" t="str" cm="1">
        <f t="array" ref="E1403">INDEX(aspek!$D$2:$D$337,
   MATCH(1,(aspek!$A$2:$A$337=B1403)*
           (aspek!$B$2:$B$337=C1403)*
           (aspek!$C$2:$C$337=D1403),0))</f>
        <v>Keberlanjutan relasi</v>
      </c>
      <c r="F1403" s="76">
        <v>2</v>
      </c>
      <c r="G1403" s="56" t="str" cm="1">
        <f t="array" ref="G1403">INDEX(deskripsi!$D$2:$H$337,
   MATCH(1,(deskripsi!$A$2:$A$337=B1403)*
           (deskripsi!$B$2:$B$337=C1403)*
           (deskripsi!$C$2:$C$337=D1403),0),
   F1403)</f>
        <v>Menjaga hubungan menjelang momen penting saja.</v>
      </c>
    </row>
    <row r="1404" spans="1:7">
      <c r="A1404" t="str">
        <f t="shared" si="21"/>
        <v>Team Work|Division Head|1|3</v>
      </c>
      <c r="B1404" t="str">
        <v>Team Work</v>
      </c>
      <c r="C1404" t="str">
        <v>Division Head</v>
      </c>
      <c r="D1404" s="76">
        <v>1</v>
      </c>
      <c r="E1404" t="str" cm="1">
        <f t="array" ref="E1404">INDEX(aspek!$D$2:$D$337,
   MATCH(1,(aspek!$A$2:$A$337=B1404)*
           (aspek!$B$2:$B$337=C1404)*
           (aspek!$C$2:$C$337=D1404),0))</f>
        <v>Keberlanjutan relasi</v>
      </c>
      <c r="F1404" s="76">
        <v>3</v>
      </c>
      <c r="G1404" s="56" t="str" cm="1">
        <f t="array" ref="G1404">INDEX(deskripsi!$D$2:$H$337,
   MATCH(1,(deskripsi!$A$2:$A$337=B1404)*
           (deskripsi!$B$2:$B$337=C1404)*
           (deskripsi!$C$2:$C$337=D1404),0),
   F1404)</f>
        <v>Menjaga hubungan baik selama satu proyek berlangsung.</v>
      </c>
    </row>
    <row r="1405" spans="1:7">
      <c r="A1405" t="str">
        <f t="shared" si="21"/>
        <v>Team Work|Division Head|1|4</v>
      </c>
      <c r="B1405" t="str">
        <v>Team Work</v>
      </c>
      <c r="C1405" t="str">
        <v>Division Head</v>
      </c>
      <c r="D1405" s="76">
        <v>1</v>
      </c>
      <c r="E1405" t="str" cm="1">
        <f t="array" ref="E1405">INDEX(aspek!$D$2:$D$337,
   MATCH(1,(aspek!$A$2:$A$337=B1405)*
           (aspek!$B$2:$B$337=C1405)*
           (aspek!$C$2:$C$337=D1405),0))</f>
        <v>Keberlanjutan relasi</v>
      </c>
      <c r="F1405" s="76">
        <v>4</v>
      </c>
      <c r="G1405" s="56" t="str" cm="1">
        <f t="array" ref="G1405">INDEX(deskripsi!$D$2:$H$337,
   MATCH(1,(deskripsi!$A$2:$A$337=B1405)*
           (deskripsi!$B$2:$B$337=C1405)*
           (deskripsi!$C$2:$C$337=D1405),0),
   F1405)</f>
        <v>Mengelola hubungan sebagai portofolio lintas waktu, menilai keberhasilan dari kelangsungan kerja sama.</v>
      </c>
    </row>
    <row r="1406" spans="1:7">
      <c r="A1406" t="str">
        <f t="shared" si="21"/>
        <v>Team Work|Division Head|1|5</v>
      </c>
      <c r="B1406" t="str">
        <v>Team Work</v>
      </c>
      <c r="C1406" t="str">
        <v>Division Head</v>
      </c>
      <c r="D1406" s="76">
        <v>1</v>
      </c>
      <c r="E1406" t="str" cm="1">
        <f t="array" ref="E1406">INDEX(aspek!$D$2:$D$337,
   MATCH(1,(aspek!$A$2:$A$337=B1406)*
           (aspek!$B$2:$B$337=C1406)*
           (aspek!$C$2:$C$337=D1406),0))</f>
        <v>Keberlanjutan relasi</v>
      </c>
      <c r="F1406" s="76">
        <v>5</v>
      </c>
      <c r="G1406" s="56" t="str" cm="1">
        <f t="array" ref="G1406">INDEX(deskripsi!$D$2:$H$337,
   MATCH(1,(deskripsi!$A$2:$A$337=B1406)*
           (deskripsi!$B$2:$B$337=C1406)*
           (deskripsi!$C$2:$C$337=D1406),0),
   F1406)</f>
        <v>Hubungan bertahan melampaui pergantian orang di kedua pihak.</v>
      </c>
    </row>
    <row r="1407" spans="1:7">
      <c r="A1407" t="str">
        <f t="shared" si="21"/>
        <v>Team Work|Division Head|2|1</v>
      </c>
      <c r="B1407" t="str">
        <v>Team Work</v>
      </c>
      <c r="C1407" t="str">
        <v>Division Head</v>
      </c>
      <c r="D1407" s="76">
        <v>2</v>
      </c>
      <c r="E1407" t="str" cm="1">
        <f t="array" ref="E1407">INDEX(aspek!$D$2:$D$337,
   MATCH(1,(aspek!$A$2:$A$337=B1407)*
           (aspek!$B$2:$B$337=C1407)*
           (aspek!$C$2:$C$337=D1407),0))</f>
        <v>Penyesuaian pendekatan per stakeholder</v>
      </c>
      <c r="F1407" s="76">
        <v>1</v>
      </c>
      <c r="G1407" s="56" t="str" cm="1">
        <f t="array" ref="G1407">INDEX(deskripsi!$D$2:$H$337,
   MATCH(1,(deskripsi!$A$2:$A$337=B1407)*
           (deskripsi!$B$2:$B$337=C1407)*
           (deskripsi!$C$2:$C$337=D1407),0),
   F1407)</f>
        <v>Memperlakukan semua stakeholder dengan cara yang sama.</v>
      </c>
    </row>
    <row r="1408" spans="1:7">
      <c r="A1408" t="str">
        <f t="shared" si="21"/>
        <v>Team Work|Division Head|2|2</v>
      </c>
      <c r="B1408" t="str">
        <v>Team Work</v>
      </c>
      <c r="C1408" t="str">
        <v>Division Head</v>
      </c>
      <c r="D1408" s="76">
        <v>2</v>
      </c>
      <c r="E1408" t="str" cm="1">
        <f t="array" ref="E1408">INDEX(aspek!$D$2:$D$337,
   MATCH(1,(aspek!$A$2:$A$337=B1408)*
           (aspek!$B$2:$B$337=C1408)*
           (aspek!$C$2:$C$337=D1408),0))</f>
        <v>Penyesuaian pendekatan per stakeholder</v>
      </c>
      <c r="F1408" s="76">
        <v>2</v>
      </c>
      <c r="G1408" s="56" t="str" cm="1">
        <f t="array" ref="G1408">INDEX(deskripsi!$D$2:$H$337,
   MATCH(1,(deskripsi!$A$2:$A$337=B1408)*
           (deskripsi!$B$2:$B$337=C1408)*
           (deskripsi!$C$2:$C$337=D1408),0),
   F1408)</f>
        <v>Membedakan pendekatan berdasarkan besar-kecilnya kepentingan.</v>
      </c>
    </row>
    <row r="1409" spans="1:7">
      <c r="A1409" t="str">
        <f t="shared" si="21"/>
        <v>Team Work|Division Head|2|3</v>
      </c>
      <c r="B1409" t="str">
        <v>Team Work</v>
      </c>
      <c r="C1409" t="str">
        <v>Division Head</v>
      </c>
      <c r="D1409" s="76">
        <v>2</v>
      </c>
      <c r="E1409" t="str" cm="1">
        <f t="array" ref="E1409">INDEX(aspek!$D$2:$D$337,
   MATCH(1,(aspek!$A$2:$A$337=B1409)*
           (aspek!$B$2:$B$337=C1409)*
           (aspek!$C$2:$C$337=D1409),0))</f>
        <v>Penyesuaian pendekatan per stakeholder</v>
      </c>
      <c r="F1409" s="76">
        <v>3</v>
      </c>
      <c r="G1409" s="56" t="str" cm="1">
        <f t="array" ref="G1409">INDEX(deskripsi!$D$2:$H$337,
   MATCH(1,(deskripsi!$A$2:$A$337=B1409)*
           (deskripsi!$B$2:$B$337=C1409)*
           (deskripsi!$C$2:$C$337=D1409),0),
   F1409)</f>
        <v>Menyesuaikan gaya komunikasi berdasarkan pengalaman sebelumnya.</v>
      </c>
    </row>
    <row r="1410" spans="1:7">
      <c r="A1410" t="str">
        <f t="shared" si="21"/>
        <v>Team Work|Division Head|2|4</v>
      </c>
      <c r="B1410" t="str">
        <v>Team Work</v>
      </c>
      <c r="C1410" t="str">
        <v>Division Head</v>
      </c>
      <c r="D1410" s="76">
        <v>2</v>
      </c>
      <c r="E1410" t="str" cm="1">
        <f t="array" ref="E1410">INDEX(aspek!$D$2:$D$337,
   MATCH(1,(aspek!$A$2:$A$337=B1410)*
           (aspek!$B$2:$B$337=C1410)*
           (aspek!$C$2:$C$337=D1410),0))</f>
        <v>Penyesuaian pendekatan per stakeholder</v>
      </c>
      <c r="F1410" s="76">
        <v>4</v>
      </c>
      <c r="G1410" s="56" t="str" cm="1">
        <f t="array" ref="G1410">INDEX(deskripsi!$D$2:$H$337,
   MATCH(1,(deskripsi!$A$2:$A$337=B1410)*
           (deskripsi!$B$2:$B$337=C1410)*
           (deskripsi!$C$2:$C$337=D1410),0),
   F1410)</f>
        <v>Menyesuaikan pendekatan berdasarkan analisis sumber kesulitan struktural masing-masing.</v>
      </c>
    </row>
    <row r="1411" spans="1:7">
      <c r="A1411" t="str">
        <f t="shared" ref="A1411:A1474" si="22">B1411&amp;"|"&amp;C1411&amp;"|"&amp;D1411&amp;"|"&amp;F1411</f>
        <v>Team Work|Division Head|2|5</v>
      </c>
      <c r="B1411" t="str">
        <v>Team Work</v>
      </c>
      <c r="C1411" t="str">
        <v>Division Head</v>
      </c>
      <c r="D1411" s="76">
        <v>2</v>
      </c>
      <c r="E1411" t="str" cm="1">
        <f t="array" ref="E1411">INDEX(aspek!$D$2:$D$337,
   MATCH(1,(aspek!$A$2:$A$337=B1411)*
           (aspek!$B$2:$B$337=C1411)*
           (aspek!$C$2:$C$337=D1411),0))</f>
        <v>Penyesuaian pendekatan per stakeholder</v>
      </c>
      <c r="F1411" s="76">
        <v>5</v>
      </c>
      <c r="G1411" s="56" t="str" cm="1">
        <f t="array" ref="G1411">INDEX(deskripsi!$D$2:$H$337,
   MATCH(1,(deskripsi!$A$2:$A$337=B1411)*
           (deskripsi!$B$2:$B$337=C1411)*
           (deskripsi!$C$2:$C$337=D1411),0),
   F1411)</f>
        <v>Mampu menjelaskan kepada orang lain mengapa satu stakeholder perlu didekati dengan cara tertentu.</v>
      </c>
    </row>
    <row r="1412" spans="1:7">
      <c r="A1412" t="str">
        <f t="shared" si="22"/>
        <v>Team Work|Division Head|3|1</v>
      </c>
      <c r="B1412" t="str">
        <v>Team Work</v>
      </c>
      <c r="C1412" t="str">
        <v>Division Head</v>
      </c>
      <c r="D1412" s="76">
        <v>3</v>
      </c>
      <c r="E1412" t="str" cm="1">
        <f t="array" ref="E1412">INDEX(aspek!$D$2:$D$337,
   MATCH(1,(aspek!$A$2:$A$337=B1412)*
           (aspek!$B$2:$B$337=C1412)*
           (aspek!$C$2:$C$337=D1412),0))</f>
        <v>Pencarian titik temu</v>
      </c>
      <c r="F1412" s="76">
        <v>1</v>
      </c>
      <c r="G1412" s="56" t="str" cm="1">
        <f t="array" ref="G1412">INDEX(deskripsi!$D$2:$H$337,
   MATCH(1,(deskripsi!$A$2:$A$337=B1412)*
           (deskripsi!$B$2:$B$337=C1412)*
           (deskripsi!$C$2:$C$337=D1412),0),
   F1412)</f>
        <v>Memaksakan kepentingannya sendiri dalam setiap interaksi.</v>
      </c>
    </row>
    <row r="1413" spans="1:7">
      <c r="A1413" t="str">
        <f t="shared" si="22"/>
        <v>Team Work|Division Head|3|2</v>
      </c>
      <c r="B1413" t="str">
        <v>Team Work</v>
      </c>
      <c r="C1413" t="str">
        <v>Division Head</v>
      </c>
      <c r="D1413" s="76">
        <v>3</v>
      </c>
      <c r="E1413" t="str" cm="1">
        <f t="array" ref="E1413">INDEX(aspek!$D$2:$D$337,
   MATCH(1,(aspek!$A$2:$A$337=B1413)*
           (aspek!$B$2:$B$337=C1413)*
           (aspek!$C$2:$C$337=D1413),0))</f>
        <v>Pencarian titik temu</v>
      </c>
      <c r="F1413" s="76">
        <v>2</v>
      </c>
      <c r="G1413" s="56" t="str" cm="1">
        <f t="array" ref="G1413">INDEX(deskripsi!$D$2:$H$337,
   MATCH(1,(deskripsi!$A$2:$A$337=B1413)*
           (deskripsi!$B$2:$B$337=C1413)*
           (deskripsi!$C$2:$C$337=D1413),0),
   F1413)</f>
        <v>Mengalah untuk menghindari konflik.</v>
      </c>
    </row>
    <row r="1414" spans="1:7">
      <c r="A1414" t="str">
        <f t="shared" si="22"/>
        <v>Team Work|Division Head|3|3</v>
      </c>
      <c r="B1414" t="str">
        <v>Team Work</v>
      </c>
      <c r="C1414" t="str">
        <v>Division Head</v>
      </c>
      <c r="D1414" s="76">
        <v>3</v>
      </c>
      <c r="E1414" t="str" cm="1">
        <f t="array" ref="E1414">INDEX(aspek!$D$2:$D$337,
   MATCH(1,(aspek!$A$2:$A$337=B1414)*
           (aspek!$B$2:$B$337=C1414)*
           (aspek!$C$2:$C$337=D1414),0))</f>
        <v>Pencarian titik temu</v>
      </c>
      <c r="F1414" s="76">
        <v>3</v>
      </c>
      <c r="G1414" s="56" t="str" cm="1">
        <f t="array" ref="G1414">INDEX(deskripsi!$D$2:$H$337,
   MATCH(1,(deskripsi!$A$2:$A$337=B1414)*
           (deskripsi!$B$2:$B$337=C1414)*
           (deskripsi!$C$2:$C$337=D1414),0),
   F1414)</f>
        <v>Mencari jalan tengah dengan membagi selisih.</v>
      </c>
    </row>
    <row r="1415" spans="1:7">
      <c r="A1415" t="str">
        <f t="shared" si="22"/>
        <v>Team Work|Division Head|3|4</v>
      </c>
      <c r="B1415" t="str">
        <v>Team Work</v>
      </c>
      <c r="C1415" t="str">
        <v>Division Head</v>
      </c>
      <c r="D1415" s="76">
        <v>3</v>
      </c>
      <c r="E1415" t="str" cm="1">
        <f t="array" ref="E1415">INDEX(aspek!$D$2:$D$337,
   MATCH(1,(aspek!$A$2:$A$337=B1415)*
           (aspek!$B$2:$B$337=C1415)*
           (aspek!$C$2:$C$337=D1415),0))</f>
        <v>Pencarian titik temu</v>
      </c>
      <c r="F1415" s="76">
        <v>4</v>
      </c>
      <c r="G1415" s="56" t="str" cm="1">
        <f t="array" ref="G1415">INDEX(deskripsi!$D$2:$H$337,
   MATCH(1,(deskripsi!$A$2:$A$337=B1415)*
           (deskripsi!$B$2:$B$337=C1415)*
           (deskripsi!$C$2:$C$337=D1415),0),
   F1415)</f>
        <v>Menganalisis kepentingan pokok kedua pihak dan menyusun opsi yang menambah nilai bagi keduanya.</v>
      </c>
    </row>
    <row r="1416" spans="1:7">
      <c r="A1416" t="str">
        <f t="shared" si="22"/>
        <v>Team Work|Division Head|3|5</v>
      </c>
      <c r="B1416" t="str">
        <v>Team Work</v>
      </c>
      <c r="C1416" t="str">
        <v>Division Head</v>
      </c>
      <c r="D1416" s="76">
        <v>3</v>
      </c>
      <c r="E1416" t="str" cm="1">
        <f t="array" ref="E1416">INDEX(aspek!$D$2:$D$337,
   MATCH(1,(aspek!$A$2:$A$337=B1416)*
           (aspek!$B$2:$B$337=C1416)*
           (aspek!$C$2:$C$337=D1416),0))</f>
        <v>Pencarian titik temu</v>
      </c>
      <c r="F1416" s="76">
        <v>5</v>
      </c>
      <c r="G1416" s="56" t="str" cm="1">
        <f t="array" ref="G1416">INDEX(deskripsi!$D$2:$H$337,
   MATCH(1,(deskripsi!$A$2:$A$337=B1416)*
           (deskripsi!$B$2:$B$337=C1416)*
           (deskripsi!$C$2:$C$337=D1416),0),
   F1416)</f>
        <v>Titik temu yang ditemukan menjadi model kerja sama jangka panjang antar unit.</v>
      </c>
    </row>
    <row r="1417" spans="1:7">
      <c r="A1417" t="str">
        <f t="shared" si="22"/>
        <v>Team Work|Division Head|4|1</v>
      </c>
      <c r="B1417" t="str">
        <v>Team Work</v>
      </c>
      <c r="C1417" t="str">
        <v>Division Head</v>
      </c>
      <c r="D1417" s="76">
        <v>4</v>
      </c>
      <c r="E1417" t="str" cm="1">
        <f t="array" ref="E1417">INDEX(aspek!$D$2:$D$337,
   MATCH(1,(aspek!$A$2:$A$337=B1417)*
           (aspek!$B$2:$B$337=C1417)*
           (aspek!$C$2:$C$337=D1417),0))</f>
        <v>Ketahanan relasi terhadap pergantian orang</v>
      </c>
      <c r="F1417" s="76">
        <v>1</v>
      </c>
      <c r="G1417" s="56" t="str" cm="1">
        <f t="array" ref="G1417">INDEX(deskripsi!$D$2:$H$337,
   MATCH(1,(deskripsi!$A$2:$A$337=B1417)*
           (deskripsi!$B$2:$B$337=C1417)*
           (deskripsi!$C$2:$C$337=D1417),0),
   F1417)</f>
        <v>Relasi berhenti ketika salah satu pihak berganti peran.</v>
      </c>
    </row>
    <row r="1418" spans="1:7">
      <c r="A1418" t="str">
        <f t="shared" si="22"/>
        <v>Team Work|Division Head|4|2</v>
      </c>
      <c r="B1418" t="str">
        <v>Team Work</v>
      </c>
      <c r="C1418" t="str">
        <v>Division Head</v>
      </c>
      <c r="D1418" s="76">
        <v>4</v>
      </c>
      <c r="E1418" t="str" cm="1">
        <f t="array" ref="E1418">INDEX(aspek!$D$2:$D$337,
   MATCH(1,(aspek!$A$2:$A$337=B1418)*
           (aspek!$B$2:$B$337=C1418)*
           (aspek!$C$2:$C$337=D1418),0))</f>
        <v>Ketahanan relasi terhadap pergantian orang</v>
      </c>
      <c r="F1418" s="76">
        <v>2</v>
      </c>
      <c r="G1418" s="56" t="str" cm="1">
        <f t="array" ref="G1418">INDEX(deskripsi!$D$2:$H$337,
   MATCH(1,(deskripsi!$A$2:$A$337=B1418)*
           (deskripsi!$B$2:$B$337=C1418)*
           (deskripsi!$C$2:$C$337=D1418),0),
   F1418)</f>
        <v>Relasi perlu dibangun ulang dari nol setelah pergantian.</v>
      </c>
    </row>
    <row r="1419" spans="1:7">
      <c r="A1419" t="str">
        <f t="shared" si="22"/>
        <v>Team Work|Division Head|4|3</v>
      </c>
      <c r="B1419" t="str">
        <v>Team Work</v>
      </c>
      <c r="C1419" t="str">
        <v>Division Head</v>
      </c>
      <c r="D1419" s="76">
        <v>4</v>
      </c>
      <c r="E1419" t="str" cm="1">
        <f t="array" ref="E1419">INDEX(aspek!$D$2:$D$337,
   MATCH(1,(aspek!$A$2:$A$337=B1419)*
           (aspek!$B$2:$B$337=C1419)*
           (aspek!$C$2:$C$337=D1419),0))</f>
        <v>Ketahanan relasi terhadap pergantian orang</v>
      </c>
      <c r="F1419" s="76">
        <v>3</v>
      </c>
      <c r="G1419" s="56" t="str" cm="1">
        <f t="array" ref="G1419">INDEX(deskripsi!$D$2:$H$337,
   MATCH(1,(deskripsi!$A$2:$A$337=B1419)*
           (deskripsi!$B$2:$B$337=C1419)*
           (deskripsi!$C$2:$C$337=D1419),0),
   F1419)</f>
        <v>Sebagian elemen relasi terbawa ke pihak yang baru.</v>
      </c>
    </row>
    <row r="1420" spans="1:7">
      <c r="A1420" t="str">
        <f t="shared" si="22"/>
        <v>Team Work|Division Head|4|4</v>
      </c>
      <c r="B1420" t="str">
        <v>Team Work</v>
      </c>
      <c r="C1420" t="str">
        <v>Division Head</v>
      </c>
      <c r="D1420" s="76">
        <v>4</v>
      </c>
      <c r="E1420" t="str" cm="1">
        <f t="array" ref="E1420">INDEX(aspek!$D$2:$D$337,
   MATCH(1,(aspek!$A$2:$A$337=B1420)*
           (aspek!$B$2:$B$337=C1420)*
           (aspek!$C$2:$C$337=D1420),0))</f>
        <v>Ketahanan relasi terhadap pergantian orang</v>
      </c>
      <c r="F1420" s="76">
        <v>4</v>
      </c>
      <c r="G1420" s="56" t="str" cm="1">
        <f t="array" ref="G1420">INDEX(deskripsi!$D$2:$H$337,
   MATCH(1,(deskripsi!$A$2:$A$337=B1420)*
           (deskripsi!$B$2:$B$337=C1420)*
           (deskripsi!$C$2:$C$337=D1420),0),
   F1420)</f>
        <v>Relasi dan kerja sama tetap berjalan produktif meski terjadi pergantian peran di salah satu pihak.</v>
      </c>
    </row>
    <row r="1421" spans="1:7">
      <c r="A1421" t="str">
        <f t="shared" si="22"/>
        <v>Team Work|Division Head|4|5</v>
      </c>
      <c r="B1421" t="str">
        <v>Team Work</v>
      </c>
      <c r="C1421" t="str">
        <v>Division Head</v>
      </c>
      <c r="D1421" s="76">
        <v>4</v>
      </c>
      <c r="E1421" t="str" cm="1">
        <f t="array" ref="E1421">INDEX(aspek!$D$2:$D$337,
   MATCH(1,(aspek!$A$2:$A$337=B1421)*
           (aspek!$B$2:$B$337=C1421)*
           (aspek!$C$2:$C$337=D1421),0))</f>
        <v>Ketahanan relasi terhadap pergantian orang</v>
      </c>
      <c r="F1421" s="76">
        <v>5</v>
      </c>
      <c r="G1421" s="56" t="str" cm="1">
        <f t="array" ref="G1421">INDEX(deskripsi!$D$2:$H$337,
   MATCH(1,(deskripsi!$A$2:$A$337=B1421)*
           (deskripsi!$B$2:$B$337=C1421)*
           (deskripsi!$C$2:$C$337=D1421),0),
   F1421)</f>
        <v>Relasi itu melembaga menjadi hubungan antar unit, tidak lagi bergantung pada individu tertentu.</v>
      </c>
    </row>
    <row r="1422" spans="1:7">
      <c r="A1422" t="str">
        <f t="shared" si="22"/>
        <v>Team Work|Director|1|1</v>
      </c>
      <c r="B1422" t="str">
        <v>Team Work</v>
      </c>
      <c r="C1422" t="str">
        <v>Director</v>
      </c>
      <c r="D1422" s="76">
        <v>1</v>
      </c>
      <c r="E1422" t="str" cm="1">
        <f t="array" ref="E1422">INDEX(aspek!$D$2:$D$337,
   MATCH(1,(aspek!$A$2:$A$337=B1422)*
           (aspek!$B$2:$B$337=C1422)*
           (aspek!$C$2:$C$337=D1422),0))</f>
        <v>Netralitas yang dipersepsikan</v>
      </c>
      <c r="F1422" s="76">
        <v>1</v>
      </c>
      <c r="G1422" s="56" t="str" cm="1">
        <f t="array" ref="G1422">INDEX(deskripsi!$D$2:$H$337,
   MATCH(1,(deskripsi!$A$2:$A$337=B1422)*
           (deskripsi!$B$2:$B$337=C1422)*
           (deskripsi!$C$2:$C$337=D1422),0),
   F1422)</f>
        <v>Dianggap berpihak oleh salah satu atau kedua pihak yang berkonflik.</v>
      </c>
    </row>
    <row r="1423" spans="1:7">
      <c r="A1423" t="str">
        <f t="shared" si="22"/>
        <v>Team Work|Director|1|2</v>
      </c>
      <c r="B1423" t="str">
        <v>Team Work</v>
      </c>
      <c r="C1423" t="str">
        <v>Director</v>
      </c>
      <c r="D1423" s="76">
        <v>1</v>
      </c>
      <c r="E1423" t="str" cm="1">
        <f t="array" ref="E1423">INDEX(aspek!$D$2:$D$337,
   MATCH(1,(aspek!$A$2:$A$337=B1423)*
           (aspek!$B$2:$B$337=C1423)*
           (aspek!$C$2:$C$337=D1423),0))</f>
        <v>Netralitas yang dipersepsikan</v>
      </c>
      <c r="F1423" s="76">
        <v>2</v>
      </c>
      <c r="G1423" s="56" t="str" cm="1">
        <f t="array" ref="G1423">INDEX(deskripsi!$D$2:$H$337,
   MATCH(1,(deskripsi!$A$2:$A$337=B1423)*
           (deskripsi!$B$2:$B$337=C1423)*
           (deskripsi!$C$2:$C$337=D1423),0),
   F1423)</f>
        <v>Dipercaya oleh sebagian pihak saja.</v>
      </c>
    </row>
    <row r="1424" spans="1:7">
      <c r="A1424" t="str">
        <f t="shared" si="22"/>
        <v>Team Work|Director|1|3</v>
      </c>
      <c r="B1424" t="str">
        <v>Team Work</v>
      </c>
      <c r="C1424" t="str">
        <v>Director</v>
      </c>
      <c r="D1424" s="76">
        <v>1</v>
      </c>
      <c r="E1424" t="str" cm="1">
        <f t="array" ref="E1424">INDEX(aspek!$D$2:$D$337,
   MATCH(1,(aspek!$A$2:$A$337=B1424)*
           (aspek!$B$2:$B$337=C1424)*
           (aspek!$C$2:$C$337=D1424),0))</f>
        <v>Netralitas yang dipersepsikan</v>
      </c>
      <c r="F1424" s="76">
        <v>3</v>
      </c>
      <c r="G1424" s="56" t="str" cm="1">
        <f t="array" ref="G1424">INDEX(deskripsi!$D$2:$H$337,
   MATCH(1,(deskripsi!$A$2:$A$337=B1424)*
           (deskripsi!$B$2:$B$337=C1424)*
           (deskripsi!$C$2:$C$337=D1424),0),
   F1424)</f>
        <v>Dipercaya kedua pihak pada konflik yang sederhana.</v>
      </c>
    </row>
    <row r="1425" spans="1:7">
      <c r="A1425" t="str">
        <f t="shared" si="22"/>
        <v>Team Work|Director|1|4</v>
      </c>
      <c r="B1425" t="str">
        <v>Team Work</v>
      </c>
      <c r="C1425" t="str">
        <v>Director</v>
      </c>
      <c r="D1425" s="76">
        <v>1</v>
      </c>
      <c r="E1425" t="str" cm="1">
        <f t="array" ref="E1425">INDEX(aspek!$D$2:$D$337,
   MATCH(1,(aspek!$A$2:$A$337=B1425)*
           (aspek!$B$2:$B$337=C1425)*
           (aspek!$C$2:$C$337=D1425),0))</f>
        <v>Netralitas yang dipersepsikan</v>
      </c>
      <c r="F1425" s="76">
        <v>4</v>
      </c>
      <c r="G1425" s="56" t="str" cm="1">
        <f t="array" ref="G1425">INDEX(deskripsi!$D$2:$H$337,
   MATCH(1,(deskripsi!$A$2:$A$337=B1425)*
           (deskripsi!$B$2:$B$337=C1425)*
           (deskripsi!$C$2:$C$337=D1425),0),
   F1425)</f>
        <v>Dipercaya sebagai netral oleh KEDUA pihak, bahkan pada konflik strategis yang kompleks, diverifikasi langsung.</v>
      </c>
    </row>
    <row r="1426" spans="1:7">
      <c r="A1426" t="str">
        <f t="shared" si="22"/>
        <v>Team Work|Director|1|5</v>
      </c>
      <c r="B1426" t="str">
        <v>Team Work</v>
      </c>
      <c r="C1426" t="str">
        <v>Director</v>
      </c>
      <c r="D1426" s="76">
        <v>1</v>
      </c>
      <c r="E1426" t="str" cm="1">
        <f t="array" ref="E1426">INDEX(aspek!$D$2:$D$337,
   MATCH(1,(aspek!$A$2:$A$337=B1426)*
           (aspek!$B$2:$B$337=C1426)*
           (aspek!$C$2:$C$337=D1426),0))</f>
        <v>Netralitas yang dipersepsikan</v>
      </c>
      <c r="F1426" s="76">
        <v>5</v>
      </c>
      <c r="G1426" s="56" t="str" cm="1">
        <f t="array" ref="G1426">INDEX(deskripsi!$D$2:$H$337,
   MATCH(1,(deskripsi!$A$2:$A$337=B1426)*
           (deskripsi!$B$2:$B$337=C1426)*
           (deskripsi!$C$2:$C$337=D1426),0),
   F1426)</f>
        <v>Menjadi rujukan organisasi ketika dibutuhkan mediator yang benar-benar netral.</v>
      </c>
    </row>
    <row r="1427" spans="1:7">
      <c r="A1427" t="str">
        <f t="shared" si="22"/>
        <v>Team Work|Director|2|1</v>
      </c>
      <c r="B1427" t="str">
        <v>Team Work</v>
      </c>
      <c r="C1427" t="str">
        <v>Director</v>
      </c>
      <c r="D1427" s="76">
        <v>2</v>
      </c>
      <c r="E1427" t="str" cm="1">
        <f t="array" ref="E1427">INDEX(aspek!$D$2:$D$337,
   MATCH(1,(aspek!$A$2:$A$337=B1427)*
           (aspek!$B$2:$B$337=C1427)*
           (aspek!$C$2:$C$337=D1427),0))</f>
        <v>Kemampuan memfasilitasi</v>
      </c>
      <c r="F1427" s="76">
        <v>1</v>
      </c>
      <c r="G1427" s="56" t="str" cm="1">
        <f t="array" ref="G1427">INDEX(deskripsi!$D$2:$H$337,
   MATCH(1,(deskripsi!$A$2:$A$337=B1427)*
           (deskripsi!$B$2:$B$337=C1427)*
           (deskripsi!$C$2:$C$337=D1427),0),
   F1427)</f>
        <v>Diskusi yang difasilitasi berakhir tanpa arah.</v>
      </c>
    </row>
    <row r="1428" spans="1:7">
      <c r="A1428" t="str">
        <f t="shared" si="22"/>
        <v>Team Work|Director|2|2</v>
      </c>
      <c r="B1428" t="str">
        <v>Team Work</v>
      </c>
      <c r="C1428" t="str">
        <v>Director</v>
      </c>
      <c r="D1428" s="76">
        <v>2</v>
      </c>
      <c r="E1428" t="str" cm="1">
        <f t="array" ref="E1428">INDEX(aspek!$D$2:$D$337,
   MATCH(1,(aspek!$A$2:$A$337=B1428)*
           (aspek!$B$2:$B$337=C1428)*
           (aspek!$C$2:$C$337=D1428),0))</f>
        <v>Kemampuan memfasilitasi</v>
      </c>
      <c r="F1428" s="76">
        <v>2</v>
      </c>
      <c r="G1428" s="56" t="str" cm="1">
        <f t="array" ref="G1428">INDEX(deskripsi!$D$2:$H$337,
   MATCH(1,(deskripsi!$A$2:$A$337=B1428)*
           (deskripsi!$B$2:$B$337=C1428)*
           (deskripsi!$C$2:$C$337=D1428),0),
   F1428)</f>
        <v>Memfasilitasi dengan bantuan pihak lain.</v>
      </c>
    </row>
    <row r="1429" spans="1:7">
      <c r="A1429" t="str">
        <f t="shared" si="22"/>
        <v>Team Work|Director|2|3</v>
      </c>
      <c r="B1429" t="str">
        <v>Team Work</v>
      </c>
      <c r="C1429" t="str">
        <v>Director</v>
      </c>
      <c r="D1429" s="76">
        <v>2</v>
      </c>
      <c r="E1429" t="str" cm="1">
        <f t="array" ref="E1429">INDEX(aspek!$D$2:$D$337,
   MATCH(1,(aspek!$A$2:$A$337=B1429)*
           (aspek!$B$2:$B$337=C1429)*
           (aspek!$C$2:$C$337=D1429),0))</f>
        <v>Kemampuan memfasilitasi</v>
      </c>
      <c r="F1429" s="76">
        <v>3</v>
      </c>
      <c r="G1429" s="56" t="str" cm="1">
        <f t="array" ref="G1429">INDEX(deskripsi!$D$2:$H$337,
   MATCH(1,(deskripsi!$A$2:$A$337=B1429)*
           (deskripsi!$B$2:$B$337=C1429)*
           (deskripsi!$C$2:$C$337=D1429),0),
   F1429)</f>
        <v>Memfasilitasi konflik sederhana secara mandiri.</v>
      </c>
    </row>
    <row r="1430" spans="1:7">
      <c r="A1430" t="str">
        <f t="shared" si="22"/>
        <v>Team Work|Director|2|4</v>
      </c>
      <c r="B1430" t="str">
        <v>Team Work</v>
      </c>
      <c r="C1430" t="str">
        <v>Director</v>
      </c>
      <c r="D1430" s="76">
        <v>2</v>
      </c>
      <c r="E1430" t="str" cm="1">
        <f t="array" ref="E1430">INDEX(aspek!$D$2:$D$337,
   MATCH(1,(aspek!$A$2:$A$337=B1430)*
           (aspek!$B$2:$B$337=C1430)*
           (aspek!$C$2:$C$337=D1430),0))</f>
        <v>Kemampuan memfasilitasi</v>
      </c>
      <c r="F1430" s="76">
        <v>4</v>
      </c>
      <c r="G1430" s="56" t="str" cm="1">
        <f t="array" ref="G1430">INDEX(deskripsi!$D$2:$H$337,
   MATCH(1,(deskripsi!$A$2:$A$337=B1430)*
           (deskripsi!$B$2:$B$337=C1430)*
           (deskripsi!$C$2:$C$337=D1430),0),
   F1430)</f>
        <v>Memfasilitasi konflik kompleks secara mandiri, memastikan semua pihak benar-benar didengar.</v>
      </c>
    </row>
    <row r="1431" spans="1:7">
      <c r="A1431" t="str">
        <f t="shared" si="22"/>
        <v>Team Work|Director|2|5</v>
      </c>
      <c r="B1431" t="str">
        <v>Team Work</v>
      </c>
      <c r="C1431" t="str">
        <v>Director</v>
      </c>
      <c r="D1431" s="76">
        <v>2</v>
      </c>
      <c r="E1431" t="str" cm="1">
        <f t="array" ref="E1431">INDEX(aspek!$D$2:$D$337,
   MATCH(1,(aspek!$A$2:$A$337=B1431)*
           (aspek!$B$2:$B$337=C1431)*
           (aspek!$C$2:$C$337=D1431),0))</f>
        <v>Kemampuan memfasilitasi</v>
      </c>
      <c r="F1431" s="76">
        <v>5</v>
      </c>
      <c r="G1431" s="56" t="str" cm="1">
        <f t="array" ref="G1431">INDEX(deskripsi!$D$2:$H$337,
   MATCH(1,(deskripsi!$A$2:$A$337=B1431)*
           (deskripsi!$B$2:$B$337=C1431)*
           (deskripsi!$C$2:$C$337=D1431),0),
   F1431)</f>
        <v>Teknik fasilitasinya diadopsi mediator lain di organisasi.</v>
      </c>
    </row>
    <row r="1432" spans="1:7">
      <c r="A1432" t="str">
        <f t="shared" si="22"/>
        <v>Team Work|Director|3|1</v>
      </c>
      <c r="B1432" t="str">
        <v>Team Work</v>
      </c>
      <c r="C1432" t="str">
        <v>Director</v>
      </c>
      <c r="D1432" s="76">
        <v>3</v>
      </c>
      <c r="E1432" t="str" cm="1">
        <f t="array" ref="E1432">INDEX(aspek!$D$2:$D$337,
   MATCH(1,(aspek!$A$2:$A$337=B1432)*
           (aspek!$B$2:$B$337=C1432)*
           (aspek!$C$2:$C$337=D1432),0))</f>
        <v>Keberhasilan membangun komitmen jangka panjang</v>
      </c>
      <c r="F1432" s="76">
        <v>1</v>
      </c>
      <c r="G1432" s="56" t="str" cm="1">
        <f t="array" ref="G1432">INDEX(deskripsi!$D$2:$H$337,
   MATCH(1,(deskripsi!$A$2:$A$337=B1432)*
           (deskripsi!$B$2:$B$337=C1432)*
           (deskripsi!$C$2:$C$337=D1432),0),
   F1432)</f>
        <v>Kesepakatan hasil mediasi tidak pernah ditindaklanjuti.</v>
      </c>
    </row>
    <row r="1433" spans="1:7">
      <c r="A1433" t="str">
        <f t="shared" si="22"/>
        <v>Team Work|Director|3|2</v>
      </c>
      <c r="B1433" t="str">
        <v>Team Work</v>
      </c>
      <c r="C1433" t="str">
        <v>Director</v>
      </c>
      <c r="D1433" s="76">
        <v>3</v>
      </c>
      <c r="E1433" t="str" cm="1">
        <f t="array" ref="E1433">INDEX(aspek!$D$2:$D$337,
   MATCH(1,(aspek!$A$2:$A$337=B1433)*
           (aspek!$B$2:$B$337=C1433)*
           (aspek!$C$2:$C$337=D1433),0))</f>
        <v>Keberhasilan membangun komitmen jangka panjang</v>
      </c>
      <c r="F1433" s="76">
        <v>2</v>
      </c>
      <c r="G1433" s="56" t="str" cm="1">
        <f t="array" ref="G1433">INDEX(deskripsi!$D$2:$H$337,
   MATCH(1,(deskripsi!$A$2:$A$337=B1433)*
           (deskripsi!$B$2:$B$337=C1433)*
           (deskripsi!$C$2:$C$337=D1433),0),
   F1433)</f>
        <v>Kesepakatan dijalankan sebentar, lalu ditinggalkan.</v>
      </c>
    </row>
    <row r="1434" spans="1:7">
      <c r="A1434" t="str">
        <f t="shared" si="22"/>
        <v>Team Work|Director|3|3</v>
      </c>
      <c r="B1434" t="str">
        <v>Team Work</v>
      </c>
      <c r="C1434" t="str">
        <v>Director</v>
      </c>
      <c r="D1434" s="76">
        <v>3</v>
      </c>
      <c r="E1434" t="str" cm="1">
        <f t="array" ref="E1434">INDEX(aspek!$D$2:$D$337,
   MATCH(1,(aspek!$A$2:$A$337=B1434)*
           (aspek!$B$2:$B$337=C1434)*
           (aspek!$C$2:$C$337=D1434),0))</f>
        <v>Keberhasilan membangun komitmen jangka panjang</v>
      </c>
      <c r="F1434" s="76">
        <v>3</v>
      </c>
      <c r="G1434" s="56" t="str" cm="1">
        <f t="array" ref="G1434">INDEX(deskripsi!$D$2:$H$337,
   MATCH(1,(deskripsi!$A$2:$A$337=B1434)*
           (deskripsi!$B$2:$B$337=C1434)*
           (deskripsi!$C$2:$C$337=D1434),0),
   F1434)</f>
        <v>Kesepakatan dijalankan dengan pemantauan ketat darinya.</v>
      </c>
    </row>
    <row r="1435" spans="1:7">
      <c r="A1435" t="str">
        <f t="shared" si="22"/>
        <v>Team Work|Director|3|4</v>
      </c>
      <c r="B1435" t="str">
        <v>Team Work</v>
      </c>
      <c r="C1435" t="str">
        <v>Director</v>
      </c>
      <c r="D1435" s="76">
        <v>3</v>
      </c>
      <c r="E1435" t="str" cm="1">
        <f t="array" ref="E1435">INDEX(aspek!$D$2:$D$337,
   MATCH(1,(aspek!$A$2:$A$337=B1435)*
           (aspek!$B$2:$B$337=C1435)*
           (aspek!$C$2:$C$337=D1435),0))</f>
        <v>Keberhasilan membangun komitmen jangka panjang</v>
      </c>
      <c r="F1435" s="76">
        <v>4</v>
      </c>
      <c r="G1435" s="56" t="str" cm="1">
        <f t="array" ref="G1435">INDEX(deskripsi!$D$2:$H$337,
   MATCH(1,(deskripsi!$A$2:$A$337=B1435)*
           (deskripsi!$B$2:$B$337=C1435)*
           (deskripsi!$C$2:$C$337=D1435),0),
   F1435)</f>
        <v>Kesepakatan tetap dijalankan minimal 4 bulan tanpa perlu dinegosiasikan ulang.</v>
      </c>
    </row>
    <row r="1436" spans="1:7">
      <c r="A1436" t="str">
        <f t="shared" si="22"/>
        <v>Team Work|Director|3|5</v>
      </c>
      <c r="B1436" t="str">
        <v>Team Work</v>
      </c>
      <c r="C1436" t="str">
        <v>Director</v>
      </c>
      <c r="D1436" s="76">
        <v>3</v>
      </c>
      <c r="E1436" t="str" cm="1">
        <f t="array" ref="E1436">INDEX(aspek!$D$2:$D$337,
   MATCH(1,(aspek!$A$2:$A$337=B1436)*
           (aspek!$B$2:$B$337=C1436)*
           (aspek!$C$2:$C$337=D1436),0))</f>
        <v>Keberhasilan membangun komitmen jangka panjang</v>
      </c>
      <c r="F1436" s="76">
        <v>5</v>
      </c>
      <c r="G1436" s="56" t="str" cm="1">
        <f t="array" ref="G1436">INDEX(deskripsi!$D$2:$H$337,
   MATCH(1,(deskripsi!$A$2:$A$337=B1436)*
           (deskripsi!$B$2:$B$337=C1436)*
           (deskripsi!$C$2:$C$337=D1436),0),
   F1436)</f>
        <v>Kesepakatan menjadi mekanisme kolaborasi permanen antar unit.</v>
      </c>
    </row>
    <row r="1437" spans="1:7">
      <c r="A1437" t="str">
        <f t="shared" si="22"/>
        <v>Team Work|Director|4|1</v>
      </c>
      <c r="B1437" t="str">
        <v>Team Work</v>
      </c>
      <c r="C1437" t="str">
        <v>Director</v>
      </c>
      <c r="D1437" s="76">
        <v>4</v>
      </c>
      <c r="E1437" t="str" cm="1">
        <f t="array" ref="E1437">INDEX(aspek!$D$2:$D$337,
   MATCH(1,(aspek!$A$2:$A$337=B1437)*
           (aspek!$B$2:$B$337=C1437)*
           (aspek!$C$2:$C$337=D1437),0))</f>
        <v>Membangun kolaborasi baru lintas divisi</v>
      </c>
      <c r="F1437" s="76">
        <v>1</v>
      </c>
      <c r="G1437" s="56" t="str" cm="1">
        <f t="array" ref="G1437">INDEX(deskripsi!$D$2:$H$337,
   MATCH(1,(deskripsi!$A$2:$A$337=B1437)*
           (deskripsi!$B$2:$B$337=C1437)*
           (deskripsi!$C$2:$C$337=D1437),0),
   F1437)</f>
        <v>Tidak menginisiasi kolaborasi antar divisi yang tidak berkaitan langsung.</v>
      </c>
    </row>
    <row r="1438" spans="1:7">
      <c r="A1438" t="str">
        <f t="shared" si="22"/>
        <v>Team Work|Director|4|2</v>
      </c>
      <c r="B1438" t="str">
        <v>Team Work</v>
      </c>
      <c r="C1438" t="str">
        <v>Director</v>
      </c>
      <c r="D1438" s="76">
        <v>4</v>
      </c>
      <c r="E1438" t="str" cm="1">
        <f t="array" ref="E1438">INDEX(aspek!$D$2:$D$337,
   MATCH(1,(aspek!$A$2:$A$337=B1438)*
           (aspek!$B$2:$B$337=C1438)*
           (aspek!$C$2:$C$337=D1438),0))</f>
        <v>Membangun kolaborasi baru lintas divisi</v>
      </c>
      <c r="F1438" s="76">
        <v>2</v>
      </c>
      <c r="G1438" s="56" t="str" cm="1">
        <f t="array" ref="G1438">INDEX(deskripsi!$D$2:$H$337,
   MATCH(1,(deskripsi!$A$2:$A$337=B1438)*
           (deskripsi!$B$2:$B$337=C1438)*
           (deskripsi!$C$2:$C$337=D1438),0),
   F1438)</f>
        <v>Mengusulkan kolaborasi, tidak pernah terlaksana.</v>
      </c>
    </row>
    <row r="1439" spans="1:7">
      <c r="A1439" t="str">
        <f t="shared" si="22"/>
        <v>Team Work|Director|4|3</v>
      </c>
      <c r="B1439" t="str">
        <v>Team Work</v>
      </c>
      <c r="C1439" t="str">
        <v>Director</v>
      </c>
      <c r="D1439" s="76">
        <v>4</v>
      </c>
      <c r="E1439" t="str" cm="1">
        <f t="array" ref="E1439">INDEX(aspek!$D$2:$D$337,
   MATCH(1,(aspek!$A$2:$A$337=B1439)*
           (aspek!$B$2:$B$337=C1439)*
           (aspek!$C$2:$C$337=D1439),0))</f>
        <v>Membangun kolaborasi baru lintas divisi</v>
      </c>
      <c r="F1439" s="76">
        <v>3</v>
      </c>
      <c r="G1439" s="56" t="str" cm="1">
        <f t="array" ref="G1439">INDEX(deskripsi!$D$2:$H$337,
   MATCH(1,(deskripsi!$A$2:$A$337=B1439)*
           (deskripsi!$B$2:$B$337=C1439)*
           (deskripsi!$C$2:$C$337=D1439),0),
   F1439)</f>
        <v>Memimpin kolaborasi antar divisi yang sudah punya keterkaitan tugas.</v>
      </c>
    </row>
    <row r="1440" spans="1:7">
      <c r="A1440" t="str">
        <f t="shared" si="22"/>
        <v>Team Work|Director|4|4</v>
      </c>
      <c r="B1440" t="str">
        <v>Team Work</v>
      </c>
      <c r="C1440" t="str">
        <v>Director</v>
      </c>
      <c r="D1440" s="76">
        <v>4</v>
      </c>
      <c r="E1440" t="str" cm="1">
        <f t="array" ref="E1440">INDEX(aspek!$D$2:$D$337,
   MATCH(1,(aspek!$A$2:$A$337=B1440)*
           (aspek!$B$2:$B$337=C1440)*
           (aspek!$C$2:$C$337=D1440),0))</f>
        <v>Membangun kolaborasi baru lintas divisi</v>
      </c>
      <c r="F1440" s="76">
        <v>4</v>
      </c>
      <c r="G1440" s="56" t="str" cm="1">
        <f t="array" ref="G1440">INDEX(deskripsi!$D$2:$H$337,
   MATCH(1,(deskripsi!$A$2:$A$337=B1440)*
           (deskripsi!$B$2:$B$337=C1440)*
           (deskripsi!$C$2:$C$337=D1440),0),
   F1440)</f>
        <v>Menginisiasi dan memimpin kolaborasi antar divisi yang TIDAK memiliki keterkaitan tugas langsung, dengan dampak nyata.</v>
      </c>
    </row>
    <row r="1441" spans="1:7">
      <c r="A1441" t="str">
        <f t="shared" si="22"/>
        <v>Team Work|Director|4|5</v>
      </c>
      <c r="B1441" t="str">
        <v>Team Work</v>
      </c>
      <c r="C1441" t="str">
        <v>Director</v>
      </c>
      <c r="D1441" s="76">
        <v>4</v>
      </c>
      <c r="E1441" t="str" cm="1">
        <f t="array" ref="E1441">INDEX(aspek!$D$2:$D$337,
   MATCH(1,(aspek!$A$2:$A$337=B1441)*
           (aspek!$B$2:$B$337=C1441)*
           (aspek!$C$2:$C$337=D1441),0))</f>
        <v>Membangun kolaborasi baru lintas divisi</v>
      </c>
      <c r="F1441" s="76">
        <v>5</v>
      </c>
      <c r="G1441" s="56" t="str" cm="1">
        <f t="array" ref="G1441">INDEX(deskripsi!$D$2:$H$337,
   MATCH(1,(deskripsi!$A$2:$A$337=B1441)*
           (deskripsi!$B$2:$B$337=C1441)*
           (deskripsi!$C$2:$C$337=D1441),0),
   F1441)</f>
        <v>Menjadi pelopor pola kolaborasi lintas divisi yang kemudian diadopsi luas di organisasi.</v>
      </c>
    </row>
    <row r="1442" spans="1:7">
      <c r="A1442" t="str">
        <f t="shared" si="22"/>
        <v>Communication &amp; Deal with Others|Officer|1|1</v>
      </c>
      <c r="B1442" t="str">
        <v>Communication &amp; Deal with Others</v>
      </c>
      <c r="C1442" t="str">
        <v>Officer</v>
      </c>
      <c r="D1442" s="76">
        <v>1</v>
      </c>
      <c r="E1442" t="str" cm="1">
        <f t="array" ref="E1442">INDEX(aspek!$D$2:$D$337,
   MATCH(1,(aspek!$A$2:$A$337=B1442)*
           (aspek!$B$2:$B$337=C1442)*
           (aspek!$C$2:$C$337=D1442),0))</f>
        <v>Reaksi awal terhadap masukan</v>
      </c>
      <c r="F1442" s="76">
        <v>1</v>
      </c>
      <c r="G1442" s="56" t="str" cm="1">
        <f t="array" ref="G1442">INDEX(deskripsi!$D$2:$H$337,
   MATCH(1,(deskripsi!$A$2:$A$337=B1442)*
           (deskripsi!$B$2:$B$337=C1442)*
           (deskripsi!$C$2:$C$337=D1442),0),
   F1442)</f>
        <v>Membela diri, menyanggah, atau mencari alasan begitu masukan disampaikan.</v>
      </c>
    </row>
    <row r="1443" spans="1:7">
      <c r="A1443" t="str">
        <f t="shared" si="22"/>
        <v>Communication &amp; Deal with Others|Officer|1|2</v>
      </c>
      <c r="B1443" t="str">
        <v>Communication &amp; Deal with Others</v>
      </c>
      <c r="C1443" t="str">
        <v>Officer</v>
      </c>
      <c r="D1443" s="76">
        <v>1</v>
      </c>
      <c r="E1443" t="str" cm="1">
        <f t="array" ref="E1443">INDEX(aspek!$D$2:$D$337,
   MATCH(1,(aspek!$A$2:$A$337=B1443)*
           (aspek!$B$2:$B$337=C1443)*
           (aspek!$C$2:$C$337=D1443),0))</f>
        <v>Reaksi awal terhadap masukan</v>
      </c>
      <c r="F1443" s="76">
        <v>2</v>
      </c>
      <c r="G1443" s="56" t="str" cm="1">
        <f t="array" ref="G1443">INDEX(deskripsi!$D$2:$H$337,
   MATCH(1,(deskripsi!$A$2:$A$337=B1443)*
           (deskripsi!$B$2:$B$337=C1443)*
           (deskripsi!$C$2:$C$337=D1443),0),
   F1443)</f>
        <v>Tidak menyanggah secara terbuka, tetapi terlihat tidak nyaman, diam, atau mengalihkan pembicaraan.</v>
      </c>
    </row>
    <row r="1444" spans="1:7">
      <c r="A1444" t="str">
        <f t="shared" si="22"/>
        <v>Communication &amp; Deal with Others|Officer|1|3</v>
      </c>
      <c r="B1444" t="str">
        <v>Communication &amp; Deal with Others</v>
      </c>
      <c r="C1444" t="str">
        <v>Officer</v>
      </c>
      <c r="D1444" s="76">
        <v>1</v>
      </c>
      <c r="E1444" t="str" cm="1">
        <f t="array" ref="E1444">INDEX(aspek!$D$2:$D$337,
   MATCH(1,(aspek!$A$2:$A$337=B1444)*
           (aspek!$B$2:$B$337=C1444)*
           (aspek!$C$2:$C$337=D1444),0))</f>
        <v>Reaksi awal terhadap masukan</v>
      </c>
      <c r="F1444" s="76">
        <v>3</v>
      </c>
      <c r="G1444" s="56" t="str" cm="1">
        <f t="array" ref="G1444">INDEX(deskripsi!$D$2:$H$337,
   MATCH(1,(deskripsi!$A$2:$A$337=B1444)*
           (deskripsi!$B$2:$B$337=C1444)*
           (deskripsi!$C$2:$C$337=D1444),0),
   F1444)</f>
        <v>Menerima masukan tanpa menyanggah, meski belum menunjukkan minat menggali lebih jauh.</v>
      </c>
    </row>
    <row r="1445" spans="1:7">
      <c r="A1445" t="str">
        <f t="shared" si="22"/>
        <v>Communication &amp; Deal with Others|Officer|1|4</v>
      </c>
      <c r="B1445" t="str">
        <v>Communication &amp; Deal with Others</v>
      </c>
      <c r="C1445" t="str">
        <v>Officer</v>
      </c>
      <c r="D1445" s="76">
        <v>1</v>
      </c>
      <c r="E1445" t="str" cm="1">
        <f t="array" ref="E1445">INDEX(aspek!$D$2:$D$337,
   MATCH(1,(aspek!$A$2:$A$337=B1445)*
           (aspek!$B$2:$B$337=C1445)*
           (aspek!$C$2:$C$337=D1445),0))</f>
        <v>Reaksi awal terhadap masukan</v>
      </c>
      <c r="F1445" s="76">
        <v>4</v>
      </c>
      <c r="G1445" s="56" t="str" cm="1">
        <f t="array" ref="G1445">INDEX(deskripsi!$D$2:$H$337,
   MATCH(1,(deskripsi!$A$2:$A$337=B1445)*
           (deskripsi!$B$2:$B$337=C1445)*
           (deskripsi!$C$2:$C$337=D1445),0),
   F1445)</f>
        <v>Menahan pembelaan dan mengajukan pertanyaan klarifikasi lebih dulu untuk memastikan ia memahami maksud pemberi masukan.</v>
      </c>
    </row>
    <row r="1446" spans="1:7">
      <c r="A1446" t="str">
        <f t="shared" si="22"/>
        <v>Communication &amp; Deal with Others|Officer|1|5</v>
      </c>
      <c r="B1446" t="str">
        <v>Communication &amp; Deal with Others</v>
      </c>
      <c r="C1446" t="str">
        <v>Officer</v>
      </c>
      <c r="D1446" s="76">
        <v>1</v>
      </c>
      <c r="E1446" t="str" cm="1">
        <f t="array" ref="E1446">INDEX(aspek!$D$2:$D$337,
   MATCH(1,(aspek!$A$2:$A$337=B1446)*
           (aspek!$B$2:$B$337=C1446)*
           (aspek!$C$2:$C$337=D1446),0))</f>
        <v>Reaksi awal terhadap masukan</v>
      </c>
      <c r="F1446" s="76">
        <v>5</v>
      </c>
      <c r="G1446" s="56" t="str" cm="1">
        <f t="array" ref="G1446">INDEX(deskripsi!$D$2:$H$337,
   MATCH(1,(deskripsi!$A$2:$A$337=B1446)*
           (deskripsi!$B$2:$B$337=C1446)*
           (deskripsi!$C$2:$C$337=D1446),0),
   F1446)</f>
        <v>Menerima masukan yang disampaikan keras dengan tenang, bahkan meminta masukan yang lebih spesifik atas inisiatif sendiri.</v>
      </c>
    </row>
    <row r="1447" spans="1:7">
      <c r="A1447" t="str">
        <f t="shared" si="22"/>
        <v>Communication &amp; Deal with Others|Officer|2|1</v>
      </c>
      <c r="B1447" t="str">
        <v>Communication &amp; Deal with Others</v>
      </c>
      <c r="C1447" t="str">
        <v>Officer</v>
      </c>
      <c r="D1447" s="76">
        <v>2</v>
      </c>
      <c r="E1447" t="str" cm="1">
        <f t="array" ref="E1447">INDEX(aspek!$D$2:$D$337,
   MATCH(1,(aspek!$A$2:$A$337=B1447)*
           (aspek!$B$2:$B$337=C1447)*
           (aspek!$C$2:$C$337=D1447),0))</f>
        <v>Ketepatan memahami masukan</v>
      </c>
      <c r="F1447" s="76">
        <v>1</v>
      </c>
      <c r="G1447" s="56" t="str" cm="1">
        <f t="array" ref="G1447">INDEX(deskripsi!$D$2:$H$337,
   MATCH(1,(deskripsi!$A$2:$A$337=B1447)*
           (deskripsi!$B$2:$B$337=C1447)*
           (deskripsi!$C$2:$C$337=D1447),0),
   F1447)</f>
        <v>Salah menangkap maksud masukan atau menganggapnya sebagai serangan pribadi.</v>
      </c>
    </row>
    <row r="1448" spans="1:7">
      <c r="A1448" t="str">
        <f t="shared" si="22"/>
        <v>Communication &amp; Deal with Others|Officer|2|2</v>
      </c>
      <c r="B1448" t="str">
        <v>Communication &amp; Deal with Others</v>
      </c>
      <c r="C1448" t="str">
        <v>Officer</v>
      </c>
      <c r="D1448" s="76">
        <v>2</v>
      </c>
      <c r="E1448" t="str" cm="1">
        <f t="array" ref="E1448">INDEX(aspek!$D$2:$D$337,
   MATCH(1,(aspek!$A$2:$A$337=B1448)*
           (aspek!$B$2:$B$337=C1448)*
           (aspek!$C$2:$C$337=D1448),0))</f>
        <v>Ketepatan memahami masukan</v>
      </c>
      <c r="F1448" s="76">
        <v>2</v>
      </c>
      <c r="G1448" s="56" t="str" cm="1">
        <f t="array" ref="G1448">INDEX(deskripsi!$D$2:$H$337,
   MATCH(1,(deskripsi!$A$2:$A$337=B1448)*
           (deskripsi!$B$2:$B$337=C1448)*
           (deskripsi!$C$2:$C$337=D1448),0),
   F1448)</f>
        <v>Menangkap sebagian; sering menyimpulkan lebih cepat daripada yang dimaksudkan pemberi masukan.</v>
      </c>
    </row>
    <row r="1449" spans="1:7">
      <c r="A1449" t="str">
        <f t="shared" si="22"/>
        <v>Communication &amp; Deal with Others|Officer|2|3</v>
      </c>
      <c r="B1449" t="str">
        <v>Communication &amp; Deal with Others</v>
      </c>
      <c r="C1449" t="str">
        <v>Officer</v>
      </c>
      <c r="D1449" s="76">
        <v>2</v>
      </c>
      <c r="E1449" t="str" cm="1">
        <f t="array" ref="E1449">INDEX(aspek!$D$2:$D$337,
   MATCH(1,(aspek!$A$2:$A$337=B1449)*
           (aspek!$B$2:$B$337=C1449)*
           (aspek!$C$2:$C$337=D1449),0))</f>
        <v>Ketepatan memahami masukan</v>
      </c>
      <c r="F1449" s="76">
        <v>3</v>
      </c>
      <c r="G1449" s="56" t="str" cm="1">
        <f t="array" ref="G1449">INDEX(deskripsi!$D$2:$H$337,
   MATCH(1,(deskripsi!$A$2:$A$337=B1449)*
           (deskripsi!$B$2:$B$337=C1449)*
           (deskripsi!$C$2:$C$337=D1449),0),
   F1449)</f>
        <v>Menangkap inti masukan dengan benar bila disampaikan secara jelas dan langsung.</v>
      </c>
    </row>
    <row r="1450" spans="1:7">
      <c r="A1450" t="str">
        <f t="shared" si="22"/>
        <v>Communication &amp; Deal with Others|Officer|2|4</v>
      </c>
      <c r="B1450" t="str">
        <v>Communication &amp; Deal with Others</v>
      </c>
      <c r="C1450" t="str">
        <v>Officer</v>
      </c>
      <c r="D1450" s="76">
        <v>2</v>
      </c>
      <c r="E1450" t="str" cm="1">
        <f t="array" ref="E1450">INDEX(aspek!$D$2:$D$337,
   MATCH(1,(aspek!$A$2:$A$337=B1450)*
           (aspek!$B$2:$B$337=C1450)*
           (aspek!$C$2:$C$337=D1450),0))</f>
        <v>Ketepatan memahami masukan</v>
      </c>
      <c r="F1450" s="76">
        <v>4</v>
      </c>
      <c r="G1450" s="56" t="str" cm="1">
        <f t="array" ref="G1450">INDEX(deskripsi!$D$2:$H$337,
   MATCH(1,(deskripsi!$A$2:$A$337=B1450)*
           (deskripsi!$B$2:$B$337=C1450)*
           (deskripsi!$C$2:$C$337=D1450),0),
   F1450)</f>
        <v>Mengklarifikasi hingga memahami contoh situasinya dan perubahan apa yang diharapkan, sebelum menanggapi.</v>
      </c>
    </row>
    <row r="1451" spans="1:7">
      <c r="A1451" t="str">
        <f t="shared" si="22"/>
        <v>Communication &amp; Deal with Others|Officer|2|5</v>
      </c>
      <c r="B1451" t="str">
        <v>Communication &amp; Deal with Others</v>
      </c>
      <c r="C1451" t="str">
        <v>Officer</v>
      </c>
      <c r="D1451" s="76">
        <v>2</v>
      </c>
      <c r="E1451" t="str" cm="1">
        <f t="array" ref="E1451">INDEX(aspek!$D$2:$D$337,
   MATCH(1,(aspek!$A$2:$A$337=B1451)*
           (aspek!$B$2:$B$337=C1451)*
           (aspek!$C$2:$C$337=D1451),0))</f>
        <v>Ketepatan memahami masukan</v>
      </c>
      <c r="F1451" s="76">
        <v>5</v>
      </c>
      <c r="G1451" s="56" t="str" cm="1">
        <f t="array" ref="G1451">INDEX(deskripsi!$D$2:$H$337,
   MATCH(1,(deskripsi!$A$2:$A$337=B1451)*
           (deskripsi!$B$2:$B$337=C1451)*
           (deskripsi!$C$2:$C$337=D1451),0),
   F1451)</f>
        <v>Mampu membedakan masukan tentang perilaku dan tentang pribadi, serta merumuskan ulang masukan yang disampaikan secara tidak jelas.</v>
      </c>
    </row>
    <row r="1452" spans="1:7">
      <c r="A1452" t="str">
        <f t="shared" si="22"/>
        <v>Communication &amp; Deal with Others|Officer|3|1</v>
      </c>
      <c r="B1452" t="str">
        <v>Communication &amp; Deal with Others</v>
      </c>
      <c r="C1452" t="str">
        <v>Officer</v>
      </c>
      <c r="D1452" s="76">
        <v>3</v>
      </c>
      <c r="E1452" t="str" cm="1">
        <f t="array" ref="E1452">INDEX(aspek!$D$2:$D$337,
   MATCH(1,(aspek!$A$2:$A$337=B1452)*
           (aspek!$B$2:$B$337=C1452)*
           (aspek!$C$2:$C$337=D1452),0))</f>
        <v>Tindak lanjut setelah menerima</v>
      </c>
      <c r="F1452" s="76">
        <v>1</v>
      </c>
      <c r="G1452" s="56" t="str" cm="1">
        <f t="array" ref="G1452">INDEX(deskripsi!$D$2:$H$337,
   MATCH(1,(deskripsi!$A$2:$A$337=B1452)*
           (deskripsi!$B$2:$B$337=C1452)*
           (deskripsi!$C$2:$C$337=D1452),0),
   F1452)</f>
        <v>Tidak ada tindak lanjut; masukan yang sama berulang kali disampaikan orang lain.</v>
      </c>
    </row>
    <row r="1453" spans="1:7">
      <c r="A1453" t="str">
        <f t="shared" si="22"/>
        <v>Communication &amp; Deal with Others|Officer|3|2</v>
      </c>
      <c r="B1453" t="str">
        <v>Communication &amp; Deal with Others</v>
      </c>
      <c r="C1453" t="str">
        <v>Officer</v>
      </c>
      <c r="D1453" s="76">
        <v>3</v>
      </c>
      <c r="E1453" t="str" cm="1">
        <f t="array" ref="E1453">INDEX(aspek!$D$2:$D$337,
   MATCH(1,(aspek!$A$2:$A$337=B1453)*
           (aspek!$B$2:$B$337=C1453)*
           (aspek!$C$2:$C$337=D1453),0))</f>
        <v>Tindak lanjut setelah menerima</v>
      </c>
      <c r="F1453" s="76">
        <v>2</v>
      </c>
      <c r="G1453" s="56" t="str" cm="1">
        <f t="array" ref="G1453">INDEX(deskripsi!$D$2:$H$337,
   MATCH(1,(deskripsi!$A$2:$A$337=B1453)*
           (deskripsi!$B$2:$B$337=C1453)*
           (deskripsi!$C$2:$C$337=D1453),0),
   F1453)</f>
        <v>Berjanji memperbaiki, tetapi perubahan tidak terlihat atau hanya bertahan sebentar.</v>
      </c>
    </row>
    <row r="1454" spans="1:7">
      <c r="A1454" t="str">
        <f t="shared" si="22"/>
        <v>Communication &amp; Deal with Others|Officer|3|3</v>
      </c>
      <c r="B1454" t="str">
        <v>Communication &amp; Deal with Others</v>
      </c>
      <c r="C1454" t="str">
        <v>Officer</v>
      </c>
      <c r="D1454" s="76">
        <v>3</v>
      </c>
      <c r="E1454" t="str" cm="1">
        <f t="array" ref="E1454">INDEX(aspek!$D$2:$D$337,
   MATCH(1,(aspek!$A$2:$A$337=B1454)*
           (aspek!$B$2:$B$337=C1454)*
           (aspek!$C$2:$C$337=D1454),0))</f>
        <v>Tindak lanjut setelah menerima</v>
      </c>
      <c r="F1454" s="76">
        <v>3</v>
      </c>
      <c r="G1454" s="56" t="str" cm="1">
        <f t="array" ref="G1454">INDEX(deskripsi!$D$2:$H$337,
   MATCH(1,(deskripsi!$A$2:$A$337=B1454)*
           (deskripsi!$B$2:$B$337=C1454)*
           (deskripsi!$C$2:$C$337=D1454),0),
   F1454)</f>
        <v>Melakukan perbaikan atas masukan yang jelas dan mudah dilakukan.</v>
      </c>
    </row>
    <row r="1455" spans="1:7">
      <c r="A1455" t="str">
        <f t="shared" si="22"/>
        <v>Communication &amp; Deal with Others|Officer|3|4</v>
      </c>
      <c r="B1455" t="str">
        <v>Communication &amp; Deal with Others</v>
      </c>
      <c r="C1455" t="str">
        <v>Officer</v>
      </c>
      <c r="D1455" s="76">
        <v>3</v>
      </c>
      <c r="E1455" t="str" cm="1">
        <f t="array" ref="E1455">INDEX(aspek!$D$2:$D$337,
   MATCH(1,(aspek!$A$2:$A$337=B1455)*
           (aspek!$B$2:$B$337=C1455)*
           (aspek!$C$2:$C$337=D1455),0))</f>
        <v>Tindak lanjut setelah menerima</v>
      </c>
      <c r="F1455" s="76">
        <v>4</v>
      </c>
      <c r="G1455" s="56" t="str" cm="1">
        <f t="array" ref="G1455">INDEX(deskripsi!$D$2:$H$337,
   MATCH(1,(deskripsi!$A$2:$A$337=B1455)*
           (deskripsi!$B$2:$B$337=C1455)*
           (deskripsi!$C$2:$C$337=D1455),0),
   F1455)</f>
        <v>Mengubah masukan menjadi perubahan cara kerja yang nyata dan bertahan, serta dapat dikonfirmasi oleh pemberi masukan.</v>
      </c>
    </row>
    <row r="1456" spans="1:7">
      <c r="A1456" t="str">
        <f t="shared" si="22"/>
        <v>Communication &amp; Deal with Others|Officer|3|5</v>
      </c>
      <c r="B1456" t="str">
        <v>Communication &amp; Deal with Others</v>
      </c>
      <c r="C1456" t="str">
        <v>Officer</v>
      </c>
      <c r="D1456" s="76">
        <v>3</v>
      </c>
      <c r="E1456" t="str" cm="1">
        <f t="array" ref="E1456">INDEX(aspek!$D$2:$D$337,
   MATCH(1,(aspek!$A$2:$A$337=B1456)*
           (aspek!$B$2:$B$337=C1456)*
           (aspek!$C$2:$C$337=D1456),0))</f>
        <v>Tindak lanjut setelah menerima</v>
      </c>
      <c r="F1456" s="76">
        <v>5</v>
      </c>
      <c r="G1456" s="56" t="str" cm="1">
        <f t="array" ref="G1456">INDEX(deskripsi!$D$2:$H$337,
   MATCH(1,(deskripsi!$A$2:$A$337=B1456)*
           (deskripsi!$B$2:$B$337=C1456)*
           (deskripsi!$C$2:$C$337=D1456),0),
   F1456)</f>
        <v>Perubahan yang dilakukan menjadi kebiasaan baru dan terlihat tanpa perlu diingatkan.</v>
      </c>
    </row>
    <row r="1457" spans="1:7">
      <c r="A1457" t="str">
        <f t="shared" si="22"/>
        <v>Communication &amp; Deal with Others|Officer|4|1</v>
      </c>
      <c r="B1457" t="str">
        <v>Communication &amp; Deal with Others</v>
      </c>
      <c r="C1457" t="str">
        <v>Officer</v>
      </c>
      <c r="D1457" s="76">
        <v>4</v>
      </c>
      <c r="E1457" t="str" cm="1">
        <f t="array" ref="E1457">INDEX(aspek!$D$2:$D$337,
   MATCH(1,(aspek!$A$2:$A$337=B1457)*
           (aspek!$B$2:$B$337=C1457)*
           (aspek!$C$2:$C$337=D1457),0))</f>
        <v xml:space="preserve">Perlakuan terhadap pemberi masukan </v>
      </c>
      <c r="F1457" s="76">
        <v>1</v>
      </c>
      <c r="G1457" s="56" t="str" cm="1">
        <f t="array" ref="G1457">INDEX(deskripsi!$D$2:$H$337,
   MATCH(1,(deskripsi!$A$2:$A$337=B1457)*
           (deskripsi!$B$2:$B$337=C1457)*
           (deskripsi!$C$2:$C$337=D1457),0),
   F1457)</f>
        <v>Pemberi masukan merasa dihindari atau disalahkan setelah menyampaikan.</v>
      </c>
    </row>
    <row r="1458" spans="1:7">
      <c r="A1458" t="str">
        <f t="shared" si="22"/>
        <v>Communication &amp; Deal with Others|Officer|4|2</v>
      </c>
      <c r="B1458" t="str">
        <v>Communication &amp; Deal with Others</v>
      </c>
      <c r="C1458" t="str">
        <v>Officer</v>
      </c>
      <c r="D1458" s="76">
        <v>4</v>
      </c>
      <c r="E1458" t="str" cm="1">
        <f t="array" ref="E1458">INDEX(aspek!$D$2:$D$337,
   MATCH(1,(aspek!$A$2:$A$337=B1458)*
           (aspek!$B$2:$B$337=C1458)*
           (aspek!$C$2:$C$337=D1458),0))</f>
        <v xml:space="preserve">Perlakuan terhadap pemberi masukan </v>
      </c>
      <c r="F1458" s="76">
        <v>2</v>
      </c>
      <c r="G1458" s="56" t="str" cm="1">
        <f t="array" ref="G1458">INDEX(deskripsi!$D$2:$H$337,
   MATCH(1,(deskripsi!$A$2:$A$337=B1458)*
           (deskripsi!$B$2:$B$337=C1458)*
           (deskripsi!$C$2:$C$337=D1458),0),
   F1458)</f>
        <v>Masukan diterima dengan sopan, tetapi tidak ada interaksi lanjutan; orang lain ragu memberi masukan lagi.</v>
      </c>
    </row>
    <row r="1459" spans="1:7">
      <c r="A1459" t="str">
        <f t="shared" si="22"/>
        <v>Communication &amp; Deal with Others|Officer|4|3</v>
      </c>
      <c r="B1459" t="str">
        <v>Communication &amp; Deal with Others</v>
      </c>
      <c r="C1459" t="str">
        <v>Officer</v>
      </c>
      <c r="D1459" s="76">
        <v>4</v>
      </c>
      <c r="E1459" t="str" cm="1">
        <f t="array" ref="E1459">INDEX(aspek!$D$2:$D$337,
   MATCH(1,(aspek!$A$2:$A$337=B1459)*
           (aspek!$B$2:$B$337=C1459)*
           (aspek!$C$2:$C$337=D1459),0))</f>
        <v xml:space="preserve">Perlakuan terhadap pemberi masukan </v>
      </c>
      <c r="F1459" s="76">
        <v>3</v>
      </c>
      <c r="G1459" s="56" t="str" cm="1">
        <f t="array" ref="G1459">INDEX(deskripsi!$D$2:$H$337,
   MATCH(1,(deskripsi!$A$2:$A$337=B1459)*
           (deskripsi!$B$2:$B$337=C1459)*
           (deskripsi!$C$2:$C$337=D1459),0),
   F1459)</f>
        <v>Berterima kasih atas masukan yang diterima.</v>
      </c>
    </row>
    <row r="1460" spans="1:7">
      <c r="A1460" t="str">
        <f t="shared" si="22"/>
        <v>Communication &amp; Deal with Others|Officer|4|4</v>
      </c>
      <c r="B1460" t="str">
        <v>Communication &amp; Deal with Others</v>
      </c>
      <c r="C1460" t="str">
        <v>Officer</v>
      </c>
      <c r="D1460" s="76">
        <v>4</v>
      </c>
      <c r="E1460" t="str" cm="1">
        <f t="array" ref="E1460">INDEX(aspek!$D$2:$D$337,
   MATCH(1,(aspek!$A$2:$A$337=B1460)*
           (aspek!$B$2:$B$337=C1460)*
           (aspek!$C$2:$C$337=D1460),0))</f>
        <v xml:space="preserve">Perlakuan terhadap pemberi masukan </v>
      </c>
      <c r="F1460" s="76">
        <v>4</v>
      </c>
      <c r="G1460" s="56" t="str" cm="1">
        <f t="array" ref="G1460">INDEX(deskripsi!$D$2:$H$337,
   MATCH(1,(deskripsi!$A$2:$A$337=B1460)*
           (deskripsi!$B$2:$B$337=C1460)*
           (deskripsi!$C$2:$C$337=D1460),0),
   F1460)</f>
        <v>Melaporkan balik kepada pemberi masukan apa yang sudah diubah, sehingga orang lain merasa masukannya berguna dan nyaman memberi masukan lagi.</v>
      </c>
    </row>
    <row r="1461" spans="1:7">
      <c r="A1461" t="str">
        <f t="shared" si="22"/>
        <v>Communication &amp; Deal with Others|Officer|4|5</v>
      </c>
      <c r="B1461" t="str">
        <v>Communication &amp; Deal with Others</v>
      </c>
      <c r="C1461" t="str">
        <v>Officer</v>
      </c>
      <c r="D1461" s="76">
        <v>4</v>
      </c>
      <c r="E1461" t="str" cm="1">
        <f t="array" ref="E1461">INDEX(aspek!$D$2:$D$337,
   MATCH(1,(aspek!$A$2:$A$337=B1461)*
           (aspek!$B$2:$B$337=C1461)*
           (aspek!$C$2:$C$337=D1461),0))</f>
        <v xml:space="preserve">Perlakuan terhadap pemberi masukan </v>
      </c>
      <c r="F1461" s="76">
        <v>5</v>
      </c>
      <c r="G1461" s="56" t="str" cm="1">
        <f t="array" ref="G1461">INDEX(deskripsi!$D$2:$H$337,
   MATCH(1,(deskripsi!$A$2:$A$337=B1461)*
           (deskripsi!$B$2:$B$337=C1461)*
           (deskripsi!$C$2:$C$337=D1461),0),
   F1461)</f>
        <v>Menjadi orang yang dicari untuk diberi masukan karena responsnya dianggap aman dan produktif.</v>
      </c>
    </row>
    <row r="1462" spans="1:7">
      <c r="A1462" t="str">
        <f t="shared" si="22"/>
        <v>Communication &amp; Deal with Others|Analyst|1|1</v>
      </c>
      <c r="B1462" t="str">
        <v>Communication &amp; Deal with Others</v>
      </c>
      <c r="C1462" t="str">
        <v>Analyst</v>
      </c>
      <c r="D1462" s="76">
        <v>1</v>
      </c>
      <c r="E1462" t="str" cm="1">
        <f t="array" ref="E1462">INDEX(aspek!$D$2:$D$337,
   MATCH(1,(aspek!$A$2:$A$337=B1462)*
           (aspek!$B$2:$B$337=C1462)*
           (aspek!$C$2:$C$337=D1462),0))</f>
        <v>Struktur penjelasan</v>
      </c>
      <c r="F1462" s="76">
        <v>1</v>
      </c>
      <c r="G1462" s="56" t="str" cm="1">
        <f t="array" ref="G1462">INDEX(deskripsi!$D$2:$H$337,
   MATCH(1,(deskripsi!$A$2:$A$337=B1462)*
           (deskripsi!$B$2:$B$337=C1462)*
           (deskripsi!$C$2:$C$337=D1462),0),
   F1462)</f>
        <v>Penjelasan tidak terstruktur; pendengar tidak dapat menemukan poin utamanya.</v>
      </c>
    </row>
    <row r="1463" spans="1:7">
      <c r="A1463" t="str">
        <f t="shared" si="22"/>
        <v>Communication &amp; Deal with Others|Analyst|1|2</v>
      </c>
      <c r="B1463" t="str">
        <v>Communication &amp; Deal with Others</v>
      </c>
      <c r="C1463" t="str">
        <v>Analyst</v>
      </c>
      <c r="D1463" s="76">
        <v>1</v>
      </c>
      <c r="E1463" t="str" cm="1">
        <f t="array" ref="E1463">INDEX(aspek!$D$2:$D$337,
   MATCH(1,(aspek!$A$2:$A$337=B1463)*
           (aspek!$B$2:$B$337=C1463)*
           (aspek!$C$2:$C$337=D1463),0))</f>
        <v>Struktur penjelasan</v>
      </c>
      <c r="F1463" s="76">
        <v>2</v>
      </c>
      <c r="G1463" s="56" t="str" cm="1">
        <f t="array" ref="G1463">INDEX(deskripsi!$D$2:$H$337,
   MATCH(1,(deskripsi!$A$2:$A$337=B1463)*
           (deskripsi!$B$2:$B$337=C1463)*
           (deskripsi!$C$2:$C$337=D1463),0),
   F1463)</f>
        <v>Ada urutan, tetapi berbelit — poin utama baru muncul di akhir atau tenggelam di antara detail.</v>
      </c>
    </row>
    <row r="1464" spans="1:7">
      <c r="A1464" t="str">
        <f t="shared" si="22"/>
        <v>Communication &amp; Deal with Others|Analyst|1|3</v>
      </c>
      <c r="B1464" t="str">
        <v>Communication &amp; Deal with Others</v>
      </c>
      <c r="C1464" t="str">
        <v>Analyst</v>
      </c>
      <c r="D1464" s="76">
        <v>1</v>
      </c>
      <c r="E1464" t="str" cm="1">
        <f t="array" ref="E1464">INDEX(aspek!$D$2:$D$337,
   MATCH(1,(aspek!$A$2:$A$337=B1464)*
           (aspek!$B$2:$B$337=C1464)*
           (aspek!$C$2:$C$337=D1464),0))</f>
        <v>Struktur penjelasan</v>
      </c>
      <c r="F1464" s="76">
        <v>3</v>
      </c>
      <c r="G1464" s="56" t="str" cm="1">
        <f t="array" ref="G1464">INDEX(deskripsi!$D$2:$H$337,
   MATCH(1,(deskripsi!$A$2:$A$337=B1464)*
           (deskripsi!$B$2:$B$337=C1464)*
           (deskripsi!$C$2:$C$337=D1464),0),
   F1464)</f>
        <v>Jelas dan runtut: kesimpulan disampaikan di depan, didukung alasan yang dikelompokkan rapi.</v>
      </c>
    </row>
    <row r="1465" spans="1:7">
      <c r="A1465" t="str">
        <f t="shared" si="22"/>
        <v>Communication &amp; Deal with Others|Analyst|1|4</v>
      </c>
      <c r="B1465" t="str">
        <v>Communication &amp; Deal with Others</v>
      </c>
      <c r="C1465" t="str">
        <v>Analyst</v>
      </c>
      <c r="D1465" s="76">
        <v>1</v>
      </c>
      <c r="E1465" t="str" cm="1">
        <f t="array" ref="E1465">INDEX(aspek!$D$2:$D$337,
   MATCH(1,(aspek!$A$2:$A$337=B1465)*
           (aspek!$B$2:$B$337=C1465)*
           (aspek!$C$2:$C$337=D1465),0))</f>
        <v>Struktur penjelasan</v>
      </c>
      <c r="F1465" s="76">
        <v>4</v>
      </c>
      <c r="G1465" s="56" t="str" cm="1">
        <f t="array" ref="G1465">INDEX(deskripsi!$D$2:$H$337,
   MATCH(1,(deskripsi!$A$2:$A$337=B1465)*
           (deskripsi!$B$2:$B$337=C1465)*
           (deskripsi!$C$2:$C$337=D1465),0),
   F1465)</f>
        <v>Struktur disusun mengikuti keputusan atau tindakan yang dibutuhkan pendengar, bukan mengikuti urutan kerja penyusunnya.</v>
      </c>
    </row>
    <row r="1466" spans="1:7">
      <c r="A1466" t="str">
        <f t="shared" si="22"/>
        <v>Communication &amp; Deal with Others|Analyst|1|5</v>
      </c>
      <c r="B1466" t="str">
        <v>Communication &amp; Deal with Others</v>
      </c>
      <c r="C1466" t="str">
        <v>Analyst</v>
      </c>
      <c r="D1466" s="76">
        <v>1</v>
      </c>
      <c r="E1466" t="str" cm="1">
        <f t="array" ref="E1466">INDEX(aspek!$D$2:$D$337,
   MATCH(1,(aspek!$A$2:$A$337=B1466)*
           (aspek!$B$2:$B$337=C1466)*
           (aspek!$C$2:$C$337=D1466),0))</f>
        <v>Struktur penjelasan</v>
      </c>
      <c r="F1466" s="76">
        <v>5</v>
      </c>
      <c r="G1466" s="56" t="str" cm="1">
        <f t="array" ref="G1466">INDEX(deskripsi!$D$2:$H$337,
   MATCH(1,(deskripsi!$A$2:$A$337=B1466)*
           (deskripsi!$B$2:$B$337=C1466)*
           (deskripsi!$C$2:$C$337=D1466),0),
   F1466)</f>
        <v>Penjelasannya menjadi narasi yang menggerakkan pendengar untuk bertindak, bukan sekadar memahami.</v>
      </c>
    </row>
    <row r="1467" spans="1:7">
      <c r="A1467" t="str">
        <f t="shared" si="22"/>
        <v>Communication &amp; Deal with Others|Analyst|2|1</v>
      </c>
      <c r="B1467" t="str">
        <v>Communication &amp; Deal with Others</v>
      </c>
      <c r="C1467" t="str">
        <v>Analyst</v>
      </c>
      <c r="D1467" s="76">
        <v>2</v>
      </c>
      <c r="E1467" t="str" cm="1">
        <f t="array" ref="E1467">INDEX(aspek!$D$2:$D$337,
   MATCH(1,(aspek!$A$2:$A$337=B1467)*
           (aspek!$B$2:$B$337=C1467)*
           (aspek!$C$2:$C$337=D1467),0))</f>
        <v>Penyesuaian terhadap audiens</v>
      </c>
      <c r="F1467" s="76">
        <v>1</v>
      </c>
      <c r="G1467" s="56" t="str" cm="1">
        <f t="array" ref="G1467">INDEX(deskripsi!$D$2:$H$337,
   MATCH(1,(deskripsi!$A$2:$A$337=B1467)*
           (deskripsi!$B$2:$B$337=C1467)*
           (deskripsi!$C$2:$C$337=D1467),0),
   F1467)</f>
        <v>Materi yang sama disampaikan dengan cara yang sama kepada siapa pun.</v>
      </c>
    </row>
    <row r="1468" spans="1:7">
      <c r="A1468" t="str">
        <f t="shared" si="22"/>
        <v>Communication &amp; Deal with Others|Analyst|2|2</v>
      </c>
      <c r="B1468" t="str">
        <v>Communication &amp; Deal with Others</v>
      </c>
      <c r="C1468" t="str">
        <v>Analyst</v>
      </c>
      <c r="D1468" s="76">
        <v>2</v>
      </c>
      <c r="E1468" t="str" cm="1">
        <f t="array" ref="E1468">INDEX(aspek!$D$2:$D$337,
   MATCH(1,(aspek!$A$2:$A$337=B1468)*
           (aspek!$B$2:$B$337=C1468)*
           (aspek!$C$2:$C$337=D1468),0))</f>
        <v>Penyesuaian terhadap audiens</v>
      </c>
      <c r="F1468" s="76">
        <v>2</v>
      </c>
      <c r="G1468" s="56" t="str" cm="1">
        <f t="array" ref="G1468">INDEX(deskripsi!$D$2:$H$337,
   MATCH(1,(deskripsi!$A$2:$A$337=B1468)*
           (deskripsi!$B$2:$B$337=C1468)*
           (deskripsi!$C$2:$C$337=D1468),0),
   F1468)</f>
        <v>Menyadari audiens berbeda, tetapi penyesuaiannya hanya pada panjang-pendek, bukan pada isi dan kedalaman.</v>
      </c>
    </row>
    <row r="1469" spans="1:7">
      <c r="A1469" t="str">
        <f t="shared" si="22"/>
        <v>Communication &amp; Deal with Others|Analyst|2|3</v>
      </c>
      <c r="B1469" t="str">
        <v>Communication &amp; Deal with Others</v>
      </c>
      <c r="C1469" t="str">
        <v>Analyst</v>
      </c>
      <c r="D1469" s="76">
        <v>2</v>
      </c>
      <c r="E1469" t="str" cm="1">
        <f t="array" ref="E1469">INDEX(aspek!$D$2:$D$337,
   MATCH(1,(aspek!$A$2:$A$337=B1469)*
           (aspek!$B$2:$B$337=C1469)*
           (aspek!$C$2:$C$337=D1469),0))</f>
        <v>Penyesuaian terhadap audiens</v>
      </c>
      <c r="F1469" s="76">
        <v>3</v>
      </c>
      <c r="G1469" s="56" t="str" cm="1">
        <f t="array" ref="G1469">INDEX(deskripsi!$D$2:$H$337,
   MATCH(1,(deskripsi!$A$2:$A$337=B1469)*
           (deskripsi!$B$2:$B$337=C1469)*
           (deskripsi!$C$2:$C$337=D1469),0),
   F1469)</f>
        <v>Menyesuaikan bahasa dan istilah sesuai latar belakang pendengar.</v>
      </c>
    </row>
    <row r="1470" spans="1:7">
      <c r="A1470" t="str">
        <f t="shared" si="22"/>
        <v>Communication &amp; Deal with Others|Analyst|2|4</v>
      </c>
      <c r="B1470" t="str">
        <v>Communication &amp; Deal with Others</v>
      </c>
      <c r="C1470" t="str">
        <v>Analyst</v>
      </c>
      <c r="D1470" s="76">
        <v>2</v>
      </c>
      <c r="E1470" t="str" cm="1">
        <f t="array" ref="E1470">INDEX(aspek!$D$2:$D$337,
   MATCH(1,(aspek!$A$2:$A$337=B1470)*
           (aspek!$B$2:$B$337=C1470)*
           (aspek!$C$2:$C$337=D1470),0))</f>
        <v>Penyesuaian terhadap audiens</v>
      </c>
      <c r="F1470" s="76">
        <v>4</v>
      </c>
      <c r="G1470" s="56" t="str" cm="1">
        <f t="array" ref="G1470">INDEX(deskripsi!$D$2:$H$337,
   MATCH(1,(deskripsi!$A$2:$A$337=B1470)*
           (deskripsi!$B$2:$B$337=C1470)*
           (deskripsi!$C$2:$C$337=D1470),0),
   F1470)</f>
        <v>Menyesuaikan kedalaman, pilihan detail, dan sudut masuk penjelasan sesuai apa yang perlu diketahui tiap audiens; mengubah pendekatan di tengah penjelasan ketika audiens terlihat tidak mengikuti.</v>
      </c>
    </row>
    <row r="1471" spans="1:7">
      <c r="A1471" t="str">
        <f t="shared" si="22"/>
        <v>Communication &amp; Deal with Others|Analyst|2|5</v>
      </c>
      <c r="B1471" t="str">
        <v>Communication &amp; Deal with Others</v>
      </c>
      <c r="C1471" t="str">
        <v>Analyst</v>
      </c>
      <c r="D1471" s="76">
        <v>2</v>
      </c>
      <c r="E1471" t="str" cm="1">
        <f t="array" ref="E1471">INDEX(aspek!$D$2:$D$337,
   MATCH(1,(aspek!$A$2:$A$337=B1471)*
           (aspek!$B$2:$B$337=C1471)*
           (aspek!$C$2:$C$337=D1471),0))</f>
        <v>Penyesuaian terhadap audiens</v>
      </c>
      <c r="F1471" s="76">
        <v>5</v>
      </c>
      <c r="G1471" s="56" t="str" cm="1">
        <f t="array" ref="G1471">INDEX(deskripsi!$D$2:$H$337,
   MATCH(1,(deskripsi!$A$2:$A$337=B1471)*
           (deskripsi!$B$2:$B$337=C1471)*
           (deskripsi!$C$2:$C$337=D1471),0),
   F1471)</f>
        <v>Mampu menjelaskan materi yang sama secara meyakinkan kepada audiens yang kepentingannya berbeda atau bertentangan.</v>
      </c>
    </row>
    <row r="1472" spans="1:7">
      <c r="A1472" t="str">
        <f t="shared" si="22"/>
        <v>Communication &amp; Deal with Others|Analyst|3|1</v>
      </c>
      <c r="B1472" t="str">
        <v>Communication &amp; Deal with Others</v>
      </c>
      <c r="C1472" t="str">
        <v>Analyst</v>
      </c>
      <c r="D1472" s="76">
        <v>3</v>
      </c>
      <c r="E1472" t="str" cm="1">
        <f t="array" ref="E1472">INDEX(aspek!$D$2:$D$337,
   MATCH(1,(aspek!$A$2:$A$337=B1472)*
           (aspek!$B$2:$B$337=C1472)*
           (aspek!$C$2:$C$337=D1472),0))</f>
        <v>Menyederhanakan tanpa kehilangan makna</v>
      </c>
      <c r="F1472" s="76">
        <v>1</v>
      </c>
      <c r="G1472" s="56" t="str" cm="1">
        <f t="array" ref="G1472">INDEX(deskripsi!$D$2:$H$337,
   MATCH(1,(deskripsi!$A$2:$A$337=B1472)*
           (deskripsi!$B$2:$B$337=C1472)*
           (deskripsi!$C$2:$C$337=D1472),0),
   F1472)</f>
        <v>Menyampaikan apa adanya dengan seluruh istilah teknis, atau menyederhanakan sampai maknanya berubah.</v>
      </c>
    </row>
    <row r="1473" spans="1:7">
      <c r="A1473" t="str">
        <f t="shared" si="22"/>
        <v>Communication &amp; Deal with Others|Analyst|3|2</v>
      </c>
      <c r="B1473" t="str">
        <v>Communication &amp; Deal with Others</v>
      </c>
      <c r="C1473" t="str">
        <v>Analyst</v>
      </c>
      <c r="D1473" s="76">
        <v>3</v>
      </c>
      <c r="E1473" t="str" cm="1">
        <f t="array" ref="E1473">INDEX(aspek!$D$2:$D$337,
   MATCH(1,(aspek!$A$2:$A$337=B1473)*
           (aspek!$B$2:$B$337=C1473)*
           (aspek!$C$2:$C$337=D1473),0))</f>
        <v>Menyederhanakan tanpa kehilangan makna</v>
      </c>
      <c r="F1473" s="76">
        <v>2</v>
      </c>
      <c r="G1473" s="56" t="str" cm="1">
        <f t="array" ref="G1473">INDEX(deskripsi!$D$2:$H$337,
   MATCH(1,(deskripsi!$A$2:$A$337=B1473)*
           (deskripsi!$B$2:$B$337=C1473)*
           (deskripsi!$C$2:$C$337=D1473),0),
   F1473)</f>
        <v>Menyederhanakan dengan membuang bagian yang sulit dijelaskan, termasuk bagian yang sebenarnya penting.</v>
      </c>
    </row>
    <row r="1474" spans="1:7">
      <c r="A1474" t="str">
        <f t="shared" si="22"/>
        <v>Communication &amp; Deal with Others|Analyst|3|3</v>
      </c>
      <c r="B1474" t="str">
        <v>Communication &amp; Deal with Others</v>
      </c>
      <c r="C1474" t="str">
        <v>Analyst</v>
      </c>
      <c r="D1474" s="76">
        <v>3</v>
      </c>
      <c r="E1474" t="str" cm="1">
        <f t="array" ref="E1474">INDEX(aspek!$D$2:$D$337,
   MATCH(1,(aspek!$A$2:$A$337=B1474)*
           (aspek!$B$2:$B$337=C1474)*
           (aspek!$C$2:$C$337=D1474),0))</f>
        <v>Menyederhanakan tanpa kehilangan makna</v>
      </c>
      <c r="F1474" s="76">
        <v>3</v>
      </c>
      <c r="G1474" s="56" t="str" cm="1">
        <f t="array" ref="G1474">INDEX(deskripsi!$D$2:$H$337,
   MATCH(1,(deskripsi!$A$2:$A$337=B1474)*
           (deskripsi!$B$2:$B$337=C1474)*
           (deskripsi!$C$2:$C$337=D1474),0),
   F1474)</f>
        <v>Menerjemahkan istilah teknis ke bahasa yang dapat dipahami dengan tetap menjaga arti aslinya.</v>
      </c>
    </row>
    <row r="1475" spans="1:7">
      <c r="A1475" t="str">
        <f t="shared" ref="A1475:A1538" si="23">B1475&amp;"|"&amp;C1475&amp;"|"&amp;D1475&amp;"|"&amp;F1475</f>
        <v>Communication &amp; Deal with Others|Analyst|3|4</v>
      </c>
      <c r="B1475" t="str">
        <v>Communication &amp; Deal with Others</v>
      </c>
      <c r="C1475" t="str">
        <v>Analyst</v>
      </c>
      <c r="D1475" s="76">
        <v>3</v>
      </c>
      <c r="E1475" t="str" cm="1">
        <f t="array" ref="E1475">INDEX(aspek!$D$2:$D$337,
   MATCH(1,(aspek!$A$2:$A$337=B1475)*
           (aspek!$B$2:$B$337=C1475)*
           (aspek!$C$2:$C$337=D1475),0))</f>
        <v>Menyederhanakan tanpa kehilangan makna</v>
      </c>
      <c r="F1475" s="76">
        <v>4</v>
      </c>
      <c r="G1475" s="56" t="str" cm="1">
        <f t="array" ref="G1475">INDEX(deskripsi!$D$2:$H$337,
   MATCH(1,(deskripsi!$A$2:$A$337=B1475)*
           (deskripsi!$B$2:$B$337=C1475)*
           (deskripsi!$C$2:$C$337=D1475),0),
   F1475)</f>
        <v>Menggunakan analogi, contoh konkret, dan visual untuk menjelaskan hal rumit, sambil tetap menandai batas dan pengecualian yang wajib diketahui pendengar.</v>
      </c>
    </row>
    <row r="1476" spans="1:7">
      <c r="A1476" t="str">
        <f t="shared" si="23"/>
        <v>Communication &amp; Deal with Others|Analyst|3|5</v>
      </c>
      <c r="B1476" t="str">
        <v>Communication &amp; Deal with Others</v>
      </c>
      <c r="C1476" t="str">
        <v>Analyst</v>
      </c>
      <c r="D1476" s="76">
        <v>3</v>
      </c>
      <c r="E1476" t="str" cm="1">
        <f t="array" ref="E1476">INDEX(aspek!$D$2:$D$337,
   MATCH(1,(aspek!$A$2:$A$337=B1476)*
           (aspek!$B$2:$B$337=C1476)*
           (aspek!$C$2:$C$337=D1476),0))</f>
        <v>Menyederhanakan tanpa kehilangan makna</v>
      </c>
      <c r="F1476" s="76">
        <v>5</v>
      </c>
      <c r="G1476" s="56" t="str" cm="1">
        <f t="array" ref="G1476">INDEX(deskripsi!$D$2:$H$337,
   MATCH(1,(deskripsi!$A$2:$A$337=B1476)*
           (deskripsi!$B$2:$B$337=C1476)*
           (deskripsi!$C$2:$C$337=D1476),0),
   F1476)</f>
        <v>Ringkasannya dipakai orang lain sebagai rujukan karena dianggap lebih jelas daripada dokumen aslinya.</v>
      </c>
    </row>
    <row r="1477" spans="1:7">
      <c r="A1477" t="str">
        <f t="shared" si="23"/>
        <v>Communication &amp; Deal with Others|Analyst|4|1</v>
      </c>
      <c r="B1477" t="str">
        <v>Communication &amp; Deal with Others</v>
      </c>
      <c r="C1477" t="str">
        <v>Analyst</v>
      </c>
      <c r="D1477" s="76">
        <v>4</v>
      </c>
      <c r="E1477" t="str" cm="1">
        <f t="array" ref="E1477">INDEX(aspek!$D$2:$D$337,
   MATCH(1,(aspek!$A$2:$A$337=B1477)*
           (aspek!$B$2:$B$337=C1477)*
           (aspek!$C$2:$C$337=D1477),0))</f>
        <v>Bukti pemahaman audiens</v>
      </c>
      <c r="F1477" s="76">
        <v>1</v>
      </c>
      <c r="G1477" s="56" t="str" cm="1">
        <f t="array" ref="G1477">INDEX(deskripsi!$D$2:$H$337,
   MATCH(1,(deskripsi!$A$2:$A$337=B1477)*
           (deskripsi!$B$2:$B$337=C1477)*
           (deskripsi!$C$2:$C$337=D1477),0),
   F1477)</f>
        <v>Pendengar sering salah menangkap maksud; pekerjaan harus diulang karena salah paham.</v>
      </c>
    </row>
    <row r="1478" spans="1:7">
      <c r="A1478" t="str">
        <f t="shared" si="23"/>
        <v>Communication &amp; Deal with Others|Analyst|4|2</v>
      </c>
      <c r="B1478" t="str">
        <v>Communication &amp; Deal with Others</v>
      </c>
      <c r="C1478" t="str">
        <v>Analyst</v>
      </c>
      <c r="D1478" s="76">
        <v>4</v>
      </c>
      <c r="E1478" t="str" cm="1">
        <f t="array" ref="E1478">INDEX(aspek!$D$2:$D$337,
   MATCH(1,(aspek!$A$2:$A$337=B1478)*
           (aspek!$B$2:$B$337=C1478)*
           (aspek!$C$2:$C$337=D1478),0))</f>
        <v>Bukti pemahaman audiens</v>
      </c>
      <c r="F1478" s="76">
        <v>2</v>
      </c>
      <c r="G1478" s="56" t="str" cm="1">
        <f t="array" ref="G1478">INDEX(deskripsi!$D$2:$H$337,
   MATCH(1,(deskripsi!$A$2:$A$337=B1478)*
           (deskripsi!$B$2:$B$337=C1478)*
           (deskripsi!$C$2:$C$337=D1478),0),
   F1478)</f>
        <v>Pendengar perlu bertanya berulang kali untuk hal yang seharusnya sudah jelas dari penjelasannya.</v>
      </c>
    </row>
    <row r="1479" spans="1:7">
      <c r="A1479" t="str">
        <f t="shared" si="23"/>
        <v>Communication &amp; Deal with Others|Analyst|4|3</v>
      </c>
      <c r="B1479" t="str">
        <v>Communication &amp; Deal with Others</v>
      </c>
      <c r="C1479" t="str">
        <v>Analyst</v>
      </c>
      <c r="D1479" s="76">
        <v>4</v>
      </c>
      <c r="E1479" t="str" cm="1">
        <f t="array" ref="E1479">INDEX(aspek!$D$2:$D$337,
   MATCH(1,(aspek!$A$2:$A$337=B1479)*
           (aspek!$B$2:$B$337=C1479)*
           (aspek!$C$2:$C$337=D1479),0))</f>
        <v>Bukti pemahaman audiens</v>
      </c>
      <c r="F1479" s="76">
        <v>3</v>
      </c>
      <c r="G1479" s="56" t="str" cm="1">
        <f t="array" ref="G1479">INDEX(deskripsi!$D$2:$H$337,
   MATCH(1,(deskripsi!$A$2:$A$337=B1479)*
           (deskripsi!$B$2:$B$337=C1479)*
           (deskripsi!$C$2:$C$337=D1479),0),
   F1479)</f>
        <v>Pendengar memahami inti penjelasan, meski beberapa detail masih perlu ditanyakan.</v>
      </c>
    </row>
    <row r="1480" spans="1:7">
      <c r="A1480" t="str">
        <f t="shared" si="23"/>
        <v>Communication &amp; Deal with Others|Analyst|4|4</v>
      </c>
      <c r="B1480" t="str">
        <v>Communication &amp; Deal with Others</v>
      </c>
      <c r="C1480" t="str">
        <v>Analyst</v>
      </c>
      <c r="D1480" s="76">
        <v>4</v>
      </c>
      <c r="E1480" t="str" cm="1">
        <f t="array" ref="E1480">INDEX(aspek!$D$2:$D$337,
   MATCH(1,(aspek!$A$2:$A$337=B1480)*
           (aspek!$B$2:$B$337=C1480)*
           (aspek!$C$2:$C$337=D1480),0))</f>
        <v>Bukti pemahaman audiens</v>
      </c>
      <c r="F1480" s="76">
        <v>4</v>
      </c>
      <c r="G1480" s="56" t="str" cm="1">
        <f t="array" ref="G1480">INDEX(deskripsi!$D$2:$H$337,
   MATCH(1,(deskripsi!$A$2:$A$337=B1480)*
           (deskripsi!$B$2:$B$337=C1480)*
           (deskripsi!$C$2:$C$337=D1480),0),
   F1480)</f>
        <v>Pendengar mampu menjelaskan ulang isinya dengan bahasa sendiri sesuai maksud aslinya; pertanyaan yang muncul bersifat pendalaman, bukan pengulangan.</v>
      </c>
    </row>
    <row r="1481" spans="1:7">
      <c r="A1481" t="str">
        <f t="shared" si="23"/>
        <v>Communication &amp; Deal with Others|Analyst|4|5</v>
      </c>
      <c r="B1481" t="str">
        <v>Communication &amp; Deal with Others</v>
      </c>
      <c r="C1481" t="str">
        <v>Analyst</v>
      </c>
      <c r="D1481" s="76">
        <v>4</v>
      </c>
      <c r="E1481" t="str" cm="1">
        <f t="array" ref="E1481">INDEX(aspek!$D$2:$D$337,
   MATCH(1,(aspek!$A$2:$A$337=B1481)*
           (aspek!$B$2:$B$337=C1481)*
           (aspek!$C$2:$C$337=D1481),0))</f>
        <v>Bukti pemahaman audiens</v>
      </c>
      <c r="F1481" s="76">
        <v>5</v>
      </c>
      <c r="G1481" s="56" t="str" cm="1">
        <f t="array" ref="G1481">INDEX(deskripsi!$D$2:$H$337,
   MATCH(1,(deskripsi!$A$2:$A$337=B1481)*
           (deskripsi!$B$2:$B$337=C1481)*
           (deskripsi!$C$2:$C$337=D1481),0),
   F1481)</f>
        <v>Pendengar dapat meneruskan penjelasan itu kepada orang lain dengan tepat tanpa kehadiran penyusunnya.</v>
      </c>
    </row>
    <row r="1482" spans="1:7">
      <c r="A1482" t="str">
        <f t="shared" si="23"/>
        <v>Communication &amp; Deal with Others|Unit Head/Specialist|1|1</v>
      </c>
      <c r="B1482" t="str">
        <v>Communication &amp; Deal with Others</v>
      </c>
      <c r="C1482" t="str">
        <v>Unit Head/Specialist</v>
      </c>
      <c r="D1482" s="76">
        <v>1</v>
      </c>
      <c r="E1482" t="str" cm="1">
        <f t="array" ref="E1482">INDEX(aspek!$D$2:$D$337,
   MATCH(1,(aspek!$A$2:$A$337=B1482)*
           (aspek!$B$2:$B$337=C1482)*
           (aspek!$C$2:$C$337=D1482),0))</f>
        <v>Kedalaman pemetaan</v>
      </c>
      <c r="F1482" s="76">
        <v>1</v>
      </c>
      <c r="G1482" s="56" t="str" cm="1">
        <f t="array" ref="G1482">INDEX(deskripsi!$D$2:$H$337,
   MATCH(1,(deskripsi!$A$2:$A$337=B1482)*
           (deskripsi!$B$2:$B$337=C1482)*
           (deskripsi!$C$2:$C$337=D1482),0),
   F1482)</f>
        <v>Hanya mengetahui posisi yang dinyatakan pihak lain; tidak menelusuri apa pun di baliknya.</v>
      </c>
    </row>
    <row r="1483" spans="1:7">
      <c r="A1483" t="str">
        <f t="shared" si="23"/>
        <v>Communication &amp; Deal with Others|Unit Head/Specialist|1|2</v>
      </c>
      <c r="B1483" t="str">
        <v>Communication &amp; Deal with Others</v>
      </c>
      <c r="C1483" t="str">
        <v>Unit Head/Specialist</v>
      </c>
      <c r="D1483" s="76">
        <v>1</v>
      </c>
      <c r="E1483" t="str" cm="1">
        <f t="array" ref="E1483">INDEX(aspek!$D$2:$D$337,
   MATCH(1,(aspek!$A$2:$A$337=B1483)*
           (aspek!$B$2:$B$337=C1483)*
           (aspek!$C$2:$C$337=D1483),0))</f>
        <v>Kedalaman pemetaan</v>
      </c>
      <c r="F1483" s="76">
        <v>2</v>
      </c>
      <c r="G1483" s="56" t="str" cm="1">
        <f t="array" ref="G1483">INDEX(deskripsi!$D$2:$H$337,
   MATCH(1,(deskripsi!$A$2:$A$337=B1483)*
           (deskripsi!$B$2:$B$337=C1483)*
           (deskripsi!$C$2:$C$337=D1483),0),
   F1483)</f>
        <v>Menebak alasan pihak lain berdasarkan pengalaman sendiri, tanpa memeriksanya kepada yang bersangkutan.</v>
      </c>
    </row>
    <row r="1484" spans="1:7">
      <c r="A1484" t="str">
        <f t="shared" si="23"/>
        <v>Communication &amp; Deal with Others|Unit Head/Specialist|1|3</v>
      </c>
      <c r="B1484" t="str">
        <v>Communication &amp; Deal with Others</v>
      </c>
      <c r="C1484" t="str">
        <v>Unit Head/Specialist</v>
      </c>
      <c r="D1484" s="76">
        <v>1</v>
      </c>
      <c r="E1484" t="str" cm="1">
        <f t="array" ref="E1484">INDEX(aspek!$D$2:$D$337,
   MATCH(1,(aspek!$A$2:$A$337=B1484)*
           (aspek!$B$2:$B$337=C1484)*
           (aspek!$C$2:$C$337=D1484),0))</f>
        <v>Kedalaman pemetaan</v>
      </c>
      <c r="F1484" s="76">
        <v>3</v>
      </c>
      <c r="G1484" s="56" t="str" cm="1">
        <f t="array" ref="G1484">INDEX(deskripsi!$D$2:$H$337,
   MATCH(1,(deskripsi!$A$2:$A$337=B1484)*
           (deskripsi!$B$2:$B$337=C1484)*
           (deskripsi!$C$2:$C$337=D1484),0),
   F1484)</f>
        <v>Memahami alasan pihak lain bila alasan itu dijelaskan secara logis kepadanya.</v>
      </c>
    </row>
    <row r="1485" spans="1:7">
      <c r="A1485" t="str">
        <f t="shared" si="23"/>
        <v>Communication &amp; Deal with Others|Unit Head/Specialist|1|4</v>
      </c>
      <c r="B1485" t="str">
        <v>Communication &amp; Deal with Others</v>
      </c>
      <c r="C1485" t="str">
        <v>Unit Head/Specialist</v>
      </c>
      <c r="D1485" s="76">
        <v>1</v>
      </c>
      <c r="E1485" t="str" cm="1">
        <f t="array" ref="E1485">INDEX(aspek!$D$2:$D$337,
   MATCH(1,(aspek!$A$2:$A$337=B1485)*
           (aspek!$B$2:$B$337=C1485)*
           (aspek!$C$2:$C$337=D1485),0))</f>
        <v>Kedalaman pemetaan</v>
      </c>
      <c r="F1485" s="76">
        <v>4</v>
      </c>
      <c r="G1485" s="56" t="str" cm="1">
        <f t="array" ref="G1485">INDEX(deskripsi!$D$2:$H$337,
   MATCH(1,(deskripsi!$A$2:$A$337=B1485)*
           (deskripsi!$B$2:$B$337=C1485)*
           (deskripsi!$C$2:$C$337=D1485),0),
   F1485)</f>
        <v>Menggali sampai menemukan kepentingan yang dijaga, batasan yang mengikat, dan asumsi yang dipakai pihak lain — termasuk yang tidak dinyatakan langsung.</v>
      </c>
    </row>
    <row r="1486" spans="1:7">
      <c r="A1486" t="str">
        <f t="shared" si="23"/>
        <v>Communication &amp; Deal with Others|Unit Head/Specialist|1|5</v>
      </c>
      <c r="B1486" t="str">
        <v>Communication &amp; Deal with Others</v>
      </c>
      <c r="C1486" t="str">
        <v>Unit Head/Specialist</v>
      </c>
      <c r="D1486" s="76">
        <v>1</v>
      </c>
      <c r="E1486" t="str" cm="1">
        <f t="array" ref="E1486">INDEX(aspek!$D$2:$D$337,
   MATCH(1,(aspek!$A$2:$A$337=B1486)*
           (aspek!$B$2:$B$337=C1486)*
           (aspek!$C$2:$C$337=D1486),0))</f>
        <v>Kedalaman pemetaan</v>
      </c>
      <c r="F1486" s="76">
        <v>5</v>
      </c>
      <c r="G1486" s="56" t="str" cm="1">
        <f t="array" ref="G1486">INDEX(deskripsi!$D$2:$H$337,
   MATCH(1,(deskripsi!$A$2:$A$337=B1486)*
           (deskripsi!$B$2:$B$337=C1486)*
           (deskripsi!$C$2:$C$337=D1486),0),
   F1486)</f>
        <v>Mampu memetakan beberapa pihak yang kepentingannya saling bertentangan sekaligus, dan menunjukkan di mana persisnya titik benturannya.</v>
      </c>
    </row>
    <row r="1487" spans="1:7">
      <c r="A1487" t="str">
        <f t="shared" si="23"/>
        <v>Communication &amp; Deal with Others|Unit Head/Specialist|2|1</v>
      </c>
      <c r="B1487" t="str">
        <v>Communication &amp; Deal with Others</v>
      </c>
      <c r="C1487" t="str">
        <v>Unit Head/Specialist</v>
      </c>
      <c r="D1487" s="76">
        <v>2</v>
      </c>
      <c r="E1487" t="str" cm="1">
        <f t="array" ref="E1487">INDEX(aspek!$D$2:$D$337,
   MATCH(1,(aspek!$A$2:$A$337=B1487)*
           (aspek!$B$2:$B$337=C1487)*
           (aspek!$C$2:$C$337=D1487),0))</f>
        <v>Ketahanan pada perspektif orang lain</v>
      </c>
      <c r="F1487" s="76">
        <v>1</v>
      </c>
      <c r="G1487" s="56" t="str" cm="1">
        <f t="array" ref="G1487">INDEX(deskripsi!$D$2:$H$337,
   MATCH(1,(deskripsi!$A$2:$A$337=B1487)*
           (deskripsi!$B$2:$B$337=C1487)*
           (deskripsi!$C$2:$C$337=D1487),0),
   F1487)</f>
        <v>Bertahan pada pandangan sendiri; pandangan lain dianggap salah paham atau kurang informasi.</v>
      </c>
    </row>
    <row r="1488" spans="1:7">
      <c r="A1488" t="str">
        <f t="shared" si="23"/>
        <v>Communication &amp; Deal with Others|Unit Head/Specialist|2|2</v>
      </c>
      <c r="B1488" t="str">
        <v>Communication &amp; Deal with Others</v>
      </c>
      <c r="C1488" t="str">
        <v>Unit Head/Specialist</v>
      </c>
      <c r="D1488" s="76">
        <v>2</v>
      </c>
      <c r="E1488" t="str" cm="1">
        <f t="array" ref="E1488">INDEX(aspek!$D$2:$D$337,
   MATCH(1,(aspek!$A$2:$A$337=B1488)*
           (aspek!$B$2:$B$337=C1488)*
           (aspek!$C$2:$C$337=D1488),0))</f>
        <v>Ketahanan pada perspektif orang lain</v>
      </c>
      <c r="F1488" s="76">
        <v>2</v>
      </c>
      <c r="G1488" s="56" t="str" cm="1">
        <f t="array" ref="G1488">INDEX(deskripsi!$D$2:$H$337,
   MATCH(1,(deskripsi!$A$2:$A$337=B1488)*
           (deskripsi!$B$2:$B$337=C1488)*
           (deskripsi!$C$2:$C$337=D1488),0),
   F1488)</f>
        <v>Mencoba memahami, tetapi cepat kembali ke perspektif awal ketika penjelasannya mulai rumit.</v>
      </c>
    </row>
    <row r="1489" spans="1:7">
      <c r="A1489" t="str">
        <f t="shared" si="23"/>
        <v>Communication &amp; Deal with Others|Unit Head/Specialist|2|3</v>
      </c>
      <c r="B1489" t="str">
        <v>Communication &amp; Deal with Others</v>
      </c>
      <c r="C1489" t="str">
        <v>Unit Head/Specialist</v>
      </c>
      <c r="D1489" s="76">
        <v>2</v>
      </c>
      <c r="E1489" t="str" cm="1">
        <f t="array" ref="E1489">INDEX(aspek!$D$2:$D$337,
   MATCH(1,(aspek!$A$2:$A$337=B1489)*
           (aspek!$B$2:$B$337=C1489)*
           (aspek!$C$2:$C$337=D1489),0))</f>
        <v>Ketahanan pada perspektif orang lain</v>
      </c>
      <c r="F1489" s="76">
        <v>3</v>
      </c>
      <c r="G1489" s="56" t="str" cm="1">
        <f t="array" ref="G1489">INDEX(deskripsi!$D$2:$H$337,
   MATCH(1,(deskripsi!$A$2:$A$337=B1489)*
           (deskripsi!$B$2:$B$337=C1489)*
           (deskripsi!$C$2:$C$337=D1489),0),
   F1489)</f>
        <v>Bertahan mengikuti alur pikir pihak lain selama penjelasannya runtut dan masuk akal baginya.</v>
      </c>
    </row>
    <row r="1490" spans="1:7">
      <c r="A1490" t="str">
        <f t="shared" si="23"/>
        <v>Communication &amp; Deal with Others|Unit Head/Specialist|2|4</v>
      </c>
      <c r="B1490" t="str">
        <v>Communication &amp; Deal with Others</v>
      </c>
      <c r="C1490" t="str">
        <v>Unit Head/Specialist</v>
      </c>
      <c r="D1490" s="76">
        <v>2</v>
      </c>
      <c r="E1490" t="str" cm="1">
        <f t="array" ref="E1490">INDEX(aspek!$D$2:$D$337,
   MATCH(1,(aspek!$A$2:$A$337=B1490)*
           (aspek!$B$2:$B$337=C1490)*
           (aspek!$C$2:$C$337=D1490),0))</f>
        <v>Ketahanan pada perspektif orang lain</v>
      </c>
      <c r="F1490" s="76">
        <v>4</v>
      </c>
      <c r="G1490" s="56" t="str" cm="1">
        <f t="array" ref="G1490">INDEX(deskripsi!$D$2:$H$337,
   MATCH(1,(deskripsi!$A$2:$A$337=B1490)*
           (deskripsi!$B$2:$B$337=C1490)*
           (deskripsi!$C$2:$C$337=D1490),0),
   F1490)</f>
        <v>Tetap menggali meski penjelasan pihak lain tidak runtut, tidak nyaman didengar, atau bertentangan dengan kepentingannya sendiri.</v>
      </c>
    </row>
    <row r="1491" spans="1:7">
      <c r="A1491" t="str">
        <f t="shared" si="23"/>
        <v>Communication &amp; Deal with Others|Unit Head/Specialist|2|5</v>
      </c>
      <c r="B1491" t="str">
        <v>Communication &amp; Deal with Others</v>
      </c>
      <c r="C1491" t="str">
        <v>Unit Head/Specialist</v>
      </c>
      <c r="D1491" s="76">
        <v>2</v>
      </c>
      <c r="E1491" t="str" cm="1">
        <f t="array" ref="E1491">INDEX(aspek!$D$2:$D$337,
   MATCH(1,(aspek!$A$2:$A$337=B1491)*
           (aspek!$B$2:$B$337=C1491)*
           (aspek!$C$2:$C$337=D1491),0))</f>
        <v>Ketahanan pada perspektif orang lain</v>
      </c>
      <c r="F1491" s="76">
        <v>5</v>
      </c>
      <c r="G1491" s="56" t="str" cm="1">
        <f t="array" ref="G1491">INDEX(deskripsi!$D$2:$H$337,
   MATCH(1,(deskripsi!$A$2:$A$337=B1491)*
           (deskripsi!$B$2:$B$337=C1491)*
           (deskripsi!$C$2:$C$337=D1491),0),
   F1491)</f>
        <v>Menyadari sudut pandangnya sendiri sebagai salah satu perspektif — mampu menyebut kepentingan dan asumsinya sendiri dengan format yang sama seperti yang ia pakai untuk pihak lain.</v>
      </c>
    </row>
    <row r="1492" spans="1:7">
      <c r="A1492" t="str">
        <f t="shared" si="23"/>
        <v>Communication &amp; Deal with Others|Unit Head/Specialist|3|1</v>
      </c>
      <c r="B1492" t="str">
        <v>Communication &amp; Deal with Others</v>
      </c>
      <c r="C1492" t="str">
        <v>Unit Head/Specialist</v>
      </c>
      <c r="D1492" s="76">
        <v>3</v>
      </c>
      <c r="E1492" t="str" cm="1">
        <f t="array" ref="E1492">INDEX(aspek!$D$2:$D$337,
   MATCH(1,(aspek!$A$2:$A$337=B1492)*
           (aspek!$B$2:$B$337=C1492)*
           (aspek!$C$2:$C$337=D1492),0))</f>
        <v>Memisahkan memahami dari menyetuju</v>
      </c>
      <c r="F1492" s="76">
        <v>1</v>
      </c>
      <c r="G1492" s="56" t="str" cm="1">
        <f t="array" ref="G1492">INDEX(deskripsi!$D$2:$H$337,
   MATCH(1,(deskripsi!$A$2:$A$337=B1492)*
           (deskripsi!$B$2:$B$337=C1492)*
           (deskripsi!$C$2:$C$337=D1492),0),
   F1492)</f>
        <v>Menganggap menggali sudut pandang lain sebagai tanda mengalah, sehingga menghindarinya.</v>
      </c>
    </row>
    <row r="1493" spans="1:7">
      <c r="A1493" t="str">
        <f t="shared" si="23"/>
        <v>Communication &amp; Deal with Others|Unit Head/Specialist|3|2</v>
      </c>
      <c r="B1493" t="str">
        <v>Communication &amp; Deal with Others</v>
      </c>
      <c r="C1493" t="str">
        <v>Unit Head/Specialist</v>
      </c>
      <c r="D1493" s="76">
        <v>3</v>
      </c>
      <c r="E1493" t="str" cm="1">
        <f t="array" ref="E1493">INDEX(aspek!$D$2:$D$337,
   MATCH(1,(aspek!$A$2:$A$337=B1493)*
           (aspek!$B$2:$B$337=C1493)*
           (aspek!$C$2:$C$337=D1493),0))</f>
        <v>Memisahkan memahami dari menyetuju</v>
      </c>
      <c r="F1493" s="76">
        <v>2</v>
      </c>
      <c r="G1493" s="56" t="str" cm="1">
        <f t="array" ref="G1493">INDEX(deskripsi!$D$2:$H$337,
   MATCH(1,(deskripsi!$A$2:$A$337=B1493)*
           (deskripsi!$B$2:$B$337=C1493)*
           (deskripsi!$C$2:$C$337=D1493),0),
   F1493)</f>
        <v>Menggali hanya ketika kemungkinan besar akan menyetujui; berhenti menggali begitu tahu ia akan menolak.</v>
      </c>
    </row>
    <row r="1494" spans="1:7">
      <c r="A1494" t="str">
        <f t="shared" si="23"/>
        <v>Communication &amp; Deal with Others|Unit Head/Specialist|3|3</v>
      </c>
      <c r="B1494" t="str">
        <v>Communication &amp; Deal with Others</v>
      </c>
      <c r="C1494" t="str">
        <v>Unit Head/Specialist</v>
      </c>
      <c r="D1494" s="76">
        <v>3</v>
      </c>
      <c r="E1494" t="str" cm="1">
        <f t="array" ref="E1494">INDEX(aspek!$D$2:$D$337,
   MATCH(1,(aspek!$A$2:$A$337=B1494)*
           (aspek!$B$2:$B$337=C1494)*
           (aspek!$C$2:$C$337=D1494),0))</f>
        <v>Memisahkan memahami dari menyetuju</v>
      </c>
      <c r="F1494" s="76">
        <v>3</v>
      </c>
      <c r="G1494" s="56" t="str" cm="1">
        <f t="array" ref="G1494">INDEX(deskripsi!$D$2:$H$337,
   MATCH(1,(deskripsi!$A$2:$A$337=B1494)*
           (deskripsi!$B$2:$B$337=C1494)*
           (deskripsi!$C$2:$C$337=D1494),0),
   F1494)</f>
        <v>Menggali sudut pandang lain, tetapi rumusannya terdengar seperti versi yang mudah dibantah.</v>
      </c>
    </row>
    <row r="1495" spans="1:7">
      <c r="A1495" t="str">
        <f t="shared" si="23"/>
        <v>Communication &amp; Deal with Others|Unit Head/Specialist|3|4</v>
      </c>
      <c r="B1495" t="str">
        <v>Communication &amp; Deal with Others</v>
      </c>
      <c r="C1495" t="str">
        <v>Unit Head/Specialist</v>
      </c>
      <c r="D1495" s="76">
        <v>3</v>
      </c>
      <c r="E1495" t="str" cm="1">
        <f t="array" ref="E1495">INDEX(aspek!$D$2:$D$337,
   MATCH(1,(aspek!$A$2:$A$337=B1495)*
           (aspek!$B$2:$B$337=C1495)*
           (aspek!$C$2:$C$337=D1495),0))</f>
        <v>Memisahkan memahami dari menyetuju</v>
      </c>
      <c r="F1495" s="76">
        <v>4</v>
      </c>
      <c r="G1495" s="56" t="str" cm="1">
        <f t="array" ref="G1495">INDEX(deskripsi!$D$2:$H$337,
   MATCH(1,(deskripsi!$A$2:$A$337=B1495)*
           (deskripsi!$B$2:$B$337=C1495)*
           (deskripsi!$C$2:$C$337=D1495),0),
   F1495)</f>
        <v>Mampu merumuskan argumen pihak yang ia tolak dalam versi terkuatnya, dan tetap menggali meski sudah tahu keputusannya akan berbeda.</v>
      </c>
    </row>
    <row r="1496" spans="1:7">
      <c r="A1496" t="str">
        <f t="shared" si="23"/>
        <v>Communication &amp; Deal with Others|Unit Head/Specialist|3|5</v>
      </c>
      <c r="B1496" t="str">
        <v>Communication &amp; Deal with Others</v>
      </c>
      <c r="C1496" t="str">
        <v>Unit Head/Specialist</v>
      </c>
      <c r="D1496" s="76">
        <v>3</v>
      </c>
      <c r="E1496" t="str" cm="1">
        <f t="array" ref="E1496">INDEX(aspek!$D$2:$D$337,
   MATCH(1,(aspek!$A$2:$A$337=B1496)*
           (aspek!$B$2:$B$337=C1496)*
           (aspek!$C$2:$C$337=D1496),0))</f>
        <v>Memisahkan memahami dari menyetuju</v>
      </c>
      <c r="F1496" s="76">
        <v>5</v>
      </c>
      <c r="G1496" s="56" t="str" cm="1">
        <f t="array" ref="G1496">INDEX(deskripsi!$D$2:$H$337,
   MATCH(1,(deskripsi!$A$2:$A$337=B1496)*
           (deskripsi!$B$2:$B$337=C1496)*
           (deskripsi!$C$2:$C$337=D1496),0),
   F1496)</f>
        <v>Dipercaya pihak yang berseberangan untuk menjelaskan posisi mereka kepada pihak ketiga, karena dianggap menggambarkannya dengan adil.</v>
      </c>
    </row>
    <row r="1497" spans="1:7">
      <c r="A1497" t="str">
        <f t="shared" si="23"/>
        <v>Communication &amp; Deal with Others|Unit Head/Specialist|4|1</v>
      </c>
      <c r="B1497" t="str">
        <v>Communication &amp; Deal with Others</v>
      </c>
      <c r="C1497" t="str">
        <v>Unit Head/Specialist</v>
      </c>
      <c r="D1497" s="76">
        <v>4</v>
      </c>
      <c r="E1497" t="str" cm="1">
        <f t="array" ref="E1497">INDEX(aspek!$D$2:$D$337,
   MATCH(1,(aspek!$A$2:$A$337=B1497)*
           (aspek!$B$2:$B$337=C1497)*
           (aspek!$C$2:$C$337=D1497),0))</f>
        <v>Bukti ketepatan dari pihak yang dipetakan</v>
      </c>
      <c r="F1497" s="76">
        <v>1</v>
      </c>
      <c r="G1497" s="56" t="str" cm="1">
        <f t="array" ref="G1497">INDEX(deskripsi!$D$2:$H$337,
   MATCH(1,(deskripsi!$A$2:$A$337=B1497)*
           (deskripsi!$B$2:$B$337=C1497)*
           (deskripsi!$C$2:$C$337=D1497),0),
   F1497)</f>
        <v>Pihak lain merasa disalahpahami atau merasa maksudnya diputarbalikkan.</v>
      </c>
    </row>
    <row r="1498" spans="1:7">
      <c r="A1498" t="str">
        <f t="shared" si="23"/>
        <v>Communication &amp; Deal with Others|Unit Head/Specialist|4|2</v>
      </c>
      <c r="B1498" t="str">
        <v>Communication &amp; Deal with Others</v>
      </c>
      <c r="C1498" t="str">
        <v>Unit Head/Specialist</v>
      </c>
      <c r="D1498" s="76">
        <v>4</v>
      </c>
      <c r="E1498" t="str" cm="1">
        <f t="array" ref="E1498">INDEX(aspek!$D$2:$D$337,
   MATCH(1,(aspek!$A$2:$A$337=B1498)*
           (aspek!$B$2:$B$337=C1498)*
           (aspek!$C$2:$C$337=D1498),0))</f>
        <v>Bukti ketepatan dari pihak yang dipetakan</v>
      </c>
      <c r="F1498" s="76">
        <v>2</v>
      </c>
      <c r="G1498" s="56" t="str" cm="1">
        <f t="array" ref="G1498">INDEX(deskripsi!$D$2:$H$337,
   MATCH(1,(deskripsi!$A$2:$A$337=B1498)*
           (deskripsi!$B$2:$B$337=C1498)*
           (deskripsi!$C$2:$C$337=D1498),0),
   F1498)</f>
        <v>Pihak lain mengoreksi sebagian besar rumusan yang disampaikan peserta.</v>
      </c>
    </row>
    <row r="1499" spans="1:7">
      <c r="A1499" t="str">
        <f t="shared" si="23"/>
        <v>Communication &amp; Deal with Others|Unit Head/Specialist|4|3</v>
      </c>
      <c r="B1499" t="str">
        <v>Communication &amp; Deal with Others</v>
      </c>
      <c r="C1499" t="str">
        <v>Unit Head/Specialist</v>
      </c>
      <c r="D1499" s="76">
        <v>4</v>
      </c>
      <c r="E1499" t="str" cm="1">
        <f t="array" ref="E1499">INDEX(aspek!$D$2:$D$337,
   MATCH(1,(aspek!$A$2:$A$337=B1499)*
           (aspek!$B$2:$B$337=C1499)*
           (aspek!$C$2:$C$337=D1499),0))</f>
        <v>Bukti ketepatan dari pihak yang dipetakan</v>
      </c>
      <c r="F1499" s="76">
        <v>3</v>
      </c>
      <c r="G1499" s="56" t="str" cm="1">
        <f t="array" ref="G1499">INDEX(deskripsi!$D$2:$H$337,
   MATCH(1,(deskripsi!$A$2:$A$337=B1499)*
           (deskripsi!$B$2:$B$337=C1499)*
           (deskripsi!$C$2:$C$337=D1499),0),
   F1499)</f>
        <v>Pihak lain membenarkan rumusan peserta secara garis besar, dengan beberapa koreksi.</v>
      </c>
    </row>
    <row r="1500" spans="1:7">
      <c r="A1500" t="str">
        <f t="shared" si="23"/>
        <v>Communication &amp; Deal with Others|Unit Head/Specialist|4|4</v>
      </c>
      <c r="B1500" t="str">
        <v>Communication &amp; Deal with Others</v>
      </c>
      <c r="C1500" t="str">
        <v>Unit Head/Specialist</v>
      </c>
      <c r="D1500" s="76">
        <v>4</v>
      </c>
      <c r="E1500" t="str" cm="1">
        <f t="array" ref="E1500">INDEX(aspek!$D$2:$D$337,
   MATCH(1,(aspek!$A$2:$A$337=B1500)*
           (aspek!$B$2:$B$337=C1500)*
           (aspek!$C$2:$C$337=D1500),0))</f>
        <v>Bukti ketepatan dari pihak yang dipetakan</v>
      </c>
      <c r="F1500" s="76">
        <v>4</v>
      </c>
      <c r="G1500" s="56" t="str" cm="1">
        <f t="array" ref="G1500">INDEX(deskripsi!$D$2:$H$337,
   MATCH(1,(deskripsi!$A$2:$A$337=B1500)*
           (deskripsi!$B$2:$B$337=C1500)*
           (deskripsi!$C$2:$C$337=D1500),0),
   F1500)</f>
        <v>Pihak lain mengonfirmasi rumusan peserta sudah tepat tanpa koreksi berarti, termasuk pada bagian kepentingan dan batasan yang tidak pernah ia nyatakan langsung.</v>
      </c>
    </row>
    <row r="1501" spans="1:7">
      <c r="A1501" t="str">
        <f t="shared" si="23"/>
        <v>Communication &amp; Deal with Others|Unit Head/Specialist|4|5</v>
      </c>
      <c r="B1501" t="str">
        <v>Communication &amp; Deal with Others</v>
      </c>
      <c r="C1501" t="str">
        <v>Unit Head/Specialist</v>
      </c>
      <c r="D1501" s="76">
        <v>4</v>
      </c>
      <c r="E1501" t="str" cm="1">
        <f t="array" ref="E1501">INDEX(aspek!$D$2:$D$337,
   MATCH(1,(aspek!$A$2:$A$337=B1501)*
           (aspek!$B$2:$B$337=C1501)*
           (aspek!$C$2:$C$337=D1501),0))</f>
        <v>Bukti ketepatan dari pihak yang dipetakan</v>
      </c>
      <c r="F1501" s="76">
        <v>5</v>
      </c>
      <c r="G1501" s="56" t="str" cm="1">
        <f t="array" ref="G1501">INDEX(deskripsi!$D$2:$H$337,
   MATCH(1,(deskripsi!$A$2:$A$337=B1501)*
           (deskripsi!$B$2:$B$337=C1501)*
           (deskripsi!$C$2:$C$337=D1501),0),
   F1501)</f>
        <v>Pihak lain merasa perspektifnya tergambar lebih jelas daripada ketika ia menyampaikannya sendiri.</v>
      </c>
    </row>
    <row r="1502" spans="1:7">
      <c r="A1502" t="str">
        <f t="shared" si="23"/>
        <v>Communication &amp; Deal with Others|Department Head|1|1</v>
      </c>
      <c r="B1502" t="str">
        <v>Communication &amp; Deal with Others</v>
      </c>
      <c r="C1502" t="str">
        <v>Department Head</v>
      </c>
      <c r="D1502" s="76">
        <v>1</v>
      </c>
      <c r="E1502" t="str" cm="1">
        <f t="array" ref="E1502">INDEX(aspek!$D$2:$D$337,
   MATCH(1,(aspek!$A$2:$A$337=B1502)*
           (aspek!$B$2:$B$337=C1502)*
           (aspek!$C$2:$C$337=D1502),0))</f>
        <v>Keberanian menghadapi</v>
      </c>
      <c r="F1502" s="76">
        <v>1</v>
      </c>
      <c r="G1502" s="56" t="str" cm="1">
        <f t="array" ref="G1502">INDEX(deskripsi!$D$2:$H$337,
   MATCH(1,(deskripsi!$A$2:$A$337=B1502)*
           (deskripsi!$B$2:$B$337=C1502)*
           (deskripsi!$C$2:$C$337=D1502),0),
   F1502)</f>
        <v>Menghindari perbedaan kepentingan; persoalan dibiarkan berlarut atau disampaikan kepada orang lain, bukan kepada pihak yang bersangkutan.</v>
      </c>
    </row>
    <row r="1503" spans="1:7">
      <c r="A1503" t="str">
        <f t="shared" si="23"/>
        <v>Communication &amp; Deal with Others|Department Head|1|2</v>
      </c>
      <c r="B1503" t="str">
        <v>Communication &amp; Deal with Others</v>
      </c>
      <c r="C1503" t="str">
        <v>Department Head</v>
      </c>
      <c r="D1503" s="76">
        <v>1</v>
      </c>
      <c r="E1503" t="str" cm="1">
        <f t="array" ref="E1503">INDEX(aspek!$D$2:$D$337,
   MATCH(1,(aspek!$A$2:$A$337=B1503)*
           (aspek!$B$2:$B$337=C1503)*
           (aspek!$C$2:$C$337=D1503),0))</f>
        <v>Keberanian menghadapi</v>
      </c>
      <c r="F1503" s="76">
        <v>2</v>
      </c>
      <c r="G1503" s="56" t="str" cm="1">
        <f t="array" ref="G1503">INDEX(deskripsi!$D$2:$H$337,
   MATCH(1,(deskripsi!$A$2:$A$337=B1503)*
           (deskripsi!$B$2:$B$337=C1503)*
           (deskripsi!$C$2:$C$337=D1503),0),
   F1503)</f>
        <v>Menghadapi hanya ketika sudah tidak ada pilihan lain, atau hanya ketika lawan bicaranya berjenjang setara atau lebih rendah.</v>
      </c>
    </row>
    <row r="1504" spans="1:7">
      <c r="A1504" t="str">
        <f t="shared" si="23"/>
        <v>Communication &amp; Deal with Others|Department Head|1|3</v>
      </c>
      <c r="B1504" t="str">
        <v>Communication &amp; Deal with Others</v>
      </c>
      <c r="C1504" t="str">
        <v>Department Head</v>
      </c>
      <c r="D1504" s="76">
        <v>1</v>
      </c>
      <c r="E1504" t="str" cm="1">
        <f t="array" ref="E1504">INDEX(aspek!$D$2:$D$337,
   MATCH(1,(aspek!$A$2:$A$337=B1504)*
           (aspek!$B$2:$B$337=C1504)*
           (aspek!$C$2:$C$337=D1504),0))</f>
        <v>Keberanian menghadapi</v>
      </c>
      <c r="F1504" s="76">
        <v>3</v>
      </c>
      <c r="G1504" s="56" t="str" cm="1">
        <f t="array" ref="G1504">INDEX(deskripsi!$D$2:$H$337,
   MATCH(1,(deskripsi!$A$2:$A$337=B1504)*
           (deskripsi!$B$2:$B$337=C1504)*
           (deskripsi!$C$2:$C$337=D1504),0),
   F1504)</f>
        <v>Menyampaikan keberatan langsung kepada pihak yang bersangkutan pada persoalan kerja sehari-hari.</v>
      </c>
    </row>
    <row r="1505" spans="1:7">
      <c r="A1505" t="str">
        <f t="shared" si="23"/>
        <v>Communication &amp; Deal with Others|Department Head|1|4</v>
      </c>
      <c r="B1505" t="str">
        <v>Communication &amp; Deal with Others</v>
      </c>
      <c r="C1505" t="str">
        <v>Department Head</v>
      </c>
      <c r="D1505" s="76">
        <v>1</v>
      </c>
      <c r="E1505" t="str" cm="1">
        <f t="array" ref="E1505">INDEX(aspek!$D$2:$D$337,
   MATCH(1,(aspek!$A$2:$A$337=B1505)*
           (aspek!$B$2:$B$337=C1505)*
           (aspek!$C$2:$C$337=D1505),0))</f>
        <v>Keberanian menghadapi</v>
      </c>
      <c r="F1505" s="76">
        <v>4</v>
      </c>
      <c r="G1505" s="56" t="str" cm="1">
        <f t="array" ref="G1505">INDEX(deskripsi!$D$2:$H$337,
   MATCH(1,(deskripsi!$A$2:$A$337=B1505)*
           (deskripsi!$B$2:$B$337=C1505)*
           (deskripsi!$C$2:$C$337=D1505),0),
   F1505)</f>
        <v>Menghadapi perbedaan kepentingan sejak dini, termasuk dengan pihak yang lebih senior dan ketika ada risiko bagi posisinya sendiri.</v>
      </c>
    </row>
    <row r="1506" spans="1:7">
      <c r="A1506" t="str">
        <f t="shared" si="23"/>
        <v>Communication &amp; Deal with Others|Department Head|1|5</v>
      </c>
      <c r="B1506" t="str">
        <v>Communication &amp; Deal with Others</v>
      </c>
      <c r="C1506" t="str">
        <v>Department Head</v>
      </c>
      <c r="D1506" s="76">
        <v>1</v>
      </c>
      <c r="E1506" t="str" cm="1">
        <f t="array" ref="E1506">INDEX(aspek!$D$2:$D$337,
   MATCH(1,(aspek!$A$2:$A$337=B1506)*
           (aspek!$B$2:$B$337=C1506)*
           (aspek!$C$2:$C$337=D1506),0))</f>
        <v>Keberanian menghadapi</v>
      </c>
      <c r="F1506" s="76">
        <v>5</v>
      </c>
      <c r="G1506" s="56" t="str" cm="1">
        <f t="array" ref="G1506">INDEX(deskripsi!$D$2:$H$337,
   MATCH(1,(deskripsi!$A$2:$A$337=B1506)*
           (deskripsi!$B$2:$B$337=C1506)*
           (deskripsi!$C$2:$C$337=D1506),0),
   F1506)</f>
        <v>Secara sengaja membuka persoalan yang selama ini didiamkan organisasi karena dianggap terlalu sensitif.</v>
      </c>
    </row>
    <row r="1507" spans="1:7">
      <c r="A1507" t="str">
        <f t="shared" si="23"/>
        <v>Communication &amp; Deal with Others|Department Head|2|1</v>
      </c>
      <c r="B1507" t="str">
        <v>Communication &amp; Deal with Others</v>
      </c>
      <c r="C1507" t="str">
        <v>Department Head</v>
      </c>
      <c r="D1507" s="76">
        <v>2</v>
      </c>
      <c r="E1507" t="str" cm="1">
        <f t="array" ref="E1507">INDEX(aspek!$D$2:$D$337,
   MATCH(1,(aspek!$A$2:$A$337=B1507)*
           (aspek!$B$2:$B$337=C1507)*
           (aspek!$C$2:$C$337=D1507),0))</f>
        <v>Pengendalian diri dalam konflik</v>
      </c>
      <c r="F1507" s="76">
        <v>1</v>
      </c>
      <c r="G1507" s="56" t="str" cm="1">
        <f t="array" ref="G1507">INDEX(deskripsi!$D$2:$H$337,
   MATCH(1,(deskripsi!$A$2:$A$337=B1507)*
           (deskripsi!$B$2:$B$337=C1507)*
           (deskripsi!$C$2:$C$337=D1507),0),
   F1507)</f>
        <v>Bereaksi spontan — meninggi, menyerang balik, atau menarik diri sepenuhnya ketika terpancing.</v>
      </c>
    </row>
    <row r="1508" spans="1:7">
      <c r="A1508" t="str">
        <f t="shared" si="23"/>
        <v>Communication &amp; Deal with Others|Department Head|2|2</v>
      </c>
      <c r="B1508" t="str">
        <v>Communication &amp; Deal with Others</v>
      </c>
      <c r="C1508" t="str">
        <v>Department Head</v>
      </c>
      <c r="D1508" s="76">
        <v>2</v>
      </c>
      <c r="E1508" t="str" cm="1">
        <f t="array" ref="E1508">INDEX(aspek!$D$2:$D$337,
   MATCH(1,(aspek!$A$2:$A$337=B1508)*
           (aspek!$B$2:$B$337=C1508)*
           (aspek!$C$2:$C$337=D1508),0))</f>
        <v>Pengendalian diri dalam konflik</v>
      </c>
      <c r="F1508" s="76">
        <v>2</v>
      </c>
      <c r="G1508" s="56" t="str" cm="1">
        <f t="array" ref="G1508">INDEX(deskripsi!$D$2:$H$337,
   MATCH(1,(deskripsi!$A$2:$A$337=B1508)*
           (deskripsi!$B$2:$B$337=C1508)*
           (deskripsi!$C$2:$C$337=D1508),0),
   F1508)</f>
        <v>Menyadari dirinya terpancing, tetapi baru setelah reaksinya terlanjur keluar.</v>
      </c>
    </row>
    <row r="1509" spans="1:7">
      <c r="A1509" t="str">
        <f t="shared" si="23"/>
        <v>Communication &amp; Deal with Others|Department Head|2|3</v>
      </c>
      <c r="B1509" t="str">
        <v>Communication &amp; Deal with Others</v>
      </c>
      <c r="C1509" t="str">
        <v>Department Head</v>
      </c>
      <c r="D1509" s="76">
        <v>2</v>
      </c>
      <c r="E1509" t="str" cm="1">
        <f t="array" ref="E1509">INDEX(aspek!$D$2:$D$337,
   MATCH(1,(aspek!$A$2:$A$337=B1509)*
           (aspek!$B$2:$B$337=C1509)*
           (aspek!$C$2:$C$337=D1509),0))</f>
        <v>Pengendalian diri dalam konflik</v>
      </c>
      <c r="F1509" s="76">
        <v>3</v>
      </c>
      <c r="G1509" s="56" t="str" cm="1">
        <f t="array" ref="G1509">INDEX(deskripsi!$D$2:$H$337,
   MATCH(1,(deskripsi!$A$2:$A$337=B1509)*
           (deskripsi!$B$2:$B$337=C1509)*
           (deskripsi!$C$2:$C$337=D1509),0),
   F1509)</f>
        <v>Menahan reaksi pertama dan tetap sopan, meski percakapan menjadi kaku dan isinya tidak berkembang.</v>
      </c>
    </row>
    <row r="1510" spans="1:7">
      <c r="A1510" t="str">
        <f t="shared" si="23"/>
        <v>Communication &amp; Deal with Others|Department Head|2|4</v>
      </c>
      <c r="B1510" t="str">
        <v>Communication &amp; Deal with Others</v>
      </c>
      <c r="C1510" t="str">
        <v>Department Head</v>
      </c>
      <c r="D1510" s="76">
        <v>2</v>
      </c>
      <c r="E1510" t="str" cm="1">
        <f t="array" ref="E1510">INDEX(aspek!$D$2:$D$337,
   MATCH(1,(aspek!$A$2:$A$337=B1510)*
           (aspek!$B$2:$B$337=C1510)*
           (aspek!$C$2:$C$337=D1510),0))</f>
        <v>Pengendalian diri dalam konflik</v>
      </c>
      <c r="F1510" s="76">
        <v>4</v>
      </c>
      <c r="G1510" s="56" t="str" cm="1">
        <f t="array" ref="G1510">INDEX(deskripsi!$D$2:$H$337,
   MATCH(1,(deskripsi!$A$2:$A$337=B1510)*
           (deskripsi!$B$2:$B$337=C1510)*
           (deskripsi!$C$2:$C$337=D1510),0),
   F1510)</f>
        <v>Mengenali pemicunya sendiri, mengambil jeda, lalu memilih respons yang tetap menggerakkan percakapan ke arah penyelesaian.</v>
      </c>
    </row>
    <row r="1511" spans="1:7">
      <c r="A1511" t="str">
        <f t="shared" si="23"/>
        <v>Communication &amp; Deal with Others|Department Head|2|5</v>
      </c>
      <c r="B1511" t="str">
        <v>Communication &amp; Deal with Others</v>
      </c>
      <c r="C1511" t="str">
        <v>Department Head</v>
      </c>
      <c r="D1511" s="76">
        <v>2</v>
      </c>
      <c r="E1511" t="str" cm="1">
        <f t="array" ref="E1511">INDEX(aspek!$D$2:$D$337,
   MATCH(1,(aspek!$A$2:$A$337=B1511)*
           (aspek!$B$2:$B$337=C1511)*
           (aspek!$C$2:$C$337=D1511),0))</f>
        <v>Pengendalian diri dalam konflik</v>
      </c>
      <c r="F1511" s="76">
        <v>5</v>
      </c>
      <c r="G1511" s="56" t="str" cm="1">
        <f t="array" ref="G1511">INDEX(deskripsi!$D$2:$H$337,
   MATCH(1,(deskripsi!$A$2:$A$337=B1511)*
           (deskripsi!$B$2:$B$337=C1511)*
           (deskripsi!$C$2:$C$337=D1511),0),
   F1511)</f>
        <v>Kehadirannya menurunkan suhu percakapan; pihak lain ikut menjadi lebih terkendali.</v>
      </c>
    </row>
    <row r="1512" spans="1:7">
      <c r="A1512" t="str">
        <f t="shared" si="23"/>
        <v>Communication &amp; Deal with Others|Department Head|3|1</v>
      </c>
      <c r="B1512" t="str">
        <v>Communication &amp; Deal with Others</v>
      </c>
      <c r="C1512" t="str">
        <v>Department Head</v>
      </c>
      <c r="D1512" s="76">
        <v>3</v>
      </c>
      <c r="E1512" t="str" cm="1">
        <f t="array" ref="E1512">INDEX(aspek!$D$2:$D$337,
   MATCH(1,(aspek!$A$2:$A$337=B1512)*
           (aspek!$B$2:$B$337=C1512)*
           (aspek!$C$2:$C$337=D1512),0))</f>
        <v>Fokus pada isu dan orientasi solusi yang adil</v>
      </c>
      <c r="F1512" s="76">
        <v>1</v>
      </c>
      <c r="G1512" s="56" t="str" cm="1">
        <f t="array" ref="G1512">INDEX(deskripsi!$D$2:$H$337,
   MATCH(1,(deskripsi!$A$2:$A$337=B1512)*
           (deskripsi!$B$2:$B$337=C1512)*
           (deskripsi!$C$2:$C$337=D1512),0),
   F1512)</f>
        <v>Perselisihan bergeser ke soal orang — sikap, niat, atau kesalahan masa lalu.</v>
      </c>
    </row>
    <row r="1513" spans="1:7">
      <c r="A1513" t="str">
        <f t="shared" si="23"/>
        <v>Communication &amp; Deal with Others|Department Head|3|2</v>
      </c>
      <c r="B1513" t="str">
        <v>Communication &amp; Deal with Others</v>
      </c>
      <c r="C1513" t="str">
        <v>Department Head</v>
      </c>
      <c r="D1513" s="76">
        <v>3</v>
      </c>
      <c r="E1513" t="str" cm="1">
        <f t="array" ref="E1513">INDEX(aspek!$D$2:$D$337,
   MATCH(1,(aspek!$A$2:$A$337=B1513)*
           (aspek!$B$2:$B$337=C1513)*
           (aspek!$C$2:$C$337=D1513),0))</f>
        <v>Fokus pada isu dan orientasi solusi yang adil</v>
      </c>
      <c r="F1513" s="76">
        <v>2</v>
      </c>
      <c r="G1513" s="56" t="str" cm="1">
        <f t="array" ref="G1513">INDEX(deskripsi!$D$2:$H$337,
   MATCH(1,(deskripsi!$A$2:$A$337=B1513)*
           (deskripsi!$B$2:$B$337=C1513)*
           (deskripsi!$C$2:$C$337=D1513),0),
   F1513)</f>
        <v>Tetap pada isu, tetapi tujuannya memenangkan argumen; solusi yang diajukan hanya menguntungkan pihaknya sendiri.</v>
      </c>
    </row>
    <row r="1514" spans="1:7">
      <c r="A1514" t="str">
        <f t="shared" si="23"/>
        <v>Communication &amp; Deal with Others|Department Head|3|3</v>
      </c>
      <c r="B1514" t="str">
        <v>Communication &amp; Deal with Others</v>
      </c>
      <c r="C1514" t="str">
        <v>Department Head</v>
      </c>
      <c r="D1514" s="76">
        <v>3</v>
      </c>
      <c r="E1514" t="str" cm="1">
        <f t="array" ref="E1514">INDEX(aspek!$D$2:$D$337,
   MATCH(1,(aspek!$A$2:$A$337=B1514)*
           (aspek!$B$2:$B$337=C1514)*
           (aspek!$C$2:$C$337=D1514),0))</f>
        <v>Fokus pada isu dan orientasi solusi yang adil</v>
      </c>
      <c r="F1514" s="76">
        <v>3</v>
      </c>
      <c r="G1514" s="56" t="str" cm="1">
        <f t="array" ref="G1514">INDEX(deskripsi!$D$2:$H$337,
   MATCH(1,(deskripsi!$A$2:$A$337=B1514)*
           (deskripsi!$B$2:$B$337=C1514)*
           (deskripsi!$C$2:$C$337=D1514),0),
   F1514)</f>
        <v>Tetap pada isu dan bersedia berkompromi, umumnya dengan membagi selisih tanpa menelusuri kepentingan di baliknya.</v>
      </c>
    </row>
    <row r="1515" spans="1:7">
      <c r="A1515" t="str">
        <f t="shared" si="23"/>
        <v>Communication &amp; Deal with Others|Department Head|3|4</v>
      </c>
      <c r="B1515" t="str">
        <v>Communication &amp; Deal with Others</v>
      </c>
      <c r="C1515" t="str">
        <v>Department Head</v>
      </c>
      <c r="D1515" s="76">
        <v>3</v>
      </c>
      <c r="E1515" t="str" cm="1">
        <f t="array" ref="E1515">INDEX(aspek!$D$2:$D$337,
   MATCH(1,(aspek!$A$2:$A$337=B1515)*
           (aspek!$B$2:$B$337=C1515)*
           (aspek!$C$2:$C$337=D1515),0))</f>
        <v>Fokus pada isu dan orientasi solusi yang adil</v>
      </c>
      <c r="F1515" s="76">
        <v>4</v>
      </c>
      <c r="G1515" s="56" t="str" cm="1">
        <f t="array" ref="G1515">INDEX(deskripsi!$D$2:$H$337,
   MATCH(1,(deskripsi!$A$2:$A$337=B1515)*
           (deskripsi!$B$2:$B$337=C1515)*
           (deskripsi!$C$2:$C$337=D1515),0),
   F1515)</f>
        <v>Memakai pemetaan kepentingan kedua pihak untuk menyusun solusi yang memenuhi kepentingan pokok keduanya, dan mampu menjelaskan mengapa solusi itu adil.</v>
      </c>
    </row>
    <row r="1516" spans="1:7">
      <c r="A1516" t="str">
        <f t="shared" si="23"/>
        <v>Communication &amp; Deal with Others|Department Head|3|5</v>
      </c>
      <c r="B1516" t="str">
        <v>Communication &amp; Deal with Others</v>
      </c>
      <c r="C1516" t="str">
        <v>Department Head</v>
      </c>
      <c r="D1516" s="76">
        <v>3</v>
      </c>
      <c r="E1516" t="str" cm="1">
        <f t="array" ref="E1516">INDEX(aspek!$D$2:$D$337,
   MATCH(1,(aspek!$A$2:$A$337=B1516)*
           (aspek!$B$2:$B$337=C1516)*
           (aspek!$C$2:$C$337=D1516),0))</f>
        <v>Fokus pada isu dan orientasi solusi yang adil</v>
      </c>
      <c r="F1516" s="76">
        <v>5</v>
      </c>
      <c r="G1516" s="56" t="str" cm="1">
        <f t="array" ref="G1516">INDEX(deskripsi!$D$2:$H$337,
   MATCH(1,(deskripsi!$A$2:$A$337=B1516)*
           (deskripsi!$B$2:$B$337=C1516)*
           (deskripsi!$C$2:$C$337=D1516),0),
   F1516)</f>
        <v>Solusi yang ia hasilkan dipakai sebagai preseden ketika persoalan serupa muncul di tempat lain.</v>
      </c>
    </row>
    <row r="1517" spans="1:7">
      <c r="A1517" t="str">
        <f t="shared" si="23"/>
        <v>Communication &amp; Deal with Others|Department Head|4|1</v>
      </c>
      <c r="B1517" t="str">
        <v>Communication &amp; Deal with Others</v>
      </c>
      <c r="C1517" t="str">
        <v>Department Head</v>
      </c>
      <c r="D1517" s="76">
        <v>4</v>
      </c>
      <c r="E1517" t="str" cm="1">
        <f t="array" ref="E1517">INDEX(aspek!$D$2:$D$337,
   MATCH(1,(aspek!$A$2:$A$337=B1517)*
           (aspek!$B$2:$B$337=C1517)*
           (aspek!$C$2:$C$337=D1517),0))</f>
        <v>Keberlanjutan hubungan kerja setelah konflik</v>
      </c>
      <c r="F1517" s="76">
        <v>1</v>
      </c>
      <c r="G1517" s="56" t="str" cm="1">
        <f t="array" ref="G1517">INDEX(deskripsi!$D$2:$H$337,
   MATCH(1,(deskripsi!$A$2:$A$337=B1517)*
           (deskripsi!$B$2:$B$337=C1517)*
           (deskripsi!$C$2:$C$337=D1517),0),
   F1517)</f>
        <v>Hubungan kerja rusak atau mendingin setelah perselisihan; kerja sama berikutnya terhambat.</v>
      </c>
    </row>
    <row r="1518" spans="1:7">
      <c r="A1518" t="str">
        <f t="shared" si="23"/>
        <v>Communication &amp; Deal with Others|Department Head|4|2</v>
      </c>
      <c r="B1518" t="str">
        <v>Communication &amp; Deal with Others</v>
      </c>
      <c r="C1518" t="str">
        <v>Department Head</v>
      </c>
      <c r="D1518" s="76">
        <v>4</v>
      </c>
      <c r="E1518" t="str" cm="1">
        <f t="array" ref="E1518">INDEX(aspek!$D$2:$D$337,
   MATCH(1,(aspek!$A$2:$A$337=B1518)*
           (aspek!$B$2:$B$337=C1518)*
           (aspek!$C$2:$C$337=D1518),0))</f>
        <v>Keberlanjutan hubungan kerja setelah konflik</v>
      </c>
      <c r="F1518" s="76">
        <v>2</v>
      </c>
      <c r="G1518" s="56" t="str" cm="1">
        <f t="array" ref="G1518">INDEX(deskripsi!$D$2:$H$337,
   MATCH(1,(deskripsi!$A$2:$A$337=B1518)*
           (deskripsi!$B$2:$B$337=C1518)*
           (deskripsi!$C$2:$C$337=D1518),0),
   F1518)</f>
        <v>Hubungan kembali normal hanya setelah waktu berlalu, tanpa pembicaraan penutup.</v>
      </c>
    </row>
    <row r="1519" spans="1:7">
      <c r="A1519" t="str">
        <f t="shared" si="23"/>
        <v>Communication &amp; Deal with Others|Department Head|4|3</v>
      </c>
      <c r="B1519" t="str">
        <v>Communication &amp; Deal with Others</v>
      </c>
      <c r="C1519" t="str">
        <v>Department Head</v>
      </c>
      <c r="D1519" s="76">
        <v>4</v>
      </c>
      <c r="E1519" t="str" cm="1">
        <f t="array" ref="E1519">INDEX(aspek!$D$2:$D$337,
   MATCH(1,(aspek!$A$2:$A$337=B1519)*
           (aspek!$B$2:$B$337=C1519)*
           (aspek!$C$2:$C$337=D1519),0))</f>
        <v>Keberlanjutan hubungan kerja setelah konflik</v>
      </c>
      <c r="F1519" s="76">
        <v>3</v>
      </c>
      <c r="G1519" s="56" t="str" cm="1">
        <f t="array" ref="G1519">INDEX(deskripsi!$D$2:$H$337,
   MATCH(1,(deskripsi!$A$2:$A$337=B1519)*
           (deskripsi!$B$2:$B$337=C1519)*
           (deskripsi!$C$2:$C$337=D1519),0),
   F1519)</f>
        <v>Hubungan kerja tetap berjalan, meski topik yang pernah diperselisihkan sejak itu dihindari kedua pihak.</v>
      </c>
    </row>
    <row r="1520" spans="1:7">
      <c r="A1520" t="str">
        <f t="shared" si="23"/>
        <v>Communication &amp; Deal with Others|Department Head|4|4</v>
      </c>
      <c r="B1520" t="str">
        <v>Communication &amp; Deal with Others</v>
      </c>
      <c r="C1520" t="str">
        <v>Department Head</v>
      </c>
      <c r="D1520" s="76">
        <v>4</v>
      </c>
      <c r="E1520" t="str" cm="1">
        <f t="array" ref="E1520">INDEX(aspek!$D$2:$D$337,
   MATCH(1,(aspek!$A$2:$A$337=B1520)*
           (aspek!$B$2:$B$337=C1520)*
           (aspek!$C$2:$C$337=D1520),0))</f>
        <v>Keberlanjutan hubungan kerja setelah konflik</v>
      </c>
      <c r="F1520" s="76">
        <v>4</v>
      </c>
      <c r="G1520" s="56" t="str" cm="1">
        <f t="array" ref="G1520">INDEX(deskripsi!$D$2:$H$337,
   MATCH(1,(deskripsi!$A$2:$A$337=B1520)*
           (deskripsi!$B$2:$B$337=C1520)*
           (deskripsi!$C$2:$C$337=D1520),0),
   F1520)</f>
        <v>Hubungan kerja tetap produktif dan pihak lawan tetap bersedia berselisih pendapat dengannya di kemudian hari.</v>
      </c>
    </row>
    <row r="1521" spans="1:7">
      <c r="A1521" t="str">
        <f t="shared" si="23"/>
        <v>Communication &amp; Deal with Others|Department Head|4|5</v>
      </c>
      <c r="B1521" t="str">
        <v>Communication &amp; Deal with Others</v>
      </c>
      <c r="C1521" t="str">
        <v>Department Head</v>
      </c>
      <c r="D1521" s="76">
        <v>4</v>
      </c>
      <c r="E1521" t="str" cm="1">
        <f t="array" ref="E1521">INDEX(aspek!$D$2:$D$337,
   MATCH(1,(aspek!$A$2:$A$337=B1521)*
           (aspek!$B$2:$B$337=C1521)*
           (aspek!$C$2:$C$337=D1521),0))</f>
        <v>Keberlanjutan hubungan kerja setelah konflik</v>
      </c>
      <c r="F1521" s="76">
        <v>5</v>
      </c>
      <c r="G1521" s="56" t="str" cm="1">
        <f t="array" ref="G1521">INDEX(deskripsi!$D$2:$H$337,
   MATCH(1,(deskripsi!$A$2:$A$337=B1521)*
           (deskripsi!$B$2:$B$337=C1521)*
           (deskripsi!$C$2:$C$337=D1521),0),
   F1521)</f>
        <v>Menjadi pihak yang dicari untuk membahas persoalan sulit, karena berselisih dengannya dianggap tidak merusak hubungan Managing Challenging Stakeholder, jenjang Division Head.</v>
      </c>
    </row>
    <row r="1522" spans="1:7">
      <c r="A1522" t="str">
        <f t="shared" si="23"/>
        <v>Communication &amp; Deal with Others|Division Head|1|1</v>
      </c>
      <c r="B1522" t="str">
        <v>Communication &amp; Deal with Others</v>
      </c>
      <c r="C1522" t="str">
        <v>Division Head</v>
      </c>
      <c r="D1522" s="76">
        <v>1</v>
      </c>
      <c r="E1522" t="str" cm="1">
        <f t="array" ref="E1522">INDEX(aspek!$D$2:$D$337,
   MATCH(1,(aspek!$A$2:$A$337=B1522)*
           (aspek!$B$2:$B$337=C1522)*
           (aspek!$C$2:$C$337=D1522),0))</f>
        <v>Cakrawala relasi</v>
      </c>
      <c r="F1522" s="76">
        <v>1</v>
      </c>
      <c r="G1522" s="56" t="str" cm="1">
        <f t="array" ref="G1522">INDEX(deskripsi!$D$2:$H$337,
   MATCH(1,(deskripsi!$A$2:$A$337=B1522)*
           (deskripsi!$B$2:$B$337=C1522)*
           (deskripsi!$C$2:$C$337=D1522),0),
   F1522)</f>
        <v>Berhubungan dengan pihak sulit hanya ketika ada urusan; di luar itu tidak ada kontak sama sekali.</v>
      </c>
    </row>
    <row r="1523" spans="1:7">
      <c r="A1523" t="str">
        <f t="shared" si="23"/>
        <v>Communication &amp; Deal with Others|Division Head|1|2</v>
      </c>
      <c r="B1523" t="str">
        <v>Communication &amp; Deal with Others</v>
      </c>
      <c r="C1523" t="str">
        <v>Division Head</v>
      </c>
      <c r="D1523" s="76">
        <v>1</v>
      </c>
      <c r="E1523" t="str" cm="1">
        <f t="array" ref="E1523">INDEX(aspek!$D$2:$D$337,
   MATCH(1,(aspek!$A$2:$A$337=B1523)*
           (aspek!$B$2:$B$337=C1523)*
           (aspek!$C$2:$C$337=D1523),0))</f>
        <v>Cakrawala relasi</v>
      </c>
      <c r="F1523" s="76">
        <v>2</v>
      </c>
      <c r="G1523" s="56" t="str" cm="1">
        <f t="array" ref="G1523">INDEX(deskripsi!$D$2:$H$337,
   MATCH(1,(deskripsi!$A$2:$A$337=B1523)*
           (deskripsi!$B$2:$B$337=C1523)*
           (deskripsi!$C$2:$C$337=D1523),0),
   F1523)</f>
        <v>Menyadari relasi perlu dijaga, tetapi upayanya baru muncul setelah terjadi masalah.</v>
      </c>
    </row>
    <row r="1524" spans="1:7">
      <c r="A1524" t="str">
        <f t="shared" si="23"/>
        <v>Communication &amp; Deal with Others|Division Head|1|3</v>
      </c>
      <c r="B1524" t="str">
        <v>Communication &amp; Deal with Others</v>
      </c>
      <c r="C1524" t="str">
        <v>Division Head</v>
      </c>
      <c r="D1524" s="76">
        <v>1</v>
      </c>
      <c r="E1524" t="str" cm="1">
        <f t="array" ref="E1524">INDEX(aspek!$D$2:$D$337,
   MATCH(1,(aspek!$A$2:$A$337=B1524)*
           (aspek!$B$2:$B$337=C1524)*
           (aspek!$C$2:$C$337=D1524),0))</f>
        <v>Cakrawala relasi</v>
      </c>
      <c r="F1524" s="76">
        <v>3</v>
      </c>
      <c r="G1524" s="56" t="str" cm="1">
        <f t="array" ref="G1524">INDEX(deskripsi!$D$2:$H$337,
   MATCH(1,(deskripsi!$A$2:$A$337=B1524)*
           (deskripsi!$B$2:$B$337=C1524)*
           (deskripsi!$C$2:$C$337=D1524),0),
   F1524)</f>
        <v>Menjaga hubungan baik dengan pihak sulit selama satu proyek atau satu urusan berlangsung.</v>
      </c>
    </row>
    <row r="1525" spans="1:7">
      <c r="A1525" t="str">
        <f t="shared" si="23"/>
        <v>Communication &amp; Deal with Others|Division Head|1|4</v>
      </c>
      <c r="B1525" t="str">
        <v>Communication &amp; Deal with Others</v>
      </c>
      <c r="C1525" t="str">
        <v>Division Head</v>
      </c>
      <c r="D1525" s="76">
        <v>1</v>
      </c>
      <c r="E1525" t="str" cm="1">
        <f t="array" ref="E1525">INDEX(aspek!$D$2:$D$337,
   MATCH(1,(aspek!$A$2:$A$337=B1525)*
           (aspek!$B$2:$B$337=C1525)*
           (aspek!$C$2:$C$337=D1525),0))</f>
        <v>Cakrawala relasi</v>
      </c>
      <c r="F1525" s="76">
        <v>4</v>
      </c>
      <c r="G1525" s="56" t="str" cm="1">
        <f t="array" ref="G1525">INDEX(deskripsi!$D$2:$H$337,
   MATCH(1,(deskripsi!$A$2:$A$337=B1525)*
           (deskripsi!$B$2:$B$337=C1525)*
           (deskripsi!$C$2:$C$337=D1525),0),
   F1525)</f>
        <v>Mengelola relasi sebagai portofolio lintas waktu — menjaga kontak terjadwal di luar masa krisis, dan menilai keberhasilannya dari kelangsungan kerja sama, bukan dari hasil satu pertemuan.</v>
      </c>
    </row>
    <row r="1526" spans="1:7">
      <c r="A1526" t="str">
        <f t="shared" si="23"/>
        <v>Communication &amp; Deal with Others|Division Head|1|5</v>
      </c>
      <c r="B1526" t="str">
        <v>Communication &amp; Deal with Others</v>
      </c>
      <c r="C1526" t="str">
        <v>Division Head</v>
      </c>
      <c r="D1526" s="76">
        <v>1</v>
      </c>
      <c r="E1526" t="str" cm="1">
        <f t="array" ref="E1526">INDEX(aspek!$D$2:$D$337,
   MATCH(1,(aspek!$A$2:$A$337=B1526)*
           (aspek!$B$2:$B$337=C1526)*
           (aspek!$C$2:$C$337=D1526),0))</f>
        <v>Cakrawala relasi</v>
      </c>
      <c r="F1526" s="76">
        <v>5</v>
      </c>
      <c r="G1526" s="56" t="str" cm="1">
        <f t="array" ref="G1526">INDEX(deskripsi!$D$2:$H$337,
   MATCH(1,(deskripsi!$A$2:$A$337=B1526)*
           (deskripsi!$B$2:$B$337=C1526)*
           (deskripsi!$C$2:$C$337=D1526),0),
   F1526)</f>
        <v>Relasi yang ia bangun bertahan melampaui perubahan peran, struktur, maupun kepentingan; pihak lain tetap mencarinya meski tidak ada urusan bersama.</v>
      </c>
    </row>
    <row r="1527" spans="1:7">
      <c r="A1527" t="str">
        <f t="shared" si="23"/>
        <v>Communication &amp; Deal with Others|Division Head|2|1</v>
      </c>
      <c r="B1527" t="str">
        <v>Communication &amp; Deal with Others</v>
      </c>
      <c r="C1527" t="str">
        <v>Division Head</v>
      </c>
      <c r="D1527" s="76">
        <v>2</v>
      </c>
      <c r="E1527" t="str" cm="1">
        <f t="array" ref="E1527">INDEX(aspek!$D$2:$D$337,
   MATCH(1,(aspek!$A$2:$A$337=B1527)*
           (aspek!$B$2:$B$337=C1527)*
           (aspek!$C$2:$C$337=D1527),0))</f>
        <v>Penyesuaian pendekatan per stakeholder</v>
      </c>
      <c r="F1527" s="76">
        <v>1</v>
      </c>
      <c r="G1527" s="56" t="str" cm="1">
        <f t="array" ref="G1527">INDEX(deskripsi!$D$2:$H$337,
   MATCH(1,(deskripsi!$A$2:$A$337=B1527)*
           (deskripsi!$B$2:$B$337=C1527)*
           (deskripsi!$C$2:$C$337=D1527),0),
   F1527)</f>
        <v>Memperlakukan semua pihak sulit dengan cara yang sama, umumnya dengan cara yang nyaman bagi dirinya sendiri.</v>
      </c>
    </row>
    <row r="1528" spans="1:7">
      <c r="A1528" t="str">
        <f t="shared" si="23"/>
        <v>Communication &amp; Deal with Others|Division Head|2|2</v>
      </c>
      <c r="B1528" t="str">
        <v>Communication &amp; Deal with Others</v>
      </c>
      <c r="C1528" t="str">
        <v>Division Head</v>
      </c>
      <c r="D1528" s="76">
        <v>2</v>
      </c>
      <c r="E1528" t="str" cm="1">
        <f t="array" ref="E1528">INDEX(aspek!$D$2:$D$337,
   MATCH(1,(aspek!$A$2:$A$337=B1528)*
           (aspek!$B$2:$B$337=C1528)*
           (aspek!$C$2:$C$337=D1528),0))</f>
        <v>Penyesuaian pendekatan per stakeholder</v>
      </c>
      <c r="F1528" s="76">
        <v>2</v>
      </c>
      <c r="G1528" s="56" t="str" cm="1">
        <f t="array" ref="G1528">INDEX(deskripsi!$D$2:$H$337,
   MATCH(1,(deskripsi!$A$2:$A$337=B1528)*
           (deskripsi!$B$2:$B$337=C1528)*
           (deskripsi!$C$2:$C$337=D1528),0),
   F1528)</f>
        <v>Membedakan pendekatan berdasarkan jabatan atau seberapa menyenangkan orangnya, bukan berdasarkan sumber kesulitannya.</v>
      </c>
    </row>
    <row r="1529" spans="1:7">
      <c r="A1529" t="str">
        <f t="shared" si="23"/>
        <v>Communication &amp; Deal with Others|Division Head|2|3</v>
      </c>
      <c r="B1529" t="str">
        <v>Communication &amp; Deal with Others</v>
      </c>
      <c r="C1529" t="str">
        <v>Division Head</v>
      </c>
      <c r="D1529" s="76">
        <v>2</v>
      </c>
      <c r="E1529" t="str" cm="1">
        <f t="array" ref="E1529">INDEX(aspek!$D$2:$D$337,
   MATCH(1,(aspek!$A$2:$A$337=B1529)*
           (aspek!$B$2:$B$337=C1529)*
           (aspek!$C$2:$C$337=D1529),0))</f>
        <v>Penyesuaian pendekatan per stakeholder</v>
      </c>
      <c r="F1529" s="76">
        <v>3</v>
      </c>
      <c r="G1529" s="56" t="str" cm="1">
        <f t="array" ref="G1529">INDEX(deskripsi!$D$2:$H$337,
   MATCH(1,(deskripsi!$A$2:$A$337=B1529)*
           (deskripsi!$B$2:$B$337=C1529)*
           (deskripsi!$C$2:$C$337=D1529),0),
   F1529)</f>
        <v>Menyesuaikan gaya komunikasi per orang berdasarkan pengalaman berinteraksi sebelumnya.</v>
      </c>
    </row>
    <row r="1530" spans="1:7">
      <c r="A1530" t="str">
        <f t="shared" si="23"/>
        <v>Communication &amp; Deal with Others|Division Head|2|4</v>
      </c>
      <c r="B1530" t="str">
        <v>Communication &amp; Deal with Others</v>
      </c>
      <c r="C1530" t="str">
        <v>Division Head</v>
      </c>
      <c r="D1530" s="76">
        <v>2</v>
      </c>
      <c r="E1530" t="str" cm="1">
        <f t="array" ref="E1530">INDEX(aspek!$D$2:$D$337,
   MATCH(1,(aspek!$A$2:$A$337=B1530)*
           (aspek!$B$2:$B$337=C1530)*
           (aspek!$C$2:$C$337=D1530),0))</f>
        <v>Penyesuaian pendekatan per stakeholder</v>
      </c>
      <c r="F1530" s="76">
        <v>4</v>
      </c>
      <c r="G1530" s="56" t="str" cm="1">
        <f t="array" ref="G1530">INDEX(deskripsi!$D$2:$H$337,
   MATCH(1,(deskripsi!$A$2:$A$337=B1530)*
           (deskripsi!$B$2:$B$337=C1530)*
           (deskripsi!$C$2:$C$337=D1530),0),
   F1530)</f>
        <v>Menyesuaikan pendekatan berdasarkan analisis sumber kesulitan masing-masing — kepentingan yang berbeda, tekanan yang dihadapi, atau riwayat hubungan — dan mengubahnya ketika terbukti tidak berhasil.</v>
      </c>
    </row>
    <row r="1531" spans="1:7">
      <c r="A1531" t="str">
        <f t="shared" si="23"/>
        <v>Communication &amp; Deal with Others|Division Head|2|5</v>
      </c>
      <c r="B1531" t="str">
        <v>Communication &amp; Deal with Others</v>
      </c>
      <c r="C1531" t="str">
        <v>Division Head</v>
      </c>
      <c r="D1531" s="76">
        <v>2</v>
      </c>
      <c r="E1531" t="str" cm="1">
        <f t="array" ref="E1531">INDEX(aspek!$D$2:$D$337,
   MATCH(1,(aspek!$A$2:$A$337=B1531)*
           (aspek!$B$2:$B$337=C1531)*
           (aspek!$C$2:$C$337=D1531),0))</f>
        <v>Penyesuaian pendekatan per stakeholder</v>
      </c>
      <c r="F1531" s="76">
        <v>5</v>
      </c>
      <c r="G1531" s="56" t="str" cm="1">
        <f t="array" ref="G1531">INDEX(deskripsi!$D$2:$H$337,
   MATCH(1,(deskripsi!$A$2:$A$337=B1531)*
           (deskripsi!$B$2:$B$337=C1531)*
           (deskripsi!$C$2:$C$337=D1531),0),
   F1531)</f>
        <v>Mampu menjelaskan kepada orang lain mengapa satu stakeholder perlu didekati dengan cara tertentu, sehingga pendekatannya dapat diteruskan oleh penggantinya.</v>
      </c>
    </row>
    <row r="1532" spans="1:7">
      <c r="A1532" t="str">
        <f t="shared" si="23"/>
        <v>Communication &amp; Deal with Others|Division Head|3|1</v>
      </c>
      <c r="B1532" t="str">
        <v>Communication &amp; Deal with Others</v>
      </c>
      <c r="C1532" t="str">
        <v>Division Head</v>
      </c>
      <c r="D1532" s="76">
        <v>3</v>
      </c>
      <c r="E1532" t="str" cm="1">
        <f t="array" ref="E1532">INDEX(aspek!$D$2:$D$337,
   MATCH(1,(aspek!$A$2:$A$337=B1532)*
           (aspek!$B$2:$B$337=C1532)*
           (aspek!$C$2:$C$337=D1532),0))</f>
        <v>Pencarian titik temu</v>
      </c>
      <c r="F1532" s="76">
        <v>1</v>
      </c>
      <c r="G1532" s="56" t="str" cm="1">
        <f t="array" ref="G1532">INDEX(deskripsi!$D$2:$H$337,
   MATCH(1,(deskripsi!$A$2:$A$337=B1532)*
           (deskripsi!$B$2:$B$337=C1532)*
           (deskripsi!$C$2:$C$337=D1532),0),
   F1532)</f>
        <v>Memandang kepentingan pihak sulit sebagai hambatan yang harus dikalahkan atau dihindari.</v>
      </c>
    </row>
    <row r="1533" spans="1:7">
      <c r="A1533" t="str">
        <f t="shared" si="23"/>
        <v>Communication &amp; Deal with Others|Division Head|3|2</v>
      </c>
      <c r="B1533" t="str">
        <v>Communication &amp; Deal with Others</v>
      </c>
      <c r="C1533" t="str">
        <v>Division Head</v>
      </c>
      <c r="D1533" s="76">
        <v>3</v>
      </c>
      <c r="E1533" t="str" cm="1">
        <f t="array" ref="E1533">INDEX(aspek!$D$2:$D$337,
   MATCH(1,(aspek!$A$2:$A$337=B1533)*
           (aspek!$B$2:$B$337=C1533)*
           (aspek!$C$2:$C$337=D1533),0))</f>
        <v>Pencarian titik temu</v>
      </c>
      <c r="F1533" s="76">
        <v>2</v>
      </c>
      <c r="G1533" s="56" t="str" cm="1">
        <f t="array" ref="G1533">INDEX(deskripsi!$D$2:$H$337,
   MATCH(1,(deskripsi!$A$2:$A$337=B1533)*
           (deskripsi!$B$2:$B$337=C1533)*
           (deskripsi!$C$2:$C$337=D1533),0),
   F1533)</f>
        <v>Mencari jalan tengah dengan membagi selisih, tanpa menelusuri kepentingan di balik posisi masing-masing.</v>
      </c>
    </row>
    <row r="1534" spans="1:7">
      <c r="A1534" t="str">
        <f t="shared" si="23"/>
        <v>Communication &amp; Deal with Others|Division Head|3|3</v>
      </c>
      <c r="B1534" t="str">
        <v>Communication &amp; Deal with Others</v>
      </c>
      <c r="C1534" t="str">
        <v>Division Head</v>
      </c>
      <c r="D1534" s="76">
        <v>3</v>
      </c>
      <c r="E1534" t="str" cm="1">
        <f t="array" ref="E1534">INDEX(aspek!$D$2:$D$337,
   MATCH(1,(aspek!$A$2:$A$337=B1534)*
           (aspek!$B$2:$B$337=C1534)*
           (aspek!$C$2:$C$337=D1534),0))</f>
        <v>Pencarian titik temu</v>
      </c>
      <c r="F1534" s="76">
        <v>3</v>
      </c>
      <c r="G1534" s="56" t="str" cm="1">
        <f t="array" ref="G1534">INDEX(deskripsi!$D$2:$H$337,
   MATCH(1,(deskripsi!$A$2:$A$337=B1534)*
           (deskripsi!$B$2:$B$337=C1534)*
           (deskripsi!$C$2:$C$337=D1534),0),
   F1534)</f>
        <v>Mencapai kesepakatan yang dapat diterima kedua pihak untuk persoalan yang sedang dihadapi.</v>
      </c>
    </row>
    <row r="1535" spans="1:7">
      <c r="A1535" t="str">
        <f t="shared" si="23"/>
        <v>Communication &amp; Deal with Others|Division Head|3|4</v>
      </c>
      <c r="B1535" t="str">
        <v>Communication &amp; Deal with Others</v>
      </c>
      <c r="C1535" t="str">
        <v>Division Head</v>
      </c>
      <c r="D1535" s="76">
        <v>3</v>
      </c>
      <c r="E1535" t="str" cm="1">
        <f t="array" ref="E1535">INDEX(aspek!$D$2:$D$337,
   MATCH(1,(aspek!$A$2:$A$337=B1535)*
           (aspek!$B$2:$B$337=C1535)*
           (aspek!$C$2:$C$337=D1535),0))</f>
        <v>Pencarian titik temu</v>
      </c>
      <c r="F1535" s="76">
        <v>4</v>
      </c>
      <c r="G1535" s="56" t="str" cm="1">
        <f t="array" ref="G1535">INDEX(deskripsi!$D$2:$H$337,
   MATCH(1,(deskripsi!$A$2:$A$337=B1535)*
           (deskripsi!$B$2:$B$337=C1535)*
           (deskripsi!$C$2:$C$337=D1535),0),
   F1535)</f>
        <v>Menyusun kesepakatan berbasis kepentingan pokok kedua pihak lalu memantau pelaksanaannya — dan kesepakatan itu tetap berjalan tanpa perlu dinegosiasikan ulang.</v>
      </c>
    </row>
    <row r="1536" spans="1:7">
      <c r="A1536" t="str">
        <f t="shared" si="23"/>
        <v>Communication &amp; Deal with Others|Division Head|3|5</v>
      </c>
      <c r="B1536" t="str">
        <v>Communication &amp; Deal with Others</v>
      </c>
      <c r="C1536" t="str">
        <v>Division Head</v>
      </c>
      <c r="D1536" s="76">
        <v>3</v>
      </c>
      <c r="E1536" t="str" cm="1">
        <f t="array" ref="E1536">INDEX(aspek!$D$2:$D$337,
   MATCH(1,(aspek!$A$2:$A$337=B1536)*
           (aspek!$B$2:$B$337=C1536)*
           (aspek!$C$2:$C$337=D1536),0))</f>
        <v>Pencarian titik temu</v>
      </c>
      <c r="F1536" s="76">
        <v>5</v>
      </c>
      <c r="G1536" s="56" t="str" cm="1">
        <f t="array" ref="G1536">INDEX(deskripsi!$D$2:$H$337,
   MATCH(1,(deskripsi!$A$2:$A$337=B1536)*
           (deskripsi!$B$2:$B$337=C1536)*
           (deskripsi!$C$2:$C$337=D1536),0),
   F1536)</f>
        <v>Kesepakatan yang ia rancang menjadi dasar kerja sama berulang, dan pihak lain mengusulkan kerja sama baru atas inisiatifnya sendiri.</v>
      </c>
    </row>
    <row r="1537" spans="1:7">
      <c r="A1537" t="str">
        <f t="shared" si="23"/>
        <v>Communication &amp; Deal with Others|Division Head|4|1</v>
      </c>
      <c r="B1537" t="str">
        <v>Communication &amp; Deal with Others</v>
      </c>
      <c r="C1537" t="str">
        <v>Division Head</v>
      </c>
      <c r="D1537" s="76">
        <v>4</v>
      </c>
      <c r="E1537" t="str" cm="1">
        <f t="array" ref="E1537">INDEX(aspek!$D$2:$D$337,
   MATCH(1,(aspek!$A$2:$A$337=B1537)*
           (aspek!$B$2:$B$337=C1537)*
           (aspek!$C$2:$C$337=D1537),0))</f>
        <v>Ketahanan relasi terhadap perbedaan kepentingan</v>
      </c>
      <c r="F1537" s="76">
        <v>1</v>
      </c>
      <c r="G1537" s="56" t="str" cm="1">
        <f t="array" ref="G1537">INDEX(deskripsi!$D$2:$H$337,
   MATCH(1,(deskripsi!$A$2:$A$337=B1537)*
           (deskripsi!$B$2:$B$337=C1537)*
           (deskripsi!$C$2:$C$337=D1537),0),
   F1537)</f>
        <v>Perbedaan kepentingan berujung pada putusnya komunikasi atau eskalasi ke atasan.</v>
      </c>
    </row>
    <row r="1538" spans="1:7">
      <c r="A1538" t="str">
        <f t="shared" si="23"/>
        <v>Communication &amp; Deal with Others|Division Head|4|2</v>
      </c>
      <c r="B1538" t="str">
        <v>Communication &amp; Deal with Others</v>
      </c>
      <c r="C1538" t="str">
        <v>Division Head</v>
      </c>
      <c r="D1538" s="76">
        <v>4</v>
      </c>
      <c r="E1538" t="str" cm="1">
        <f t="array" ref="E1538">INDEX(aspek!$D$2:$D$337,
   MATCH(1,(aspek!$A$2:$A$337=B1538)*
           (aspek!$B$2:$B$337=C1538)*
           (aspek!$C$2:$C$337=D1538),0))</f>
        <v>Ketahanan relasi terhadap perbedaan kepentingan</v>
      </c>
      <c r="F1538" s="76">
        <v>2</v>
      </c>
      <c r="G1538" s="56" t="str" cm="1">
        <f t="array" ref="G1538">INDEX(deskripsi!$D$2:$H$337,
   MATCH(1,(deskripsi!$A$2:$A$337=B1538)*
           (deskripsi!$B$2:$B$337=C1538)*
           (deskripsi!$C$2:$C$337=D1538),0),
   F1538)</f>
        <v>Kerja sama berjalan selama tidak ada perbedaan; sekali berselisih, hubungan mendingin lama.</v>
      </c>
    </row>
    <row r="1539" spans="1:7">
      <c r="A1539" t="str">
        <f t="shared" ref="A1539:A1602" si="24">B1539&amp;"|"&amp;C1539&amp;"|"&amp;D1539&amp;"|"&amp;F1539</f>
        <v>Communication &amp; Deal with Others|Division Head|4|3</v>
      </c>
      <c r="B1539" t="str">
        <v>Communication &amp; Deal with Others</v>
      </c>
      <c r="C1539" t="str">
        <v>Division Head</v>
      </c>
      <c r="D1539" s="76">
        <v>4</v>
      </c>
      <c r="E1539" t="str" cm="1">
        <f t="array" ref="E1539">INDEX(aspek!$D$2:$D$337,
   MATCH(1,(aspek!$A$2:$A$337=B1539)*
           (aspek!$B$2:$B$337=C1539)*
           (aspek!$C$2:$C$337=D1539),0))</f>
        <v>Ketahanan relasi terhadap perbedaan kepentingan</v>
      </c>
      <c r="F1539" s="76">
        <v>3</v>
      </c>
      <c r="G1539" s="56" t="str" cm="1">
        <f t="array" ref="G1539">INDEX(deskripsi!$D$2:$H$337,
   MATCH(1,(deskripsi!$A$2:$A$337=B1539)*
           (deskripsi!$B$2:$B$337=C1539)*
           (deskripsi!$C$2:$C$337=D1539),0),
   F1539)</f>
        <v>Hubungan pulih setelah perselisihan, tetapi topik yang pernah diperselisihkan sejak itu dihindari kedua pihak.</v>
      </c>
    </row>
    <row r="1540" spans="1:7">
      <c r="A1540" t="str">
        <f t="shared" si="24"/>
        <v>Communication &amp; Deal with Others|Division Head|4|4</v>
      </c>
      <c r="B1540" t="str">
        <v>Communication &amp; Deal with Others</v>
      </c>
      <c r="C1540" t="str">
        <v>Division Head</v>
      </c>
      <c r="D1540" s="76">
        <v>4</v>
      </c>
      <c r="E1540" t="str" cm="1">
        <f t="array" ref="E1540">INDEX(aspek!$D$2:$D$337,
   MATCH(1,(aspek!$A$2:$A$337=B1540)*
           (aspek!$B$2:$B$337=C1540)*
           (aspek!$C$2:$C$337=D1540),0))</f>
        <v>Ketahanan relasi terhadap perbedaan kepentingan</v>
      </c>
      <c r="F1540" s="76">
        <v>4</v>
      </c>
      <c r="G1540" s="56" t="str" cm="1">
        <f t="array" ref="G1540">INDEX(deskripsi!$D$2:$H$337,
   MATCH(1,(deskripsi!$A$2:$A$337=B1540)*
           (deskripsi!$B$2:$B$337=C1540)*
           (deskripsi!$C$2:$C$337=D1540),0),
   F1540)</f>
        <v>Perbedaan kepentingan dibicarakan terbuka tanpa merusak kerja sama; pihak lain tetap bersedia bekerja sama pada urusan berikutnya.</v>
      </c>
    </row>
    <row r="1541" spans="1:7">
      <c r="A1541" t="str">
        <f t="shared" si="24"/>
        <v>Communication &amp; Deal with Others|Division Head|4|5</v>
      </c>
      <c r="B1541" t="str">
        <v>Communication &amp; Deal with Others</v>
      </c>
      <c r="C1541" t="str">
        <v>Division Head</v>
      </c>
      <c r="D1541" s="76">
        <v>4</v>
      </c>
      <c r="E1541" t="str" cm="1">
        <f t="array" ref="E1541">INDEX(aspek!$D$2:$D$337,
   MATCH(1,(aspek!$A$2:$A$337=B1541)*
           (aspek!$B$2:$B$337=C1541)*
           (aspek!$C$2:$C$337=D1541),0))</f>
        <v>Ketahanan relasi terhadap perbedaan kepentingan</v>
      </c>
      <c r="F1541" s="76">
        <v>5</v>
      </c>
      <c r="G1541" s="56" t="str" cm="1">
        <f t="array" ref="G1541">INDEX(deskripsi!$D$2:$H$337,
   MATCH(1,(deskripsi!$A$2:$A$337=B1541)*
           (deskripsi!$B$2:$B$337=C1541)*
           (deskripsi!$C$2:$C$337=D1541),0),
   F1541)</f>
        <v>Justru dipercaya sebagai lawan bicara pada persoalan paling sensitif, karena perbedaan kepentingan dengannya dianggap aman untuk dibahas.</v>
      </c>
    </row>
    <row r="1542" spans="1:7">
      <c r="A1542" t="str">
        <f t="shared" si="24"/>
        <v>Communication &amp; Deal with Others|Director|1|1</v>
      </c>
      <c r="B1542" t="str">
        <v>Communication &amp; Deal with Others</v>
      </c>
      <c r="C1542" t="str">
        <v>Director</v>
      </c>
      <c r="D1542" s="76">
        <v>1</v>
      </c>
      <c r="E1542" t="str" cm="1">
        <f t="array" ref="E1542">INDEX(aspek!$D$2:$D$337,
   MATCH(1,(aspek!$A$2:$A$337=B1542)*
           (aspek!$B$2:$B$337=C1542)*
           (aspek!$C$2:$C$337=D1542),0))</f>
        <v>Netralitas yang dipersepsikan</v>
      </c>
      <c r="F1542" s="76">
        <v>1</v>
      </c>
      <c r="G1542" s="56" t="str" cm="1">
        <f t="array" ref="G1542">INDEX(deskripsi!$D$2:$H$337,
   MATCH(1,(deskripsi!$A$2:$A$337=B1542)*
           (deskripsi!$B$2:$B$337=C1542)*
           (deskripsi!$C$2:$C$337=D1542),0),
   F1542)</f>
        <v>Salah satu pihak merasa ia sudah berpihak sejak awal; kehadirannya justru memperkeras posisi.</v>
      </c>
    </row>
    <row r="1543" spans="1:7">
      <c r="A1543" t="str">
        <f t="shared" si="24"/>
        <v>Communication &amp; Deal with Others|Director|1|2</v>
      </c>
      <c r="B1543" t="str">
        <v>Communication &amp; Deal with Others</v>
      </c>
      <c r="C1543" t="str">
        <v>Director</v>
      </c>
      <c r="D1543" s="76">
        <v>1</v>
      </c>
      <c r="E1543" t="str" cm="1">
        <f t="array" ref="E1543">INDEX(aspek!$D$2:$D$337,
   MATCH(1,(aspek!$A$2:$A$337=B1543)*
           (aspek!$B$2:$B$337=C1543)*
           (aspek!$C$2:$C$337=D1543),0))</f>
        <v>Netralitas yang dipersepsikan</v>
      </c>
      <c r="F1543" s="76">
        <v>2</v>
      </c>
      <c r="G1543" s="56" t="str" cm="1">
        <f t="array" ref="G1543">INDEX(deskripsi!$D$2:$H$337,
   MATCH(1,(deskripsi!$A$2:$A$337=B1543)*
           (deskripsi!$B$2:$B$337=C1543)*
           (deskripsi!$C$2:$C$337=D1543),0),
   F1543)</f>
        <v>Berusaha bersikap adil, tetapi kedekatan pribadi atau kesamaan cara berpikir terbaca oleh salah satu pihak.</v>
      </c>
    </row>
    <row r="1544" spans="1:7">
      <c r="A1544" t="str">
        <f t="shared" si="24"/>
        <v>Communication &amp; Deal with Others|Director|1|3</v>
      </c>
      <c r="B1544" t="str">
        <v>Communication &amp; Deal with Others</v>
      </c>
      <c r="C1544" t="str">
        <v>Director</v>
      </c>
      <c r="D1544" s="76">
        <v>1</v>
      </c>
      <c r="E1544" t="str" cm="1">
        <f t="array" ref="E1544">INDEX(aspek!$D$2:$D$337,
   MATCH(1,(aspek!$A$2:$A$337=B1544)*
           (aspek!$B$2:$B$337=C1544)*
           (aspek!$C$2:$C$337=D1544),0))</f>
        <v>Netralitas yang dipersepsikan</v>
      </c>
      <c r="F1544" s="76">
        <v>3</v>
      </c>
      <c r="G1544" s="56" t="str" cm="1">
        <f t="array" ref="G1544">INDEX(deskripsi!$D$2:$H$337,
   MATCH(1,(deskripsi!$A$2:$A$337=B1544)*
           (deskripsi!$B$2:$B$337=C1544)*
           (deskripsi!$C$2:$C$337=D1544),0),
   F1544)</f>
        <v>Dinilai netral oleh pihak yang posisinya kebetulan diterima, tetapi tidak oleh pihak yang lain.</v>
      </c>
    </row>
    <row r="1545" spans="1:7">
      <c r="A1545" t="str">
        <f t="shared" si="24"/>
        <v>Communication &amp; Deal with Others|Director|1|4</v>
      </c>
      <c r="B1545" t="str">
        <v>Communication &amp; Deal with Others</v>
      </c>
      <c r="C1545" t="str">
        <v>Director</v>
      </c>
      <c r="D1545" s="76">
        <v>1</v>
      </c>
      <c r="E1545" t="str" cm="1">
        <f t="array" ref="E1545">INDEX(aspek!$D$2:$D$337,
   MATCH(1,(aspek!$A$2:$A$337=B1545)*
           (aspek!$B$2:$B$337=C1545)*
           (aspek!$C$2:$C$337=D1545),0))</f>
        <v>Netralitas yang dipersepsikan</v>
      </c>
      <c r="F1545" s="76">
        <v>4</v>
      </c>
      <c r="G1545" s="56" t="str" cm="1">
        <f t="array" ref="G1545">INDEX(deskripsi!$D$2:$H$337,
   MATCH(1,(deskripsi!$A$2:$A$337=B1545)*
           (deskripsi!$B$2:$B$337=C1545)*
           (deskripsi!$C$2:$C$337=D1545),0),
   F1545)</f>
        <v>KEDUA pihak, ditanya secara terpisah, menyatakan ia tidak memihak lawannya — termasuk pihak yang hasil akhirnya tidak sesuai keinginannya.</v>
      </c>
    </row>
    <row r="1546" spans="1:7">
      <c r="A1546" t="str">
        <f t="shared" si="24"/>
        <v>Communication &amp; Deal with Others|Director|1|5</v>
      </c>
      <c r="B1546" t="str">
        <v>Communication &amp; Deal with Others</v>
      </c>
      <c r="C1546" t="str">
        <v>Director</v>
      </c>
      <c r="D1546" s="76">
        <v>1</v>
      </c>
      <c r="E1546" t="str" cm="1">
        <f t="array" ref="E1546">INDEX(aspek!$D$2:$D$337,
   MATCH(1,(aspek!$A$2:$A$337=B1546)*
           (aspek!$B$2:$B$337=C1546)*
           (aspek!$C$2:$C$337=D1546),0))</f>
        <v>Netralitas yang dipersepsikan</v>
      </c>
      <c r="F1546" s="76">
        <v>5</v>
      </c>
      <c r="G1546" s="56" t="str" cm="1">
        <f t="array" ref="G1546">INDEX(deskripsi!$D$2:$H$337,
   MATCH(1,(deskripsi!$A$2:$A$337=B1546)*
           (deskripsi!$B$2:$B$337=C1546)*
           (deskripsi!$C$2:$C$337=D1546),0),
   F1546)</f>
        <v>Diminta menengahi justru oleh pihak yang paling berseberangan dengannya, karena netralitasnya dianggap tidak bergantung pada siapa yang terlibat.</v>
      </c>
    </row>
    <row r="1547" spans="1:7">
      <c r="A1547" t="str">
        <f t="shared" si="24"/>
        <v>Communication &amp; Deal with Others|Director|2|1</v>
      </c>
      <c r="B1547" t="str">
        <v>Communication &amp; Deal with Others</v>
      </c>
      <c r="C1547" t="str">
        <v>Director</v>
      </c>
      <c r="D1547" s="76">
        <v>2</v>
      </c>
      <c r="E1547" t="str" cm="1">
        <f t="array" ref="E1547">INDEX(aspek!$D$2:$D$337,
   MATCH(1,(aspek!$A$2:$A$337=B1547)*
           (aspek!$B$2:$B$337=C1547)*
           (aspek!$C$2:$C$337=D1547),0))</f>
        <v>Disiplin batas peran</v>
      </c>
      <c r="F1547" s="76">
        <v>1</v>
      </c>
      <c r="G1547" s="56" t="str" cm="1">
        <f t="array" ref="G1547">INDEX(deskripsi!$D$2:$H$337,
   MATCH(1,(deskripsi!$A$2:$A$337=B1547)*
           (deskripsi!$B$2:$B$337=C1547)*
           (deskripsi!$C$2:$C$337=D1547),0),
   F1547)</f>
        <v>Menengahi konflik yang hasilnya menyangkut kepentingannya sendiri, tanpa menyadarinya.</v>
      </c>
    </row>
    <row r="1548" spans="1:7">
      <c r="A1548" t="str">
        <f t="shared" si="24"/>
        <v>Communication &amp; Deal with Others|Director|2|2</v>
      </c>
      <c r="B1548" t="str">
        <v>Communication &amp; Deal with Others</v>
      </c>
      <c r="C1548" t="str">
        <v>Director</v>
      </c>
      <c r="D1548" s="76">
        <v>2</v>
      </c>
      <c r="E1548" t="str" cm="1">
        <f t="array" ref="E1548">INDEX(aspek!$D$2:$D$337,
   MATCH(1,(aspek!$A$2:$A$337=B1548)*
           (aspek!$B$2:$B$337=C1548)*
           (aspek!$C$2:$C$337=D1548),0))</f>
        <v>Disiplin batas peran</v>
      </c>
      <c r="F1548" s="76">
        <v>2</v>
      </c>
      <c r="G1548" s="56" t="str" cm="1">
        <f t="array" ref="G1548">INDEX(deskripsi!$D$2:$H$337,
   MATCH(1,(deskripsi!$A$2:$A$337=B1548)*
           (deskripsi!$B$2:$B$337=C1548)*
           (deskripsi!$C$2:$C$337=D1548),0),
   F1548)</f>
        <v>Menyadari kepentingannya, tetapi tetap menengahi karena merasa mampu bersikap adil.</v>
      </c>
    </row>
    <row r="1549" spans="1:7">
      <c r="A1549" t="str">
        <f t="shared" si="24"/>
        <v>Communication &amp; Deal with Others|Director|2|3</v>
      </c>
      <c r="B1549" t="str">
        <v>Communication &amp; Deal with Others</v>
      </c>
      <c r="C1549" t="str">
        <v>Director</v>
      </c>
      <c r="D1549" s="76">
        <v>2</v>
      </c>
      <c r="E1549" t="str" cm="1">
        <f t="array" ref="E1549">INDEX(aspek!$D$2:$D$337,
   MATCH(1,(aspek!$A$2:$A$337=B1549)*
           (aspek!$B$2:$B$337=C1549)*
           (aspek!$C$2:$C$337=D1549),0))</f>
        <v>Disiplin batas peran</v>
      </c>
      <c r="F1549" s="76">
        <v>3</v>
      </c>
      <c r="G1549" s="56" t="str" cm="1">
        <f t="array" ref="G1549">INDEX(deskripsi!$D$2:$H$337,
   MATCH(1,(deskripsi!$A$2:$A$337=B1549)*
           (deskripsi!$B$2:$B$337=C1549)*
           (deskripsi!$C$2:$C$337=D1549),0),
   F1549)</f>
        <v>Menghindari menengahi hanya ketika kepentingannya sudah jelas terlihat oleh orang lain.</v>
      </c>
    </row>
    <row r="1550" spans="1:7">
      <c r="A1550" t="str">
        <f t="shared" si="24"/>
        <v>Communication &amp; Deal with Others|Director|2|4</v>
      </c>
      <c r="B1550" t="str">
        <v>Communication &amp; Deal with Others</v>
      </c>
      <c r="C1550" t="str">
        <v>Director</v>
      </c>
      <c r="D1550" s="76">
        <v>2</v>
      </c>
      <c r="E1550" t="str" cm="1">
        <f t="array" ref="E1550">INDEX(aspek!$D$2:$D$337,
   MATCH(1,(aspek!$A$2:$A$337=B1550)*
           (aspek!$B$2:$B$337=C1550)*
           (aspek!$C$2:$C$337=D1550),0))</f>
        <v>Disiplin batas peran</v>
      </c>
      <c r="F1550" s="76">
        <v>4</v>
      </c>
      <c r="G1550" s="56" t="str" cm="1">
        <f t="array" ref="G1550">INDEX(deskripsi!$D$2:$H$337,
   MATCH(1,(deskripsi!$A$2:$A$337=B1550)*
           (deskripsi!$B$2:$B$337=C1550)*
           (deskripsi!$C$2:$C$337=D1550),0),
   F1550)</f>
        <v>Memeriksa kepentingannya sendiri sebelum menerima peran penengah, lalu menyatakannya terbuka di muka atau mengalihkan peran itu kepada pihak lain.</v>
      </c>
    </row>
    <row r="1551" spans="1:7">
      <c r="A1551" t="str">
        <f t="shared" si="24"/>
        <v>Communication &amp; Deal with Others|Director|2|5</v>
      </c>
      <c r="B1551" t="str">
        <v>Communication &amp; Deal with Others</v>
      </c>
      <c r="C1551" t="str">
        <v>Director</v>
      </c>
      <c r="D1551" s="76">
        <v>2</v>
      </c>
      <c r="E1551" t="str" cm="1">
        <f t="array" ref="E1551">INDEX(aspek!$D$2:$D$337,
   MATCH(1,(aspek!$A$2:$A$337=B1551)*
           (aspek!$B$2:$B$337=C1551)*
           (aspek!$C$2:$C$337=D1551),0))</f>
        <v>Disiplin batas peran</v>
      </c>
      <c r="F1551" s="76">
        <v>5</v>
      </c>
      <c r="G1551" s="56" t="str" cm="1">
        <f t="array" ref="G1551">INDEX(deskripsi!$D$2:$H$337,
   MATCH(1,(deskripsi!$A$2:$A$337=B1551)*
           (deskripsi!$B$2:$B$337=C1551)*
           (deskripsi!$C$2:$C$337=D1551),0),
   F1551)</f>
        <v>Membangun kebiasaan organisasi untuk memeriksa kepentingan penengah sebelum suatu persoalan ditengahi.</v>
      </c>
    </row>
    <row r="1552" spans="1:7">
      <c r="A1552" t="str">
        <f t="shared" si="24"/>
        <v>Communication &amp; Deal with Others|Director|3|1</v>
      </c>
      <c r="B1552" t="str">
        <v>Communication &amp; Deal with Others</v>
      </c>
      <c r="C1552" t="str">
        <v>Director</v>
      </c>
      <c r="D1552" s="76">
        <v>3</v>
      </c>
      <c r="E1552" t="str" cm="1">
        <f t="array" ref="E1552">INDEX(aspek!$D$2:$D$337,
   MATCH(1,(aspek!$A$2:$A$337=B1552)*
           (aspek!$B$2:$B$337=C1552)*
           (aspek!$C$2:$C$337=D1552),0))</f>
        <v>Kemampuan memfasilitasi</v>
      </c>
      <c r="F1552" s="76">
        <v>1</v>
      </c>
      <c r="G1552" s="56" t="str" cm="1">
        <f t="array" ref="G1552">INDEX(deskripsi!$D$2:$H$337,
   MATCH(1,(deskripsi!$A$2:$A$337=B1552)*
           (deskripsi!$B$2:$B$337=C1552)*
           (deskripsi!$C$2:$C$337=D1552),0),
   F1552)</f>
        <v>Membiarkan pihak yang lebih berkuasa atau lebih vokal menguasai pembicaraan.</v>
      </c>
    </row>
    <row r="1553" spans="1:7">
      <c r="A1553" t="str">
        <f t="shared" si="24"/>
        <v>Communication &amp; Deal with Others|Director|3|2</v>
      </c>
      <c r="B1553" t="str">
        <v>Communication &amp; Deal with Others</v>
      </c>
      <c r="C1553" t="str">
        <v>Director</v>
      </c>
      <c r="D1553" s="76">
        <v>3</v>
      </c>
      <c r="E1553" t="str" cm="1">
        <f t="array" ref="E1553">INDEX(aspek!$D$2:$D$337,
   MATCH(1,(aspek!$A$2:$A$337=B1553)*
           (aspek!$B$2:$B$337=C1553)*
           (aspek!$C$2:$C$337=D1553),0))</f>
        <v>Kemampuan memfasilitasi</v>
      </c>
      <c r="F1553" s="76">
        <v>2</v>
      </c>
      <c r="G1553" s="56" t="str" cm="1">
        <f t="array" ref="G1553">INDEX(deskripsi!$D$2:$H$337,
   MATCH(1,(deskripsi!$A$2:$A$337=B1553)*
           (deskripsi!$B$2:$B$337=C1553)*
           (deskripsi!$C$2:$C$337=D1553),0),
   F1553)</f>
        <v>Memberi giliran bicara secara merata, tetapi tidak menangani ketika satu pihak menahan diri karena sungkan.</v>
      </c>
    </row>
    <row r="1554" spans="1:7">
      <c r="A1554" t="str">
        <f t="shared" si="24"/>
        <v>Communication &amp; Deal with Others|Director|3|3</v>
      </c>
      <c r="B1554" t="str">
        <v>Communication &amp; Deal with Others</v>
      </c>
      <c r="C1554" t="str">
        <v>Director</v>
      </c>
      <c r="D1554" s="76">
        <v>3</v>
      </c>
      <c r="E1554" t="str" cm="1">
        <f t="array" ref="E1554">INDEX(aspek!$D$2:$D$337,
   MATCH(1,(aspek!$A$2:$A$337=B1554)*
           (aspek!$B$2:$B$337=C1554)*
           (aspek!$C$2:$C$337=D1554),0))</f>
        <v>Kemampuan memfasilitasi</v>
      </c>
      <c r="F1554" s="76">
        <v>3</v>
      </c>
      <c r="G1554" s="56" t="str" cm="1">
        <f t="array" ref="G1554">INDEX(deskripsi!$D$2:$H$337,
   MATCH(1,(deskripsi!$A$2:$A$337=B1554)*
           (deskripsi!$B$2:$B$337=C1554)*
           (deskripsi!$C$2:$C$337=D1554),0),
   F1554)</f>
        <v>Memastikan semua pihak menyampaikan pandangannya dalam forum.</v>
      </c>
    </row>
    <row r="1555" spans="1:7">
      <c r="A1555" t="str">
        <f t="shared" si="24"/>
        <v>Communication &amp; Deal with Others|Director|3|4</v>
      </c>
      <c r="B1555" t="str">
        <v>Communication &amp; Deal with Others</v>
      </c>
      <c r="C1555" t="str">
        <v>Director</v>
      </c>
      <c r="D1555" s="76">
        <v>3</v>
      </c>
      <c r="E1555" t="str" cm="1">
        <f t="array" ref="E1555">INDEX(aspek!$D$2:$D$337,
   MATCH(1,(aspek!$A$2:$A$337=B1555)*
           (aspek!$B$2:$B$337=C1555)*
           (aspek!$C$2:$C$337=D1555),0))</f>
        <v>Kemampuan memfasilitasi</v>
      </c>
      <c r="F1555" s="76">
        <v>4</v>
      </c>
      <c r="G1555" s="56" t="str" cm="1">
        <f t="array" ref="G1555">INDEX(deskripsi!$D$2:$H$337,
   MATCH(1,(deskripsi!$A$2:$A$337=B1555)*
           (deskripsi!$B$2:$B$337=C1555)*
           (deskripsi!$C$2:$C$337=D1555),0),
   F1555)</f>
        <v>Merancang proses sejak awal — siapa hadir, urutan bicara, kaukus terpisah bila perlu, aturan main yang disepakati — sehingga pihak yang lebih lemah tetap dapat berbicara penuh.</v>
      </c>
    </row>
    <row r="1556" spans="1:7">
      <c r="A1556" t="str">
        <f t="shared" si="24"/>
        <v>Communication &amp; Deal with Others|Director|3|5</v>
      </c>
      <c r="B1556" t="str">
        <v>Communication &amp; Deal with Others</v>
      </c>
      <c r="C1556" t="str">
        <v>Director</v>
      </c>
      <c r="D1556" s="76">
        <v>3</v>
      </c>
      <c r="E1556" t="str" cm="1">
        <f t="array" ref="E1556">INDEX(aspek!$D$2:$D$337,
   MATCH(1,(aspek!$A$2:$A$337=B1556)*
           (aspek!$B$2:$B$337=C1556)*
           (aspek!$C$2:$C$337=D1556),0))</f>
        <v>Kemampuan memfasilitasi</v>
      </c>
      <c r="F1556" s="76">
        <v>5</v>
      </c>
      <c r="G1556" s="56" t="str" cm="1">
        <f t="array" ref="G1556">INDEX(deskripsi!$D$2:$H$337,
   MATCH(1,(deskripsi!$A$2:$A$337=B1556)*
           (deskripsi!$B$2:$B$337=C1556)*
           (deskripsi!$C$2:$C$337=D1556),0),
   F1556)</f>
        <v>Rancangan prosesnya dipakai ulang oleh orang lain di organisasi untuk persoalan serupa.</v>
      </c>
    </row>
    <row r="1557" spans="1:7">
      <c r="A1557" t="str">
        <f t="shared" si="24"/>
        <v>Communication &amp; Deal with Others|Director|4|1</v>
      </c>
      <c r="B1557" t="str">
        <v>Communication &amp; Deal with Others</v>
      </c>
      <c r="C1557" t="str">
        <v>Director</v>
      </c>
      <c r="D1557" s="76">
        <v>4</v>
      </c>
      <c r="E1557" t="str" cm="1">
        <f t="array" ref="E1557">INDEX(aspek!$D$2:$D$337,
   MATCH(1,(aspek!$A$2:$A$337=B1557)*
           (aspek!$B$2:$B$337=C1557)*
           (aspek!$C$2:$C$337=D1557),0))</f>
        <v>Keberhasilan membangun komitmen</v>
      </c>
      <c r="F1557" s="76">
        <v>1</v>
      </c>
      <c r="G1557" s="56" t="str" cm="1">
        <f t="array" ref="G1557">INDEX(deskripsi!$D$2:$H$337,
   MATCH(1,(deskripsi!$A$2:$A$337=B1557)*
           (deskripsi!$B$2:$B$337=C1557)*
           (deskripsi!$C$2:$C$337=D1557),0),
   F1557)</f>
        <v>Pertemuan berakhir tanpa kesepakatan, atau dengan kesepakatan lisan yang segera dibantah salah satu pihak.</v>
      </c>
    </row>
    <row r="1558" spans="1:7">
      <c r="A1558" t="str">
        <f t="shared" si="24"/>
        <v>Communication &amp; Deal with Others|Director|4|2</v>
      </c>
      <c r="B1558" t="str">
        <v>Communication &amp; Deal with Others</v>
      </c>
      <c r="C1558" t="str">
        <v>Director</v>
      </c>
      <c r="D1558" s="76">
        <v>4</v>
      </c>
      <c r="E1558" t="str" cm="1">
        <f t="array" ref="E1558">INDEX(aspek!$D$2:$D$337,
   MATCH(1,(aspek!$A$2:$A$337=B1558)*
           (aspek!$B$2:$B$337=C1558)*
           (aspek!$C$2:$C$337=D1558),0))</f>
        <v>Keberhasilan membangun komitmen</v>
      </c>
      <c r="F1558" s="76">
        <v>2</v>
      </c>
      <c r="G1558" s="56" t="str" cm="1">
        <f t="array" ref="G1558">INDEX(deskripsi!$D$2:$H$337,
   MATCH(1,(deskripsi!$A$2:$A$337=B1558)*
           (deskripsi!$B$2:$B$337=C1558)*
           (deskripsi!$C$2:$C$337=D1558),0),
   F1558)</f>
        <v>Kesepakatan tercapai di ruangan, tetapi tidak dijalankan setelah para pihak kembali ke unitnya.</v>
      </c>
    </row>
    <row r="1559" spans="1:7">
      <c r="A1559" t="str">
        <f t="shared" si="24"/>
        <v>Communication &amp; Deal with Others|Director|4|3</v>
      </c>
      <c r="B1559" t="str">
        <v>Communication &amp; Deal with Others</v>
      </c>
      <c r="C1559" t="str">
        <v>Director</v>
      </c>
      <c r="D1559" s="76">
        <v>4</v>
      </c>
      <c r="E1559" t="str" cm="1">
        <f t="array" ref="E1559">INDEX(aspek!$D$2:$D$337,
   MATCH(1,(aspek!$A$2:$A$337=B1559)*
           (aspek!$B$2:$B$337=C1559)*
           (aspek!$C$2:$C$337=D1559),0))</f>
        <v>Keberhasilan membangun komitmen</v>
      </c>
      <c r="F1559" s="76">
        <v>3</v>
      </c>
      <c r="G1559" s="56" t="str" cm="1">
        <f t="array" ref="G1559">INDEX(deskripsi!$D$2:$H$337,
   MATCH(1,(deskripsi!$A$2:$A$337=B1559)*
           (deskripsi!$B$2:$B$337=C1559)*
           (deskripsi!$C$2:$C$337=D1559),0),
   F1559)</f>
        <v>Kesepakatan tertulis dijalankan selama masih ada yang mengingatkan.</v>
      </c>
    </row>
    <row r="1560" spans="1:7">
      <c r="A1560" t="str">
        <f t="shared" si="24"/>
        <v>Communication &amp; Deal with Others|Director|4|4</v>
      </c>
      <c r="B1560" t="str">
        <v>Communication &amp; Deal with Others</v>
      </c>
      <c r="C1560" t="str">
        <v>Director</v>
      </c>
      <c r="D1560" s="76">
        <v>4</v>
      </c>
      <c r="E1560" t="str" cm="1">
        <f t="array" ref="E1560">INDEX(aspek!$D$2:$D$337,
   MATCH(1,(aspek!$A$2:$A$337=B1560)*
           (aspek!$B$2:$B$337=C1560)*
           (aspek!$C$2:$C$337=D1560),0))</f>
        <v>Keberhasilan membangun komitmen</v>
      </c>
      <c r="F1560" s="76">
        <v>4</v>
      </c>
      <c r="G1560" s="56" t="str" cm="1">
        <f t="array" ref="G1560">INDEX(deskripsi!$D$2:$H$337,
   MATCH(1,(deskripsi!$A$2:$A$337=B1560)*
           (deskripsi!$B$2:$B$337=C1560)*
           (deskripsi!$C$2:$C$337=D1560),0),
   F1560)</f>
        <v>Kesepakatan memuat siapa melakukan apa, kapan, dan bagaimana diperiksa; disertai peninjauan berkala; dan masih berjalan setelah 6 bulan tanpa mediasi ulang atas isu yang sama.</v>
      </c>
    </row>
    <row r="1561" spans="1:7">
      <c r="A1561" t="str">
        <f t="shared" si="24"/>
        <v>Communication &amp; Deal with Others|Director|4|5</v>
      </c>
      <c r="B1561" t="str">
        <v>Communication &amp; Deal with Others</v>
      </c>
      <c r="C1561" t="str">
        <v>Director</v>
      </c>
      <c r="D1561" s="76">
        <v>4</v>
      </c>
      <c r="E1561" t="str" cm="1">
        <f t="array" ref="E1561">INDEX(aspek!$D$2:$D$337,
   MATCH(1,(aspek!$A$2:$A$337=B1561)*
           (aspek!$B$2:$B$337=C1561)*
           (aspek!$C$2:$C$337=D1561),0))</f>
        <v>Keberhasilan membangun komitmen</v>
      </c>
      <c r="F1561" s="76">
        <v>5</v>
      </c>
      <c r="G1561" s="56" t="str" cm="1">
        <f t="array" ref="G1561">INDEX(deskripsi!$D$2:$H$337,
   MATCH(1,(deskripsi!$A$2:$A$337=B1561)*
           (deskripsi!$B$2:$B$337=C1561)*
           (deskripsi!$C$2:$C$337=D1561),0),
   F1561)</f>
        <v>Kesepakatan yang ia fasilitasi menjadi dasar cara kerja baru antar pihak, dan persoalan serupa tidak lagi berkembang menjadi konflik.</v>
      </c>
    </row>
    <row r="1562" spans="1:7">
      <c r="A1562" t="str">
        <f t="shared" si="24"/>
        <v>Customer Focus|Officer|1|1</v>
      </c>
      <c r="B1562" t="str">
        <v>Customer Focus</v>
      </c>
      <c r="C1562" t="str">
        <v>Officer</v>
      </c>
      <c r="D1562" s="76">
        <v>1</v>
      </c>
      <c r="E1562" t="str" cm="1">
        <f t="array" ref="E1562">INDEX(aspek!$D$2:$D$337,
   MATCH(1,(aspek!$A$2:$A$337=B1562)*
           (aspek!$B$2:$B$337=C1562)*
           (aspek!$C$2:$C$337=D1562),0))</f>
        <v>Kualitas output</v>
      </c>
      <c r="F1562" s="76">
        <v>1</v>
      </c>
      <c r="G1562" s="56" t="str" cm="1">
        <f t="array" ref="G1562">INDEX(deskripsi!$D$2:$H$337,
   MATCH(1,(deskripsi!$A$2:$A$337=B1562)*
           (deskripsi!$B$2:$B$337=C1562)*
           (deskripsi!$C$2:$C$337=D1562),0),
   F1562)</f>
        <v>Hasil kerja sering tidak memenuhi standar; penerima harus memperbaikinya sendiri atau mengembalikannya berulang kali.</v>
      </c>
    </row>
    <row r="1563" spans="1:7">
      <c r="A1563" t="str">
        <f t="shared" si="24"/>
        <v>Customer Focus|Officer|1|2</v>
      </c>
      <c r="B1563" t="str">
        <v>Customer Focus</v>
      </c>
      <c r="C1563" t="str">
        <v>Officer</v>
      </c>
      <c r="D1563" s="76">
        <v>1</v>
      </c>
      <c r="E1563" t="str" cm="1">
        <f t="array" ref="E1563">INDEX(aspek!$D$2:$D$337,
   MATCH(1,(aspek!$A$2:$A$337=B1563)*
           (aspek!$B$2:$B$337=C1563)*
           (aspek!$C$2:$C$337=D1563),0))</f>
        <v>Kualitas output</v>
      </c>
      <c r="F1563" s="76">
        <v>2</v>
      </c>
      <c r="G1563" s="56" t="str" cm="1">
        <f t="array" ref="G1563">INDEX(deskripsi!$D$2:$H$337,
   MATCH(1,(deskripsi!$A$2:$A$337=B1563)*
           (deskripsi!$B$2:$B$337=C1563)*
           (deskripsi!$C$2:$C$337=D1563),0),
   F1563)</f>
        <v>Memenuhi standar pada tugas yang sudah familiar, tetapi mutunya menurun pada tugas baru atau saat beban meningkat.</v>
      </c>
    </row>
    <row r="1564" spans="1:7">
      <c r="A1564" t="str">
        <f t="shared" si="24"/>
        <v>Customer Focus|Officer|1|3</v>
      </c>
      <c r="B1564" t="str">
        <v>Customer Focus</v>
      </c>
      <c r="C1564" t="str">
        <v>Officer</v>
      </c>
      <c r="D1564" s="76">
        <v>1</v>
      </c>
      <c r="E1564" t="str" cm="1">
        <f t="array" ref="E1564">INDEX(aspek!$D$2:$D$337,
   MATCH(1,(aspek!$A$2:$A$337=B1564)*
           (aspek!$B$2:$B$337=C1564)*
           (aspek!$C$2:$C$337=D1564),0))</f>
        <v>Kualitas output</v>
      </c>
      <c r="F1564" s="76">
        <v>3</v>
      </c>
      <c r="G1564" s="56" t="str" cm="1">
        <f t="array" ref="G1564">INDEX(deskripsi!$D$2:$H$337,
   MATCH(1,(deskripsi!$A$2:$A$337=B1564)*
           (deskripsi!$B$2:$B$337=C1564)*
           (deskripsi!$C$2:$C$337=D1564),0),
   F1564)</f>
        <v>Hasil kerja stabil memenuhi standar yang disepakati; revisi masih terjadi tetapi pada hal-hal kecil.</v>
      </c>
    </row>
    <row r="1565" spans="1:7">
      <c r="A1565" t="str">
        <f t="shared" si="24"/>
        <v>Customer Focus|Officer|1|4</v>
      </c>
      <c r="B1565" t="str">
        <v>Customer Focus</v>
      </c>
      <c r="C1565" t="str">
        <v>Officer</v>
      </c>
      <c r="D1565" s="76">
        <v>1</v>
      </c>
      <c r="E1565" t="str" cm="1">
        <f t="array" ref="E1565">INDEX(aspek!$D$2:$D$337,
   MATCH(1,(aspek!$A$2:$A$337=B1565)*
           (aspek!$B$2:$B$337=C1565)*
           (aspek!$C$2:$C$337=D1565),0))</f>
        <v>Kualitas output</v>
      </c>
      <c r="F1565" s="76">
        <v>4</v>
      </c>
      <c r="G1565" s="56" t="str" cm="1">
        <f t="array" ref="G1565">INDEX(deskripsi!$D$2:$H$337,
   MATCH(1,(deskripsi!$A$2:$A$337=B1565)*
           (deskripsi!$B$2:$B$337=C1565)*
           (deskripsi!$C$2:$C$337=D1565),0),
   F1565)</f>
        <v>Hasil kerja diterima tanpa revisi pada sebagian besar penyerahan, karena diperiksa sendiri terhadap kriteria penerimaan sebelum diserahkan.</v>
      </c>
    </row>
    <row r="1566" spans="1:7">
      <c r="A1566" t="str">
        <f t="shared" si="24"/>
        <v>Customer Focus|Officer|1|5</v>
      </c>
      <c r="B1566" t="str">
        <v>Customer Focus</v>
      </c>
      <c r="C1566" t="str">
        <v>Officer</v>
      </c>
      <c r="D1566" s="76">
        <v>1</v>
      </c>
      <c r="E1566" t="str" cm="1">
        <f t="array" ref="E1566">INDEX(aspek!$D$2:$D$337,
   MATCH(1,(aspek!$A$2:$A$337=B1566)*
           (aspek!$B$2:$B$337=C1566)*
           (aspek!$C$2:$C$337=D1566),0))</f>
        <v>Kualitas output</v>
      </c>
      <c r="F1566" s="76">
        <v>5</v>
      </c>
      <c r="G1566" s="56" t="str" cm="1">
        <f t="array" ref="G1566">INDEX(deskripsi!$D$2:$H$337,
   MATCH(1,(deskripsi!$A$2:$A$337=B1566)*
           (deskripsi!$B$2:$B$337=C1566)*
           (deskripsi!$C$2:$C$337=D1566),0),
   F1566)</f>
        <v>Hasil kerjanya dipakai orang lain sebagai contoh standar; kriteria penerimaan yang ia susun diadopsi rekan.</v>
      </c>
    </row>
    <row r="1567" spans="1:7">
      <c r="A1567" t="str">
        <f t="shared" si="24"/>
        <v>Customer Focus|Officer|2|1</v>
      </c>
      <c r="B1567" t="str">
        <v>Customer Focus</v>
      </c>
      <c r="C1567" t="str">
        <v>Officer</v>
      </c>
      <c r="D1567" s="76">
        <v>2</v>
      </c>
      <c r="E1567" t="str" cm="1">
        <f t="array" ref="E1567">INDEX(aspek!$D$2:$D$337,
   MATCH(1,(aspek!$A$2:$A$337=B1567)*
           (aspek!$B$2:$B$337=C1567)*
           (aspek!$C$2:$C$337=D1567),0))</f>
        <v>Ketepatan waktu</v>
      </c>
      <c r="F1567" s="76">
        <v>1</v>
      </c>
      <c r="G1567" s="56" t="str" cm="1">
        <f t="array" ref="G1567">INDEX(deskripsi!$D$2:$H$337,
   MATCH(1,(deskripsi!$A$2:$A$337=B1567)*
           (deskripsi!$B$2:$B$337=C1567)*
           (deskripsi!$C$2:$C$337=D1567),0),
   F1567)</f>
        <v>Sering terlambat, dan keterlambatan baru diketahui penerima setelah tenggat lewat.</v>
      </c>
    </row>
    <row r="1568" spans="1:7">
      <c r="A1568" t="str">
        <f t="shared" si="24"/>
        <v>Customer Focus|Officer|2|2</v>
      </c>
      <c r="B1568" t="str">
        <v>Customer Focus</v>
      </c>
      <c r="C1568" t="str">
        <v>Officer</v>
      </c>
      <c r="D1568" s="76">
        <v>2</v>
      </c>
      <c r="E1568" t="str" cm="1">
        <f t="array" ref="E1568">INDEX(aspek!$D$2:$D$337,
   MATCH(1,(aspek!$A$2:$A$337=B1568)*
           (aspek!$B$2:$B$337=C1568)*
           (aspek!$C$2:$C$337=D1568),0))</f>
        <v>Ketepatan waktu</v>
      </c>
      <c r="F1568" s="76">
        <v>2</v>
      </c>
      <c r="G1568" s="56" t="str" cm="1">
        <f t="array" ref="G1568">INDEX(deskripsi!$D$2:$H$337,
   MATCH(1,(deskripsi!$A$2:$A$337=B1568)*
           (deskripsi!$B$2:$B$337=C1568)*
           (deskripsi!$C$2:$C$337=D1568),0),
   F1568)</f>
        <v>Tepat waktu bila hanya mengerjakan satu hal; meleset ketika beberapa tenggat datang bersamaan.</v>
      </c>
    </row>
    <row r="1569" spans="1:7">
      <c r="A1569" t="str">
        <f t="shared" si="24"/>
        <v>Customer Focus|Officer|2|3</v>
      </c>
      <c r="B1569" t="str">
        <v>Customer Focus</v>
      </c>
      <c r="C1569" t="str">
        <v>Officer</v>
      </c>
      <c r="D1569" s="76">
        <v>2</v>
      </c>
      <c r="E1569" t="str" cm="1">
        <f t="array" ref="E1569">INDEX(aspek!$D$2:$D$337,
   MATCH(1,(aspek!$A$2:$A$337=B1569)*
           (aspek!$B$2:$B$337=C1569)*
           (aspek!$C$2:$C$337=D1569),0))</f>
        <v>Ketepatan waktu</v>
      </c>
      <c r="F1569" s="76">
        <v>3</v>
      </c>
      <c r="G1569" s="56" t="str" cm="1">
        <f t="array" ref="G1569">INDEX(deskripsi!$D$2:$H$337,
   MATCH(1,(deskripsi!$A$2:$A$337=B1569)*
           (deskripsi!$B$2:$B$337=C1569)*
           (deskripsi!$C$2:$C$337=D1569),0),
   F1569)</f>
        <v>Sebagian besar penyerahan tepat waktu; keterlambatan yang terjadi masih dalam batas yang dapat ditoleransi penerima.</v>
      </c>
    </row>
    <row r="1570" spans="1:7">
      <c r="A1570" t="str">
        <f t="shared" si="24"/>
        <v>Customer Focus|Officer|2|4</v>
      </c>
      <c r="B1570" t="str">
        <v>Customer Focus</v>
      </c>
      <c r="C1570" t="str">
        <v>Officer</v>
      </c>
      <c r="D1570" s="76">
        <v>2</v>
      </c>
      <c r="E1570" t="str" cm="1">
        <f t="array" ref="E1570">INDEX(aspek!$D$2:$D$337,
   MATCH(1,(aspek!$A$2:$A$337=B1570)*
           (aspek!$B$2:$B$337=C1570)*
           (aspek!$C$2:$C$337=D1570),0))</f>
        <v>Ketepatan waktu</v>
      </c>
      <c r="F1570" s="76">
        <v>4</v>
      </c>
      <c r="G1570" s="56" t="str" cm="1">
        <f t="array" ref="G1570">INDEX(deskripsi!$D$2:$H$337,
   MATCH(1,(deskripsi!$A$2:$A$337=B1570)*
           (deskripsi!$B$2:$B$337=C1570)*
           (deskripsi!$C$2:$C$337=D1570),0),
   F1570)</f>
        <v>Hampir seluruh penyerahan tepat waktu, termasuk ketika beban bertambah, karena waktu pengerjaan diperkirakan realistis sejak awal.</v>
      </c>
    </row>
    <row r="1571" spans="1:7">
      <c r="A1571" t="str">
        <f t="shared" si="24"/>
        <v>Customer Focus|Officer|2|5</v>
      </c>
      <c r="B1571" t="str">
        <v>Customer Focus</v>
      </c>
      <c r="C1571" t="str">
        <v>Officer</v>
      </c>
      <c r="D1571" s="76">
        <v>2</v>
      </c>
      <c r="E1571" t="str" cm="1">
        <f t="array" ref="E1571">INDEX(aspek!$D$2:$D$337,
   MATCH(1,(aspek!$A$2:$A$337=B1571)*
           (aspek!$B$2:$B$337=C1571)*
           (aspek!$C$2:$C$337=D1571),0))</f>
        <v>Ketepatan waktu</v>
      </c>
      <c r="F1571" s="76">
        <v>5</v>
      </c>
      <c r="G1571" s="56" t="str" cm="1">
        <f t="array" ref="G1571">INDEX(deskripsi!$D$2:$H$337,
   MATCH(1,(deskripsi!$A$2:$A$337=B1571)*
           (deskripsi!$B$2:$B$337=C1571)*
           (deskripsi!$C$2:$C$337=D1571),0),
   F1571)</f>
        <v>Menyelesaikan lebih awal secara konsisten, sehingga tersedia ruang untuk pemeriksaan dan perbaikan sebelum tenggat.</v>
      </c>
    </row>
    <row r="1572" spans="1:7">
      <c r="A1572" t="str">
        <f t="shared" si="24"/>
        <v>Customer Focus|Officer|3|1</v>
      </c>
      <c r="B1572" t="str">
        <v>Customer Focus</v>
      </c>
      <c r="C1572" t="str">
        <v>Officer</v>
      </c>
      <c r="D1572" s="76">
        <v>3</v>
      </c>
      <c r="E1572" t="str" cm="1">
        <f t="array" ref="E1572">INDEX(aspek!$D$2:$D$337,
   MATCH(1,(aspek!$A$2:$A$337=B1572)*
           (aspek!$B$2:$B$337=C1572)*
           (aspek!$C$2:$C$337=D1572),0))</f>
        <v>Keandalan dan konsistensi</v>
      </c>
      <c r="F1572" s="76">
        <v>1</v>
      </c>
      <c r="G1572" s="56" t="str" cm="1">
        <f t="array" ref="G1572">INDEX(deskripsi!$D$2:$H$337,
   MATCH(1,(deskripsi!$A$2:$A$337=B1572)*
           (deskripsi!$B$2:$B$337=C1572)*
           (deskripsi!$C$2:$C$337=D1572),0),
   F1572)</f>
        <v>Mutu dan ketepatan waktunya tidak dapat diperkirakan; penerima selalu harus memeriksa ulang.</v>
      </c>
    </row>
    <row r="1573" spans="1:7">
      <c r="A1573" t="str">
        <f t="shared" si="24"/>
        <v>Customer Focus|Officer|3|2</v>
      </c>
      <c r="B1573" t="str">
        <v>Customer Focus</v>
      </c>
      <c r="C1573" t="str">
        <v>Officer</v>
      </c>
      <c r="D1573" s="76">
        <v>3</v>
      </c>
      <c r="E1573" t="str" cm="1">
        <f t="array" ref="E1573">INDEX(aspek!$D$2:$D$337,
   MATCH(1,(aspek!$A$2:$A$337=B1573)*
           (aspek!$B$2:$B$337=C1573)*
           (aspek!$C$2:$C$337=D1573),0))</f>
        <v>Keandalan dan konsistensi</v>
      </c>
      <c r="F1573" s="76">
        <v>2</v>
      </c>
      <c r="G1573" s="56" t="str" cm="1">
        <f t="array" ref="G1573">INDEX(deskripsi!$D$2:$H$337,
   MATCH(1,(deskripsi!$A$2:$A$337=B1573)*
           (deskripsi!$B$2:$B$337=C1573)*
           (deskripsi!$C$2:$C$337=D1573),0),
   F1573)</f>
        <v>Baik pada sebagian periode dan menurun pada periode lain, tanpa pola yang jelas.</v>
      </c>
    </row>
    <row r="1574" spans="1:7">
      <c r="A1574" t="str">
        <f t="shared" si="24"/>
        <v>Customer Focus|Officer|3|3</v>
      </c>
      <c r="B1574" t="str">
        <v>Customer Focus</v>
      </c>
      <c r="C1574" t="str">
        <v>Officer</v>
      </c>
      <c r="D1574" s="76">
        <v>3</v>
      </c>
      <c r="E1574" t="str" cm="1">
        <f t="array" ref="E1574">INDEX(aspek!$D$2:$D$337,
   MATCH(1,(aspek!$A$2:$A$337=B1574)*
           (aspek!$B$2:$B$337=C1574)*
           (aspek!$C$2:$C$337=D1574),0))</f>
        <v>Keandalan dan konsistensi</v>
      </c>
      <c r="F1574" s="76">
        <v>3</v>
      </c>
      <c r="G1574" s="56" t="str" cm="1">
        <f t="array" ref="G1574">INDEX(deskripsi!$D$2:$H$337,
   MATCH(1,(deskripsi!$A$2:$A$337=B1574)*
           (deskripsi!$B$2:$B$337=C1574)*
           (deskripsi!$C$2:$C$337=D1574),0),
   F1574)</f>
        <v>Cukup dapat diandalkan pada pekerjaan rutin, tetapi belum teruji pada pekerjaan yang tidak rutin.</v>
      </c>
    </row>
    <row r="1575" spans="1:7">
      <c r="A1575" t="str">
        <f t="shared" si="24"/>
        <v>Customer Focus|Officer|3|4</v>
      </c>
      <c r="B1575" t="str">
        <v>Customer Focus</v>
      </c>
      <c r="C1575" t="str">
        <v>Officer</v>
      </c>
      <c r="D1575" s="76">
        <v>3</v>
      </c>
      <c r="E1575" t="str" cm="1">
        <f t="array" ref="E1575">INDEX(aspek!$D$2:$D$337,
   MATCH(1,(aspek!$A$2:$A$337=B1575)*
           (aspek!$B$2:$B$337=C1575)*
           (aspek!$C$2:$C$337=D1575),0))</f>
        <v>Keandalan dan konsistensi</v>
      </c>
      <c r="F1575" s="76">
        <v>4</v>
      </c>
      <c r="G1575" s="56" t="str" cm="1">
        <f t="array" ref="G1575">INDEX(deskripsi!$D$2:$H$337,
   MATCH(1,(deskripsi!$A$2:$A$337=B1575)*
           (deskripsi!$B$2:$B$337=C1575)*
           (deskripsi!$C$2:$C$337=D1575),0),
   F1575)</f>
        <v>Angka ketepatan waktu dan bebas-revisi bertahan tinggi selama beberapa bulan berturut-turut, termasuk pada bulan tersibuk.</v>
      </c>
    </row>
    <row r="1576" spans="1:7">
      <c r="A1576" t="str">
        <f t="shared" si="24"/>
        <v>Customer Focus|Officer|3|5</v>
      </c>
      <c r="B1576" t="str">
        <v>Customer Focus</v>
      </c>
      <c r="C1576" t="str">
        <v>Officer</v>
      </c>
      <c r="D1576" s="76">
        <v>3</v>
      </c>
      <c r="E1576" t="str" cm="1">
        <f t="array" ref="E1576">INDEX(aspek!$D$2:$D$337,
   MATCH(1,(aspek!$A$2:$A$337=B1576)*
           (aspek!$B$2:$B$337=C1576)*
           (aspek!$C$2:$C$337=D1576),0))</f>
        <v>Keandalan dan konsistensi</v>
      </c>
      <c r="F1576" s="76">
        <v>5</v>
      </c>
      <c r="G1576" s="56" t="str" cm="1">
        <f t="array" ref="G1576">INDEX(deskripsi!$D$2:$H$337,
   MATCH(1,(deskripsi!$A$2:$A$337=B1576)*
           (deskripsi!$B$2:$B$337=C1576)*
           (deskripsi!$C$2:$C$337=D1576),0),
   F1576)</f>
        <v>Menjadi orang yang diberi pekerjaan paling kritis, karena keandalannya dianggap tidak bergantung pada situasi.</v>
      </c>
    </row>
    <row r="1577" spans="1:7">
      <c r="A1577" t="str">
        <f t="shared" si="24"/>
        <v>Customer Focus|Officer|4|1</v>
      </c>
      <c r="B1577" t="str">
        <v>Customer Focus</v>
      </c>
      <c r="C1577" t="str">
        <v>Officer</v>
      </c>
      <c r="D1577" s="76">
        <v>4</v>
      </c>
      <c r="E1577" t="str" cm="1">
        <f t="array" ref="E1577">INDEX(aspek!$D$2:$D$337,
   MATCH(1,(aspek!$A$2:$A$337=B1577)*
           (aspek!$B$2:$B$337=C1577)*
           (aspek!$C$2:$C$337=D1577),0))</f>
        <v>Pengelolaan kesepakatan dan peringatan dini</v>
      </c>
      <c r="F1577" s="76">
        <v>1</v>
      </c>
      <c r="G1577" s="56" t="str" cm="1">
        <f t="array" ref="G1577">INDEX(deskripsi!$D$2:$H$337,
   MATCH(1,(deskripsi!$A$2:$A$337=B1577)*
           (deskripsi!$B$2:$B$337=C1577)*
           (deskripsi!$C$2:$C$337=D1577),0),
   F1577)</f>
        <v>Mulai mengerjakan tanpa memastikan apa yang diminta dan kapan; perbedaan tafsir baru ketahuan saat penyerahan.</v>
      </c>
    </row>
    <row r="1578" spans="1:7">
      <c r="A1578" t="str">
        <f t="shared" si="24"/>
        <v>Customer Focus|Officer|4|2</v>
      </c>
      <c r="B1578" t="str">
        <v>Customer Focus</v>
      </c>
      <c r="C1578" t="str">
        <v>Officer</v>
      </c>
      <c r="D1578" s="76">
        <v>4</v>
      </c>
      <c r="E1578" t="str" cm="1">
        <f t="array" ref="E1578">INDEX(aspek!$D$2:$D$337,
   MATCH(1,(aspek!$A$2:$A$337=B1578)*
           (aspek!$B$2:$B$337=C1578)*
           (aspek!$C$2:$C$337=D1578),0))</f>
        <v>Pengelolaan kesepakatan dan peringatan dini</v>
      </c>
      <c r="F1578" s="76">
        <v>2</v>
      </c>
      <c r="G1578" s="56" t="str" cm="1">
        <f t="array" ref="G1578">INDEX(deskripsi!$D$2:$H$337,
   MATCH(1,(deskripsi!$A$2:$A$337=B1578)*
           (deskripsi!$B$2:$B$337=C1578)*
           (deskripsi!$C$2:$C$337=D1578),0),
   F1578)</f>
        <v>Menanyakan tenggat, tetapi tidak menyepakati seperti apa hasil yang dianggap selesai.</v>
      </c>
    </row>
    <row r="1579" spans="1:7">
      <c r="A1579" t="str">
        <f t="shared" si="24"/>
        <v>Customer Focus|Officer|4|3</v>
      </c>
      <c r="B1579" t="str">
        <v>Customer Focus</v>
      </c>
      <c r="C1579" t="str">
        <v>Officer</v>
      </c>
      <c r="D1579" s="76">
        <v>4</v>
      </c>
      <c r="E1579" t="str" cm="1">
        <f t="array" ref="E1579">INDEX(aspek!$D$2:$D$337,
   MATCH(1,(aspek!$A$2:$A$337=B1579)*
           (aspek!$B$2:$B$337=C1579)*
           (aspek!$C$2:$C$337=D1579),0))</f>
        <v>Pengelolaan kesepakatan dan peringatan dini</v>
      </c>
      <c r="F1579" s="76">
        <v>3</v>
      </c>
      <c r="G1579" s="56" t="str" cm="1">
        <f t="array" ref="G1579">INDEX(deskripsi!$D$2:$H$337,
   MATCH(1,(deskripsi!$A$2:$A$337=B1579)*
           (deskripsi!$B$2:$B$337=C1579)*
           (deskripsi!$C$2:$C$337=D1579),0),
   F1579)</f>
        <v>Menyepakati hasil dan tenggat di muka pada permintaan yang penting.</v>
      </c>
    </row>
    <row r="1580" spans="1:7">
      <c r="A1580" t="str">
        <f t="shared" si="24"/>
        <v>Customer Focus|Officer|4|4</v>
      </c>
      <c r="B1580" t="str">
        <v>Customer Focus</v>
      </c>
      <c r="C1580" t="str">
        <v>Officer</v>
      </c>
      <c r="D1580" s="76">
        <v>4</v>
      </c>
      <c r="E1580" t="str" cm="1">
        <f t="array" ref="E1580">INDEX(aspek!$D$2:$D$337,
   MATCH(1,(aspek!$A$2:$A$337=B1580)*
           (aspek!$B$2:$B$337=C1580)*
           (aspek!$C$2:$C$337=D1580),0))</f>
        <v>Pengelolaan kesepakatan dan peringatan dini</v>
      </c>
      <c r="F1580" s="76">
        <v>4</v>
      </c>
      <c r="G1580" s="56" t="str" cm="1">
        <f t="array" ref="G1580">INDEX(deskripsi!$D$2:$H$337,
   MATCH(1,(deskripsi!$A$2:$A$337=B1580)*
           (deskripsi!$B$2:$B$337=C1580)*
           (deskripsi!$C$2:$C$337=D1580),0),
   F1580)</f>
        <v>Menyepakati kriteria penerimaan dan tenggat di muka pada hampir seluruh permintaan, serta memberi kabar sejak dini dan menegosiasikan ulang SEBELUM tenggat lewat bila ada kendala.</v>
      </c>
    </row>
    <row r="1581" spans="1:7">
      <c r="A1581" t="str">
        <f t="shared" si="24"/>
        <v>Customer Focus|Officer|4|5</v>
      </c>
      <c r="B1581" t="str">
        <v>Customer Focus</v>
      </c>
      <c r="C1581" t="str">
        <v>Officer</v>
      </c>
      <c r="D1581" s="76">
        <v>4</v>
      </c>
      <c r="E1581" t="str" cm="1">
        <f t="array" ref="E1581">INDEX(aspek!$D$2:$D$337,
   MATCH(1,(aspek!$A$2:$A$337=B1581)*
           (aspek!$B$2:$B$337=C1581)*
           (aspek!$C$2:$C$337=D1581),0))</f>
        <v>Pengelolaan kesepakatan dan peringatan dini</v>
      </c>
      <c r="F1581" s="76">
        <v>5</v>
      </c>
      <c r="G1581" s="56" t="str" cm="1">
        <f t="array" ref="G1581">INDEX(deskripsi!$D$2:$H$337,
   MATCH(1,(deskripsi!$A$2:$A$337=B1581)*
           (deskripsi!$B$2:$B$337=C1581)*
           (deskripsi!$C$2:$C$337=D1581),0),
   F1581)</f>
        <v>Kriteria penerimaan yang ia sepakati menjadi acuan baku antara unitnya dan penerima output.</v>
      </c>
    </row>
    <row r="1582" spans="1:7">
      <c r="A1582" t="str">
        <f t="shared" si="24"/>
        <v>Customer Focus|Analyst|1|1</v>
      </c>
      <c r="B1582" t="str">
        <v>Customer Focus</v>
      </c>
      <c r="C1582" t="str">
        <v>Analyst</v>
      </c>
      <c r="D1582" s="76">
        <v>1</v>
      </c>
      <c r="E1582" t="str" cm="1">
        <f t="array" ref="E1582">INDEX(aspek!$D$2:$D$337,
   MATCH(1,(aspek!$A$2:$A$337=B1582)*
           (aspek!$B$2:$B$337=C1582)*
           (aspek!$C$2:$C$337=D1582),0))</f>
        <v>Kedalaman penggalian</v>
      </c>
      <c r="F1582" s="76">
        <v>1</v>
      </c>
      <c r="G1582" s="56" t="str" cm="1">
        <f t="array" ref="G1582">INDEX(deskripsi!$D$2:$H$337,
   MATCH(1,(deskripsi!$A$2:$A$337=B1582)*
           (deskripsi!$B$2:$B$337=C1582)*
           (deskripsi!$C$2:$C$337=D1582),0),
   F1582)</f>
        <v>Cepat menyimpulkan tentang pelanggan berdasarkan pengalaman sebelumnya atau kesan pertama, tanpa memeriksanya.</v>
      </c>
    </row>
    <row r="1583" spans="1:7">
      <c r="A1583" t="str">
        <f t="shared" si="24"/>
        <v>Customer Focus|Analyst|1|2</v>
      </c>
      <c r="B1583" t="str">
        <v>Customer Focus</v>
      </c>
      <c r="C1583" t="str">
        <v>Analyst</v>
      </c>
      <c r="D1583" s="76">
        <v>1</v>
      </c>
      <c r="E1583" t="str" cm="1">
        <f t="array" ref="E1583">INDEX(aspek!$D$2:$D$337,
   MATCH(1,(aspek!$A$2:$A$337=B1583)*
           (aspek!$B$2:$B$337=C1583)*
           (aspek!$C$2:$C$337=D1583),0))</f>
        <v>Kedalaman penggalian</v>
      </c>
      <c r="F1583" s="76">
        <v>2</v>
      </c>
      <c r="G1583" s="56" t="str" cm="1">
        <f t="array" ref="G1583">INDEX(deskripsi!$D$2:$H$337,
   MATCH(1,(deskripsi!$A$2:$A$337=B1583)*
           (deskripsi!$B$2:$B$337=C1583)*
           (deskripsi!$C$2:$C$337=D1583),0),
   F1583)</f>
        <v>Bertanya seperlunya agar tugas dapat dikerjakan; berhenti begitu permintaannya cukup jelas.</v>
      </c>
    </row>
    <row r="1584" spans="1:7">
      <c r="A1584" t="str">
        <f t="shared" si="24"/>
        <v>Customer Focus|Analyst|1|3</v>
      </c>
      <c r="B1584" t="str">
        <v>Customer Focus</v>
      </c>
      <c r="C1584" t="str">
        <v>Analyst</v>
      </c>
      <c r="D1584" s="76">
        <v>1</v>
      </c>
      <c r="E1584" t="str" cm="1">
        <f t="array" ref="E1584">INDEX(aspek!$D$2:$D$337,
   MATCH(1,(aspek!$A$2:$A$337=B1584)*
           (aspek!$B$2:$B$337=C1584)*
           (aspek!$C$2:$C$337=D1584),0))</f>
        <v>Kedalaman penggalian</v>
      </c>
      <c r="F1584" s="76">
        <v>3</v>
      </c>
      <c r="G1584" s="56" t="str" cm="1">
        <f t="array" ref="G1584">INDEX(deskripsi!$D$2:$H$337,
   MATCH(1,(deskripsi!$A$2:$A$337=B1584)*
           (deskripsi!$B$2:$B$337=C1584)*
           (deskripsi!$C$2:$C$337=D1584),0),
   F1584)</f>
        <v>Menanyakan konteks di balik permintaan — untuk apa dipakai, kapan dibutuhkan, siapa yang akan memakainya.</v>
      </c>
    </row>
    <row r="1585" spans="1:7">
      <c r="A1585" t="str">
        <f t="shared" si="24"/>
        <v>Customer Focus|Analyst|1|4</v>
      </c>
      <c r="B1585" t="str">
        <v>Customer Focus</v>
      </c>
      <c r="C1585" t="str">
        <v>Analyst</v>
      </c>
      <c r="D1585" s="76">
        <v>1</v>
      </c>
      <c r="E1585" t="str" cm="1">
        <f t="array" ref="E1585">INDEX(aspek!$D$2:$D$337,
   MATCH(1,(aspek!$A$2:$A$337=B1585)*
           (aspek!$B$2:$B$337=C1585)*
           (aspek!$C$2:$C$337=D1585),0))</f>
        <v>Kedalaman penggalian</v>
      </c>
      <c r="F1585" s="76">
        <v>4</v>
      </c>
      <c r="G1585" s="56" t="str" cm="1">
        <f t="array" ref="G1585">INDEX(deskripsi!$D$2:$H$337,
   MATCH(1,(deskripsi!$A$2:$A$337=B1585)*
           (deskripsi!$B$2:$B$337=C1585)*
           (deskripsi!$C$2:$C$337=D1585),0),
   F1585)</f>
        <v>Menggali sampai memahami alasan, kendala, dan harapan pelanggan, termasuk hal yang tidak berhubungan langsung dengan tugas yang sedang dikerjakan.</v>
      </c>
    </row>
    <row r="1586" spans="1:7">
      <c r="A1586" t="str">
        <f t="shared" si="24"/>
        <v>Customer Focus|Analyst|1|5</v>
      </c>
      <c r="B1586" t="str">
        <v>Customer Focus</v>
      </c>
      <c r="C1586" t="str">
        <v>Analyst</v>
      </c>
      <c r="D1586" s="76">
        <v>1</v>
      </c>
      <c r="E1586" t="str" cm="1">
        <f t="array" ref="E1586">INDEX(aspek!$D$2:$D$337,
   MATCH(1,(aspek!$A$2:$A$337=B1586)*
           (aspek!$B$2:$B$337=C1586)*
           (aspek!$C$2:$C$337=D1586),0))</f>
        <v>Kedalaman penggalian</v>
      </c>
      <c r="F1586" s="76">
        <v>5</v>
      </c>
      <c r="G1586" s="56" t="str" cm="1">
        <f t="array" ref="G1586">INDEX(deskripsi!$D$2:$H$337,
   MATCH(1,(deskripsi!$A$2:$A$337=B1586)*
           (deskripsi!$B$2:$B$337=C1586)*
           (deskripsi!$C$2:$C$337=D1586),0),
   F1586)</f>
        <v>Pelanggan menceritakan kekhawatiran dan rencana yang tidak mereka sampaikan kepada orang lain di unitnya.</v>
      </c>
    </row>
    <row r="1587" spans="1:7">
      <c r="A1587" t="str">
        <f t="shared" si="24"/>
        <v>Customer Focus|Analyst|2|1</v>
      </c>
      <c r="B1587" t="str">
        <v>Customer Focus</v>
      </c>
      <c r="C1587" t="str">
        <v>Analyst</v>
      </c>
      <c r="D1587" s="76">
        <v>2</v>
      </c>
      <c r="E1587" t="str" cm="1">
        <f t="array" ref="E1587">INDEX(aspek!$D$2:$D$337,
   MATCH(1,(aspek!$A$2:$A$337=B1587)*
           (aspek!$B$2:$B$337=C1587)*
           (aspek!$C$2:$C$337=D1587),0))</f>
        <v>Ketulusan penggalian</v>
      </c>
      <c r="F1587" s="76">
        <v>1</v>
      </c>
      <c r="G1587" s="56" t="str" cm="1">
        <f t="array" ref="G1587">INDEX(deskripsi!$D$2:$H$337,
   MATCH(1,(deskripsi!$A$2:$A$337=B1587)*
           (deskripsi!$B$2:$B$337=C1587)*
           (deskripsi!$C$2:$C$337=D1587),0),
   F1587)</f>
        <v>Tidak bertanya sama sekali, atau bertanya hanya untuk memastikan dirinya tidak disalahkan.</v>
      </c>
    </row>
    <row r="1588" spans="1:7">
      <c r="A1588" t="str">
        <f t="shared" si="24"/>
        <v>Customer Focus|Analyst|2|2</v>
      </c>
      <c r="B1588" t="str">
        <v>Customer Focus</v>
      </c>
      <c r="C1588" t="str">
        <v>Analyst</v>
      </c>
      <c r="D1588" s="76">
        <v>2</v>
      </c>
      <c r="E1588" t="str" cm="1">
        <f t="array" ref="E1588">INDEX(aspek!$D$2:$D$337,
   MATCH(1,(aspek!$A$2:$A$337=B1588)*
           (aspek!$B$2:$B$337=C1588)*
           (aspek!$C$2:$C$337=D1588),0))</f>
        <v>Ketulusan penggalian</v>
      </c>
      <c r="F1588" s="76">
        <v>2</v>
      </c>
      <c r="G1588" s="56" t="str" cm="1">
        <f t="array" ref="G1588">INDEX(deskripsi!$D$2:$H$337,
   MATCH(1,(deskripsi!$A$2:$A$337=B1588)*
           (deskripsi!$B$2:$B$337=C1588)*
           (deskripsi!$C$2:$C$337=D1588),0),
   F1588)</f>
        <v>Bertanya dengan daftar pertanyaan yang sama untuk semua orang; jawabannya dicatat tetapi tidak memengaruhi apa pun.</v>
      </c>
    </row>
    <row r="1589" spans="1:7">
      <c r="A1589" t="str">
        <f t="shared" si="24"/>
        <v>Customer Focus|Analyst|2|3</v>
      </c>
      <c r="B1589" t="str">
        <v>Customer Focus</v>
      </c>
      <c r="C1589" t="str">
        <v>Analyst</v>
      </c>
      <c r="D1589" s="76">
        <v>2</v>
      </c>
      <c r="E1589" t="str" cm="1">
        <f t="array" ref="E1589">INDEX(aspek!$D$2:$D$337,
   MATCH(1,(aspek!$A$2:$A$337=B1589)*
           (aspek!$B$2:$B$337=C1589)*
           (aspek!$C$2:$C$337=D1589),0))</f>
        <v>Ketulusan penggalian</v>
      </c>
      <c r="F1589" s="76">
        <v>3</v>
      </c>
      <c r="G1589" s="56" t="str" cm="1">
        <f t="array" ref="G1589">INDEX(deskripsi!$D$2:$H$337,
   MATCH(1,(deskripsi!$A$2:$A$337=B1589)*
           (deskripsi!$B$2:$B$337=C1589)*
           (deskripsi!$C$2:$C$337=D1589),0),
   F1589)</f>
        <v>Bertanya dengan sungguh-sungguh, dan jawabannya memengaruhi cara ia mengerjakan tugas.</v>
      </c>
    </row>
    <row r="1590" spans="1:7">
      <c r="A1590" t="str">
        <f t="shared" si="24"/>
        <v>Customer Focus|Analyst|2|4</v>
      </c>
      <c r="B1590" t="str">
        <v>Customer Focus</v>
      </c>
      <c r="C1590" t="str">
        <v>Analyst</v>
      </c>
      <c r="D1590" s="76">
        <v>2</v>
      </c>
      <c r="E1590" t="str" cm="1">
        <f t="array" ref="E1590">INDEX(aspek!$D$2:$D$337,
   MATCH(1,(aspek!$A$2:$A$337=B1590)*
           (aspek!$B$2:$B$337=C1590)*
           (aspek!$C$2:$C$337=D1590),0))</f>
        <v>Ketulusan penggalian</v>
      </c>
      <c r="F1590" s="76">
        <v>4</v>
      </c>
      <c r="G1590" s="56" t="str" cm="1">
        <f t="array" ref="G1590">INDEX(deskripsi!$D$2:$H$337,
   MATCH(1,(deskripsi!$A$2:$A$337=B1590)*
           (deskripsi!$B$2:$B$337=C1590)*
           (deskripsi!$C$2:$C$337=D1590),0),
   F1590)</f>
        <v>Pelanggan merasa percakapannya wajar dan bukan formalitas, serta bersedia bercerita lebih jauh daripada yang ditanyakan.</v>
      </c>
    </row>
    <row r="1591" spans="1:7">
      <c r="A1591" t="str">
        <f t="shared" si="24"/>
        <v>Customer Focus|Analyst|2|5</v>
      </c>
      <c r="B1591" t="str">
        <v>Customer Focus</v>
      </c>
      <c r="C1591" t="str">
        <v>Analyst</v>
      </c>
      <c r="D1591" s="76">
        <v>2</v>
      </c>
      <c r="E1591" t="str" cm="1">
        <f t="array" ref="E1591">INDEX(aspek!$D$2:$D$337,
   MATCH(1,(aspek!$A$2:$A$337=B1591)*
           (aspek!$B$2:$B$337=C1591)*
           (aspek!$C$2:$C$337=D1591),0))</f>
        <v>Ketulusan penggalian</v>
      </c>
      <c r="F1591" s="76">
        <v>5</v>
      </c>
      <c r="G1591" s="56" t="str" cm="1">
        <f t="array" ref="G1591">INDEX(deskripsi!$D$2:$H$337,
   MATCH(1,(deskripsi!$A$2:$A$337=B1591)*
           (deskripsi!$B$2:$B$337=C1591)*
           (deskripsi!$C$2:$C$337=D1591),0),
   F1591)</f>
        <v>Menjadi orang yang dicari pelanggan untuk bercerita, bahkan ketika tidak ada pekerjaan yang sedang berjalan.</v>
      </c>
    </row>
    <row r="1592" spans="1:7">
      <c r="A1592" t="str">
        <f t="shared" si="24"/>
        <v>Customer Focus|Analyst|3|1</v>
      </c>
      <c r="B1592" t="str">
        <v>Customer Focus</v>
      </c>
      <c r="C1592" t="str">
        <v>Analyst</v>
      </c>
      <c r="D1592" s="76">
        <v>3</v>
      </c>
      <c r="E1592" t="str" cm="1">
        <f t="array" ref="E1592">INDEX(aspek!$D$2:$D$337,
   MATCH(1,(aspek!$A$2:$A$337=B1592)*
           (aspek!$B$2:$B$337=C1592)*
           (aspek!$C$2:$C$337=D1592),0))</f>
        <v>Pemerataan perhatian</v>
      </c>
      <c r="F1592" s="76">
        <v>1</v>
      </c>
      <c r="G1592" s="56" t="str" cm="1">
        <f t="array" ref="G1592">INDEX(deskripsi!$D$2:$H$337,
   MATCH(1,(deskripsi!$A$2:$A$337=B1592)*
           (deskripsi!$B$2:$B$337=C1592)*
           (deskripsi!$C$2:$C$337=D1592),0),
   F1592)</f>
        <v>Hanya menggali kebutuhan pelanggan besar atau yang dianggap penting; sisanya dilayani seperlunya.</v>
      </c>
    </row>
    <row r="1593" spans="1:7">
      <c r="A1593" t="str">
        <f t="shared" si="24"/>
        <v>Customer Focus|Analyst|3|2</v>
      </c>
      <c r="B1593" t="str">
        <v>Customer Focus</v>
      </c>
      <c r="C1593" t="str">
        <v>Analyst</v>
      </c>
      <c r="D1593" s="76">
        <v>3</v>
      </c>
      <c r="E1593" t="str" cm="1">
        <f t="array" ref="E1593">INDEX(aspek!$D$2:$D$337,
   MATCH(1,(aspek!$A$2:$A$337=B1593)*
           (aspek!$B$2:$B$337=C1593)*
           (aspek!$C$2:$C$337=D1593),0))</f>
        <v>Pemerataan perhatian</v>
      </c>
      <c r="F1593" s="76">
        <v>2</v>
      </c>
      <c r="G1593" s="56" t="str" cm="1">
        <f t="array" ref="G1593">INDEX(deskripsi!$D$2:$H$337,
   MATCH(1,(deskripsi!$A$2:$A$337=B1593)*
           (deskripsi!$B$2:$B$337=C1593)*
           (deskripsi!$C$2:$C$337=D1593),0),
   F1593)</f>
        <v>Menyadari perbedaan perlakuan itu, tetapi belum mengubahnya.</v>
      </c>
    </row>
    <row r="1594" spans="1:7">
      <c r="A1594" t="str">
        <f t="shared" si="24"/>
        <v>Customer Focus|Analyst|3|3</v>
      </c>
      <c r="B1594" t="str">
        <v>Customer Focus</v>
      </c>
      <c r="C1594" t="str">
        <v>Analyst</v>
      </c>
      <c r="D1594" s="76">
        <v>3</v>
      </c>
      <c r="E1594" t="str" cm="1">
        <f t="array" ref="E1594">INDEX(aspek!$D$2:$D$337,
   MATCH(1,(aspek!$A$2:$A$337=B1594)*
           (aspek!$B$2:$B$337=C1594)*
           (aspek!$C$2:$C$337=D1594),0))</f>
        <v>Pemerataan perhatian</v>
      </c>
      <c r="F1594" s="76">
        <v>3</v>
      </c>
      <c r="G1594" s="56" t="str" cm="1">
        <f t="array" ref="G1594">INDEX(deskripsi!$D$2:$H$337,
   MATCH(1,(deskripsi!$A$2:$A$337=B1594)*
           (deskripsi!$B$2:$B$337=C1594)*
           (deskripsi!$C$2:$C$337=D1594),0),
   F1594)</f>
        <v>Menggali kebutuhan sebagian besar pelanggan, meski kedalamannya masih berbeda menurut besar-kecilnya.</v>
      </c>
    </row>
    <row r="1595" spans="1:7">
      <c r="A1595" t="str">
        <f t="shared" si="24"/>
        <v>Customer Focus|Analyst|3|4</v>
      </c>
      <c r="B1595" t="str">
        <v>Customer Focus</v>
      </c>
      <c r="C1595" t="str">
        <v>Analyst</v>
      </c>
      <c r="D1595" s="76">
        <v>3</v>
      </c>
      <c r="E1595" t="str" cm="1">
        <f t="array" ref="E1595">INDEX(aspek!$D$2:$D$337,
   MATCH(1,(aspek!$A$2:$A$337=B1595)*
           (aspek!$B$2:$B$337=C1595)*
           (aspek!$C$2:$C$337=D1595),0))</f>
        <v>Pemerataan perhatian</v>
      </c>
      <c r="F1595" s="76">
        <v>4</v>
      </c>
      <c r="G1595" s="56" t="str" cm="1">
        <f t="array" ref="G1595">INDEX(deskripsi!$D$2:$H$337,
   MATCH(1,(deskripsi!$A$2:$A$337=B1595)*
           (deskripsi!$B$2:$B$337=C1595)*
           (deskripsi!$C$2:$C$337=D1595),0),
   F1595)</f>
        <v>Memberi kedalaman penggalian yang sebanding kepada seluruh pelanggan — besar maupun kecil, potensial maupun tidak.</v>
      </c>
    </row>
    <row r="1596" spans="1:7">
      <c r="A1596" t="str">
        <f t="shared" si="24"/>
        <v>Customer Focus|Analyst|3|5</v>
      </c>
      <c r="B1596" t="str">
        <v>Customer Focus</v>
      </c>
      <c r="C1596" t="str">
        <v>Analyst</v>
      </c>
      <c r="D1596" s="76">
        <v>3</v>
      </c>
      <c r="E1596" t="str" cm="1">
        <f t="array" ref="E1596">INDEX(aspek!$D$2:$D$337,
   MATCH(1,(aspek!$A$2:$A$337=B1596)*
           (aspek!$B$2:$B$337=C1596)*
           (aspek!$C$2:$C$337=D1596),0))</f>
        <v>Pemerataan perhatian</v>
      </c>
      <c r="F1596" s="76">
        <v>5</v>
      </c>
      <c r="G1596" s="56" t="str" cm="1">
        <f t="array" ref="G1596">INDEX(deskripsi!$D$2:$H$337,
   MATCH(1,(deskripsi!$A$2:$A$337=B1596)*
           (deskripsi!$B$2:$B$337=C1596)*
           (deskripsi!$C$2:$C$337=D1596),0),
   F1596)</f>
        <v>Menemukan kebutuhan penting justru dari pelanggan yang selama ini dianggap kecil, dan temuan itu mengubah cara unitnya melayani.</v>
      </c>
    </row>
    <row r="1597" spans="1:7">
      <c r="A1597" t="str">
        <f t="shared" si="24"/>
        <v>Customer Focus|Analyst|4|1</v>
      </c>
      <c r="B1597" t="str">
        <v>Customer Focus</v>
      </c>
      <c r="C1597" t="str">
        <v>Analyst</v>
      </c>
      <c r="D1597" s="76">
        <v>4</v>
      </c>
      <c r="E1597" t="str" cm="1">
        <f t="array" ref="E1597">INDEX(aspek!$D$2:$D$337,
   MATCH(1,(aspek!$A$2:$A$337=B1597)*
           (aspek!$B$2:$B$337=C1597)*
           (aspek!$C$2:$C$337=D1597),0))</f>
        <v>Kelanjutan komunikasi setelah pekerjaan selesai</v>
      </c>
      <c r="F1597" s="76">
        <v>1</v>
      </c>
      <c r="G1597" s="56" t="str" cm="1">
        <f t="array" ref="G1597">INDEX(deskripsi!$D$2:$H$337,
   MATCH(1,(deskripsi!$A$2:$A$337=B1597)*
           (deskripsi!$B$2:$B$337=C1597)*
           (deskripsi!$C$2:$C$337=D1597),0),
   F1597)</f>
        <v>Komunikasi berhenti begitu hasil kerja diserahkan.</v>
      </c>
    </row>
    <row r="1598" spans="1:7">
      <c r="A1598" t="str">
        <f t="shared" si="24"/>
        <v>Customer Focus|Analyst|4|2</v>
      </c>
      <c r="B1598" t="str">
        <v>Customer Focus</v>
      </c>
      <c r="C1598" t="str">
        <v>Analyst</v>
      </c>
      <c r="D1598" s="76">
        <v>4</v>
      </c>
      <c r="E1598" t="str" cm="1">
        <f t="array" ref="E1598">INDEX(aspek!$D$2:$D$337,
   MATCH(1,(aspek!$A$2:$A$337=B1598)*
           (aspek!$B$2:$B$337=C1598)*
           (aspek!$C$2:$C$337=D1598),0))</f>
        <v>Kelanjutan komunikasi setelah pekerjaan selesai</v>
      </c>
      <c r="F1598" s="76">
        <v>2</v>
      </c>
      <c r="G1598" s="56" t="str" cm="1">
        <f t="array" ref="G1598">INDEX(deskripsi!$D$2:$H$337,
   MATCH(1,(deskripsi!$A$2:$A$337=B1598)*
           (deskripsi!$B$2:$B$337=C1598)*
           (deskripsi!$C$2:$C$337=D1598),0),
   F1598)</f>
        <v>Menanyakan kabar hanya bila ada keluhan, atau bila diminta atasan.</v>
      </c>
    </row>
    <row r="1599" spans="1:7">
      <c r="A1599" t="str">
        <f t="shared" si="24"/>
        <v>Customer Focus|Analyst|4|3</v>
      </c>
      <c r="B1599" t="str">
        <v>Customer Focus</v>
      </c>
      <c r="C1599" t="str">
        <v>Analyst</v>
      </c>
      <c r="D1599" s="76">
        <v>4</v>
      </c>
      <c r="E1599" t="str" cm="1">
        <f t="array" ref="E1599">INDEX(aspek!$D$2:$D$337,
   MATCH(1,(aspek!$A$2:$A$337=B1599)*
           (aspek!$B$2:$B$337=C1599)*
           (aspek!$C$2:$C$337=D1599),0))</f>
        <v>Kelanjutan komunikasi setelah pekerjaan selesai</v>
      </c>
      <c r="F1599" s="76">
        <v>3</v>
      </c>
      <c r="G1599" s="56" t="str" cm="1">
        <f t="array" ref="G1599">INDEX(deskripsi!$D$2:$H$337,
   MATCH(1,(deskripsi!$A$2:$A$337=B1599)*
           (deskripsi!$B$2:$B$337=C1599)*
           (deskripsi!$C$2:$C$337=D1599),0),
   F1599)</f>
        <v>Menanyakan apakah hasilnya sesuai, tetapi percakapannya berhenti pada jawaban "sudah baik".</v>
      </c>
    </row>
    <row r="1600" spans="1:7">
      <c r="A1600" t="str">
        <f t="shared" si="24"/>
        <v>Customer Focus|Analyst|4|4</v>
      </c>
      <c r="B1600" t="str">
        <v>Customer Focus</v>
      </c>
      <c r="C1600" t="str">
        <v>Analyst</v>
      </c>
      <c r="D1600" s="76">
        <v>4</v>
      </c>
      <c r="E1600" t="str" cm="1">
        <f t="array" ref="E1600">INDEX(aspek!$D$2:$D$337,
   MATCH(1,(aspek!$A$2:$A$337=B1600)*
           (aspek!$B$2:$B$337=C1600)*
           (aspek!$C$2:$C$337=D1600),0))</f>
        <v>Kelanjutan komunikasi setelah pekerjaan selesai</v>
      </c>
      <c r="F1600" s="76">
        <v>4</v>
      </c>
      <c r="G1600" s="56" t="str" cm="1">
        <f t="array" ref="G1600">INDEX(deskripsi!$D$2:$H$337,
   MATCH(1,(deskripsi!$A$2:$A$337=B1600)*
           (deskripsi!$B$2:$B$337=C1600)*
           (deskripsi!$C$2:$C$337=D1600),0),
   F1600)</f>
        <v>Menindaklanjuti secara rutin setelah penyerahan, dan memakai jawabannya untuk menyesuaikan pekerjaan berikutnya.</v>
      </c>
    </row>
    <row r="1601" spans="1:7">
      <c r="A1601" t="str">
        <f t="shared" si="24"/>
        <v>Customer Focus|Analyst|4|5</v>
      </c>
      <c r="B1601" t="str">
        <v>Customer Focus</v>
      </c>
      <c r="C1601" t="str">
        <v>Analyst</v>
      </c>
      <c r="D1601" s="76">
        <v>4</v>
      </c>
      <c r="E1601" t="str" cm="1">
        <f t="array" ref="E1601">INDEX(aspek!$D$2:$D$337,
   MATCH(1,(aspek!$A$2:$A$337=B1601)*
           (aspek!$B$2:$B$337=C1601)*
           (aspek!$C$2:$C$337=D1601),0))</f>
        <v>Kelanjutan komunikasi setelah pekerjaan selesai</v>
      </c>
      <c r="F1601" s="76">
        <v>5</v>
      </c>
      <c r="G1601" s="56" t="str" cm="1">
        <f t="array" ref="G1601">INDEX(deskripsi!$D$2:$H$337,
   MATCH(1,(deskripsi!$A$2:$A$337=B1601)*
           (deskripsi!$B$2:$B$337=C1601)*
           (deskripsi!$C$2:$C$337=D1601),0),
   F1601)</f>
        <v>Hubungan berjalan terus di luar siklus permintaan, sehingga kebutuhan baru diketahui sebelum menjadi permintaan resmi.</v>
      </c>
    </row>
    <row r="1602" spans="1:7">
      <c r="A1602" t="str">
        <f t="shared" si="24"/>
        <v>Customer Focus|Unit Head/Specialist|1|1</v>
      </c>
      <c r="B1602" t="str">
        <v>Customer Focus</v>
      </c>
      <c r="C1602" t="str">
        <v>Unit Head/Specialist</v>
      </c>
      <c r="D1602" s="76">
        <v>1</v>
      </c>
      <c r="E1602" t="str" cm="1">
        <f t="array" ref="E1602">INDEX(aspek!$D$2:$D$337,
   MATCH(1,(aspek!$A$2:$A$337=B1602)*
           (aspek!$B$2:$B$337=C1602)*
           (aspek!$C$2:$C$337=D1602),0))</f>
        <v>Kesediaan memutuskan tanpa kepastian penuh</v>
      </c>
      <c r="F1602" s="76">
        <v>1</v>
      </c>
      <c r="G1602" s="56" t="str" cm="1">
        <f t="array" ref="G1602">INDEX(deskripsi!$D$2:$H$337,
   MATCH(1,(deskripsi!$A$2:$A$337=B1602)*
           (deskripsi!$B$2:$B$337=C1602)*
           (deskripsi!$C$2:$C$337=D1602),0),
   F1602)</f>
        <v>Menunda keputusan atau menyerahkannya kepada atasan setiap kali informasinya tidak lengkap.</v>
      </c>
    </row>
    <row r="1603" spans="1:7">
      <c r="A1603" t="str">
        <f t="shared" ref="A1603:A1666" si="25">B1603&amp;"|"&amp;C1603&amp;"|"&amp;D1603&amp;"|"&amp;F1603</f>
        <v>Customer Focus|Unit Head/Specialist|1|2</v>
      </c>
      <c r="B1603" t="str">
        <v>Customer Focus</v>
      </c>
      <c r="C1603" t="str">
        <v>Unit Head/Specialist</v>
      </c>
      <c r="D1603" s="76">
        <v>1</v>
      </c>
      <c r="E1603" t="str" cm="1">
        <f t="array" ref="E1603">INDEX(aspek!$D$2:$D$337,
   MATCH(1,(aspek!$A$2:$A$337=B1603)*
           (aspek!$B$2:$B$337=C1603)*
           (aspek!$C$2:$C$337=D1603),0))</f>
        <v>Kesediaan memutuskan tanpa kepastian penuh</v>
      </c>
      <c r="F1603" s="76">
        <v>2</v>
      </c>
      <c r="G1603" s="56" t="str" cm="1">
        <f t="array" ref="G1603">INDEX(deskripsi!$D$2:$H$337,
   MATCH(1,(deskripsi!$A$2:$A$337=B1603)*
           (deskripsi!$B$2:$B$337=C1603)*
           (deskripsi!$C$2:$C$337=D1603),0),
   F1603)</f>
        <v>Bersedia memutuskan hanya setelah menunggu sampai datanya dianggap cukup lengkap, meski tenggatnya terlewat.</v>
      </c>
    </row>
    <row r="1604" spans="1:7">
      <c r="A1604" t="str">
        <f t="shared" si="25"/>
        <v>Customer Focus|Unit Head/Specialist|1|3</v>
      </c>
      <c r="B1604" t="str">
        <v>Customer Focus</v>
      </c>
      <c r="C1604" t="str">
        <v>Unit Head/Specialist</v>
      </c>
      <c r="D1604" s="76">
        <v>1</v>
      </c>
      <c r="E1604" t="str" cm="1">
        <f t="array" ref="E1604">INDEX(aspek!$D$2:$D$337,
   MATCH(1,(aspek!$A$2:$A$337=B1604)*
           (aspek!$B$2:$B$337=C1604)*
           (aspek!$C$2:$C$337=D1604),0))</f>
        <v>Kesediaan memutuskan tanpa kepastian penuh</v>
      </c>
      <c r="F1604" s="76">
        <v>3</v>
      </c>
      <c r="G1604" s="56" t="str" cm="1">
        <f t="array" ref="G1604">INDEX(deskripsi!$D$2:$H$337,
   MATCH(1,(deskripsi!$A$2:$A$337=B1604)*
           (deskripsi!$B$2:$B$337=C1604)*
           (deskripsi!$C$2:$C$337=D1604),0),
   F1604)</f>
        <v>Memutuskan tepat waktu pada perkara yang sudah familiar; masih menunda pada perkara yang baru baginya.</v>
      </c>
    </row>
    <row r="1605" spans="1:7">
      <c r="A1605" t="str">
        <f t="shared" si="25"/>
        <v>Customer Focus|Unit Head/Specialist|1|4</v>
      </c>
      <c r="B1605" t="str">
        <v>Customer Focus</v>
      </c>
      <c r="C1605" t="str">
        <v>Unit Head/Specialist</v>
      </c>
      <c r="D1605" s="76">
        <v>1</v>
      </c>
      <c r="E1605" t="str" cm="1">
        <f t="array" ref="E1605">INDEX(aspek!$D$2:$D$337,
   MATCH(1,(aspek!$A$2:$A$337=B1605)*
           (aspek!$B$2:$B$337=C1605)*
           (aspek!$C$2:$C$337=D1605),0))</f>
        <v>Kesediaan memutuskan tanpa kepastian penuh</v>
      </c>
      <c r="F1605" s="76">
        <v>4</v>
      </c>
      <c r="G1605" s="56" t="str" cm="1">
        <f t="array" ref="G1605">INDEX(deskripsi!$D$2:$H$337,
   MATCH(1,(deskripsi!$A$2:$A$337=B1605)*
           (deskripsi!$B$2:$B$337=C1605)*
           (deskripsi!$C$2:$C$337=D1605),0),
   F1605)</f>
        <v>Menetapkan sendiri batas informasi minimum dan batas waktu menunggu, lalu memutuskan pada batas itu — termasuk pada perkara yang belum pernah ia hadapi.</v>
      </c>
    </row>
    <row r="1606" spans="1:7">
      <c r="A1606" t="str">
        <f t="shared" si="25"/>
        <v>Customer Focus|Unit Head/Specialist|1|5</v>
      </c>
      <c r="B1606" t="str">
        <v>Customer Focus</v>
      </c>
      <c r="C1606" t="str">
        <v>Unit Head/Specialist</v>
      </c>
      <c r="D1606" s="76">
        <v>1</v>
      </c>
      <c r="E1606" t="str" cm="1">
        <f t="array" ref="E1606">INDEX(aspek!$D$2:$D$337,
   MATCH(1,(aspek!$A$2:$A$337=B1606)*
           (aspek!$B$2:$B$337=C1606)*
           (aspek!$C$2:$C$337=D1606),0))</f>
        <v>Kesediaan memutuskan tanpa kepastian penuh</v>
      </c>
      <c r="F1606" s="76">
        <v>5</v>
      </c>
      <c r="G1606" s="56" t="str" cm="1">
        <f t="array" ref="G1606">INDEX(deskripsi!$D$2:$H$337,
   MATCH(1,(deskripsi!$A$2:$A$337=B1606)*
           (deskripsi!$B$2:$B$337=C1606)*
           (deskripsi!$C$2:$C$337=D1606),0),
   F1606)</f>
        <v>Bersedia memutuskan lebih awal ketika penundaan justru lebih berisiko, dan mampu menjelaskan perhitungan di balik pilihan waktu itu.</v>
      </c>
    </row>
    <row r="1607" spans="1:7">
      <c r="A1607" t="str">
        <f t="shared" si="25"/>
        <v>Customer Focus|Unit Head/Specialist|2|1</v>
      </c>
      <c r="B1607" t="str">
        <v>Customer Focus</v>
      </c>
      <c r="C1607" t="str">
        <v>Unit Head/Specialist</v>
      </c>
      <c r="D1607" s="76">
        <v>2</v>
      </c>
      <c r="E1607" t="str" cm="1">
        <f t="array" ref="E1607">INDEX(aspek!$D$2:$D$337,
   MATCH(1,(aspek!$A$2:$A$337=B1607)*
           (aspek!$B$2:$B$337=C1607)*
           (aspek!$C$2:$C$337=D1607),0))</f>
        <v>Kualitas proses pertimbangan</v>
      </c>
      <c r="F1607" s="76">
        <v>1</v>
      </c>
      <c r="G1607" s="56" t="str" cm="1">
        <f t="array" ref="G1607">INDEX(deskripsi!$D$2:$H$337,
   MATCH(1,(deskripsi!$A$2:$A$337=B1607)*
           (deskripsi!$B$2:$B$337=C1607)*
           (deskripsi!$C$2:$C$337=D1607),0),
   F1607)</f>
        <v>Memutuskan berdasarkan kebiasaan atau dugaan; tidak dapat menjelaskan dasar keputusannya.</v>
      </c>
    </row>
    <row r="1608" spans="1:7">
      <c r="A1608" t="str">
        <f t="shared" si="25"/>
        <v>Customer Focus|Unit Head/Specialist|2|2</v>
      </c>
      <c r="B1608" t="str">
        <v>Customer Focus</v>
      </c>
      <c r="C1608" t="str">
        <v>Unit Head/Specialist</v>
      </c>
      <c r="D1608" s="76">
        <v>2</v>
      </c>
      <c r="E1608" t="str" cm="1">
        <f t="array" ref="E1608">INDEX(aspek!$D$2:$D$337,
   MATCH(1,(aspek!$A$2:$A$337=B1608)*
           (aspek!$B$2:$B$337=C1608)*
           (aspek!$C$2:$C$337=D1608),0))</f>
        <v>Kualitas proses pertimbangan</v>
      </c>
      <c r="F1608" s="76">
        <v>2</v>
      </c>
      <c r="G1608" s="56" t="str" cm="1">
        <f t="array" ref="G1608">INDEX(deskripsi!$D$2:$H$337,
   MATCH(1,(deskripsi!$A$2:$A$337=B1608)*
           (deskripsi!$B$2:$B$337=C1608)*
           (deskripsi!$C$2:$C$337=D1608),0),
   F1608)</f>
        <v>Memilih opsi yang terpikir lebih dulu tanpa membandingkannya dengan alternatif lain.</v>
      </c>
    </row>
    <row r="1609" spans="1:7">
      <c r="A1609" t="str">
        <f t="shared" si="25"/>
        <v>Customer Focus|Unit Head/Specialist|2|3</v>
      </c>
      <c r="B1609" t="str">
        <v>Customer Focus</v>
      </c>
      <c r="C1609" t="str">
        <v>Unit Head/Specialist</v>
      </c>
      <c r="D1609" s="76">
        <v>2</v>
      </c>
      <c r="E1609" t="str" cm="1">
        <f t="array" ref="E1609">INDEX(aspek!$D$2:$D$337,
   MATCH(1,(aspek!$A$2:$A$337=B1609)*
           (aspek!$B$2:$B$337=C1609)*
           (aspek!$C$2:$C$337=D1609),0))</f>
        <v>Kualitas proses pertimbangan</v>
      </c>
      <c r="F1609" s="76">
        <v>3</v>
      </c>
      <c r="G1609" s="56" t="str" cm="1">
        <f t="array" ref="G1609">INDEX(deskripsi!$D$2:$H$337,
   MATCH(1,(deskripsi!$A$2:$A$337=B1609)*
           (deskripsi!$B$2:$B$337=C1609)*
           (deskripsi!$C$2:$C$337=D1609),0),
   F1609)</f>
        <v>Memilih opsi yang paling masuk akal, dengan pertimbangan yang dapat dijelaskan.</v>
      </c>
    </row>
    <row r="1610" spans="1:7">
      <c r="A1610" t="str">
        <f t="shared" si="25"/>
        <v>Customer Focus|Unit Head/Specialist|2|4</v>
      </c>
      <c r="B1610" t="str">
        <v>Customer Focus</v>
      </c>
      <c r="C1610" t="str">
        <v>Unit Head/Specialist</v>
      </c>
      <c r="D1610" s="76">
        <v>2</v>
      </c>
      <c r="E1610" t="str" cm="1">
        <f t="array" ref="E1610">INDEX(aspek!$D$2:$D$337,
   MATCH(1,(aspek!$A$2:$A$337=B1610)*
           (aspek!$B$2:$B$337=C1610)*
           (aspek!$C$2:$C$337=D1610),0))</f>
        <v>Kualitas proses pertimbangan</v>
      </c>
      <c r="F1610" s="76">
        <v>4</v>
      </c>
      <c r="G1610" s="56" t="str" cm="1">
        <f t="array" ref="G1610">INDEX(deskripsi!$D$2:$H$337,
   MATCH(1,(deskripsi!$A$2:$A$337=B1610)*
           (deskripsi!$B$2:$B$337=C1610)*
           (deskripsi!$C$2:$C$337=D1610),0),
   F1610)</f>
        <v>Menyusun minimal dua opsi beserta risiko terburuk masing-masing, menyatakan asumsi yang dipakai, dan menetapkan pemicu untuk merevisi keputusan.</v>
      </c>
    </row>
    <row r="1611" spans="1:7">
      <c r="A1611" t="str">
        <f t="shared" si="25"/>
        <v>Customer Focus|Unit Head/Specialist|2|5</v>
      </c>
      <c r="B1611" t="str">
        <v>Customer Focus</v>
      </c>
      <c r="C1611" t="str">
        <v>Unit Head/Specialist</v>
      </c>
      <c r="D1611" s="76">
        <v>2</v>
      </c>
      <c r="E1611" t="str" cm="1">
        <f t="array" ref="E1611">INDEX(aspek!$D$2:$D$337,
   MATCH(1,(aspek!$A$2:$A$337=B1611)*
           (aspek!$B$2:$B$337=C1611)*
           (aspek!$C$2:$C$337=D1611),0))</f>
        <v>Kualitas proses pertimbangan</v>
      </c>
      <c r="F1611" s="76">
        <v>5</v>
      </c>
      <c r="G1611" s="56" t="str" cm="1">
        <f t="array" ref="G1611">INDEX(deskripsi!$D$2:$H$337,
   MATCH(1,(deskripsi!$A$2:$A$337=B1611)*
           (deskripsi!$B$2:$B$337=C1611)*
           (deskripsi!$C$2:$C$337=D1611),0),
   F1611)</f>
        <v>Memakai pelajaran dari keputusan sebelumnya dan pertimbangan jangka panjang, bukan hanya konsekuensi perkara yang sedang dihadapi.</v>
      </c>
    </row>
    <row r="1612" spans="1:7">
      <c r="A1612" t="str">
        <f t="shared" si="25"/>
        <v>Customer Focus|Unit Head/Specialist|3|1</v>
      </c>
      <c r="B1612" t="str">
        <v>Customer Focus</v>
      </c>
      <c r="C1612" t="str">
        <v>Unit Head/Specialist</v>
      </c>
      <c r="D1612" s="76">
        <v>3</v>
      </c>
      <c r="E1612" t="str" cm="1">
        <f t="array" ref="E1612">INDEX(aspek!$D$2:$D$337,
   MATCH(1,(aspek!$A$2:$A$337=B1612)*
           (aspek!$B$2:$B$337=C1612)*
           (aspek!$C$2:$C$337=D1612),0))</f>
        <v>Tanggung jawab personal atas keputusan</v>
      </c>
      <c r="F1612" s="76">
        <v>1</v>
      </c>
      <c r="G1612" s="56" t="str" cm="1">
        <f t="array" ref="G1612">INDEX(deskripsi!$D$2:$H$337,
   MATCH(1,(deskripsi!$A$2:$A$337=B1612)*
           (deskripsi!$B$2:$B$337=C1612)*
           (deskripsi!$C$2:$C$337=D1612),0),
   F1612)</f>
        <v>Menghindari mengambil keputusan agar tidak menanggung akibatnya; bila hasilnya buruk, menyalahkan keterbatasan data.</v>
      </c>
    </row>
    <row r="1613" spans="1:7">
      <c r="A1613" t="str">
        <f t="shared" si="25"/>
        <v>Customer Focus|Unit Head/Specialist|3|2</v>
      </c>
      <c r="B1613" t="str">
        <v>Customer Focus</v>
      </c>
      <c r="C1613" t="str">
        <v>Unit Head/Specialist</v>
      </c>
      <c r="D1613" s="76">
        <v>3</v>
      </c>
      <c r="E1613" t="str" cm="1">
        <f t="array" ref="E1613">INDEX(aspek!$D$2:$D$337,
   MATCH(1,(aspek!$A$2:$A$337=B1613)*
           (aspek!$B$2:$B$337=C1613)*
           (aspek!$C$2:$C$337=D1613),0))</f>
        <v>Tanggung jawab personal atas keputusan</v>
      </c>
      <c r="F1613" s="76">
        <v>2</v>
      </c>
      <c r="G1613" s="56" t="str" cm="1">
        <f t="array" ref="G1613">INDEX(deskripsi!$D$2:$H$337,
   MATCH(1,(deskripsi!$A$2:$A$337=B1613)*
           (deskripsi!$B$2:$B$337=C1613)*
           (deskripsi!$C$2:$C$337=D1613),0),
   F1613)</f>
        <v>Mengambil keputusan tetapi menyerahkan pertanggungjawabannya kepada atasan ketika ditanya pelanggan.</v>
      </c>
    </row>
    <row r="1614" spans="1:7">
      <c r="A1614" t="str">
        <f t="shared" si="25"/>
        <v>Customer Focus|Unit Head/Specialist|3|3</v>
      </c>
      <c r="B1614" t="str">
        <v>Customer Focus</v>
      </c>
      <c r="C1614" t="str">
        <v>Unit Head/Specialist</v>
      </c>
      <c r="D1614" s="76">
        <v>3</v>
      </c>
      <c r="E1614" t="str" cm="1">
        <f t="array" ref="E1614">INDEX(aspek!$D$2:$D$337,
   MATCH(1,(aspek!$A$2:$A$337=B1614)*
           (aspek!$B$2:$B$337=C1614)*
           (aspek!$C$2:$C$337=D1614),0))</f>
        <v>Tanggung jawab personal atas keputusan</v>
      </c>
      <c r="F1614" s="76">
        <v>3</v>
      </c>
      <c r="G1614" s="56" t="str" cm="1">
        <f t="array" ref="G1614">INDEX(deskripsi!$D$2:$H$337,
   MATCH(1,(deskripsi!$A$2:$A$337=B1614)*
           (deskripsi!$B$2:$B$337=C1614)*
           (deskripsi!$C$2:$C$337=D1614),0),
   F1614)</f>
        <v>Bertanggung jawab atas keputusannya dan mampu menjelaskan dasarnya kepada pelanggan.</v>
      </c>
    </row>
    <row r="1615" spans="1:7">
      <c r="A1615" t="str">
        <f t="shared" si="25"/>
        <v>Customer Focus|Unit Head/Specialist|3|4</v>
      </c>
      <c r="B1615" t="str">
        <v>Customer Focus</v>
      </c>
      <c r="C1615" t="str">
        <v>Unit Head/Specialist</v>
      </c>
      <c r="D1615" s="76">
        <v>3</v>
      </c>
      <c r="E1615" t="str" cm="1">
        <f t="array" ref="E1615">INDEX(aspek!$D$2:$D$337,
   MATCH(1,(aspek!$A$2:$A$337=B1615)*
           (aspek!$B$2:$B$337=C1615)*
           (aspek!$C$2:$C$337=D1615),0))</f>
        <v>Tanggung jawab personal atas keputusan</v>
      </c>
      <c r="F1615" s="76">
        <v>4</v>
      </c>
      <c r="G1615" s="56" t="str" cm="1">
        <f t="array" ref="G1615">INDEX(deskripsi!$D$2:$H$337,
   MATCH(1,(deskripsi!$A$2:$A$337=B1615)*
           (deskripsi!$B$2:$B$337=C1615)*
           (deskripsi!$C$2:$C$337=D1615),0),
   F1615)</f>
        <v>Berani memberikan jaminan pribadi atas keputusan yang belum sepenuhnya pasti, menyiapkan rencana cadangannya, dan tidak mengelak ketika keputusannya ternyata kurang tepat.</v>
      </c>
    </row>
    <row r="1616" spans="1:7">
      <c r="A1616" t="str">
        <f t="shared" si="25"/>
        <v>Customer Focus|Unit Head/Specialist|3|5</v>
      </c>
      <c r="B1616" t="str">
        <v>Customer Focus</v>
      </c>
      <c r="C1616" t="str">
        <v>Unit Head/Specialist</v>
      </c>
      <c r="D1616" s="76">
        <v>3</v>
      </c>
      <c r="E1616" t="str" cm="1">
        <f t="array" ref="E1616">INDEX(aspek!$D$2:$D$337,
   MATCH(1,(aspek!$A$2:$A$337=B1616)*
           (aspek!$B$2:$B$337=C1616)*
           (aspek!$C$2:$C$337=D1616),0))</f>
        <v>Tanggung jawab personal atas keputusan</v>
      </c>
      <c r="F1616" s="76">
        <v>5</v>
      </c>
      <c r="G1616" s="56" t="str" cm="1">
        <f t="array" ref="G1616">INDEX(deskripsi!$D$2:$H$337,
   MATCH(1,(deskripsi!$A$2:$A$337=B1616)*
           (deskripsi!$B$2:$B$337=C1616)*
           (deskripsi!$C$2:$C$337=D1616),0),
   F1616)</f>
        <v>Kesediaannya menanggung keputusan membuat pelanggan mempercayakan perkara yang lebih berisiko kepadanya dan kepada unitnya.</v>
      </c>
    </row>
    <row r="1617" spans="1:7">
      <c r="A1617" t="str">
        <f t="shared" si="25"/>
        <v>Customer Focus|Unit Head/Specialist|4|1</v>
      </c>
      <c r="B1617" t="str">
        <v>Customer Focus</v>
      </c>
      <c r="C1617" t="str">
        <v>Unit Head/Specialist</v>
      </c>
      <c r="D1617" s="76">
        <v>4</v>
      </c>
      <c r="E1617" t="str" cm="1">
        <f t="array" ref="E1617">INDEX(aspek!$D$2:$D$337,
   MATCH(1,(aspek!$A$2:$A$337=B1617)*
           (aspek!$B$2:$B$337=C1617)*
           (aspek!$C$2:$C$337=D1617),0))</f>
        <v>Keterbukaan kepada pelanggan saat ada masalah</v>
      </c>
      <c r="F1617" s="76">
        <v>1</v>
      </c>
      <c r="G1617" s="56" t="str" cm="1">
        <f t="array" ref="G1617">INDEX(deskripsi!$D$2:$H$337,
   MATCH(1,(deskripsi!$A$2:$A$337=B1617)*
           (deskripsi!$B$2:$B$337=C1617)*
           (deskripsi!$C$2:$C$337=D1617),0),
   F1617)</f>
        <v>Masalah disembunyikan; pelanggan baru mengetahuinya setelah dampaknya terjadi.</v>
      </c>
    </row>
    <row r="1618" spans="1:7">
      <c r="A1618" t="str">
        <f t="shared" si="25"/>
        <v>Customer Focus|Unit Head/Specialist|4|2</v>
      </c>
      <c r="B1618" t="str">
        <v>Customer Focus</v>
      </c>
      <c r="C1618" t="str">
        <v>Unit Head/Specialist</v>
      </c>
      <c r="D1618" s="76">
        <v>4</v>
      </c>
      <c r="E1618" t="str" cm="1">
        <f t="array" ref="E1618">INDEX(aspek!$D$2:$D$337,
   MATCH(1,(aspek!$A$2:$A$337=B1618)*
           (aspek!$B$2:$B$337=C1618)*
           (aspek!$C$2:$C$337=D1618),0))</f>
        <v>Keterbukaan kepada pelanggan saat ada masalah</v>
      </c>
      <c r="F1618" s="76">
        <v>2</v>
      </c>
      <c r="G1618" s="56" t="str" cm="1">
        <f t="array" ref="G1618">INDEX(deskripsi!$D$2:$H$337,
   MATCH(1,(deskripsi!$A$2:$A$337=B1618)*
           (deskripsi!$B$2:$B$337=C1618)*
           (deskripsi!$C$2:$C$337=D1618),0),
   F1618)</f>
        <v>Memberi tahu pelanggan hanya setelah ditanya, atau setelah tenggat terlewat.</v>
      </c>
    </row>
    <row r="1619" spans="1:7">
      <c r="A1619" t="str">
        <f t="shared" si="25"/>
        <v>Customer Focus|Unit Head/Specialist|4|3</v>
      </c>
      <c r="B1619" t="str">
        <v>Customer Focus</v>
      </c>
      <c r="C1619" t="str">
        <v>Unit Head/Specialist</v>
      </c>
      <c r="D1619" s="76">
        <v>4</v>
      </c>
      <c r="E1619" t="str" cm="1">
        <f t="array" ref="E1619">INDEX(aspek!$D$2:$D$337,
   MATCH(1,(aspek!$A$2:$A$337=B1619)*
           (aspek!$B$2:$B$337=C1619)*
           (aspek!$C$2:$C$337=D1619),0))</f>
        <v>Keterbukaan kepada pelanggan saat ada masalah</v>
      </c>
      <c r="F1619" s="76">
        <v>3</v>
      </c>
      <c r="G1619" s="56" t="str" cm="1">
        <f t="array" ref="G1619">INDEX(deskripsi!$D$2:$H$337,
   MATCH(1,(deskripsi!$A$2:$A$337=B1619)*
           (deskripsi!$B$2:$B$337=C1619)*
           (deskripsi!$C$2:$C$337=D1619),0),
   F1619)</f>
        <v>Memberi tahu pelanggan setelah persoalannya jelas dan solusinya sudah ada di tangan.</v>
      </c>
    </row>
    <row r="1620" spans="1:7">
      <c r="A1620" t="str">
        <f t="shared" si="25"/>
        <v>Customer Focus|Unit Head/Specialist|4|4</v>
      </c>
      <c r="B1620" t="str">
        <v>Customer Focus</v>
      </c>
      <c r="C1620" t="str">
        <v>Unit Head/Specialist</v>
      </c>
      <c r="D1620" s="76">
        <v>4</v>
      </c>
      <c r="E1620" t="str" cm="1">
        <f t="array" ref="E1620">INDEX(aspek!$D$2:$D$337,
   MATCH(1,(aspek!$A$2:$A$337=B1620)*
           (aspek!$B$2:$B$337=C1620)*
           (aspek!$C$2:$C$337=D1620),0))</f>
        <v>Keterbukaan kepada pelanggan saat ada masalah</v>
      </c>
      <c r="F1620" s="76">
        <v>4</v>
      </c>
      <c r="G1620" s="56" t="str" cm="1">
        <f t="array" ref="G1620">INDEX(deskripsi!$D$2:$H$337,
   MATCH(1,(deskripsi!$A$2:$A$337=B1620)*
           (deskripsi!$B$2:$B$337=C1620)*
           (deskripsi!$C$2:$C$337=D1620),0),
   F1620)</f>
        <v>Menghubungi pelanggan sejak masalah diketahui — meski penyebabnya belum jelas — disertai apa yang sudah dan akan dilakukan.</v>
      </c>
    </row>
    <row r="1621" spans="1:7">
      <c r="A1621" t="str">
        <f t="shared" si="25"/>
        <v>Customer Focus|Unit Head/Specialist|4|5</v>
      </c>
      <c r="B1621" t="str">
        <v>Customer Focus</v>
      </c>
      <c r="C1621" t="str">
        <v>Unit Head/Specialist</v>
      </c>
      <c r="D1621" s="76">
        <v>4</v>
      </c>
      <c r="E1621" t="str" cm="1">
        <f t="array" ref="E1621">INDEX(aspek!$D$2:$D$337,
   MATCH(1,(aspek!$A$2:$A$337=B1621)*
           (aspek!$B$2:$B$337=C1621)*
           (aspek!$C$2:$C$337=D1621),0))</f>
        <v>Keterbukaan kepada pelanggan saat ada masalah</v>
      </c>
      <c r="F1621" s="76">
        <v>5</v>
      </c>
      <c r="G1621" s="56" t="str" cm="1">
        <f t="array" ref="G1621">INDEX(deskripsi!$D$2:$H$337,
   MATCH(1,(deskripsi!$A$2:$A$337=B1621)*
           (deskripsi!$B$2:$B$337=C1621)*
           (deskripsi!$C$2:$C$337=D1621),0),
   F1621)</f>
        <v>Pelanggan mengetahui risikonya sejak awal karena disampaikan di muka, sehingga masalah yang muncul tidak menjadi kejutan.</v>
      </c>
    </row>
    <row r="1622" spans="1:7">
      <c r="A1622" t="str">
        <f t="shared" si="25"/>
        <v>Customer Focus|Department Head|1|1</v>
      </c>
      <c r="B1622" t="str">
        <v>Customer Focus</v>
      </c>
      <c r="C1622" t="str">
        <v>Department Head</v>
      </c>
      <c r="D1622" s="76">
        <v>1</v>
      </c>
      <c r="E1622" t="str" cm="1">
        <f t="array" ref="E1622">INDEX(aspek!$D$2:$D$337,
   MATCH(1,(aspek!$A$2:$A$337=B1622)*
           (aspek!$B$2:$B$337=C1622)*
           (aspek!$C$2:$C$337=D1622),0))</f>
        <v>Akurasi membaca emosi</v>
      </c>
      <c r="F1622" s="76">
        <v>1</v>
      </c>
      <c r="G1622" s="56" t="str" cm="1">
        <f t="array" ref="G1622">INDEX(deskripsi!$D$2:$H$337,
   MATCH(1,(deskripsi!$A$2:$A$337=B1622)*
           (deskripsi!$B$2:$B$337=C1622)*
           (deskripsi!$C$2:$C$337=D1622),0),
   F1622)</f>
        <v>Tidak menyadari perubahan suasana; menanggapi kata-katanya saja, dan terkejut ketika pelanggan ternyata kecewa.</v>
      </c>
    </row>
    <row r="1623" spans="1:7">
      <c r="A1623" t="str">
        <f t="shared" si="25"/>
        <v>Customer Focus|Department Head|1|2</v>
      </c>
      <c r="B1623" t="str">
        <v>Customer Focus</v>
      </c>
      <c r="C1623" t="str">
        <v>Department Head</v>
      </c>
      <c r="D1623" s="76">
        <v>1</v>
      </c>
      <c r="E1623" t="str" cm="1">
        <f t="array" ref="E1623">INDEX(aspek!$D$2:$D$337,
   MATCH(1,(aspek!$A$2:$A$337=B1623)*
           (aspek!$B$2:$B$337=C1623)*
           (aspek!$C$2:$C$337=D1623),0))</f>
        <v>Akurasi membaca emosi</v>
      </c>
      <c r="F1623" s="76">
        <v>2</v>
      </c>
      <c r="G1623" s="56" t="str" cm="1">
        <f t="array" ref="G1623">INDEX(deskripsi!$D$2:$H$337,
   MATCH(1,(deskripsi!$A$2:$A$337=B1623)*
           (deskripsi!$B$2:$B$337=C1623)*
           (deskripsi!$C$2:$C$337=D1623),0),
   F1623)</f>
        <v>Menyadari ada yang berubah, tetapi salah menebak sebabnya — biasanya mengaitkannya dengan dirinya sendiri atau dengan harga.</v>
      </c>
    </row>
    <row r="1624" spans="1:7">
      <c r="A1624" t="str">
        <f t="shared" si="25"/>
        <v>Customer Focus|Department Head|1|3</v>
      </c>
      <c r="B1624" t="str">
        <v>Customer Focus</v>
      </c>
      <c r="C1624" t="str">
        <v>Department Head</v>
      </c>
      <c r="D1624" s="76">
        <v>1</v>
      </c>
      <c r="E1624" t="str" cm="1">
        <f t="array" ref="E1624">INDEX(aspek!$D$2:$D$337,
   MATCH(1,(aspek!$A$2:$A$337=B1624)*
           (aspek!$B$2:$B$337=C1624)*
           (aspek!$C$2:$C$337=D1624),0))</f>
        <v>Akurasi membaca emosi</v>
      </c>
      <c r="F1624" s="76">
        <v>3</v>
      </c>
      <c r="G1624" s="56" t="str" cm="1">
        <f t="array" ref="G1624">INDEX(deskripsi!$D$2:$H$337,
   MATCH(1,(deskripsi!$A$2:$A$337=B1624)*
           (deskripsi!$B$2:$B$337=C1624)*
           (deskripsi!$C$2:$C$337=D1624),0),
   F1624)</f>
        <v>Menangkap emosi yang jelas terlihat, seperti marah atau kecewa yang terbuka, dan umumnya benar membacanya.</v>
      </c>
    </row>
    <row r="1625" spans="1:7">
      <c r="A1625" t="str">
        <f t="shared" si="25"/>
        <v>Customer Focus|Department Head|1|4</v>
      </c>
      <c r="B1625" t="str">
        <v>Customer Focus</v>
      </c>
      <c r="C1625" t="str">
        <v>Department Head</v>
      </c>
      <c r="D1625" s="76">
        <v>1</v>
      </c>
      <c r="E1625" t="str" cm="1">
        <f t="array" ref="E1625">INDEX(aspek!$D$2:$D$337,
   MATCH(1,(aspek!$A$2:$A$337=B1625)*
           (aspek!$B$2:$B$337=C1625)*
           (aspek!$C$2:$C$337=D1625),0))</f>
        <v>Akurasi membaca emosi</v>
      </c>
      <c r="F1625" s="76">
        <v>4</v>
      </c>
      <c r="G1625" s="56" t="str" cm="1">
        <f t="array" ref="G1625">INDEX(deskripsi!$D$2:$H$337,
   MATCH(1,(deskripsi!$A$2:$A$337=B1625)*
           (deskripsi!$B$2:$B$337=C1625)*
           (deskripsi!$C$2:$C$337=D1625),0),
   F1625)</f>
        <v>Menangkap emosi yang ditahan atau disamarkan, menelusuri penyebabnya, dan MEMERIKSA bacaannya kepada pelanggan sebelum merespons.</v>
      </c>
    </row>
    <row r="1626" spans="1:7">
      <c r="A1626" t="str">
        <f t="shared" si="25"/>
        <v>Customer Focus|Department Head|1|5</v>
      </c>
      <c r="B1626" t="str">
        <v>Customer Focus</v>
      </c>
      <c r="C1626" t="str">
        <v>Department Head</v>
      </c>
      <c r="D1626" s="76">
        <v>1</v>
      </c>
      <c r="E1626" t="str" cm="1">
        <f t="array" ref="E1626">INDEX(aspek!$D$2:$D$337,
   MATCH(1,(aspek!$A$2:$A$337=B1626)*
           (aspek!$B$2:$B$337=C1626)*
           (aspek!$C$2:$C$337=D1626),0))</f>
        <v>Akurasi membaca emosi</v>
      </c>
      <c r="F1626" s="76">
        <v>5</v>
      </c>
      <c r="G1626" s="56" t="str" cm="1">
        <f t="array" ref="G1626">INDEX(deskripsi!$D$2:$H$337,
   MATCH(1,(deskripsi!$A$2:$A$337=B1626)*
           (deskripsi!$B$2:$B$337=C1626)*
           (deskripsi!$C$2:$C$337=D1626),0),
   F1626)</f>
        <v>Membedakan emosi yang ditampilkan dari yang sebenarnya dirasakan, dan bacaannya jarang meleset bahkan pada orang yang baru dikenal.</v>
      </c>
    </row>
    <row r="1627" spans="1:7">
      <c r="A1627" t="str">
        <f t="shared" si="25"/>
        <v>Customer Focus|Department Head|2|1</v>
      </c>
      <c r="B1627" t="str">
        <v>Customer Focus</v>
      </c>
      <c r="C1627" t="str">
        <v>Department Head</v>
      </c>
      <c r="D1627" s="76">
        <v>2</v>
      </c>
      <c r="E1627" t="str" cm="1">
        <f t="array" ref="E1627">INDEX(aspek!$D$2:$D$337,
   MATCH(1,(aspek!$A$2:$A$337=B1627)*
           (aspek!$B$2:$B$337=C1627)*
           (aspek!$C$2:$C$337=D1627),0))</f>
        <v>Ketepatan respons</v>
      </c>
      <c r="F1627" s="76">
        <v>1</v>
      </c>
      <c r="G1627" s="56" t="str" cm="1">
        <f t="array" ref="G1627">INDEX(deskripsi!$D$2:$H$337,
   MATCH(1,(deskripsi!$A$2:$A$337=B1627)*
           (deskripsi!$B$2:$B$337=C1627)*
           (deskripsi!$C$2:$C$337=D1627),0),
   F1627)</f>
        <v>Tidak merespons emosi sama sekali, atau meresponsnya dengan membela diri.</v>
      </c>
    </row>
    <row r="1628" spans="1:7">
      <c r="A1628" t="str">
        <f t="shared" si="25"/>
        <v>Customer Focus|Department Head|2|2</v>
      </c>
      <c r="B1628" t="str">
        <v>Customer Focus</v>
      </c>
      <c r="C1628" t="str">
        <v>Department Head</v>
      </c>
      <c r="D1628" s="76">
        <v>2</v>
      </c>
      <c r="E1628" t="str" cm="1">
        <f t="array" ref="E1628">INDEX(aspek!$D$2:$D$337,
   MATCH(1,(aspek!$A$2:$A$337=B1628)*
           (aspek!$B$2:$B$337=C1628)*
           (aspek!$C$2:$C$337=D1628),0))</f>
        <v>Ketepatan respons</v>
      </c>
      <c r="F1628" s="76">
        <v>2</v>
      </c>
      <c r="G1628" s="56" t="str" cm="1">
        <f t="array" ref="G1628">INDEX(deskripsi!$D$2:$H$337,
   MATCH(1,(deskripsi!$A$2:$A$337=B1628)*
           (deskripsi!$B$2:$B$337=C1628)*
           (deskripsi!$C$2:$C$337=D1628),0),
   F1628)</f>
        <v>Merespons dengan menenangkan secara umum, tanpa menyentuh penyebabnya.</v>
      </c>
    </row>
    <row r="1629" spans="1:7">
      <c r="A1629" t="str">
        <f t="shared" si="25"/>
        <v>Customer Focus|Department Head|2|3</v>
      </c>
      <c r="B1629" t="str">
        <v>Customer Focus</v>
      </c>
      <c r="C1629" t="str">
        <v>Department Head</v>
      </c>
      <c r="D1629" s="76">
        <v>2</v>
      </c>
      <c r="E1629" t="str" cm="1">
        <f t="array" ref="E1629">INDEX(aspek!$D$2:$D$337,
   MATCH(1,(aspek!$A$2:$A$337=B1629)*
           (aspek!$B$2:$B$337=C1629)*
           (aspek!$C$2:$C$337=D1629),0))</f>
        <v>Ketepatan respons</v>
      </c>
      <c r="F1629" s="76">
        <v>3</v>
      </c>
      <c r="G1629" s="56" t="str" cm="1">
        <f t="array" ref="G1629">INDEX(deskripsi!$D$2:$H$337,
   MATCH(1,(deskripsi!$A$2:$A$337=B1629)*
           (deskripsi!$B$2:$B$337=C1629)*
           (deskripsi!$C$2:$C$337=D1629),0),
   F1629)</f>
        <v>Mengakui perasaan pelanggan dan meresponsnya dengan wajar.</v>
      </c>
    </row>
    <row r="1630" spans="1:7">
      <c r="A1630" t="str">
        <f t="shared" si="25"/>
        <v>Customer Focus|Department Head|2|4</v>
      </c>
      <c r="B1630" t="str">
        <v>Customer Focus</v>
      </c>
      <c r="C1630" t="str">
        <v>Department Head</v>
      </c>
      <c r="D1630" s="76">
        <v>2</v>
      </c>
      <c r="E1630" t="str" cm="1">
        <f t="array" ref="E1630">INDEX(aspek!$D$2:$D$337,
   MATCH(1,(aspek!$A$2:$A$337=B1630)*
           (aspek!$B$2:$B$337=C1630)*
           (aspek!$C$2:$C$337=D1630),0))</f>
        <v>Ketepatan respons</v>
      </c>
      <c r="F1630" s="76">
        <v>4</v>
      </c>
      <c r="G1630" s="56" t="str" cm="1">
        <f t="array" ref="G1630">INDEX(deskripsi!$D$2:$H$337,
   MATCH(1,(deskripsi!$A$2:$A$337=B1630)*
           (deskripsi!$B$2:$B$337=C1630)*
           (deskripsi!$C$2:$C$337=D1630),0),
   F1630)</f>
        <v>Memilih respons yang sesuai dengan penyebabnya — kapan cukup mengakui, kapan perlu menjelaskan, kapan harus memperbaiki — dan tidak menjanjikan hal yang belum pasti demi meredakan suasana.</v>
      </c>
    </row>
    <row r="1631" spans="1:7">
      <c r="A1631" t="str">
        <f t="shared" si="25"/>
        <v>Customer Focus|Department Head|2|5</v>
      </c>
      <c r="B1631" t="str">
        <v>Customer Focus</v>
      </c>
      <c r="C1631" t="str">
        <v>Department Head</v>
      </c>
      <c r="D1631" s="76">
        <v>2</v>
      </c>
      <c r="E1631" t="str" cm="1">
        <f t="array" ref="E1631">INDEX(aspek!$D$2:$D$337,
   MATCH(1,(aspek!$A$2:$A$337=B1631)*
           (aspek!$B$2:$B$337=C1631)*
           (aspek!$C$2:$C$337=D1631),0))</f>
        <v>Ketepatan respons</v>
      </c>
      <c r="F1631" s="76">
        <v>5</v>
      </c>
      <c r="G1631" s="56" t="str" cm="1">
        <f t="array" ref="G1631">INDEX(deskripsi!$D$2:$H$337,
   MATCH(1,(deskripsi!$A$2:$A$337=B1631)*
           (deskripsi!$B$2:$B$337=C1631)*
           (deskripsi!$C$2:$C$337=D1631),0),
   F1631)</f>
        <v>Pelanggan merasa didengar bahkan ketika jawabannya tidak seperti yang ia harapkan.</v>
      </c>
    </row>
    <row r="1632" spans="1:7">
      <c r="A1632" t="str">
        <f t="shared" si="25"/>
        <v>Customer Focus|Department Head|3|1</v>
      </c>
      <c r="B1632" t="str">
        <v>Customer Focus</v>
      </c>
      <c r="C1632" t="str">
        <v>Department Head</v>
      </c>
      <c r="D1632" s="76">
        <v>3</v>
      </c>
      <c r="E1632" t="str" cm="1">
        <f t="array" ref="E1632">INDEX(aspek!$D$2:$D$337,
   MATCH(1,(aspek!$A$2:$A$337=B1632)*
           (aspek!$B$2:$B$337=C1632)*
           (aspek!$C$2:$C$337=D1632),0))</f>
        <v>Membaca kebutuhan yang tidak terucapkan</v>
      </c>
      <c r="F1632" s="76">
        <v>1</v>
      </c>
      <c r="G1632" s="56" t="str" cm="1">
        <f t="array" ref="G1632">INDEX(deskripsi!$D$2:$H$337,
   MATCH(1,(deskripsi!$A$2:$A$337=B1632)*
           (deskripsi!$B$2:$B$337=C1632)*
           (deskripsi!$C$2:$C$337=D1632),0),
   F1632)</f>
        <v>Hanya menanggapi apa yang diminta; kebutuhan yang tidak disampaikan tidak pernah muncul.</v>
      </c>
    </row>
    <row r="1633" spans="1:7">
      <c r="A1633" t="str">
        <f t="shared" si="25"/>
        <v>Customer Focus|Department Head|3|2</v>
      </c>
      <c r="B1633" t="str">
        <v>Customer Focus</v>
      </c>
      <c r="C1633" t="str">
        <v>Department Head</v>
      </c>
      <c r="D1633" s="76">
        <v>3</v>
      </c>
      <c r="E1633" t="str" cm="1">
        <f t="array" ref="E1633">INDEX(aspek!$D$2:$D$337,
   MATCH(1,(aspek!$A$2:$A$337=B1633)*
           (aspek!$B$2:$B$337=C1633)*
           (aspek!$C$2:$C$337=D1633),0))</f>
        <v>Membaca kebutuhan yang tidak terucapkan</v>
      </c>
      <c r="F1633" s="76">
        <v>2</v>
      </c>
      <c r="G1633" s="56" t="str" cm="1">
        <f t="array" ref="G1633">INDEX(deskripsi!$D$2:$H$337,
   MATCH(1,(deskripsi!$A$2:$A$337=B1633)*
           (deskripsi!$B$2:$B$337=C1633)*
           (deskripsi!$C$2:$C$337=D1633),0),
   F1633)</f>
        <v>Kadang menduga ada kebutuhan lain, tetapi tidak memeriksanya dan tidak menindaklanjutinya.</v>
      </c>
    </row>
    <row r="1634" spans="1:7">
      <c r="A1634" t="str">
        <f t="shared" si="25"/>
        <v>Customer Focus|Department Head|3|3</v>
      </c>
      <c r="B1634" t="str">
        <v>Customer Focus</v>
      </c>
      <c r="C1634" t="str">
        <v>Department Head</v>
      </c>
      <c r="D1634" s="76">
        <v>3</v>
      </c>
      <c r="E1634" t="str" cm="1">
        <f t="array" ref="E1634">INDEX(aspek!$D$2:$D$337,
   MATCH(1,(aspek!$A$2:$A$337=B1634)*
           (aspek!$B$2:$B$337=C1634)*
           (aspek!$C$2:$C$337=D1634),0))</f>
        <v>Membaca kebutuhan yang tidak terucapkan</v>
      </c>
      <c r="F1634" s="76">
        <v>3</v>
      </c>
      <c r="G1634" s="56" t="str" cm="1">
        <f t="array" ref="G1634">INDEX(deskripsi!$D$2:$H$337,
   MATCH(1,(deskripsi!$A$2:$A$337=B1634)*
           (deskripsi!$B$2:$B$337=C1634)*
           (deskripsi!$C$2:$C$337=D1634),0),
   F1634)</f>
        <v>Menanyakan apakah ada kebutuhan lain, dan menindaklanjuti yang disampaikan pelanggan.</v>
      </c>
    </row>
    <row r="1635" spans="1:7">
      <c r="A1635" t="str">
        <f t="shared" si="25"/>
        <v>Customer Focus|Department Head|3|4</v>
      </c>
      <c r="B1635" t="str">
        <v>Customer Focus</v>
      </c>
      <c r="C1635" t="str">
        <v>Department Head</v>
      </c>
      <c r="D1635" s="76">
        <v>3</v>
      </c>
      <c r="E1635" t="str" cm="1">
        <f t="array" ref="E1635">INDEX(aspek!$D$2:$D$337,
   MATCH(1,(aspek!$A$2:$A$337=B1635)*
           (aspek!$B$2:$B$337=C1635)*
           (aspek!$C$2:$C$337=D1635),0))</f>
        <v>Membaca kebutuhan yang tidak terucapkan</v>
      </c>
      <c r="F1635" s="76">
        <v>4</v>
      </c>
      <c r="G1635" s="56" t="str" cm="1">
        <f t="array" ref="G1635">INDEX(deskripsi!$D$2:$H$337,
   MATCH(1,(deskripsi!$A$2:$A$337=B1635)*
           (deskripsi!$B$2:$B$337=C1635)*
           (deskripsi!$C$2:$C$337=D1635),0),
   F1635)</f>
        <v>Menangkap kebutuhan yang tidak disampaikan dari sinyal dan keluhan kecil yang berulang, memeriksanya kepada pelanggan, lalu memberi respons yang menjawabnya.</v>
      </c>
    </row>
    <row r="1636" spans="1:7">
      <c r="A1636" t="str">
        <f t="shared" si="25"/>
        <v>Customer Focus|Department Head|3|5</v>
      </c>
      <c r="B1636" t="str">
        <v>Customer Focus</v>
      </c>
      <c r="C1636" t="str">
        <v>Department Head</v>
      </c>
      <c r="D1636" s="76">
        <v>3</v>
      </c>
      <c r="E1636" t="str" cm="1">
        <f t="array" ref="E1636">INDEX(aspek!$D$2:$D$337,
   MATCH(1,(aspek!$A$2:$A$337=B1636)*
           (aspek!$B$2:$B$337=C1636)*
           (aspek!$C$2:$C$337=D1636),0))</f>
        <v>Membaca kebutuhan yang tidak terucapkan</v>
      </c>
      <c r="F1636" s="76">
        <v>5</v>
      </c>
      <c r="G1636" s="56" t="str" cm="1">
        <f t="array" ref="G1636">INDEX(deskripsi!$D$2:$H$337,
   MATCH(1,(deskripsi!$A$2:$A$337=B1636)*
           (deskripsi!$B$2:$B$337=C1636)*
           (deskripsi!$C$2:$C$337=D1636),0),
   F1636)</f>
        <v>Pelanggan menemukan kebutuhannya sendiri melalui percakapan dengannya — hal yang semula tidak mereka sadari.</v>
      </c>
    </row>
    <row r="1637" spans="1:7">
      <c r="A1637" t="str">
        <f t="shared" si="25"/>
        <v>Customer Focus|Department Head|4|1</v>
      </c>
      <c r="B1637" t="str">
        <v>Customer Focus</v>
      </c>
      <c r="C1637" t="str">
        <v>Department Head</v>
      </c>
      <c r="D1637" s="76">
        <v>4</v>
      </c>
      <c r="E1637" t="str" cm="1">
        <f t="array" ref="E1637">INDEX(aspek!$D$2:$D$337,
   MATCH(1,(aspek!$A$2:$A$337=B1637)*
           (aspek!$B$2:$B$337=C1637)*
           (aspek!$C$2:$C$337=D1637),0))</f>
        <v>Dinamika emosi dalam kelompok</v>
      </c>
      <c r="F1637" s="76">
        <v>1</v>
      </c>
      <c r="G1637" s="56" t="str" cm="1">
        <f t="array" ref="G1637">INDEX(deskripsi!$D$2:$H$337,
   MATCH(1,(deskripsi!$A$2:$A$337=B1637)*
           (deskripsi!$B$2:$B$337=C1637)*
           (deskripsi!$C$2:$C$337=D1637),0),
   F1637)</f>
        <v>Membaca kelompok sebagai satu suara; yang paling keras dianggap mewakili semuanya.</v>
      </c>
    </row>
    <row r="1638" spans="1:7">
      <c r="A1638" t="str">
        <f t="shared" si="25"/>
        <v>Customer Focus|Department Head|4|2</v>
      </c>
      <c r="B1638" t="str">
        <v>Customer Focus</v>
      </c>
      <c r="C1638" t="str">
        <v>Department Head</v>
      </c>
      <c r="D1638" s="76">
        <v>4</v>
      </c>
      <c r="E1638" t="str" cm="1">
        <f t="array" ref="E1638">INDEX(aspek!$D$2:$D$337,
   MATCH(1,(aspek!$A$2:$A$337=B1638)*
           (aspek!$B$2:$B$337=C1638)*
           (aspek!$C$2:$C$337=D1638),0))</f>
        <v>Dinamika emosi dalam kelompok</v>
      </c>
      <c r="F1638" s="76">
        <v>2</v>
      </c>
      <c r="G1638" s="56" t="str" cm="1">
        <f t="array" ref="G1638">INDEX(deskripsi!$D$2:$H$337,
   MATCH(1,(deskripsi!$A$2:$A$337=B1638)*
           (deskripsi!$B$2:$B$337=C1638)*
           (deskripsi!$C$2:$C$337=D1638),0),
   F1638)</f>
        <v>Menyadari ada perbedaan di dalam kelompok, tetapi tidak menelusurinya.</v>
      </c>
    </row>
    <row r="1639" spans="1:7">
      <c r="A1639" t="str">
        <f t="shared" si="25"/>
        <v>Customer Focus|Department Head|4|3</v>
      </c>
      <c r="B1639" t="str">
        <v>Customer Focus</v>
      </c>
      <c r="C1639" t="str">
        <v>Department Head</v>
      </c>
      <c r="D1639" s="76">
        <v>4</v>
      </c>
      <c r="E1639" t="str" cm="1">
        <f t="array" ref="E1639">INDEX(aspek!$D$2:$D$337,
   MATCH(1,(aspek!$A$2:$A$337=B1639)*
           (aspek!$B$2:$B$337=C1639)*
           (aspek!$C$2:$C$337=D1639),0))</f>
        <v>Dinamika emosi dalam kelompok</v>
      </c>
      <c r="F1639" s="76">
        <v>3</v>
      </c>
      <c r="G1639" s="56" t="str" cm="1">
        <f t="array" ref="G1639">INDEX(deskripsi!$D$2:$H$337,
   MATCH(1,(deskripsi!$A$2:$A$337=B1639)*
           (deskripsi!$B$2:$B$337=C1639)*
           (deskripsi!$C$2:$C$337=D1639),0),
   F1639)</f>
        <v>Mengenali siapa yang setuju dan siapa yang tidak dalam sebuah pertemuan.</v>
      </c>
    </row>
    <row r="1640" spans="1:7">
      <c r="A1640" t="str">
        <f t="shared" si="25"/>
        <v>Customer Focus|Department Head|4|4</v>
      </c>
      <c r="B1640" t="str">
        <v>Customer Focus</v>
      </c>
      <c r="C1640" t="str">
        <v>Department Head</v>
      </c>
      <c r="D1640" s="76">
        <v>4</v>
      </c>
      <c r="E1640" t="str" cm="1">
        <f t="array" ref="E1640">INDEX(aspek!$D$2:$D$337,
   MATCH(1,(aspek!$A$2:$A$337=B1640)*
           (aspek!$B$2:$B$337=C1640)*
           (aspek!$C$2:$C$337=D1640),0))</f>
        <v>Dinamika emosi dalam kelompok</v>
      </c>
      <c r="F1640" s="76">
        <v>4</v>
      </c>
      <c r="G1640" s="56" t="str" cm="1">
        <f t="array" ref="G1640">INDEX(deskripsi!$D$2:$H$337,
   MATCH(1,(deskripsi!$A$2:$A$337=B1640)*
           (deskripsi!$B$2:$B$337=C1640)*
           (deskripsi!$C$2:$C$337=D1640),0),
   F1640)</f>
        <v>Memetakan siapa yang resah dan mengapa, siapa yang sebenarnya menentukan, dan siapa yang diam tetapi tidak setuju — lalu menyesuaikan pendekatannya.</v>
      </c>
    </row>
    <row r="1641" spans="1:7">
      <c r="A1641" t="str">
        <f t="shared" si="25"/>
        <v>Customer Focus|Department Head|4|5</v>
      </c>
      <c r="B1641" t="str">
        <v>Customer Focus</v>
      </c>
      <c r="C1641" t="str">
        <v>Department Head</v>
      </c>
      <c r="D1641" s="76">
        <v>4</v>
      </c>
      <c r="E1641" t="str" cm="1">
        <f t="array" ref="E1641">INDEX(aspek!$D$2:$D$337,
   MATCH(1,(aspek!$A$2:$A$337=B1641)*
           (aspek!$B$2:$B$337=C1641)*
           (aspek!$C$2:$C$337=D1641),0))</f>
        <v>Dinamika emosi dalam kelompok</v>
      </c>
      <c r="F1641" s="76">
        <v>5</v>
      </c>
      <c r="G1641" s="56" t="str" cm="1">
        <f t="array" ref="G1641">INDEX(deskripsi!$D$2:$H$337,
   MATCH(1,(deskripsi!$A$2:$A$337=B1641)*
           (deskripsi!$B$2:$B$337=C1641)*
           (deskripsi!$C$2:$C$337=D1641),0),
   F1641)</f>
        <v>Mampu mengubah suasana kelompok yang tegang menjadi percakapan yang terbuka.</v>
      </c>
    </row>
    <row r="1642" spans="1:7">
      <c r="A1642" t="str">
        <f t="shared" si="25"/>
        <v>Customer Focus|Division Head|1|1</v>
      </c>
      <c r="B1642" t="str">
        <v>Customer Focus</v>
      </c>
      <c r="C1642" t="str">
        <v>Division Head</v>
      </c>
      <c r="D1642" s="76">
        <v>1</v>
      </c>
      <c r="E1642" t="str" cm="1">
        <f t="array" ref="E1642">INDEX(aspek!$D$2:$D$337,
   MATCH(1,(aspek!$A$2:$A$337=B1642)*
           (aspek!$B$2:$B$337=C1642)*
           (aspek!$C$2:$C$337=D1642),0))</f>
        <v>Cakrawala relasi  (transaksi vs jangka panjang)</v>
      </c>
      <c r="F1642" s="76">
        <v>1</v>
      </c>
      <c r="G1642" s="56" t="str" cm="1">
        <f t="array" ref="G1642">INDEX(deskripsi!$D$2:$H$337,
   MATCH(1,(deskripsi!$A$2:$A$337=B1642)*
           (deskripsi!$B$2:$B$337=C1642)*
           (deskripsi!$C$2:$C$337=D1642),0),
   F1642)</f>
        <v>Berhubungan dengan pelanggan hanya ketika ada order atau ada masalah; di luar itu tidak ada kontak.</v>
      </c>
    </row>
    <row r="1643" spans="1:7">
      <c r="A1643" t="str">
        <f t="shared" si="25"/>
        <v>Customer Focus|Division Head|1|2</v>
      </c>
      <c r="B1643" t="str">
        <v>Customer Focus</v>
      </c>
      <c r="C1643" t="str">
        <v>Division Head</v>
      </c>
      <c r="D1643" s="76">
        <v>1</v>
      </c>
      <c r="E1643" t="str" cm="1">
        <f t="array" ref="E1643">INDEX(aspek!$D$2:$D$337,
   MATCH(1,(aspek!$A$2:$A$337=B1643)*
           (aspek!$B$2:$B$337=C1643)*
           (aspek!$C$2:$C$337=D1643),0))</f>
        <v>Cakrawala relasi  (transaksi vs jangka panjang)</v>
      </c>
      <c r="F1643" s="76">
        <v>2</v>
      </c>
      <c r="G1643" s="56" t="str" cm="1">
        <f t="array" ref="G1643">INDEX(deskripsi!$D$2:$H$337,
   MATCH(1,(deskripsi!$A$2:$A$337=B1643)*
           (deskripsi!$B$2:$B$337=C1643)*
           (deskripsi!$C$2:$C$337=D1643),0),
   F1643)</f>
        <v>Menyadari hubungan perlu dijaga, tetapi upayanya baru muncul menjelang perpanjangan kontrak atau setelah komplain.</v>
      </c>
    </row>
    <row r="1644" spans="1:7">
      <c r="A1644" t="str">
        <f t="shared" si="25"/>
        <v>Customer Focus|Division Head|1|3</v>
      </c>
      <c r="B1644" t="str">
        <v>Customer Focus</v>
      </c>
      <c r="C1644" t="str">
        <v>Division Head</v>
      </c>
      <c r="D1644" s="76">
        <v>1</v>
      </c>
      <c r="E1644" t="str" cm="1">
        <f t="array" ref="E1644">INDEX(aspek!$D$2:$D$337,
   MATCH(1,(aspek!$A$2:$A$337=B1644)*
           (aspek!$B$2:$B$337=C1644)*
           (aspek!$C$2:$C$337=D1644),0))</f>
        <v>Cakrawala relasi  (transaksi vs jangka panjang)</v>
      </c>
      <c r="F1644" s="76">
        <v>3</v>
      </c>
      <c r="G1644" s="56" t="str" cm="1">
        <f t="array" ref="G1644">INDEX(deskripsi!$D$2:$H$337,
   MATCH(1,(deskripsi!$A$2:$A$337=B1644)*
           (deskripsi!$B$2:$B$337=C1644)*
           (deskripsi!$C$2:$C$337=D1644),0),
   F1644)</f>
        <v>Menjaga hubungan baik dengan pelanggan selama satu kontrak atau satu proyek berlangsung.</v>
      </c>
    </row>
    <row r="1645" spans="1:7">
      <c r="A1645" t="str">
        <f t="shared" si="25"/>
        <v>Customer Focus|Division Head|1|4</v>
      </c>
      <c r="B1645" t="str">
        <v>Customer Focus</v>
      </c>
      <c r="C1645" t="str">
        <v>Division Head</v>
      </c>
      <c r="D1645" s="76">
        <v>1</v>
      </c>
      <c r="E1645" t="str" cm="1">
        <f t="array" ref="E1645">INDEX(aspek!$D$2:$D$337,
   MATCH(1,(aspek!$A$2:$A$337=B1645)*
           (aspek!$B$2:$B$337=C1645)*
           (aspek!$C$2:$C$337=D1645),0))</f>
        <v>Cakrawala relasi  (transaksi vs jangka panjang)</v>
      </c>
      <c r="F1645" s="76">
        <v>4</v>
      </c>
      <c r="G1645" s="56" t="str" cm="1">
        <f t="array" ref="G1645">INDEX(deskripsi!$D$2:$H$337,
   MATCH(1,(deskripsi!$A$2:$A$337=B1645)*
           (deskripsi!$B$2:$B$337=C1645)*
           (deskripsi!$C$2:$C$337=D1645),0),
   F1645)</f>
        <v>Mengelola hubungan sebagai portofolio lintas waktu — menjaga kontak terjadwal di luar masa transaksi, termasuk hadir pada program dan pertemuan yang pelanggan selenggarakan — dan menilai keberhasilannya dari kelangsungan kerja sama, bukan dari nilai order terakhir.</v>
      </c>
    </row>
    <row r="1646" spans="1:7">
      <c r="A1646" t="str">
        <f t="shared" si="25"/>
        <v>Customer Focus|Division Head|1|5</v>
      </c>
      <c r="B1646" t="str">
        <v>Customer Focus</v>
      </c>
      <c r="C1646" t="str">
        <v>Division Head</v>
      </c>
      <c r="D1646" s="76">
        <v>1</v>
      </c>
      <c r="E1646" t="str" cm="1">
        <f t="array" ref="E1646">INDEX(aspek!$D$2:$D$337,
   MATCH(1,(aspek!$A$2:$A$337=B1646)*
           (aspek!$B$2:$B$337=C1646)*
           (aspek!$C$2:$C$337=D1646),0))</f>
        <v>Cakrawala relasi  (transaksi vs jangka panjang)</v>
      </c>
      <c r="F1646" s="76">
        <v>5</v>
      </c>
      <c r="G1646" s="56" t="str" cm="1">
        <f t="array" ref="G1646">INDEX(deskripsi!$D$2:$H$337,
   MATCH(1,(deskripsi!$A$2:$A$337=B1646)*
           (deskripsi!$B$2:$B$337=C1646)*
           (deskripsi!$C$2:$C$337=D1646),0),
   F1646)</f>
        <v>Hubungan bertahan melampaui pergantian orang di kedua pihak; pelanggan tetap mencarinya meski tidak ada urusan bisnis yang sedang berjalan.</v>
      </c>
    </row>
    <row r="1647" spans="1:7">
      <c r="A1647" t="str">
        <f t="shared" si="25"/>
        <v>Customer Focus|Division Head|2|1</v>
      </c>
      <c r="B1647" t="str">
        <v>Customer Focus</v>
      </c>
      <c r="C1647" t="str">
        <v>Division Head</v>
      </c>
      <c r="D1647" s="76">
        <v>2</v>
      </c>
      <c r="E1647" t="str" cm="1">
        <f t="array" ref="E1647">INDEX(aspek!$D$2:$D$337,
   MATCH(1,(aspek!$A$2:$A$337=B1647)*
           (aspek!$B$2:$B$337=C1647)*
           (aspek!$C$2:$C$337=D1647),0))</f>
        <v>Penyesuaian pendekatan per pelanggan</v>
      </c>
      <c r="F1647" s="76">
        <v>1</v>
      </c>
      <c r="G1647" s="56" t="str" cm="1">
        <f t="array" ref="G1647">INDEX(deskripsi!$D$2:$H$337,
   MATCH(1,(deskripsi!$A$2:$A$337=B1647)*
           (deskripsi!$B$2:$B$337=C1647)*
           (deskripsi!$C$2:$C$337=D1647),0),
   F1647)</f>
        <v>Memperlakukan semua pelanggan dengan cara yang sama, umumnya dengan cara yang nyaman bagi dirinya sendiri.</v>
      </c>
    </row>
    <row r="1648" spans="1:7">
      <c r="A1648" t="str">
        <f t="shared" si="25"/>
        <v>Customer Focus|Division Head|2|2</v>
      </c>
      <c r="B1648" t="str">
        <v>Customer Focus</v>
      </c>
      <c r="C1648" t="str">
        <v>Division Head</v>
      </c>
      <c r="D1648" s="76">
        <v>2</v>
      </c>
      <c r="E1648" t="str" cm="1">
        <f t="array" ref="E1648">INDEX(aspek!$D$2:$D$337,
   MATCH(1,(aspek!$A$2:$A$337=B1648)*
           (aspek!$B$2:$B$337=C1648)*
           (aspek!$C$2:$C$337=D1648),0))</f>
        <v>Penyesuaian pendekatan per pelanggan</v>
      </c>
      <c r="F1648" s="76">
        <v>2</v>
      </c>
      <c r="G1648" s="56" t="str" cm="1">
        <f t="array" ref="G1648">INDEX(deskripsi!$D$2:$H$337,
   MATCH(1,(deskripsi!$A$2:$A$337=B1648)*
           (deskripsi!$B$2:$B$337=C1648)*
           (deskripsi!$C$2:$C$337=D1648),0),
   F1648)</f>
        <v>Membedakan pendekatan berdasarkan besar-kecilnya nilai kontrak, bukan berdasarkan sumber kesulitannya.</v>
      </c>
    </row>
    <row r="1649" spans="1:7">
      <c r="A1649" t="str">
        <f t="shared" si="25"/>
        <v>Customer Focus|Division Head|2|3</v>
      </c>
      <c r="B1649" t="str">
        <v>Customer Focus</v>
      </c>
      <c r="C1649" t="str">
        <v>Division Head</v>
      </c>
      <c r="D1649" s="76">
        <v>2</v>
      </c>
      <c r="E1649" t="str" cm="1">
        <f t="array" ref="E1649">INDEX(aspek!$D$2:$D$337,
   MATCH(1,(aspek!$A$2:$A$337=B1649)*
           (aspek!$B$2:$B$337=C1649)*
           (aspek!$C$2:$C$337=D1649),0))</f>
        <v>Penyesuaian pendekatan per pelanggan</v>
      </c>
      <c r="F1649" s="76">
        <v>3</v>
      </c>
      <c r="G1649" s="56" t="str" cm="1">
        <f t="array" ref="G1649">INDEX(deskripsi!$D$2:$H$337,
   MATCH(1,(deskripsi!$A$2:$A$337=B1649)*
           (deskripsi!$B$2:$B$337=C1649)*
           (deskripsi!$C$2:$C$337=D1649),0),
   F1649)</f>
        <v>Menyesuaikan gaya komunikasi per pelanggan berdasarkan pengalaman berinteraksi sebelumnya.</v>
      </c>
    </row>
    <row r="1650" spans="1:7">
      <c r="A1650" t="str">
        <f t="shared" si="25"/>
        <v>Customer Focus|Division Head|2|4</v>
      </c>
      <c r="B1650" t="str">
        <v>Customer Focus</v>
      </c>
      <c r="C1650" t="str">
        <v>Division Head</v>
      </c>
      <c r="D1650" s="76">
        <v>2</v>
      </c>
      <c r="E1650" t="str" cm="1">
        <f t="array" ref="E1650">INDEX(aspek!$D$2:$D$337,
   MATCH(1,(aspek!$A$2:$A$337=B1650)*
           (aspek!$B$2:$B$337=C1650)*
           (aspek!$C$2:$C$337=D1650),0))</f>
        <v>Penyesuaian pendekatan per pelanggan</v>
      </c>
      <c r="F1650" s="76">
        <v>4</v>
      </c>
      <c r="G1650" s="56" t="str" cm="1">
        <f t="array" ref="G1650">INDEX(deskripsi!$D$2:$H$337,
   MATCH(1,(deskripsi!$A$2:$A$337=B1650)*
           (deskripsi!$B$2:$B$337=C1650)*
           (deskripsi!$C$2:$C$337=D1650),0),
   F1650)</f>
        <v>Menyesuaikan pendekatan berdasarkan analisis sumber kesulitan masing-masing — kepentingan yang berbeda, tekanan bisnis yang dihadapi, atau riwayat hubungan — dan mengubahnya ketika terbukti tidak berhasil.</v>
      </c>
    </row>
    <row r="1651" spans="1:7">
      <c r="A1651" t="str">
        <f t="shared" si="25"/>
        <v>Customer Focus|Division Head|2|5</v>
      </c>
      <c r="B1651" t="str">
        <v>Customer Focus</v>
      </c>
      <c r="C1651" t="str">
        <v>Division Head</v>
      </c>
      <c r="D1651" s="76">
        <v>2</v>
      </c>
      <c r="E1651" t="str" cm="1">
        <f t="array" ref="E1651">INDEX(aspek!$D$2:$D$337,
   MATCH(1,(aspek!$A$2:$A$337=B1651)*
           (aspek!$B$2:$B$337=C1651)*
           (aspek!$C$2:$C$337=D1651),0))</f>
        <v>Penyesuaian pendekatan per pelanggan</v>
      </c>
      <c r="F1651" s="76">
        <v>5</v>
      </c>
      <c r="G1651" s="56" t="str" cm="1">
        <f t="array" ref="G1651">INDEX(deskripsi!$D$2:$H$337,
   MATCH(1,(deskripsi!$A$2:$A$337=B1651)*
           (deskripsi!$B$2:$B$337=C1651)*
           (deskripsi!$C$2:$C$337=D1651),0),
   F1651)</f>
        <v>Mampu menjelaskan kepada orang lain mengapa satu pelanggan perlu didekati dengan cara tertentu, sehingga pendekatannya dapat diteruskan oleh penggantinya.</v>
      </c>
    </row>
    <row r="1652" spans="1:7">
      <c r="A1652" t="str">
        <f t="shared" si="25"/>
        <v>Customer Focus|Division Head|3|1</v>
      </c>
      <c r="B1652" t="str">
        <v>Customer Focus</v>
      </c>
      <c r="C1652" t="str">
        <v>Division Head</v>
      </c>
      <c r="D1652" s="76">
        <v>3</v>
      </c>
      <c r="E1652" t="str" cm="1">
        <f t="array" ref="E1652">INDEX(aspek!$D$2:$D$337,
   MATCH(1,(aspek!$A$2:$A$337=B1652)*
           (aspek!$B$2:$B$337=C1652)*
           (aspek!$C$2:$C$337=D1652),0))</f>
        <v>Keberpihakan pada kepentingan pelanggan</v>
      </c>
      <c r="F1652" s="76">
        <v>1</v>
      </c>
      <c r="G1652" s="56" t="str" cm="1">
        <f t="array" ref="G1652">INDEX(deskripsi!$D$2:$H$337,
   MATCH(1,(deskripsi!$A$2:$A$337=B1652)*
           (deskripsi!$B$2:$B$337=C1652)*
           (deskripsi!$C$2:$C$337=D1652),0),
   F1652)</f>
        <v>Menilai setiap interaksi dari keuntungan perusahaan sendiri; kepentingan pelanggan dilihat sebagai biaya.</v>
      </c>
    </row>
    <row r="1653" spans="1:7">
      <c r="A1653" t="str">
        <f t="shared" si="25"/>
        <v>Customer Focus|Division Head|3|2</v>
      </c>
      <c r="B1653" t="str">
        <v>Customer Focus</v>
      </c>
      <c r="C1653" t="str">
        <v>Division Head</v>
      </c>
      <c r="D1653" s="76">
        <v>3</v>
      </c>
      <c r="E1653" t="str" cm="1">
        <f t="array" ref="E1653">INDEX(aspek!$D$2:$D$337,
   MATCH(1,(aspek!$A$2:$A$337=B1653)*
           (aspek!$B$2:$B$337=C1653)*
           (aspek!$C$2:$C$337=D1653),0))</f>
        <v>Keberpihakan pada kepentingan pelanggan</v>
      </c>
      <c r="F1653" s="76">
        <v>2</v>
      </c>
      <c r="G1653" s="56" t="str" cm="1">
        <f t="array" ref="G1653">INDEX(deskripsi!$D$2:$H$337,
   MATCH(1,(deskripsi!$A$2:$A$337=B1653)*
           (deskripsi!$B$2:$B$337=C1653)*
           (deskripsi!$C$2:$C$337=D1653),0),
   F1653)</f>
        <v>Bersedia memberi kelonggaran kepada pelanggan bila ada peluang order yang lebih besar di baliknya.</v>
      </c>
    </row>
    <row r="1654" spans="1:7">
      <c r="A1654" t="str">
        <f t="shared" si="25"/>
        <v>Customer Focus|Division Head|3|3</v>
      </c>
      <c r="B1654" t="str">
        <v>Customer Focus</v>
      </c>
      <c r="C1654" t="str">
        <v>Division Head</v>
      </c>
      <c r="D1654" s="76">
        <v>3</v>
      </c>
      <c r="E1654" t="str" cm="1">
        <f t="array" ref="E1654">INDEX(aspek!$D$2:$D$337,
   MATCH(1,(aspek!$A$2:$A$337=B1654)*
           (aspek!$B$2:$B$337=C1654)*
           (aspek!$C$2:$C$337=D1654),0))</f>
        <v>Keberpihakan pada kepentingan pelanggan</v>
      </c>
      <c r="F1654" s="76">
        <v>3</v>
      </c>
      <c r="G1654" s="56" t="str" cm="1">
        <f t="array" ref="G1654">INDEX(deskripsi!$D$2:$H$337,
   MATCH(1,(deskripsi!$A$2:$A$337=B1654)*
           (deskripsi!$B$2:$B$337=C1654)*
           (deskripsi!$C$2:$C$337=D1654),0),
   F1654)</f>
        <v>Menjaga agar kesepakatan adil bagi kedua pihak dan tidak merugikan pelanggan.</v>
      </c>
    </row>
    <row r="1655" spans="1:7">
      <c r="A1655" t="str">
        <f t="shared" si="25"/>
        <v>Customer Focus|Division Head|3|4</v>
      </c>
      <c r="B1655" t="str">
        <v>Customer Focus</v>
      </c>
      <c r="C1655" t="str">
        <v>Division Head</v>
      </c>
      <c r="D1655" s="76">
        <v>3</v>
      </c>
      <c r="E1655" t="str" cm="1">
        <f t="array" ref="E1655">INDEX(aspek!$D$2:$D$337,
   MATCH(1,(aspek!$A$2:$A$337=B1655)*
           (aspek!$B$2:$B$337=C1655)*
           (aspek!$C$2:$C$337=D1655),0))</f>
        <v>Keberpihakan pada kepentingan pelanggan</v>
      </c>
      <c r="F1655" s="76">
        <v>4</v>
      </c>
      <c r="G1655" s="56" t="str" cm="1">
        <f t="array" ref="G1655">INDEX(deskripsi!$D$2:$H$337,
   MATCH(1,(deskripsi!$A$2:$A$337=B1655)*
           (deskripsi!$B$2:$B$337=C1655)*
           (deskripsi!$C$2:$C$337=D1655),0),
   F1655)</f>
        <v>Menganalisis apa yang menguntungkan pelanggan dalam jangka panjang, dan bersedia menyarankan hal yang tidak menguntungkan perusahaannya sendiri ketika itu yang terbaik bagi pelanggan.</v>
      </c>
    </row>
    <row r="1656" spans="1:7">
      <c r="A1656" t="str">
        <f t="shared" si="25"/>
        <v>Customer Focus|Division Head|3|5</v>
      </c>
      <c r="B1656" t="str">
        <v>Customer Focus</v>
      </c>
      <c r="C1656" t="str">
        <v>Division Head</v>
      </c>
      <c r="D1656" s="76">
        <v>3</v>
      </c>
      <c r="E1656" t="str" cm="1">
        <f t="array" ref="E1656">INDEX(aspek!$D$2:$D$337,
   MATCH(1,(aspek!$A$2:$A$337=B1656)*
           (aspek!$B$2:$B$337=C1656)*
           (aspek!$C$2:$C$337=D1656),0))</f>
        <v>Keberpihakan pada kepentingan pelanggan</v>
      </c>
      <c r="F1656" s="76">
        <v>5</v>
      </c>
      <c r="G1656" s="56" t="str" cm="1">
        <f t="array" ref="G1656">INDEX(deskripsi!$D$2:$H$337,
   MATCH(1,(deskripsi!$A$2:$A$337=B1656)*
           (deskripsi!$B$2:$B$337=C1656)*
           (deskripsi!$C$2:$C$337=D1656),0),
   F1656)</f>
        <v>Pelanggan menganggapnya berpihak pada kepentingan mereka, dan justru karena itu mempercayakan kerja sama yang lebih besar.</v>
      </c>
    </row>
    <row r="1657" spans="1:7">
      <c r="A1657" t="str">
        <f t="shared" si="25"/>
        <v>Customer Focus|Division Head|4|1</v>
      </c>
      <c r="B1657" t="str">
        <v>Customer Focus</v>
      </c>
      <c r="C1657" t="str">
        <v>Division Head</v>
      </c>
      <c r="D1657" s="76">
        <v>4</v>
      </c>
      <c r="E1657" t="str" cm="1">
        <f t="array" ref="E1657">INDEX(aspek!$D$2:$D$337,
   MATCH(1,(aspek!$A$2:$A$337=B1657)*
           (aspek!$B$2:$B$337=C1657)*
           (aspek!$C$2:$C$337=D1657),0))</f>
        <v>Kedudukan sebagai penasehat terpercaya</v>
      </c>
      <c r="F1657" s="76">
        <v>1</v>
      </c>
      <c r="G1657" s="56" t="str" cm="1">
        <f t="array" ref="G1657">INDEX(deskripsi!$D$2:$H$337,
   MATCH(1,(deskripsi!$A$2:$A$337=B1657)*
           (deskripsi!$B$2:$B$337=C1657)*
           (deskripsi!$C$2:$C$337=D1657),0),
   F1657)</f>
        <v>Dihubungi pelanggan hanya untuk hal-hal administratif atau ketika ada keluhan.</v>
      </c>
    </row>
    <row r="1658" spans="1:7">
      <c r="A1658" t="str">
        <f t="shared" si="25"/>
        <v>Customer Focus|Division Head|4|2</v>
      </c>
      <c r="B1658" t="str">
        <v>Customer Focus</v>
      </c>
      <c r="C1658" t="str">
        <v>Division Head</v>
      </c>
      <c r="D1658" s="76">
        <v>4</v>
      </c>
      <c r="E1658" t="str" cm="1">
        <f t="array" ref="E1658">INDEX(aspek!$D$2:$D$337,
   MATCH(1,(aspek!$A$2:$A$337=B1658)*
           (aspek!$B$2:$B$337=C1658)*
           (aspek!$C$2:$C$337=D1658),0))</f>
        <v>Kedudukan sebagai penasehat terpercaya</v>
      </c>
      <c r="F1658" s="76">
        <v>2</v>
      </c>
      <c r="G1658" s="56" t="str" cm="1">
        <f t="array" ref="G1658">INDEX(deskripsi!$D$2:$H$337,
   MATCH(1,(deskripsi!$A$2:$A$337=B1658)*
           (deskripsi!$B$2:$B$337=C1658)*
           (deskripsi!$C$2:$C$337=D1658),0),
   F1658)</f>
        <v>Dihubungi untuk membahas kebutuhan yang sudah pelanggan putuskan sendiri bentuknya.</v>
      </c>
    </row>
    <row r="1659" spans="1:7">
      <c r="A1659" t="str">
        <f t="shared" si="25"/>
        <v>Customer Focus|Division Head|4|3</v>
      </c>
      <c r="B1659" t="str">
        <v>Customer Focus</v>
      </c>
      <c r="C1659" t="str">
        <v>Division Head</v>
      </c>
      <c r="D1659" s="76">
        <v>4</v>
      </c>
      <c r="E1659" t="str" cm="1">
        <f t="array" ref="E1659">INDEX(aspek!$D$2:$D$337,
   MATCH(1,(aspek!$A$2:$A$337=B1659)*
           (aspek!$B$2:$B$337=C1659)*
           (aspek!$C$2:$C$337=D1659),0))</f>
        <v>Kedudukan sebagai penasehat terpercaya</v>
      </c>
      <c r="F1659" s="76">
        <v>3</v>
      </c>
      <c r="G1659" s="56" t="str" cm="1">
        <f t="array" ref="G1659">INDEX(deskripsi!$D$2:$H$337,
   MATCH(1,(deskripsi!$A$2:$A$337=B1659)*
           (deskripsi!$B$2:$B$337=C1659)*
           (deskripsi!$C$2:$C$337=D1659),0),
   F1659)</f>
        <v>Diajak berdiskusi sebelum pelanggan menyusun kebutuhannya, sepanjang menyangkut produk atau jasa kita.</v>
      </c>
    </row>
    <row r="1660" spans="1:7">
      <c r="A1660" t="str">
        <f t="shared" si="25"/>
        <v>Customer Focus|Division Head|4|4</v>
      </c>
      <c r="B1660" t="str">
        <v>Customer Focus</v>
      </c>
      <c r="C1660" t="str">
        <v>Division Head</v>
      </c>
      <c r="D1660" s="76">
        <v>4</v>
      </c>
      <c r="E1660" t="str" cm="1">
        <f t="array" ref="E1660">INDEX(aspek!$D$2:$D$337,
   MATCH(1,(aspek!$A$2:$A$337=B1660)*
           (aspek!$B$2:$B$337=C1660)*
           (aspek!$C$2:$C$337=D1660),0))</f>
        <v>Kedudukan sebagai penasehat terpercaya</v>
      </c>
      <c r="F1660" s="76">
        <v>4</v>
      </c>
      <c r="G1660" s="56" t="str" cm="1">
        <f t="array" ref="G1660">INDEX(deskripsi!$D$2:$H$337,
   MATCH(1,(deskripsi!$A$2:$A$337=B1660)*
           (deskripsi!$B$2:$B$337=C1660)*
           (deskripsi!$C$2:$C$337=D1660),0),
   F1660)</f>
        <v>Pelanggan membawa kesulitan mereka kepadanya SEBELUM memutuskan — termasuk persoalan yang tidak berkaitan dengan produk atau jasa kita.</v>
      </c>
    </row>
    <row r="1661" spans="1:7">
      <c r="A1661" t="str">
        <f t="shared" si="25"/>
        <v>Customer Focus|Division Head|4|5</v>
      </c>
      <c r="B1661" t="str">
        <v>Customer Focus</v>
      </c>
      <c r="C1661" t="str">
        <v>Division Head</v>
      </c>
      <c r="D1661" s="76">
        <v>4</v>
      </c>
      <c r="E1661" t="str" cm="1">
        <f t="array" ref="E1661">INDEX(aspek!$D$2:$D$337,
   MATCH(1,(aspek!$A$2:$A$337=B1661)*
           (aspek!$B$2:$B$337=C1661)*
           (aspek!$C$2:$C$337=D1661),0))</f>
        <v>Kedudukan sebagai penasehat terpercaya</v>
      </c>
      <c r="F1661" s="76">
        <v>5</v>
      </c>
      <c r="G1661" s="56" t="str" cm="1">
        <f t="array" ref="G1661">INDEX(deskripsi!$D$2:$H$337,
   MATCH(1,(deskripsi!$A$2:$A$337=B1661)*
           (deskripsi!$B$2:$B$337=C1661)*
           (deskripsi!$C$2:$C$337=D1661),0),
   F1661)</f>
        <v>Menjadi pihak yang dimintai pendapat pelanggan pada keputusan penting mereka sendiri, setara dengan penasihat internal mereka.</v>
      </c>
    </row>
    <row r="1662" spans="1:7">
      <c r="A1662" t="str">
        <f t="shared" si="25"/>
        <v>Customer Focus|Director|1|1</v>
      </c>
      <c r="B1662" t="str">
        <v>Customer Focus</v>
      </c>
      <c r="C1662" t="str">
        <v>Director</v>
      </c>
      <c r="D1662" s="76">
        <v>1</v>
      </c>
      <c r="E1662" t="str" cm="1">
        <f t="array" ref="E1662">INDEX(aspek!$D$2:$D$337,
   MATCH(1,(aspek!$A$2:$A$337=B1662)*
           (aspek!$B$2:$B$337=C1662)*
           (aspek!$C$2:$C$337=D1662),0))</f>
        <v>Ketinggian standar yang ditetapkan</v>
      </c>
      <c r="F1662" s="76">
        <v>1</v>
      </c>
      <c r="G1662" s="56" t="str" cm="1">
        <f t="array" ref="G1662">INDEX(deskripsi!$D$2:$H$337,
   MATCH(1,(deskripsi!$A$2:$A$337=B1662)*
           (deskripsi!$B$2:$B$337=C1662)*
           (deskripsi!$C$2:$C$337=D1662),0),
   F1662)</f>
        <v>Menerima standar yang berlaku apa adanya; tidak pernah mempersoalkan apakah batasnya sudah tepat.</v>
      </c>
    </row>
    <row r="1663" spans="1:7">
      <c r="A1663" t="str">
        <f t="shared" si="25"/>
        <v>Customer Focus|Director|1|2</v>
      </c>
      <c r="B1663" t="str">
        <v>Customer Focus</v>
      </c>
      <c r="C1663" t="str">
        <v>Director</v>
      </c>
      <c r="D1663" s="76">
        <v>1</v>
      </c>
      <c r="E1663" t="str" cm="1">
        <f t="array" ref="E1663">INDEX(aspek!$D$2:$D$337,
   MATCH(1,(aspek!$A$2:$A$337=B1663)*
           (aspek!$B$2:$B$337=C1663)*
           (aspek!$C$2:$C$337=D1663),0))</f>
        <v>Ketinggian standar yang ditetapkan</v>
      </c>
      <c r="F1663" s="76">
        <v>2</v>
      </c>
      <c r="G1663" s="56" t="str" cm="1">
        <f t="array" ref="G1663">INDEX(deskripsi!$D$2:$H$337,
   MATCH(1,(deskripsi!$A$2:$A$337=B1663)*
           (deskripsi!$B$2:$B$337=C1663)*
           (deskripsi!$C$2:$C$337=D1663),0),
   F1663)</f>
        <v>Menaikkan standar hanya ketika diminta atasan atau ketika ada keluhan yang tidak bisa diabaikan.</v>
      </c>
    </row>
    <row r="1664" spans="1:7">
      <c r="A1664" t="str">
        <f t="shared" si="25"/>
        <v>Customer Focus|Director|1|3</v>
      </c>
      <c r="B1664" t="str">
        <v>Customer Focus</v>
      </c>
      <c r="C1664" t="str">
        <v>Director</v>
      </c>
      <c r="D1664" s="76">
        <v>1</v>
      </c>
      <c r="E1664" t="str" cm="1">
        <f t="array" ref="E1664">INDEX(aspek!$D$2:$D$337,
   MATCH(1,(aspek!$A$2:$A$337=B1664)*
           (aspek!$B$2:$B$337=C1664)*
           (aspek!$C$2:$C$337=D1664),0))</f>
        <v>Ketinggian standar yang ditetapkan</v>
      </c>
      <c r="F1664" s="76">
        <v>3</v>
      </c>
      <c r="G1664" s="56" t="str" cm="1">
        <f t="array" ref="G1664">INDEX(deskripsi!$D$2:$H$337,
   MATCH(1,(deskripsi!$A$2:$A$337=B1664)*
           (deskripsi!$B$2:$B$337=C1664)*
           (deskripsi!$C$2:$C$337=D1664),0),
   F1664)</f>
        <v>Menaikkan standar secara berkala dengan pembanding kinerja organisasi sendiri pada periode sebelumnya.</v>
      </c>
    </row>
    <row r="1665" spans="1:7">
      <c r="A1665" t="str">
        <f t="shared" si="25"/>
        <v>Customer Focus|Director|1|4</v>
      </c>
      <c r="B1665" t="str">
        <v>Customer Focus</v>
      </c>
      <c r="C1665" t="str">
        <v>Director</v>
      </c>
      <c r="D1665" s="76">
        <v>1</v>
      </c>
      <c r="E1665" t="str" cm="1">
        <f t="array" ref="E1665">INDEX(aspek!$D$2:$D$337,
   MATCH(1,(aspek!$A$2:$A$337=B1665)*
           (aspek!$B$2:$B$337=C1665)*
           (aspek!$C$2:$C$337=D1665),0))</f>
        <v>Ketinggian standar yang ditetapkan</v>
      </c>
      <c r="F1665" s="76">
        <v>4</v>
      </c>
      <c r="G1665" s="56" t="str" cm="1">
        <f t="array" ref="G1665">INDEX(deskripsi!$D$2:$H$337,
   MATCH(1,(deskripsi!$A$2:$A$337=B1665)*
           (deskripsi!$B$2:$B$337=C1665)*
           (deskripsi!$C$2:$C$337=D1665),0),
   F1665)</f>
        <v>Menetapkan standar berdasarkan pembanding di luar organisasi — pesaing atau ekspektasi pelanggan — dan mampu menjelaskan mengapa batas itu yang dipilih.</v>
      </c>
    </row>
    <row r="1666" spans="1:7">
      <c r="A1666" t="str">
        <f t="shared" si="25"/>
        <v>Customer Focus|Director|1|5</v>
      </c>
      <c r="B1666" t="str">
        <v>Customer Focus</v>
      </c>
      <c r="C1666" t="str">
        <v>Director</v>
      </c>
      <c r="D1666" s="76">
        <v>1</v>
      </c>
      <c r="E1666" t="str" cm="1">
        <f t="array" ref="E1666">INDEX(aspek!$D$2:$D$337,
   MATCH(1,(aspek!$A$2:$A$337=B1666)*
           (aspek!$B$2:$B$337=C1666)*
           (aspek!$C$2:$C$337=D1666),0))</f>
        <v>Ketinggian standar yang ditetapkan</v>
      </c>
      <c r="F1666" s="76">
        <v>5</v>
      </c>
      <c r="G1666" s="56" t="str" cm="1">
        <f t="array" ref="G1666">INDEX(deskripsi!$D$2:$H$337,
   MATCH(1,(deskripsi!$A$2:$A$337=B1666)*
           (deskripsi!$B$2:$B$337=C1666)*
           (deskripsi!$C$2:$C$337=D1666),0),
   F1666)</f>
        <v>Standar yang ia tetapkan menjadi acuan yang diikuti fungsi lain, dan mengubah anggapan organisasi tentang apa yang "sudah cukup baik".</v>
      </c>
    </row>
    <row r="1667" spans="1:7">
      <c r="A1667" t="str">
        <f t="shared" ref="A1667:A1681" si="26">B1667&amp;"|"&amp;C1667&amp;"|"&amp;D1667&amp;"|"&amp;F1667</f>
        <v>Customer Focus|Director|2|1</v>
      </c>
      <c r="B1667" t="str">
        <v>Customer Focus</v>
      </c>
      <c r="C1667" t="str">
        <v>Director</v>
      </c>
      <c r="D1667" s="76">
        <v>2</v>
      </c>
      <c r="E1667" t="str" cm="1">
        <f t="array" ref="E1667">INDEX(aspek!$D$2:$D$337,
   MATCH(1,(aspek!$A$2:$A$337=B1667)*
           (aspek!$B$2:$B$337=C1667)*
           (aspek!$C$2:$C$337=D1667),0))</f>
        <v>Standar bagi diri sendiri</v>
      </c>
      <c r="F1667" s="76">
        <v>1</v>
      </c>
      <c r="G1667" s="56" t="str" cm="1">
        <f t="array" ref="G1667">INDEX(deskripsi!$D$2:$H$337,
   MATCH(1,(deskripsi!$A$2:$A$337=B1667)*
           (deskripsi!$B$2:$B$337=C1667)*
           (deskripsi!$C$2:$C$337=D1667),0),
   F1667)</f>
        <v>Menuntut standar tinggi dari orang lain tanpa menerapkannya pada dirinya sendiri.</v>
      </c>
    </row>
    <row r="1668" spans="1:7">
      <c r="A1668" t="str">
        <f t="shared" si="26"/>
        <v>Customer Focus|Director|2|2</v>
      </c>
      <c r="B1668" t="str">
        <v>Customer Focus</v>
      </c>
      <c r="C1668" t="str">
        <v>Director</v>
      </c>
      <c r="D1668" s="76">
        <v>2</v>
      </c>
      <c r="E1668" t="str" cm="1">
        <f t="array" ref="E1668">INDEX(aspek!$D$2:$D$337,
   MATCH(1,(aspek!$A$2:$A$337=B1668)*
           (aspek!$B$2:$B$337=C1668)*
           (aspek!$C$2:$C$337=D1668),0))</f>
        <v>Standar bagi diri sendiri</v>
      </c>
      <c r="F1668" s="76">
        <v>2</v>
      </c>
      <c r="G1668" s="56" t="str" cm="1">
        <f t="array" ref="G1668">INDEX(deskripsi!$D$2:$H$337,
   MATCH(1,(deskripsi!$A$2:$A$337=B1668)*
           (deskripsi!$B$2:$B$337=C1668)*
           (deskripsi!$C$2:$C$337=D1668),0),
   F1668)</f>
        <v>Menerapkan standar yang sama dengan timnya, tidak lebih dan tidak kurang.</v>
      </c>
    </row>
    <row r="1669" spans="1:7">
      <c r="A1669" t="str">
        <f t="shared" si="26"/>
        <v>Customer Focus|Director|2|3</v>
      </c>
      <c r="B1669" t="str">
        <v>Customer Focus</v>
      </c>
      <c r="C1669" t="str">
        <v>Director</v>
      </c>
      <c r="D1669" s="76">
        <v>2</v>
      </c>
      <c r="E1669" t="str" cm="1">
        <f t="array" ref="E1669">INDEX(aspek!$D$2:$D$337,
   MATCH(1,(aspek!$A$2:$A$337=B1669)*
           (aspek!$B$2:$B$337=C1669)*
           (aspek!$C$2:$C$337=D1669),0))</f>
        <v>Standar bagi diri sendiri</v>
      </c>
      <c r="F1669" s="76">
        <v>3</v>
      </c>
      <c r="G1669" s="56" t="str" cm="1">
        <f t="array" ref="G1669">INDEX(deskripsi!$D$2:$H$337,
   MATCH(1,(deskripsi!$A$2:$A$337=B1669)*
           (deskripsi!$B$2:$B$337=C1669)*
           (deskripsi!$C$2:$C$337=D1669),0),
   F1669)</f>
        <v>Menetapkan standar pribadi yang lebih tinggi, tetapi menyimpannya untuk diri sendiri.</v>
      </c>
    </row>
    <row r="1670" spans="1:7">
      <c r="A1670" t="str">
        <f t="shared" si="26"/>
        <v>Customer Focus|Director|2|4</v>
      </c>
      <c r="B1670" t="str">
        <v>Customer Focus</v>
      </c>
      <c r="C1670" t="str">
        <v>Director</v>
      </c>
      <c r="D1670" s="76">
        <v>2</v>
      </c>
      <c r="E1670" t="str" cm="1">
        <f t="array" ref="E1670">INDEX(aspek!$D$2:$D$337,
   MATCH(1,(aspek!$A$2:$A$337=B1670)*
           (aspek!$B$2:$B$337=C1670)*
           (aspek!$C$2:$C$337=D1670),0))</f>
        <v>Standar bagi diri sendiri</v>
      </c>
      <c r="F1670" s="76">
        <v>4</v>
      </c>
      <c r="G1670" s="56" t="str" cm="1">
        <f t="array" ref="G1670">INDEX(deskripsi!$D$2:$H$337,
   MATCH(1,(deskripsi!$A$2:$A$337=B1670)*
           (deskripsi!$B$2:$B$337=C1670)*
           (deskripsi!$C$2:$C$337=D1670),0),
   F1670)</f>
        <v>Menetapkan standar pribadi yang lebih tinggi daripada tuntutan jabatannya, mengumumkannya kepada tim, dan melaporkan hasilnya apa adanya termasuk ketika tidak tercapai.</v>
      </c>
    </row>
    <row r="1671" spans="1:7">
      <c r="A1671" t="str">
        <f t="shared" si="26"/>
        <v>Customer Focus|Director|2|5</v>
      </c>
      <c r="B1671" t="str">
        <v>Customer Focus</v>
      </c>
      <c r="C1671" t="str">
        <v>Director</v>
      </c>
      <c r="D1671" s="76">
        <v>2</v>
      </c>
      <c r="E1671" t="str" cm="1">
        <f t="array" ref="E1671">INDEX(aspek!$D$2:$D$337,
   MATCH(1,(aspek!$A$2:$A$337=B1671)*
           (aspek!$B$2:$B$337=C1671)*
           (aspek!$C$2:$C$337=D1671),0))</f>
        <v>Standar bagi diri sendiri</v>
      </c>
      <c r="F1671" s="76">
        <v>5</v>
      </c>
      <c r="G1671" s="56" t="str" cm="1">
        <f t="array" ref="G1671">INDEX(deskripsi!$D$2:$H$337,
   MATCH(1,(deskripsi!$A$2:$A$337=B1671)*
           (deskripsi!$B$2:$B$337=C1671)*
           (deskripsi!$C$2:$C$337=D1671),0),
   F1671)</f>
        <v>Standar pribadinya menjadi rujukan yang ditiru orang lain tanpa ia minta.</v>
      </c>
    </row>
    <row r="1672" spans="1:7">
      <c r="A1672" t="str">
        <f t="shared" si="26"/>
        <v>Customer Focus|Director|3|1</v>
      </c>
      <c r="B1672" t="str">
        <v>Customer Focus</v>
      </c>
      <c r="C1672" t="str">
        <v>Director</v>
      </c>
      <c r="D1672" s="76">
        <v>3</v>
      </c>
      <c r="E1672" t="str" cm="1">
        <f t="array" ref="E1672">INDEX(aspek!$D$2:$D$337,
   MATCH(1,(aspek!$A$2:$A$337=B1672)*
           (aspek!$B$2:$B$337=C1672)*
           (aspek!$C$2:$C$337=D1672),0))</f>
        <v>Pelembagaan standar</v>
      </c>
      <c r="F1672" s="76">
        <v>1</v>
      </c>
      <c r="G1672" s="56" t="str" cm="1">
        <f t="array" ref="G1672">INDEX(deskripsi!$D$2:$H$337,
   MATCH(1,(deskripsi!$A$2:$A$337=B1672)*
           (deskripsi!$B$2:$B$337=C1672)*
           (deskripsi!$C$2:$C$337=D1672),0),
   F1672)</f>
        <v>Standar bergantung sepenuhnya pada pengawasannya; turun begitu perhatiannya beralih.</v>
      </c>
    </row>
    <row r="1673" spans="1:7">
      <c r="A1673" t="str">
        <f t="shared" si="26"/>
        <v>Customer Focus|Director|3|2</v>
      </c>
      <c r="B1673" t="str">
        <v>Customer Focus</v>
      </c>
      <c r="C1673" t="str">
        <v>Director</v>
      </c>
      <c r="D1673" s="76">
        <v>3</v>
      </c>
      <c r="E1673" t="str" cm="1">
        <f t="array" ref="E1673">INDEX(aspek!$D$2:$D$337,
   MATCH(1,(aspek!$A$2:$A$337=B1673)*
           (aspek!$B$2:$B$337=C1673)*
           (aspek!$C$2:$C$337=D1673),0))</f>
        <v>Pelembagaan standar</v>
      </c>
      <c r="F1673" s="76">
        <v>2</v>
      </c>
      <c r="G1673" s="56" t="str" cm="1">
        <f t="array" ref="G1673">INDEX(deskripsi!$D$2:$H$337,
   MATCH(1,(deskripsi!$A$2:$A$337=B1673)*
           (deskripsi!$B$2:$B$337=C1673)*
           (deskripsi!$C$2:$C$337=D1673),0),
   F1673)</f>
        <v>Standar dituliskan dan disosialisasikan, tetapi tidak ada yang memeriksa dan tidak ada konsekuensinya.</v>
      </c>
    </row>
    <row r="1674" spans="1:7">
      <c r="A1674" t="str">
        <f t="shared" si="26"/>
        <v>Customer Focus|Director|3|3</v>
      </c>
      <c r="B1674" t="str">
        <v>Customer Focus</v>
      </c>
      <c r="C1674" t="str">
        <v>Director</v>
      </c>
      <c r="D1674" s="76">
        <v>3</v>
      </c>
      <c r="E1674" t="str" cm="1">
        <f t="array" ref="E1674">INDEX(aspek!$D$2:$D$337,
   MATCH(1,(aspek!$A$2:$A$337=B1674)*
           (aspek!$B$2:$B$337=C1674)*
           (aspek!$C$2:$C$337=D1674),0))</f>
        <v>Pelembagaan standar</v>
      </c>
      <c r="F1674" s="76">
        <v>3</v>
      </c>
      <c r="G1674" s="56" t="str" cm="1">
        <f t="array" ref="G1674">INDEX(deskripsi!$D$2:$H$337,
   MATCH(1,(deskripsi!$A$2:$A$337=B1674)*
           (deskripsi!$B$2:$B$337=C1674)*
           (deskripsi!$C$2:$C$337=D1674),0),
   F1674)</f>
        <v>Standar masuk ke dalam prosedur dan diperiksa secara berkala, dengan peserta sebagai pemeriksanya.</v>
      </c>
    </row>
    <row r="1675" spans="1:7">
      <c r="A1675" t="str">
        <f t="shared" si="26"/>
        <v>Customer Focus|Director|3|4</v>
      </c>
      <c r="B1675" t="str">
        <v>Customer Focus</v>
      </c>
      <c r="C1675" t="str">
        <v>Director</v>
      </c>
      <c r="D1675" s="76">
        <v>3</v>
      </c>
      <c r="E1675" t="str" cm="1">
        <f t="array" ref="E1675">INDEX(aspek!$D$2:$D$337,
   MATCH(1,(aspek!$A$2:$A$337=B1675)*
           (aspek!$B$2:$B$337=C1675)*
           (aspek!$C$2:$C$337=D1675),0))</f>
        <v>Pelembagaan standar</v>
      </c>
      <c r="F1675" s="76">
        <v>4</v>
      </c>
      <c r="G1675" s="56" t="str" cm="1">
        <f t="array" ref="G1675">INDEX(deskripsi!$D$2:$H$337,
   MATCH(1,(deskripsi!$A$2:$A$337=B1675)*
           (deskripsi!$B$2:$B$337=C1675)*
           (deskripsi!$C$2:$C$337=D1675),0),
   F1675)</f>
        <v>Standar masuk ke ukuran kinerja resmi, memiliki pemilik selain dirinya, irama peninjauan, dan konsekuensi — dan terbukti berjalan pada periode ketika ia tidak terlibat.</v>
      </c>
    </row>
    <row r="1676" spans="1:7">
      <c r="A1676" t="str">
        <f t="shared" si="26"/>
        <v>Customer Focus|Director|3|5</v>
      </c>
      <c r="B1676" t="str">
        <v>Customer Focus</v>
      </c>
      <c r="C1676" t="str">
        <v>Director</v>
      </c>
      <c r="D1676" s="76">
        <v>3</v>
      </c>
      <c r="E1676" t="str" cm="1">
        <f t="array" ref="E1676">INDEX(aspek!$D$2:$D$337,
   MATCH(1,(aspek!$A$2:$A$337=B1676)*
           (aspek!$B$2:$B$337=C1676)*
           (aspek!$C$2:$C$337=D1676),0))</f>
        <v>Pelembagaan standar</v>
      </c>
      <c r="F1676" s="76">
        <v>5</v>
      </c>
      <c r="G1676" s="56" t="str" cm="1">
        <f t="array" ref="G1676">INDEX(deskripsi!$D$2:$H$337,
   MATCH(1,(deskripsi!$A$2:$A$337=B1676)*
           (deskripsi!$B$2:$B$337=C1676)*
           (deskripsi!$C$2:$C$337=D1676),0),
   F1676)</f>
        <v>Standar itu menjadi kebiasaan kerja yang dijaga sendiri oleh pelaksananya, dan bertahan setelah ia berpindah peran.</v>
      </c>
    </row>
    <row r="1677" spans="1:7">
      <c r="A1677" t="str">
        <f t="shared" si="26"/>
        <v>Customer Focus|Director|4|1</v>
      </c>
      <c r="B1677" t="str">
        <v>Customer Focus</v>
      </c>
      <c r="C1677" t="str">
        <v>Director</v>
      </c>
      <c r="D1677" s="76">
        <v>4</v>
      </c>
      <c r="E1677" t="str" cm="1">
        <f t="array" ref="E1677">INDEX(aspek!$D$2:$D$337,
   MATCH(1,(aspek!$A$2:$A$337=B1677)*
           (aspek!$B$2:$B$337=C1677)*
           (aspek!$C$2:$C$337=D1677),0))</f>
        <v>Ketahanan standar di bawah tekanan</v>
      </c>
      <c r="F1677" s="76">
        <v>1</v>
      </c>
      <c r="G1677" s="56" t="str" cm="1">
        <f t="array" ref="G1677">INDEX(deskripsi!$D$2:$H$337,
   MATCH(1,(deskripsi!$A$2:$A$337=B1677)*
           (deskripsi!$B$2:$B$337=C1677)*
           (deskripsi!$C$2:$C$337=D1677),0),
   F1677)</f>
        <v>Standar dilonggarkan setiap kali ada tenggat mepet, biaya membengkak, atau tekanan dari pelanggan besar.</v>
      </c>
    </row>
    <row r="1678" spans="1:7">
      <c r="A1678" t="str">
        <f t="shared" si="26"/>
        <v>Customer Focus|Director|4|2</v>
      </c>
      <c r="B1678" t="str">
        <v>Customer Focus</v>
      </c>
      <c r="C1678" t="str">
        <v>Director</v>
      </c>
      <c r="D1678" s="76">
        <v>4</v>
      </c>
      <c r="E1678" t="str" cm="1">
        <f t="array" ref="E1678">INDEX(aspek!$D$2:$D$337,
   MATCH(1,(aspek!$A$2:$A$337=B1678)*
           (aspek!$B$2:$B$337=C1678)*
           (aspek!$C$2:$C$337=D1678),0))</f>
        <v>Ketahanan standar di bawah tekanan</v>
      </c>
      <c r="F1678" s="76">
        <v>2</v>
      </c>
      <c r="G1678" s="56" t="str" cm="1">
        <f t="array" ref="G1678">INDEX(deskripsi!$D$2:$H$337,
   MATCH(1,(deskripsi!$A$2:$A$337=B1678)*
           (deskripsi!$B$2:$B$337=C1678)*
           (deskripsi!$C$2:$C$337=D1678),0),
   F1678)</f>
        <v>Standar dipertahankan pada perkara kecil, tetapi dikompromikan pada perkara yang berisiko besar.</v>
      </c>
    </row>
    <row r="1679" spans="1:7">
      <c r="A1679" t="str">
        <f t="shared" si="26"/>
        <v>Customer Focus|Director|4|3</v>
      </c>
      <c r="B1679" t="str">
        <v>Customer Focus</v>
      </c>
      <c r="C1679" t="str">
        <v>Director</v>
      </c>
      <c r="D1679" s="76">
        <v>4</v>
      </c>
      <c r="E1679" t="str" cm="1">
        <f t="array" ref="E1679">INDEX(aspek!$D$2:$D$337,
   MATCH(1,(aspek!$A$2:$A$337=B1679)*
           (aspek!$B$2:$B$337=C1679)*
           (aspek!$C$2:$C$337=D1679),0))</f>
        <v>Ketahanan standar di bawah tekanan</v>
      </c>
      <c r="F1679" s="76">
        <v>3</v>
      </c>
      <c r="G1679" s="56" t="str" cm="1">
        <f t="array" ref="G1679">INDEX(deskripsi!$D$2:$H$337,
   MATCH(1,(deskripsi!$A$2:$A$337=B1679)*
           (deskripsi!$B$2:$B$337=C1679)*
           (deskripsi!$C$2:$C$337=D1679),0),
   F1679)</f>
        <v>Standar dipertahankan, tetapi dengan biaya yang tidak dikelola — pekerjaan lain terbengkalai.</v>
      </c>
    </row>
    <row r="1680" spans="1:7">
      <c r="A1680" t="str">
        <f t="shared" si="26"/>
        <v>Customer Focus|Director|4|4</v>
      </c>
      <c r="B1680" t="str">
        <v>Customer Focus</v>
      </c>
      <c r="C1680" t="str">
        <v>Director</v>
      </c>
      <c r="D1680" s="76">
        <v>4</v>
      </c>
      <c r="E1680" t="str" cm="1">
        <f t="array" ref="E1680">INDEX(aspek!$D$2:$D$337,
   MATCH(1,(aspek!$A$2:$A$337=B1680)*
           (aspek!$B$2:$B$337=C1680)*
           (aspek!$C$2:$C$337=D1680),0))</f>
        <v>Ketahanan standar di bawah tekanan</v>
      </c>
      <c r="F1680" s="76">
        <v>4</v>
      </c>
      <c r="G1680" s="56" t="str" cm="1">
        <f t="array" ref="G1680">INDEX(deskripsi!$D$2:$H$337,
   MATCH(1,(deskripsi!$A$2:$A$337=B1680)*
           (deskripsi!$B$2:$B$337=C1680)*
           (deskripsi!$C$2:$C$337=D1680),0),
   F1680)</f>
        <v>Standar dipertahankan dalam situasi yang menuntut kompromi; bila memang harus diturunkan, penurunannya diputuskan terbuka bersama direksi dengan jangka waktu dan rencana pemulihan, bukan dilonggarkan diam-diam.</v>
      </c>
    </row>
    <row r="1681" spans="1:7">
      <c r="A1681" t="str">
        <f t="shared" si="26"/>
        <v>Customer Focus|Director|4|5</v>
      </c>
      <c r="B1681" t="str">
        <v>Customer Focus</v>
      </c>
      <c r="C1681" t="str">
        <v>Director</v>
      </c>
      <c r="D1681" s="76">
        <v>4</v>
      </c>
      <c r="E1681" t="str" cm="1">
        <f t="array" ref="E1681">INDEX(aspek!$D$2:$D$337,
   MATCH(1,(aspek!$A$2:$A$337=B1681)*
           (aspek!$B$2:$B$337=C1681)*
           (aspek!$C$2:$C$337=D1681),0))</f>
        <v>Ketahanan standar di bawah tekanan</v>
      </c>
      <c r="F1681" s="76">
        <v>5</v>
      </c>
      <c r="G1681" s="56" t="str" cm="1">
        <f t="array" ref="G1681">INDEX(deskripsi!$D$2:$H$337,
   MATCH(1,(deskripsi!$A$2:$A$337=B1681)*
           (deskripsi!$B$2:$B$337=C1681)*
           (deskripsi!$C$2:$C$337=D1681),0),
   F1681)</f>
        <v>Tekanan besar justru menjadi kesempatan menunjukkan standar itu dapat dipenuhi, sehingga batasnya naik permanen.</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E096-AD2E-43A7-9099-FE5690C070AC}">
  <sheetPr>
    <tabColor rgb="FFFF0000"/>
  </sheetPr>
  <dimension ref="A1:AT27"/>
  <sheetViews>
    <sheetView zoomScale="60" zoomScaleNormal="60" workbookViewId="0">
      <selection activeCell="C22" sqref="C22"/>
    </sheetView>
  </sheetViews>
  <sheetFormatPr defaultColWidth="8.85546875" defaultRowHeight="15"/>
  <cols>
    <col min="1" max="1" width="27.5703125" style="164" bestFit="1" customWidth="1"/>
    <col min="2" max="2" width="25.7109375" style="164" customWidth="1"/>
    <col min="3" max="3" width="36.28515625" style="172" customWidth="1"/>
    <col min="4" max="4" width="45.7109375" style="232" customWidth="1"/>
    <col min="5" max="8" width="45.7109375" style="172" customWidth="1"/>
    <col min="9" max="13" width="13.42578125" style="166" customWidth="1"/>
    <col min="14" max="14" width="8.85546875" style="166" customWidth="1"/>
    <col min="15" max="15" width="8.85546875" style="173"/>
    <col min="16" max="19" width="8.85546875" style="172"/>
    <col min="20" max="20" width="8.85546875" style="185"/>
    <col min="21" max="16384" width="8.85546875" style="172"/>
  </cols>
  <sheetData>
    <row r="1" spans="1:46" s="164" customFormat="1" ht="19.149999999999999" customHeight="1">
      <c r="A1" s="301" t="s">
        <v>7340</v>
      </c>
      <c r="B1" s="301"/>
      <c r="C1" s="301"/>
      <c r="D1" s="301"/>
      <c r="E1" s="301"/>
      <c r="F1" s="301"/>
      <c r="G1" s="301"/>
      <c r="H1" s="301"/>
      <c r="I1" s="301"/>
      <c r="J1" s="301"/>
      <c r="K1" s="301"/>
      <c r="L1" s="301"/>
      <c r="M1" s="301"/>
      <c r="N1" s="301"/>
      <c r="O1" s="163"/>
      <c r="P1" s="163"/>
      <c r="Q1" s="163"/>
      <c r="R1" s="163"/>
      <c r="S1" s="163"/>
      <c r="T1" s="163"/>
      <c r="U1" s="163"/>
      <c r="V1" s="163"/>
      <c r="W1" s="163"/>
      <c r="X1" s="163"/>
      <c r="Y1" s="163"/>
      <c r="Z1" s="163"/>
      <c r="AA1" s="163"/>
      <c r="AB1" s="163"/>
    </row>
    <row r="2" spans="1:46" s="164" customFormat="1">
      <c r="D2" s="231"/>
      <c r="H2" s="172"/>
    </row>
    <row r="3" spans="1:46" s="1" customFormat="1">
      <c r="A3" s="1" t="str">
        <f>Identitas!B3</f>
        <v>Nama Atasan yang menilai</v>
      </c>
      <c r="C3" s="84">
        <f>Identitas!D3</f>
        <v>0</v>
      </c>
      <c r="D3" s="2"/>
      <c r="G3" s="12"/>
      <c r="H3" s="80"/>
      <c r="I3" s="82"/>
      <c r="J3" s="82"/>
      <c r="K3" s="82"/>
      <c r="L3" s="82"/>
      <c r="M3" s="82"/>
      <c r="N3" s="82"/>
      <c r="O3" s="2"/>
      <c r="P3" s="80"/>
      <c r="Q3" s="80"/>
      <c r="R3" s="80"/>
      <c r="S3" s="80"/>
      <c r="T3" s="80"/>
      <c r="U3" s="80"/>
      <c r="V3" s="80"/>
      <c r="W3" s="2"/>
      <c r="X3" s="80"/>
      <c r="Y3" s="80"/>
      <c r="Z3" s="80"/>
      <c r="AA3" s="80"/>
      <c r="AB3" s="80"/>
      <c r="AC3" s="80"/>
      <c r="AD3" s="80"/>
      <c r="AE3" s="12"/>
      <c r="AF3" s="80"/>
      <c r="AG3" s="80"/>
      <c r="AH3" s="80"/>
      <c r="AI3" s="80"/>
      <c r="AJ3" s="80"/>
      <c r="AK3" s="80"/>
      <c r="AL3" s="80"/>
      <c r="AM3" s="12"/>
      <c r="AN3" s="80"/>
      <c r="AO3" s="80"/>
      <c r="AP3" s="80"/>
      <c r="AQ3" s="80"/>
      <c r="AR3" s="80"/>
      <c r="AS3" s="80"/>
      <c r="AT3" s="80"/>
    </row>
    <row r="4" spans="1:46" s="1" customFormat="1">
      <c r="A4" s="1" t="str">
        <f>Identitas!B4</f>
        <v>Level Saat Ini</v>
      </c>
      <c r="C4" s="84" t="str">
        <f>Identitas!D4</f>
        <v>Officer</v>
      </c>
      <c r="D4" s="2"/>
      <c r="G4" s="12"/>
      <c r="H4" s="80"/>
      <c r="I4" s="82"/>
      <c r="J4" s="82"/>
      <c r="K4" s="82"/>
      <c r="L4" s="82"/>
      <c r="M4" s="82"/>
      <c r="N4" s="82"/>
      <c r="O4" s="2"/>
      <c r="P4" s="80"/>
      <c r="Q4" s="80"/>
      <c r="R4" s="80"/>
      <c r="S4" s="80"/>
      <c r="T4" s="80"/>
      <c r="U4" s="80"/>
      <c r="V4" s="80"/>
      <c r="W4" s="2"/>
      <c r="X4" s="80"/>
      <c r="Y4" s="80"/>
      <c r="Z4" s="80"/>
      <c r="AA4" s="80"/>
      <c r="AB4" s="80"/>
      <c r="AC4" s="80"/>
      <c r="AD4" s="80"/>
      <c r="AE4" s="12"/>
      <c r="AF4" s="80"/>
      <c r="AG4" s="80"/>
      <c r="AH4" s="80"/>
      <c r="AI4" s="80"/>
      <c r="AJ4" s="80"/>
      <c r="AK4" s="80"/>
      <c r="AL4" s="80"/>
      <c r="AM4" s="12"/>
      <c r="AN4" s="80"/>
      <c r="AO4" s="80"/>
      <c r="AP4" s="80"/>
      <c r="AQ4" s="80"/>
      <c r="AR4" s="80"/>
      <c r="AS4" s="80"/>
      <c r="AT4" s="80"/>
    </row>
    <row r="5" spans="1:46" s="1" customFormat="1">
      <c r="A5" s="1" t="str">
        <f>Identitas!B5</f>
        <v>Level Tujuan</v>
      </c>
      <c r="C5" s="84" t="str">
        <f>Identitas!D5</f>
        <v>Analyst</v>
      </c>
      <c r="D5" s="2"/>
      <c r="G5" s="12"/>
      <c r="H5" s="80"/>
      <c r="I5" s="82"/>
      <c r="J5" s="82"/>
      <c r="K5" s="82"/>
      <c r="L5" s="82"/>
      <c r="M5" s="82"/>
      <c r="N5" s="82"/>
      <c r="O5" s="2"/>
      <c r="P5" s="80"/>
      <c r="Q5" s="80"/>
      <c r="R5" s="80"/>
      <c r="S5" s="80"/>
      <c r="T5" s="80"/>
      <c r="U5" s="80"/>
      <c r="V5" s="80"/>
      <c r="W5" s="2"/>
      <c r="X5" s="80"/>
      <c r="Y5" s="80"/>
      <c r="Z5" s="80"/>
      <c r="AA5" s="80"/>
      <c r="AB5" s="80"/>
      <c r="AC5" s="80"/>
      <c r="AD5" s="80"/>
      <c r="AE5" s="12"/>
      <c r="AF5" s="80"/>
      <c r="AG5" s="80"/>
      <c r="AH5" s="80"/>
      <c r="AI5" s="80"/>
      <c r="AJ5" s="80"/>
      <c r="AK5" s="80"/>
      <c r="AL5" s="80"/>
      <c r="AM5" s="12"/>
      <c r="AN5" s="80"/>
      <c r="AO5" s="80"/>
      <c r="AP5" s="80"/>
      <c r="AQ5" s="80"/>
      <c r="AR5" s="80"/>
      <c r="AS5" s="80"/>
      <c r="AT5" s="80"/>
    </row>
    <row r="6" spans="1:46" s="1" customFormat="1">
      <c r="A6" s="1" t="str">
        <f>Identitas!B8</f>
        <v>Departemen</v>
      </c>
      <c r="C6" s="84">
        <f>Identitas!D8</f>
        <v>0</v>
      </c>
      <c r="D6" s="2"/>
      <c r="G6" s="12"/>
      <c r="H6" s="80"/>
      <c r="I6" s="82"/>
      <c r="J6" s="82"/>
      <c r="K6" s="82"/>
      <c r="L6" s="82"/>
      <c r="M6" s="82"/>
      <c r="N6" s="82"/>
      <c r="O6" s="2"/>
      <c r="P6" s="80"/>
      <c r="Q6" s="80"/>
      <c r="R6" s="80"/>
      <c r="S6" s="80"/>
      <c r="T6" s="80"/>
      <c r="U6" s="80"/>
      <c r="V6" s="80"/>
      <c r="W6" s="2"/>
      <c r="X6" s="80"/>
      <c r="Y6" s="80"/>
      <c r="Z6" s="80"/>
      <c r="AA6" s="80"/>
      <c r="AB6" s="80"/>
      <c r="AC6" s="80"/>
      <c r="AD6" s="80"/>
      <c r="AE6" s="12"/>
      <c r="AF6" s="80"/>
      <c r="AG6" s="80"/>
      <c r="AH6" s="80"/>
      <c r="AI6" s="80"/>
      <c r="AJ6" s="80"/>
      <c r="AK6" s="80"/>
      <c r="AL6" s="80"/>
      <c r="AM6" s="12"/>
      <c r="AN6" s="80"/>
      <c r="AO6" s="80"/>
      <c r="AP6" s="80"/>
      <c r="AQ6" s="80"/>
      <c r="AR6" s="80"/>
      <c r="AS6" s="80"/>
      <c r="AT6" s="80"/>
    </row>
    <row r="7" spans="1:46" s="1" customFormat="1">
      <c r="A7" s="1" t="str">
        <f>Identitas!B9</f>
        <v>Divisi</v>
      </c>
      <c r="C7" s="84">
        <f>Identitas!D9</f>
        <v>0</v>
      </c>
      <c r="D7" s="2"/>
      <c r="G7" s="12"/>
      <c r="H7" s="80"/>
      <c r="I7" s="82"/>
      <c r="J7" s="82"/>
      <c r="K7" s="82"/>
      <c r="L7" s="82"/>
      <c r="M7" s="82"/>
      <c r="N7" s="82"/>
      <c r="O7" s="2"/>
      <c r="P7" s="80"/>
      <c r="Q7" s="80"/>
      <c r="R7" s="80"/>
      <c r="S7" s="80"/>
      <c r="T7" s="80"/>
      <c r="U7" s="80"/>
      <c r="V7" s="80"/>
      <c r="W7" s="2"/>
      <c r="X7" s="80"/>
      <c r="Y7" s="80"/>
      <c r="Z7" s="80"/>
      <c r="AA7" s="80"/>
      <c r="AB7" s="80"/>
      <c r="AC7" s="80"/>
      <c r="AD7" s="80"/>
      <c r="AE7" s="12"/>
      <c r="AF7" s="80"/>
      <c r="AG7" s="80"/>
      <c r="AH7" s="80"/>
      <c r="AI7" s="80"/>
      <c r="AJ7" s="80"/>
      <c r="AK7" s="80"/>
      <c r="AL7" s="80"/>
      <c r="AM7" s="12"/>
      <c r="AN7" s="80"/>
      <c r="AO7" s="80"/>
      <c r="AP7" s="80"/>
      <c r="AQ7" s="80"/>
      <c r="AR7" s="80"/>
      <c r="AS7" s="80"/>
      <c r="AT7" s="80"/>
    </row>
    <row r="8" spans="1:46" s="1" customFormat="1">
      <c r="A8" s="1" t="str">
        <f>Identitas!B10</f>
        <v>Direktorat</v>
      </c>
      <c r="C8" s="84">
        <f>Identitas!D10</f>
        <v>0</v>
      </c>
      <c r="D8" s="2"/>
      <c r="G8" s="12"/>
      <c r="H8" s="80"/>
      <c r="I8" s="82"/>
      <c r="J8" s="82"/>
      <c r="K8" s="82"/>
      <c r="L8" s="82"/>
      <c r="M8" s="82"/>
      <c r="N8" s="82"/>
      <c r="O8" s="2"/>
      <c r="P8" s="80"/>
      <c r="Q8" s="80"/>
      <c r="R8" s="80"/>
      <c r="S8" s="80"/>
      <c r="T8" s="80"/>
      <c r="U8" s="80"/>
      <c r="V8" s="80"/>
      <c r="W8" s="2"/>
      <c r="X8" s="80"/>
      <c r="Y8" s="80"/>
      <c r="Z8" s="80"/>
      <c r="AA8" s="80"/>
      <c r="AB8" s="80"/>
      <c r="AC8" s="80"/>
      <c r="AD8" s="80"/>
      <c r="AE8" s="12"/>
      <c r="AF8" s="80"/>
      <c r="AG8" s="80"/>
      <c r="AH8" s="80"/>
      <c r="AI8" s="80"/>
      <c r="AJ8" s="80"/>
      <c r="AK8" s="80"/>
      <c r="AL8" s="80"/>
      <c r="AM8" s="12"/>
      <c r="AN8" s="80"/>
      <c r="AO8" s="80"/>
      <c r="AP8" s="80"/>
      <c r="AQ8" s="80"/>
      <c r="AR8" s="80"/>
      <c r="AS8" s="80"/>
      <c r="AT8" s="80"/>
    </row>
    <row r="9" spans="1:46" s="1" customFormat="1">
      <c r="C9" s="84"/>
      <c r="D9" s="2"/>
      <c r="G9" s="12"/>
      <c r="H9" s="80"/>
      <c r="I9" s="82"/>
      <c r="J9" s="82"/>
      <c r="K9" s="82"/>
      <c r="L9" s="82"/>
      <c r="M9" s="82"/>
      <c r="N9" s="82"/>
      <c r="O9" s="2"/>
      <c r="P9" s="80"/>
      <c r="Q9" s="80"/>
      <c r="R9" s="80"/>
      <c r="S9" s="80"/>
      <c r="T9" s="80"/>
      <c r="U9" s="80"/>
      <c r="V9" s="80"/>
      <c r="W9" s="2"/>
      <c r="X9" s="80"/>
      <c r="Y9" s="80"/>
      <c r="Z9" s="80"/>
      <c r="AA9" s="80"/>
      <c r="AB9" s="80"/>
      <c r="AC9" s="80"/>
      <c r="AD9" s="80"/>
      <c r="AE9" s="12"/>
      <c r="AF9" s="80"/>
      <c r="AG9" s="80"/>
      <c r="AH9" s="80"/>
      <c r="AI9" s="80"/>
      <c r="AJ9" s="80"/>
      <c r="AK9" s="80"/>
      <c r="AL9" s="80"/>
      <c r="AM9" s="12"/>
      <c r="AN9" s="80"/>
      <c r="AO9" s="80"/>
      <c r="AP9" s="80"/>
      <c r="AQ9" s="80"/>
      <c r="AR9" s="80"/>
      <c r="AS9" s="80"/>
      <c r="AT9" s="80"/>
    </row>
    <row r="10" spans="1:46" s="1" customFormat="1">
      <c r="A10" s="1" t="s">
        <v>5443</v>
      </c>
      <c r="C10" s="84"/>
      <c r="D10" s="2"/>
      <c r="G10" s="12"/>
      <c r="H10" s="80"/>
      <c r="I10" s="82"/>
      <c r="J10" s="82"/>
      <c r="K10" s="82"/>
      <c r="L10" s="82"/>
      <c r="M10" s="82"/>
      <c r="N10" s="82"/>
      <c r="O10" s="2"/>
      <c r="P10" s="80"/>
      <c r="Q10" s="80"/>
      <c r="R10" s="80"/>
      <c r="S10" s="80"/>
      <c r="T10" s="80"/>
      <c r="U10" s="80"/>
      <c r="V10" s="80"/>
      <c r="W10" s="2"/>
      <c r="X10" s="80"/>
      <c r="Y10" s="80"/>
      <c r="Z10" s="80"/>
      <c r="AA10" s="80"/>
      <c r="AB10" s="80"/>
      <c r="AC10" s="80"/>
      <c r="AD10" s="80"/>
      <c r="AE10" s="12"/>
      <c r="AF10" s="80"/>
      <c r="AG10" s="80"/>
      <c r="AH10" s="80"/>
      <c r="AI10" s="80"/>
      <c r="AJ10" s="80"/>
      <c r="AK10" s="80"/>
      <c r="AL10" s="80"/>
      <c r="AM10" s="12"/>
      <c r="AN10" s="80"/>
      <c r="AO10" s="80"/>
      <c r="AP10" s="80"/>
      <c r="AQ10" s="80"/>
      <c r="AR10" s="80"/>
      <c r="AS10" s="80"/>
      <c r="AT10" s="80"/>
    </row>
    <row r="11" spans="1:46" s="1" customFormat="1">
      <c r="A11" s="1" t="s">
        <v>5444</v>
      </c>
      <c r="C11" s="84"/>
      <c r="D11" s="2"/>
      <c r="G11" s="12"/>
      <c r="H11" s="80"/>
      <c r="I11" s="82"/>
      <c r="J11" s="82"/>
      <c r="K11" s="82"/>
      <c r="L11" s="82"/>
      <c r="M11" s="82"/>
      <c r="N11" s="82"/>
      <c r="O11" s="2"/>
      <c r="P11" s="80"/>
      <c r="Q11" s="80"/>
      <c r="R11" s="80"/>
      <c r="S11" s="80"/>
      <c r="T11" s="80"/>
      <c r="U11" s="80"/>
      <c r="V11" s="80"/>
      <c r="W11" s="2"/>
      <c r="X11" s="80"/>
      <c r="Y11" s="80"/>
      <c r="Z11" s="80"/>
      <c r="AA11" s="80"/>
      <c r="AB11" s="80"/>
      <c r="AC11" s="80"/>
      <c r="AD11" s="80"/>
      <c r="AE11" s="12"/>
      <c r="AF11" s="80"/>
      <c r="AG11" s="80"/>
      <c r="AH11" s="80"/>
      <c r="AI11" s="80"/>
      <c r="AJ11" s="80"/>
      <c r="AK11" s="80"/>
      <c r="AL11" s="80"/>
      <c r="AM11" s="12"/>
      <c r="AN11" s="80"/>
      <c r="AO11" s="80"/>
      <c r="AP11" s="80"/>
      <c r="AQ11" s="80"/>
      <c r="AR11" s="80"/>
      <c r="AS11" s="80"/>
      <c r="AT11" s="80"/>
    </row>
    <row r="12" spans="1:46" s="164" customFormat="1">
      <c r="A12" s="167"/>
      <c r="B12" s="167"/>
      <c r="C12" s="165"/>
      <c r="D12" s="231"/>
      <c r="H12" s="172"/>
    </row>
    <row r="13" spans="1:46" s="164" customFormat="1">
      <c r="A13" s="167"/>
      <c r="B13" s="167"/>
      <c r="C13" s="165"/>
      <c r="D13" s="231"/>
      <c r="H13" s="172"/>
    </row>
    <row r="15" spans="1:46" s="173" customFormat="1" ht="30">
      <c r="A15" s="233" t="s">
        <v>14</v>
      </c>
      <c r="B15" s="233" t="s">
        <v>538</v>
      </c>
      <c r="C15" s="240" t="s">
        <v>7341</v>
      </c>
      <c r="D15" s="241" t="s">
        <v>7342</v>
      </c>
      <c r="E15" s="241" t="s">
        <v>7343</v>
      </c>
      <c r="F15" s="241" t="s">
        <v>7344</v>
      </c>
      <c r="G15" s="241" t="s">
        <v>7345</v>
      </c>
      <c r="H15" s="241" t="s">
        <v>7346</v>
      </c>
      <c r="I15" s="241" t="s">
        <v>7347</v>
      </c>
      <c r="J15" s="241" t="s">
        <v>7348</v>
      </c>
      <c r="K15" s="241" t="s">
        <v>7349</v>
      </c>
      <c r="L15" s="241" t="s">
        <v>7350</v>
      </c>
      <c r="M15" s="241" t="s">
        <v>7351</v>
      </c>
      <c r="N15" s="241" t="s">
        <v>26</v>
      </c>
      <c r="T15" s="242"/>
    </row>
    <row r="16" spans="1:46" s="173" customFormat="1" ht="30">
      <c r="A16" s="195">
        <v>1</v>
      </c>
      <c r="B16" s="195" t="str" cm="1">
        <f t="array" ref="B16:H27">_xlfn.LET(
   _xlpm.komp,_xlfn.ANCHORARRAY(calc!AP2),
   _xlpm.jab,Identitas!$D$5,
   _xlpm.nKomp,ROWS(_xlpm.komp),
   _xlfn.MAKEARRAY(_xlpm.nKomp*4,7,_xlfn.LAMBDA(_xlpm.r,_xlpm.c,
      _xlfn.LET(
         _xlpm.ki,INT((_xlpm.r-1)/4)+1,
         _xlpm.ak,MOD(_xlpm.r-1,4)+1,
         _xlpm.k,INDEX(_xlpm.komp,_xlpm.ki),
         IF(_xlpm.c=1, _xlpm.k,
         IF(_xlpm.c=2,
            IFERROR(INDEX(aspek!$D$2:$D$337,
               MATCH(1,(aspek!$A$2:$A$337=_xlpm.k)*
                       (aspek!$B$2:$B$337=_xlpm.jab)*
                       (aspek!$C$2:$C$337=_xlpm.ak),0)),""),
            IFERROR(INDEX('kamus perilaku'!$G$2:$G$1681,
               MATCH(1,('kamus perilaku'!$B$2:$B$1681=_xlpm.k)*
                       ('kamus perilaku'!$C$2:$C$1681=_xlpm.jab)*
                       ('kamus perilaku'!$D$2:$D$1681=_xlpm.ak)*
                       ('kamus perilaku'!$F$2:$F$1681=_xlpm.c-2),0)),"")
         ))
      )
   ))
)</f>
        <v>Achievement Drive</v>
      </c>
      <c r="C16" s="243" t="str">
        <v>Daya tahan komitmen sepanjang waktu</v>
      </c>
      <c r="D16" s="243" t="str">
        <v>Menyerah setelah hambatan pertama yang berarti.</v>
      </c>
      <c r="E16" s="243" t="str">
        <v>Bertahan sebentar, lalu melambat dan akhirnya berhenti.</v>
      </c>
      <c r="F16" s="243" t="str">
        <v>Bertahan dengan dukungan rutin dari atasan atau mentor.</v>
      </c>
      <c r="G16" s="243" t="str">
        <v>Bertahan mandiri melewati hambatan berulang dalam rentang waktu berbulan-bulan.</v>
      </c>
      <c r="H16" s="243" t="str">
        <v>Ketekunannya menular kepada rekan yang hampir menyerah.</v>
      </c>
      <c r="I16" s="195">
        <f ca="1">RANDBETWEEN(1,5)</f>
        <v>2</v>
      </c>
      <c r="J16" s="195">
        <f t="shared" ref="J16:L16" ca="1" si="0">RANDBETWEEN(1,5)</f>
        <v>2</v>
      </c>
      <c r="K16" s="195">
        <f t="shared" ca="1" si="0"/>
        <v>2</v>
      </c>
      <c r="L16" s="195">
        <f t="shared" ca="1" si="0"/>
        <v>1</v>
      </c>
      <c r="M16" s="195">
        <f ca="1">AVERAGE(I16:L16)</f>
        <v>1.75</v>
      </c>
      <c r="N16" s="195">
        <f ca="1">M16-4</f>
        <v>-2.25</v>
      </c>
      <c r="T16" s="242"/>
    </row>
    <row r="17" spans="1:20" s="173" customFormat="1" ht="30">
      <c r="A17" s="195">
        <v>2</v>
      </c>
      <c r="B17" s="195" t="str">
        <v>Achievement Drive</v>
      </c>
      <c r="C17" s="243" t="str">
        <v xml:space="preserve">Kemandirian mempertahankan usaha </v>
      </c>
      <c r="D17" s="243" t="str">
        <v>Berhenti tanpa mencoba cara lain ketika hambatan muncul.</v>
      </c>
      <c r="E17" s="243" t="str">
        <v>Melanjutkan hanya setelah didorong berulang oleh atasan.</v>
      </c>
      <c r="F17" s="243" t="str">
        <v>Melanjutkan dengan sesekali butuh dorongan.</v>
      </c>
      <c r="G17" s="243" t="str">
        <v>Melanjutkan usaha atas kemauan sendiri, mencari cara baru tanpa harus terus didorong.</v>
      </c>
      <c r="H17" s="243" t="str">
        <v>Menjadi sumber dorongan bagi rekan lain yang hampir menyerah.</v>
      </c>
      <c r="I17" s="195">
        <f t="shared" ref="I17:L27" ca="1" si="1">RANDBETWEEN(1,5)</f>
        <v>2</v>
      </c>
      <c r="J17" s="195">
        <f t="shared" ca="1" si="1"/>
        <v>2</v>
      </c>
      <c r="K17" s="195">
        <f t="shared" ca="1" si="1"/>
        <v>1</v>
      </c>
      <c r="L17" s="195">
        <f t="shared" ca="1" si="1"/>
        <v>1</v>
      </c>
      <c r="M17" s="195">
        <f t="shared" ref="M17:M27" ca="1" si="2">AVERAGE(I17:L17)</f>
        <v>1.5</v>
      </c>
      <c r="N17" s="195">
        <f t="shared" ref="N17:N27" ca="1" si="3">M17-4</f>
        <v>-2.5</v>
      </c>
      <c r="T17" s="242"/>
    </row>
    <row r="18" spans="1:20" s="173" customFormat="1" ht="45">
      <c r="A18" s="195">
        <v>3</v>
      </c>
      <c r="B18" s="195" t="str">
        <v>Achievement Drive</v>
      </c>
      <c r="C18" s="243" t="str">
        <v>Ketekunan yang sehat, bukan keras kepala</v>
      </c>
      <c r="D18" s="243" t="str">
        <v>Mengulang cara yang sama meski terus gagal, tanpa mengevaluasi.</v>
      </c>
      <c r="E18" s="243" t="str">
        <v>Menyadari cara tidak berhasil, tetapi tetap mengulanginya.</v>
      </c>
      <c r="F18" s="243" t="str">
        <v>Mengubah taktik setelah gagal berulang kali.</v>
      </c>
      <c r="G18" s="243" t="str">
        <v>Membedakan kegagalan taktik dari kegagalan tujuan — mengubah cara secepat mungkin, tetap berkomitmen pada tujuan.</v>
      </c>
      <c r="H18" s="243" t="str">
        <v>Perubahan taktiknya menjadi contoh cara bertahan yang bijak, bukan sekadar ngotot.</v>
      </c>
      <c r="I18" s="195">
        <f t="shared" ca="1" si="1"/>
        <v>5</v>
      </c>
      <c r="J18" s="195">
        <f t="shared" ca="1" si="1"/>
        <v>1</v>
      </c>
      <c r="K18" s="195">
        <f t="shared" ca="1" si="1"/>
        <v>4</v>
      </c>
      <c r="L18" s="195">
        <f t="shared" ca="1" si="1"/>
        <v>2</v>
      </c>
      <c r="M18" s="195">
        <f t="shared" ca="1" si="2"/>
        <v>3</v>
      </c>
      <c r="N18" s="195">
        <f t="shared" ca="1" si="3"/>
        <v>-1</v>
      </c>
      <c r="T18" s="242"/>
    </row>
    <row r="19" spans="1:20" s="173" customFormat="1" ht="30">
      <c r="A19" s="195">
        <v>4</v>
      </c>
      <c r="B19" s="195" t="str">
        <v>Achievement Drive</v>
      </c>
      <c r="C19" s="243" t="str">
        <v>Bangkit dari kegagalan signifikan</v>
      </c>
      <c r="D19" s="243" t="str">
        <v>Berhenti total setelah kegagalan besar.</v>
      </c>
      <c r="E19" s="243" t="str">
        <v>Butuh waktu lama dan dorongan kuat untuk melanjutkan setelah gagal besar.</v>
      </c>
      <c r="F19" s="243" t="str">
        <v>Melanjutkan setelah kegagalan besar dengan dukungan.</v>
      </c>
      <c r="G19" s="243" t="str">
        <v>Memutuskan sendiri untuk melanjutkan setelah kegagalan signifikan, menyusun cara baru.</v>
      </c>
      <c r="H19" s="243" t="str">
        <v>Kegagalan besar justru menjadi titik balik yang memperkuat pencapaian berikutnya.</v>
      </c>
      <c r="I19" s="195">
        <f t="shared" ca="1" si="1"/>
        <v>1</v>
      </c>
      <c r="J19" s="195">
        <f t="shared" ca="1" si="1"/>
        <v>4</v>
      </c>
      <c r="K19" s="195">
        <f t="shared" ca="1" si="1"/>
        <v>2</v>
      </c>
      <c r="L19" s="195">
        <f t="shared" ca="1" si="1"/>
        <v>1</v>
      </c>
      <c r="M19" s="195">
        <f t="shared" ca="1" si="2"/>
        <v>2</v>
      </c>
      <c r="N19" s="195">
        <f t="shared" ca="1" si="3"/>
        <v>-2</v>
      </c>
      <c r="T19" s="242"/>
    </row>
    <row r="20" spans="1:20" s="173" customFormat="1" ht="30">
      <c r="A20" s="195">
        <v>5</v>
      </c>
      <c r="B20" s="195" t="str">
        <v>Leadership</v>
      </c>
      <c r="C20" s="243" t="str">
        <v>Dasar pengurutan pekerjaan tim</v>
      </c>
      <c r="D20" s="243" t="str">
        <v>Mengurutkan berdasarkan yang datang lebih dulu.</v>
      </c>
      <c r="E20" s="243" t="str">
        <v>Mengurutkan berdasarkan kemudahan.</v>
      </c>
      <c r="F20" s="243" t="str">
        <v>Mengurutkan berdasarkan tenggat dan tingkat kepentingan.</v>
      </c>
      <c r="G20" s="243" t="str">
        <v>Mengurutkan dengan mempertimbangkan keterkaitan antar tugas dan ketergantungan.</v>
      </c>
      <c r="H20" s="243" t="str">
        <v>Mengurutkan berdasarkan dampak terhadap tujuan besar, ditinjau ulang saat berubah.</v>
      </c>
      <c r="I20" s="195">
        <f t="shared" ca="1" si="1"/>
        <v>5</v>
      </c>
      <c r="J20" s="195">
        <f t="shared" ca="1" si="1"/>
        <v>1</v>
      </c>
      <c r="K20" s="195">
        <f t="shared" ca="1" si="1"/>
        <v>2</v>
      </c>
      <c r="L20" s="195">
        <f t="shared" ca="1" si="1"/>
        <v>2</v>
      </c>
      <c r="M20" s="195">
        <f t="shared" ca="1" si="2"/>
        <v>2.5</v>
      </c>
      <c r="N20" s="195">
        <f t="shared" ca="1" si="3"/>
        <v>-1.5</v>
      </c>
      <c r="T20" s="242"/>
    </row>
    <row r="21" spans="1:20" s="173" customFormat="1" ht="30">
      <c r="A21" s="195">
        <v>6</v>
      </c>
      <c r="B21" s="195" t="str">
        <v>Leadership</v>
      </c>
      <c r="C21" s="243" t="str">
        <v>Komunikasi prioritas kepada tim</v>
      </c>
      <c r="D21" s="243" t="str">
        <v>Tim tidak tahu dasar urutan prioritas.</v>
      </c>
      <c r="E21" s="243" t="str">
        <v>Prioritas disampaikan tanpa alasan.</v>
      </c>
      <c r="F21" s="243" t="str">
        <v>Alasan disampaikan pada permintaan penting.</v>
      </c>
      <c r="G21" s="243" t="str">
        <v>Alasan prioritas dikomunikasikan jelas pada hampir seluruh keputusan, tim tidak perlu terus bertanya.</v>
      </c>
      <c r="H21" s="243" t="str">
        <v>Cara komunikasinya menjadi model bagi pemimpin lain.</v>
      </c>
      <c r="I21" s="195">
        <f t="shared" ca="1" si="1"/>
        <v>4</v>
      </c>
      <c r="J21" s="195">
        <f t="shared" ca="1" si="1"/>
        <v>1</v>
      </c>
      <c r="K21" s="195">
        <f t="shared" ca="1" si="1"/>
        <v>5</v>
      </c>
      <c r="L21" s="195">
        <f t="shared" ca="1" si="1"/>
        <v>4</v>
      </c>
      <c r="M21" s="195">
        <f t="shared" ca="1" si="2"/>
        <v>3.5</v>
      </c>
      <c r="N21" s="195">
        <f t="shared" ca="1" si="3"/>
        <v>-0.5</v>
      </c>
      <c r="T21" s="242"/>
    </row>
    <row r="22" spans="1:20" s="173" customFormat="1" ht="30">
      <c r="A22" s="195">
        <v>7</v>
      </c>
      <c r="B22" s="195" t="str">
        <v>Leadership</v>
      </c>
      <c r="C22" s="243" t="str">
        <v>Kesediaan meninjau ulang</v>
      </c>
      <c r="D22" s="243" t="str">
        <v>Bertahan pada urutan lama meski situasi berubah.</v>
      </c>
      <c r="E22" s="243" t="str">
        <v>Meninjau ulang hanya ketika diperintahkan.</v>
      </c>
      <c r="F22" s="243" t="str">
        <v>Meninjau ulang pada perubahan yang jelas.</v>
      </c>
      <c r="G22" s="243" t="str">
        <v>Meninjau ulang secara proaktif dan mengkomunikasikannya kepada tim.</v>
      </c>
      <c r="H22" s="243" t="str">
        <v>Peninjauan ulangnya menjadi kebiasaan yang membuat tim tetap adaptif.</v>
      </c>
      <c r="I22" s="195">
        <f t="shared" ca="1" si="1"/>
        <v>3</v>
      </c>
      <c r="J22" s="195">
        <f t="shared" ca="1" si="1"/>
        <v>1</v>
      </c>
      <c r="K22" s="195">
        <f t="shared" ca="1" si="1"/>
        <v>4</v>
      </c>
      <c r="L22" s="195">
        <f t="shared" ca="1" si="1"/>
        <v>2</v>
      </c>
      <c r="M22" s="195">
        <f t="shared" ca="1" si="2"/>
        <v>2.5</v>
      </c>
      <c r="N22" s="195">
        <f t="shared" ca="1" si="3"/>
        <v>-1.5</v>
      </c>
      <c r="T22" s="242"/>
    </row>
    <row r="23" spans="1:20" s="173" customFormat="1" ht="30">
      <c r="A23" s="195">
        <v>8</v>
      </c>
      <c r="B23" s="195" t="str">
        <v>Leadership</v>
      </c>
      <c r="C23" s="243" t="str">
        <v>Mengurangi pengambilalihan tugas</v>
      </c>
      <c r="D23" s="243" t="str">
        <v>Sering mengambil alih tugas tim karena prioritas tidak jelas.</v>
      </c>
      <c r="E23" s="243" t="str">
        <v>Mengambil alih pada sebagian tugas penting.</v>
      </c>
      <c r="F23" s="243" t="str">
        <v>Mengambil alih hanya pada situasi mendesak.</v>
      </c>
      <c r="G23" s="243" t="str">
        <v>Jarang mengambil alih karena prioritas sudah dipahami jelas oleh tim.</v>
      </c>
      <c r="H23" s="243" t="str">
        <v>Tim mampu menentukan urutan sendiri berdasarkan prinsip yang sudah diajarkan.</v>
      </c>
      <c r="I23" s="195">
        <f t="shared" ca="1" si="1"/>
        <v>3</v>
      </c>
      <c r="J23" s="195">
        <f t="shared" ca="1" si="1"/>
        <v>4</v>
      </c>
      <c r="K23" s="195">
        <f t="shared" ca="1" si="1"/>
        <v>3</v>
      </c>
      <c r="L23" s="195">
        <f t="shared" ca="1" si="1"/>
        <v>3</v>
      </c>
      <c r="M23" s="195">
        <f t="shared" ca="1" si="2"/>
        <v>3.25</v>
      </c>
      <c r="N23" s="195">
        <f t="shared" ca="1" si="3"/>
        <v>-0.75</v>
      </c>
      <c r="T23" s="242"/>
    </row>
    <row r="24" spans="1:20" s="173" customFormat="1" ht="45">
      <c r="A24" s="195">
        <v>9</v>
      </c>
      <c r="B24" s="195" t="str">
        <v>Analytical Thinking</v>
      </c>
      <c r="C24" s="243" t="str">
        <v>Kedalaman pertanyaan</v>
      </c>
      <c r="D24" s="243" t="str">
        <v>Menerima informasi dan arahan apa adanya; tidak mengajukan pertanyaan.</v>
      </c>
      <c r="E24" s="243" t="str">
        <v>Bertanya untuk memastikan fakta — apa, kapan, berapa — tetapi tidak lebih jauh.</v>
      </c>
      <c r="F24" s="243" t="str">
        <v>Bertanya untuk memahami alasan di balik sebuah angka, arahan, atau keputusan.</v>
      </c>
      <c r="G24" s="243" t="str">
        <v>Menguji asumsi yang mendasari informasi dan mencari sumber pembanding sebelum menyimpulkan.</v>
      </c>
      <c r="H24" s="243" t="str">
        <v>Mampu merangkai kerangka berpikir sendiri ketika informasi dari berbagai sumber saling bertentangan.</v>
      </c>
      <c r="I24" s="195">
        <f t="shared" ca="1" si="1"/>
        <v>3</v>
      </c>
      <c r="J24" s="195">
        <f t="shared" ca="1" si="1"/>
        <v>5</v>
      </c>
      <c r="K24" s="195">
        <f t="shared" ca="1" si="1"/>
        <v>4</v>
      </c>
      <c r="L24" s="195">
        <f t="shared" ca="1" si="1"/>
        <v>4</v>
      </c>
      <c r="M24" s="195">
        <f t="shared" ca="1" si="2"/>
        <v>4</v>
      </c>
      <c r="N24" s="195">
        <f t="shared" ca="1" si="3"/>
        <v>0</v>
      </c>
      <c r="T24" s="242"/>
    </row>
    <row r="25" spans="1:20" s="173" customFormat="1" ht="45">
      <c r="A25" s="195">
        <v>10</v>
      </c>
      <c r="B25" s="195" t="str">
        <v>Analytical Thinking</v>
      </c>
      <c r="C25" s="243" t="str">
        <v>Keberanian menguji</v>
      </c>
      <c r="D25" s="243" t="str">
        <v>Tidak mempertanyakan apa pun, terutama dari pihak yang lebih senior.</v>
      </c>
      <c r="E25" s="243" t="str">
        <v>Mempertanyakan hanya kepada rekan setingkat atau di belakang, bukan kepada orangnya.</v>
      </c>
      <c r="F25" s="243" t="str">
        <v>Mempertanyakan secara terbuka pada hal-hal yang jelas keliru.</v>
      </c>
      <c r="G25" s="243" t="str">
        <v>Mempertanyakan arahan dan usulan pihak yang lebih senior secara pantas, sebelum keputusan berjalan.</v>
      </c>
      <c r="H25" s="243" t="str">
        <v>Dicari orang lain untuk memeriksa sebuah usulan justru karena pertanyaannya tajam dan tidak menyerang.</v>
      </c>
      <c r="I25" s="195">
        <f t="shared" ca="1" si="1"/>
        <v>3</v>
      </c>
      <c r="J25" s="195">
        <f t="shared" ca="1" si="1"/>
        <v>4</v>
      </c>
      <c r="K25" s="195">
        <f t="shared" ca="1" si="1"/>
        <v>1</v>
      </c>
      <c r="L25" s="195">
        <f t="shared" ca="1" si="1"/>
        <v>3</v>
      </c>
      <c r="M25" s="195">
        <f t="shared" ca="1" si="2"/>
        <v>2.75</v>
      </c>
      <c r="N25" s="195">
        <f t="shared" ca="1" si="3"/>
        <v>-1.25</v>
      </c>
      <c r="T25" s="242"/>
    </row>
    <row r="26" spans="1:20" s="173" customFormat="1" ht="60">
      <c r="A26" s="195">
        <v>11</v>
      </c>
      <c r="B26" s="195" t="str">
        <v>Analytical Thinking</v>
      </c>
      <c r="C26" s="243" t="str">
        <v>Pencarian pembanding</v>
      </c>
      <c r="D26" s="243" t="str">
        <v>Memakai satu sumber saja, biasanya yang paling mudah dijangkau.</v>
      </c>
      <c r="E26" s="243" t="str">
        <v>Memakai beberapa sumber, tetapi seluruhnya berasal dari lingkaran yang sama.</v>
      </c>
      <c r="F26" s="243" t="str">
        <v>Membandingkan beberapa sumber yang berbeda sebelum menyimpulkan.</v>
      </c>
      <c r="G26" s="243" t="str">
        <v>Sengaja mencari sumber yang BERPOTENSI MEMBANTAH kesimpulannya sendiri, dan mengubah kesimpulan ketika pembanding itu lebih kuat.</v>
      </c>
      <c r="H26" s="243" t="str">
        <v>Menemukan sumber pembanding yang sebelumnya tidak terpikir dipakai di unitnya.</v>
      </c>
      <c r="I26" s="195">
        <f t="shared" ca="1" si="1"/>
        <v>2</v>
      </c>
      <c r="J26" s="195">
        <f t="shared" ca="1" si="1"/>
        <v>2</v>
      </c>
      <c r="K26" s="195">
        <f t="shared" ca="1" si="1"/>
        <v>2</v>
      </c>
      <c r="L26" s="195">
        <f t="shared" ca="1" si="1"/>
        <v>5</v>
      </c>
      <c r="M26" s="195">
        <f t="shared" ca="1" si="2"/>
        <v>2.75</v>
      </c>
      <c r="N26" s="195">
        <f t="shared" ca="1" si="3"/>
        <v>-1.25</v>
      </c>
      <c r="T26" s="242"/>
    </row>
    <row r="27" spans="1:20" s="173" customFormat="1" ht="45">
      <c r="A27" s="195">
        <v>12</v>
      </c>
      <c r="B27" s="195" t="str">
        <v>Analytical Thinking</v>
      </c>
      <c r="C27" s="243" t="str">
        <v>Keingintahuan yang berkelanjutan</v>
      </c>
      <c r="D27" s="243" t="str">
        <v>Bertanya hanya ketika diminta atau ketika terpaksa.</v>
      </c>
      <c r="E27" s="243" t="str">
        <v>Bertanya pada hal yang berkaitan langsung dengan tugasnya saja.</v>
      </c>
      <c r="F27" s="243" t="str">
        <v>Menunjukkan minat pada alasan di balik pekerjaan, meski tidak selalu menindaklanjutinya.</v>
      </c>
      <c r="G27" s="243" t="str">
        <v>Secara rutin memeriksa hal yang sudah dianggap benar di unitnya, tanpa diminta, dan menindaklanjuti temuannya.</v>
      </c>
      <c r="H27" s="243" t="str">
        <v>Kebiasaannya memeriksa menular — rekan mulai ikut mempertanyakan hal yang selama ini diterima begitu saja.</v>
      </c>
      <c r="I27" s="195">
        <f t="shared" ca="1" si="1"/>
        <v>2</v>
      </c>
      <c r="J27" s="195">
        <f t="shared" ca="1" si="1"/>
        <v>2</v>
      </c>
      <c r="K27" s="195">
        <f t="shared" ca="1" si="1"/>
        <v>5</v>
      </c>
      <c r="L27" s="195">
        <f t="shared" ca="1" si="1"/>
        <v>3</v>
      </c>
      <c r="M27" s="195">
        <f t="shared" ca="1" si="2"/>
        <v>3</v>
      </c>
      <c r="N27" s="195">
        <f t="shared" ca="1" si="3"/>
        <v>-1</v>
      </c>
      <c r="T27" s="242"/>
    </row>
  </sheetData>
  <mergeCells count="1">
    <mergeCell ref="A1:N1"/>
  </mergeCells>
  <phoneticPr fontId="5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AAF9-06D0-4E8A-A8ED-3DAEFB182654}">
  <sheetPr>
    <tabColor rgb="FFFFC000"/>
  </sheetPr>
  <dimension ref="A1:AV21"/>
  <sheetViews>
    <sheetView showGridLines="0" zoomScale="70" zoomScaleNormal="70" workbookViewId="0">
      <selection activeCell="E30" sqref="E30"/>
    </sheetView>
  </sheetViews>
  <sheetFormatPr defaultColWidth="8.85546875" defaultRowHeight="15"/>
  <cols>
    <col min="1" max="1" width="23.140625" style="164" customWidth="1"/>
    <col min="2" max="2" width="33.28515625" style="164" customWidth="1"/>
    <col min="3" max="3" width="34.140625" style="164" customWidth="1"/>
    <col min="4" max="7" width="45.28515625" style="164" customWidth="1"/>
    <col min="8" max="8" width="45.28515625" style="166" customWidth="1"/>
    <col min="9" max="13" width="15.5703125" style="166" customWidth="1"/>
    <col min="14" max="14" width="18.28515625" style="164" bestFit="1" customWidth="1"/>
    <col min="15" max="15" width="15" style="164" customWidth="1"/>
    <col min="16" max="16" width="36.85546875" style="164" customWidth="1"/>
    <col min="17" max="16384" width="8.85546875" style="164"/>
  </cols>
  <sheetData>
    <row r="1" spans="1:48" ht="19.149999999999999" customHeight="1">
      <c r="A1" s="301" t="s">
        <v>7340</v>
      </c>
      <c r="B1" s="301"/>
      <c r="C1" s="301"/>
      <c r="D1" s="301"/>
      <c r="E1" s="301"/>
      <c r="F1" s="301"/>
      <c r="G1" s="301"/>
      <c r="H1" s="301"/>
      <c r="I1" s="301"/>
      <c r="J1" s="301"/>
      <c r="K1" s="301"/>
      <c r="L1" s="301"/>
      <c r="M1" s="301"/>
      <c r="N1" s="301"/>
      <c r="O1" s="301"/>
      <c r="P1" s="301"/>
      <c r="Q1" s="163"/>
      <c r="R1" s="163"/>
      <c r="S1" s="163"/>
      <c r="T1" s="163"/>
      <c r="U1" s="163"/>
      <c r="V1" s="163"/>
      <c r="W1" s="163"/>
      <c r="X1" s="163"/>
      <c r="Y1" s="163"/>
      <c r="Z1" s="163"/>
      <c r="AA1" s="163"/>
      <c r="AB1" s="163"/>
      <c r="AC1" s="163"/>
      <c r="AD1" s="163"/>
    </row>
    <row r="3" spans="1:48" s="1" customFormat="1">
      <c r="A3" s="1" t="str">
        <f>Identitas!B3</f>
        <v>Nama Atasan yang menilai</v>
      </c>
      <c r="B3" s="84">
        <f>Identitas!D3</f>
        <v>0</v>
      </c>
      <c r="F3" s="12"/>
      <c r="H3" s="80"/>
      <c r="N3" s="82"/>
      <c r="O3" s="82"/>
      <c r="P3" s="82"/>
      <c r="Q3" s="2"/>
      <c r="R3" s="80"/>
      <c r="S3" s="80"/>
      <c r="T3" s="80"/>
      <c r="U3" s="80"/>
      <c r="V3" s="80"/>
      <c r="W3" s="80"/>
      <c r="X3" s="80"/>
      <c r="Y3" s="2"/>
      <c r="Z3" s="80"/>
      <c r="AA3" s="80"/>
      <c r="AB3" s="80"/>
      <c r="AC3" s="80"/>
      <c r="AD3" s="80"/>
      <c r="AE3" s="80"/>
      <c r="AF3" s="80"/>
      <c r="AG3" s="12"/>
      <c r="AH3" s="80"/>
      <c r="AI3" s="80"/>
      <c r="AJ3" s="80"/>
      <c r="AK3" s="80"/>
      <c r="AL3" s="80"/>
      <c r="AM3" s="80"/>
      <c r="AN3" s="80"/>
      <c r="AO3" s="12"/>
      <c r="AP3" s="80"/>
      <c r="AQ3" s="80"/>
      <c r="AR3" s="80"/>
      <c r="AS3" s="80"/>
      <c r="AT3" s="80"/>
      <c r="AU3" s="80"/>
      <c r="AV3" s="80"/>
    </row>
    <row r="4" spans="1:48" s="1" customFormat="1">
      <c r="A4" s="1" t="str">
        <f>Identitas!B4</f>
        <v>Level Saat Ini</v>
      </c>
      <c r="B4" s="84" t="str">
        <f>Identitas!D4</f>
        <v>Officer</v>
      </c>
      <c r="F4" s="12"/>
      <c r="H4" s="80"/>
      <c r="N4" s="82"/>
      <c r="O4" s="82"/>
      <c r="P4" s="82"/>
      <c r="Q4" s="2"/>
      <c r="R4" s="80"/>
      <c r="S4" s="80"/>
      <c r="T4" s="80"/>
      <c r="U4" s="80"/>
      <c r="V4" s="80"/>
      <c r="W4" s="80"/>
      <c r="X4" s="80"/>
      <c r="Y4" s="2"/>
      <c r="Z4" s="80"/>
      <c r="AA4" s="80"/>
      <c r="AB4" s="80"/>
      <c r="AC4" s="80"/>
      <c r="AD4" s="80"/>
      <c r="AE4" s="80"/>
      <c r="AF4" s="80"/>
      <c r="AG4" s="12"/>
      <c r="AH4" s="80"/>
      <c r="AI4" s="80"/>
      <c r="AJ4" s="80"/>
      <c r="AK4" s="80"/>
      <c r="AL4" s="80"/>
      <c r="AM4" s="80"/>
      <c r="AN4" s="80"/>
      <c r="AO4" s="12"/>
      <c r="AP4" s="80"/>
      <c r="AQ4" s="80"/>
      <c r="AR4" s="80"/>
      <c r="AS4" s="80"/>
      <c r="AT4" s="80"/>
      <c r="AU4" s="80"/>
      <c r="AV4" s="80"/>
    </row>
    <row r="5" spans="1:48" s="1" customFormat="1">
      <c r="A5" s="1" t="str">
        <f>Identitas!B5</f>
        <v>Level Tujuan</v>
      </c>
      <c r="B5" s="84" t="str">
        <f>Identitas!D5</f>
        <v>Analyst</v>
      </c>
      <c r="F5" s="12"/>
      <c r="H5" s="80"/>
      <c r="N5" s="82"/>
      <c r="O5" s="82"/>
      <c r="P5" s="82"/>
      <c r="Q5" s="2"/>
      <c r="R5" s="80"/>
      <c r="S5" s="80"/>
      <c r="T5" s="80"/>
      <c r="U5" s="80"/>
      <c r="V5" s="80"/>
      <c r="W5" s="80"/>
      <c r="X5" s="80"/>
      <c r="Y5" s="2"/>
      <c r="Z5" s="80"/>
      <c r="AA5" s="80"/>
      <c r="AB5" s="80"/>
      <c r="AC5" s="80"/>
      <c r="AD5" s="80"/>
      <c r="AE5" s="80"/>
      <c r="AF5" s="80"/>
      <c r="AG5" s="12"/>
      <c r="AH5" s="80"/>
      <c r="AI5" s="80"/>
      <c r="AJ5" s="80"/>
      <c r="AK5" s="80"/>
      <c r="AL5" s="80"/>
      <c r="AM5" s="80"/>
      <c r="AN5" s="80"/>
      <c r="AO5" s="12"/>
      <c r="AP5" s="80"/>
      <c r="AQ5" s="80"/>
      <c r="AR5" s="80"/>
      <c r="AS5" s="80"/>
      <c r="AT5" s="80"/>
      <c r="AU5" s="80"/>
      <c r="AV5" s="80"/>
    </row>
    <row r="6" spans="1:48" s="1" customFormat="1">
      <c r="A6" s="1" t="str">
        <f>Identitas!B8</f>
        <v>Departemen</v>
      </c>
      <c r="B6" s="84">
        <f>Identitas!D8</f>
        <v>0</v>
      </c>
      <c r="F6" s="12"/>
      <c r="H6" s="80"/>
      <c r="N6" s="82"/>
      <c r="O6" s="82"/>
      <c r="P6" s="82"/>
      <c r="Q6" s="2"/>
      <c r="R6" s="80"/>
      <c r="S6" s="80"/>
      <c r="T6" s="80"/>
      <c r="U6" s="80"/>
      <c r="V6" s="80"/>
      <c r="W6" s="80"/>
      <c r="X6" s="80"/>
      <c r="Y6" s="2"/>
      <c r="Z6" s="80"/>
      <c r="AA6" s="80"/>
      <c r="AB6" s="80"/>
      <c r="AC6" s="80"/>
      <c r="AD6" s="80"/>
      <c r="AE6" s="80"/>
      <c r="AF6" s="80"/>
      <c r="AG6" s="12"/>
      <c r="AH6" s="80"/>
      <c r="AI6" s="80"/>
      <c r="AJ6" s="80"/>
      <c r="AK6" s="80"/>
      <c r="AL6" s="80"/>
      <c r="AM6" s="80"/>
      <c r="AN6" s="80"/>
      <c r="AO6" s="12"/>
      <c r="AP6" s="80"/>
      <c r="AQ6" s="80"/>
      <c r="AR6" s="80"/>
      <c r="AS6" s="80"/>
      <c r="AT6" s="80"/>
      <c r="AU6" s="80"/>
      <c r="AV6" s="80"/>
    </row>
    <row r="7" spans="1:48" s="1" customFormat="1">
      <c r="A7" s="1" t="str">
        <f>Identitas!B9</f>
        <v>Divisi</v>
      </c>
      <c r="B7" s="84">
        <f>Identitas!D9</f>
        <v>0</v>
      </c>
      <c r="F7" s="12"/>
      <c r="H7" s="80"/>
      <c r="N7" s="82"/>
      <c r="O7" s="82"/>
      <c r="P7" s="82"/>
      <c r="Q7" s="2"/>
      <c r="R7" s="80"/>
      <c r="S7" s="80"/>
      <c r="T7" s="80"/>
      <c r="U7" s="80"/>
      <c r="V7" s="80"/>
      <c r="W7" s="80"/>
      <c r="X7" s="80"/>
      <c r="Y7" s="2"/>
      <c r="Z7" s="80"/>
      <c r="AA7" s="80"/>
      <c r="AB7" s="80"/>
      <c r="AC7" s="80"/>
      <c r="AD7" s="80"/>
      <c r="AE7" s="80"/>
      <c r="AF7" s="80"/>
      <c r="AG7" s="12"/>
      <c r="AH7" s="80"/>
      <c r="AI7" s="80"/>
      <c r="AJ7" s="80"/>
      <c r="AK7" s="80"/>
      <c r="AL7" s="80"/>
      <c r="AM7" s="80"/>
      <c r="AN7" s="80"/>
      <c r="AO7" s="12"/>
      <c r="AP7" s="80"/>
      <c r="AQ7" s="80"/>
      <c r="AR7" s="80"/>
      <c r="AS7" s="80"/>
      <c r="AT7" s="80"/>
      <c r="AU7" s="80"/>
      <c r="AV7" s="80"/>
    </row>
    <row r="8" spans="1:48" s="1" customFormat="1">
      <c r="A8" s="1" t="str">
        <f>Identitas!B10</f>
        <v>Direktorat</v>
      </c>
      <c r="B8" s="84">
        <f>Identitas!D10</f>
        <v>0</v>
      </c>
      <c r="F8" s="12"/>
      <c r="H8" s="80"/>
      <c r="N8" s="82"/>
      <c r="O8" s="82"/>
      <c r="P8" s="82"/>
      <c r="Q8" s="2"/>
      <c r="R8" s="80"/>
      <c r="S8" s="80"/>
      <c r="T8" s="80"/>
      <c r="U8" s="80"/>
      <c r="V8" s="80"/>
      <c r="W8" s="80"/>
      <c r="X8" s="80"/>
      <c r="Y8" s="2"/>
      <c r="Z8" s="80"/>
      <c r="AA8" s="80"/>
      <c r="AB8" s="80"/>
      <c r="AC8" s="80"/>
      <c r="AD8" s="80"/>
      <c r="AE8" s="80"/>
      <c r="AF8" s="80"/>
      <c r="AG8" s="12"/>
      <c r="AH8" s="80"/>
      <c r="AI8" s="80"/>
      <c r="AJ8" s="80"/>
      <c r="AK8" s="80"/>
      <c r="AL8" s="80"/>
      <c r="AM8" s="80"/>
      <c r="AN8" s="80"/>
      <c r="AO8" s="12"/>
      <c r="AP8" s="80"/>
      <c r="AQ8" s="80"/>
      <c r="AR8" s="80"/>
      <c r="AS8" s="80"/>
      <c r="AT8" s="80"/>
      <c r="AU8" s="80"/>
      <c r="AV8" s="80"/>
    </row>
    <row r="9" spans="1:48" s="1" customFormat="1">
      <c r="A9" s="1">
        <f>Identitas!B11</f>
        <v>0</v>
      </c>
      <c r="B9" s="84">
        <f>Identitas!D11</f>
        <v>0</v>
      </c>
      <c r="F9" s="12"/>
      <c r="H9" s="80"/>
      <c r="N9" s="82"/>
      <c r="O9" s="82"/>
      <c r="P9" s="82"/>
      <c r="Q9" s="2"/>
      <c r="R9" s="80"/>
      <c r="S9" s="80"/>
      <c r="T9" s="80"/>
      <c r="U9" s="80"/>
      <c r="V9" s="80"/>
      <c r="W9" s="80"/>
      <c r="X9" s="80"/>
      <c r="Y9" s="2"/>
      <c r="Z9" s="80"/>
      <c r="AA9" s="80"/>
      <c r="AB9" s="80"/>
      <c r="AC9" s="80"/>
      <c r="AD9" s="80"/>
      <c r="AE9" s="80"/>
      <c r="AF9" s="80"/>
      <c r="AG9" s="12"/>
      <c r="AH9" s="80"/>
      <c r="AI9" s="80"/>
      <c r="AJ9" s="80"/>
      <c r="AK9" s="80"/>
      <c r="AL9" s="80"/>
      <c r="AM9" s="80"/>
      <c r="AN9" s="80"/>
      <c r="AO9" s="12"/>
      <c r="AP9" s="80"/>
      <c r="AQ9" s="80"/>
      <c r="AR9" s="80"/>
      <c r="AS9" s="80"/>
      <c r="AT9" s="80"/>
      <c r="AU9" s="80"/>
      <c r="AV9" s="80"/>
    </row>
    <row r="10" spans="1:48" s="1" customFormat="1">
      <c r="A10" s="1" t="s">
        <v>5443</v>
      </c>
      <c r="B10" s="84"/>
      <c r="F10" s="12"/>
      <c r="H10" s="80"/>
      <c r="N10" s="82"/>
      <c r="O10" s="82"/>
      <c r="P10" s="82"/>
      <c r="Q10" s="2"/>
      <c r="R10" s="80"/>
      <c r="S10" s="80"/>
      <c r="T10" s="80"/>
      <c r="U10" s="80"/>
      <c r="V10" s="80"/>
      <c r="W10" s="80"/>
      <c r="X10" s="80"/>
      <c r="Y10" s="2"/>
      <c r="Z10" s="80"/>
      <c r="AA10" s="80"/>
      <c r="AB10" s="80"/>
      <c r="AC10" s="80"/>
      <c r="AD10" s="80"/>
      <c r="AE10" s="80"/>
      <c r="AF10" s="80"/>
      <c r="AG10" s="12"/>
      <c r="AH10" s="80"/>
      <c r="AI10" s="80"/>
      <c r="AJ10" s="80"/>
      <c r="AK10" s="80"/>
      <c r="AL10" s="80"/>
      <c r="AM10" s="80"/>
      <c r="AN10" s="80"/>
      <c r="AO10" s="12"/>
      <c r="AP10" s="80"/>
      <c r="AQ10" s="80"/>
      <c r="AR10" s="80"/>
      <c r="AS10" s="80"/>
      <c r="AT10" s="80"/>
      <c r="AU10" s="80"/>
      <c r="AV10" s="80"/>
    </row>
    <row r="11" spans="1:48" s="1" customFormat="1">
      <c r="A11" s="1" t="s">
        <v>5444</v>
      </c>
      <c r="B11" s="84"/>
      <c r="F11" s="12"/>
      <c r="H11" s="80"/>
      <c r="N11" s="82"/>
      <c r="O11" s="82"/>
      <c r="P11" s="82"/>
      <c r="Q11" s="2"/>
      <c r="R11" s="80"/>
      <c r="S11" s="80"/>
      <c r="T11" s="80"/>
      <c r="U11" s="80"/>
      <c r="V11" s="80"/>
      <c r="W11" s="80"/>
      <c r="X11" s="80"/>
      <c r="Y11" s="2"/>
      <c r="Z11" s="80"/>
      <c r="AA11" s="80"/>
      <c r="AB11" s="80"/>
      <c r="AC11" s="80"/>
      <c r="AD11" s="80"/>
      <c r="AE11" s="80"/>
      <c r="AF11" s="80"/>
      <c r="AG11" s="12"/>
      <c r="AH11" s="80"/>
      <c r="AI11" s="80"/>
      <c r="AJ11" s="80"/>
      <c r="AK11" s="80"/>
      <c r="AL11" s="80"/>
      <c r="AM11" s="80"/>
      <c r="AN11" s="80"/>
      <c r="AO11" s="12"/>
      <c r="AP11" s="80"/>
      <c r="AQ11" s="80"/>
      <c r="AR11" s="80"/>
      <c r="AS11" s="80"/>
      <c r="AT11" s="80"/>
      <c r="AU11" s="80"/>
      <c r="AV11" s="80"/>
    </row>
    <row r="12" spans="1:48">
      <c r="A12" s="167"/>
      <c r="B12" s="165"/>
    </row>
    <row r="13" spans="1:48">
      <c r="A13" s="167"/>
      <c r="B13" s="165"/>
    </row>
    <row r="14" spans="1:48" s="172" customFormat="1" ht="30">
      <c r="A14" s="168" t="s">
        <v>14</v>
      </c>
      <c r="B14" s="168" t="s">
        <v>7352</v>
      </c>
      <c r="C14" s="168" t="s">
        <v>7353</v>
      </c>
      <c r="D14" s="169" t="s">
        <v>7354</v>
      </c>
      <c r="E14" s="169" t="s">
        <v>7355</v>
      </c>
      <c r="F14" s="169" t="s">
        <v>7356</v>
      </c>
      <c r="G14" s="169" t="s">
        <v>7357</v>
      </c>
      <c r="H14" s="169" t="s">
        <v>7358</v>
      </c>
      <c r="I14" s="170" t="s">
        <v>7347</v>
      </c>
      <c r="J14" s="170" t="s">
        <v>7348</v>
      </c>
      <c r="K14" s="170" t="s">
        <v>7349</v>
      </c>
      <c r="L14" s="170" t="s">
        <v>7350</v>
      </c>
      <c r="M14" s="170" t="s">
        <v>7359</v>
      </c>
      <c r="N14" s="170" t="s">
        <v>7360</v>
      </c>
      <c r="O14" s="170" t="s">
        <v>7361</v>
      </c>
      <c r="P14" s="171" t="s">
        <v>5456</v>
      </c>
    </row>
    <row r="15" spans="1:48" s="173" customFormat="1" ht="45">
      <c r="A15" s="166">
        <v>1</v>
      </c>
      <c r="B15" s="173" t="s">
        <v>7362</v>
      </c>
      <c r="C15" s="173" t="s">
        <v>7363</v>
      </c>
      <c r="D15" s="173" t="s">
        <v>7364</v>
      </c>
      <c r="E15" s="173" t="s">
        <v>7365</v>
      </c>
      <c r="F15" s="173" t="s">
        <v>7366</v>
      </c>
      <c r="G15" s="173" t="s">
        <v>7367</v>
      </c>
      <c r="H15" s="173" t="s">
        <v>7368</v>
      </c>
      <c r="I15" s="174">
        <f t="shared" ref="I15:I20" ca="1" si="0">RANDBETWEEN(1,5)</f>
        <v>1</v>
      </c>
      <c r="J15" s="174">
        <f t="shared" ref="J15:J20" ca="1" si="1">RANDBETWEEN(1,5)</f>
        <v>2</v>
      </c>
      <c r="K15" s="174">
        <f t="shared" ref="K15:K20" ca="1" si="2">RANDBETWEEN(1,5)</f>
        <v>1</v>
      </c>
      <c r="L15" s="174">
        <f t="shared" ref="L15:L20" ca="1" si="3">RANDBETWEEN(1,5)</f>
        <v>4</v>
      </c>
      <c r="M15" s="174">
        <f ca="1">AVERAGE(FormPenilaianTable3[[#This Row],[Skor 
Panelis 1]:[Skor 
Panelis 4]])</f>
        <v>2</v>
      </c>
      <c r="N15" s="175">
        <v>0.25</v>
      </c>
      <c r="O15" s="176">
        <f ca="1">IFERROR(M15*N15,0)</f>
        <v>0.5</v>
      </c>
      <c r="P15" s="177"/>
    </row>
    <row r="16" spans="1:48" s="173" customFormat="1" ht="60">
      <c r="A16" s="166">
        <v>2</v>
      </c>
      <c r="B16" s="173" t="s">
        <v>7369</v>
      </c>
      <c r="C16" s="173" t="s">
        <v>7370</v>
      </c>
      <c r="D16" s="173" t="s">
        <v>7371</v>
      </c>
      <c r="E16" s="173" t="s">
        <v>7372</v>
      </c>
      <c r="F16" s="173" t="s">
        <v>7373</v>
      </c>
      <c r="G16" s="173" t="s">
        <v>7374</v>
      </c>
      <c r="H16" s="173" t="s">
        <v>7375</v>
      </c>
      <c r="I16" s="174">
        <f t="shared" ca="1" si="0"/>
        <v>3</v>
      </c>
      <c r="J16" s="174">
        <f t="shared" ca="1" si="1"/>
        <v>2</v>
      </c>
      <c r="K16" s="174">
        <f t="shared" ca="1" si="2"/>
        <v>3</v>
      </c>
      <c r="L16" s="174">
        <f t="shared" ca="1" si="3"/>
        <v>1</v>
      </c>
      <c r="M16" s="178">
        <f ca="1">AVERAGE(FormPenilaianTable3[[#This Row],[Skor 
Panelis 1]:[Skor 
Panelis 4]])</f>
        <v>2.25</v>
      </c>
      <c r="N16" s="179">
        <v>0.2</v>
      </c>
      <c r="O16" s="176">
        <f ca="1">IFERROR(M16*N16,0)</f>
        <v>0.45</v>
      </c>
      <c r="P16" s="181"/>
    </row>
    <row r="17" spans="1:16" s="173" customFormat="1" ht="60">
      <c r="A17" s="166">
        <v>3</v>
      </c>
      <c r="B17" s="173" t="s">
        <v>7376</v>
      </c>
      <c r="C17" s="173" t="s">
        <v>7377</v>
      </c>
      <c r="D17" s="173" t="s">
        <v>7378</v>
      </c>
      <c r="E17" s="173" t="s">
        <v>7379</v>
      </c>
      <c r="F17" s="173" t="s">
        <v>7380</v>
      </c>
      <c r="G17" s="173" t="s">
        <v>7381</v>
      </c>
      <c r="H17" s="173" t="s">
        <v>7382</v>
      </c>
      <c r="I17" s="174">
        <f t="shared" ca="1" si="0"/>
        <v>4</v>
      </c>
      <c r="J17" s="174">
        <f t="shared" ca="1" si="1"/>
        <v>4</v>
      </c>
      <c r="K17" s="174">
        <f t="shared" ca="1" si="2"/>
        <v>1</v>
      </c>
      <c r="L17" s="174">
        <f t="shared" ca="1" si="3"/>
        <v>5</v>
      </c>
      <c r="M17" s="174">
        <f ca="1">AVERAGE(FormPenilaianTable3[[#This Row],[Skor 
Panelis 1]:[Skor 
Panelis 4]])</f>
        <v>3.5</v>
      </c>
      <c r="N17" s="175">
        <v>0.2</v>
      </c>
      <c r="O17" s="176">
        <f t="shared" ref="O16:O19" ca="1" si="4">IFERROR(M17*N17,0)</f>
        <v>0.70000000000000007</v>
      </c>
      <c r="P17" s="177"/>
    </row>
    <row r="18" spans="1:16" s="173" customFormat="1" ht="60">
      <c r="A18" s="166">
        <v>4</v>
      </c>
      <c r="B18" s="173" t="s">
        <v>7383</v>
      </c>
      <c r="C18" s="173" t="s">
        <v>7384</v>
      </c>
      <c r="D18" s="173" t="s">
        <v>7385</v>
      </c>
      <c r="E18" s="173" t="s">
        <v>7386</v>
      </c>
      <c r="F18" s="173" t="s">
        <v>7387</v>
      </c>
      <c r="G18" s="173" t="s">
        <v>7388</v>
      </c>
      <c r="H18" s="173" t="s">
        <v>7389</v>
      </c>
      <c r="I18" s="174">
        <f t="shared" ca="1" si="0"/>
        <v>1</v>
      </c>
      <c r="J18" s="174">
        <f t="shared" ca="1" si="1"/>
        <v>4</v>
      </c>
      <c r="K18" s="174">
        <f t="shared" ca="1" si="2"/>
        <v>2</v>
      </c>
      <c r="L18" s="174">
        <f t="shared" ca="1" si="3"/>
        <v>4</v>
      </c>
      <c r="M18" s="178">
        <f ca="1">AVERAGE(FormPenilaianTable3[[#This Row],[Skor 
Panelis 1]:[Skor 
Panelis 4]])</f>
        <v>2.75</v>
      </c>
      <c r="N18" s="179">
        <v>0.2</v>
      </c>
      <c r="O18" s="176">
        <f t="shared" ca="1" si="4"/>
        <v>0.55000000000000004</v>
      </c>
      <c r="P18" s="181"/>
    </row>
    <row r="19" spans="1:16" s="173" customFormat="1" ht="60">
      <c r="A19" s="166">
        <v>5</v>
      </c>
      <c r="B19" s="173" t="s">
        <v>7390</v>
      </c>
      <c r="C19" s="173" t="s">
        <v>7391</v>
      </c>
      <c r="D19" s="173" t="s">
        <v>7392</v>
      </c>
      <c r="E19" s="173" t="s">
        <v>7393</v>
      </c>
      <c r="F19" s="173" t="s">
        <v>7394</v>
      </c>
      <c r="G19" s="173" t="s">
        <v>7395</v>
      </c>
      <c r="H19" s="173" t="s">
        <v>7396</v>
      </c>
      <c r="I19" s="174">
        <f t="shared" ca="1" si="0"/>
        <v>5</v>
      </c>
      <c r="J19" s="174">
        <f t="shared" ca="1" si="1"/>
        <v>1</v>
      </c>
      <c r="K19" s="174">
        <f t="shared" ca="1" si="2"/>
        <v>2</v>
      </c>
      <c r="L19" s="174">
        <f t="shared" ca="1" si="3"/>
        <v>4</v>
      </c>
      <c r="M19" s="174">
        <f ca="1">AVERAGE(FormPenilaianTable3[[#This Row],[Skor 
Panelis 1]:[Skor 
Panelis 4]])</f>
        <v>3</v>
      </c>
      <c r="N19" s="175">
        <v>0.15</v>
      </c>
      <c r="O19" s="176">
        <f t="shared" ca="1" si="4"/>
        <v>0.44999999999999996</v>
      </c>
      <c r="P19" s="177"/>
    </row>
    <row r="20" spans="1:16">
      <c r="A20" s="166"/>
      <c r="B20" s="173"/>
      <c r="C20" s="173"/>
      <c r="D20" s="182"/>
      <c r="E20" s="166"/>
      <c r="F20" s="166"/>
      <c r="G20" s="182"/>
      <c r="I20" s="178">
        <f t="shared" ca="1" si="0"/>
        <v>5</v>
      </c>
      <c r="J20" s="178">
        <f t="shared" ca="1" si="1"/>
        <v>5</v>
      </c>
      <c r="K20" s="178">
        <f t="shared" ca="1" si="2"/>
        <v>4</v>
      </c>
      <c r="L20" s="178">
        <f t="shared" ca="1" si="3"/>
        <v>1</v>
      </c>
      <c r="M20" s="178">
        <f ca="1">AVERAGE(FormPenilaianTable3[[#This Row],[Skor 
Panelis 1]:[Skor 
Panelis 4]])</f>
        <v>3.75</v>
      </c>
      <c r="N20" s="183"/>
      <c r="O20" s="180">
        <f ca="1">SUM(O15:O19)</f>
        <v>2.6500000000000004</v>
      </c>
      <c r="P20" s="181"/>
    </row>
    <row r="21" spans="1:16" s="173" customFormat="1">
      <c r="A21" s="169"/>
    </row>
  </sheetData>
  <mergeCells count="1">
    <mergeCell ref="A1:P1"/>
  </mergeCells>
  <phoneticPr fontId="59" type="noConversion"/>
  <conditionalFormatting sqref="I15:M19">
    <cfRule type="colorScale" priority="1">
      <colorScale>
        <cfvo type="min"/>
        <cfvo type="percentile" val="50"/>
        <cfvo type="max"/>
        <color rgb="FFF4CCCC"/>
        <color rgb="FFFFF2CC"/>
        <color rgb="FFC6E0B4"/>
      </colorScale>
    </cfRule>
  </conditionalFormatting>
  <dataValidations count="1">
    <dataValidation type="list" sqref="I15:M19" xr:uid="{E728B3B7-E6E9-46D2-9139-FD14F0965E66}">
      <formula1>"1,2,3,4,5"</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C994-632E-4A2E-B9A2-C08DCD1EF0F0}">
  <sheetPr>
    <tabColor rgb="FFFFC000"/>
  </sheetPr>
  <dimension ref="A1:AN87"/>
  <sheetViews>
    <sheetView showGridLines="0" zoomScale="85" zoomScaleNormal="85" workbookViewId="0">
      <selection activeCell="N26" sqref="N26"/>
    </sheetView>
  </sheetViews>
  <sheetFormatPr defaultRowHeight="14.45"/>
  <cols>
    <col min="1" max="1" width="28.5703125" bestFit="1" customWidth="1"/>
    <col min="2" max="2" width="12.7109375" bestFit="1" customWidth="1"/>
    <col min="3" max="3" width="13" customWidth="1"/>
    <col min="4" max="4" width="12.5703125" bestFit="1" customWidth="1"/>
    <col min="5" max="5" width="15.5703125" bestFit="1" customWidth="1"/>
    <col min="6" max="6" width="33.7109375" style="56" bestFit="1" customWidth="1"/>
  </cols>
  <sheetData>
    <row r="1" spans="1:40" s="182" customFormat="1" ht="15" customHeight="1">
      <c r="A1" s="304" t="s">
        <v>7397</v>
      </c>
      <c r="B1" s="304"/>
      <c r="C1" s="304"/>
      <c r="D1" s="304"/>
      <c r="E1" s="304"/>
      <c r="F1" s="304"/>
      <c r="G1" s="173"/>
      <c r="H1" s="173"/>
      <c r="I1" s="173"/>
      <c r="J1" s="173"/>
      <c r="K1" s="173"/>
      <c r="L1" s="173"/>
      <c r="M1" s="173"/>
      <c r="N1" s="173"/>
      <c r="O1" s="173"/>
      <c r="P1" s="173"/>
      <c r="Q1" s="173"/>
      <c r="R1" s="173"/>
      <c r="S1" s="173"/>
      <c r="T1" s="173"/>
    </row>
    <row r="2" spans="1:40" s="182" customFormat="1" ht="15">
      <c r="F2" s="173"/>
    </row>
    <row r="3" spans="1:40" s="1" customFormat="1" ht="15">
      <c r="A3" s="1" t="str">
        <f>Identitas!B3</f>
        <v>Nama Atasan yang menilai</v>
      </c>
      <c r="B3" s="84">
        <f>Identitas!D3</f>
        <v>0</v>
      </c>
      <c r="F3" s="80"/>
      <c r="G3" s="82"/>
      <c r="H3" s="82"/>
      <c r="I3" s="2"/>
      <c r="J3" s="80"/>
      <c r="K3" s="80"/>
      <c r="L3" s="80"/>
      <c r="M3" s="80"/>
      <c r="N3" s="80"/>
      <c r="O3" s="80"/>
      <c r="P3" s="80"/>
      <c r="Q3" s="2"/>
      <c r="R3" s="80"/>
      <c r="S3" s="80"/>
      <c r="T3" s="80"/>
      <c r="U3" s="80"/>
      <c r="V3" s="80"/>
      <c r="W3" s="80"/>
      <c r="X3" s="80"/>
      <c r="Y3" s="12"/>
      <c r="Z3" s="80"/>
      <c r="AA3" s="80"/>
      <c r="AB3" s="80"/>
      <c r="AC3" s="80"/>
      <c r="AD3" s="80"/>
      <c r="AE3" s="80"/>
      <c r="AF3" s="80"/>
      <c r="AG3" s="12"/>
      <c r="AH3" s="80"/>
      <c r="AI3" s="80"/>
      <c r="AJ3" s="80"/>
      <c r="AK3" s="80"/>
      <c r="AL3" s="80"/>
      <c r="AM3" s="80"/>
      <c r="AN3" s="80"/>
    </row>
    <row r="4" spans="1:40" s="1" customFormat="1" ht="15">
      <c r="A4" s="1" t="str">
        <f>Identitas!B4</f>
        <v>Level Saat Ini</v>
      </c>
      <c r="B4" s="84" t="str">
        <f>Identitas!D4</f>
        <v>Officer</v>
      </c>
      <c r="F4" s="80"/>
      <c r="G4" s="82"/>
      <c r="H4" s="82"/>
      <c r="I4" s="2"/>
      <c r="J4" s="80"/>
      <c r="K4" s="80"/>
      <c r="L4" s="80"/>
      <c r="M4" s="80"/>
      <c r="N4" s="80"/>
      <c r="O4" s="80"/>
      <c r="P4" s="80"/>
      <c r="Q4" s="2"/>
      <c r="R4" s="80"/>
      <c r="S4" s="80"/>
      <c r="T4" s="80"/>
      <c r="U4" s="80"/>
      <c r="V4" s="80"/>
      <c r="W4" s="80"/>
      <c r="X4" s="80"/>
      <c r="Y4" s="12"/>
      <c r="Z4" s="80"/>
      <c r="AA4" s="80"/>
      <c r="AB4" s="80"/>
      <c r="AC4" s="80"/>
      <c r="AD4" s="80"/>
      <c r="AE4" s="80"/>
      <c r="AF4" s="80"/>
      <c r="AG4" s="12"/>
      <c r="AH4" s="80"/>
      <c r="AI4" s="80"/>
      <c r="AJ4" s="80"/>
      <c r="AK4" s="80"/>
      <c r="AL4" s="80"/>
      <c r="AM4" s="80"/>
      <c r="AN4" s="80"/>
    </row>
    <row r="5" spans="1:40" s="1" customFormat="1" ht="15">
      <c r="A5" s="1" t="str">
        <f>Identitas!B5</f>
        <v>Level Tujuan</v>
      </c>
      <c r="B5" s="84" t="str">
        <f>Identitas!D5</f>
        <v>Analyst</v>
      </c>
      <c r="F5" s="80"/>
      <c r="G5" s="82"/>
      <c r="H5" s="82"/>
      <c r="I5" s="2"/>
      <c r="J5" s="80"/>
      <c r="K5" s="80"/>
      <c r="L5" s="80"/>
      <c r="M5" s="80"/>
      <c r="N5" s="80"/>
      <c r="O5" s="80"/>
      <c r="P5" s="80"/>
      <c r="Q5" s="2"/>
      <c r="R5" s="80"/>
      <c r="S5" s="80"/>
      <c r="T5" s="80"/>
      <c r="U5" s="80"/>
      <c r="V5" s="80"/>
      <c r="W5" s="80"/>
      <c r="X5" s="80"/>
      <c r="Y5" s="12"/>
      <c r="Z5" s="80"/>
      <c r="AA5" s="80"/>
      <c r="AB5" s="80"/>
      <c r="AC5" s="80"/>
      <c r="AD5" s="80"/>
      <c r="AE5" s="80"/>
      <c r="AF5" s="80"/>
      <c r="AG5" s="12"/>
      <c r="AH5" s="80"/>
      <c r="AI5" s="80"/>
      <c r="AJ5" s="80"/>
      <c r="AK5" s="80"/>
      <c r="AL5" s="80"/>
      <c r="AM5" s="80"/>
      <c r="AN5" s="80"/>
    </row>
    <row r="6" spans="1:40" s="1" customFormat="1" ht="15">
      <c r="A6" s="1" t="str">
        <f>Identitas!B8</f>
        <v>Departemen</v>
      </c>
      <c r="B6" s="84">
        <f>Identitas!D8</f>
        <v>0</v>
      </c>
      <c r="F6" s="80"/>
      <c r="G6" s="82"/>
      <c r="H6" s="82"/>
      <c r="I6" s="2"/>
      <c r="J6" s="80"/>
      <c r="K6" s="80"/>
      <c r="L6" s="80"/>
      <c r="M6" s="80"/>
      <c r="N6" s="80"/>
      <c r="O6" s="80"/>
      <c r="P6" s="80"/>
      <c r="Q6" s="2"/>
      <c r="R6" s="80"/>
      <c r="S6" s="80"/>
      <c r="T6" s="80"/>
      <c r="U6" s="80"/>
      <c r="V6" s="80"/>
      <c r="W6" s="80"/>
      <c r="X6" s="80"/>
      <c r="Y6" s="12"/>
      <c r="Z6" s="80"/>
      <c r="AA6" s="80"/>
      <c r="AB6" s="80"/>
      <c r="AC6" s="80"/>
      <c r="AD6" s="80"/>
      <c r="AE6" s="80"/>
      <c r="AF6" s="80"/>
      <c r="AG6" s="12"/>
      <c r="AH6" s="80"/>
      <c r="AI6" s="80"/>
      <c r="AJ6" s="80"/>
      <c r="AK6" s="80"/>
      <c r="AL6" s="80"/>
      <c r="AM6" s="80"/>
      <c r="AN6" s="80"/>
    </row>
    <row r="7" spans="1:40" s="1" customFormat="1" ht="15">
      <c r="A7" s="1" t="str">
        <f>Identitas!B9</f>
        <v>Divisi</v>
      </c>
      <c r="B7" s="84">
        <f>Identitas!D9</f>
        <v>0</v>
      </c>
      <c r="F7" s="80"/>
      <c r="G7" s="82"/>
      <c r="H7" s="82"/>
      <c r="I7" s="2"/>
      <c r="J7" s="80"/>
      <c r="K7" s="80"/>
      <c r="L7" s="80"/>
      <c r="M7" s="80"/>
      <c r="N7" s="80"/>
      <c r="O7" s="80"/>
      <c r="P7" s="80"/>
      <c r="Q7" s="2"/>
      <c r="R7" s="80"/>
      <c r="S7" s="80"/>
      <c r="T7" s="80"/>
      <c r="U7" s="80"/>
      <c r="V7" s="80"/>
      <c r="W7" s="80"/>
      <c r="X7" s="80"/>
      <c r="Y7" s="12"/>
      <c r="Z7" s="80"/>
      <c r="AA7" s="80"/>
      <c r="AB7" s="80"/>
      <c r="AC7" s="80"/>
      <c r="AD7" s="80"/>
      <c r="AE7" s="80"/>
      <c r="AF7" s="80"/>
      <c r="AG7" s="12"/>
      <c r="AH7" s="80"/>
      <c r="AI7" s="80"/>
      <c r="AJ7" s="80"/>
      <c r="AK7" s="80"/>
      <c r="AL7" s="80"/>
      <c r="AM7" s="80"/>
      <c r="AN7" s="80"/>
    </row>
    <row r="8" spans="1:40" s="1" customFormat="1" ht="15">
      <c r="A8" s="1" t="str">
        <f>Identitas!B10</f>
        <v>Direktorat</v>
      </c>
      <c r="B8" s="84">
        <f>Identitas!D10</f>
        <v>0</v>
      </c>
      <c r="F8" s="80"/>
      <c r="G8" s="82"/>
      <c r="H8" s="82"/>
      <c r="I8" s="2"/>
      <c r="J8" s="80"/>
      <c r="K8" s="80"/>
      <c r="L8" s="80"/>
      <c r="M8" s="80"/>
      <c r="N8" s="80"/>
      <c r="O8" s="80"/>
      <c r="P8" s="80"/>
      <c r="Q8" s="2"/>
      <c r="R8" s="80"/>
      <c r="S8" s="80"/>
      <c r="T8" s="80"/>
      <c r="U8" s="80"/>
      <c r="V8" s="80"/>
      <c r="W8" s="80"/>
      <c r="X8" s="80"/>
      <c r="Y8" s="12"/>
      <c r="Z8" s="80"/>
      <c r="AA8" s="80"/>
      <c r="AB8" s="80"/>
      <c r="AC8" s="80"/>
      <c r="AD8" s="80"/>
      <c r="AE8" s="80"/>
      <c r="AF8" s="80"/>
      <c r="AG8" s="12"/>
      <c r="AH8" s="80"/>
      <c r="AI8" s="80"/>
      <c r="AJ8" s="80"/>
      <c r="AK8" s="80"/>
      <c r="AL8" s="80"/>
      <c r="AM8" s="80"/>
      <c r="AN8" s="80"/>
    </row>
    <row r="9" spans="1:40" s="1" customFormat="1" ht="15">
      <c r="B9" s="84"/>
      <c r="F9" s="80"/>
      <c r="G9" s="82"/>
      <c r="H9" s="82"/>
      <c r="I9" s="2"/>
      <c r="J9" s="80"/>
      <c r="K9" s="80"/>
      <c r="L9" s="80"/>
      <c r="M9" s="80"/>
      <c r="N9" s="80"/>
      <c r="O9" s="80"/>
      <c r="P9" s="80"/>
      <c r="Q9" s="2"/>
      <c r="R9" s="80"/>
      <c r="S9" s="80"/>
      <c r="T9" s="80"/>
      <c r="U9" s="80"/>
      <c r="V9" s="80"/>
      <c r="W9" s="80"/>
      <c r="X9" s="80"/>
      <c r="Y9" s="12"/>
      <c r="Z9" s="80"/>
      <c r="AA9" s="80"/>
      <c r="AB9" s="80"/>
      <c r="AC9" s="80"/>
      <c r="AD9" s="80"/>
      <c r="AE9" s="80"/>
      <c r="AF9" s="80"/>
      <c r="AG9" s="12"/>
      <c r="AH9" s="80"/>
      <c r="AI9" s="80"/>
      <c r="AJ9" s="80"/>
      <c r="AK9" s="80"/>
      <c r="AL9" s="80"/>
      <c r="AM9" s="80"/>
      <c r="AN9" s="80"/>
    </row>
    <row r="10" spans="1:40" s="1" customFormat="1" ht="15">
      <c r="A10" s="1" t="s">
        <v>5443</v>
      </c>
      <c r="B10" s="84"/>
      <c r="F10" s="80"/>
      <c r="G10" s="82"/>
      <c r="H10" s="82"/>
      <c r="I10" s="2"/>
      <c r="J10" s="80"/>
      <c r="K10" s="80"/>
      <c r="L10" s="80"/>
      <c r="M10" s="80"/>
      <c r="N10" s="80"/>
      <c r="O10" s="80"/>
      <c r="P10" s="80"/>
      <c r="Q10" s="2"/>
      <c r="R10" s="80"/>
      <c r="S10" s="80"/>
      <c r="T10" s="80"/>
      <c r="U10" s="80"/>
      <c r="V10" s="80"/>
      <c r="W10" s="80"/>
      <c r="X10" s="80"/>
      <c r="Y10" s="12"/>
      <c r="Z10" s="80"/>
      <c r="AA10" s="80"/>
      <c r="AB10" s="80"/>
      <c r="AC10" s="80"/>
      <c r="AD10" s="80"/>
      <c r="AE10" s="80"/>
      <c r="AF10" s="80"/>
      <c r="AG10" s="12"/>
      <c r="AH10" s="80"/>
      <c r="AI10" s="80"/>
      <c r="AJ10" s="80"/>
      <c r="AK10" s="80"/>
      <c r="AL10" s="80"/>
      <c r="AM10" s="80"/>
      <c r="AN10" s="80"/>
    </row>
    <row r="11" spans="1:40" s="1" customFormat="1" ht="15">
      <c r="A11" s="1" t="s">
        <v>5444</v>
      </c>
      <c r="B11" s="84"/>
      <c r="F11" s="80"/>
      <c r="G11" s="82"/>
      <c r="H11" s="82"/>
      <c r="I11" s="2"/>
      <c r="J11" s="80"/>
      <c r="K11" s="80"/>
      <c r="L11" s="80"/>
      <c r="M11" s="80"/>
      <c r="N11" s="80"/>
      <c r="O11" s="80"/>
      <c r="P11" s="80"/>
      <c r="Q11" s="2"/>
      <c r="R11" s="80"/>
      <c r="S11" s="80"/>
      <c r="T11" s="80"/>
      <c r="U11" s="80"/>
      <c r="V11" s="80"/>
      <c r="W11" s="80"/>
      <c r="X11" s="80"/>
      <c r="Y11" s="12"/>
      <c r="Z11" s="80"/>
      <c r="AA11" s="80"/>
      <c r="AB11" s="80"/>
      <c r="AC11" s="80"/>
      <c r="AD11" s="80"/>
      <c r="AE11" s="80"/>
      <c r="AF11" s="80"/>
      <c r="AG11" s="12"/>
      <c r="AH11" s="80"/>
      <c r="AI11" s="80"/>
      <c r="AJ11" s="80"/>
      <c r="AK11" s="80"/>
      <c r="AL11" s="80"/>
      <c r="AM11" s="80"/>
      <c r="AN11" s="80"/>
    </row>
    <row r="14" spans="1:40">
      <c r="A14" s="250" t="s">
        <v>7398</v>
      </c>
      <c r="B14" s="250"/>
      <c r="C14" s="250"/>
      <c r="D14" s="250"/>
      <c r="E14" s="250"/>
      <c r="F14" s="262"/>
    </row>
    <row r="16" spans="1:40" ht="57.6">
      <c r="A16" s="255" t="s">
        <v>538</v>
      </c>
      <c r="B16" s="57" t="s">
        <v>7399</v>
      </c>
      <c r="C16" s="57" t="s">
        <v>7400</v>
      </c>
      <c r="D16" s="57" t="s">
        <v>7401</v>
      </c>
      <c r="E16" s="57" t="s">
        <v>7402</v>
      </c>
      <c r="F16" s="57" t="s">
        <v>7359</v>
      </c>
    </row>
    <row r="17" spans="1:6">
      <c r="A17" t="str" cm="1">
        <f t="array" ref="A17:A19">_xlfn.ANCHORARRAY(calc!AP2)</f>
        <v>Achievement Drive</v>
      </c>
      <c r="B17" s="251">
        <f ca="1">IFERROR(AVERAGEIFS('Monitoring pengembangan'!$P$15:$P$38,
   'Monitoring pengembangan'!$B$15:$B$38,$A17,
   'Monitoring pengembangan'!$C$15:$C$38,"Personal Development"),0)</f>
        <v>3.75</v>
      </c>
      <c r="C17" s="251">
        <f ca="1">IFERROR(AVERAGEIFS('Monitoring pengembangan'!$P$15:$P$38,
   'Monitoring pengembangan'!$B$15:$B$38,$A17,
   'Monitoring pengembangan'!$C$15:$C$38,"Education-Based Development"),0)</f>
        <v>4.5</v>
      </c>
      <c r="D17" s="251">
        <f ca="1">IFERROR(AVERAGEIFS('Monitoring pengembangan'!$P$15:$P$38,
   'Monitoring pengembangan'!$B$15:$B$38,$A17,
   'Monitoring pengembangan'!$C$15:$C$38,"Relation-Based Development"),0)</f>
        <v>5</v>
      </c>
      <c r="E17" s="251">
        <f ca="1">IFERROR(AVERAGEIFS('Monitoring pengembangan'!$P$15:$P$38,
   'Monitoring pengembangan'!$B$15:$B$38,$A17,
   'Monitoring pengembangan'!$C$15:$C$38,"Experience-Based Development"),0)</f>
        <v>3.333333333333333</v>
      </c>
      <c r="F17" s="263">
        <f ca="1">B17*0.05+C17*0.15+D17*0.2+E17*0.6</f>
        <v>3.8624999999999998</v>
      </c>
    </row>
    <row r="18" spans="1:6">
      <c r="A18" t="str">
        <v>Leadership</v>
      </c>
      <c r="B18" s="251">
        <f ca="1">IFERROR(AVERAGEIFS('Monitoring pengembangan'!$P$15:$P$38,
   'Monitoring pengembangan'!$B$15:$B$38,$A18,
   'Monitoring pengembangan'!$C$15:$C$38,"Personal Development"),0)</f>
        <v>5</v>
      </c>
      <c r="C18" s="251">
        <f ca="1">IFERROR(AVERAGEIFS('Monitoring pengembangan'!$P$15:$P$38,
   'Monitoring pengembangan'!$B$15:$B$38,$A18,
   'Monitoring pengembangan'!$C$15:$C$38,"Education-Based Development"),0)</f>
        <v>2.833333333333333</v>
      </c>
      <c r="D18" s="251">
        <f ca="1">IFERROR(AVERAGEIFS('Monitoring pengembangan'!$P$15:$P$38,
   'Monitoring pengembangan'!$B$15:$B$38,$A18,
   'Monitoring pengembangan'!$C$15:$C$38,"Relation-Based Development"),0)</f>
        <v>3</v>
      </c>
      <c r="E18" s="251">
        <f ca="1">IFERROR(AVERAGEIFS('Monitoring pengembangan'!$P$15:$P$38,
   'Monitoring pengembangan'!$B$15:$B$38,$A18,
   'Monitoring pengembangan'!$C$15:$C$38,"Experience-Based Development"),0)</f>
        <v>3.5</v>
      </c>
      <c r="F18" s="263">
        <f t="shared" ref="F18:F19" ca="1" si="0">B18*0.05+C18*0.15+D18*0.2+E18*0.6</f>
        <v>3.375</v>
      </c>
    </row>
    <row r="19" spans="1:6">
      <c r="A19" t="str">
        <v>Analytical Thinking</v>
      </c>
      <c r="B19" s="251">
        <f ca="1">IFERROR(AVERAGEIFS('Monitoring pengembangan'!$P$15:$P$38,
   'Monitoring pengembangan'!$B$15:$B$38,$A19,
   'Monitoring pengembangan'!$C$15:$C$38,"Personal Development"),0)</f>
        <v>3.333333333333333</v>
      </c>
      <c r="C19" s="251">
        <f ca="1">IFERROR(AVERAGEIFS('Monitoring pengembangan'!$P$15:$P$38,
   'Monitoring pengembangan'!$B$15:$B$38,$A19,
   'Monitoring pengembangan'!$C$15:$C$38,"Education-Based Development"),0)</f>
        <v>1.6666666666666665</v>
      </c>
      <c r="D19" s="251">
        <f ca="1">IFERROR(AVERAGEIFS('Monitoring pengembangan'!$P$15:$P$38,
   'Monitoring pengembangan'!$B$15:$B$38,$A19,
   'Monitoring pengembangan'!$C$15:$C$38,"Relation-Based Development"),0)</f>
        <v>5</v>
      </c>
      <c r="E19" s="251">
        <f ca="1">IFERROR(AVERAGEIFS('Monitoring pengembangan'!$P$15:$P$38,
   'Monitoring pengembangan'!$B$15:$B$38,$A19,
   'Monitoring pengembangan'!$C$15:$C$38,"Experience-Based Development"),0)</f>
        <v>5</v>
      </c>
      <c r="F19" s="263">
        <f t="shared" ca="1" si="0"/>
        <v>4.4166666666666661</v>
      </c>
    </row>
    <row r="41" spans="1:6">
      <c r="A41" s="250" t="s">
        <v>7403</v>
      </c>
      <c r="B41" s="250"/>
      <c r="C41" s="250"/>
      <c r="D41" s="250"/>
      <c r="E41" s="250"/>
      <c r="F41" s="262"/>
    </row>
    <row r="43" spans="1:6" s="255" customFormat="1">
      <c r="A43" s="255" t="s">
        <v>538</v>
      </c>
      <c r="B43" s="264" t="s">
        <v>7404</v>
      </c>
      <c r="C43" s="264" t="s">
        <v>7405</v>
      </c>
      <c r="D43" s="264" t="s">
        <v>7406</v>
      </c>
      <c r="E43" s="264" t="s">
        <v>7407</v>
      </c>
      <c r="F43" s="255" t="s">
        <v>7408</v>
      </c>
    </row>
    <row r="44" spans="1:6">
      <c r="A44" s="223" t="str">
        <f>A17</f>
        <v>Achievement Drive</v>
      </c>
      <c r="B44" s="265">
        <f ca="1">F17</f>
        <v>3.8624999999999998</v>
      </c>
      <c r="C44" s="265">
        <f ca="1">IFERROR(AVERAGEIF('Hasil Perilaku'!$B$16:$B$27,$A44,'Hasil Perilaku'!$L$16:$L$27),0)</f>
        <v>1.25</v>
      </c>
      <c r="D44" s="265" t="str">
        <f>"50:50"</f>
        <v>50:50</v>
      </c>
      <c r="E44" s="265">
        <f ca="1">B44*0.5+C44*0.5</f>
        <v>2.5562499999999999</v>
      </c>
      <c r="F44" s="223" t="str" cm="1">
        <f t="array" aca="1" ref="F44" ca="1">_xlfn.IFS(E44="","",E44&gt;=4,"✅ Memenuhi standar",E44&gt;=3.5,"🔶 Kurang "&amp;TEXT(4-E44,"0.00")&amp;" poin",E44&gt;=3,"⚠️ Kurang "&amp;TEXT(4-E44,"0.00")&amp;" poin - perlu penguatan",TRUE,"🔴 Kurang "&amp;TEXT(4-E44,"0.00")&amp;" poin - signifikan")</f>
        <v>🔴 Kurang 1.44 poin - signifikan</v>
      </c>
    </row>
    <row r="45" spans="1:6">
      <c r="A45" s="223" t="str">
        <f>A18</f>
        <v>Leadership</v>
      </c>
      <c r="B45" s="265">
        <f ca="1">F18</f>
        <v>3.375</v>
      </c>
      <c r="C45" s="265">
        <f ca="1">IFERROR(AVERAGEIF('Hasil Perilaku'!$B$16:$B$27,$A45,'Hasil Perilaku'!$L$16:$L$27),0)</f>
        <v>2.75</v>
      </c>
      <c r="D45" s="265" t="str">
        <f t="shared" ref="D45:D46" si="1">"50:50"</f>
        <v>50:50</v>
      </c>
      <c r="E45" s="265">
        <f ca="1">B45*0.5+C45*0.5</f>
        <v>3.0625</v>
      </c>
      <c r="F45" s="223" t="str" cm="1">
        <f t="array" aca="1" ref="F45" ca="1">_xlfn.IFS(E45="","",E45&gt;=4,"✅ Memenuhi standar",E45&gt;=3.5,"🔶 Kurang "&amp;TEXT(4-E45,"0.00")&amp;" poin",E45&gt;=3,"⚠️ Kurang "&amp;TEXT(4-E45,"0.00")&amp;" poin - perlu penguatan",TRUE,"🔴 Kurang "&amp;TEXT(4-E45,"0.00")&amp;" poin - signifikan")</f>
        <v>⚠️ Kurang 0.94 poin - perlu penguatan</v>
      </c>
    </row>
    <row r="46" spans="1:6">
      <c r="A46" s="223" t="str">
        <f>A19</f>
        <v>Analytical Thinking</v>
      </c>
      <c r="B46" s="265">
        <f ca="1">F19</f>
        <v>4.4166666666666661</v>
      </c>
      <c r="C46" s="265">
        <f ca="1">IFERROR(AVERAGEIF('Hasil Perilaku'!$B$16:$B$27,$A46,'Hasil Perilaku'!$L$16:$L$27),0)</f>
        <v>3.75</v>
      </c>
      <c r="D46" s="265" t="str">
        <f t="shared" si="1"/>
        <v>50:50</v>
      </c>
      <c r="E46" s="265">
        <f ca="1">B46*0.5+C46*0.5</f>
        <v>4.083333333333333</v>
      </c>
      <c r="F46" s="223" t="str" cm="1">
        <f t="array" aca="1" ref="F46" ca="1">_xlfn.IFS(E46="","",E46&gt;=4,"✅ Memenuhi standar",E46&gt;=3.5,"🔶 Kurang "&amp;TEXT(4-E46,"0.00")&amp;" poin",E46&gt;=3,"⚠️ Kurang "&amp;TEXT(4-E46,"0.00")&amp;" poin - perlu penguatan",TRUE,"🔴 Kurang "&amp;TEXT(4-E46,"0.00")&amp;" poin - signifikan")</f>
        <v>✅ Memenuhi standar</v>
      </c>
    </row>
    <row r="47" spans="1:6" s="253" customFormat="1">
      <c r="A47" s="255" t="s">
        <v>7409</v>
      </c>
      <c r="B47" s="255"/>
      <c r="C47" s="255"/>
      <c r="D47" s="255"/>
      <c r="E47" s="266">
        <f ca="1">IFERROR(AVERAGE(E44:E46),0)</f>
        <v>3.2340277777777779</v>
      </c>
      <c r="F47" s="256"/>
    </row>
    <row r="48" spans="1:6">
      <c r="A48" s="223"/>
      <c r="B48" s="223"/>
      <c r="C48" s="223"/>
      <c r="D48" s="223"/>
      <c r="E48" s="223"/>
      <c r="F48" s="58"/>
    </row>
    <row r="50" spans="1:6">
      <c r="A50" s="250" t="s">
        <v>7410</v>
      </c>
      <c r="B50" s="250"/>
      <c r="C50" s="250"/>
      <c r="D50" s="250"/>
      <c r="E50" s="250"/>
      <c r="F50" s="262"/>
    </row>
    <row r="52" spans="1:6">
      <c r="A52" t="s">
        <v>7411</v>
      </c>
      <c r="B52">
        <f>COUNTA(_xlfn.ANCHORARRAY(A17))</f>
        <v>3</v>
      </c>
    </row>
    <row r="53" spans="1:6">
      <c r="A53" t="s">
        <v>7412</v>
      </c>
      <c r="B53">
        <f ca="1">COUNTIF(E44:E46,"&gt;=4")</f>
        <v>1</v>
      </c>
    </row>
    <row r="54" spans="1:6">
      <c r="A54" t="s">
        <v>7413</v>
      </c>
      <c r="B54">
        <f ca="1">B52-B53</f>
        <v>2</v>
      </c>
    </row>
    <row r="56" spans="1:6" s="253" customFormat="1">
      <c r="A56" s="253" t="s">
        <v>5455</v>
      </c>
      <c r="B56" s="253" t="str" cm="1">
        <f t="array" aca="1" ref="B56" ca="1">_xlfn.IFS(
   B53=B52,"✅ Lulus Semua ("&amp;B53&amp;"/"&amp;B52&amp;")",
   B53&gt;=1,"🔶 Lulus "&amp;B53&amp;"/"&amp;B52&amp;" - Perbaiki "&amp;B54&amp;" kompetensi",
   TRUE,"🔴 Belum ada yang lulus"
)</f>
        <v>🔶 Lulus 1/3 - Perbaiki 2 kompetensi</v>
      </c>
      <c r="F56" s="254"/>
    </row>
    <row r="58" spans="1:6">
      <c r="A58" t="s">
        <v>7414</v>
      </c>
      <c r="B58" t="str" cm="1">
        <f t="array" aca="1" ref="B58" ca="1">IFERROR(_xlfn.TEXTJOIN(", ",TRUE,_xlfn._xlws.FILTER(A44:A46,E44:E46&gt;=4)),"Belum ada")</f>
        <v>Analytical Thinking</v>
      </c>
    </row>
    <row r="59" spans="1:6">
      <c r="A59" t="s">
        <v>7415</v>
      </c>
      <c r="B59" t="str" cm="1">
        <f t="array" aca="1" ref="B59" ca="1">IFERROR(_xlfn.TEXTJOIN(", ",TRUE,_xlfn._xlws.FILTER(A44:A46,E44:E46&lt;4)),"Semua sudah lulus ✅")</f>
        <v>Achievement Drive, Leadership</v>
      </c>
    </row>
    <row r="62" spans="1:6">
      <c r="A62" s="250" t="s">
        <v>7416</v>
      </c>
      <c r="B62" s="250"/>
      <c r="C62" s="250"/>
      <c r="D62" s="250"/>
      <c r="E62" s="250"/>
      <c r="F62" s="262"/>
    </row>
    <row r="64" spans="1:6">
      <c r="A64" t="s">
        <v>7417</v>
      </c>
      <c r="B64" t="s">
        <v>7418</v>
      </c>
      <c r="C64" t="s">
        <v>7419</v>
      </c>
      <c r="D64" t="s">
        <v>7420</v>
      </c>
    </row>
    <row r="65" spans="1:6">
      <c r="A65" t="s">
        <v>538</v>
      </c>
      <c r="B65" s="257">
        <v>0.8</v>
      </c>
      <c r="C65" s="258">
        <f ca="1">E47</f>
        <v>3.2340277777777779</v>
      </c>
      <c r="D65" s="260">
        <f ca="1">B65*C65</f>
        <v>2.5872222222222225</v>
      </c>
    </row>
    <row r="66" spans="1:6">
      <c r="A66" t="s">
        <v>7421</v>
      </c>
      <c r="B66" s="259">
        <v>0.2</v>
      </c>
      <c r="C66" s="258">
        <f ca="1">'Form Penilaian Presentasi'!O20</f>
        <v>2.6500000000000004</v>
      </c>
      <c r="D66" s="260">
        <f ca="1">B66*C66</f>
        <v>0.53000000000000014</v>
      </c>
    </row>
    <row r="68" spans="1:6" s="253" customFormat="1">
      <c r="A68" s="253" t="s">
        <v>7422</v>
      </c>
      <c r="D68" s="261">
        <f ca="1">SUM(D65:D66)</f>
        <v>3.1172222222222228</v>
      </c>
      <c r="F68" s="254"/>
    </row>
    <row r="71" spans="1:6">
      <c r="A71" s="250" t="s">
        <v>7423</v>
      </c>
      <c r="B71" s="250"/>
      <c r="C71" s="250"/>
      <c r="D71" s="250"/>
      <c r="E71" s="250"/>
      <c r="F71" s="262"/>
    </row>
    <row r="72" spans="1:6" ht="35.450000000000003" customHeight="1">
      <c r="A72" s="305" t="str" cm="1">
        <f t="array" aca="1" ref="A72" ca="1">_xlfn.IFS(
   D68&gt;=4,"✅ LULUS - Lanjut ke program level "&amp;Identitas!$D$5&amp;" atau promosi",
   D68&gt;=3.5,"🔶 LULUS BERSYARAT - Perlu penguatan pada "&amp;INDEX($A$44:$A$46,MATCH(MIN($E$44:$E$46),$E$44:$E$46,0)),
   D68&gt;=3,"⚠️ PERLU PENGUATAN - Fokus: "&amp;INDEX($A$44:$A$46,MATCH(MIN($E$44:$E$46),$E$44:$E$46,0)),
   TRUE,"🔴 PERLU PENGEMBANGAN ULANG"
)</f>
        <v>⚠️ PERLU PENGUATAN - Fokus: Achievement Drive</v>
      </c>
      <c r="B72" s="305"/>
      <c r="C72" s="305"/>
      <c r="D72" s="305"/>
      <c r="E72" s="305"/>
      <c r="F72" s="305"/>
    </row>
    <row r="73" spans="1:6">
      <c r="A73" s="76"/>
      <c r="B73" s="76"/>
      <c r="C73" s="76"/>
      <c r="D73" s="76"/>
      <c r="E73" s="76"/>
      <c r="F73" s="76"/>
    </row>
    <row r="74" spans="1:6">
      <c r="A74" s="76" t="s">
        <v>7424</v>
      </c>
      <c r="B74" s="252" t="str">
        <f ca="1">INDEX($A$44:$A$46,MATCH(MIN($E$44:$E$46),$E$44:$E$46,0))</f>
        <v>Achievement Drive</v>
      </c>
      <c r="C74" s="76"/>
      <c r="D74" s="76"/>
      <c r="E74" s="76"/>
      <c r="F74" s="76"/>
    </row>
    <row r="75" spans="1:6">
      <c r="A75" s="76" t="s">
        <v>7425</v>
      </c>
      <c r="B75" s="267">
        <f ca="1">MIN($E$44:$E$46)</f>
        <v>2.5562499999999999</v>
      </c>
      <c r="C75" s="76"/>
      <c r="D75" s="76"/>
      <c r="E75" s="76"/>
      <c r="F75" s="76"/>
    </row>
    <row r="76" spans="1:6">
      <c r="A76" s="76" t="s">
        <v>7426</v>
      </c>
      <c r="B76" s="267">
        <f ca="1">4-MIN($E$44:$E$46)</f>
        <v>1.4437500000000001</v>
      </c>
      <c r="C76" s="76"/>
      <c r="D76" s="76"/>
      <c r="E76" s="76"/>
      <c r="F76" s="76"/>
    </row>
    <row r="77" spans="1:6">
      <c r="A77" s="76" t="s">
        <v>7427</v>
      </c>
      <c r="B77" s="252" t="str" cm="1">
        <f t="array" aca="1" ref="B77" ca="1">_xlfn.IFS(
   B76&lt;=0,"✅ Sudah memenuhi",
   B76&lt;=0.25,"1-2 bulan",
   B76&lt;=0.5,"3 bulan",
   B76&lt;=1,"3-6 bulan",
   TRUE,"6-12 bulan"
)</f>
        <v>6-12 bulan</v>
      </c>
      <c r="C77" s="76"/>
      <c r="D77" s="76"/>
      <c r="E77" s="76"/>
      <c r="F77" s="76"/>
    </row>
    <row r="78" spans="1:6" hidden="1">
      <c r="A78" s="76" t="s">
        <v>7428</v>
      </c>
      <c r="B78" s="252" t="str" cm="1">
        <f t="array" aca="1" ref="B78" ca="1">_xlfn.IFS(
   B76&lt;=0,"Tidak perlu",
   B76&lt;=0.5,"Coaching + Experience-Based",
   B76&lt;=1,"Pelatihan formal + mentoring",
   TRUE,"Program intensif (4 metode)"
)</f>
        <v>Program intensif (4 metode)</v>
      </c>
      <c r="C78" s="76"/>
      <c r="D78" s="76"/>
      <c r="E78" s="76"/>
      <c r="F78" s="76"/>
    </row>
    <row r="80" spans="1:6">
      <c r="A80" s="302" t="s">
        <v>7429</v>
      </c>
      <c r="B80" s="302"/>
      <c r="C80" s="302"/>
      <c r="D80" s="302"/>
      <c r="E80" s="302"/>
      <c r="F80" s="302"/>
    </row>
    <row r="81" spans="1:6">
      <c r="A81" s="303" t="str">
        <f ca="1">INDEX($A$44:$A$46,MATCH(MAX($E$44:$E$46),$E$44:$E$46,0))</f>
        <v>Analytical Thinking</v>
      </c>
      <c r="B81" s="303"/>
      <c r="C81" s="303"/>
      <c r="D81" s="303"/>
      <c r="E81" s="303"/>
      <c r="F81" s="303"/>
    </row>
    <row r="83" spans="1:6">
      <c r="A83" s="302" t="s">
        <v>7430</v>
      </c>
      <c r="B83" s="302"/>
      <c r="C83" s="302"/>
      <c r="D83" s="302"/>
      <c r="E83" s="302"/>
      <c r="F83" s="302"/>
    </row>
    <row r="84" spans="1:6">
      <c r="A84" s="303" t="str" cm="1">
        <f t="array" aca="1" ref="A84" ca="1">INDEX({"Personal Development","Education-Based Development","Relation-Based Development","Experience-Based Development"},
   MATCH(MAX(AVERAGE(B17:B19),AVERAGE(C17:C19),AVERAGE(D17:D19),AVERAGE(E17:E19)),
      CHOOSE({1,2,3,4},AVERAGE(B17:B19),AVERAGE(C17:C19),AVERAGE(D17:D19),AVERAGE(E17:E19)),0))</f>
        <v>Relation-Based Development</v>
      </c>
      <c r="B84" s="303"/>
      <c r="C84" s="303"/>
      <c r="D84" s="303"/>
      <c r="E84" s="303"/>
      <c r="F84" s="303"/>
    </row>
    <row r="86" spans="1:6">
      <c r="A86" s="302" t="s">
        <v>7431</v>
      </c>
      <c r="B86" s="302"/>
      <c r="C86" s="302"/>
      <c r="D86" s="302"/>
      <c r="E86" s="302"/>
      <c r="F86" s="302"/>
    </row>
    <row r="87" spans="1:6">
      <c r="A87" s="303" t="str" cm="1">
        <f t="array" aca="1" ref="A87" ca="1">INDEX({"Personal Development","Education-Based Development","Relation-Based Development","Experience-Based Development"},
   MATCH(MIN(AVERAGE(B17:B19),AVERAGE(C17:C19),AVERAGE(D17:D19),AVERAGE(E17:E19)),
      CHOOSE({1,2,3,4},AVERAGE(B17:B19),AVERAGE(C17:C19),AVERAGE(D17:D19),AVERAGE(E17:E19)),0))</f>
        <v>Education-Based Development</v>
      </c>
      <c r="B87" s="303"/>
      <c r="C87" s="303"/>
      <c r="D87" s="303"/>
      <c r="E87" s="303"/>
      <c r="F87" s="303"/>
    </row>
  </sheetData>
  <mergeCells count="8">
    <mergeCell ref="A87:F87"/>
    <mergeCell ref="A86:F86"/>
    <mergeCell ref="A84:F84"/>
    <mergeCell ref="A83:F83"/>
    <mergeCell ref="A81:F81"/>
    <mergeCell ref="A80:F80"/>
    <mergeCell ref="A1:F1"/>
    <mergeCell ref="A72:F7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60F1-5A23-48DF-BC07-D587B99D33C0}">
  <sheetPr>
    <tabColor theme="3"/>
  </sheetPr>
  <dimension ref="A2:I239"/>
  <sheetViews>
    <sheetView topLeftCell="D1" zoomScale="55" zoomScaleNormal="55" workbookViewId="0">
      <selection activeCell="C3" sqref="C3:G16"/>
    </sheetView>
  </sheetViews>
  <sheetFormatPr defaultRowHeight="14.45"/>
  <cols>
    <col min="2" max="2" width="39" bestFit="1" customWidth="1"/>
    <col min="3" max="8" width="32.7109375" customWidth="1"/>
  </cols>
  <sheetData>
    <row r="2" spans="2:8" ht="19.149999999999999">
      <c r="B2" s="111" t="s">
        <v>538</v>
      </c>
      <c r="C2" s="112" t="s">
        <v>4</v>
      </c>
      <c r="D2" s="112" t="s">
        <v>6</v>
      </c>
      <c r="E2" s="112" t="s">
        <v>13</v>
      </c>
      <c r="F2" s="112" t="s">
        <v>779</v>
      </c>
      <c r="G2" s="112" t="s">
        <v>838</v>
      </c>
      <c r="H2" s="112" t="s">
        <v>898</v>
      </c>
    </row>
    <row r="3" spans="2:8" ht="40.15" customHeight="1">
      <c r="B3" s="110" t="s">
        <v>555</v>
      </c>
      <c r="C3" s="112">
        <v>2</v>
      </c>
      <c r="D3" s="112">
        <v>3</v>
      </c>
      <c r="E3" s="112">
        <v>3</v>
      </c>
      <c r="F3" s="112">
        <v>4</v>
      </c>
      <c r="G3" s="112">
        <v>5</v>
      </c>
      <c r="H3" s="112" t="s">
        <v>7432</v>
      </c>
    </row>
    <row r="4" spans="2:8" ht="40.15" customHeight="1">
      <c r="B4" s="110" t="s">
        <v>556</v>
      </c>
      <c r="C4" s="112">
        <v>1</v>
      </c>
      <c r="D4" s="112">
        <v>2</v>
      </c>
      <c r="E4" s="112">
        <v>3</v>
      </c>
      <c r="F4" s="112">
        <v>4</v>
      </c>
      <c r="G4" s="112">
        <v>5</v>
      </c>
      <c r="H4" s="112" t="s">
        <v>7432</v>
      </c>
    </row>
    <row r="5" spans="2:8" ht="40.15" customHeight="1">
      <c r="B5" s="110" t="s">
        <v>557</v>
      </c>
      <c r="C5" s="112">
        <v>1</v>
      </c>
      <c r="D5" s="112">
        <v>2</v>
      </c>
      <c r="E5" s="112">
        <v>3</v>
      </c>
      <c r="F5" s="112">
        <v>5</v>
      </c>
      <c r="G5" s="112">
        <v>5</v>
      </c>
      <c r="H5" s="112" t="s">
        <v>7432</v>
      </c>
    </row>
    <row r="6" spans="2:8" ht="40.15" customHeight="1">
      <c r="B6" s="110" t="s">
        <v>558</v>
      </c>
      <c r="C6" s="112">
        <v>1</v>
      </c>
      <c r="D6" s="112">
        <v>2</v>
      </c>
      <c r="E6" s="112">
        <v>4</v>
      </c>
      <c r="F6" s="112">
        <v>4</v>
      </c>
      <c r="G6" s="112">
        <v>5</v>
      </c>
      <c r="H6" s="112" t="s">
        <v>7432</v>
      </c>
    </row>
    <row r="7" spans="2:8" ht="40.15" customHeight="1">
      <c r="B7" s="110" t="s">
        <v>559</v>
      </c>
      <c r="C7" s="112">
        <v>2</v>
      </c>
      <c r="D7" s="112">
        <v>3</v>
      </c>
      <c r="E7" s="112">
        <v>3</v>
      </c>
      <c r="F7" s="112">
        <v>4</v>
      </c>
      <c r="G7" s="112">
        <v>5</v>
      </c>
      <c r="H7" s="112" t="s">
        <v>7432</v>
      </c>
    </row>
    <row r="8" spans="2:8" ht="40.15" customHeight="1">
      <c r="B8" s="110" t="s">
        <v>560</v>
      </c>
      <c r="C8" s="112">
        <v>1</v>
      </c>
      <c r="D8" s="112">
        <v>2</v>
      </c>
      <c r="E8" s="112">
        <v>3</v>
      </c>
      <c r="F8" s="112">
        <v>4</v>
      </c>
      <c r="G8" s="112">
        <v>5</v>
      </c>
      <c r="H8" s="112" t="s">
        <v>7432</v>
      </c>
    </row>
    <row r="9" spans="2:8" ht="40.15" customHeight="1">
      <c r="B9" s="110" t="s">
        <v>561</v>
      </c>
      <c r="C9" s="112">
        <v>1</v>
      </c>
      <c r="D9" s="112">
        <v>2</v>
      </c>
      <c r="E9" s="112">
        <v>3</v>
      </c>
      <c r="F9" s="112">
        <v>4</v>
      </c>
      <c r="G9" s="112">
        <v>5</v>
      </c>
      <c r="H9" s="112" t="s">
        <v>7432</v>
      </c>
    </row>
    <row r="10" spans="2:8" ht="40.15" customHeight="1">
      <c r="B10" s="110" t="s">
        <v>562</v>
      </c>
      <c r="C10" s="112">
        <v>1</v>
      </c>
      <c r="D10" s="112">
        <v>2</v>
      </c>
      <c r="E10" s="112">
        <v>3</v>
      </c>
      <c r="F10" s="112">
        <v>4</v>
      </c>
      <c r="G10" s="112">
        <v>5</v>
      </c>
      <c r="H10" s="112" t="s">
        <v>7432</v>
      </c>
    </row>
    <row r="11" spans="2:8" ht="40.15" customHeight="1">
      <c r="B11" s="110" t="s">
        <v>563</v>
      </c>
      <c r="C11" s="112">
        <v>1</v>
      </c>
      <c r="D11" s="112">
        <v>2</v>
      </c>
      <c r="E11" s="112">
        <v>3</v>
      </c>
      <c r="F11" s="112">
        <v>4</v>
      </c>
      <c r="G11" s="112">
        <v>5</v>
      </c>
      <c r="H11" s="112" t="s">
        <v>7432</v>
      </c>
    </row>
    <row r="12" spans="2:8" ht="40.15" customHeight="1">
      <c r="B12" s="110" t="s">
        <v>564</v>
      </c>
      <c r="C12" s="112">
        <v>2</v>
      </c>
      <c r="D12" s="112">
        <v>3</v>
      </c>
      <c r="E12" s="112">
        <v>4</v>
      </c>
      <c r="F12" s="112">
        <v>5</v>
      </c>
      <c r="G12" s="112">
        <v>5</v>
      </c>
      <c r="H12" s="112" t="s">
        <v>7432</v>
      </c>
    </row>
    <row r="13" spans="2:8" ht="40.15" customHeight="1">
      <c r="B13" s="110" t="s">
        <v>565</v>
      </c>
      <c r="C13" s="112">
        <v>1</v>
      </c>
      <c r="D13" s="112">
        <v>2</v>
      </c>
      <c r="E13" s="112">
        <v>3</v>
      </c>
      <c r="F13" s="112">
        <v>4</v>
      </c>
      <c r="G13" s="112">
        <v>5</v>
      </c>
      <c r="H13" s="112" t="s">
        <v>7432</v>
      </c>
    </row>
    <row r="14" spans="2:8" ht="40.15" customHeight="1">
      <c r="B14" s="110" t="s">
        <v>566</v>
      </c>
      <c r="C14" s="112">
        <v>2</v>
      </c>
      <c r="D14" s="112">
        <v>3</v>
      </c>
      <c r="E14" s="112">
        <v>3</v>
      </c>
      <c r="F14" s="112">
        <v>4</v>
      </c>
      <c r="G14" s="112">
        <v>5</v>
      </c>
      <c r="H14" s="112" t="s">
        <v>7432</v>
      </c>
    </row>
    <row r="15" spans="2:8" ht="40.15" customHeight="1">
      <c r="B15" s="110" t="s">
        <v>567</v>
      </c>
      <c r="C15" s="112">
        <v>1</v>
      </c>
      <c r="D15" s="112">
        <v>2</v>
      </c>
      <c r="E15" s="112">
        <v>3</v>
      </c>
      <c r="F15" s="112">
        <v>4</v>
      </c>
      <c r="G15" s="112">
        <v>5</v>
      </c>
      <c r="H15" s="112" t="s">
        <v>7432</v>
      </c>
    </row>
    <row r="16" spans="2:8" ht="40.15" customHeight="1">
      <c r="B16" s="110" t="s">
        <v>568</v>
      </c>
      <c r="C16" s="112">
        <v>1</v>
      </c>
      <c r="D16" s="112">
        <v>2</v>
      </c>
      <c r="E16" s="112">
        <v>3</v>
      </c>
      <c r="F16" s="112">
        <v>4</v>
      </c>
      <c r="G16" s="112">
        <v>5</v>
      </c>
      <c r="H16" s="112" t="s">
        <v>7432</v>
      </c>
    </row>
    <row r="20" spans="2:9">
      <c r="B20" s="244" t="s">
        <v>538</v>
      </c>
      <c r="C20" s="244" t="s">
        <v>4</v>
      </c>
      <c r="D20" s="244" t="s">
        <v>6</v>
      </c>
      <c r="E20" s="244" t="s">
        <v>7433</v>
      </c>
      <c r="F20" s="244" t="s">
        <v>779</v>
      </c>
      <c r="G20" s="244" t="s">
        <v>838</v>
      </c>
      <c r="H20" s="244" t="s">
        <v>898</v>
      </c>
    </row>
    <row r="21" spans="2:9" ht="72">
      <c r="B21" s="244" t="s">
        <v>555</v>
      </c>
      <c r="C21" s="43" t="s">
        <v>7434</v>
      </c>
      <c r="D21" s="43" t="s">
        <v>7435</v>
      </c>
      <c r="E21" s="43" t="s">
        <v>7436</v>
      </c>
      <c r="F21" s="43" t="s">
        <v>7437</v>
      </c>
      <c r="G21" s="43" t="s">
        <v>7438</v>
      </c>
      <c r="H21" s="43" t="s">
        <v>7439</v>
      </c>
    </row>
    <row r="22" spans="2:9" ht="57.6" customHeight="1">
      <c r="B22" s="317" t="s">
        <v>556</v>
      </c>
      <c r="C22" s="245" t="s">
        <v>7440</v>
      </c>
      <c r="D22" s="245" t="s">
        <v>7441</v>
      </c>
      <c r="E22" s="245" t="s">
        <v>7442</v>
      </c>
      <c r="F22" s="316" t="s">
        <v>7443</v>
      </c>
      <c r="G22" s="316" t="s">
        <v>7444</v>
      </c>
      <c r="H22" s="316" t="s">
        <v>7445</v>
      </c>
    </row>
    <row r="23" spans="2:9" ht="72">
      <c r="B23" s="317"/>
      <c r="C23" s="245" t="s">
        <v>7446</v>
      </c>
      <c r="D23" s="245" t="s">
        <v>7447</v>
      </c>
      <c r="E23" s="245" t="s">
        <v>7448</v>
      </c>
      <c r="F23" s="316"/>
      <c r="G23" s="316"/>
      <c r="H23" s="316"/>
    </row>
    <row r="24" spans="2:9" ht="72" customHeight="1">
      <c r="B24" s="317" t="s">
        <v>557</v>
      </c>
      <c r="C24" s="314" t="s">
        <v>7449</v>
      </c>
      <c r="D24" s="44" t="s">
        <v>7450</v>
      </c>
      <c r="E24" s="314" t="s">
        <v>7451</v>
      </c>
      <c r="F24" s="314" t="s">
        <v>7452</v>
      </c>
      <c r="G24" s="314" t="s">
        <v>7438</v>
      </c>
      <c r="H24" s="314" t="s">
        <v>7439</v>
      </c>
      <c r="I24" s="74"/>
    </row>
    <row r="25" spans="2:9" ht="57.6" customHeight="1">
      <c r="B25" s="317"/>
      <c r="C25" s="314"/>
      <c r="D25" s="43" t="s">
        <v>7453</v>
      </c>
      <c r="E25" s="314"/>
      <c r="F25" s="314"/>
      <c r="G25" s="314"/>
      <c r="H25" s="314"/>
      <c r="I25" s="74"/>
    </row>
    <row r="26" spans="2:9" ht="86.45">
      <c r="B26" s="244" t="s">
        <v>558</v>
      </c>
      <c r="C26" s="44" t="s">
        <v>7454</v>
      </c>
      <c r="D26" s="44" t="s">
        <v>7450</v>
      </c>
      <c r="E26" s="43" t="s">
        <v>7451</v>
      </c>
      <c r="F26" s="246" t="s">
        <v>7455</v>
      </c>
      <c r="G26" s="44" t="s">
        <v>7456</v>
      </c>
      <c r="H26" s="45" t="s">
        <v>7457</v>
      </c>
      <c r="I26" s="75"/>
    </row>
    <row r="27" spans="2:9" ht="72">
      <c r="B27" s="244" t="s">
        <v>559</v>
      </c>
      <c r="C27" s="43" t="s">
        <v>7449</v>
      </c>
      <c r="D27" s="43" t="s">
        <v>7458</v>
      </c>
      <c r="E27" s="43" t="s">
        <v>7436</v>
      </c>
      <c r="F27" s="43" t="s">
        <v>7459</v>
      </c>
      <c r="G27" s="43" t="s">
        <v>7438</v>
      </c>
      <c r="H27" s="43" t="s">
        <v>7439</v>
      </c>
      <c r="I27" s="75"/>
    </row>
    <row r="28" spans="2:9" ht="72">
      <c r="B28" s="244" t="s">
        <v>560</v>
      </c>
      <c r="C28" s="44" t="s">
        <v>7460</v>
      </c>
      <c r="D28" s="44" t="s">
        <v>7450</v>
      </c>
      <c r="E28" s="44" t="s">
        <v>7461</v>
      </c>
      <c r="F28" s="44" t="s">
        <v>7462</v>
      </c>
      <c r="G28" s="44" t="s">
        <v>7456</v>
      </c>
      <c r="H28" s="45" t="s">
        <v>7457</v>
      </c>
      <c r="I28" s="74"/>
    </row>
    <row r="29" spans="2:9" ht="72">
      <c r="B29" s="317" t="s">
        <v>561</v>
      </c>
      <c r="C29" s="246" t="s">
        <v>7463</v>
      </c>
      <c r="D29" s="246" t="s">
        <v>7464</v>
      </c>
      <c r="E29" s="318" t="s">
        <v>7465</v>
      </c>
      <c r="F29" s="246" t="s">
        <v>7466</v>
      </c>
      <c r="G29" s="318" t="s">
        <v>7467</v>
      </c>
      <c r="H29" s="319" t="s">
        <v>7468</v>
      </c>
      <c r="I29" s="74"/>
    </row>
    <row r="30" spans="2:9" ht="72">
      <c r="B30" s="317"/>
      <c r="C30" s="246" t="s">
        <v>7469</v>
      </c>
      <c r="D30" s="246" t="s">
        <v>7470</v>
      </c>
      <c r="E30" s="318"/>
      <c r="F30" s="46" t="s">
        <v>7471</v>
      </c>
      <c r="G30" s="318"/>
      <c r="H30" s="319"/>
      <c r="I30" s="74"/>
    </row>
    <row r="31" spans="2:9" ht="72">
      <c r="B31" s="244" t="s">
        <v>562</v>
      </c>
      <c r="C31" s="44" t="s">
        <v>7460</v>
      </c>
      <c r="D31" s="44" t="s">
        <v>7472</v>
      </c>
      <c r="E31" s="246" t="s">
        <v>7473</v>
      </c>
      <c r="F31" s="43" t="s">
        <v>7452</v>
      </c>
      <c r="G31" s="44" t="s">
        <v>7456</v>
      </c>
      <c r="H31" s="45" t="s">
        <v>7457</v>
      </c>
      <c r="I31" s="74"/>
    </row>
    <row r="32" spans="2:9" ht="57.6">
      <c r="B32" s="244" t="s">
        <v>563</v>
      </c>
      <c r="C32" s="44" t="s">
        <v>7460</v>
      </c>
      <c r="D32" s="44" t="s">
        <v>7472</v>
      </c>
      <c r="E32" s="44" t="s">
        <v>7474</v>
      </c>
      <c r="F32" s="44" t="s">
        <v>7475</v>
      </c>
      <c r="G32" s="44" t="s">
        <v>7456</v>
      </c>
      <c r="H32" s="45" t="s">
        <v>7457</v>
      </c>
      <c r="I32" s="74"/>
    </row>
    <row r="33" spans="1:9" ht="86.45">
      <c r="B33" s="317" t="s">
        <v>564</v>
      </c>
      <c r="C33" s="314" t="s">
        <v>7434</v>
      </c>
      <c r="D33" s="314" t="s">
        <v>7453</v>
      </c>
      <c r="E33" s="46" t="s">
        <v>7476</v>
      </c>
      <c r="F33" s="46" t="s">
        <v>7471</v>
      </c>
      <c r="G33" s="46" t="s">
        <v>7477</v>
      </c>
      <c r="H33" s="46" t="s">
        <v>7478</v>
      </c>
      <c r="I33" s="74"/>
    </row>
    <row r="34" spans="1:9" ht="57.6" customHeight="1">
      <c r="B34" s="317"/>
      <c r="C34" s="314"/>
      <c r="D34" s="314"/>
      <c r="E34" s="315" t="s">
        <v>7479</v>
      </c>
      <c r="F34" s="316" t="s">
        <v>7480</v>
      </c>
      <c r="G34" s="46" t="s">
        <v>7481</v>
      </c>
      <c r="H34" s="314" t="s">
        <v>7439</v>
      </c>
    </row>
    <row r="35" spans="1:9" ht="57.6">
      <c r="B35" s="317"/>
      <c r="C35" s="314"/>
      <c r="D35" s="314"/>
      <c r="E35" s="315"/>
      <c r="F35" s="316"/>
      <c r="G35" s="245" t="s">
        <v>7444</v>
      </c>
      <c r="H35" s="314"/>
    </row>
    <row r="36" spans="1:9" ht="100.9" customHeight="1">
      <c r="B36" s="244" t="s">
        <v>565</v>
      </c>
      <c r="C36" s="246" t="s">
        <v>7463</v>
      </c>
      <c r="D36" s="46" t="s">
        <v>7482</v>
      </c>
      <c r="E36" s="46" t="s">
        <v>7483</v>
      </c>
      <c r="F36" s="46" t="s">
        <v>7484</v>
      </c>
      <c r="G36" s="46" t="s">
        <v>7485</v>
      </c>
      <c r="H36" s="46" t="s">
        <v>7486</v>
      </c>
    </row>
    <row r="37" spans="1:9" ht="72">
      <c r="B37" s="244" t="s">
        <v>566</v>
      </c>
      <c r="C37" s="46" t="s">
        <v>7487</v>
      </c>
      <c r="D37" s="46" t="s">
        <v>7488</v>
      </c>
      <c r="E37" s="46" t="s">
        <v>7489</v>
      </c>
      <c r="F37" s="246" t="s">
        <v>7455</v>
      </c>
      <c r="G37" s="46" t="s">
        <v>7477</v>
      </c>
      <c r="H37" s="46" t="s">
        <v>7478</v>
      </c>
    </row>
    <row r="38" spans="1:9" ht="86.45">
      <c r="B38" s="244" t="s">
        <v>7490</v>
      </c>
      <c r="C38" s="46" t="s">
        <v>7491</v>
      </c>
      <c r="D38" s="44" t="s">
        <v>7472</v>
      </c>
      <c r="E38" s="46" t="s">
        <v>7476</v>
      </c>
      <c r="F38" s="46" t="s">
        <v>7492</v>
      </c>
      <c r="G38" s="46" t="s">
        <v>7477</v>
      </c>
      <c r="H38" s="46" t="s">
        <v>7478</v>
      </c>
    </row>
    <row r="39" spans="1:9" ht="86.45">
      <c r="B39" s="244" t="s">
        <v>568</v>
      </c>
      <c r="C39" s="43" t="s">
        <v>7449</v>
      </c>
      <c r="D39" s="46" t="s">
        <v>7482</v>
      </c>
      <c r="E39" s="43" t="s">
        <v>7451</v>
      </c>
      <c r="F39" s="46" t="s">
        <v>7471</v>
      </c>
      <c r="G39" s="46" t="s">
        <v>7477</v>
      </c>
      <c r="H39" s="43" t="s">
        <v>7439</v>
      </c>
    </row>
    <row r="46" spans="1:9" ht="28.9">
      <c r="A46" s="47" t="s">
        <v>7493</v>
      </c>
      <c r="B46" s="48" t="s">
        <v>5429</v>
      </c>
      <c r="C46" s="49" t="s">
        <v>7494</v>
      </c>
      <c r="D46" s="50" t="s">
        <v>7495</v>
      </c>
      <c r="E46" s="51" t="s">
        <v>7496</v>
      </c>
      <c r="F46" s="52" t="s">
        <v>7497</v>
      </c>
      <c r="G46" s="247" t="s">
        <v>7498</v>
      </c>
    </row>
    <row r="47" spans="1:9" ht="57.6">
      <c r="A47" s="53">
        <v>1</v>
      </c>
      <c r="B47" s="306" t="s">
        <v>4</v>
      </c>
      <c r="C47" s="248" t="s">
        <v>7460</v>
      </c>
      <c r="D47" s="55" t="s">
        <v>7487</v>
      </c>
      <c r="E47" s="54" t="s">
        <v>7463</v>
      </c>
      <c r="F47" s="42" t="s">
        <v>7449</v>
      </c>
      <c r="G47" s="249" t="s">
        <v>7440</v>
      </c>
    </row>
    <row r="48" spans="1:9" ht="72">
      <c r="A48" s="53">
        <f>A47+1</f>
        <v>2</v>
      </c>
      <c r="B48" s="306"/>
      <c r="C48" s="248" t="s">
        <v>7454</v>
      </c>
      <c r="D48" s="55" t="s">
        <v>7491</v>
      </c>
      <c r="E48" s="54" t="s">
        <v>7469</v>
      </c>
      <c r="F48" s="42" t="s">
        <v>7434</v>
      </c>
      <c r="G48" s="249" t="s">
        <v>7446</v>
      </c>
    </row>
    <row r="49" spans="1:7" ht="72">
      <c r="A49" s="53">
        <f t="shared" ref="A49:A63" si="0">A48+1</f>
        <v>3</v>
      </c>
      <c r="B49" s="306" t="s">
        <v>6</v>
      </c>
      <c r="C49" s="248" t="s">
        <v>7450</v>
      </c>
      <c r="D49" s="55" t="s">
        <v>7482</v>
      </c>
      <c r="E49" s="54" t="s">
        <v>7464</v>
      </c>
      <c r="F49" s="42" t="s">
        <v>7458</v>
      </c>
      <c r="G49" s="249" t="s">
        <v>7441</v>
      </c>
    </row>
    <row r="50" spans="1:7" ht="72">
      <c r="A50" s="53">
        <f t="shared" si="0"/>
        <v>4</v>
      </c>
      <c r="B50" s="306"/>
      <c r="C50" s="311" t="s">
        <v>7472</v>
      </c>
      <c r="D50" s="313" t="s">
        <v>7488</v>
      </c>
      <c r="E50" s="312" t="s">
        <v>7470</v>
      </c>
      <c r="F50" s="42" t="s">
        <v>7435</v>
      </c>
      <c r="G50" s="310" t="s">
        <v>7447</v>
      </c>
    </row>
    <row r="51" spans="1:7" ht="72">
      <c r="A51" s="53">
        <f t="shared" si="0"/>
        <v>5</v>
      </c>
      <c r="B51" s="306"/>
      <c r="C51" s="311"/>
      <c r="D51" s="313"/>
      <c r="E51" s="312"/>
      <c r="F51" s="42" t="s">
        <v>7453</v>
      </c>
      <c r="G51" s="310"/>
    </row>
    <row r="52" spans="1:7" ht="72">
      <c r="A52" s="53">
        <f t="shared" si="0"/>
        <v>6</v>
      </c>
      <c r="B52" s="306" t="s">
        <v>7499</v>
      </c>
      <c r="C52" s="248" t="s">
        <v>7474</v>
      </c>
      <c r="D52" s="55" t="s">
        <v>7489</v>
      </c>
      <c r="E52" s="54" t="s">
        <v>7465</v>
      </c>
      <c r="F52" s="42" t="s">
        <v>7436</v>
      </c>
      <c r="G52" s="249" t="s">
        <v>7442</v>
      </c>
    </row>
    <row r="53" spans="1:7" ht="86.45">
      <c r="A53" s="53">
        <f t="shared" si="0"/>
        <v>7</v>
      </c>
      <c r="B53" s="306"/>
      <c r="C53" s="311" t="s">
        <v>7461</v>
      </c>
      <c r="D53" s="55" t="s">
        <v>7476</v>
      </c>
      <c r="E53" s="312" t="s">
        <v>7473</v>
      </c>
      <c r="F53" s="309" t="s">
        <v>7451</v>
      </c>
      <c r="G53" s="310" t="s">
        <v>7448</v>
      </c>
    </row>
    <row r="54" spans="1:7" ht="57.6">
      <c r="A54" s="53">
        <f t="shared" si="0"/>
        <v>8</v>
      </c>
      <c r="B54" s="306"/>
      <c r="C54" s="311"/>
      <c r="D54" s="55" t="s">
        <v>7483</v>
      </c>
      <c r="E54" s="312"/>
      <c r="F54" s="309"/>
      <c r="G54" s="310"/>
    </row>
    <row r="55" spans="1:7" ht="72">
      <c r="A55" s="53">
        <f t="shared" si="0"/>
        <v>9</v>
      </c>
      <c r="B55" s="306"/>
      <c r="C55" s="311"/>
      <c r="D55" s="55" t="s">
        <v>7479</v>
      </c>
      <c r="E55" s="312"/>
      <c r="F55" s="309"/>
      <c r="G55" s="310"/>
    </row>
    <row r="56" spans="1:7" ht="57.6">
      <c r="A56" s="53">
        <f t="shared" si="0"/>
        <v>10</v>
      </c>
      <c r="B56" s="306" t="s">
        <v>779</v>
      </c>
      <c r="C56" s="248" t="s">
        <v>7475</v>
      </c>
      <c r="D56" s="55" t="s">
        <v>7471</v>
      </c>
      <c r="E56" s="54" t="s">
        <v>7466</v>
      </c>
      <c r="F56" s="42" t="s">
        <v>7437</v>
      </c>
      <c r="G56" s="249" t="s">
        <v>7443</v>
      </c>
    </row>
    <row r="57" spans="1:7" ht="72">
      <c r="A57" s="53">
        <f t="shared" si="0"/>
        <v>11</v>
      </c>
      <c r="B57" s="306"/>
      <c r="C57" s="311" t="s">
        <v>7462</v>
      </c>
      <c r="D57" s="55" t="s">
        <v>7492</v>
      </c>
      <c r="E57" s="312" t="s">
        <v>7455</v>
      </c>
      <c r="F57" s="42" t="s">
        <v>7452</v>
      </c>
      <c r="G57" s="310" t="s">
        <v>7480</v>
      </c>
    </row>
    <row r="58" spans="1:7" ht="72">
      <c r="A58" s="53">
        <f t="shared" si="0"/>
        <v>12</v>
      </c>
      <c r="B58" s="306"/>
      <c r="C58" s="311"/>
      <c r="D58" s="55" t="s">
        <v>7484</v>
      </c>
      <c r="E58" s="312"/>
      <c r="F58" s="42" t="s">
        <v>7459</v>
      </c>
      <c r="G58" s="310"/>
    </row>
    <row r="59" spans="1:7" ht="72">
      <c r="A59" s="53">
        <f t="shared" si="0"/>
        <v>13</v>
      </c>
      <c r="B59" s="306" t="s">
        <v>838</v>
      </c>
      <c r="C59" s="311" t="s">
        <v>7456</v>
      </c>
      <c r="D59" s="55" t="s">
        <v>7477</v>
      </c>
      <c r="E59" s="312" t="s">
        <v>7467</v>
      </c>
      <c r="F59" s="309" t="s">
        <v>7438</v>
      </c>
      <c r="G59" s="310" t="s">
        <v>7444</v>
      </c>
    </row>
    <row r="60" spans="1:7" ht="57.6">
      <c r="A60" s="53">
        <f t="shared" si="0"/>
        <v>14</v>
      </c>
      <c r="B60" s="306"/>
      <c r="C60" s="311"/>
      <c r="D60" s="55" t="s">
        <v>7485</v>
      </c>
      <c r="E60" s="312"/>
      <c r="F60" s="309"/>
      <c r="G60" s="310"/>
    </row>
    <row r="61" spans="1:7" ht="57.6">
      <c r="A61" s="53">
        <f t="shared" si="0"/>
        <v>15</v>
      </c>
      <c r="B61" s="306"/>
      <c r="C61" s="311"/>
      <c r="D61" s="55" t="s">
        <v>7481</v>
      </c>
      <c r="E61" s="312"/>
      <c r="F61" s="309"/>
      <c r="G61" s="310"/>
    </row>
    <row r="62" spans="1:7" ht="57.6">
      <c r="A62" s="53">
        <f t="shared" si="0"/>
        <v>16</v>
      </c>
      <c r="B62" s="306" t="s">
        <v>898</v>
      </c>
      <c r="C62" s="307" t="s">
        <v>7457</v>
      </c>
      <c r="D62" s="55" t="s">
        <v>7478</v>
      </c>
      <c r="E62" s="308" t="s">
        <v>7468</v>
      </c>
      <c r="F62" s="309" t="s">
        <v>7439</v>
      </c>
      <c r="G62" s="310" t="s">
        <v>7445</v>
      </c>
    </row>
    <row r="63" spans="1:7" ht="72">
      <c r="A63" s="53">
        <f t="shared" si="0"/>
        <v>17</v>
      </c>
      <c r="B63" s="306"/>
      <c r="C63" s="307"/>
      <c r="D63" s="55" t="s">
        <v>7486</v>
      </c>
      <c r="E63" s="308"/>
      <c r="F63" s="309"/>
      <c r="G63" s="310"/>
    </row>
    <row r="69" spans="2:3">
      <c r="B69" t="s">
        <v>7500</v>
      </c>
    </row>
    <row r="70" spans="2:3">
      <c r="B70" t="s">
        <v>7501</v>
      </c>
    </row>
    <row r="71" spans="2:3">
      <c r="B71" t="s">
        <v>7502</v>
      </c>
    </row>
    <row r="72" spans="2:3" ht="57.6" customHeight="1"/>
    <row r="74" spans="2:3">
      <c r="B74" t="s">
        <v>7503</v>
      </c>
    </row>
    <row r="75" spans="2:3" ht="57.6" customHeight="1">
      <c r="B75" t="s">
        <v>7504</v>
      </c>
    </row>
    <row r="76" spans="2:3">
      <c r="B76" s="57" t="s">
        <v>26</v>
      </c>
      <c r="C76" s="57" t="s">
        <v>7505</v>
      </c>
    </row>
    <row r="77" spans="2:3">
      <c r="B77" s="58" t="s">
        <v>7506</v>
      </c>
      <c r="C77" s="58" t="s">
        <v>7507</v>
      </c>
    </row>
    <row r="78" spans="2:3">
      <c r="B78" s="58" t="s">
        <v>7508</v>
      </c>
      <c r="C78" s="58" t="s">
        <v>7509</v>
      </c>
    </row>
    <row r="79" spans="2:3">
      <c r="B79" s="58" t="s">
        <v>7510</v>
      </c>
      <c r="C79" s="58" t="s">
        <v>7511</v>
      </c>
    </row>
    <row r="80" spans="2:3">
      <c r="B80" s="58" t="s">
        <v>7512</v>
      </c>
      <c r="C80" s="58" t="s">
        <v>7513</v>
      </c>
    </row>
    <row r="81" spans="2:6">
      <c r="B81" s="58" t="s">
        <v>7514</v>
      </c>
      <c r="C81" s="58" t="s">
        <v>7515</v>
      </c>
    </row>
    <row r="85" spans="2:6">
      <c r="B85" s="58" t="s">
        <v>7516</v>
      </c>
    </row>
    <row r="86" spans="2:6">
      <c r="B86" s="76" t="s">
        <v>7517</v>
      </c>
      <c r="C86" s="76" t="s">
        <v>7518</v>
      </c>
      <c r="D86" s="76" t="s">
        <v>7519</v>
      </c>
      <c r="E86" s="76" t="s">
        <v>7520</v>
      </c>
      <c r="F86" s="76" t="s">
        <v>7521</v>
      </c>
    </row>
    <row r="87" spans="2:6">
      <c r="B87" s="77">
        <v>0.15</v>
      </c>
      <c r="C87" s="77">
        <v>0.1</v>
      </c>
      <c r="D87" s="77">
        <v>0.1</v>
      </c>
      <c r="E87" s="78">
        <v>7.4999999999999997E-2</v>
      </c>
      <c r="F87" s="77">
        <v>0.05</v>
      </c>
    </row>
    <row r="88" spans="2:6">
      <c r="B88" s="77">
        <v>0.2</v>
      </c>
      <c r="C88" s="77">
        <v>0.1</v>
      </c>
      <c r="D88" s="77">
        <v>0.1</v>
      </c>
      <c r="E88" s="78">
        <v>7.4999999999999997E-2</v>
      </c>
      <c r="F88" s="77">
        <v>0.05</v>
      </c>
    </row>
    <row r="89" spans="2:6">
      <c r="B89" s="77">
        <v>0.1</v>
      </c>
      <c r="C89" s="77">
        <v>0.15</v>
      </c>
      <c r="D89" s="77">
        <v>0.1</v>
      </c>
      <c r="E89" s="77">
        <v>0.1</v>
      </c>
      <c r="F89" s="78">
        <v>7.4999999999999997E-2</v>
      </c>
    </row>
    <row r="90" spans="2:6">
      <c r="B90" s="77">
        <v>0.1</v>
      </c>
      <c r="C90" s="77">
        <v>0.2</v>
      </c>
      <c r="D90" s="77">
        <v>0.1</v>
      </c>
      <c r="E90" s="77">
        <v>0.1</v>
      </c>
      <c r="F90" s="78">
        <v>7.4999999999999997E-2</v>
      </c>
    </row>
    <row r="91" spans="2:6">
      <c r="B91" s="77">
        <v>0.1</v>
      </c>
      <c r="C91" s="77">
        <v>0.1</v>
      </c>
      <c r="D91" s="77">
        <v>0.15</v>
      </c>
      <c r="E91" s="77">
        <v>0.1</v>
      </c>
      <c r="F91" s="77">
        <v>0.1</v>
      </c>
    </row>
    <row r="92" spans="2:6">
      <c r="B92" s="77">
        <v>0.1</v>
      </c>
      <c r="C92" s="77">
        <v>0.1</v>
      </c>
      <c r="D92" s="77">
        <v>0.2</v>
      </c>
      <c r="E92" s="77">
        <v>0.1</v>
      </c>
      <c r="F92" s="77">
        <v>0.1</v>
      </c>
    </row>
    <row r="93" spans="2:6">
      <c r="B93" s="78">
        <v>7.4999999999999997E-2</v>
      </c>
      <c r="C93" s="78">
        <v>7.4999999999999997E-2</v>
      </c>
      <c r="D93" s="78">
        <v>7.4999999999999997E-2</v>
      </c>
      <c r="E93" s="77">
        <v>0.15</v>
      </c>
      <c r="F93" s="77">
        <v>0.1</v>
      </c>
    </row>
    <row r="94" spans="2:6">
      <c r="B94" s="78">
        <v>7.4999999999999997E-2</v>
      </c>
      <c r="C94" s="78">
        <v>7.4999999999999997E-2</v>
      </c>
      <c r="D94" s="78">
        <v>7.4999999999999997E-2</v>
      </c>
      <c r="E94" s="77">
        <v>0.2</v>
      </c>
      <c r="F94" s="77">
        <v>0.1</v>
      </c>
    </row>
    <row r="95" spans="2:6">
      <c r="B95" s="77">
        <v>0.05</v>
      </c>
      <c r="C95" s="77">
        <v>0.05</v>
      </c>
      <c r="D95" s="77">
        <v>0.05</v>
      </c>
      <c r="E95" s="77">
        <v>0.05</v>
      </c>
      <c r="F95" s="77">
        <v>0.15</v>
      </c>
    </row>
    <row r="96" spans="2:6">
      <c r="B96" s="77">
        <v>0.05</v>
      </c>
      <c r="C96" s="77">
        <v>0.05</v>
      </c>
      <c r="D96" s="77">
        <v>0.05</v>
      </c>
      <c r="E96" s="77">
        <v>0.05</v>
      </c>
      <c r="F96" s="77">
        <v>0.2</v>
      </c>
    </row>
    <row r="99" spans="2:8">
      <c r="B99" t="s">
        <v>7522</v>
      </c>
    </row>
    <row r="101" spans="2:8">
      <c r="B101" t="s">
        <v>4</v>
      </c>
    </row>
    <row r="102" spans="2:8">
      <c r="B102" t="s">
        <v>6</v>
      </c>
    </row>
    <row r="103" spans="2:8">
      <c r="B103" t="s">
        <v>13</v>
      </c>
    </row>
    <row r="104" spans="2:8">
      <c r="B104" t="s">
        <v>779</v>
      </c>
    </row>
    <row r="105" spans="2:8">
      <c r="B105" t="s">
        <v>838</v>
      </c>
    </row>
    <row r="111" spans="2:8" hidden="1">
      <c r="B111" t="s">
        <v>7523</v>
      </c>
    </row>
    <row r="112" spans="2:8" ht="28.9" hidden="1">
      <c r="B112" s="120" t="s">
        <v>7494</v>
      </c>
      <c r="C112" s="121" t="s">
        <v>7517</v>
      </c>
      <c r="D112" s="121" t="s">
        <v>7518</v>
      </c>
      <c r="E112" s="121" t="s">
        <v>7519</v>
      </c>
      <c r="F112" s="121" t="s">
        <v>7520</v>
      </c>
      <c r="G112" s="121" t="s">
        <v>7521</v>
      </c>
      <c r="H112" s="121" t="s">
        <v>898</v>
      </c>
    </row>
    <row r="113" spans="2:8" ht="43.15" hidden="1">
      <c r="B113" s="116" t="s">
        <v>7524</v>
      </c>
      <c r="C113" s="117">
        <v>4</v>
      </c>
      <c r="D113" s="117">
        <v>4</v>
      </c>
      <c r="E113" s="117">
        <v>4</v>
      </c>
      <c r="F113" s="117">
        <v>4</v>
      </c>
      <c r="G113" s="117">
        <v>4</v>
      </c>
      <c r="H113" s="117">
        <v>4</v>
      </c>
    </row>
    <row r="114" spans="2:8" ht="43.15" hidden="1">
      <c r="B114" s="116" t="s">
        <v>7525</v>
      </c>
      <c r="C114" s="117">
        <v>4</v>
      </c>
      <c r="D114" s="117">
        <v>4</v>
      </c>
      <c r="E114" s="117">
        <v>4</v>
      </c>
      <c r="F114" s="117">
        <v>4</v>
      </c>
      <c r="G114" s="117">
        <v>4</v>
      </c>
      <c r="H114" s="117">
        <v>4</v>
      </c>
    </row>
    <row r="115" spans="2:8" ht="43.15" hidden="1">
      <c r="B115" s="116" t="s">
        <v>7526</v>
      </c>
      <c r="C115" s="117">
        <v>3</v>
      </c>
      <c r="D115" s="117">
        <v>4</v>
      </c>
      <c r="E115" s="117">
        <v>4</v>
      </c>
      <c r="F115" s="117">
        <v>4</v>
      </c>
      <c r="G115" s="117">
        <v>4</v>
      </c>
      <c r="H115" s="117">
        <v>4</v>
      </c>
    </row>
    <row r="116" spans="2:8" ht="43.15" hidden="1">
      <c r="B116" s="116" t="s">
        <v>7527</v>
      </c>
      <c r="C116" s="117">
        <v>3</v>
      </c>
      <c r="D116" s="117">
        <v>4</v>
      </c>
      <c r="E116" s="117">
        <v>4</v>
      </c>
      <c r="F116" s="117">
        <v>4</v>
      </c>
      <c r="G116" s="117">
        <v>4</v>
      </c>
      <c r="H116" s="117">
        <v>4</v>
      </c>
    </row>
    <row r="117" spans="2:8" ht="43.15" hidden="1">
      <c r="B117" s="116" t="s">
        <v>7528</v>
      </c>
      <c r="C117" s="117">
        <v>3</v>
      </c>
      <c r="D117" s="117">
        <v>3</v>
      </c>
      <c r="E117" s="117">
        <v>4</v>
      </c>
      <c r="F117" s="117">
        <v>4</v>
      </c>
      <c r="G117" s="117">
        <v>4</v>
      </c>
      <c r="H117" s="117">
        <v>4</v>
      </c>
    </row>
    <row r="118" spans="2:8" ht="57.6" hidden="1">
      <c r="B118" s="116" t="s">
        <v>7529</v>
      </c>
      <c r="C118" s="117">
        <v>3</v>
      </c>
      <c r="D118" s="117">
        <v>3</v>
      </c>
      <c r="E118" s="117">
        <v>4</v>
      </c>
      <c r="F118" s="117">
        <v>4</v>
      </c>
      <c r="G118" s="117">
        <v>4</v>
      </c>
      <c r="H118" s="117">
        <v>4</v>
      </c>
    </row>
    <row r="119" spans="2:8" ht="43.15" hidden="1">
      <c r="B119" s="116" t="s">
        <v>7530</v>
      </c>
      <c r="C119" s="117">
        <v>3</v>
      </c>
      <c r="D119" s="117">
        <v>3</v>
      </c>
      <c r="E119" s="117">
        <v>3</v>
      </c>
      <c r="F119" s="117">
        <v>4</v>
      </c>
      <c r="G119" s="117">
        <v>4</v>
      </c>
      <c r="H119" s="117">
        <v>4</v>
      </c>
    </row>
    <row r="120" spans="2:8" ht="43.15" hidden="1">
      <c r="B120" s="116" t="s">
        <v>7531</v>
      </c>
      <c r="C120" s="117">
        <v>3</v>
      </c>
      <c r="D120" s="117">
        <v>3</v>
      </c>
      <c r="E120" s="117">
        <v>3</v>
      </c>
      <c r="F120" s="117">
        <v>4</v>
      </c>
      <c r="G120" s="117">
        <v>4</v>
      </c>
      <c r="H120" s="117">
        <v>4</v>
      </c>
    </row>
    <row r="121" spans="2:8" ht="43.15" hidden="1">
      <c r="B121" s="116" t="s">
        <v>7532</v>
      </c>
      <c r="C121" s="117">
        <v>3</v>
      </c>
      <c r="D121" s="117">
        <v>3</v>
      </c>
      <c r="E121" s="117">
        <v>3</v>
      </c>
      <c r="F121" s="117">
        <v>3</v>
      </c>
      <c r="G121" s="117">
        <v>4</v>
      </c>
      <c r="H121" s="117">
        <v>4</v>
      </c>
    </row>
    <row r="122" spans="2:8" ht="43.15" hidden="1">
      <c r="B122" s="116" t="s">
        <v>7533</v>
      </c>
      <c r="C122" s="117">
        <v>3</v>
      </c>
      <c r="D122" s="117">
        <v>3</v>
      </c>
      <c r="E122" s="117">
        <v>3</v>
      </c>
      <c r="F122" s="117">
        <v>3</v>
      </c>
      <c r="G122" s="117">
        <v>3</v>
      </c>
      <c r="H122" s="117">
        <v>4</v>
      </c>
    </row>
    <row r="123" spans="2:8" hidden="1"/>
    <row r="124" spans="2:8" hidden="1"/>
    <row r="125" spans="2:8" ht="28.9" hidden="1">
      <c r="B125" s="122" t="s">
        <v>7495</v>
      </c>
      <c r="C125" s="123" t="s">
        <v>7517</v>
      </c>
      <c r="D125" s="123" t="s">
        <v>7518</v>
      </c>
      <c r="E125" s="123" t="s">
        <v>7519</v>
      </c>
      <c r="F125" s="123" t="s">
        <v>7520</v>
      </c>
      <c r="G125" s="123" t="s">
        <v>7521</v>
      </c>
      <c r="H125" s="123" t="s">
        <v>898</v>
      </c>
    </row>
    <row r="126" spans="2:8" ht="43.15" hidden="1">
      <c r="B126" s="116" t="s">
        <v>7534</v>
      </c>
      <c r="C126" s="117">
        <v>4</v>
      </c>
      <c r="D126" s="117">
        <v>4</v>
      </c>
      <c r="E126" s="117">
        <v>4</v>
      </c>
      <c r="F126" s="117">
        <v>4</v>
      </c>
      <c r="G126" s="117">
        <v>4</v>
      </c>
      <c r="H126" s="117">
        <v>4</v>
      </c>
    </row>
    <row r="127" spans="2:8" ht="43.15" hidden="1">
      <c r="B127" s="116" t="s">
        <v>7535</v>
      </c>
      <c r="C127" s="117">
        <v>4</v>
      </c>
      <c r="D127" s="117">
        <v>4</v>
      </c>
      <c r="E127" s="117">
        <v>4</v>
      </c>
      <c r="F127" s="117">
        <v>4</v>
      </c>
      <c r="G127" s="117">
        <v>4</v>
      </c>
      <c r="H127" s="117">
        <v>4</v>
      </c>
    </row>
    <row r="128" spans="2:8" ht="43.15" hidden="1">
      <c r="B128" s="116" t="s">
        <v>7536</v>
      </c>
      <c r="C128" s="117">
        <v>3</v>
      </c>
      <c r="D128" s="117">
        <v>4</v>
      </c>
      <c r="E128" s="117">
        <v>4</v>
      </c>
      <c r="F128" s="117">
        <v>4</v>
      </c>
      <c r="G128" s="117">
        <v>4</v>
      </c>
      <c r="H128" s="117">
        <v>4</v>
      </c>
    </row>
    <row r="129" spans="2:8" ht="43.15" hidden="1">
      <c r="B129" s="116" t="s">
        <v>7537</v>
      </c>
      <c r="C129" s="117">
        <v>3</v>
      </c>
      <c r="D129" s="117">
        <v>4</v>
      </c>
      <c r="E129" s="117">
        <v>4</v>
      </c>
      <c r="F129" s="117">
        <v>4</v>
      </c>
      <c r="G129" s="117">
        <v>4</v>
      </c>
      <c r="H129" s="117">
        <v>4</v>
      </c>
    </row>
    <row r="130" spans="2:8" ht="57.6" hidden="1">
      <c r="B130" s="116" t="s">
        <v>7538</v>
      </c>
      <c r="C130" s="117">
        <v>3</v>
      </c>
      <c r="D130" s="117">
        <v>3</v>
      </c>
      <c r="E130" s="117">
        <v>4</v>
      </c>
      <c r="F130" s="117">
        <v>4</v>
      </c>
      <c r="G130" s="117">
        <v>4</v>
      </c>
      <c r="H130" s="117">
        <v>4</v>
      </c>
    </row>
    <row r="131" spans="2:8" ht="57.6" hidden="1">
      <c r="B131" s="116" t="s">
        <v>7539</v>
      </c>
      <c r="C131" s="117">
        <v>3</v>
      </c>
      <c r="D131" s="117">
        <v>3</v>
      </c>
      <c r="E131" s="117">
        <v>4</v>
      </c>
      <c r="F131" s="117">
        <v>4</v>
      </c>
      <c r="G131" s="117">
        <v>4</v>
      </c>
      <c r="H131" s="117">
        <v>4</v>
      </c>
    </row>
    <row r="132" spans="2:8" ht="43.15" hidden="1">
      <c r="B132" s="116" t="s">
        <v>7540</v>
      </c>
      <c r="C132" s="117">
        <v>3</v>
      </c>
      <c r="D132" s="117">
        <v>3</v>
      </c>
      <c r="E132" s="117">
        <v>3</v>
      </c>
      <c r="F132" s="117">
        <v>4</v>
      </c>
      <c r="G132" s="117">
        <v>4</v>
      </c>
      <c r="H132" s="117">
        <v>4</v>
      </c>
    </row>
    <row r="133" spans="2:8" ht="43.15" hidden="1">
      <c r="B133" s="116" t="s">
        <v>7541</v>
      </c>
      <c r="C133" s="117">
        <v>3</v>
      </c>
      <c r="D133" s="117">
        <v>3</v>
      </c>
      <c r="E133" s="117">
        <v>3</v>
      </c>
      <c r="F133" s="117">
        <v>4</v>
      </c>
      <c r="G133" s="117">
        <v>4</v>
      </c>
      <c r="H133" s="117">
        <v>4</v>
      </c>
    </row>
    <row r="134" spans="2:8" ht="57.6" hidden="1">
      <c r="B134" s="116" t="s">
        <v>7542</v>
      </c>
      <c r="C134" s="117">
        <v>3</v>
      </c>
      <c r="D134" s="117">
        <v>3</v>
      </c>
      <c r="E134" s="117">
        <v>3</v>
      </c>
      <c r="F134" s="117">
        <v>3</v>
      </c>
      <c r="G134" s="117">
        <v>4</v>
      </c>
      <c r="H134" s="117">
        <v>4</v>
      </c>
    </row>
    <row r="135" spans="2:8" ht="43.15" hidden="1">
      <c r="B135" s="116" t="s">
        <v>7543</v>
      </c>
      <c r="C135" s="117">
        <v>3</v>
      </c>
      <c r="D135" s="117">
        <v>3</v>
      </c>
      <c r="E135" s="117">
        <v>3</v>
      </c>
      <c r="F135" s="117">
        <v>3</v>
      </c>
      <c r="G135" s="117">
        <v>3</v>
      </c>
      <c r="H135" s="117">
        <v>4</v>
      </c>
    </row>
    <row r="136" spans="2:8" hidden="1"/>
    <row r="137" spans="2:8" hidden="1"/>
    <row r="138" spans="2:8" ht="28.9" hidden="1">
      <c r="B138" s="124" t="s">
        <v>7496</v>
      </c>
      <c r="C138" s="125" t="s">
        <v>7517</v>
      </c>
      <c r="D138" s="125" t="s">
        <v>7518</v>
      </c>
      <c r="E138" s="125" t="s">
        <v>7519</v>
      </c>
      <c r="F138" s="125" t="s">
        <v>7520</v>
      </c>
      <c r="G138" s="125" t="s">
        <v>7521</v>
      </c>
      <c r="H138" s="125" t="s">
        <v>898</v>
      </c>
    </row>
    <row r="139" spans="2:8" ht="43.15" hidden="1">
      <c r="B139" s="116" t="s">
        <v>7544</v>
      </c>
      <c r="C139" s="117">
        <v>4</v>
      </c>
      <c r="D139" s="117">
        <v>4</v>
      </c>
      <c r="E139" s="117">
        <v>4</v>
      </c>
      <c r="F139" s="117">
        <v>4</v>
      </c>
      <c r="G139" s="117">
        <v>4</v>
      </c>
      <c r="H139" s="117">
        <v>4</v>
      </c>
    </row>
    <row r="140" spans="2:8" ht="43.15" hidden="1">
      <c r="B140" s="116" t="s">
        <v>7545</v>
      </c>
      <c r="C140" s="117">
        <v>4</v>
      </c>
      <c r="D140" s="117">
        <v>4</v>
      </c>
      <c r="E140" s="117">
        <v>4</v>
      </c>
      <c r="F140" s="117">
        <v>4</v>
      </c>
      <c r="G140" s="117">
        <v>4</v>
      </c>
      <c r="H140" s="117">
        <v>4</v>
      </c>
    </row>
    <row r="141" spans="2:8" ht="43.15" hidden="1">
      <c r="B141" s="116" t="s">
        <v>7546</v>
      </c>
      <c r="C141" s="117">
        <v>3</v>
      </c>
      <c r="D141" s="117">
        <v>4</v>
      </c>
      <c r="E141" s="117">
        <v>4</v>
      </c>
      <c r="F141" s="117">
        <v>4</v>
      </c>
      <c r="G141" s="117">
        <v>4</v>
      </c>
      <c r="H141" s="117">
        <v>4</v>
      </c>
    </row>
    <row r="142" spans="2:8" ht="43.15" hidden="1">
      <c r="B142" s="116" t="s">
        <v>7547</v>
      </c>
      <c r="C142" s="117">
        <v>3</v>
      </c>
      <c r="D142" s="117">
        <v>4</v>
      </c>
      <c r="E142" s="117">
        <v>4</v>
      </c>
      <c r="F142" s="117">
        <v>4</v>
      </c>
      <c r="G142" s="117">
        <v>4</v>
      </c>
      <c r="H142" s="117">
        <v>4</v>
      </c>
    </row>
    <row r="143" spans="2:8" ht="43.15" hidden="1">
      <c r="B143" s="116" t="s">
        <v>7548</v>
      </c>
      <c r="C143" s="117">
        <v>3</v>
      </c>
      <c r="D143" s="117">
        <v>3</v>
      </c>
      <c r="E143" s="117">
        <v>4</v>
      </c>
      <c r="F143" s="117">
        <v>4</v>
      </c>
      <c r="G143" s="117">
        <v>4</v>
      </c>
      <c r="H143" s="117">
        <v>4</v>
      </c>
    </row>
    <row r="144" spans="2:8" ht="43.15" hidden="1">
      <c r="B144" s="116" t="s">
        <v>7549</v>
      </c>
      <c r="C144" s="117">
        <v>3</v>
      </c>
      <c r="D144" s="117">
        <v>3</v>
      </c>
      <c r="E144" s="117">
        <v>4</v>
      </c>
      <c r="F144" s="117">
        <v>4</v>
      </c>
      <c r="G144" s="117">
        <v>4</v>
      </c>
      <c r="H144" s="117">
        <v>4</v>
      </c>
    </row>
    <row r="145" spans="2:8" ht="43.15" hidden="1">
      <c r="B145" s="116" t="s">
        <v>7550</v>
      </c>
      <c r="C145" s="117">
        <v>3</v>
      </c>
      <c r="D145" s="117">
        <v>3</v>
      </c>
      <c r="E145" s="117">
        <v>3</v>
      </c>
      <c r="F145" s="117">
        <v>4</v>
      </c>
      <c r="G145" s="117">
        <v>4</v>
      </c>
      <c r="H145" s="117">
        <v>4</v>
      </c>
    </row>
    <row r="146" spans="2:8" ht="43.15" hidden="1">
      <c r="B146" s="116" t="s">
        <v>7551</v>
      </c>
      <c r="C146" s="117">
        <v>3</v>
      </c>
      <c r="D146" s="117">
        <v>3</v>
      </c>
      <c r="E146" s="117">
        <v>3</v>
      </c>
      <c r="F146" s="117">
        <v>4</v>
      </c>
      <c r="G146" s="117">
        <v>4</v>
      </c>
      <c r="H146" s="117">
        <v>4</v>
      </c>
    </row>
    <row r="147" spans="2:8" ht="43.15" hidden="1">
      <c r="B147" s="116" t="s">
        <v>7552</v>
      </c>
      <c r="C147" s="117">
        <v>3</v>
      </c>
      <c r="D147" s="117">
        <v>3</v>
      </c>
      <c r="E147" s="117">
        <v>3</v>
      </c>
      <c r="F147" s="117">
        <v>3</v>
      </c>
      <c r="G147" s="117">
        <v>4</v>
      </c>
      <c r="H147" s="117">
        <v>4</v>
      </c>
    </row>
    <row r="148" spans="2:8" ht="43.15" hidden="1">
      <c r="B148" s="116" t="s">
        <v>7553</v>
      </c>
      <c r="C148" s="117">
        <v>3</v>
      </c>
      <c r="D148" s="117">
        <v>3</v>
      </c>
      <c r="E148" s="117">
        <v>3</v>
      </c>
      <c r="F148" s="117">
        <v>3</v>
      </c>
      <c r="G148" s="117">
        <v>3</v>
      </c>
      <c r="H148" s="117">
        <v>4</v>
      </c>
    </row>
    <row r="149" spans="2:8" hidden="1"/>
    <row r="150" spans="2:8" hidden="1"/>
    <row r="151" spans="2:8" hidden="1"/>
    <row r="152" spans="2:8" ht="28.9" hidden="1">
      <c r="B152" s="126" t="s">
        <v>7497</v>
      </c>
      <c r="C152" s="127" t="s">
        <v>7517</v>
      </c>
      <c r="D152" s="127" t="s">
        <v>7518</v>
      </c>
      <c r="E152" s="127" t="s">
        <v>7519</v>
      </c>
      <c r="F152" s="127" t="s">
        <v>7520</v>
      </c>
      <c r="G152" s="127" t="s">
        <v>7521</v>
      </c>
      <c r="H152" s="127" t="s">
        <v>898</v>
      </c>
    </row>
    <row r="153" spans="2:8" ht="43.15" hidden="1">
      <c r="B153" s="116" t="s">
        <v>7554</v>
      </c>
      <c r="C153" s="117">
        <v>4</v>
      </c>
      <c r="D153" s="117">
        <v>4</v>
      </c>
      <c r="E153" s="117">
        <v>4</v>
      </c>
      <c r="F153" s="117">
        <v>4</v>
      </c>
      <c r="G153" s="117">
        <v>4</v>
      </c>
      <c r="H153" s="117">
        <v>4</v>
      </c>
    </row>
    <row r="154" spans="2:8" ht="43.15" hidden="1">
      <c r="B154" s="116" t="s">
        <v>7555</v>
      </c>
      <c r="C154" s="117">
        <v>4</v>
      </c>
      <c r="D154" s="117">
        <v>4</v>
      </c>
      <c r="E154" s="117">
        <v>4</v>
      </c>
      <c r="F154" s="117">
        <v>4</v>
      </c>
      <c r="G154" s="117">
        <v>4</v>
      </c>
      <c r="H154" s="117">
        <v>4</v>
      </c>
    </row>
    <row r="155" spans="2:8" ht="43.15" hidden="1">
      <c r="B155" s="116" t="s">
        <v>7556</v>
      </c>
      <c r="C155" s="117">
        <v>3</v>
      </c>
      <c r="D155" s="117">
        <v>4</v>
      </c>
      <c r="E155" s="117">
        <v>4</v>
      </c>
      <c r="F155" s="117">
        <v>4</v>
      </c>
      <c r="G155" s="117">
        <v>4</v>
      </c>
      <c r="H155" s="117">
        <v>4</v>
      </c>
    </row>
    <row r="156" spans="2:8" ht="43.15" hidden="1">
      <c r="B156" s="116" t="s">
        <v>7557</v>
      </c>
      <c r="C156" s="117">
        <v>3</v>
      </c>
      <c r="D156" s="117">
        <v>4</v>
      </c>
      <c r="E156" s="117">
        <v>4</v>
      </c>
      <c r="F156" s="117">
        <v>4</v>
      </c>
      <c r="G156" s="117">
        <v>4</v>
      </c>
      <c r="H156" s="117">
        <v>4</v>
      </c>
    </row>
    <row r="157" spans="2:8" ht="57.6" hidden="1">
      <c r="B157" s="116" t="s">
        <v>7558</v>
      </c>
      <c r="C157" s="117">
        <v>3</v>
      </c>
      <c r="D157" s="117">
        <v>3</v>
      </c>
      <c r="E157" s="117">
        <v>4</v>
      </c>
      <c r="F157" s="117">
        <v>4</v>
      </c>
      <c r="G157" s="117">
        <v>4</v>
      </c>
      <c r="H157" s="117">
        <v>4</v>
      </c>
    </row>
    <row r="158" spans="2:8" ht="57.6" hidden="1">
      <c r="B158" s="116" t="s">
        <v>7559</v>
      </c>
      <c r="C158" s="117">
        <v>3</v>
      </c>
      <c r="D158" s="117">
        <v>3</v>
      </c>
      <c r="E158" s="117">
        <v>4</v>
      </c>
      <c r="F158" s="117">
        <v>4</v>
      </c>
      <c r="G158" s="117">
        <v>4</v>
      </c>
      <c r="H158" s="117">
        <v>4</v>
      </c>
    </row>
    <row r="159" spans="2:8" ht="43.15" hidden="1">
      <c r="B159" s="116" t="s">
        <v>7560</v>
      </c>
      <c r="C159" s="117">
        <v>3</v>
      </c>
      <c r="D159" s="117">
        <v>3</v>
      </c>
      <c r="E159" s="117">
        <v>3</v>
      </c>
      <c r="F159" s="117">
        <v>4</v>
      </c>
      <c r="G159" s="117">
        <v>4</v>
      </c>
      <c r="H159" s="117">
        <v>4</v>
      </c>
    </row>
    <row r="160" spans="2:8" ht="43.15" hidden="1">
      <c r="B160" s="116" t="s">
        <v>7561</v>
      </c>
      <c r="C160" s="117">
        <v>3</v>
      </c>
      <c r="D160" s="117">
        <v>3</v>
      </c>
      <c r="E160" s="117">
        <v>3</v>
      </c>
      <c r="F160" s="117">
        <v>4</v>
      </c>
      <c r="G160" s="117">
        <v>4</v>
      </c>
      <c r="H160" s="117">
        <v>4</v>
      </c>
    </row>
    <row r="161" spans="2:8" ht="43.15" hidden="1">
      <c r="B161" s="116" t="s">
        <v>7562</v>
      </c>
      <c r="C161" s="117">
        <v>3</v>
      </c>
      <c r="D161" s="117">
        <v>3</v>
      </c>
      <c r="E161" s="117">
        <v>3</v>
      </c>
      <c r="F161" s="117">
        <v>3</v>
      </c>
      <c r="G161" s="117">
        <v>4</v>
      </c>
      <c r="H161" s="117">
        <v>4</v>
      </c>
    </row>
    <row r="162" spans="2:8" ht="43.15" hidden="1">
      <c r="B162" s="116" t="s">
        <v>7563</v>
      </c>
      <c r="C162" s="117">
        <v>3</v>
      </c>
      <c r="D162" s="117">
        <v>3</v>
      </c>
      <c r="E162" s="117">
        <v>3</v>
      </c>
      <c r="F162" s="117">
        <v>3</v>
      </c>
      <c r="G162" s="117">
        <v>3</v>
      </c>
      <c r="H162" s="117">
        <v>4</v>
      </c>
    </row>
    <row r="163" spans="2:8" hidden="1"/>
    <row r="164" spans="2:8" hidden="1"/>
    <row r="165" spans="2:8" hidden="1"/>
    <row r="166" spans="2:8" ht="28.9" hidden="1">
      <c r="B166" s="118" t="s">
        <v>7498</v>
      </c>
      <c r="C166" s="119" t="s">
        <v>7517</v>
      </c>
      <c r="D166" s="119" t="s">
        <v>7518</v>
      </c>
      <c r="E166" s="119" t="s">
        <v>7519</v>
      </c>
      <c r="F166" s="119" t="s">
        <v>7520</v>
      </c>
      <c r="G166" s="119" t="s">
        <v>7521</v>
      </c>
      <c r="H166" s="119" t="s">
        <v>898</v>
      </c>
    </row>
    <row r="167" spans="2:8" ht="43.15" hidden="1">
      <c r="B167" s="116" t="s">
        <v>7564</v>
      </c>
      <c r="C167" s="117">
        <v>4</v>
      </c>
      <c r="D167" s="117">
        <v>5</v>
      </c>
      <c r="E167" s="117">
        <v>5</v>
      </c>
      <c r="F167" s="117">
        <v>5</v>
      </c>
      <c r="G167" s="117">
        <v>5</v>
      </c>
      <c r="H167" s="117">
        <v>5</v>
      </c>
    </row>
    <row r="168" spans="2:8" ht="43.15" hidden="1">
      <c r="B168" s="116" t="s">
        <v>7565</v>
      </c>
      <c r="C168" s="117">
        <v>4</v>
      </c>
      <c r="D168" s="117">
        <v>5</v>
      </c>
      <c r="E168" s="117">
        <v>5</v>
      </c>
      <c r="F168" s="117">
        <v>5</v>
      </c>
      <c r="G168" s="117">
        <v>5</v>
      </c>
      <c r="H168" s="117">
        <v>5</v>
      </c>
    </row>
    <row r="169" spans="2:8" ht="43.15" hidden="1">
      <c r="B169" s="116" t="s">
        <v>7566</v>
      </c>
      <c r="C169" s="117">
        <v>3</v>
      </c>
      <c r="D169" s="117">
        <v>4</v>
      </c>
      <c r="E169" s="117">
        <v>5</v>
      </c>
      <c r="F169" s="117">
        <v>5</v>
      </c>
      <c r="G169" s="117">
        <v>5</v>
      </c>
      <c r="H169" s="117">
        <v>5</v>
      </c>
    </row>
    <row r="170" spans="2:8" ht="43.15" hidden="1">
      <c r="B170" s="116" t="s">
        <v>7567</v>
      </c>
      <c r="C170" s="117">
        <v>3</v>
      </c>
      <c r="D170" s="117">
        <v>4</v>
      </c>
      <c r="E170" s="117">
        <v>5</v>
      </c>
      <c r="F170" s="117">
        <v>5</v>
      </c>
      <c r="G170" s="117">
        <v>5</v>
      </c>
      <c r="H170" s="117">
        <v>5</v>
      </c>
    </row>
    <row r="171" spans="2:8" ht="43.15" hidden="1">
      <c r="B171" s="116" t="s">
        <v>7568</v>
      </c>
      <c r="C171" s="117">
        <v>3</v>
      </c>
      <c r="D171" s="117">
        <v>3</v>
      </c>
      <c r="E171" s="117">
        <v>4</v>
      </c>
      <c r="F171" s="117">
        <v>5</v>
      </c>
      <c r="G171" s="117">
        <v>5</v>
      </c>
      <c r="H171" s="117">
        <v>5</v>
      </c>
    </row>
    <row r="172" spans="2:8" ht="43.15" hidden="1">
      <c r="B172" s="116" t="s">
        <v>7569</v>
      </c>
      <c r="C172" s="117">
        <v>3</v>
      </c>
      <c r="D172" s="117">
        <v>3</v>
      </c>
      <c r="E172" s="117">
        <v>4</v>
      </c>
      <c r="F172" s="117">
        <v>5</v>
      </c>
      <c r="G172" s="117">
        <v>5</v>
      </c>
      <c r="H172" s="117">
        <v>5</v>
      </c>
    </row>
    <row r="173" spans="2:8" ht="43.15" hidden="1">
      <c r="B173" s="116" t="s">
        <v>7570</v>
      </c>
      <c r="C173" s="117">
        <v>3</v>
      </c>
      <c r="D173" s="117">
        <v>3</v>
      </c>
      <c r="E173" s="117">
        <v>3</v>
      </c>
      <c r="F173" s="117">
        <v>4</v>
      </c>
      <c r="G173" s="117">
        <v>5</v>
      </c>
      <c r="H173" s="117">
        <v>5</v>
      </c>
    </row>
    <row r="174" spans="2:8" ht="57.6" hidden="1">
      <c r="B174" s="116" t="s">
        <v>7571</v>
      </c>
      <c r="C174" s="117">
        <v>3</v>
      </c>
      <c r="D174" s="117">
        <v>3</v>
      </c>
      <c r="E174" s="117">
        <v>3</v>
      </c>
      <c r="F174" s="117">
        <v>4</v>
      </c>
      <c r="G174" s="117">
        <v>5</v>
      </c>
      <c r="H174" s="117">
        <v>5</v>
      </c>
    </row>
    <row r="175" spans="2:8" ht="43.15" hidden="1">
      <c r="B175" s="116" t="s">
        <v>7572</v>
      </c>
      <c r="C175" s="117">
        <v>3</v>
      </c>
      <c r="D175" s="117">
        <v>3</v>
      </c>
      <c r="E175" s="117">
        <v>3</v>
      </c>
      <c r="F175" s="117">
        <v>3</v>
      </c>
      <c r="G175" s="117">
        <v>4</v>
      </c>
      <c r="H175" s="117">
        <v>5</v>
      </c>
    </row>
    <row r="176" spans="2:8" ht="43.15" hidden="1">
      <c r="B176" s="116" t="s">
        <v>7573</v>
      </c>
      <c r="C176" s="117">
        <v>3</v>
      </c>
      <c r="D176" s="117">
        <v>3</v>
      </c>
      <c r="E176" s="117">
        <v>3</v>
      </c>
      <c r="F176" s="117">
        <v>3</v>
      </c>
      <c r="G176" s="117">
        <v>3</v>
      </c>
      <c r="H176" s="117">
        <v>4</v>
      </c>
    </row>
    <row r="179" spans="2:7">
      <c r="C179" t="s">
        <v>7574</v>
      </c>
    </row>
    <row r="180" spans="2:7">
      <c r="B180" s="128"/>
      <c r="C180" s="145">
        <v>0</v>
      </c>
      <c r="D180" s="145">
        <v>1</v>
      </c>
      <c r="E180" s="145">
        <v>2</v>
      </c>
      <c r="F180" s="145">
        <v>3</v>
      </c>
      <c r="G180" s="145">
        <v>4</v>
      </c>
    </row>
    <row r="181" spans="2:7">
      <c r="B181" s="146">
        <v>0</v>
      </c>
      <c r="C181" s="146" t="s">
        <v>7575</v>
      </c>
      <c r="D181" s="146" t="s">
        <v>7576</v>
      </c>
      <c r="E181" s="146" t="s">
        <v>7577</v>
      </c>
      <c r="F181" s="146" t="s">
        <v>7577</v>
      </c>
      <c r="G181" s="146" t="s">
        <v>7577</v>
      </c>
    </row>
    <row r="182" spans="2:7">
      <c r="B182" s="146">
        <v>1</v>
      </c>
      <c r="C182" s="146" t="s">
        <v>7576</v>
      </c>
      <c r="D182" s="146" t="s">
        <v>7576</v>
      </c>
      <c r="E182" s="146" t="s">
        <v>7577</v>
      </c>
      <c r="F182" s="146" t="s">
        <v>7577</v>
      </c>
      <c r="G182" s="146" t="s">
        <v>7577</v>
      </c>
    </row>
    <row r="183" spans="2:7">
      <c r="B183" s="146">
        <v>2</v>
      </c>
      <c r="C183" s="146" t="s">
        <v>7577</v>
      </c>
      <c r="D183" s="146" t="s">
        <v>7577</v>
      </c>
      <c r="E183" s="146" t="s">
        <v>7577</v>
      </c>
      <c r="F183" s="146" t="s">
        <v>7577</v>
      </c>
      <c r="G183" s="146" t="s">
        <v>7577</v>
      </c>
    </row>
    <row r="184" spans="2:7">
      <c r="B184" s="146">
        <v>3</v>
      </c>
      <c r="C184" s="146" t="s">
        <v>7577</v>
      </c>
      <c r="D184" s="146" t="s">
        <v>7577</v>
      </c>
      <c r="E184" s="146" t="s">
        <v>7577</v>
      </c>
      <c r="F184" s="146" t="s">
        <v>7577</v>
      </c>
      <c r="G184" s="146" t="s">
        <v>7577</v>
      </c>
    </row>
    <row r="185" spans="2:7">
      <c r="B185" s="146">
        <v>4</v>
      </c>
      <c r="C185" s="146" t="s">
        <v>7577</v>
      </c>
      <c r="D185" s="146" t="s">
        <v>7577</v>
      </c>
      <c r="E185" s="146" t="s">
        <v>7577</v>
      </c>
      <c r="F185" s="146" t="s">
        <v>7577</v>
      </c>
      <c r="G185" s="146" t="s">
        <v>7577</v>
      </c>
    </row>
    <row r="186" spans="2:7">
      <c r="B186" s="146" t="s">
        <v>7578</v>
      </c>
      <c r="C186" s="146"/>
      <c r="D186" s="146"/>
      <c r="E186" s="146"/>
      <c r="F186" s="146"/>
      <c r="G186" s="146"/>
    </row>
    <row r="187" spans="2:7" ht="15">
      <c r="B187" s="129" t="s">
        <v>7579</v>
      </c>
    </row>
    <row r="188" spans="2:7" ht="15">
      <c r="B188" s="129" t="s">
        <v>7580</v>
      </c>
    </row>
    <row r="189" spans="2:7" ht="15">
      <c r="B189" s="129" t="s">
        <v>7581</v>
      </c>
    </row>
    <row r="190" spans="2:7" ht="15">
      <c r="B190" s="129" t="s">
        <v>7582</v>
      </c>
    </row>
    <row r="191" spans="2:7" ht="15">
      <c r="B191" s="129" t="s">
        <v>7583</v>
      </c>
    </row>
    <row r="195" spans="2:8">
      <c r="B195" s="130" t="s">
        <v>7584</v>
      </c>
      <c r="C195" s="130" t="s">
        <v>7585</v>
      </c>
      <c r="D195" s="130" t="s">
        <v>7586</v>
      </c>
    </row>
    <row r="196" spans="2:8">
      <c r="B196" s="147" t="s">
        <v>7511</v>
      </c>
      <c r="C196" s="147" t="s">
        <v>7587</v>
      </c>
      <c r="D196" s="147">
        <v>0</v>
      </c>
    </row>
    <row r="197" spans="2:8">
      <c r="B197" s="147" t="s">
        <v>7509</v>
      </c>
      <c r="C197" s="147" t="s">
        <v>7588</v>
      </c>
      <c r="D197" s="147">
        <v>1</v>
      </c>
    </row>
    <row r="198" spans="2:8">
      <c r="B198" s="147" t="s">
        <v>7507</v>
      </c>
      <c r="C198" s="147" t="s">
        <v>7589</v>
      </c>
      <c r="D198" s="147" t="s">
        <v>7590</v>
      </c>
    </row>
    <row r="199" spans="2:8">
      <c r="B199" s="147" t="s">
        <v>7513</v>
      </c>
      <c r="C199" s="147" t="s">
        <v>7591</v>
      </c>
      <c r="D199" s="147" t="s">
        <v>7592</v>
      </c>
    </row>
    <row r="200" spans="2:8">
      <c r="B200" s="147" t="s">
        <v>7515</v>
      </c>
      <c r="C200" s="147" t="s">
        <v>7593</v>
      </c>
      <c r="D200" s="147">
        <v>4</v>
      </c>
    </row>
    <row r="205" spans="2:8" hidden="1"/>
    <row r="206" spans="2:8" ht="15" hidden="1" customHeight="1">
      <c r="B206" s="320" t="s">
        <v>7594</v>
      </c>
      <c r="C206" s="12" t="s">
        <v>7595</v>
      </c>
      <c r="D206" s="135"/>
      <c r="E206" s="135"/>
      <c r="F206" s="135"/>
      <c r="G206" s="135"/>
      <c r="H206" s="135"/>
    </row>
    <row r="207" spans="2:8" ht="75" hidden="1">
      <c r="B207" s="322"/>
      <c r="C207" s="12" t="s">
        <v>7596</v>
      </c>
      <c r="D207" s="134" t="s">
        <v>7597</v>
      </c>
      <c r="E207" s="134" t="s">
        <v>7597</v>
      </c>
      <c r="F207" s="134" t="s">
        <v>7597</v>
      </c>
      <c r="G207" s="134" t="s">
        <v>7597</v>
      </c>
      <c r="H207" s="135"/>
    </row>
    <row r="208" spans="2:8" ht="75" hidden="1">
      <c r="B208" s="322"/>
      <c r="C208" s="12" t="s">
        <v>7598</v>
      </c>
      <c r="D208" s="134" t="s">
        <v>7599</v>
      </c>
      <c r="E208" s="134" t="s">
        <v>7599</v>
      </c>
      <c r="F208" s="134" t="s">
        <v>7599</v>
      </c>
      <c r="G208" s="134" t="s">
        <v>7597</v>
      </c>
      <c r="H208" s="135"/>
    </row>
    <row r="209" spans="2:8" ht="75" hidden="1">
      <c r="B209" s="322"/>
      <c r="C209" s="12" t="s">
        <v>7600</v>
      </c>
      <c r="D209" s="134" t="s">
        <v>7601</v>
      </c>
      <c r="E209" s="134" t="s">
        <v>7601</v>
      </c>
      <c r="F209" s="134" t="s">
        <v>7599</v>
      </c>
      <c r="G209" s="134" t="s">
        <v>7597</v>
      </c>
      <c r="H209" s="135"/>
    </row>
    <row r="210" spans="2:8" ht="75" hidden="1">
      <c r="B210" s="322"/>
      <c r="C210" s="12" t="s">
        <v>7602</v>
      </c>
      <c r="D210" s="134" t="s">
        <v>7603</v>
      </c>
      <c r="E210" s="134" t="s">
        <v>7601</v>
      </c>
      <c r="F210" s="134" t="s">
        <v>7599</v>
      </c>
      <c r="G210" s="134" t="s">
        <v>7597</v>
      </c>
      <c r="H210" s="135"/>
    </row>
    <row r="211" spans="2:8" ht="15" hidden="1">
      <c r="B211" s="1"/>
      <c r="C211" s="12"/>
      <c r="D211" s="1" t="s">
        <v>7602</v>
      </c>
      <c r="E211" s="1" t="s">
        <v>7600</v>
      </c>
      <c r="F211" s="1" t="s">
        <v>7598</v>
      </c>
      <c r="G211" s="1" t="s">
        <v>7596</v>
      </c>
      <c r="H211" s="1" t="s">
        <v>7595</v>
      </c>
    </row>
    <row r="212" spans="2:8" ht="15" hidden="1">
      <c r="B212" s="1"/>
      <c r="C212" s="12"/>
      <c r="D212" s="321" t="s">
        <v>7574</v>
      </c>
      <c r="E212" s="321"/>
      <c r="F212" s="321"/>
      <c r="G212" s="321"/>
      <c r="H212" s="321"/>
    </row>
    <row r="215" spans="2:8" ht="75">
      <c r="B215" s="320" t="s">
        <v>7594</v>
      </c>
      <c r="C215" s="12" t="s">
        <v>7595</v>
      </c>
      <c r="D215" s="83" t="s">
        <v>7597</v>
      </c>
      <c r="E215" s="83" t="s">
        <v>7597</v>
      </c>
      <c r="F215" s="83" t="s">
        <v>7597</v>
      </c>
      <c r="G215" s="83" t="s">
        <v>7597</v>
      </c>
      <c r="H215" s="83" t="s">
        <v>7597</v>
      </c>
    </row>
    <row r="216" spans="2:8" ht="75">
      <c r="B216" s="322"/>
      <c r="C216" s="12" t="s">
        <v>7596</v>
      </c>
      <c r="D216" s="83" t="s">
        <v>7597</v>
      </c>
      <c r="E216" s="83" t="s">
        <v>7597</v>
      </c>
      <c r="F216" s="83" t="s">
        <v>7597</v>
      </c>
      <c r="G216" s="83" t="s">
        <v>7597</v>
      </c>
      <c r="H216" s="83" t="s">
        <v>7597</v>
      </c>
    </row>
    <row r="217" spans="2:8" ht="88.15" customHeight="1">
      <c r="B217" s="322"/>
      <c r="C217" s="12" t="s">
        <v>7598</v>
      </c>
      <c r="D217" s="83" t="s">
        <v>7597</v>
      </c>
      <c r="E217" s="83" t="s">
        <v>7597</v>
      </c>
      <c r="F217" s="83" t="s">
        <v>7597</v>
      </c>
      <c r="G217" s="83" t="s">
        <v>7597</v>
      </c>
      <c r="H217" s="83" t="s">
        <v>7597</v>
      </c>
    </row>
    <row r="218" spans="2:8" ht="75">
      <c r="B218" s="322"/>
      <c r="C218" s="12" t="s">
        <v>7600</v>
      </c>
      <c r="D218" s="83" t="s">
        <v>7599</v>
      </c>
      <c r="E218" s="83" t="s">
        <v>7599</v>
      </c>
      <c r="F218" s="83" t="s">
        <v>7597</v>
      </c>
      <c r="G218" s="83" t="s">
        <v>7597</v>
      </c>
      <c r="H218" s="83" t="s">
        <v>7597</v>
      </c>
    </row>
    <row r="219" spans="2:8" ht="75">
      <c r="B219" s="322"/>
      <c r="C219" s="12" t="s">
        <v>7602</v>
      </c>
      <c r="D219" s="83" t="s">
        <v>7601</v>
      </c>
      <c r="E219" s="83" t="s">
        <v>7599</v>
      </c>
      <c r="F219" s="83" t="s">
        <v>7597</v>
      </c>
      <c r="G219" s="83" t="s">
        <v>7597</v>
      </c>
      <c r="H219" s="83" t="s">
        <v>7597</v>
      </c>
    </row>
    <row r="220" spans="2:8" ht="15">
      <c r="B220" s="1"/>
      <c r="C220" s="12"/>
      <c r="D220" s="1" t="s">
        <v>7602</v>
      </c>
      <c r="E220" s="1" t="s">
        <v>7600</v>
      </c>
      <c r="F220" s="1" t="s">
        <v>7598</v>
      </c>
      <c r="G220" s="1" t="s">
        <v>7596</v>
      </c>
      <c r="H220" s="1" t="s">
        <v>7595</v>
      </c>
    </row>
    <row r="221" spans="2:8" ht="15">
      <c r="B221" s="1"/>
      <c r="C221" s="12"/>
      <c r="D221" s="321" t="s">
        <v>7574</v>
      </c>
      <c r="E221" s="321"/>
      <c r="F221" s="321"/>
      <c r="G221" s="321"/>
      <c r="H221" s="321"/>
    </row>
    <row r="224" spans="2:8" ht="15">
      <c r="B224" s="320" t="s">
        <v>7594</v>
      </c>
      <c r="C224" s="12" t="s">
        <v>7602</v>
      </c>
      <c r="D224" s="83" t="s">
        <v>7575</v>
      </c>
      <c r="E224" s="158" t="s">
        <v>7576</v>
      </c>
      <c r="F224" s="159" t="s">
        <v>7577</v>
      </c>
      <c r="G224" s="160" t="s">
        <v>7577</v>
      </c>
      <c r="H224" s="162" t="s">
        <v>7577</v>
      </c>
    </row>
    <row r="225" spans="2:8" ht="15">
      <c r="B225" s="320"/>
      <c r="C225" s="12" t="s">
        <v>7600</v>
      </c>
      <c r="D225" s="158" t="s">
        <v>7576</v>
      </c>
      <c r="E225" s="158" t="s">
        <v>7576</v>
      </c>
      <c r="F225" s="159" t="s">
        <v>7577</v>
      </c>
      <c r="G225" s="160" t="s">
        <v>7577</v>
      </c>
      <c r="H225" s="162" t="s">
        <v>7577</v>
      </c>
    </row>
    <row r="226" spans="2:8" ht="15">
      <c r="B226" s="320"/>
      <c r="C226" s="12" t="s">
        <v>7598</v>
      </c>
      <c r="D226" s="159" t="s">
        <v>7577</v>
      </c>
      <c r="E226" s="159" t="s">
        <v>7577</v>
      </c>
      <c r="F226" s="159" t="s">
        <v>7577</v>
      </c>
      <c r="G226" s="160" t="s">
        <v>7577</v>
      </c>
      <c r="H226" s="162" t="s">
        <v>7577</v>
      </c>
    </row>
    <row r="227" spans="2:8" ht="15">
      <c r="B227" s="320"/>
      <c r="C227" s="12" t="s">
        <v>7596</v>
      </c>
      <c r="D227" s="160" t="s">
        <v>7577</v>
      </c>
      <c r="E227" s="160" t="s">
        <v>7577</v>
      </c>
      <c r="F227" s="160" t="s">
        <v>7577</v>
      </c>
      <c r="G227" s="160" t="s">
        <v>7577</v>
      </c>
      <c r="H227" s="162" t="s">
        <v>7577</v>
      </c>
    </row>
    <row r="228" spans="2:8" ht="15" customHeight="1">
      <c r="B228" s="320"/>
      <c r="C228" s="12" t="s">
        <v>7595</v>
      </c>
      <c r="D228" s="162" t="s">
        <v>7577</v>
      </c>
      <c r="E228" s="162" t="s">
        <v>7577</v>
      </c>
      <c r="F228" s="162" t="s">
        <v>7577</v>
      </c>
      <c r="G228" s="162" t="s">
        <v>7577</v>
      </c>
      <c r="H228" s="162" t="s">
        <v>7577</v>
      </c>
    </row>
    <row r="229" spans="2:8" ht="15">
      <c r="B229" s="1"/>
      <c r="C229" s="12"/>
      <c r="D229" s="1" t="s">
        <v>7602</v>
      </c>
      <c r="E229" s="1" t="s">
        <v>7600</v>
      </c>
      <c r="F229" s="1" t="s">
        <v>7598</v>
      </c>
      <c r="G229" s="1" t="s">
        <v>7596</v>
      </c>
      <c r="H229" s="1" t="s">
        <v>7595</v>
      </c>
    </row>
    <row r="230" spans="2:8" ht="15">
      <c r="B230" s="1"/>
      <c r="C230" s="12"/>
      <c r="D230" s="321" t="s">
        <v>7574</v>
      </c>
      <c r="E230" s="321"/>
      <c r="F230" s="321"/>
      <c r="G230" s="321"/>
      <c r="H230" s="321"/>
    </row>
    <row r="233" spans="2:8" ht="15">
      <c r="B233" s="320" t="s">
        <v>7594</v>
      </c>
      <c r="C233" s="12" t="s">
        <v>7602</v>
      </c>
      <c r="D233" s="87">
        <v>1</v>
      </c>
      <c r="E233" s="158" t="s">
        <v>7575</v>
      </c>
      <c r="F233" s="159" t="s">
        <v>7576</v>
      </c>
      <c r="G233" s="160" t="s">
        <v>7577</v>
      </c>
      <c r="H233" s="161" t="s">
        <v>7577</v>
      </c>
    </row>
    <row r="234" spans="2:8" ht="15">
      <c r="B234" s="320"/>
      <c r="C234" s="12" t="s">
        <v>7600</v>
      </c>
      <c r="D234" s="158" t="s">
        <v>7575</v>
      </c>
      <c r="E234" s="158" t="s">
        <v>7575</v>
      </c>
      <c r="F234" s="159" t="s">
        <v>7576</v>
      </c>
      <c r="G234" s="160" t="s">
        <v>7577</v>
      </c>
      <c r="H234" s="161" t="s">
        <v>7577</v>
      </c>
    </row>
    <row r="235" spans="2:8" ht="15">
      <c r="B235" s="320"/>
      <c r="C235" s="12" t="s">
        <v>7598</v>
      </c>
      <c r="D235" s="159" t="s">
        <v>7576</v>
      </c>
      <c r="E235" s="159" t="s">
        <v>7576</v>
      </c>
      <c r="F235" s="159" t="s">
        <v>7576</v>
      </c>
      <c r="G235" s="160" t="s">
        <v>7577</v>
      </c>
      <c r="H235" s="161" t="s">
        <v>7577</v>
      </c>
    </row>
    <row r="236" spans="2:8" ht="15">
      <c r="B236" s="320"/>
      <c r="C236" s="12" t="s">
        <v>7596</v>
      </c>
      <c r="D236" s="160" t="s">
        <v>7577</v>
      </c>
      <c r="E236" s="160" t="s">
        <v>7577</v>
      </c>
      <c r="F236" s="160" t="s">
        <v>7577</v>
      </c>
      <c r="G236" s="160" t="s">
        <v>7577</v>
      </c>
      <c r="H236" s="161" t="s">
        <v>7577</v>
      </c>
    </row>
    <row r="237" spans="2:8" ht="15">
      <c r="B237" s="320"/>
      <c r="C237" s="12" t="s">
        <v>7595</v>
      </c>
      <c r="D237" s="161" t="s">
        <v>7577</v>
      </c>
      <c r="E237" s="161" t="s">
        <v>7577</v>
      </c>
      <c r="F237" s="161" t="s">
        <v>7577</v>
      </c>
      <c r="G237" s="161" t="s">
        <v>7577</v>
      </c>
      <c r="H237" s="161" t="s">
        <v>7577</v>
      </c>
    </row>
    <row r="238" spans="2:8" ht="15">
      <c r="B238" s="1"/>
      <c r="C238" s="12"/>
      <c r="D238" s="1" t="s">
        <v>7602</v>
      </c>
      <c r="E238" s="1" t="s">
        <v>7600</v>
      </c>
      <c r="F238" s="1" t="s">
        <v>7598</v>
      </c>
      <c r="G238" s="1" t="s">
        <v>7596</v>
      </c>
      <c r="H238" s="1" t="s">
        <v>7595</v>
      </c>
    </row>
    <row r="239" spans="2:8" ht="15">
      <c r="B239" s="1"/>
      <c r="C239" s="12"/>
      <c r="D239" s="321" t="s">
        <v>7574</v>
      </c>
      <c r="E239" s="321"/>
      <c r="F239" s="321"/>
      <c r="G239" s="321"/>
      <c r="H239" s="321"/>
    </row>
  </sheetData>
  <mergeCells count="53">
    <mergeCell ref="B224:B228"/>
    <mergeCell ref="D230:H230"/>
    <mergeCell ref="B233:B237"/>
    <mergeCell ref="D239:H239"/>
    <mergeCell ref="B206:B210"/>
    <mergeCell ref="D212:H212"/>
    <mergeCell ref="B215:B219"/>
    <mergeCell ref="D221:H221"/>
    <mergeCell ref="B29:B30"/>
    <mergeCell ref="E29:E30"/>
    <mergeCell ref="G29:G30"/>
    <mergeCell ref="H29:H30"/>
    <mergeCell ref="B47:B48"/>
    <mergeCell ref="B33:B35"/>
    <mergeCell ref="B22:B23"/>
    <mergeCell ref="F22:F23"/>
    <mergeCell ref="G22:G23"/>
    <mergeCell ref="H22:H23"/>
    <mergeCell ref="B24:B25"/>
    <mergeCell ref="C24:C25"/>
    <mergeCell ref="E24:E25"/>
    <mergeCell ref="F24:F25"/>
    <mergeCell ref="G24:G25"/>
    <mergeCell ref="H24:H25"/>
    <mergeCell ref="C33:C35"/>
    <mergeCell ref="D33:D35"/>
    <mergeCell ref="E34:E35"/>
    <mergeCell ref="F34:F35"/>
    <mergeCell ref="H34:H35"/>
    <mergeCell ref="C50:C51"/>
    <mergeCell ref="D50:D51"/>
    <mergeCell ref="E50:E51"/>
    <mergeCell ref="G50:G51"/>
    <mergeCell ref="B52:B55"/>
    <mergeCell ref="C53:C55"/>
    <mergeCell ref="E53:E55"/>
    <mergeCell ref="F53:F55"/>
    <mergeCell ref="G53:G55"/>
    <mergeCell ref="B49:B51"/>
    <mergeCell ref="B56:B58"/>
    <mergeCell ref="C57:C58"/>
    <mergeCell ref="E57:E58"/>
    <mergeCell ref="G57:G58"/>
    <mergeCell ref="B59:B61"/>
    <mergeCell ref="C59:C61"/>
    <mergeCell ref="E59:E61"/>
    <mergeCell ref="F59:F61"/>
    <mergeCell ref="G59:G61"/>
    <mergeCell ref="B62:B63"/>
    <mergeCell ref="C62:C63"/>
    <mergeCell ref="E62:E63"/>
    <mergeCell ref="F62:F63"/>
    <mergeCell ref="G62:G6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C9754997CF20489203434719BC889C" ma:contentTypeVersion="12" ma:contentTypeDescription="Create a new document." ma:contentTypeScope="" ma:versionID="e8eadf8a8f083cc34f67f1952f316676">
  <xsd:schema xmlns:xsd="http://www.w3.org/2001/XMLSchema" xmlns:xs="http://www.w3.org/2001/XMLSchema" xmlns:p="http://schemas.microsoft.com/office/2006/metadata/properties" xmlns:ns2="4d2a8ccb-312e-4735-a685-5778e2f82e3a" xmlns:ns3="ecdd9fb2-e9a2-4fab-9eef-2a613408c05f" targetNamespace="http://schemas.microsoft.com/office/2006/metadata/properties" ma:root="true" ma:fieldsID="56a4c63517feb5a56c26f046a10c897e" ns2:_="" ns3:_="">
    <xsd:import namespace="4d2a8ccb-312e-4735-a685-5778e2f82e3a"/>
    <xsd:import namespace="ecdd9fb2-e9a2-4fab-9eef-2a613408c0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2a8ccb-312e-4735-a685-5778e2f82e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0818ab-9db1-4180-8b3e-d776da9bc97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dd9fb2-e9a2-4fab-9eef-2a613408c0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8b17a9-6e4c-4b3e-b094-3cf182f38727}" ma:internalName="TaxCatchAll" ma:showField="CatchAllData" ma:web="ecdd9fb2-e9a2-4fab-9eef-2a613408c0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2a8ccb-312e-4735-a685-5778e2f82e3a">
      <Terms xmlns="http://schemas.microsoft.com/office/infopath/2007/PartnerControls"/>
    </lcf76f155ced4ddcb4097134ff3c332f>
    <TaxCatchAll xmlns="ecdd9fb2-e9a2-4fab-9eef-2a613408c0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025F3-67DB-4394-8E57-3B46BCBFABA8}"/>
</file>

<file path=customXml/itemProps2.xml><?xml version="1.0" encoding="utf-8"?>
<ds:datastoreItem xmlns:ds="http://schemas.openxmlformats.org/officeDocument/2006/customXml" ds:itemID="{56D3BE2A-6CE5-4696-9B7C-3E626F316EC6}"/>
</file>

<file path=customXml/itemProps3.xml><?xml version="1.0" encoding="utf-8"?>
<ds:datastoreItem xmlns:ds="http://schemas.openxmlformats.org/officeDocument/2006/customXml" ds:itemID="{88907B23-5CC5-4D98-8469-94EC033A82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Enny Haryanto</dc:creator>
  <cp:keywords/>
  <dc:description/>
  <cp:lastModifiedBy/>
  <cp:revision/>
  <dcterms:created xsi:type="dcterms:W3CDTF">2026-01-08T09:38:17Z</dcterms:created>
  <dcterms:modified xsi:type="dcterms:W3CDTF">2026-10-06T05:55:01Z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ies>
</file>