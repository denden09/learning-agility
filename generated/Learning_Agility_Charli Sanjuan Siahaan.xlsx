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<sst xmlns="http://schemas.openxmlformats.org/spreadsheetml/2006/main" count="11811" uniqueCount="7239">
  <si>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</si>
  <si>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</si>
  <si>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Charli Sanjuan Siahaan</t>
  </si>
  <si>
    <t>Nama Atasan yang menilai</t>
  </si>
  <si>
    <t>Fernandi Mahendrasusila</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</si>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</sst>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i/>
      <sz val="11"/>
      <color rgb="FF7030A0"/>
      <name val="Biome"/>
      <charset val="134"/>
    </font>
    <font>
      <b/>
      <sz val="11"/>
      <color theme="5" tint="-0.499984740745262"/>
      <name val="Biome"/>
      <charset val="134"/>
    </font>
    <font>
      <b/>
      <sz val="11"/>
      <color theme="7" tint="-0.499984740745262"/>
      <name val="Biome"/>
      <charset val="134"/>
    </font>
    <font>
      <i/>
      <sz val="11"/>
      <color theme="7" tint="-0.499984740745262"/>
      <name val="Biome"/>
      <charset val="134"/>
    </font>
    <font>
      <b/>
      <sz val="11"/>
      <color theme="9" tint="-0.249977111117893"/>
      <name val="Biome"/>
      <charset val="134"/>
    </font>
    <font>
      <i/>
      <sz val="11"/>
      <color theme="9" tint="-0.249977111117893"/>
      <name val="Biome"/>
      <charset val="134"/>
    </font>
    <font>
      <i/>
      <sz val="11"/>
      <color rgb="FF0070C0"/>
      <name val="Biome"/>
      <charset val="134"/>
    </font>
    <font>
      <b/>
      <i/>
      <sz val="11"/>
      <color rgb="FF0070C0"/>
      <name val="Biome"/>
      <charset val="134"/>
    </font>
    <font>
      <i/>
      <sz val="11"/>
      <color theme="5" tint="-0.499984740745262"/>
      <name val="Biome"/>
      <charset val="134"/>
    </font>
    <font>
      <b/>
      <i/>
      <sz val="11"/>
      <color theme="5" tint="-0.499984740745262"/>
      <name val="Biome"/>
      <charset val="134"/>
    </font>
    <font>
      <i/>
      <sz val="11"/>
      <color rgb="FF833C0C"/>
      <name val="Biome"/>
      <charset val="134"/>
    </font>
    <font>
      <b/>
      <i/>
      <sz val="11"/>
      <color rgb="FF833C0C"/>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sz val="11"/>
      <color rgb="FF548235"/>
      <name val="Biome"/>
      <charset val="134"/>
    </font>
    <font>
      <i/>
      <sz val="11"/>
      <color rgb="FF548235"/>
      <name val="Biome"/>
      <charset val="134"/>
    </font>
    <font>
      <b/>
      <i/>
      <sz val="11"/>
      <color theme="9" tint="-0.249977111117893"/>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491910db-492a-4378-9058-355d0eb3aeb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e6e6a5b5-1a08-4c2c-b438-3432e9edcfc8}"/>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46044.6639467593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Charli Sanjuan Siahaan</v>
      </c>
      <c r="I2" s="83"/>
      <c r="K2" s="83"/>
      <c r="M2" s="83"/>
      <c r="N2" s="83"/>
      <c r="O2" s="83"/>
    </row>
    <row r="3" spans="1:16">
      <c r="B3" s="83" t="str">
        <f>Identitas!B3</f>
        <v>Nama Atasan yang menilai</v>
      </c>
      <c r="C3" s="182" t="str">
        <f>Identitas!D3</f>
        <v>Fernandi Mahendrasusila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46044.6639467593</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4</v>
      </c>
      <c r="J13" s="285" t="s">
        <v>39</v>
      </c>
      <c r="K13" s="284">
        <v>3</v>
      </c>
      <c r="L13" s="285" t="s">
        <v>38</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4">
        <f>A13+1</f>
        <v>2</v>
      </c>
      <c r="B14" s="282" t="s">
        <v>41</v>
      </c>
      <c r="C14" s="282" t="s">
        <v>42</v>
      </c>
      <c r="D14" s="283" t="s">
        <v>43</v>
      </c>
      <c r="E14" s="283" t="s">
        <v>44</v>
      </c>
      <c r="F14" s="283" t="s">
        <v>45</v>
      </c>
      <c r="G14" s="283" t="s">
        <v>46</v>
      </c>
      <c r="H14" s="283" t="s">
        <v>47</v>
      </c>
      <c r="I14" s="284">
        <v>5</v>
      </c>
      <c r="J14" s="285" t="s">
        <v>47</v>
      </c>
      <c r="K14" s="284">
        <v>4</v>
      </c>
      <c r="L14" s="285" t="s">
        <v>46</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4">
        <f t="shared" ref="A15:A22" si="1">A14+1</f>
        <v>3</v>
      </c>
      <c r="B15" s="282" t="s">
        <v>48</v>
      </c>
      <c r="C15" s="282" t="s">
        <v>49</v>
      </c>
      <c r="D15" s="283" t="s">
        <v>50</v>
      </c>
      <c r="E15" s="283" t="s">
        <v>51</v>
      </c>
      <c r="F15" s="283" t="s">
        <v>52</v>
      </c>
      <c r="G15" s="283" t="s">
        <v>53</v>
      </c>
      <c r="H15" s="283" t="s">
        <v>54</v>
      </c>
      <c r="I15" s="284">
        <v>1</v>
      </c>
      <c r="J15" s="285" t="s">
        <v>50</v>
      </c>
      <c r="K15" s="284">
        <v>5</v>
      </c>
      <c r="L15" s="285" t="s">
        <v>54</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2</v>
      </c>
      <c r="J16" s="285" t="s">
        <v>58</v>
      </c>
      <c r="K16" s="284">
        <v>1</v>
      </c>
      <c r="L16" s="285" t="s">
        <v>57</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4">
        <f t="shared" si="1"/>
        <v>5</v>
      </c>
      <c r="B17" s="282" t="s">
        <v>62</v>
      </c>
      <c r="C17" s="282" t="s">
        <v>63</v>
      </c>
      <c r="D17" s="283" t="s">
        <v>64</v>
      </c>
      <c r="E17" s="283" t="s">
        <v>65</v>
      </c>
      <c r="F17" s="283" t="s">
        <v>66</v>
      </c>
      <c r="G17" s="283" t="s">
        <v>67</v>
      </c>
      <c r="H17" s="283" t="s">
        <v>68</v>
      </c>
      <c r="I17" s="284">
        <v>3</v>
      </c>
      <c r="J17" s="285" t="s">
        <v>66</v>
      </c>
      <c r="K17" s="284">
        <v>2</v>
      </c>
      <c r="L17" s="285" t="s">
        <v>65</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4">
        <f t="shared" si="1"/>
        <v>6</v>
      </c>
      <c r="B18" s="282" t="s">
        <v>69</v>
      </c>
      <c r="C18" s="282" t="s">
        <v>70</v>
      </c>
      <c r="D18" s="283" t="s">
        <v>71</v>
      </c>
      <c r="E18" s="283" t="s">
        <v>72</v>
      </c>
      <c r="F18" s="283" t="s">
        <v>73</v>
      </c>
      <c r="G18" s="283" t="s">
        <v>74</v>
      </c>
      <c r="H18" s="283" t="s">
        <v>75</v>
      </c>
      <c r="I18" s="284">
        <v>4</v>
      </c>
      <c r="J18" s="285" t="s">
        <v>74</v>
      </c>
      <c r="K18" s="284">
        <v>3</v>
      </c>
      <c r="L18" s="285" t="s">
        <v>73</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4">
        <f t="shared" si="1"/>
        <v>7</v>
      </c>
      <c r="B19" s="282" t="s">
        <v>76</v>
      </c>
      <c r="C19" s="282" t="s">
        <v>77</v>
      </c>
      <c r="D19" s="283" t="s">
        <v>78</v>
      </c>
      <c r="E19" s="283" t="s">
        <v>79</v>
      </c>
      <c r="F19" s="283" t="s">
        <v>80</v>
      </c>
      <c r="G19" s="283" t="s">
        <v>81</v>
      </c>
      <c r="H19" s="283" t="s">
        <v>82</v>
      </c>
      <c r="I19" s="284">
        <v>5</v>
      </c>
      <c r="J19" s="285" t="s">
        <v>82</v>
      </c>
      <c r="K19" s="284">
        <v>4</v>
      </c>
      <c r="L19" s="285" t="s">
        <v>81</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4">
        <f t="shared" si="1"/>
        <v>8</v>
      </c>
      <c r="B20" s="282" t="s">
        <v>83</v>
      </c>
      <c r="C20" s="282" t="s">
        <v>84</v>
      </c>
      <c r="D20" s="283" t="s">
        <v>85</v>
      </c>
      <c r="E20" s="283" t="s">
        <v>86</v>
      </c>
      <c r="F20" s="283" t="s">
        <v>87</v>
      </c>
      <c r="G20" s="283" t="s">
        <v>88</v>
      </c>
      <c r="H20" s="283" t="s">
        <v>89</v>
      </c>
      <c r="I20" s="284">
        <v>1</v>
      </c>
      <c r="J20" s="285" t="s">
        <v>85</v>
      </c>
      <c r="K20" s="284">
        <v>5</v>
      </c>
      <c r="L20" s="285" t="s">
        <v>89</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2</v>
      </c>
      <c r="J21" s="285" t="s">
        <v>93</v>
      </c>
      <c r="K21" s="284">
        <v>1</v>
      </c>
      <c r="L21" s="285" t="s">
        <v>92</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4">
        <f t="shared" si="1"/>
        <v>10</v>
      </c>
      <c r="B22" s="282" t="s">
        <v>97</v>
      </c>
      <c r="C22" s="282" t="s">
        <v>98</v>
      </c>
      <c r="D22" s="283" t="s">
        <v>99</v>
      </c>
      <c r="E22" s="283" t="s">
        <v>100</v>
      </c>
      <c r="F22" s="283" t="s">
        <v>101</v>
      </c>
      <c r="G22" s="283" t="s">
        <v>102</v>
      </c>
      <c r="H22" s="283" t="s">
        <v>103</v>
      </c>
      <c r="I22" s="284">
        <v>3</v>
      </c>
      <c r="J22" s="285" t="s">
        <v>101</v>
      </c>
      <c r="K22" s="284">
        <v>2</v>
      </c>
      <c r="L22" s="285" t="s">
        <v>100</v>
      </c>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Charli Sanjuan Siahaan</v>
      </c>
      <c r="I2" s="83"/>
      <c r="J2" s="83"/>
      <c r="K2" s="83"/>
      <c r="L2" s="83"/>
      <c r="M2" s="83"/>
      <c r="N2" s="83"/>
    </row>
    <row r="3" spans="1:16">
      <c r="B3" s="83" t="str">
        <f>Identitas!B3</f>
        <v>Nama Atasan yang menilai</v>
      </c>
      <c r="C3" s="182" t="str">
        <f>Identitas!D3</f>
        <v>Fernandi Mahendrasusila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46044.6639467593</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4</v>
      </c>
      <c r="J13" s="285" t="s">
        <v>110</v>
      </c>
      <c r="K13" s="284">
        <v>3</v>
      </c>
      <c r="L13" s="284" t="s">
        <v>109</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6">
        <v>2</v>
      </c>
      <c r="B14" s="282" t="s">
        <v>112</v>
      </c>
      <c r="C14" s="282" t="s">
        <v>113</v>
      </c>
      <c r="D14" s="283" t="s">
        <v>114</v>
      </c>
      <c r="E14" s="283" t="s">
        <v>115</v>
      </c>
      <c r="F14" s="283" t="s">
        <v>116</v>
      </c>
      <c r="G14" s="283" t="s">
        <v>117</v>
      </c>
      <c r="H14" s="283" t="s">
        <v>118</v>
      </c>
      <c r="I14" s="284">
        <v>5</v>
      </c>
      <c r="J14" s="285" t="s">
        <v>118</v>
      </c>
      <c r="K14" s="284">
        <v>4</v>
      </c>
      <c r="L14" s="284" t="s">
        <v>117</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4">
        <v>3</v>
      </c>
      <c r="B15" s="282" t="s">
        <v>119</v>
      </c>
      <c r="C15" s="282" t="s">
        <v>120</v>
      </c>
      <c r="D15" s="283" t="s">
        <v>121</v>
      </c>
      <c r="E15" s="283" t="s">
        <v>122</v>
      </c>
      <c r="F15" s="283" t="s">
        <v>123</v>
      </c>
      <c r="G15" s="283" t="s">
        <v>124</v>
      </c>
      <c r="H15" s="283" t="s">
        <v>125</v>
      </c>
      <c r="I15" s="284">
        <v>1</v>
      </c>
      <c r="J15" s="285" t="s">
        <v>121</v>
      </c>
      <c r="K15" s="284">
        <v>5</v>
      </c>
      <c r="L15" s="284" t="s">
        <v>125</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2</v>
      </c>
      <c r="J16" s="285" t="s">
        <v>129</v>
      </c>
      <c r="K16" s="284">
        <v>1</v>
      </c>
      <c r="L16" s="284" t="s">
        <v>128</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4">
        <v>5</v>
      </c>
      <c r="B17" s="282" t="s">
        <v>133</v>
      </c>
      <c r="C17" s="282" t="s">
        <v>134</v>
      </c>
      <c r="D17" s="283" t="s">
        <v>135</v>
      </c>
      <c r="E17" s="283" t="s">
        <v>136</v>
      </c>
      <c r="F17" s="283" t="s">
        <v>137</v>
      </c>
      <c r="G17" s="283" t="s">
        <v>138</v>
      </c>
      <c r="H17" s="283" t="s">
        <v>139</v>
      </c>
      <c r="I17" s="284">
        <v>3</v>
      </c>
      <c r="J17" s="285" t="s">
        <v>137</v>
      </c>
      <c r="K17" s="284">
        <v>2</v>
      </c>
      <c r="L17" s="284" t="s">
        <v>136</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4">
        <v>6</v>
      </c>
      <c r="B18" s="282" t="s">
        <v>140</v>
      </c>
      <c r="C18" s="282" t="s">
        <v>141</v>
      </c>
      <c r="D18" s="283" t="s">
        <v>142</v>
      </c>
      <c r="E18" s="283" t="s">
        <v>143</v>
      </c>
      <c r="F18" s="283" t="s">
        <v>144</v>
      </c>
      <c r="G18" s="283" t="s">
        <v>145</v>
      </c>
      <c r="H18" s="283" t="s">
        <v>146</v>
      </c>
      <c r="I18" s="284">
        <v>4</v>
      </c>
      <c r="J18" s="285" t="s">
        <v>145</v>
      </c>
      <c r="K18" s="284">
        <v>3</v>
      </c>
      <c r="L18" s="284" t="s">
        <v>144</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 spans="1:16">
      <c r="A19" s="284">
        <v>7</v>
      </c>
      <c r="B19" s="282" t="s">
        <v>147</v>
      </c>
      <c r="C19" s="282" t="s">
        <v>148</v>
      </c>
      <c r="D19" s="283" t="s">
        <v>149</v>
      </c>
      <c r="E19" s="283" t="s">
        <v>150</v>
      </c>
      <c r="F19" s="283" t="s">
        <v>151</v>
      </c>
      <c r="G19" s="283" t="s">
        <v>152</v>
      </c>
      <c r="H19" s="283" t="s">
        <v>153</v>
      </c>
      <c r="I19" s="284">
        <v>5</v>
      </c>
      <c r="J19" s="285" t="s">
        <v>153</v>
      </c>
      <c r="K19" s="284">
        <v>4</v>
      </c>
      <c r="L19" s="284" t="s">
        <v>152</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4">
        <v>8</v>
      </c>
      <c r="B20" s="282" t="s">
        <v>154</v>
      </c>
      <c r="C20" s="282" t="s">
        <v>155</v>
      </c>
      <c r="D20" s="283" t="s">
        <v>156</v>
      </c>
      <c r="E20" s="283" t="s">
        <v>157</v>
      </c>
      <c r="F20" s="283" t="s">
        <v>158</v>
      </c>
      <c r="G20" s="283" t="s">
        <v>159</v>
      </c>
      <c r="H20" s="283" t="s">
        <v>160</v>
      </c>
      <c r="I20" s="284">
        <v>1</v>
      </c>
      <c r="J20" s="285" t="s">
        <v>156</v>
      </c>
      <c r="K20" s="284">
        <v>5</v>
      </c>
      <c r="L20" s="284" t="s">
        <v>160</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2</v>
      </c>
      <c r="J21" s="285" t="s">
        <v>164</v>
      </c>
      <c r="K21" s="284">
        <v>1</v>
      </c>
      <c r="L21" s="284" t="s">
        <v>163</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4">
        <v>10</v>
      </c>
      <c r="B22" s="282" t="s">
        <v>168</v>
      </c>
      <c r="C22" s="282" t="s">
        <v>169</v>
      </c>
      <c r="D22" s="283" t="s">
        <v>170</v>
      </c>
      <c r="E22" s="283" t="s">
        <v>171</v>
      </c>
      <c r="F22" s="283" t="s">
        <v>172</v>
      </c>
      <c r="G22" s="283" t="s">
        <v>173</v>
      </c>
      <c r="H22" s="283" t="s">
        <v>174</v>
      </c>
      <c r="I22" s="284">
        <v>3</v>
      </c>
      <c r="J22" s="285" t="s">
        <v>172</v>
      </c>
      <c r="K22" s="284">
        <v>2</v>
      </c>
      <c r="L22" s="284" t="s">
        <v>171</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4</v>
      </c>
      <c r="J13" s="285" t="s">
        <v>180</v>
      </c>
      <c r="K13" s="284">
        <v>3</v>
      </c>
      <c r="L13" s="285" t="s">
        <v>179</v>
      </c>
      <c r="M13" s="194">
        <f t="shared" ref="M13:M23" si="0">I13-K13</f>
        <v>1</v>
      </c>
      <c r="N13" s="194" t="str" cm="1">
        <f t="array" ref="N13">_xlfn.IFS(M13&gt;=2,"Major Positive Gap",M13&gt;=1,"Minor Positive Gap",M13&gt;=0,"No Gap",M13&gt;=-1,"Minor Negative Gap",M13&lt;=-2,"Major Negative Gap")</f>
        <v>Minor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5</v>
      </c>
      <c r="J14" s="285" t="s">
        <v>190</v>
      </c>
      <c r="K14" s="284">
        <v>4</v>
      </c>
      <c r="L14" s="285" t="s">
        <v>189</v>
      </c>
      <c r="M14" s="194">
        <f t="shared" si="0"/>
        <v>1</v>
      </c>
      <c r="N14" s="194" t="str" cm="1">
        <f t="array" ref="N14">_xlfn.IFS(M14&gt;=2,"Major Positive Gap",M14&gt;=1,"Minor Positive Gap",M14&gt;=0,"No Gap",M14&gt;=-1,"Minor Negative Gap",M14&lt;=-2,"Major Negative Gap")</f>
        <v>Minor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1</v>
      </c>
      <c r="J15" s="285" t="s">
        <v>193</v>
      </c>
      <c r="K15" s="284">
        <v>5</v>
      </c>
      <c r="L15" s="285" t="s">
        <v>197</v>
      </c>
      <c r="M15" s="194">
        <f t="shared" si="0"/>
        <v>-4</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2</v>
      </c>
      <c r="J16" s="285" t="s">
        <v>203</v>
      </c>
      <c r="K16" s="284">
        <v>1</v>
      </c>
      <c r="L16" s="285" t="s">
        <v>202</v>
      </c>
      <c r="M16" s="194">
        <f t="shared" si="0"/>
        <v>1</v>
      </c>
      <c r="N16" s="194" t="str" cm="1">
        <f t="array" ref="N16">_xlfn.IFS(M16&gt;=2,"Major Positive Gap",M16&gt;=1,"Minor Positive Gap",M16&gt;=0,"No Gap",M16&gt;=-1,"Minor Negative Gap",M16&lt;=-2,"Major Negative Gap")</f>
        <v>Minor Positive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3</v>
      </c>
      <c r="J17" s="285" t="s">
        <v>213</v>
      </c>
      <c r="K17" s="284">
        <v>2</v>
      </c>
      <c r="L17" s="285" t="s">
        <v>212</v>
      </c>
      <c r="M17" s="194">
        <f t="shared" si="0"/>
        <v>1</v>
      </c>
      <c r="N17" s="194" t="str" cm="1">
        <f t="array" ref="N17">_xlfn.IFS(M17&gt;=2,"Major Positive Gap",M17&gt;=1,"Minor Positive Gap",M17&gt;=0,"No Gap",M17&gt;=-1,"Minor Negative Gap",M17&lt;=-2,"Major Negative Gap")</f>
        <v>Minor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4</v>
      </c>
      <c r="J18" s="285" t="s">
        <v>221</v>
      </c>
      <c r="K18" s="284">
        <v>3</v>
      </c>
      <c r="L18" s="285" t="s">
        <v>220</v>
      </c>
      <c r="M18" s="194">
        <f t="shared" si="0"/>
        <v>1</v>
      </c>
      <c r="N18" s="194" t="str" cm="1">
        <f t="array" ref="N18">_xlfn.IFS(M18&gt;=2,"Major Positive Gap",M18&gt;=1,"Minor Positive Gap",M18&gt;=0,"No Gap",M18&gt;=-1,"Minor Negative Gap",M18&lt;=-2,"Major Negative Gap")</f>
        <v>Minor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5</v>
      </c>
      <c r="J19" s="285" t="s">
        <v>231</v>
      </c>
      <c r="K19" s="284">
        <v>4</v>
      </c>
      <c r="L19" s="285" t="s">
        <v>230</v>
      </c>
      <c r="M19" s="194">
        <f t="shared" si="0"/>
        <v>1</v>
      </c>
      <c r="N19" s="194" t="str" cm="1">
        <f t="array" ref="N19">_xlfn.IFS(M19&gt;=2,"Major Positive Gap",M19&gt;=1,"Minor Positive Gap",M19&gt;=0,"No Gap",M19&gt;=-1,"Minor Negative Gap",M19&lt;=-2,"Major Negative Gap")</f>
        <v>Minor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1</v>
      </c>
      <c r="J20" s="285" t="s">
        <v>234</v>
      </c>
      <c r="K20" s="284">
        <v>5</v>
      </c>
      <c r="L20" s="285" t="s">
        <v>238</v>
      </c>
      <c r="M20" s="194">
        <f t="shared" si="0"/>
        <v>-4</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2</v>
      </c>
      <c r="J21" s="285" t="s">
        <v>242</v>
      </c>
      <c r="K21" s="284">
        <v>1</v>
      </c>
      <c r="L21" s="285" t="s">
        <v>241</v>
      </c>
      <c r="M21" s="194">
        <f t="shared" si="0"/>
        <v>1</v>
      </c>
      <c r="N21" s="194" t="str" cm="1">
        <f t="array" ref="N21">_xlfn.IFS(M21&gt;=2,"Major Positive Gap",M21&gt;=1,"Minor Positive Gap",M21&gt;=0,"No Gap",M21&gt;=-1,"Minor Negative Gap",M21&lt;=-2,"Major Negative Gap")</f>
        <v>Minor Positive Gap</v>
      </c>
      <c r="O21" s="85" t="s">
        <v>198</v>
      </c>
      <c r="P21" s="90" t="s">
        <v>199</v>
      </c>
    </row>
    <row r="22" ht="36" spans="1:16">
      <c r="A22" s="285">
        <v>10</v>
      </c>
      <c r="B22" s="282" t="s">
        <v>246</v>
      </c>
      <c r="C22" s="282" t="s">
        <v>247</v>
      </c>
      <c r="D22" s="282" t="s">
        <v>248</v>
      </c>
      <c r="E22" s="282" t="s">
        <v>249</v>
      </c>
      <c r="F22" s="282" t="s">
        <v>250</v>
      </c>
      <c r="G22" s="282" t="s">
        <v>251</v>
      </c>
      <c r="H22" s="282" t="s">
        <v>252</v>
      </c>
      <c r="I22" s="284">
        <v>3</v>
      </c>
      <c r="J22" s="285" t="s">
        <v>250</v>
      </c>
      <c r="K22" s="284">
        <v>2</v>
      </c>
      <c r="L22" s="285" t="s">
        <v>249</v>
      </c>
      <c r="M22" s="194">
        <f t="shared" si="0"/>
        <v>1</v>
      </c>
      <c r="N22" s="194" t="str" cm="1">
        <f t="array" ref="N22">_xlfn.IFS(M22&gt;=2,"Major Positive Gap",M22&gt;=1,"Minor Positive Gap",M22&gt;=0,"No Gap",M22&gt;=-1,"Minor Negative Gap",M22&lt;=-2,"Major Negative Gap")</f>
        <v>Minor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4</v>
      </c>
      <c r="J13" s="285" t="s">
        <v>258</v>
      </c>
      <c r="K13" s="284">
        <v>3</v>
      </c>
      <c r="L13" s="285" t="s">
        <v>257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5">
        <v>2</v>
      </c>
      <c r="B14" s="282" t="s">
        <v>260</v>
      </c>
      <c r="C14" s="282" t="s">
        <v>261</v>
      </c>
      <c r="D14" s="282" t="s">
        <v>262</v>
      </c>
      <c r="E14" s="282" t="s">
        <v>263</v>
      </c>
      <c r="F14" s="282" t="s">
        <v>264</v>
      </c>
      <c r="G14" s="282" t="s">
        <v>265</v>
      </c>
      <c r="H14" s="282" t="s">
        <v>266</v>
      </c>
      <c r="I14" s="284">
        <v>5</v>
      </c>
      <c r="J14" s="285" t="s">
        <v>266</v>
      </c>
      <c r="K14" s="284">
        <v>4</v>
      </c>
      <c r="L14" s="285" t="s">
        <v>265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5">
        <v>3</v>
      </c>
      <c r="B15" s="282" t="s">
        <v>267</v>
      </c>
      <c r="C15" s="282" t="s">
        <v>268</v>
      </c>
      <c r="D15" s="282" t="s">
        <v>269</v>
      </c>
      <c r="E15" s="282" t="s">
        <v>270</v>
      </c>
      <c r="F15" s="282" t="s">
        <v>271</v>
      </c>
      <c r="G15" s="282" t="s">
        <v>272</v>
      </c>
      <c r="H15" s="282" t="s">
        <v>273</v>
      </c>
      <c r="I15" s="284">
        <v>1</v>
      </c>
      <c r="J15" s="285" t="s">
        <v>269</v>
      </c>
      <c r="K15" s="284">
        <v>5</v>
      </c>
      <c r="L15" s="285" t="s">
        <v>273</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2</v>
      </c>
      <c r="J16" s="285" t="s">
        <v>277</v>
      </c>
      <c r="K16" s="284">
        <v>1</v>
      </c>
      <c r="L16" s="285" t="s">
        <v>276</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5">
        <v>5</v>
      </c>
      <c r="B17" s="282" t="s">
        <v>281</v>
      </c>
      <c r="C17" s="282" t="s">
        <v>282</v>
      </c>
      <c r="D17" s="282" t="s">
        <v>283</v>
      </c>
      <c r="E17" s="282" t="s">
        <v>284</v>
      </c>
      <c r="F17" s="282" t="s">
        <v>285</v>
      </c>
      <c r="G17" s="282" t="s">
        <v>286</v>
      </c>
      <c r="H17" s="282" t="s">
        <v>287</v>
      </c>
      <c r="I17" s="284">
        <v>3</v>
      </c>
      <c r="J17" s="285" t="s">
        <v>285</v>
      </c>
      <c r="K17" s="284">
        <v>2</v>
      </c>
      <c r="L17" s="285" t="s">
        <v>284</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5">
        <v>6</v>
      </c>
      <c r="B18" s="282" t="s">
        <v>288</v>
      </c>
      <c r="C18" s="282" t="s">
        <v>289</v>
      </c>
      <c r="D18" s="282" t="s">
        <v>290</v>
      </c>
      <c r="E18" s="282" t="s">
        <v>291</v>
      </c>
      <c r="F18" s="282" t="s">
        <v>292</v>
      </c>
      <c r="G18" s="282" t="s">
        <v>293</v>
      </c>
      <c r="H18" s="282" t="s">
        <v>294</v>
      </c>
      <c r="I18" s="284">
        <v>4</v>
      </c>
      <c r="J18" s="285" t="s">
        <v>293</v>
      </c>
      <c r="K18" s="284">
        <v>3</v>
      </c>
      <c r="L18" s="285" t="s">
        <v>292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5">
        <v>7</v>
      </c>
      <c r="B19" s="282" t="s">
        <v>295</v>
      </c>
      <c r="C19" s="282" t="s">
        <v>296</v>
      </c>
      <c r="D19" s="282" t="s">
        <v>297</v>
      </c>
      <c r="E19" s="282" t="s">
        <v>298</v>
      </c>
      <c r="F19" s="282" t="s">
        <v>299</v>
      </c>
      <c r="G19" s="282" t="s">
        <v>300</v>
      </c>
      <c r="H19" s="282" t="s">
        <v>301</v>
      </c>
      <c r="I19" s="284">
        <v>5</v>
      </c>
      <c r="J19" s="285" t="s">
        <v>301</v>
      </c>
      <c r="K19" s="284">
        <v>4</v>
      </c>
      <c r="L19" s="285" t="s">
        <v>300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5">
        <v>8</v>
      </c>
      <c r="B20" s="282" t="s">
        <v>302</v>
      </c>
      <c r="C20" s="282" t="s">
        <v>303</v>
      </c>
      <c r="D20" s="282" t="s">
        <v>304</v>
      </c>
      <c r="E20" s="282" t="s">
        <v>305</v>
      </c>
      <c r="F20" s="282" t="s">
        <v>306</v>
      </c>
      <c r="G20" s="282" t="s">
        <v>307</v>
      </c>
      <c r="H20" s="282" t="s">
        <v>308</v>
      </c>
      <c r="I20" s="284">
        <v>1</v>
      </c>
      <c r="J20" s="285" t="s">
        <v>304</v>
      </c>
      <c r="K20" s="284">
        <v>5</v>
      </c>
      <c r="L20" s="285" t="s">
        <v>308</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2</v>
      </c>
      <c r="J21" s="285" t="s">
        <v>312</v>
      </c>
      <c r="K21" s="284">
        <v>1</v>
      </c>
      <c r="L21" s="285" t="s">
        <v>311</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81">
        <v>10</v>
      </c>
      <c r="B22" s="282" t="s">
        <v>316</v>
      </c>
      <c r="C22" s="282" t="s">
        <v>317</v>
      </c>
      <c r="D22" s="282" t="s">
        <v>318</v>
      </c>
      <c r="E22" s="282" t="s">
        <v>319</v>
      </c>
      <c r="F22" s="282" t="s">
        <v>320</v>
      </c>
      <c r="G22" s="282" t="s">
        <v>321</v>
      </c>
      <c r="H22" s="282" t="s">
        <v>322</v>
      </c>
      <c r="I22" s="284">
        <v>3</v>
      </c>
      <c r="J22" s="285" t="s">
        <v>320</v>
      </c>
      <c r="K22" s="284">
        <v>2</v>
      </c>
      <c r="L22" s="285" t="s">
        <v>319</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4</v>
      </c>
      <c r="J13" s="285" t="s">
        <v>328</v>
      </c>
      <c r="K13" s="284">
        <v>3</v>
      </c>
      <c r="L13" s="285" t="s">
        <v>327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5">
        <v>2</v>
      </c>
      <c r="B14" s="282" t="s">
        <v>330</v>
      </c>
      <c r="C14" s="282" t="s">
        <v>331</v>
      </c>
      <c r="D14" s="283" t="s">
        <v>332</v>
      </c>
      <c r="E14" s="283" t="s">
        <v>333</v>
      </c>
      <c r="F14" s="283" t="s">
        <v>334</v>
      </c>
      <c r="G14" s="283" t="s">
        <v>335</v>
      </c>
      <c r="H14" s="283" t="s">
        <v>336</v>
      </c>
      <c r="I14" s="284">
        <v>5</v>
      </c>
      <c r="J14" s="285" t="s">
        <v>336</v>
      </c>
      <c r="K14" s="284">
        <v>4</v>
      </c>
      <c r="L14" s="285" t="s">
        <v>335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5">
        <v>3</v>
      </c>
      <c r="B15" s="282" t="s">
        <v>337</v>
      </c>
      <c r="C15" s="282" t="s">
        <v>338</v>
      </c>
      <c r="D15" s="283" t="s">
        <v>339</v>
      </c>
      <c r="E15" s="283" t="s">
        <v>340</v>
      </c>
      <c r="F15" s="283" t="s">
        <v>341</v>
      </c>
      <c r="G15" s="283" t="s">
        <v>342</v>
      </c>
      <c r="H15" s="283" t="s">
        <v>343</v>
      </c>
      <c r="I15" s="284">
        <v>1</v>
      </c>
      <c r="J15" s="285" t="s">
        <v>339</v>
      </c>
      <c r="K15" s="284">
        <v>5</v>
      </c>
      <c r="L15" s="285" t="s">
        <v>343</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81">
        <v>4</v>
      </c>
      <c r="B16" s="282" t="s">
        <v>344</v>
      </c>
      <c r="C16" s="282" t="s">
        <v>345</v>
      </c>
      <c r="D16" s="283" t="s">
        <v>346</v>
      </c>
      <c r="E16" s="283" t="s">
        <v>347</v>
      </c>
      <c r="F16" s="283" t="s">
        <v>348</v>
      </c>
      <c r="G16" s="283" t="s">
        <v>349</v>
      </c>
      <c r="H16" s="283" t="s">
        <v>350</v>
      </c>
      <c r="I16" s="284">
        <v>2</v>
      </c>
      <c r="J16" s="285" t="s">
        <v>347</v>
      </c>
      <c r="K16" s="284">
        <v>1</v>
      </c>
      <c r="L16" s="285" t="s">
        <v>346</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5">
        <v>5</v>
      </c>
      <c r="B17" s="282" t="s">
        <v>351</v>
      </c>
      <c r="C17" s="283" t="s">
        <v>352</v>
      </c>
      <c r="D17" s="283" t="s">
        <v>353</v>
      </c>
      <c r="E17" s="283" t="s">
        <v>354</v>
      </c>
      <c r="F17" s="283" t="s">
        <v>355</v>
      </c>
      <c r="G17" s="283" t="s">
        <v>356</v>
      </c>
      <c r="H17" s="283" t="s">
        <v>357</v>
      </c>
      <c r="I17" s="284">
        <v>3</v>
      </c>
      <c r="J17" s="285" t="s">
        <v>355</v>
      </c>
      <c r="K17" s="284">
        <v>2</v>
      </c>
      <c r="L17" s="285" t="s">
        <v>354</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48" spans="1:16">
      <c r="A18" s="285">
        <v>6</v>
      </c>
      <c r="B18" s="282" t="s">
        <v>358</v>
      </c>
      <c r="C18" s="283" t="s">
        <v>359</v>
      </c>
      <c r="D18" s="283" t="s">
        <v>360</v>
      </c>
      <c r="E18" s="283" t="s">
        <v>361</v>
      </c>
      <c r="F18" s="283" t="s">
        <v>362</v>
      </c>
      <c r="G18" s="283" t="s">
        <v>363</v>
      </c>
      <c r="H18" s="283" t="s">
        <v>364</v>
      </c>
      <c r="I18" s="284">
        <v>4</v>
      </c>
      <c r="J18" s="285" t="s">
        <v>363</v>
      </c>
      <c r="K18" s="284">
        <v>3</v>
      </c>
      <c r="L18" s="285" t="s">
        <v>362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5">
        <v>7</v>
      </c>
      <c r="B19" s="282" t="s">
        <v>365</v>
      </c>
      <c r="C19" s="283" t="s">
        <v>366</v>
      </c>
      <c r="D19" s="283" t="s">
        <v>367</v>
      </c>
      <c r="E19" s="283" t="s">
        <v>368</v>
      </c>
      <c r="F19" s="283" t="s">
        <v>369</v>
      </c>
      <c r="G19" s="283" t="s">
        <v>370</v>
      </c>
      <c r="H19" s="283" t="s">
        <v>371</v>
      </c>
      <c r="I19" s="284">
        <v>5</v>
      </c>
      <c r="J19" s="285" t="s">
        <v>371</v>
      </c>
      <c r="K19" s="284">
        <v>4</v>
      </c>
      <c r="L19" s="285" t="s">
        <v>370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5">
        <v>8</v>
      </c>
      <c r="B20" s="282" t="s">
        <v>372</v>
      </c>
      <c r="C20" s="283" t="s">
        <v>373</v>
      </c>
      <c r="D20" s="283" t="s">
        <v>374</v>
      </c>
      <c r="E20" s="283" t="s">
        <v>375</v>
      </c>
      <c r="F20" s="283" t="s">
        <v>376</v>
      </c>
      <c r="G20" s="283" t="s">
        <v>377</v>
      </c>
      <c r="H20" s="283" t="s">
        <v>378</v>
      </c>
      <c r="I20" s="284">
        <v>1</v>
      </c>
      <c r="J20" s="285" t="s">
        <v>374</v>
      </c>
      <c r="K20" s="284">
        <v>5</v>
      </c>
      <c r="L20" s="285" t="s">
        <v>378</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5">
        <v>9</v>
      </c>
      <c r="B21" s="282" t="s">
        <v>379</v>
      </c>
      <c r="C21" s="283" t="s">
        <v>380</v>
      </c>
      <c r="D21" s="283" t="s">
        <v>381</v>
      </c>
      <c r="E21" s="283" t="s">
        <v>382</v>
      </c>
      <c r="F21" s="283" t="s">
        <v>383</v>
      </c>
      <c r="G21" s="283" t="s">
        <v>384</v>
      </c>
      <c r="H21" s="283" t="s">
        <v>385</v>
      </c>
      <c r="I21" s="284">
        <v>2</v>
      </c>
      <c r="J21" s="285" t="s">
        <v>382</v>
      </c>
      <c r="K21" s="284">
        <v>1</v>
      </c>
      <c r="L21" s="285" t="s">
        <v>381</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5">
        <v>10</v>
      </c>
      <c r="B22" s="282" t="s">
        <v>386</v>
      </c>
      <c r="C22" s="283" t="s">
        <v>387</v>
      </c>
      <c r="D22" s="286" t="s">
        <v>388</v>
      </c>
      <c r="E22" s="287" t="s">
        <v>389</v>
      </c>
      <c r="F22" s="287" t="s">
        <v>390</v>
      </c>
      <c r="G22" s="287" t="s">
        <v>391</v>
      </c>
      <c r="H22" s="287" t="s">
        <v>392</v>
      </c>
      <c r="I22" s="284">
        <v>3</v>
      </c>
      <c r="J22" s="285" t="s">
        <v>390</v>
      </c>
      <c r="K22" s="284">
        <v>2</v>
      </c>
      <c r="L22" s="285" t="s">
        <v>389</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Charli Sanjuan Siahaan</v>
      </c>
    </row>
    <row r="3" s="83" customFormat="1" spans="1:9">
      <c r="A3" s="83" t="str">
        <f>Identitas!B3</f>
        <v>Nama Atasan yang menilai</v>
      </c>
      <c r="B3" s="182" t="str">
        <f>Identitas!D3</f>
        <v>Fernandi Mahendrasusila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46044.6639467593</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3</v>
      </c>
      <c r="D25" s="242">
        <f>'mental agility'!M13</f>
        <v>1</v>
      </c>
      <c r="E25" s="243" t="str">
        <f>'mental agility'!N13</f>
        <v>Minor Positive Gap</v>
      </c>
    </row>
    <row r="26" s="207" customFormat="1" ht="30" spans="1:8">
      <c r="A26" s="241" t="str">
        <f>'mental agility'!B14</f>
        <v>Root Cause Analysis
(mencari penyebab masalah)</v>
      </c>
      <c r="B26" s="241">
        <f>'mental agility'!I14</f>
        <v>5</v>
      </c>
      <c r="C26" s="241">
        <f>'mental agility'!K14</f>
        <v>4</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1</v>
      </c>
      <c r="C27" s="241">
        <f>'mental agility'!K15</f>
        <v>5</v>
      </c>
      <c r="D27" s="242">
        <f>'mental agility'!M15</f>
        <v>-4</v>
      </c>
      <c r="E27" s="243" t="str">
        <f>'mental agility'!N15</f>
        <v>Major Negative Gap</v>
      </c>
    </row>
    <row r="28" s="207" customFormat="1" ht="45" spans="1:8">
      <c r="A28" s="241" t="str">
        <f>'mental agility'!B16</f>
        <v>Explaining Complexity
(menjelaskan hal kompleks secara sederhana)</v>
      </c>
      <c r="B28" s="241">
        <f>'mental agility'!I16</f>
        <v>2</v>
      </c>
      <c r="C28" s="241">
        <f>'mental agility'!K16</f>
        <v>1</v>
      </c>
      <c r="D28" s="242">
        <f>'mental agility'!M16</f>
        <v>1</v>
      </c>
      <c r="E28" s="243" t="str">
        <f>'mental agility'!N16</f>
        <v>Minor Positive Gap</v>
      </c>
    </row>
    <row r="29" s="207" customFormat="1" ht="45" spans="1:8">
      <c r="A29" s="241" t="str">
        <f>'mental agility'!B17</f>
        <v>Intellectual Synthesis
(menghubungkan berbagai informasi)</v>
      </c>
      <c r="B29" s="241">
        <f>'mental agility'!I17</f>
        <v>3</v>
      </c>
      <c r="C29" s="241">
        <f>'mental agility'!K17</f>
        <v>2</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4</v>
      </c>
      <c r="C30" s="241">
        <f>'mental agility'!K18</f>
        <v>3</v>
      </c>
      <c r="D30" s="242">
        <f>'mental agility'!M18</f>
        <v>1</v>
      </c>
      <c r="E30" s="243" t="str">
        <f>'mental agility'!N18</f>
        <v>Minor Positive Gap</v>
      </c>
    </row>
    <row r="31" s="207" customFormat="1" ht="30" spans="1:8">
      <c r="A31" s="241" t="str">
        <f>'mental agility'!B19</f>
        <v>Creative Exploration
(mencari pendekatan baru)</v>
      </c>
      <c r="B31" s="241">
        <f>'mental agility'!I19</f>
        <v>5</v>
      </c>
      <c r="C31" s="241">
        <f>'mental agility'!K19</f>
        <v>4</v>
      </c>
      <c r="D31" s="242">
        <f>'mental agility'!M19</f>
        <v>1</v>
      </c>
      <c r="E31" s="243" t="str">
        <f>'mental agility'!N19</f>
        <v>Minor Positive Gap</v>
      </c>
    </row>
    <row r="32" s="207" customFormat="1" ht="30" spans="1:8">
      <c r="A32" s="241" t="str">
        <f>'mental agility'!B20</f>
        <v>Breaking Patterned thinking
(menciptakan solusi baru)</v>
      </c>
      <c r="B32" s="241">
        <f>'mental agility'!I20</f>
        <v>1</v>
      </c>
      <c r="C32" s="241">
        <f>'mental agility'!K20</f>
        <v>5</v>
      </c>
      <c r="D32" s="242">
        <f>'mental agility'!M20</f>
        <v>-4</v>
      </c>
      <c r="E32" s="243" t="str">
        <f>'mental agility'!N20</f>
        <v>Major Negative Gap</v>
      </c>
    </row>
    <row r="33" s="207" customFormat="1" ht="45" spans="1:9">
      <c r="A33" s="241" t="str">
        <f>'mental agility'!B21</f>
        <v>Comfort with Ambiguity
(tetap efektif di situasi tidak jelas)</v>
      </c>
      <c r="B33" s="241">
        <f>'mental agility'!I21</f>
        <v>2</v>
      </c>
      <c r="C33" s="241">
        <f>'mental agility'!K21</f>
        <v>1</v>
      </c>
      <c r="D33" s="242">
        <f>'mental agility'!M21</f>
        <v>1</v>
      </c>
      <c r="E33" s="243" t="str">
        <f>'mental agility'!N21</f>
        <v>Minor Positive Gap</v>
      </c>
      <c r="F33" s="207" t="s">
        <v>416</v>
      </c>
    </row>
    <row r="34" s="207" customFormat="1" ht="45" spans="1:9">
      <c r="A34" s="241" t="str">
        <f>'mental agility'!B22</f>
        <v>Tolerance for Ambiguity 
(mampu memimpin dalam uncertainty tinggi)</v>
      </c>
      <c r="B34" s="241">
        <f>'mental agility'!I22</f>
        <v>3</v>
      </c>
      <c r="C34" s="241">
        <f>'mental agility'!K22</f>
        <v>2</v>
      </c>
      <c r="D34" s="242">
        <f>'mental agility'!M22</f>
        <v>1</v>
      </c>
      <c r="E34" s="243" t="str">
        <f>'mental agility'!N22</f>
        <v>Minor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4</v>
      </c>
      <c r="C39" s="241">
        <f>'people agility'!K13</f>
        <v>3</v>
      </c>
      <c r="D39" s="242">
        <f>'people agility'!M13</f>
        <v>1</v>
      </c>
      <c r="E39" s="243" t="str">
        <f>'people agility'!N13</f>
        <v>Minor Positive Gap</v>
      </c>
    </row>
    <row r="40" s="207" customFormat="1" ht="30" spans="1:9">
      <c r="A40" s="241" t="str">
        <f>'people agility'!B14</f>
        <v>Openness to Feedback
(menerima &amp; mencari masukan)</v>
      </c>
      <c r="B40" s="241">
        <f>'people agility'!I14</f>
        <v>5</v>
      </c>
      <c r="C40" s="241">
        <f>'people agility'!K14</f>
        <v>4</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1</v>
      </c>
      <c r="C41" s="241">
        <f>'people agility'!K15</f>
        <v>5</v>
      </c>
      <c r="D41" s="242">
        <f>'people agility'!M15</f>
        <v>-4</v>
      </c>
      <c r="E41" s="243" t="str">
        <f>'people agility'!N15</f>
        <v>Major Negative Gap</v>
      </c>
    </row>
    <row r="42" s="207" customFormat="1" ht="45" spans="1:9">
      <c r="A42" s="241" t="str">
        <f>'people agility'!B16</f>
        <v>Collaboration with Diversity
(Bekerja efektif dalam keberagaman)</v>
      </c>
      <c r="B42" s="241">
        <f>'people agility'!I16</f>
        <v>2</v>
      </c>
      <c r="C42" s="241">
        <f>'people agility'!K16</f>
        <v>1</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3</v>
      </c>
      <c r="C43" s="241">
        <f>'people agility'!K17</f>
        <v>2</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4</v>
      </c>
      <c r="C44" s="241">
        <f>'people agility'!K18</f>
        <v>3</v>
      </c>
      <c r="D44" s="242">
        <f>'people agility'!M18</f>
        <v>1</v>
      </c>
      <c r="E44" s="243" t="str">
        <f>'people agility'!N18</f>
        <v>Minor Positive Gap</v>
      </c>
    </row>
    <row r="45" s="207" customFormat="1" ht="45" spans="1:9">
      <c r="A45" s="241" t="str">
        <f>'people agility'!B19</f>
        <v>Empathy
(Merasakan &amp; memahami emosi orang lain)</v>
      </c>
      <c r="B45" s="241">
        <f>'people agility'!I19</f>
        <v>5</v>
      </c>
      <c r="C45" s="241">
        <f>'people agility'!K19</f>
        <v>4</v>
      </c>
      <c r="D45" s="242">
        <f>'people agility'!M19</f>
        <v>1</v>
      </c>
      <c r="E45" s="243" t="str">
        <f>'people agility'!N19</f>
        <v>Minor Positive Gap</v>
      </c>
    </row>
    <row r="46" s="207" customFormat="1" ht="45" spans="1:9">
      <c r="A46" s="241" t="str">
        <f>'people agility'!B20</f>
        <v>Conflict Navigation
(menghadapi konflik secara konstruktif)</v>
      </c>
      <c r="B46" s="241">
        <f>'people agility'!I20</f>
        <v>1</v>
      </c>
      <c r="C46" s="241">
        <f>'people agility'!K20</f>
        <v>5</v>
      </c>
      <c r="D46" s="242">
        <f>'people agility'!M20</f>
        <v>-4</v>
      </c>
      <c r="E46" s="243" t="str">
        <f>'people agility'!N20</f>
        <v>Major Negative Gap</v>
      </c>
    </row>
    <row r="47" s="207" customFormat="1" ht="75" spans="1:9">
      <c r="A47" s="241" t="str">
        <f>'people agility'!B21</f>
        <v>Managing Challenging  Stakeholder
(Mengelola relasi berkelanjutan dengan stakeholder sulit)</v>
      </c>
      <c r="B47" s="241">
        <f>'people agility'!I21</f>
        <v>2</v>
      </c>
      <c r="C47" s="241">
        <f>'people agility'!K21</f>
        <v>1</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3</v>
      </c>
      <c r="C48" s="241">
        <f>'people agility'!K22</f>
        <v>2</v>
      </c>
      <c r="D48" s="242">
        <f>'people agility'!M22</f>
        <v>1</v>
      </c>
      <c r="E48" s="243" t="str">
        <f>'people agility'!N22</f>
        <v>Minor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4</v>
      </c>
      <c r="C53" s="253">
        <f>'change agility'!K13</f>
        <v>3</v>
      </c>
      <c r="D53" s="254">
        <f>'change agility'!M13</f>
        <v>1</v>
      </c>
      <c r="E53" s="255" t="str">
        <f>'change agility'!N13</f>
        <v>Minor Positive Gap</v>
      </c>
    </row>
    <row r="54" s="207" customFormat="1" ht="60" spans="1:9">
      <c r="A54" s="253" t="str">
        <f>'change agility'!B14</f>
        <v>Comfort with New Ways of Working
(mulai nyaman dengan cara kerja baru)</v>
      </c>
      <c r="B54" s="253">
        <f>'change agility'!I14</f>
        <v>5</v>
      </c>
      <c r="C54" s="253">
        <f>'change agility'!K14</f>
        <v>4</v>
      </c>
      <c r="D54" s="254">
        <f>'change agility'!M14</f>
        <v>1</v>
      </c>
      <c r="E54" s="255" t="str">
        <f>'change agility'!N14</f>
        <v>Minor Positive Gap</v>
      </c>
    </row>
    <row r="55" s="207" customFormat="1" ht="45" spans="1:9">
      <c r="A55" s="253" t="str">
        <f>'change agility'!B15</f>
        <v>Comfort with Sudden Change
(tetap bekerja saat perubahan mendadak)</v>
      </c>
      <c r="B55" s="253">
        <f>'change agility'!I15</f>
        <v>1</v>
      </c>
      <c r="C55" s="253">
        <f>'change agility'!K15</f>
        <v>5</v>
      </c>
      <c r="D55" s="254">
        <f>'change agility'!M15</f>
        <v>-4</v>
      </c>
      <c r="E55" s="255" t="str">
        <f>'change agility'!N15</f>
        <v>Major Negative Gap</v>
      </c>
    </row>
    <row r="56" s="207" customFormat="1" ht="30" spans="1:9">
      <c r="A56" s="253" t="str">
        <f>'change agility'!B16</f>
        <v>Managing Resistance to Change
(pengelolaan resistensi)</v>
      </c>
      <c r="B56" s="253">
        <f>'change agility'!I16</f>
        <v>2</v>
      </c>
      <c r="C56" s="253">
        <f>'change agility'!K16</f>
        <v>1</v>
      </c>
      <c r="D56" s="254">
        <f>'change agility'!M16</f>
        <v>1</v>
      </c>
      <c r="E56" s="255" t="str">
        <f>'change agility'!N16</f>
        <v>Minor Positive Gap</v>
      </c>
    </row>
    <row r="57" s="207" customFormat="1" ht="45" spans="1:9">
      <c r="A57" s="253" t="str">
        <f>'change agility'!B17</f>
        <v>Adaptive Learning &amp; Experimentation
(aktif belajar hal baru)</v>
      </c>
      <c r="B57" s="253">
        <f>'change agility'!I17</f>
        <v>3</v>
      </c>
      <c r="C57" s="253">
        <f>'change agility'!K17</f>
        <v>2</v>
      </c>
      <c r="D57" s="254">
        <f>'change agility'!M17</f>
        <v>1</v>
      </c>
      <c r="E57" s="255" t="str">
        <f>'change agility'!N17</f>
        <v>Minor Positive Gap</v>
      </c>
    </row>
    <row r="58" s="207" customFormat="1" ht="45" spans="1:9">
      <c r="A58" s="253" t="str">
        <f>'change agility'!B18</f>
        <v>Viewing Change as Opportunity
(melihat perubahan sebagai peluang)</v>
      </c>
      <c r="B58" s="253">
        <f>'change agility'!I18</f>
        <v>4</v>
      </c>
      <c r="C58" s="253">
        <f>'change agility'!K18</f>
        <v>3</v>
      </c>
      <c r="D58" s="254">
        <f>'change agility'!M18</f>
        <v>1</v>
      </c>
      <c r="E58" s="255" t="str">
        <f>'change agility'!N18</f>
        <v>Minor Positive Gap</v>
      </c>
    </row>
    <row r="59" s="207" customFormat="1" ht="30" spans="1:9">
      <c r="A59" s="253" t="str">
        <f>'change agility'!B19</f>
        <v>Proposing New Ideas
(mulai menginisiasi perubahan)</v>
      </c>
      <c r="B59" s="253">
        <f>'change agility'!I19</f>
        <v>5</v>
      </c>
      <c r="C59" s="253">
        <f>'change agility'!K19</f>
        <v>4</v>
      </c>
      <c r="D59" s="254">
        <f>'change agility'!M19</f>
        <v>1</v>
      </c>
      <c r="E59" s="255" t="str">
        <f>'change agility'!N19</f>
        <v>Minor Positive Gap</v>
      </c>
    </row>
    <row r="60" s="207" customFormat="1" ht="45" spans="1:9">
      <c r="A60" s="253" t="str">
        <f>'change agility'!B20</f>
        <v>Risk-Taking for Innovation
(berani mencoba pendekatan baru)</v>
      </c>
      <c r="B60" s="253">
        <f>'change agility'!I20</f>
        <v>1</v>
      </c>
      <c r="C60" s="253">
        <f>'change agility'!K20</f>
        <v>5</v>
      </c>
      <c r="D60" s="254">
        <f>'change agility'!M20</f>
        <v>-4</v>
      </c>
      <c r="E60" s="255" t="str">
        <f>'change agility'!N20</f>
        <v>Major Negative Gap</v>
      </c>
    </row>
    <row r="61" s="207" customFormat="1" ht="45" spans="1:9">
      <c r="A61" s="253" t="str">
        <f>'change agility'!B21</f>
        <v>Calmness in Uncertainty
(tetap tenang di kondisi tidak pasti)</v>
      </c>
      <c r="B61" s="253">
        <f>'change agility'!I21</f>
        <v>2</v>
      </c>
      <c r="C61" s="253">
        <f>'change agility'!K21</f>
        <v>1</v>
      </c>
      <c r="D61" s="254">
        <f>'change agility'!M21</f>
        <v>1</v>
      </c>
      <c r="E61" s="255" t="str">
        <f>'change agility'!N21</f>
        <v>Minor Positive Gap</v>
      </c>
    </row>
    <row r="62" s="207" customFormat="1" ht="60" spans="1:9">
      <c r="A62" s="253" t="str">
        <f>'change agility'!B22</f>
        <v>Proactive in Anticipating Change
(mengantisipasi perubahan sebelum terjadi)</v>
      </c>
      <c r="B62" s="253">
        <f>'change agility'!I22</f>
        <v>3</v>
      </c>
      <c r="C62" s="253">
        <f>'change agility'!K22</f>
        <v>2</v>
      </c>
      <c r="D62" s="254">
        <f>'change agility'!M22</f>
        <v>1</v>
      </c>
      <c r="E62" s="255" t="str">
        <f>'change agility'!N22</f>
        <v>Minor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4</v>
      </c>
      <c r="C68" s="241">
        <f>'result agility'!K13</f>
        <v>3</v>
      </c>
      <c r="D68" s="241">
        <f>'result agility'!M13</f>
        <v>1</v>
      </c>
      <c r="E68" s="261" t="str">
        <f>'result agility'!N13</f>
        <v>Minor Positive Gap</v>
      </c>
    </row>
    <row r="69" s="207" customFormat="1" ht="45" spans="1:5">
      <c r="A69" s="253" t="str">
        <f>'result agility'!B14</f>
        <v>Action-Oriented &amp; Takes Initiative 
(proaktif bertindak)</v>
      </c>
      <c r="B69" s="241">
        <f>'result agility'!I14</f>
        <v>5</v>
      </c>
      <c r="C69" s="241">
        <f>'result agility'!K14</f>
        <v>4</v>
      </c>
      <c r="D69" s="241">
        <f>'result agility'!M14</f>
        <v>1</v>
      </c>
      <c r="E69" s="261" t="str">
        <f>'result agility'!N14</f>
        <v>Minor Positive Gap</v>
      </c>
    </row>
    <row r="70" s="207" customFormat="1" ht="30" spans="1:5">
      <c r="A70" s="253" t="str">
        <f>'result agility'!B15</f>
        <v>Driving for impact
(fokus pada hasil kerja)</v>
      </c>
      <c r="B70" s="241">
        <f>'result agility'!I15</f>
        <v>1</v>
      </c>
      <c r="C70" s="241">
        <f>'result agility'!K15</f>
        <v>5</v>
      </c>
      <c r="D70" s="241">
        <f>'result agility'!M15</f>
        <v>-4</v>
      </c>
      <c r="E70" s="261" t="str">
        <f>'result agility'!N15</f>
        <v>Major Negative Gap</v>
      </c>
    </row>
    <row r="71" s="207" customFormat="1" ht="60" spans="1:5">
      <c r="A71" s="253" t="str">
        <f>'result agility'!B16</f>
        <v>Tenacity &amp; Strategic Persistence
(menjaga komitmen di tengah tantangan)</v>
      </c>
      <c r="B71" s="241">
        <f>'result agility'!I16</f>
        <v>2</v>
      </c>
      <c r="C71" s="241">
        <f>'result agility'!K16</f>
        <v>1</v>
      </c>
      <c r="D71" s="241">
        <f>'result agility'!M16</f>
        <v>1</v>
      </c>
      <c r="E71" s="261" t="str">
        <f>'result agility'!N16</f>
        <v>Minor Positive Gap</v>
      </c>
    </row>
    <row r="72" s="207" customFormat="1" ht="45" spans="1:5">
      <c r="A72" s="253" t="str">
        <f>'result agility'!B17</f>
        <v>Learning from Outcomes
(belajar dari hasil &amp; kesalahan tim)</v>
      </c>
      <c r="B72" s="241">
        <f>'result agility'!I17</f>
        <v>3</v>
      </c>
      <c r="C72" s="241">
        <f>'result agility'!K17</f>
        <v>2</v>
      </c>
      <c r="D72" s="241">
        <f>'result agility'!M17</f>
        <v>1</v>
      </c>
      <c r="E72" s="261" t="str">
        <f>'result agility'!N17</f>
        <v>Minor Positive Gap</v>
      </c>
    </row>
    <row r="73" s="207" customFormat="1" ht="45" spans="1:5">
      <c r="A73" s="253" t="str">
        <f>'result agility'!B18</f>
        <v>Deciding with Incomplete Data
(mengambil keputusan dengan data/informasi terbatas)</v>
      </c>
      <c r="B73" s="241">
        <f>'result agility'!I18</f>
        <v>4</v>
      </c>
      <c r="C73" s="241">
        <f>'result agility'!K18</f>
        <v>3</v>
      </c>
      <c r="D73" s="241">
        <f>'result agility'!M18</f>
        <v>1</v>
      </c>
      <c r="E73" s="261" t="str">
        <f>'result agility'!N18</f>
        <v>Minor Positive Gap</v>
      </c>
    </row>
    <row r="74" s="207" customFormat="1" ht="45" spans="1:5">
      <c r="A74" s="253" t="str">
        <f>'result agility'!B19</f>
        <v>Focus Under Pressure
(tetap fokus dalam tekanan tinggi)</v>
      </c>
      <c r="B74" s="241">
        <f>'result agility'!I19</f>
        <v>5</v>
      </c>
      <c r="C74" s="241">
        <f>'result agility'!K19</f>
        <v>4</v>
      </c>
      <c r="D74" s="241">
        <f>'result agility'!M19</f>
        <v>1</v>
      </c>
      <c r="E74" s="261" t="str">
        <f>'result agility'!N19</f>
        <v>Minor Positive Gap</v>
      </c>
    </row>
    <row r="75" s="207" customFormat="1" ht="45" spans="1:5">
      <c r="A75" s="253" t="str">
        <f>'result agility'!B20</f>
        <v>Adapting Strategy When Needed
(mengubah strategi untuk hasil lebih baik)</v>
      </c>
      <c r="B75" s="241">
        <f>'result agility'!I20</f>
        <v>1</v>
      </c>
      <c r="C75" s="241">
        <f>'result agility'!K20</f>
        <v>5</v>
      </c>
      <c r="D75" s="241">
        <f>'result agility'!M20</f>
        <v>-4</v>
      </c>
      <c r="E75" s="261" t="str">
        <f>'result agility'!N20</f>
        <v>Major Negative Gap</v>
      </c>
    </row>
    <row r="76" s="207" customFormat="1" ht="60" spans="1:5">
      <c r="A76" s="253" t="str">
        <f>'result agility'!B21</f>
        <v>Agile Problem-Solving Under Pressure
(rencana di tengah ketidakpastian)</v>
      </c>
      <c r="B76" s="241">
        <f>'result agility'!I21</f>
        <v>2</v>
      </c>
      <c r="C76" s="241">
        <f>'result agility'!K21</f>
        <v>1</v>
      </c>
      <c r="D76" s="241">
        <f>'result agility'!M21</f>
        <v>1</v>
      </c>
      <c r="E76" s="261" t="str">
        <f>'result agility'!N21</f>
        <v>Minor Positive Gap</v>
      </c>
    </row>
    <row r="77" s="207" customFormat="1" ht="45" spans="1:5">
      <c r="A77" s="253" t="str">
        <f>'result agility'!B22</f>
        <v>Drive for High Performance
(sistem perencanaan berkinerja tinggi)</v>
      </c>
      <c r="B77" s="241">
        <f>'result agility'!I22</f>
        <v>3</v>
      </c>
      <c r="C77" s="241">
        <f>'result agility'!K22</f>
        <v>2</v>
      </c>
      <c r="D77" s="241">
        <f>'result agility'!M22</f>
        <v>1</v>
      </c>
      <c r="E77" s="261" t="str">
        <f>'result agility'!N22</f>
        <v>Minor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4</v>
      </c>
      <c r="C83" s="241">
        <f>'self awareness'!K13</f>
        <v>3</v>
      </c>
      <c r="D83" s="241">
        <f>'self awareness'!M13</f>
        <v>1</v>
      </c>
      <c r="E83" s="261" t="str">
        <f>'self awareness'!N13</f>
        <v>Minor Positive Gap</v>
      </c>
    </row>
    <row r="84" s="207" customFormat="1" ht="30" spans="1:5">
      <c r="A84" s="241" t="str">
        <f>'self awareness'!B14</f>
        <v>Admitting Mistakes
(mengakui kesalahan)</v>
      </c>
      <c r="B84" s="241">
        <f>'self awareness'!I14</f>
        <v>5</v>
      </c>
      <c r="C84" s="241">
        <f>'self awareness'!K14</f>
        <v>4</v>
      </c>
      <c r="D84" s="241">
        <f>'self awareness'!M14</f>
        <v>1</v>
      </c>
      <c r="E84" s="261" t="str">
        <f>'self awareness'!N14</f>
        <v>Minor Positive Gap</v>
      </c>
    </row>
    <row r="85" s="207" customFormat="1" ht="45" spans="1:5">
      <c r="A85" s="241" t="str">
        <f>'self awareness'!B15</f>
        <v>Seeking Feedback on Performance
(mencari feedback)</v>
      </c>
      <c r="B85" s="241">
        <f>'self awareness'!I15</f>
        <v>1</v>
      </c>
      <c r="C85" s="241">
        <f>'self awareness'!K15</f>
        <v>5</v>
      </c>
      <c r="D85" s="241">
        <f>'self awareness'!M15</f>
        <v>-4</v>
      </c>
      <c r="E85" s="261" t="str">
        <f>'self awareness'!N15</f>
        <v>Major Negative Gap</v>
      </c>
    </row>
    <row r="86" s="207" customFormat="1" ht="60" spans="1:5">
      <c r="A86" s="241" t="str">
        <f>'self awareness'!B16</f>
        <v>Understanding Strengths &amp; Weaknesses
(memahami kekuatan &amp; kelemahan)</v>
      </c>
      <c r="B86" s="241">
        <f>'self awareness'!I16</f>
        <v>2</v>
      </c>
      <c r="C86" s="241">
        <f>'self awareness'!K16</f>
        <v>1</v>
      </c>
      <c r="D86" s="241">
        <f>'self awareness'!M16</f>
        <v>1</v>
      </c>
      <c r="E86" s="261" t="str">
        <f>'self awareness'!N16</f>
        <v>Minor Positive Gap</v>
      </c>
    </row>
    <row r="87" s="207" customFormat="1" ht="30" spans="1:5">
      <c r="A87" s="241" t="str">
        <f>'self awareness'!B17</f>
        <v>Reflective Practices
(melakukan refleksi diri)</v>
      </c>
      <c r="B87" s="241">
        <f>'self awareness'!I17</f>
        <v>3</v>
      </c>
      <c r="C87" s="241">
        <f>'self awareness'!K17</f>
        <v>2</v>
      </c>
      <c r="D87" s="241">
        <f>'self awareness'!M17</f>
        <v>1</v>
      </c>
      <c r="E87" s="261" t="str">
        <f>'self awareness'!N17</f>
        <v>Minor Positive Gap</v>
      </c>
    </row>
    <row r="88" s="207" customFormat="1" ht="45" spans="1:5">
      <c r="A88" s="241" t="str">
        <f>'self awareness'!B18</f>
        <v>Proactive Self-Development for Adaptation
(aktif mengembangkan diri)</v>
      </c>
      <c r="B88" s="241">
        <f>'self awareness'!I18</f>
        <v>4</v>
      </c>
      <c r="C88" s="241">
        <f>'self awareness'!K18</f>
        <v>3</v>
      </c>
      <c r="D88" s="241">
        <f>'self awareness'!M18</f>
        <v>1</v>
      </c>
      <c r="E88" s="261" t="str">
        <f>'self awareness'!N18</f>
        <v>Minor Positive Gap</v>
      </c>
    </row>
    <row r="89" s="207" customFormat="1" ht="30" spans="1:5">
      <c r="A89" s="241" t="str">
        <f>'self awareness'!B19</f>
        <v>Objective Self-Assessment
(menilai diri secara objektif)</v>
      </c>
      <c r="B89" s="241">
        <f>'self awareness'!I19</f>
        <v>5</v>
      </c>
      <c r="C89" s="241">
        <f>'self awareness'!K19</f>
        <v>4</v>
      </c>
      <c r="D89" s="241">
        <f>'self awareness'!M19</f>
        <v>1</v>
      </c>
      <c r="E89" s="261" t="str">
        <f>'self awareness'!N19</f>
        <v>Minor Positive Gap</v>
      </c>
    </row>
    <row r="90" s="207" customFormat="1" ht="45" spans="1:5">
      <c r="A90" s="241" t="str">
        <f>'self awareness'!B20</f>
        <v>Awareness of Impact on Others
(memahami dampak perilaku terhadap orang lain)</v>
      </c>
      <c r="B90" s="241">
        <f>'self awareness'!I20</f>
        <v>1</v>
      </c>
      <c r="C90" s="241">
        <f>'self awareness'!K20</f>
        <v>5</v>
      </c>
      <c r="D90" s="241">
        <f>'self awareness'!M20</f>
        <v>-4</v>
      </c>
      <c r="E90" s="261" t="str">
        <f>'self awareness'!N20</f>
        <v>Major Negative Gap</v>
      </c>
    </row>
    <row r="91" s="207" customFormat="1" ht="45" spans="1:5">
      <c r="A91" s="241" t="str">
        <f>'self awareness'!B21</f>
        <v>Managing Emotions Effectively
(mengelola emosi secara matang)</v>
      </c>
      <c r="B91" s="241">
        <f>'self awareness'!I21</f>
        <v>2</v>
      </c>
      <c r="C91" s="241">
        <f>'self awareness'!K21</f>
        <v>1</v>
      </c>
      <c r="D91" s="241">
        <f>'self awareness'!M21</f>
        <v>1</v>
      </c>
      <c r="E91" s="261" t="str">
        <f>'self awareness'!N21</f>
        <v>Minor Positive Gap</v>
      </c>
    </row>
    <row r="92" s="207" customFormat="1" ht="60" spans="1:5">
      <c r="A92" s="241" t="str">
        <f>'self awareness'!B22</f>
        <v>Deep Pattern Recognition &amp; Bias Awareness
(refleksi diri mendalam &amp; autentik)</v>
      </c>
      <c r="B92" s="241">
        <f>'self awareness'!I22</f>
        <v>3</v>
      </c>
      <c r="C92" s="241">
        <f>'self awareness'!K22</f>
        <v>2</v>
      </c>
      <c r="D92" s="241">
        <f>'self awareness'!M22</f>
        <v>1</v>
      </c>
      <c r="E92" s="261" t="str">
        <f>'self awareness'!N22</f>
        <v>Minor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Charli Sanjuan Siahaan</v>
      </c>
    </row>
    <row r="3" spans="1:45">
      <c r="A3" s="83" t="str">
        <f>Identitas!B3</f>
        <v>Nama Atasan yang menilai</v>
      </c>
      <c r="B3" s="182" t="str">
        <f>Identitas!D3</f>
        <v>Fernandi Mahendrasusila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46044.6639467593</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Charli Sanjuan Siahaan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Charli Sanjuan Siahaan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Charli Sanjuan Siahaan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Charli Sanjuan Siahaan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E66FB41F7D804213A2C3A8AE10B42FAC_12</vt:lpwstr>
  </property>
  <property fmtid="{D5CDD505-2E9C-101B-9397-08002B2CF9AE}" pid="5" name="KSOProductBuildVer">
    <vt:lpwstr>1033-12.1.0.28485</vt:lpwstr>
  </property>
  <property fmtid="{D5CDD505-2E9C-101B-9397-08002B2CF9AE}" pid="6" name="CalculationRule">
    <vt:i4>0</vt:i4>
  </property>
</Properties>
</file>