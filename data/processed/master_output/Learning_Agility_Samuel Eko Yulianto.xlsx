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<sst xmlns="http://schemas.openxmlformats.org/spreadsheetml/2006/main" count="11811" uniqueCount="7239">
  <si>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</si>
  <si>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</si>
  <si>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Samuel Eko Yulianto</t>
  </si>
  <si>
    <t>Nama Atasan yang menilai</t>
  </si>
  <si>
    <t>Agung Sedayu</t>
  </si>
  <si>
    <t>Level Saat Ini</t>
  </si>
  <si>
    <t>Officer</t>
  </si>
  <si>
    <t>Level Tujuan</t>
  </si>
  <si>
    <t>Analyst</t>
  </si>
  <si>
    <t>Tanggal Assesment</t>
  </si>
  <si>
    <t>Unit</t>
  </si>
  <si>
    <t>Internal Audit Quality Improvement</t>
  </si>
  <si>
    <t>Departemen</t>
  </si>
  <si>
    <t>Internal Audit &amp; Risk Management</t>
  </si>
  <si>
    <t>Divisi</t>
  </si>
  <si>
    <t>Direktorat</t>
  </si>
  <si>
    <t>CEO Office</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</si>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</sst>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7" tint="-0.249977111117893"/>
      <name val="Biome"/>
      <charset val="134"/>
    </font>
    <font>
      <b/>
      <sz val="11"/>
      <color theme="5" tint="-0.499984740745262"/>
      <name val="Biome"/>
      <charset val="134"/>
    </font>
    <font>
      <i/>
      <sz val="11"/>
      <color theme="5" tint="-0.499984740745262"/>
      <name val="Biome"/>
      <charset val="134"/>
    </font>
    <font>
      <b/>
      <sz val="11"/>
      <color rgb="FF7030A0"/>
      <name val="Biome"/>
      <charset val="134"/>
    </font>
    <font>
      <i/>
      <sz val="11"/>
      <color rgb="FF7030A0"/>
      <name val="Biome"/>
      <charset val="134"/>
    </font>
    <font>
      <b/>
      <i/>
      <sz val="11"/>
      <color theme="5" tint="-0.499984740745262"/>
      <name val="Biome"/>
      <charset val="134"/>
    </font>
    <font>
      <b/>
      <sz val="11"/>
      <color rgb="FF0070C0"/>
      <name val="Biome"/>
      <charset val="134"/>
    </font>
    <font>
      <i/>
      <sz val="11"/>
      <color rgb="FF0070C0"/>
      <name val="Biome"/>
      <charset val="134"/>
    </font>
    <font>
      <b/>
      <i/>
      <sz val="11"/>
      <color rgb="FF0070C0"/>
      <name val="Biome"/>
      <charset val="134"/>
    </font>
    <font>
      <i/>
      <sz val="11"/>
      <color rgb="FF833C0C"/>
      <name val="Biome"/>
      <charset val="134"/>
    </font>
    <font>
      <b/>
      <i/>
      <sz val="11"/>
      <color rgb="FF833C0C"/>
      <name val="Biome"/>
      <charset val="134"/>
    </font>
    <font>
      <b/>
      <sz val="11"/>
      <color rgb="FF548235"/>
      <name val="Biome"/>
      <charset val="134"/>
    </font>
    <font>
      <i/>
      <sz val="11"/>
      <color rgb="FF548235"/>
      <name val="Biome"/>
      <charset val="134"/>
    </font>
    <font>
      <b/>
      <i/>
      <sz val="11"/>
      <color rgb="FF548235"/>
      <name val="Biome"/>
      <charset val="134"/>
    </font>
    <font>
      <b/>
      <sz val="11"/>
      <color theme="9" tint="-0.249977111117893"/>
      <name val="Biome"/>
      <charset val="134"/>
    </font>
    <font>
      <i/>
      <sz val="11"/>
      <color theme="9" tint="-0.249977111117893"/>
      <name val="Biome"/>
      <charset val="134"/>
    </font>
    <font>
      <b/>
      <i/>
      <sz val="11"/>
      <color theme="9" tint="-0.249977111117893"/>
      <name val="Biome"/>
      <charset val="134"/>
    </font>
    <font>
      <i/>
      <sz val="11"/>
      <color theme="7" tint="-0.249977111117893"/>
      <name val="Biome"/>
      <charset val="134"/>
    </font>
    <font>
      <b/>
      <i/>
      <sz val="11"/>
      <color rgb="FF7030A0"/>
      <name val="Biome"/>
      <charset val="134"/>
    </font>
    <font>
      <b/>
      <sz val="11"/>
      <color rgb="FF806000"/>
      <name val="Biome"/>
      <charset val="134"/>
    </font>
    <font>
      <i/>
      <sz val="11"/>
      <color rgb="FF806000"/>
      <name val="Biome"/>
      <charset val="134"/>
    </font>
    <font>
      <b/>
      <sz val="11"/>
      <color theme="7" tint="-0.499984740745262"/>
      <name val="Biome"/>
      <charset val="134"/>
    </font>
    <font>
      <i/>
      <sz val="11"/>
      <color theme="7" tint="-0.499984740745262"/>
      <name val="Biome"/>
      <charset val="134"/>
    </font>
    <font>
      <b/>
      <sz val="11"/>
      <color rgb="FF375623"/>
      <name val="Biome"/>
      <charset val="134"/>
    </font>
    <font>
      <i/>
      <sz val="11"/>
      <color rgb="FF375623"/>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262dd472-7856-4b91-a404-859514c6ad6f}"/>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46340539-c834-4272-85b3-11cc6fe53ff3}"/>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46043.6770023148</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Samuel Eko Yulianto</v>
      </c>
      <c r="I2" s="83"/>
      <c r="K2" s="83"/>
      <c r="M2" s="83"/>
      <c r="N2" s="83"/>
      <c r="O2" s="83"/>
    </row>
    <row r="3" spans="1:16">
      <c r="B3" s="83" t="str">
        <f>Identitas!B3</f>
        <v>Nama Atasan yang menilai</v>
      </c>
      <c r="C3" s="182" t="str">
        <f>Identitas!D3</f>
        <v>Agung Sedayu</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46043.6770023148</v>
      </c>
      <c r="I6" s="83"/>
      <c r="K6" s="83"/>
      <c r="M6" s="83"/>
      <c r="N6" s="83"/>
      <c r="O6" s="83"/>
    </row>
    <row r="7" spans="1:16">
      <c r="B7" s="83" t="str">
        <f>Identitas!B7</f>
        <v>Unit</v>
      </c>
      <c r="C7" s="182" t="str">
        <f>Identitas!D7</f>
        <v>Internal Audit Quality Improvement</v>
      </c>
      <c r="I7" s="83"/>
      <c r="K7" s="83"/>
      <c r="M7" s="83"/>
      <c r="N7" s="83"/>
      <c r="O7" s="83"/>
    </row>
    <row r="8" spans="1:16">
      <c r="B8" s="83" t="str">
        <f>Identitas!B8</f>
        <v>Departemen</v>
      </c>
      <c r="C8" s="182" t="str">
        <f>Identitas!D8</f>
        <v>Internal Audit &amp; Risk Management</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CEO Office</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4</v>
      </c>
      <c r="J13" s="281" t="s">
        <v>39</v>
      </c>
      <c r="K13" s="280">
        <v>2</v>
      </c>
      <c r="L13" s="281" t="s">
        <v>37</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0">
        <f>A13+1</f>
        <v>2</v>
      </c>
      <c r="B14" s="278" t="s">
        <v>41</v>
      </c>
      <c r="C14" s="278" t="s">
        <v>42</v>
      </c>
      <c r="D14" s="279" t="s">
        <v>43</v>
      </c>
      <c r="E14" s="279" t="s">
        <v>44</v>
      </c>
      <c r="F14" s="279" t="s">
        <v>45</v>
      </c>
      <c r="G14" s="279" t="s">
        <v>46</v>
      </c>
      <c r="H14" s="279" t="s">
        <v>47</v>
      </c>
      <c r="I14" s="280">
        <v>5</v>
      </c>
      <c r="J14" s="281" t="s">
        <v>47</v>
      </c>
      <c r="K14" s="280">
        <v>3</v>
      </c>
      <c r="L14" s="281" t="s">
        <v>45</v>
      </c>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60.65" customHeight="1" spans="1:16">
      <c r="A15" s="280">
        <f t="shared" ref="A15:A22" si="1">A14+1</f>
        <v>3</v>
      </c>
      <c r="B15" s="278" t="s">
        <v>48</v>
      </c>
      <c r="C15" s="278" t="s">
        <v>49</v>
      </c>
      <c r="D15" s="279" t="s">
        <v>50</v>
      </c>
      <c r="E15" s="279" t="s">
        <v>51</v>
      </c>
      <c r="F15" s="279" t="s">
        <v>52</v>
      </c>
      <c r="G15" s="279" t="s">
        <v>53</v>
      </c>
      <c r="H15" s="279" t="s">
        <v>54</v>
      </c>
      <c r="I15" s="280">
        <v>1</v>
      </c>
      <c r="J15" s="281" t="s">
        <v>50</v>
      </c>
      <c r="K15" s="280">
        <v>4</v>
      </c>
      <c r="L15" s="281" t="s">
        <v>53</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46.15" customHeight="1" spans="1:16">
      <c r="A16" s="280">
        <f t="shared" si="1"/>
        <v>4</v>
      </c>
      <c r="B16" s="278" t="s">
        <v>55</v>
      </c>
      <c r="C16" s="278" t="s">
        <v>56</v>
      </c>
      <c r="D16" s="279" t="s">
        <v>57</v>
      </c>
      <c r="E16" s="279" t="s">
        <v>58</v>
      </c>
      <c r="F16" s="279" t="s">
        <v>59</v>
      </c>
      <c r="G16" s="279" t="s">
        <v>60</v>
      </c>
      <c r="H16" s="279" t="s">
        <v>61</v>
      </c>
      <c r="I16" s="280">
        <v>2</v>
      </c>
      <c r="J16" s="281" t="s">
        <v>58</v>
      </c>
      <c r="K16" s="280">
        <v>5</v>
      </c>
      <c r="L16" s="281" t="s">
        <v>61</v>
      </c>
      <c r="M16" s="194">
        <f t="shared" si="0"/>
        <v>-3</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8.9" customHeight="1" spans="1:16">
      <c r="A17" s="280">
        <f t="shared" si="1"/>
        <v>5</v>
      </c>
      <c r="B17" s="278" t="s">
        <v>62</v>
      </c>
      <c r="C17" s="278" t="s">
        <v>63</v>
      </c>
      <c r="D17" s="279" t="s">
        <v>64</v>
      </c>
      <c r="E17" s="279" t="s">
        <v>65</v>
      </c>
      <c r="F17" s="279" t="s">
        <v>66</v>
      </c>
      <c r="G17" s="279" t="s">
        <v>67</v>
      </c>
      <c r="H17" s="279" t="s">
        <v>68</v>
      </c>
      <c r="I17" s="280">
        <v>3</v>
      </c>
      <c r="J17" s="281" t="s">
        <v>66</v>
      </c>
      <c r="K17" s="280">
        <v>1</v>
      </c>
      <c r="L17" s="281" t="s">
        <v>64</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102.65" customHeight="1" spans="1:16">
      <c r="A18" s="280">
        <f t="shared" si="1"/>
        <v>6</v>
      </c>
      <c r="B18" s="278" t="s">
        <v>69</v>
      </c>
      <c r="C18" s="278" t="s">
        <v>70</v>
      </c>
      <c r="D18" s="279" t="s">
        <v>71</v>
      </c>
      <c r="E18" s="279" t="s">
        <v>72</v>
      </c>
      <c r="F18" s="279" t="s">
        <v>73</v>
      </c>
      <c r="G18" s="279" t="s">
        <v>74</v>
      </c>
      <c r="H18" s="279" t="s">
        <v>75</v>
      </c>
      <c r="I18" s="280">
        <v>4</v>
      </c>
      <c r="J18" s="281" t="s">
        <v>74</v>
      </c>
      <c r="K18" s="280">
        <v>2</v>
      </c>
      <c r="L18" s="281" t="s">
        <v>72</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0">
        <f t="shared" si="1"/>
        <v>7</v>
      </c>
      <c r="B19" s="278" t="s">
        <v>76</v>
      </c>
      <c r="C19" s="278" t="s">
        <v>77</v>
      </c>
      <c r="D19" s="279" t="s">
        <v>78</v>
      </c>
      <c r="E19" s="279" t="s">
        <v>79</v>
      </c>
      <c r="F19" s="279" t="s">
        <v>80</v>
      </c>
      <c r="G19" s="279" t="s">
        <v>81</v>
      </c>
      <c r="H19" s="279" t="s">
        <v>82</v>
      </c>
      <c r="I19" s="280">
        <v>5</v>
      </c>
      <c r="J19" s="281" t="s">
        <v>82</v>
      </c>
      <c r="K19" s="280">
        <v>3</v>
      </c>
      <c r="L19" s="281" t="s">
        <v>80</v>
      </c>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50.5" customHeight="1" spans="1:16">
      <c r="A20" s="280">
        <f t="shared" si="1"/>
        <v>8</v>
      </c>
      <c r="B20" s="278" t="s">
        <v>83</v>
      </c>
      <c r="C20" s="278" t="s">
        <v>84</v>
      </c>
      <c r="D20" s="279" t="s">
        <v>85</v>
      </c>
      <c r="E20" s="279" t="s">
        <v>86</v>
      </c>
      <c r="F20" s="279" t="s">
        <v>87</v>
      </c>
      <c r="G20" s="279" t="s">
        <v>88</v>
      </c>
      <c r="H20" s="279" t="s">
        <v>89</v>
      </c>
      <c r="I20" s="280">
        <v>1</v>
      </c>
      <c r="J20" s="281" t="s">
        <v>85</v>
      </c>
      <c r="K20" s="280">
        <v>4</v>
      </c>
      <c r="L20" s="281" t="s">
        <v>88</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51" customHeight="1" spans="1:16">
      <c r="A21" s="280">
        <f t="shared" si="1"/>
        <v>9</v>
      </c>
      <c r="B21" s="278" t="s">
        <v>90</v>
      </c>
      <c r="C21" s="278" t="s">
        <v>91</v>
      </c>
      <c r="D21" s="279" t="s">
        <v>92</v>
      </c>
      <c r="E21" s="279" t="s">
        <v>93</v>
      </c>
      <c r="F21" s="279" t="s">
        <v>94</v>
      </c>
      <c r="G21" s="279" t="s">
        <v>95</v>
      </c>
      <c r="H21" s="279" t="s">
        <v>96</v>
      </c>
      <c r="I21" s="280">
        <v>2</v>
      </c>
      <c r="J21" s="281" t="s">
        <v>93</v>
      </c>
      <c r="K21" s="280">
        <v>5</v>
      </c>
      <c r="L21" s="281" t="s">
        <v>96</v>
      </c>
      <c r="M21" s="194">
        <f t="shared" si="0"/>
        <v>-3</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75" customHeight="1" spans="1:16">
      <c r="A22" s="280">
        <f t="shared" si="1"/>
        <v>10</v>
      </c>
      <c r="B22" s="278" t="s">
        <v>97</v>
      </c>
      <c r="C22" s="278" t="s">
        <v>98</v>
      </c>
      <c r="D22" s="279" t="s">
        <v>99</v>
      </c>
      <c r="E22" s="279" t="s">
        <v>100</v>
      </c>
      <c r="F22" s="279" t="s">
        <v>101</v>
      </c>
      <c r="G22" s="279" t="s">
        <v>102</v>
      </c>
      <c r="H22" s="279" t="s">
        <v>103</v>
      </c>
      <c r="I22" s="280">
        <v>3</v>
      </c>
      <c r="J22" s="281" t="s">
        <v>101</v>
      </c>
      <c r="K22" s="280">
        <v>1</v>
      </c>
      <c r="L22" s="281" t="s">
        <v>99</v>
      </c>
      <c r="M22" s="194">
        <f t="shared" ref="M22:M23" si="2">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Samuel Eko Yulianto</v>
      </c>
      <c r="I2" s="83"/>
      <c r="J2" s="83"/>
      <c r="K2" s="83"/>
      <c r="L2" s="83"/>
      <c r="M2" s="83"/>
      <c r="N2" s="83"/>
    </row>
    <row r="3" spans="1:16">
      <c r="B3" s="83" t="str">
        <f>Identitas!B3</f>
        <v>Nama Atasan yang menilai</v>
      </c>
      <c r="C3" s="182" t="str">
        <f>Identitas!D3</f>
        <v>Agung Sedayu</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46043.6770023148</v>
      </c>
      <c r="I6" s="83"/>
      <c r="J6" s="83"/>
      <c r="K6" s="83"/>
      <c r="L6" s="83"/>
      <c r="M6" s="83"/>
      <c r="N6" s="83"/>
    </row>
    <row r="7" spans="1:16">
      <c r="B7" s="83" t="str">
        <f>Identitas!B7</f>
        <v>Unit</v>
      </c>
      <c r="C7" s="182" t="str">
        <f>Identitas!D7</f>
        <v>Internal Audit Quality Improvement</v>
      </c>
      <c r="I7" s="83"/>
      <c r="J7" s="83"/>
      <c r="K7" s="83"/>
      <c r="L7" s="83"/>
      <c r="M7" s="83"/>
      <c r="N7" s="83"/>
    </row>
    <row r="8" spans="1:16">
      <c r="B8" s="83" t="str">
        <f>Identitas!B8</f>
        <v>Departemen</v>
      </c>
      <c r="C8" s="182" t="str">
        <f>Identitas!D8</f>
        <v>Internal Audit &amp; Risk Management</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CEO Office</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4</v>
      </c>
      <c r="J13" s="281" t="s">
        <v>110</v>
      </c>
      <c r="K13" s="280">
        <v>2</v>
      </c>
      <c r="L13" s="280" t="s">
        <v>108</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2">
        <v>2</v>
      </c>
      <c r="B14" s="278" t="s">
        <v>112</v>
      </c>
      <c r="C14" s="278" t="s">
        <v>113</v>
      </c>
      <c r="D14" s="279" t="s">
        <v>114</v>
      </c>
      <c r="E14" s="279" t="s">
        <v>115</v>
      </c>
      <c r="F14" s="279" t="s">
        <v>116</v>
      </c>
      <c r="G14" s="279" t="s">
        <v>117</v>
      </c>
      <c r="H14" s="279" t="s">
        <v>118</v>
      </c>
      <c r="I14" s="280">
        <v>5</v>
      </c>
      <c r="J14" s="281" t="s">
        <v>118</v>
      </c>
      <c r="K14" s="280">
        <v>3</v>
      </c>
      <c r="L14" s="280" t="s">
        <v>116</v>
      </c>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45" customHeight="1" spans="1:16">
      <c r="A15" s="280">
        <v>3</v>
      </c>
      <c r="B15" s="278" t="s">
        <v>119</v>
      </c>
      <c r="C15" s="278" t="s">
        <v>120</v>
      </c>
      <c r="D15" s="279" t="s">
        <v>121</v>
      </c>
      <c r="E15" s="279" t="s">
        <v>122</v>
      </c>
      <c r="F15" s="279" t="s">
        <v>123</v>
      </c>
      <c r="G15" s="279" t="s">
        <v>124</v>
      </c>
      <c r="H15" s="279" t="s">
        <v>125</v>
      </c>
      <c r="I15" s="280">
        <v>1</v>
      </c>
      <c r="J15" s="281" t="s">
        <v>121</v>
      </c>
      <c r="K15" s="280">
        <v>4</v>
      </c>
      <c r="L15" s="280" t="s">
        <v>124</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52.9" customHeight="1" spans="1:16">
      <c r="A16" s="280">
        <v>4</v>
      </c>
      <c r="B16" s="278" t="s">
        <v>126</v>
      </c>
      <c r="C16" s="278" t="s">
        <v>127</v>
      </c>
      <c r="D16" s="279" t="s">
        <v>128</v>
      </c>
      <c r="E16" s="279" t="s">
        <v>129</v>
      </c>
      <c r="F16" s="279" t="s">
        <v>130</v>
      </c>
      <c r="G16" s="279" t="s">
        <v>131</v>
      </c>
      <c r="H16" s="279" t="s">
        <v>132</v>
      </c>
      <c r="I16" s="280">
        <v>2</v>
      </c>
      <c r="J16" s="281" t="s">
        <v>129</v>
      </c>
      <c r="K16" s="280">
        <v>5</v>
      </c>
      <c r="L16" s="280" t="s">
        <v>132</v>
      </c>
      <c r="M16" s="194">
        <f t="shared" si="0"/>
        <v>-3</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84" spans="1:16">
      <c r="A17" s="280">
        <v>5</v>
      </c>
      <c r="B17" s="278" t="s">
        <v>133</v>
      </c>
      <c r="C17" s="278" t="s">
        <v>134</v>
      </c>
      <c r="D17" s="279" t="s">
        <v>135</v>
      </c>
      <c r="E17" s="279" t="s">
        <v>136</v>
      </c>
      <c r="F17" s="279" t="s">
        <v>137</v>
      </c>
      <c r="G17" s="279" t="s">
        <v>138</v>
      </c>
      <c r="H17" s="279" t="s">
        <v>139</v>
      </c>
      <c r="I17" s="280">
        <v>3</v>
      </c>
      <c r="J17" s="281" t="s">
        <v>137</v>
      </c>
      <c r="K17" s="280">
        <v>1</v>
      </c>
      <c r="L17" s="280" t="s">
        <v>135</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89.5" customHeight="1" spans="1:16">
      <c r="A18" s="280">
        <v>6</v>
      </c>
      <c r="B18" s="278" t="s">
        <v>140</v>
      </c>
      <c r="C18" s="278" t="s">
        <v>141</v>
      </c>
      <c r="D18" s="279" t="s">
        <v>142</v>
      </c>
      <c r="E18" s="279" t="s">
        <v>143</v>
      </c>
      <c r="F18" s="279" t="s">
        <v>144</v>
      </c>
      <c r="G18" s="279" t="s">
        <v>145</v>
      </c>
      <c r="H18" s="279" t="s">
        <v>146</v>
      </c>
      <c r="I18" s="280">
        <v>4</v>
      </c>
      <c r="J18" s="281" t="s">
        <v>145</v>
      </c>
      <c r="K18" s="280">
        <v>2</v>
      </c>
      <c r="L18" s="280" t="s">
        <v>143</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 spans="1:16">
      <c r="A19" s="280">
        <v>7</v>
      </c>
      <c r="B19" s="278" t="s">
        <v>147</v>
      </c>
      <c r="C19" s="278" t="s">
        <v>148</v>
      </c>
      <c r="D19" s="279" t="s">
        <v>149</v>
      </c>
      <c r="E19" s="279" t="s">
        <v>150</v>
      </c>
      <c r="F19" s="279" t="s">
        <v>151</v>
      </c>
      <c r="G19" s="279" t="s">
        <v>152</v>
      </c>
      <c r="H19" s="279" t="s">
        <v>153</v>
      </c>
      <c r="I19" s="280">
        <v>5</v>
      </c>
      <c r="J19" s="281" t="s">
        <v>153</v>
      </c>
      <c r="K19" s="280">
        <v>3</v>
      </c>
      <c r="L19" s="280" t="s">
        <v>151</v>
      </c>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40.15" customHeight="1" spans="1:16">
      <c r="A20" s="280">
        <v>8</v>
      </c>
      <c r="B20" s="278" t="s">
        <v>154</v>
      </c>
      <c r="C20" s="278" t="s">
        <v>155</v>
      </c>
      <c r="D20" s="279" t="s">
        <v>156</v>
      </c>
      <c r="E20" s="279" t="s">
        <v>157</v>
      </c>
      <c r="F20" s="279" t="s">
        <v>158</v>
      </c>
      <c r="G20" s="279" t="s">
        <v>159</v>
      </c>
      <c r="H20" s="279" t="s">
        <v>160</v>
      </c>
      <c r="I20" s="280">
        <v>1</v>
      </c>
      <c r="J20" s="281" t="s">
        <v>156</v>
      </c>
      <c r="K20" s="280">
        <v>4</v>
      </c>
      <c r="L20" s="280" t="s">
        <v>159</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63" customHeight="1" spans="1:16">
      <c r="A21" s="292">
        <v>9</v>
      </c>
      <c r="B21" s="278" t="s">
        <v>161</v>
      </c>
      <c r="C21" s="278" t="s">
        <v>162</v>
      </c>
      <c r="D21" s="279" t="s">
        <v>163</v>
      </c>
      <c r="E21" s="279" t="s">
        <v>164</v>
      </c>
      <c r="F21" s="279" t="s">
        <v>165</v>
      </c>
      <c r="G21" s="279" t="s">
        <v>166</v>
      </c>
      <c r="H21" s="279" t="s">
        <v>167</v>
      </c>
      <c r="I21" s="280">
        <v>2</v>
      </c>
      <c r="J21" s="281" t="s">
        <v>164</v>
      </c>
      <c r="K21" s="280">
        <v>5</v>
      </c>
      <c r="L21" s="280" t="s">
        <v>167</v>
      </c>
      <c r="M21" s="194">
        <f t="shared" si="0"/>
        <v>-3</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2.9" customHeight="1" spans="1:16">
      <c r="A22" s="280">
        <v>10</v>
      </c>
      <c r="B22" s="278" t="s">
        <v>168</v>
      </c>
      <c r="C22" s="278" t="s">
        <v>169</v>
      </c>
      <c r="D22" s="279" t="s">
        <v>170</v>
      </c>
      <c r="E22" s="279" t="s">
        <v>171</v>
      </c>
      <c r="F22" s="279" t="s">
        <v>172</v>
      </c>
      <c r="G22" s="279" t="s">
        <v>173</v>
      </c>
      <c r="H22" s="279" t="s">
        <v>174</v>
      </c>
      <c r="I22" s="280">
        <v>3</v>
      </c>
      <c r="J22" s="281" t="s">
        <v>172</v>
      </c>
      <c r="K22" s="280">
        <v>1</v>
      </c>
      <c r="L22" s="280" t="s">
        <v>170</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Samuel Eko Yulianto</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46043.6770023148</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4</v>
      </c>
      <c r="J13" s="281" t="s">
        <v>180</v>
      </c>
      <c r="K13" s="280">
        <v>2</v>
      </c>
      <c r="L13" s="281" t="s">
        <v>178</v>
      </c>
      <c r="M13" s="194">
        <f t="shared" ref="M13:M23" si="0">I13-K13</f>
        <v>2</v>
      </c>
      <c r="N13" s="194" t="str" cm="1">
        <f t="array" ref="N13">_xlfn.IFS(M13&gt;=2,"Major Positive Gap",M13&gt;=1,"Minor Positive Gap",M13&gt;=0,"No Gap",M13&gt;=-1,"Minor Negative Gap",M13&lt;=-2,"Major Negative Gap")</f>
        <v>Major Positive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5</v>
      </c>
      <c r="J14" s="281" t="s">
        <v>190</v>
      </c>
      <c r="K14" s="280">
        <v>3</v>
      </c>
      <c r="L14" s="281" t="s">
        <v>188</v>
      </c>
      <c r="M14" s="194">
        <f t="shared" si="0"/>
        <v>2</v>
      </c>
      <c r="N14" s="194" t="str" cm="1">
        <f t="array" ref="N14">_xlfn.IFS(M14&gt;=2,"Major Positive Gap",M14&gt;=1,"Minor Positive Gap",M14&gt;=0,"No Gap",M14&gt;=-1,"Minor Negative Gap",M14&lt;=-2,"Major Negative Gap")</f>
        <v>Major Positive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1</v>
      </c>
      <c r="J15" s="281" t="s">
        <v>193</v>
      </c>
      <c r="K15" s="280">
        <v>4</v>
      </c>
      <c r="L15" s="281" t="s">
        <v>196</v>
      </c>
      <c r="M15" s="194">
        <f t="shared" si="0"/>
        <v>-3</v>
      </c>
      <c r="N15" s="194" t="str" cm="1">
        <f t="array" ref="N15">_xlfn.IFS(M15&gt;=2,"Major Positive Gap",M15&gt;=1,"Minor Positive Gap",M15&gt;=0,"No Gap",M15&gt;=-1,"Minor Negative Gap",M15&lt;=-2,"Major Negative Gap")</f>
        <v>Major Negative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2</v>
      </c>
      <c r="J16" s="281" t="s">
        <v>203</v>
      </c>
      <c r="K16" s="280">
        <v>5</v>
      </c>
      <c r="L16" s="281" t="s">
        <v>206</v>
      </c>
      <c r="M16" s="194">
        <f t="shared" si="0"/>
        <v>-3</v>
      </c>
      <c r="N16" s="194" t="str" cm="1">
        <f t="array" ref="N16">_xlfn.IFS(M16&gt;=2,"Major Positive Gap",M16&gt;=1,"Minor Positive Gap",M16&gt;=0,"No Gap",M16&gt;=-1,"Minor Negative Gap",M16&lt;=-2,"Major Negative Gap")</f>
        <v>Major Negative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3</v>
      </c>
      <c r="J17" s="281" t="s">
        <v>213</v>
      </c>
      <c r="K17" s="280">
        <v>1</v>
      </c>
      <c r="L17" s="281" t="s">
        <v>211</v>
      </c>
      <c r="M17" s="194">
        <f t="shared" si="0"/>
        <v>2</v>
      </c>
      <c r="N17" s="194" t="str" cm="1">
        <f t="array" ref="N17">_xlfn.IFS(M17&gt;=2,"Major Positive Gap",M17&gt;=1,"Minor Positive Gap",M17&gt;=0,"No Gap",M17&gt;=-1,"Minor Negative Gap",M17&lt;=-2,"Major Negative Gap")</f>
        <v>Major Positive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4</v>
      </c>
      <c r="J18" s="281" t="s">
        <v>221</v>
      </c>
      <c r="K18" s="280">
        <v>2</v>
      </c>
      <c r="L18" s="281" t="s">
        <v>219</v>
      </c>
      <c r="M18" s="194">
        <f t="shared" si="0"/>
        <v>2</v>
      </c>
      <c r="N18" s="194" t="str" cm="1">
        <f t="array" ref="N18">_xlfn.IFS(M18&gt;=2,"Major Positive Gap",M18&gt;=1,"Minor Positive Gap",M18&gt;=0,"No Gap",M18&gt;=-1,"Minor Negative Gap",M18&lt;=-2,"Major Negative Gap")</f>
        <v>Major Positive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5</v>
      </c>
      <c r="J19" s="281" t="s">
        <v>231</v>
      </c>
      <c r="K19" s="280">
        <v>3</v>
      </c>
      <c r="L19" s="281" t="s">
        <v>229</v>
      </c>
      <c r="M19" s="194">
        <f t="shared" si="0"/>
        <v>2</v>
      </c>
      <c r="N19" s="194" t="str" cm="1">
        <f t="array" ref="N19">_xlfn.IFS(M19&gt;=2,"Major Positive Gap",M19&gt;=1,"Minor Positive Gap",M19&gt;=0,"No Gap",M19&gt;=-1,"Minor Negative Gap",M19&lt;=-2,"Major Negative Gap")</f>
        <v>Major Positive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1</v>
      </c>
      <c r="J20" s="281" t="s">
        <v>234</v>
      </c>
      <c r="K20" s="280">
        <v>4</v>
      </c>
      <c r="L20" s="281" t="s">
        <v>237</v>
      </c>
      <c r="M20" s="194">
        <f t="shared" si="0"/>
        <v>-3</v>
      </c>
      <c r="N20" s="194" t="str" cm="1">
        <f t="array" ref="N20">_xlfn.IFS(M20&gt;=2,"Major Positive Gap",M20&gt;=1,"Minor Positive Gap",M20&gt;=0,"No Gap",M20&gt;=-1,"Minor Negative Gap",M20&lt;=-2,"Major Negative Gap")</f>
        <v>Major Negative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2</v>
      </c>
      <c r="J21" s="281" t="s">
        <v>242</v>
      </c>
      <c r="K21" s="280">
        <v>5</v>
      </c>
      <c r="L21" s="281" t="s">
        <v>245</v>
      </c>
      <c r="M21" s="194">
        <f t="shared" si="0"/>
        <v>-3</v>
      </c>
      <c r="N21" s="194" t="str" cm="1">
        <f t="array" ref="N21">_xlfn.IFS(M21&gt;=2,"Major Positive Gap",M21&gt;=1,"Minor Positive Gap",M21&gt;=0,"No Gap",M21&gt;=-1,"Minor Negative Gap",M21&lt;=-2,"Major Negative Gap")</f>
        <v>Major Negative Gap</v>
      </c>
      <c r="O21" s="85" t="s">
        <v>198</v>
      </c>
      <c r="P21" s="90" t="s">
        <v>199</v>
      </c>
    </row>
    <row r="22" ht="36" spans="1:16">
      <c r="A22" s="281">
        <v>10</v>
      </c>
      <c r="B22" s="278" t="s">
        <v>246</v>
      </c>
      <c r="C22" s="278" t="s">
        <v>247</v>
      </c>
      <c r="D22" s="278" t="s">
        <v>248</v>
      </c>
      <c r="E22" s="278" t="s">
        <v>249</v>
      </c>
      <c r="F22" s="278" t="s">
        <v>250</v>
      </c>
      <c r="G22" s="278" t="s">
        <v>251</v>
      </c>
      <c r="H22" s="278" t="s">
        <v>252</v>
      </c>
      <c r="I22" s="280">
        <v>3</v>
      </c>
      <c r="J22" s="281" t="s">
        <v>250</v>
      </c>
      <c r="K22" s="280">
        <v>1</v>
      </c>
      <c r="L22" s="281" t="s">
        <v>248</v>
      </c>
      <c r="M22" s="194">
        <f t="shared" si="0"/>
        <v>2</v>
      </c>
      <c r="N22" s="194" t="str" cm="1">
        <f t="array" ref="N22">_xlfn.IFS(M22&gt;=2,"Major Positive Gap",M22&gt;=1,"Minor Positive Gap",M22&gt;=0,"No Gap",M22&gt;=-1,"Minor Negative Gap",M22&lt;=-2,"Major Negative Gap")</f>
        <v>Major Positive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Samuel Eko Yulianto</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46043.6770023148</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4</v>
      </c>
      <c r="J13" s="281" t="s">
        <v>258</v>
      </c>
      <c r="K13" s="280">
        <v>2</v>
      </c>
      <c r="L13" s="281" t="s">
        <v>256</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1">
        <v>2</v>
      </c>
      <c r="B14" s="278" t="s">
        <v>260</v>
      </c>
      <c r="C14" s="278" t="s">
        <v>261</v>
      </c>
      <c r="D14" s="278" t="s">
        <v>262</v>
      </c>
      <c r="E14" s="278" t="s">
        <v>263</v>
      </c>
      <c r="F14" s="278" t="s">
        <v>264</v>
      </c>
      <c r="G14" s="278" t="s">
        <v>265</v>
      </c>
      <c r="H14" s="278" t="s">
        <v>266</v>
      </c>
      <c r="I14" s="280">
        <v>5</v>
      </c>
      <c r="J14" s="281" t="s">
        <v>266</v>
      </c>
      <c r="K14" s="280">
        <v>3</v>
      </c>
      <c r="L14" s="281" t="s">
        <v>264</v>
      </c>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58.9" customHeight="1" spans="1:16">
      <c r="A15" s="281">
        <v>3</v>
      </c>
      <c r="B15" s="278" t="s">
        <v>267</v>
      </c>
      <c r="C15" s="278" t="s">
        <v>268</v>
      </c>
      <c r="D15" s="278" t="s">
        <v>269</v>
      </c>
      <c r="E15" s="278" t="s">
        <v>270</v>
      </c>
      <c r="F15" s="278" t="s">
        <v>271</v>
      </c>
      <c r="G15" s="278" t="s">
        <v>272</v>
      </c>
      <c r="H15" s="278" t="s">
        <v>273</v>
      </c>
      <c r="I15" s="280">
        <v>1</v>
      </c>
      <c r="J15" s="281" t="s">
        <v>269</v>
      </c>
      <c r="K15" s="280">
        <v>4</v>
      </c>
      <c r="L15" s="281" t="s">
        <v>272</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72" customHeight="1" spans="1:16">
      <c r="A16" s="277">
        <v>4</v>
      </c>
      <c r="B16" s="278" t="s">
        <v>274</v>
      </c>
      <c r="C16" s="278" t="s">
        <v>275</v>
      </c>
      <c r="D16" s="278" t="s">
        <v>276</v>
      </c>
      <c r="E16" s="278" t="s">
        <v>277</v>
      </c>
      <c r="F16" s="278" t="s">
        <v>278</v>
      </c>
      <c r="G16" s="278" t="s">
        <v>279</v>
      </c>
      <c r="H16" s="278" t="s">
        <v>280</v>
      </c>
      <c r="I16" s="280">
        <v>2</v>
      </c>
      <c r="J16" s="281" t="s">
        <v>277</v>
      </c>
      <c r="K16" s="280">
        <v>5</v>
      </c>
      <c r="L16" s="281" t="s">
        <v>280</v>
      </c>
      <c r="M16" s="194">
        <f t="shared" si="0"/>
        <v>-3</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75.65" customHeight="1" spans="1:16">
      <c r="A17" s="281">
        <v>5</v>
      </c>
      <c r="B17" s="278" t="s">
        <v>281</v>
      </c>
      <c r="C17" s="278" t="s">
        <v>282</v>
      </c>
      <c r="D17" s="278" t="s">
        <v>283</v>
      </c>
      <c r="E17" s="278" t="s">
        <v>284</v>
      </c>
      <c r="F17" s="278" t="s">
        <v>285</v>
      </c>
      <c r="G17" s="278" t="s">
        <v>286</v>
      </c>
      <c r="H17" s="278" t="s">
        <v>287</v>
      </c>
      <c r="I17" s="280">
        <v>3</v>
      </c>
      <c r="J17" s="281" t="s">
        <v>285</v>
      </c>
      <c r="K17" s="280">
        <v>1</v>
      </c>
      <c r="L17" s="281" t="s">
        <v>283</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90.65" customHeight="1" spans="1:16">
      <c r="A18" s="281">
        <v>6</v>
      </c>
      <c r="B18" s="278" t="s">
        <v>288</v>
      </c>
      <c r="C18" s="278" t="s">
        <v>289</v>
      </c>
      <c r="D18" s="278" t="s">
        <v>290</v>
      </c>
      <c r="E18" s="278" t="s">
        <v>291</v>
      </c>
      <c r="F18" s="278" t="s">
        <v>292</v>
      </c>
      <c r="G18" s="278" t="s">
        <v>293</v>
      </c>
      <c r="H18" s="278" t="s">
        <v>294</v>
      </c>
      <c r="I18" s="280">
        <v>4</v>
      </c>
      <c r="J18" s="281" t="s">
        <v>293</v>
      </c>
      <c r="K18" s="280">
        <v>2</v>
      </c>
      <c r="L18" s="281" t="s">
        <v>291</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1">
        <v>7</v>
      </c>
      <c r="B19" s="278" t="s">
        <v>295</v>
      </c>
      <c r="C19" s="278" t="s">
        <v>296</v>
      </c>
      <c r="D19" s="278" t="s">
        <v>297</v>
      </c>
      <c r="E19" s="278" t="s">
        <v>298</v>
      </c>
      <c r="F19" s="278" t="s">
        <v>299</v>
      </c>
      <c r="G19" s="278" t="s">
        <v>300</v>
      </c>
      <c r="H19" s="278" t="s">
        <v>301</v>
      </c>
      <c r="I19" s="280">
        <v>5</v>
      </c>
      <c r="J19" s="281" t="s">
        <v>301</v>
      </c>
      <c r="K19" s="280">
        <v>3</v>
      </c>
      <c r="L19" s="281" t="s">
        <v>299</v>
      </c>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82.9" customHeight="1" spans="1:16">
      <c r="A20" s="281">
        <v>8</v>
      </c>
      <c r="B20" s="278" t="s">
        <v>302</v>
      </c>
      <c r="C20" s="278" t="s">
        <v>303</v>
      </c>
      <c r="D20" s="278" t="s">
        <v>304</v>
      </c>
      <c r="E20" s="278" t="s">
        <v>305</v>
      </c>
      <c r="F20" s="278" t="s">
        <v>306</v>
      </c>
      <c r="G20" s="278" t="s">
        <v>307</v>
      </c>
      <c r="H20" s="278" t="s">
        <v>308</v>
      </c>
      <c r="I20" s="280">
        <v>1</v>
      </c>
      <c r="J20" s="281" t="s">
        <v>304</v>
      </c>
      <c r="K20" s="280">
        <v>4</v>
      </c>
      <c r="L20" s="281" t="s">
        <v>307</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82.15" customHeight="1" spans="1:16">
      <c r="A21" s="281">
        <v>9</v>
      </c>
      <c r="B21" s="278" t="s">
        <v>309</v>
      </c>
      <c r="C21" s="278" t="s">
        <v>310</v>
      </c>
      <c r="D21" s="278" t="s">
        <v>311</v>
      </c>
      <c r="E21" s="278" t="s">
        <v>312</v>
      </c>
      <c r="F21" s="278" t="s">
        <v>313</v>
      </c>
      <c r="G21" s="278" t="s">
        <v>314</v>
      </c>
      <c r="H21" s="278" t="s">
        <v>315</v>
      </c>
      <c r="I21" s="280">
        <v>2</v>
      </c>
      <c r="J21" s="281" t="s">
        <v>312</v>
      </c>
      <c r="K21" s="280">
        <v>5</v>
      </c>
      <c r="L21" s="281" t="s">
        <v>315</v>
      </c>
      <c r="M21" s="194">
        <f t="shared" si="0"/>
        <v>-3</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58.15" customHeight="1" spans="1:16">
      <c r="A22" s="277">
        <v>10</v>
      </c>
      <c r="B22" s="278" t="s">
        <v>316</v>
      </c>
      <c r="C22" s="278" t="s">
        <v>317</v>
      </c>
      <c r="D22" s="278" t="s">
        <v>318</v>
      </c>
      <c r="E22" s="278" t="s">
        <v>319</v>
      </c>
      <c r="F22" s="278" t="s">
        <v>320</v>
      </c>
      <c r="G22" s="278" t="s">
        <v>321</v>
      </c>
      <c r="H22" s="278" t="s">
        <v>322</v>
      </c>
      <c r="I22" s="280">
        <v>3</v>
      </c>
      <c r="J22" s="281" t="s">
        <v>320</v>
      </c>
      <c r="K22" s="280">
        <v>1</v>
      </c>
      <c r="L22" s="281" t="s">
        <v>318</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Samuel Eko Yulianto</v>
      </c>
      <c r="I2" s="83"/>
      <c r="K2" s="83"/>
      <c r="M2" s="83"/>
      <c r="N2" s="83"/>
    </row>
    <row r="3" spans="1:16">
      <c r="B3" s="83" t="str">
        <f>Identitas!B3</f>
        <v>Nama Atasan yang menilai</v>
      </c>
      <c r="C3" s="182" t="str">
        <f>Identitas!D3</f>
        <v>Agung Sedayu</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46043.6770023148</v>
      </c>
      <c r="I6" s="83"/>
      <c r="K6" s="83"/>
      <c r="M6" s="83"/>
      <c r="N6" s="83"/>
    </row>
    <row r="7" spans="1:16">
      <c r="B7" s="83" t="str">
        <f>Identitas!B7</f>
        <v>Unit</v>
      </c>
      <c r="C7" s="182" t="str">
        <f>Identitas!D7</f>
        <v>Internal Audit Quality Improvement</v>
      </c>
      <c r="I7" s="83"/>
      <c r="K7" s="83"/>
      <c r="M7" s="83"/>
      <c r="N7" s="83"/>
    </row>
    <row r="8" spans="1:16">
      <c r="B8" s="83" t="str">
        <f>Identitas!B8</f>
        <v>Departemen</v>
      </c>
      <c r="C8" s="182" t="str">
        <f>Identitas!D8</f>
        <v>Internal Audit &amp; Risk Management</v>
      </c>
      <c r="I8" s="83"/>
      <c r="K8" s="83"/>
      <c r="M8" s="83"/>
      <c r="N8" s="83"/>
    </row>
    <row r="9" spans="1:16">
      <c r="B9" s="83" t="str">
        <f>Identitas!B9</f>
        <v>Divisi</v>
      </c>
      <c r="C9" s="182">
        <f>Identitas!D9</f>
        <v>0</v>
      </c>
      <c r="I9" s="83"/>
      <c r="K9" s="83"/>
      <c r="M9" s="83"/>
      <c r="N9" s="83"/>
    </row>
    <row r="10" spans="1:16">
      <c r="B10" s="83" t="str">
        <f>Identitas!B10</f>
        <v>Direktorat</v>
      </c>
      <c r="C10" s="182" t="str">
        <f>Identitas!D10</f>
        <v>CEO Office</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4</v>
      </c>
      <c r="J13" s="281" t="s">
        <v>328</v>
      </c>
      <c r="K13" s="280">
        <v>2</v>
      </c>
      <c r="L13" s="281" t="s">
        <v>326</v>
      </c>
      <c r="M13" s="194">
        <f t="shared" ref="M13:M21" si="0">I13-K13</f>
        <v>2</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1">
        <v>2</v>
      </c>
      <c r="B14" s="278" t="s">
        <v>330</v>
      </c>
      <c r="C14" s="278" t="s">
        <v>331</v>
      </c>
      <c r="D14" s="279" t="s">
        <v>332</v>
      </c>
      <c r="E14" s="279" t="s">
        <v>333</v>
      </c>
      <c r="F14" s="279" t="s">
        <v>334</v>
      </c>
      <c r="G14" s="279" t="s">
        <v>335</v>
      </c>
      <c r="H14" s="279" t="s">
        <v>336</v>
      </c>
      <c r="I14" s="280">
        <v>5</v>
      </c>
      <c r="J14" s="281" t="s">
        <v>336</v>
      </c>
      <c r="K14" s="280">
        <v>3</v>
      </c>
      <c r="L14" s="281" t="s">
        <v>334</v>
      </c>
      <c r="M14" s="194">
        <f t="shared" si="0"/>
        <v>2</v>
      </c>
      <c r="N14" s="194" t="str" cm="1">
        <f t="array" ref="N14">_xlfn.IFS(M14&gt;=2,"Major Positive Gap",M14&gt;=1,"Minor Positive Gap",M14&gt;=0,"No Gap",M14&gt;=-1,"Minor Negative Gap",M14&lt;=-2,"Major Negative Gap")</f>
        <v>Major Positive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5" ht="36" spans="1:16">
      <c r="A15" s="281">
        <v>3</v>
      </c>
      <c r="B15" s="278" t="s">
        <v>337</v>
      </c>
      <c r="C15" s="278" t="s">
        <v>338</v>
      </c>
      <c r="D15" s="279" t="s">
        <v>339</v>
      </c>
      <c r="E15" s="279" t="s">
        <v>340</v>
      </c>
      <c r="F15" s="279" t="s">
        <v>341</v>
      </c>
      <c r="G15" s="279" t="s">
        <v>342</v>
      </c>
      <c r="H15" s="279" t="s">
        <v>343</v>
      </c>
      <c r="I15" s="280">
        <v>1</v>
      </c>
      <c r="J15" s="281" t="s">
        <v>339</v>
      </c>
      <c r="K15" s="280">
        <v>4</v>
      </c>
      <c r="L15" s="281" t="s">
        <v>342</v>
      </c>
      <c r="M15" s="194">
        <f t="shared" si="0"/>
        <v>-3</v>
      </c>
      <c r="N15" s="194" t="str" cm="1">
        <f t="array" ref="N15">_xlfn.IFS(M15&gt;=2,"Major Positive Gap",M15&gt;=1,"Minor Positive Gap",M15&gt;=0,"No Gap",M15&gt;=-1,"Minor Negative Gap",M15&lt;=-2,"Major Negative Gap")</f>
        <v>Major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6" ht="36" spans="1:16">
      <c r="A16" s="277">
        <v>4</v>
      </c>
      <c r="B16" s="278" t="s">
        <v>344</v>
      </c>
      <c r="C16" s="278" t="s">
        <v>345</v>
      </c>
      <c r="D16" s="279" t="s">
        <v>346</v>
      </c>
      <c r="E16" s="279" t="s">
        <v>347</v>
      </c>
      <c r="F16" s="279" t="s">
        <v>348</v>
      </c>
      <c r="G16" s="279" t="s">
        <v>349</v>
      </c>
      <c r="H16" s="279" t="s">
        <v>350</v>
      </c>
      <c r="I16" s="280">
        <v>2</v>
      </c>
      <c r="J16" s="281" t="s">
        <v>347</v>
      </c>
      <c r="K16" s="280">
        <v>5</v>
      </c>
      <c r="L16" s="281" t="s">
        <v>350</v>
      </c>
      <c r="M16" s="194">
        <f t="shared" si="0"/>
        <v>-3</v>
      </c>
      <c r="N16" s="194" t="str" cm="1">
        <f t="array" ref="N16">_xlfn.IFS(M16&gt;=2,"Major Positive Gap",M16&gt;=1,"Minor Positive Gap",M16&gt;=0,"No Gap",M16&gt;=-1,"Minor Negative Gap",M16&lt;=-2,"Major Negative Gap")</f>
        <v>Major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17" ht="36" spans="1:16">
      <c r="A17" s="281">
        <v>5</v>
      </c>
      <c r="B17" s="278" t="s">
        <v>351</v>
      </c>
      <c r="C17" s="279" t="s">
        <v>352</v>
      </c>
      <c r="D17" s="279" t="s">
        <v>353</v>
      </c>
      <c r="E17" s="279" t="s">
        <v>354</v>
      </c>
      <c r="F17" s="279" t="s">
        <v>355</v>
      </c>
      <c r="G17" s="279" t="s">
        <v>356</v>
      </c>
      <c r="H17" s="279" t="s">
        <v>357</v>
      </c>
      <c r="I17" s="280">
        <v>3</v>
      </c>
      <c r="J17" s="281" t="s">
        <v>355</v>
      </c>
      <c r="K17" s="280">
        <v>1</v>
      </c>
      <c r="L17" s="281" t="s">
        <v>353</v>
      </c>
      <c r="M17" s="194">
        <f t="shared" si="0"/>
        <v>2</v>
      </c>
      <c r="N17" s="194" t="str" cm="1">
        <f t="array" ref="N17">_xlfn.IFS(M17&gt;=2,"Major Positive Gap",M17&gt;=1,"Minor Positive Gap",M17&gt;=0,"No Gap",M17&gt;=-1,"Minor Negative Gap",M17&lt;=-2,"Major Negative Gap")</f>
        <v>Major Positive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8" ht="48" spans="1:16">
      <c r="A18" s="281">
        <v>6</v>
      </c>
      <c r="B18" s="278" t="s">
        <v>358</v>
      </c>
      <c r="C18" s="279" t="s">
        <v>359</v>
      </c>
      <c r="D18" s="279" t="s">
        <v>360</v>
      </c>
      <c r="E18" s="279" t="s">
        <v>361</v>
      </c>
      <c r="F18" s="279" t="s">
        <v>362</v>
      </c>
      <c r="G18" s="279" t="s">
        <v>363</v>
      </c>
      <c r="H18" s="279" t="s">
        <v>364</v>
      </c>
      <c r="I18" s="280">
        <v>4</v>
      </c>
      <c r="J18" s="281" t="s">
        <v>363</v>
      </c>
      <c r="K18" s="280">
        <v>2</v>
      </c>
      <c r="L18" s="281" t="s">
        <v>361</v>
      </c>
      <c r="M18" s="194">
        <f t="shared" si="0"/>
        <v>2</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1">
        <v>7</v>
      </c>
      <c r="B19" s="278" t="s">
        <v>365</v>
      </c>
      <c r="C19" s="279" t="s">
        <v>366</v>
      </c>
      <c r="D19" s="279" t="s">
        <v>367</v>
      </c>
      <c r="E19" s="279" t="s">
        <v>368</v>
      </c>
      <c r="F19" s="279" t="s">
        <v>369</v>
      </c>
      <c r="G19" s="279" t="s">
        <v>370</v>
      </c>
      <c r="H19" s="279" t="s">
        <v>371</v>
      </c>
      <c r="I19" s="280">
        <v>5</v>
      </c>
      <c r="J19" s="281" t="s">
        <v>371</v>
      </c>
      <c r="K19" s="280">
        <v>3</v>
      </c>
      <c r="L19" s="281" t="s">
        <v>369</v>
      </c>
      <c r="M19" s="194">
        <f t="shared" si="0"/>
        <v>2</v>
      </c>
      <c r="N19" s="194" t="str" cm="1">
        <f t="array" ref="N19">_xlfn.IFS(M19&gt;=2,"Major Positive Gap",M19&gt;=1,"Minor Positive Gap",M19&gt;=0,"No Gap",M19&gt;=-1,"Minor Negative Gap",M19&lt;=-2,"Major Negative Gap")</f>
        <v>Major Positive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0" ht="36" spans="1:16">
      <c r="A20" s="281">
        <v>8</v>
      </c>
      <c r="B20" s="278" t="s">
        <v>372</v>
      </c>
      <c r="C20" s="279" t="s">
        <v>373</v>
      </c>
      <c r="D20" s="279" t="s">
        <v>374</v>
      </c>
      <c r="E20" s="279" t="s">
        <v>375</v>
      </c>
      <c r="F20" s="279" t="s">
        <v>376</v>
      </c>
      <c r="G20" s="279" t="s">
        <v>377</v>
      </c>
      <c r="H20" s="279" t="s">
        <v>378</v>
      </c>
      <c r="I20" s="280">
        <v>1</v>
      </c>
      <c r="J20" s="281" t="s">
        <v>374</v>
      </c>
      <c r="K20" s="280">
        <v>4</v>
      </c>
      <c r="L20" s="281" t="s">
        <v>377</v>
      </c>
      <c r="M20" s="194">
        <f t="shared" si="0"/>
        <v>-3</v>
      </c>
      <c r="N20" s="194" t="str" cm="1">
        <f t="array" ref="N20">_xlfn.IFS(M20&gt;=2,"Major Positive Gap",M20&gt;=1,"Minor Positive Gap",M20&gt;=0,"No Gap",M20&gt;=-1,"Minor Negative Gap",M20&lt;=-2,"Major Negative Gap")</f>
        <v>Major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1" ht="48" spans="1:16">
      <c r="A21" s="281">
        <v>9</v>
      </c>
      <c r="B21" s="278" t="s">
        <v>379</v>
      </c>
      <c r="C21" s="279" t="s">
        <v>380</v>
      </c>
      <c r="D21" s="279" t="s">
        <v>381</v>
      </c>
      <c r="E21" s="279" t="s">
        <v>382</v>
      </c>
      <c r="F21" s="279" t="s">
        <v>383</v>
      </c>
      <c r="G21" s="279" t="s">
        <v>384</v>
      </c>
      <c r="H21" s="279" t="s">
        <v>385</v>
      </c>
      <c r="I21" s="280">
        <v>2</v>
      </c>
      <c r="J21" s="281" t="s">
        <v>382</v>
      </c>
      <c r="K21" s="280">
        <v>5</v>
      </c>
      <c r="L21" s="281" t="s">
        <v>385</v>
      </c>
      <c r="M21" s="194">
        <f t="shared" si="0"/>
        <v>-3</v>
      </c>
      <c r="N21" s="194" t="str" cm="1">
        <f t="array" ref="N21">_xlfn.IFS(M21&gt;=2,"Major Positive Gap",M21&gt;=1,"Minor Positive Gap",M21&gt;=0,"No Gap",M21&gt;=-1,"Minor Negative Gap",M21&lt;=-2,"Major Negative Gap")</f>
        <v>Major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rendah dari perilaku yang tampak menurut atasan</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hidden strength; individu tidak menyadari bahwa perilakunya sudah terlihat kuat</v>
      </c>
    </row>
    <row r="22" ht="49.15" customHeight="1" spans="1:16">
      <c r="A22" s="281">
        <v>10</v>
      </c>
      <c r="B22" s="278" t="s">
        <v>386</v>
      </c>
      <c r="C22" s="279" t="s">
        <v>387</v>
      </c>
      <c r="D22" s="282" t="s">
        <v>388</v>
      </c>
      <c r="E22" s="283" t="s">
        <v>389</v>
      </c>
      <c r="F22" s="283" t="s">
        <v>390</v>
      </c>
      <c r="G22" s="283" t="s">
        <v>391</v>
      </c>
      <c r="H22" s="283" t="s">
        <v>392</v>
      </c>
      <c r="I22" s="280">
        <v>3</v>
      </c>
      <c r="J22" s="281" t="s">
        <v>390</v>
      </c>
      <c r="K22" s="280">
        <v>1</v>
      </c>
      <c r="L22" s="281" t="s">
        <v>388</v>
      </c>
      <c r="M22" s="194">
        <f t="shared" ref="M22:M23" si="1">I22-K22</f>
        <v>2</v>
      </c>
      <c r="N22" s="194" t="str" cm="1">
        <f t="array" ref="N22">_xlfn.IFS(M22&gt;=2,"Major Positive Gap",M22&gt;=1,"Minor Positive Gap",M22&gt;=0,"No Gap",M22&gt;=-1,"Minor Negative Gap",M22&lt;=-2,"Major Negative Gap")</f>
        <v>Major Positive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Samuel Eko Yulianto</v>
      </c>
    </row>
    <row r="3" s="83" customFormat="1" spans="1:9">
      <c r="A3" s="83" t="str">
        <f>Identitas!B3</f>
        <v>Nama Atasan yang menilai</v>
      </c>
      <c r="B3" s="182" t="str">
        <f>Identitas!D3</f>
        <v>Agung Sedayu</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46043.6770023148</v>
      </c>
    </row>
    <row r="7" s="83" customFormat="1" spans="1:9">
      <c r="A7" s="83" t="str">
        <f>Identitas!B7</f>
        <v>Unit</v>
      </c>
      <c r="B7" s="182" t="str">
        <f>Identitas!D7</f>
        <v>Internal Audit Quality Improvement</v>
      </c>
    </row>
    <row r="8" s="83" customFormat="1" spans="1:9">
      <c r="A8" s="83" t="str">
        <f>Identitas!B8</f>
        <v>Departemen</v>
      </c>
      <c r="B8" s="182" t="str">
        <f>Identitas!D8</f>
        <v>Internal Audit &amp; Risk Management</v>
      </c>
    </row>
    <row r="9" s="83" customFormat="1" spans="1:9">
      <c r="A9" s="83" t="str">
        <f>Identitas!B9</f>
        <v>Divisi</v>
      </c>
      <c r="B9" s="182">
        <f>Identitas!D9</f>
        <v>0</v>
      </c>
    </row>
    <row r="10" s="83" customFormat="1" spans="1:9">
      <c r="A10" s="83" t="str">
        <f>Identitas!B10</f>
        <v>Direktorat</v>
      </c>
      <c r="B10" s="182" t="str">
        <f>Identitas!D10</f>
        <v>CEO Office</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Explaining Complexity
(menjelaskan hal kompleks secara sederhana)
• Comfort with Ambiguity
(tetap efektif di situasi tidak jelas)</v>
      </c>
      <c r="E14" s="225" t="str" cm="1">
        <f t="array" ref="E14">_xlfn.TEXTJOIN(CHAR(10),TRUE,IF('mental agility'!K13:K22=4,"• "&amp;'mental agility'!B13:B22,""))</f>
        <v>• Critical Thinking &amp; Inquisitiveness
(mempertanyakan &amp; mengevaluasi)
• Breaking Patterned thinking
(menciptakan solusi baru)</v>
      </c>
      <c r="F14" s="226" t="str" cm="1">
        <f t="array" ref="F14">_xlfn.TEXTJOIN(CHAR(10),TRUE,IF('mental agility'!K13:K22=3,"• "&amp;'mental agility'!B13:B22,""))</f>
        <v>• Root Cause Analysis
(mencari penyebab masalah)
• Creative Exploration
(mencari pendekatan baru)</v>
      </c>
      <c r="G14" s="227" t="str" cm="1">
        <f t="array" ref="G14">_xlfn.TEXTJOIN(CHAR(10),TRUE,IF('mental agility'!K13:K22=2,"• "&amp;'mental agility'!B13:B22,""))</f>
        <v>• Analytical Thinking
(memahami data &amp; fakta dasar)
• Integrating Diverse Perspective
(pengambilan keputusan melihat dari berbagai sudut pandang)</v>
      </c>
      <c r="H14" s="228" t="str" cm="1">
        <f t="array" ref="H14">_xlfn.TEXTJOIN(CHAR(10),TRUE,IF('mental agility'!K13:K22=1,"• "&amp;'mental agility'!B13:B22,""))</f>
        <v>• Intellectual Synthesis
(menghubungkan berbagai informasi)
• Tolerance for Ambiguity 
(mampu memimpin dalam uncertainty tinggi)</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Collaboration with Diversity
(Bekerja efektif dalam keberagaman)
• Managing Challenging  Stakeholder
(Mengelola relasi berkelanjutan dengan stakeholder sulit)</v>
      </c>
      <c r="E15" s="230" t="str" cm="1">
        <f t="array" ref="E15">_xlfn.TEXTJOIN(CHAR(10),TRUE,IF('people agility'!K13:K22=4,"• "&amp;'people agility'!B13:B22,""))</f>
        <v>• Genuine Curiosity about Others
(rasa ingin tahu tulus pada orang lain)
• Conflict Navigation
(menghadapi konflik secara konstruktif)</v>
      </c>
      <c r="F15" s="226" t="str" cm="1">
        <f t="array" ref="F15">_xlfn.TEXTJOIN(CHAR(10),TRUE,IF('people agility'!K13:K22=3,"• "&amp;'people agility'!B13:B22,""))</f>
        <v>• Openness to Feedback
(menerima &amp; mencari masukan)
• Empathy
(Merasakan &amp; memahami emosi orang lain)</v>
      </c>
      <c r="G15" s="227" t="str" cm="1">
        <f t="array" ref="G15">_xlfn.TEXTJOIN(CHAR(10),TRUE,IF('people agility'!K13:K22=2,"• "&amp;'people agility'!B13:B22,""))</f>
        <v>•  Listening for understanding
(mendengarkan &amp; memahami dasar)
• Understanding Different Perspectives
(Analisis multi-sudut pandang untuk pemahaman mendalam)</v>
      </c>
      <c r="H15" s="228" t="str" cm="1">
        <f t="array" ref="H15">_xlfn.TEXTJOIN(CHAR(10),TRUE,IF('people agility'!K13:K22=1,"• "&amp;'people agility'!B13:B22,""))</f>
        <v>• Valuing Diverse Opinions
(Menghargai opini berbeda dalam pengambilan keputusan)
• Conflict Mediation
(menjadi penengah &amp; penyatu pihak berbeda)</v>
      </c>
    </row>
    <row r="16" s="206" customFormat="1" ht="160.15" customHeight="1" spans="1:9">
      <c r="A16" s="221" t="s">
        <v>404</v>
      </c>
      <c r="B16" s="222">
        <f>'change agility'!K23</f>
        <v>3</v>
      </c>
      <c r="C16" s="223" t="str">
        <f t="shared" si="0"/>
        <v>Meet</v>
      </c>
      <c r="D16" s="224" t="str" cm="1">
        <f t="array" ref="D16">_xlfn.TEXTJOIN(CHAR(10),TRUE,IF('change agility'!K13:K22=5,"• "&amp;'change agility'!B13:B22,""))</f>
        <v>• Managing Resistance to Change
(pengelolaan resistensi)
• Calmness in Uncertainty
(tetap tenang di kondisi tidak pasti)</v>
      </c>
      <c r="E16" s="225" t="str" cm="1">
        <f t="array" ref="E16">_xlfn.TEXTJOIN(CHAR(10),TRUE,IF('change agility'!K13:K22=4,"• "&amp;'change agility'!B13:B22,""))</f>
        <v>• Comfort with Sudden Change
(tetap bekerja saat perubahan mendadak)
• Risk-Taking for Innovation
(berani mencoba pendekatan baru)</v>
      </c>
      <c r="F16" s="226" t="str" cm="1">
        <f t="array" ref="F16">_xlfn.TEXTJOIN(CHAR(10),TRUE,IF('change agility'!K13:K22=3,"• "&amp;'change agility'!B13:B22,""))</f>
        <v>• Comfort with New Ways of Working
(mulai nyaman dengan cara kerja baru)
• Proposing New Ideas
(mulai menginisiasi perubahan)</v>
      </c>
      <c r="G16" s="227" t="str" cm="1">
        <f t="array" ref="G16">_xlfn.TEXTJOIN(CHAR(10),TRUE,IF('change agility'!K13:K22=2,"• "&amp;'change agility'!B13:B22,""))</f>
        <v>• Adapting to New Systems
(mengikuti perubahan dasar)
• Viewing Change as Opportunity
(melihat perubahan sebagai peluang)</v>
      </c>
      <c r="H16" s="228" t="str" cm="1">
        <f t="array" ref="H16">_xlfn.TEXTJOIN(CHAR(10),TRUE,IF('change agility'!K13:K22=1,"• "&amp;'change agility'!B13:B22,""))</f>
        <v>• Adaptive Learning &amp; Experimentation
(aktif belajar hal baru)
• Proactive in Anticipating Change
(mengantisipasi perubahan sebelum terjadi)</v>
      </c>
    </row>
    <row r="17" s="206" customFormat="1" ht="210.65" customHeight="1" spans="1:8">
      <c r="A17" s="221" t="s">
        <v>405</v>
      </c>
      <c r="B17" s="222">
        <f>'result agility'!K23</f>
        <v>3</v>
      </c>
      <c r="C17" s="223" t="str">
        <f t="shared" si="0"/>
        <v>Meet</v>
      </c>
      <c r="D17" s="224" t="str" cm="1">
        <f t="array" ref="D17">_xlfn.TEXTJOIN(CHAR(10),TRUE,IF('result agility'!K13:K22=5,"• "&amp;'result agility'!B13:B22,""))</f>
        <v>• Tenacity &amp; Strategic Persistence
(menjaga komitmen di tengah tantangan)
• Agile Problem-Solving Under Pressure
(rencana di tengah ketidakpastian)</v>
      </c>
      <c r="E17" s="225" t="str" cm="1">
        <f t="array" ref="E17">_xlfn.TEXTJOIN(CHAR(10),TRUE,IF('result agility'!K13:K22=4,"• "&amp;'result agility'!B13:B22,""))</f>
        <v>• Driving for impact
(fokus pada hasil kerja)
• Adapting Strategy When Needed
(mengubah strategi untuk hasil lebih baik)</v>
      </c>
      <c r="F17" s="226" t="str" cm="1">
        <f t="array" ref="F17">_xlfn.TEXTJOIN(CHAR(10),TRUE,IF('result agility'!K13:K22=3,"• "&amp;'result agility'!B13:B22,""))</f>
        <v>• Action-Oriented &amp; Takes Initiative 
(proaktif bertindak)
• Focus Under Pressure
(tetap fokus dalam tekanan tinggi)</v>
      </c>
      <c r="G17" s="227" t="str" cm="1">
        <f t="array" ref="G17">_xlfn.TEXTJOIN(CHAR(10),TRUE,IF('result agility'!K13:K22=2,"• "&amp;'result agility'!B13:B22,""))</f>
        <v>• Task Completion Quality 
(menyelesaikan tugas dengan baik)
• Deciding with Incomplete Data
(mengambil keputusan dengan data/informasi terbatas)</v>
      </c>
      <c r="H17" s="228" t="str" cm="1">
        <f t="array" ref="H17">_xlfn.TEXTJOIN(CHAR(10),TRUE,IF('result agility'!K13:K22=1,"• "&amp;'result agility'!B13:B22,""))</f>
        <v>• Learning from Outcomes
(belajar dari hasil &amp; kesalahan tim)
• Drive for High Performance
(sistem perencanaan berkinerja tinggi)</v>
      </c>
    </row>
    <row r="18" s="206" customFormat="1" ht="160.15" customHeight="1" spans="1:8">
      <c r="A18" s="221" t="s">
        <v>406</v>
      </c>
      <c r="B18" s="222">
        <f>'self awareness'!K23</f>
        <v>3</v>
      </c>
      <c r="C18" s="223" t="str">
        <f t="shared" si="0"/>
        <v>Meet</v>
      </c>
      <c r="D18" s="224" t="str" cm="1">
        <f t="array" ref="D18">_xlfn.TEXTJOIN(CHAR(10),TRUE,IF('self awareness'!K13:K22=5,"• "&amp;'self awareness'!B13:B22,""))</f>
        <v>• Understanding Strengths &amp; Weaknesses
(memahami kekuatan &amp; kelemahan)
• Managing Emotions Effectively
(mengelola emosi secara matang)</v>
      </c>
      <c r="E18" s="225" t="str" cm="1">
        <f t="array" ref="E18">_xlfn.TEXTJOIN(CHAR(10),TRUE,IF('self awareness'!K13:K22=4,"• "&amp;'self awareness'!B13:B22,""))</f>
        <v>• Seeking Feedback on Performance
(mencari feedback)
• Awareness of Impact on Others
(memahami dampak perilaku terhadap orang lain)</v>
      </c>
      <c r="F18" s="226" t="str" cm="1">
        <f t="array" ref="F18">_xlfn.TEXTJOIN(CHAR(10),TRUE,IF('self awareness'!K13:K22=3,"• "&amp;'self awareness'!B13:B22,""))</f>
        <v>• Admitting Mistakes
(mengakui kesalahan)
• Objective Self-Assessment
(menilai diri secara objektif)</v>
      </c>
      <c r="G18" s="227" t="str" cm="1">
        <f t="array" ref="G18">_xlfn.TEXTJOIN(CHAR(10),TRUE,IF('self awareness'!K13:K22=2,"• "&amp;'self awareness'!B13:B22,""))</f>
        <v>• Openness to Criticism
(menerima kritik dasar)
• Proactive Self-Development for Adaptation
(aktif mengembangkan diri)</v>
      </c>
      <c r="H18" s="228" t="str" cm="1">
        <f t="array" ref="H18">_xlfn.TEXTJOIN(CHAR(10),TRUE,IF('self awareness'!K13:K22=1,"• "&amp;'self awareness'!B13:B22,""))</f>
        <v>• Reflective Practices
(melakukan refleksi diri)
• Deep Pattern Recognition &amp; Bias Awareness
(refleksi diri mendalam &amp; autentik)</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4</v>
      </c>
      <c r="C25" s="241">
        <f>'mental agility'!K13</f>
        <v>2</v>
      </c>
      <c r="D25" s="242">
        <f>'mental agility'!M13</f>
        <v>2</v>
      </c>
      <c r="E25" s="243" t="str">
        <f>'mental agility'!N13</f>
        <v>Major Positive Gap</v>
      </c>
    </row>
    <row r="26" s="207" customFormat="1" ht="30" spans="1:8">
      <c r="A26" s="241" t="str">
        <f>'mental agility'!B14</f>
        <v>Root Cause Analysis
(mencari penyebab masalah)</v>
      </c>
      <c r="B26" s="241">
        <f>'mental agility'!I14</f>
        <v>5</v>
      </c>
      <c r="C26" s="241">
        <f>'mental agility'!K14</f>
        <v>3</v>
      </c>
      <c r="D26" s="242">
        <f>'mental agility'!M14</f>
        <v>2</v>
      </c>
      <c r="E26" s="243" t="str">
        <f>'mental agility'!N14</f>
        <v>Major Positive Gap</v>
      </c>
    </row>
    <row r="27" s="207" customFormat="1" ht="60" spans="1:8">
      <c r="A27" s="241" t="str">
        <f>'mental agility'!B15</f>
        <v>Critical Thinking &amp; Inquisitiveness
(mempertanyakan &amp; mengevaluasi)</v>
      </c>
      <c r="B27" s="241">
        <f>'mental agility'!I15</f>
        <v>1</v>
      </c>
      <c r="C27" s="241">
        <f>'mental agility'!K15</f>
        <v>4</v>
      </c>
      <c r="D27" s="242">
        <f>'mental agility'!M15</f>
        <v>-3</v>
      </c>
      <c r="E27" s="243" t="str">
        <f>'mental agility'!N15</f>
        <v>Major Negative Gap</v>
      </c>
    </row>
    <row r="28" s="207" customFormat="1" ht="45" spans="1:8">
      <c r="A28" s="241" t="str">
        <f>'mental agility'!B16</f>
        <v>Explaining Complexity
(menjelaskan hal kompleks secara sederhana)</v>
      </c>
      <c r="B28" s="241">
        <f>'mental agility'!I16</f>
        <v>2</v>
      </c>
      <c r="C28" s="241">
        <f>'mental agility'!K16</f>
        <v>5</v>
      </c>
      <c r="D28" s="242">
        <f>'mental agility'!M16</f>
        <v>-3</v>
      </c>
      <c r="E28" s="243" t="str">
        <f>'mental agility'!N16</f>
        <v>Major Negative Gap</v>
      </c>
    </row>
    <row r="29" s="207" customFormat="1" ht="45" spans="1:8">
      <c r="A29" s="241" t="str">
        <f>'mental agility'!B17</f>
        <v>Intellectual Synthesis
(menghubungkan berbagai informasi)</v>
      </c>
      <c r="B29" s="241">
        <f>'mental agility'!I17</f>
        <v>3</v>
      </c>
      <c r="C29" s="241">
        <f>'mental agility'!K17</f>
        <v>1</v>
      </c>
      <c r="D29" s="242">
        <f>'mental agility'!M17</f>
        <v>2</v>
      </c>
      <c r="E29" s="243" t="str">
        <f>'mental agility'!N17</f>
        <v>Major Positive Gap</v>
      </c>
    </row>
    <row r="30" s="207" customFormat="1" ht="60" spans="1:8">
      <c r="A30" s="241" t="str">
        <f>'mental agility'!B18</f>
        <v>Integrating Diverse Perspective
(pengambilan keputusan melihat dari berbagai sudut pandang)</v>
      </c>
      <c r="B30" s="241">
        <f>'mental agility'!I18</f>
        <v>4</v>
      </c>
      <c r="C30" s="241">
        <f>'mental agility'!K18</f>
        <v>2</v>
      </c>
      <c r="D30" s="242">
        <f>'mental agility'!M18</f>
        <v>2</v>
      </c>
      <c r="E30" s="243" t="str">
        <f>'mental agility'!N18</f>
        <v>Major Positive Gap</v>
      </c>
    </row>
    <row r="31" s="207" customFormat="1" ht="30" spans="1:8">
      <c r="A31" s="241" t="str">
        <f>'mental agility'!B19</f>
        <v>Creative Exploration
(mencari pendekatan baru)</v>
      </c>
      <c r="B31" s="241">
        <f>'mental agility'!I19</f>
        <v>5</v>
      </c>
      <c r="C31" s="241">
        <f>'mental agility'!K19</f>
        <v>3</v>
      </c>
      <c r="D31" s="242">
        <f>'mental agility'!M19</f>
        <v>2</v>
      </c>
      <c r="E31" s="243" t="str">
        <f>'mental agility'!N19</f>
        <v>Major Positive Gap</v>
      </c>
    </row>
    <row r="32" s="207" customFormat="1" ht="30" spans="1:8">
      <c r="A32" s="241" t="str">
        <f>'mental agility'!B20</f>
        <v>Breaking Patterned thinking
(menciptakan solusi baru)</v>
      </c>
      <c r="B32" s="241">
        <f>'mental agility'!I20</f>
        <v>1</v>
      </c>
      <c r="C32" s="241">
        <f>'mental agility'!K20</f>
        <v>4</v>
      </c>
      <c r="D32" s="242">
        <f>'mental agility'!M20</f>
        <v>-3</v>
      </c>
      <c r="E32" s="243" t="str">
        <f>'mental agility'!N20</f>
        <v>Major Negative Gap</v>
      </c>
    </row>
    <row r="33" s="207" customFormat="1" ht="45" spans="1:9">
      <c r="A33" s="241" t="str">
        <f>'mental agility'!B21</f>
        <v>Comfort with Ambiguity
(tetap efektif di situasi tidak jelas)</v>
      </c>
      <c r="B33" s="241">
        <f>'mental agility'!I21</f>
        <v>2</v>
      </c>
      <c r="C33" s="241">
        <f>'mental agility'!K21</f>
        <v>5</v>
      </c>
      <c r="D33" s="242">
        <f>'mental agility'!M21</f>
        <v>-3</v>
      </c>
      <c r="E33" s="243" t="str">
        <f>'mental agility'!N21</f>
        <v>Major Negative Gap</v>
      </c>
      <c r="F33" s="207" t="s">
        <v>416</v>
      </c>
    </row>
    <row r="34" s="207" customFormat="1" ht="45" spans="1:9">
      <c r="A34" s="241" t="str">
        <f>'mental agility'!B22</f>
        <v>Tolerance for Ambiguity 
(mampu memimpin dalam uncertainty tinggi)</v>
      </c>
      <c r="B34" s="241">
        <f>'mental agility'!I22</f>
        <v>3</v>
      </c>
      <c r="C34" s="241">
        <f>'mental agility'!K22</f>
        <v>1</v>
      </c>
      <c r="D34" s="242">
        <f>'mental agility'!M22</f>
        <v>2</v>
      </c>
      <c r="E34" s="243" t="str">
        <f>'mental agility'!N22</f>
        <v>Major Positive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4</v>
      </c>
      <c r="C39" s="241">
        <f>'people agility'!K13</f>
        <v>2</v>
      </c>
      <c r="D39" s="242">
        <f>'people agility'!M13</f>
        <v>2</v>
      </c>
      <c r="E39" s="243" t="str">
        <f>'people agility'!N13</f>
        <v>Major Positive Gap</v>
      </c>
    </row>
    <row r="40" s="207" customFormat="1" ht="30" spans="1:9">
      <c r="A40" s="241" t="str">
        <f>'people agility'!B14</f>
        <v>Openness to Feedback
(menerima &amp; mencari masukan)</v>
      </c>
      <c r="B40" s="241">
        <f>'people agility'!I14</f>
        <v>5</v>
      </c>
      <c r="C40" s="241">
        <f>'people agility'!K14</f>
        <v>3</v>
      </c>
      <c r="D40" s="242">
        <f>'people agility'!M14</f>
        <v>2</v>
      </c>
      <c r="E40" s="243" t="str">
        <f>'people agility'!N14</f>
        <v>Major Positive Gap</v>
      </c>
    </row>
    <row r="41" s="207" customFormat="1" ht="45" spans="1:9">
      <c r="A41" s="241" t="str">
        <f>'people agility'!B15</f>
        <v>Genuine Curiosity about Others
(rasa ingin tahu tulus pada orang lain)</v>
      </c>
      <c r="B41" s="241">
        <f>'people agility'!I15</f>
        <v>1</v>
      </c>
      <c r="C41" s="241">
        <f>'people agility'!K15</f>
        <v>4</v>
      </c>
      <c r="D41" s="242">
        <f>'people agility'!M15</f>
        <v>-3</v>
      </c>
      <c r="E41" s="243" t="str">
        <f>'people agility'!N15</f>
        <v>Major Negative Gap</v>
      </c>
    </row>
    <row r="42" s="207" customFormat="1" ht="45" spans="1:9">
      <c r="A42" s="241" t="str">
        <f>'people agility'!B16</f>
        <v>Collaboration with Diversity
(Bekerja efektif dalam keberagaman)</v>
      </c>
      <c r="B42" s="241">
        <f>'people agility'!I16</f>
        <v>2</v>
      </c>
      <c r="C42" s="241">
        <f>'people agility'!K16</f>
        <v>5</v>
      </c>
      <c r="D42" s="242">
        <f>'people agility'!M16</f>
        <v>-3</v>
      </c>
      <c r="E42" s="243" t="str">
        <f>'people agility'!N16</f>
        <v>Major Negative Gap</v>
      </c>
    </row>
    <row r="43" s="207" customFormat="1" ht="45" spans="1:9">
      <c r="A43" s="241" t="str">
        <f>'people agility'!B17</f>
        <v>Valuing Diverse Opinions
(Menghargai opini berbeda dalam pengambilan keputusan)</v>
      </c>
      <c r="B43" s="241">
        <f>'people agility'!I17</f>
        <v>3</v>
      </c>
      <c r="C43" s="241">
        <f>'people agility'!K17</f>
        <v>1</v>
      </c>
      <c r="D43" s="242">
        <f>'people agility'!M17</f>
        <v>2</v>
      </c>
      <c r="E43" s="243" t="str">
        <f>'people agility'!N17</f>
        <v>Major Positive Gap</v>
      </c>
    </row>
    <row r="44" s="207" customFormat="1" ht="60" spans="1:9">
      <c r="A44" s="241" t="str">
        <f>'people agility'!B18</f>
        <v>Understanding Different Perspectives
(Analisis multi-sudut pandang untuk pemahaman mendalam)</v>
      </c>
      <c r="B44" s="241">
        <f>'people agility'!I18</f>
        <v>4</v>
      </c>
      <c r="C44" s="241">
        <f>'people agility'!K18</f>
        <v>2</v>
      </c>
      <c r="D44" s="242">
        <f>'people agility'!M18</f>
        <v>2</v>
      </c>
      <c r="E44" s="243" t="str">
        <f>'people agility'!N18</f>
        <v>Major Positive Gap</v>
      </c>
    </row>
    <row r="45" s="207" customFormat="1" ht="45" spans="1:9">
      <c r="A45" s="241" t="str">
        <f>'people agility'!B19</f>
        <v>Empathy
(Merasakan &amp; memahami emosi orang lain)</v>
      </c>
      <c r="B45" s="241">
        <f>'people agility'!I19</f>
        <v>5</v>
      </c>
      <c r="C45" s="241">
        <f>'people agility'!K19</f>
        <v>3</v>
      </c>
      <c r="D45" s="242">
        <f>'people agility'!M19</f>
        <v>2</v>
      </c>
      <c r="E45" s="243" t="str">
        <f>'people agility'!N19</f>
        <v>Major Positive Gap</v>
      </c>
    </row>
    <row r="46" s="207" customFormat="1" ht="45" spans="1:9">
      <c r="A46" s="241" t="str">
        <f>'people agility'!B20</f>
        <v>Conflict Navigation
(menghadapi konflik secara konstruktif)</v>
      </c>
      <c r="B46" s="241">
        <f>'people agility'!I20</f>
        <v>1</v>
      </c>
      <c r="C46" s="241">
        <f>'people agility'!K20</f>
        <v>4</v>
      </c>
      <c r="D46" s="242">
        <f>'people agility'!M20</f>
        <v>-3</v>
      </c>
      <c r="E46" s="243" t="str">
        <f>'people agility'!N20</f>
        <v>Major Negative Gap</v>
      </c>
    </row>
    <row r="47" s="207" customFormat="1" ht="75" spans="1:9">
      <c r="A47" s="241" t="str">
        <f>'people agility'!B21</f>
        <v>Managing Challenging  Stakeholder
(Mengelola relasi berkelanjutan dengan stakeholder sulit)</v>
      </c>
      <c r="B47" s="241">
        <f>'people agility'!I21</f>
        <v>2</v>
      </c>
      <c r="C47" s="241">
        <f>'people agility'!K21</f>
        <v>5</v>
      </c>
      <c r="D47" s="242">
        <f>'people agility'!M21</f>
        <v>-3</v>
      </c>
      <c r="E47" s="243" t="str">
        <f>'people agility'!N21</f>
        <v>Major Negative Gap</v>
      </c>
    </row>
    <row r="48" s="207" customFormat="1" ht="45" spans="1:9">
      <c r="A48" s="241" t="str">
        <f>'people agility'!B22</f>
        <v>Conflict Mediation
(menjadi penengah &amp; penyatu pihak berbeda)</v>
      </c>
      <c r="B48" s="241">
        <f>'people agility'!I22</f>
        <v>3</v>
      </c>
      <c r="C48" s="241">
        <f>'people agility'!K22</f>
        <v>1</v>
      </c>
      <c r="D48" s="242">
        <f>'people agility'!M22</f>
        <v>2</v>
      </c>
      <c r="E48" s="243" t="str">
        <f>'people agility'!N22</f>
        <v>Major Positive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4</v>
      </c>
      <c r="C53" s="249">
        <f>'change agility'!K13</f>
        <v>2</v>
      </c>
      <c r="D53" s="250">
        <f>'change agility'!M13</f>
        <v>2</v>
      </c>
      <c r="E53" s="251" t="str">
        <f>'change agility'!N13</f>
        <v>Major Positive Gap</v>
      </c>
    </row>
    <row r="54" s="207" customFormat="1" ht="60" spans="1:9">
      <c r="A54" s="249" t="str">
        <f>'change agility'!B14</f>
        <v>Comfort with New Ways of Working
(mulai nyaman dengan cara kerja baru)</v>
      </c>
      <c r="B54" s="249">
        <f>'change agility'!I14</f>
        <v>5</v>
      </c>
      <c r="C54" s="249">
        <f>'change agility'!K14</f>
        <v>3</v>
      </c>
      <c r="D54" s="250">
        <f>'change agility'!M14</f>
        <v>2</v>
      </c>
      <c r="E54" s="251" t="str">
        <f>'change agility'!N14</f>
        <v>Major Positive Gap</v>
      </c>
    </row>
    <row r="55" s="207" customFormat="1" ht="45" spans="1:9">
      <c r="A55" s="249" t="str">
        <f>'change agility'!B15</f>
        <v>Comfort with Sudden Change
(tetap bekerja saat perubahan mendadak)</v>
      </c>
      <c r="B55" s="249">
        <f>'change agility'!I15</f>
        <v>1</v>
      </c>
      <c r="C55" s="249">
        <f>'change agility'!K15</f>
        <v>4</v>
      </c>
      <c r="D55" s="250">
        <f>'change agility'!M15</f>
        <v>-3</v>
      </c>
      <c r="E55" s="251" t="str">
        <f>'change agility'!N15</f>
        <v>Major Negative Gap</v>
      </c>
    </row>
    <row r="56" s="207" customFormat="1" ht="30" spans="1:9">
      <c r="A56" s="249" t="str">
        <f>'change agility'!B16</f>
        <v>Managing Resistance to Change
(pengelolaan resistensi)</v>
      </c>
      <c r="B56" s="249">
        <f>'change agility'!I16</f>
        <v>2</v>
      </c>
      <c r="C56" s="249">
        <f>'change agility'!K16</f>
        <v>5</v>
      </c>
      <c r="D56" s="250">
        <f>'change agility'!M16</f>
        <v>-3</v>
      </c>
      <c r="E56" s="251" t="str">
        <f>'change agility'!N16</f>
        <v>Major Negative Gap</v>
      </c>
    </row>
    <row r="57" s="207" customFormat="1" ht="45" spans="1:9">
      <c r="A57" s="249" t="str">
        <f>'change agility'!B17</f>
        <v>Adaptive Learning &amp; Experimentation
(aktif belajar hal baru)</v>
      </c>
      <c r="B57" s="249">
        <f>'change agility'!I17</f>
        <v>3</v>
      </c>
      <c r="C57" s="249">
        <f>'change agility'!K17</f>
        <v>1</v>
      </c>
      <c r="D57" s="250">
        <f>'change agility'!M17</f>
        <v>2</v>
      </c>
      <c r="E57" s="251" t="str">
        <f>'change agility'!N17</f>
        <v>Major Positive Gap</v>
      </c>
    </row>
    <row r="58" s="207" customFormat="1" ht="45" spans="1:9">
      <c r="A58" s="249" t="str">
        <f>'change agility'!B18</f>
        <v>Viewing Change as Opportunity
(melihat perubahan sebagai peluang)</v>
      </c>
      <c r="B58" s="249">
        <f>'change agility'!I18</f>
        <v>4</v>
      </c>
      <c r="C58" s="249">
        <f>'change agility'!K18</f>
        <v>2</v>
      </c>
      <c r="D58" s="250">
        <f>'change agility'!M18</f>
        <v>2</v>
      </c>
      <c r="E58" s="251" t="str">
        <f>'change agility'!N18</f>
        <v>Major Positive Gap</v>
      </c>
    </row>
    <row r="59" s="207" customFormat="1" ht="30" spans="1:9">
      <c r="A59" s="249" t="str">
        <f>'change agility'!B19</f>
        <v>Proposing New Ideas
(mulai menginisiasi perubahan)</v>
      </c>
      <c r="B59" s="249">
        <f>'change agility'!I19</f>
        <v>5</v>
      </c>
      <c r="C59" s="249">
        <f>'change agility'!K19</f>
        <v>3</v>
      </c>
      <c r="D59" s="250">
        <f>'change agility'!M19</f>
        <v>2</v>
      </c>
      <c r="E59" s="251" t="str">
        <f>'change agility'!N19</f>
        <v>Major Positive Gap</v>
      </c>
    </row>
    <row r="60" s="207" customFormat="1" ht="45" spans="1:9">
      <c r="A60" s="249" t="str">
        <f>'change agility'!B20</f>
        <v>Risk-Taking for Innovation
(berani mencoba pendekatan baru)</v>
      </c>
      <c r="B60" s="249">
        <f>'change agility'!I20</f>
        <v>1</v>
      </c>
      <c r="C60" s="249">
        <f>'change agility'!K20</f>
        <v>4</v>
      </c>
      <c r="D60" s="250">
        <f>'change agility'!M20</f>
        <v>-3</v>
      </c>
      <c r="E60" s="251" t="str">
        <f>'change agility'!N20</f>
        <v>Major Negative Gap</v>
      </c>
    </row>
    <row r="61" s="207" customFormat="1" ht="45" spans="1:9">
      <c r="A61" s="249" t="str">
        <f>'change agility'!B21</f>
        <v>Calmness in Uncertainty
(tetap tenang di kondisi tidak pasti)</v>
      </c>
      <c r="B61" s="249">
        <f>'change agility'!I21</f>
        <v>2</v>
      </c>
      <c r="C61" s="249">
        <f>'change agility'!K21</f>
        <v>5</v>
      </c>
      <c r="D61" s="250">
        <f>'change agility'!M21</f>
        <v>-3</v>
      </c>
      <c r="E61" s="251" t="str">
        <f>'change agility'!N21</f>
        <v>Major Negative Gap</v>
      </c>
    </row>
    <row r="62" s="207" customFormat="1" ht="60" spans="1:9">
      <c r="A62" s="249" t="str">
        <f>'change agility'!B22</f>
        <v>Proactive in Anticipating Change
(mengantisipasi perubahan sebelum terjadi)</v>
      </c>
      <c r="B62" s="249">
        <f>'change agility'!I22</f>
        <v>3</v>
      </c>
      <c r="C62" s="249">
        <f>'change agility'!K22</f>
        <v>1</v>
      </c>
      <c r="D62" s="250">
        <f>'change agility'!M22</f>
        <v>2</v>
      </c>
      <c r="E62" s="251" t="str">
        <f>'change agility'!N22</f>
        <v>Major Positive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4</v>
      </c>
      <c r="C68" s="241">
        <f>'result agility'!K13</f>
        <v>2</v>
      </c>
      <c r="D68" s="241">
        <f>'result agility'!M13</f>
        <v>2</v>
      </c>
      <c r="E68" s="257" t="str">
        <f>'result agility'!N13</f>
        <v>Major Positive Gap</v>
      </c>
    </row>
    <row r="69" s="207" customFormat="1" ht="45" spans="1:5">
      <c r="A69" s="249" t="str">
        <f>'result agility'!B14</f>
        <v>Action-Oriented &amp; Takes Initiative 
(proaktif bertindak)</v>
      </c>
      <c r="B69" s="241">
        <f>'result agility'!I14</f>
        <v>5</v>
      </c>
      <c r="C69" s="241">
        <f>'result agility'!K14</f>
        <v>3</v>
      </c>
      <c r="D69" s="241">
        <f>'result agility'!M14</f>
        <v>2</v>
      </c>
      <c r="E69" s="257" t="str">
        <f>'result agility'!N14</f>
        <v>Major Positive Gap</v>
      </c>
    </row>
    <row r="70" s="207" customFormat="1" ht="30" spans="1:5">
      <c r="A70" s="249" t="str">
        <f>'result agility'!B15</f>
        <v>Driving for impact
(fokus pada hasil kerja)</v>
      </c>
      <c r="B70" s="241">
        <f>'result agility'!I15</f>
        <v>1</v>
      </c>
      <c r="C70" s="241">
        <f>'result agility'!K15</f>
        <v>4</v>
      </c>
      <c r="D70" s="241">
        <f>'result agility'!M15</f>
        <v>-3</v>
      </c>
      <c r="E70" s="257" t="str">
        <f>'result agility'!N15</f>
        <v>Major Negative Gap</v>
      </c>
    </row>
    <row r="71" s="207" customFormat="1" ht="60" spans="1:5">
      <c r="A71" s="249" t="str">
        <f>'result agility'!B16</f>
        <v>Tenacity &amp; Strategic Persistence
(menjaga komitmen di tengah tantangan)</v>
      </c>
      <c r="B71" s="241">
        <f>'result agility'!I16</f>
        <v>2</v>
      </c>
      <c r="C71" s="241">
        <f>'result agility'!K16</f>
        <v>5</v>
      </c>
      <c r="D71" s="241">
        <f>'result agility'!M16</f>
        <v>-3</v>
      </c>
      <c r="E71" s="257" t="str">
        <f>'result agility'!N16</f>
        <v>Major Negative Gap</v>
      </c>
    </row>
    <row r="72" s="207" customFormat="1" ht="45" spans="1:5">
      <c r="A72" s="249" t="str">
        <f>'result agility'!B17</f>
        <v>Learning from Outcomes
(belajar dari hasil &amp; kesalahan tim)</v>
      </c>
      <c r="B72" s="241">
        <f>'result agility'!I17</f>
        <v>3</v>
      </c>
      <c r="C72" s="241">
        <f>'result agility'!K17</f>
        <v>1</v>
      </c>
      <c r="D72" s="241">
        <f>'result agility'!M17</f>
        <v>2</v>
      </c>
      <c r="E72" s="257" t="str">
        <f>'result agility'!N17</f>
        <v>Major Positive Gap</v>
      </c>
    </row>
    <row r="73" s="207" customFormat="1" ht="45" spans="1:5">
      <c r="A73" s="249" t="str">
        <f>'result agility'!B18</f>
        <v>Deciding with Incomplete Data
(mengambil keputusan dengan data/informasi terbatas)</v>
      </c>
      <c r="B73" s="241">
        <f>'result agility'!I18</f>
        <v>4</v>
      </c>
      <c r="C73" s="241">
        <f>'result agility'!K18</f>
        <v>2</v>
      </c>
      <c r="D73" s="241">
        <f>'result agility'!M18</f>
        <v>2</v>
      </c>
      <c r="E73" s="257" t="str">
        <f>'result agility'!N18</f>
        <v>Major Positive Gap</v>
      </c>
    </row>
    <row r="74" s="207" customFormat="1" ht="45" spans="1:5">
      <c r="A74" s="249" t="str">
        <f>'result agility'!B19</f>
        <v>Focus Under Pressure
(tetap fokus dalam tekanan tinggi)</v>
      </c>
      <c r="B74" s="241">
        <f>'result agility'!I19</f>
        <v>5</v>
      </c>
      <c r="C74" s="241">
        <f>'result agility'!K19</f>
        <v>3</v>
      </c>
      <c r="D74" s="241">
        <f>'result agility'!M19</f>
        <v>2</v>
      </c>
      <c r="E74" s="257" t="str">
        <f>'result agility'!N19</f>
        <v>Major Positive Gap</v>
      </c>
    </row>
    <row r="75" s="207" customFormat="1" ht="45" spans="1:5">
      <c r="A75" s="249" t="str">
        <f>'result agility'!B20</f>
        <v>Adapting Strategy When Needed
(mengubah strategi untuk hasil lebih baik)</v>
      </c>
      <c r="B75" s="241">
        <f>'result agility'!I20</f>
        <v>1</v>
      </c>
      <c r="C75" s="241">
        <f>'result agility'!K20</f>
        <v>4</v>
      </c>
      <c r="D75" s="241">
        <f>'result agility'!M20</f>
        <v>-3</v>
      </c>
      <c r="E75" s="257" t="str">
        <f>'result agility'!N20</f>
        <v>Major Negative Gap</v>
      </c>
    </row>
    <row r="76" s="207" customFormat="1" ht="60" spans="1:5">
      <c r="A76" s="249" t="str">
        <f>'result agility'!B21</f>
        <v>Agile Problem-Solving Under Pressure
(rencana di tengah ketidakpastian)</v>
      </c>
      <c r="B76" s="241">
        <f>'result agility'!I21</f>
        <v>2</v>
      </c>
      <c r="C76" s="241">
        <f>'result agility'!K21</f>
        <v>5</v>
      </c>
      <c r="D76" s="241">
        <f>'result agility'!M21</f>
        <v>-3</v>
      </c>
      <c r="E76" s="257" t="str">
        <f>'result agility'!N21</f>
        <v>Major Negative Gap</v>
      </c>
    </row>
    <row r="77" s="207" customFormat="1" ht="45" spans="1:5">
      <c r="A77" s="249" t="str">
        <f>'result agility'!B22</f>
        <v>Drive for High Performance
(sistem perencanaan berkinerja tinggi)</v>
      </c>
      <c r="B77" s="241">
        <f>'result agility'!I22</f>
        <v>3</v>
      </c>
      <c r="C77" s="241">
        <f>'result agility'!K22</f>
        <v>1</v>
      </c>
      <c r="D77" s="241">
        <f>'result agility'!M22</f>
        <v>2</v>
      </c>
      <c r="E77" s="257" t="str">
        <f>'result agility'!N22</f>
        <v>Major Positive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4</v>
      </c>
      <c r="C83" s="241">
        <f>'self awareness'!K13</f>
        <v>2</v>
      </c>
      <c r="D83" s="241">
        <f>'self awareness'!M13</f>
        <v>2</v>
      </c>
      <c r="E83" s="257" t="str">
        <f>'self awareness'!N13</f>
        <v>Major Positive Gap</v>
      </c>
    </row>
    <row r="84" s="207" customFormat="1" ht="30" spans="1:5">
      <c r="A84" s="241" t="str">
        <f>'self awareness'!B14</f>
        <v>Admitting Mistakes
(mengakui kesalahan)</v>
      </c>
      <c r="B84" s="241">
        <f>'self awareness'!I14</f>
        <v>5</v>
      </c>
      <c r="C84" s="241">
        <f>'self awareness'!K14</f>
        <v>3</v>
      </c>
      <c r="D84" s="241">
        <f>'self awareness'!M14</f>
        <v>2</v>
      </c>
      <c r="E84" s="257" t="str">
        <f>'self awareness'!N14</f>
        <v>Major Positive Gap</v>
      </c>
    </row>
    <row r="85" s="207" customFormat="1" ht="45" spans="1:5">
      <c r="A85" s="241" t="str">
        <f>'self awareness'!B15</f>
        <v>Seeking Feedback on Performance
(mencari feedback)</v>
      </c>
      <c r="B85" s="241">
        <f>'self awareness'!I15</f>
        <v>1</v>
      </c>
      <c r="C85" s="241">
        <f>'self awareness'!K15</f>
        <v>4</v>
      </c>
      <c r="D85" s="241">
        <f>'self awareness'!M15</f>
        <v>-3</v>
      </c>
      <c r="E85" s="257" t="str">
        <f>'self awareness'!N15</f>
        <v>Major Negative Gap</v>
      </c>
    </row>
    <row r="86" s="207" customFormat="1" ht="60" spans="1:5">
      <c r="A86" s="241" t="str">
        <f>'self awareness'!B16</f>
        <v>Understanding Strengths &amp; Weaknesses
(memahami kekuatan &amp; kelemahan)</v>
      </c>
      <c r="B86" s="241">
        <f>'self awareness'!I16</f>
        <v>2</v>
      </c>
      <c r="C86" s="241">
        <f>'self awareness'!K16</f>
        <v>5</v>
      </c>
      <c r="D86" s="241">
        <f>'self awareness'!M16</f>
        <v>-3</v>
      </c>
      <c r="E86" s="257" t="str">
        <f>'self awareness'!N16</f>
        <v>Major Negative Gap</v>
      </c>
    </row>
    <row r="87" s="207" customFormat="1" ht="30" spans="1:5">
      <c r="A87" s="241" t="str">
        <f>'self awareness'!B17</f>
        <v>Reflective Practices
(melakukan refleksi diri)</v>
      </c>
      <c r="B87" s="241">
        <f>'self awareness'!I17</f>
        <v>3</v>
      </c>
      <c r="C87" s="241">
        <f>'self awareness'!K17</f>
        <v>1</v>
      </c>
      <c r="D87" s="241">
        <f>'self awareness'!M17</f>
        <v>2</v>
      </c>
      <c r="E87" s="257" t="str">
        <f>'self awareness'!N17</f>
        <v>Major Positive Gap</v>
      </c>
    </row>
    <row r="88" s="207" customFormat="1" ht="45" spans="1:5">
      <c r="A88" s="241" t="str">
        <f>'self awareness'!B18</f>
        <v>Proactive Self-Development for Adaptation
(aktif mengembangkan diri)</v>
      </c>
      <c r="B88" s="241">
        <f>'self awareness'!I18</f>
        <v>4</v>
      </c>
      <c r="C88" s="241">
        <f>'self awareness'!K18</f>
        <v>2</v>
      </c>
      <c r="D88" s="241">
        <f>'self awareness'!M18</f>
        <v>2</v>
      </c>
      <c r="E88" s="257" t="str">
        <f>'self awareness'!N18</f>
        <v>Major Positive Gap</v>
      </c>
    </row>
    <row r="89" s="207" customFormat="1" ht="30" spans="1:5">
      <c r="A89" s="241" t="str">
        <f>'self awareness'!B19</f>
        <v>Objective Self-Assessment
(menilai diri secara objektif)</v>
      </c>
      <c r="B89" s="241">
        <f>'self awareness'!I19</f>
        <v>5</v>
      </c>
      <c r="C89" s="241">
        <f>'self awareness'!K19</f>
        <v>3</v>
      </c>
      <c r="D89" s="241">
        <f>'self awareness'!M19</f>
        <v>2</v>
      </c>
      <c r="E89" s="257" t="str">
        <f>'self awareness'!N19</f>
        <v>Major Positive Gap</v>
      </c>
    </row>
    <row r="90" s="207" customFormat="1" ht="45" spans="1:5">
      <c r="A90" s="241" t="str">
        <f>'self awareness'!B20</f>
        <v>Awareness of Impact on Others
(memahami dampak perilaku terhadap orang lain)</v>
      </c>
      <c r="B90" s="241">
        <f>'self awareness'!I20</f>
        <v>1</v>
      </c>
      <c r="C90" s="241">
        <f>'self awareness'!K20</f>
        <v>4</v>
      </c>
      <c r="D90" s="241">
        <f>'self awareness'!M20</f>
        <v>-3</v>
      </c>
      <c r="E90" s="257" t="str">
        <f>'self awareness'!N20</f>
        <v>Major Negative Gap</v>
      </c>
    </row>
    <row r="91" s="207" customFormat="1" ht="45" spans="1:5">
      <c r="A91" s="241" t="str">
        <f>'self awareness'!B21</f>
        <v>Managing Emotions Effectively
(mengelola emosi secara matang)</v>
      </c>
      <c r="B91" s="241">
        <f>'self awareness'!I21</f>
        <v>2</v>
      </c>
      <c r="C91" s="241">
        <f>'self awareness'!K21</f>
        <v>5</v>
      </c>
      <c r="D91" s="241">
        <f>'self awareness'!M21</f>
        <v>-3</v>
      </c>
      <c r="E91" s="257" t="str">
        <f>'self awareness'!N21</f>
        <v>Major Negative Gap</v>
      </c>
    </row>
    <row r="92" s="207" customFormat="1" ht="60" spans="1:5">
      <c r="A92" s="241" t="str">
        <f>'self awareness'!B22</f>
        <v>Deep Pattern Recognition &amp; Bias Awareness
(refleksi diri mendalam &amp; autentik)</v>
      </c>
      <c r="B92" s="241">
        <f>'self awareness'!I22</f>
        <v>3</v>
      </c>
      <c r="C92" s="241">
        <f>'self awareness'!K22</f>
        <v>1</v>
      </c>
      <c r="D92" s="241">
        <f>'self awareness'!M22</f>
        <v>2</v>
      </c>
      <c r="E92" s="257" t="str">
        <f>'self awareness'!N22</f>
        <v>Major Positive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Samuel Eko Yulianto</v>
      </c>
    </row>
    <row r="3" spans="1:45">
      <c r="A3" s="83" t="str">
        <f>Identitas!B3</f>
        <v>Nama Atasan yang menilai</v>
      </c>
      <c r="B3" s="182" t="str">
        <f>Identitas!D3</f>
        <v>Agung Sedayu</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46043.6770023148</v>
      </c>
    </row>
    <row r="7" spans="1:45">
      <c r="A7" s="83" t="str">
        <f>Identitas!B7</f>
        <v>Unit</v>
      </c>
      <c r="B7" s="182" t="str">
        <f>Identitas!D7</f>
        <v>Internal Audit Quality Improvement</v>
      </c>
    </row>
    <row r="8" spans="1:45">
      <c r="A8" s="83" t="str">
        <f>Identitas!B8</f>
        <v>Departemen</v>
      </c>
      <c r="B8" s="182" t="str">
        <f>Identitas!D8</f>
        <v>Internal Audit &amp; Risk Management</v>
      </c>
    </row>
    <row r="9" spans="1:45">
      <c r="A9" s="83" t="str">
        <f>Identitas!B9</f>
        <v>Divisi</v>
      </c>
      <c r="B9" s="182">
        <f>Identitas!D9</f>
        <v>0</v>
      </c>
    </row>
    <row r="10" spans="1:45">
      <c r="A10" s="83" t="str">
        <f>Identitas!B10</f>
        <v>Direktorat</v>
      </c>
      <c r="B10" s="182" t="str">
        <f>Identitas!D10</f>
        <v>CEO Office</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1</v>
      </c>
      <c r="O13" s="85" t="str">
        <v>Tugas289</v>
      </c>
      <c r="P13" s="85" t="str">
        <v>Tujuan289</v>
      </c>
      <c r="Q13" s="85" t="str">
        <v>Instruksi289</v>
      </c>
      <c r="R13" s="85" t="str">
        <v>Output289</v>
      </c>
      <c r="S13" s="85" t="str">
        <v>Waktu289</v>
      </c>
      <c r="T13" s="85" t="str">
        <v>Monitoring289</v>
      </c>
      <c r="U13" s="85" t="str">
        <v>Standar kelulusan289</v>
      </c>
      <c r="V13" s="194">
        <f ca="1" t="array" ref="V13:AC13">IF($K13="","",IFERROR(INDEX('sheet template'!$F$2:$M$1009,_xlfn.AGGREGATE(15,6,(ROW('sheet template'!$A$2:$A$1009)-ROW('sheet template'!$A$2)+1)/('sheet template'!$A$2:$A$1009=$K13),RANDBETWEEN(1,3)),0),""))</f>
        <v>1</v>
      </c>
      <c r="W13" s="85" t="str">
        <v>Tugas292</v>
      </c>
      <c r="X13" s="85" t="str">
        <v>Tujuan292</v>
      </c>
      <c r="Y13" s="85" t="str">
        <v>Instruksi292</v>
      </c>
      <c r="Z13" s="85" t="str">
        <v>Output292</v>
      </c>
      <c r="AA13" s="85" t="str">
        <v>Waktu292</v>
      </c>
      <c r="AB13" s="85" t="str">
        <v>Monitoring292</v>
      </c>
      <c r="AC13" s="85" t="str">
        <v>Standar kelulusan292</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3</v>
      </c>
      <c r="O18" s="85" t="str">
        <v>Tugas363</v>
      </c>
      <c r="P18" s="85" t="str">
        <v>Tujuan363</v>
      </c>
      <c r="Q18" s="85" t="str">
        <v>Instruksi363</v>
      </c>
      <c r="R18" s="85" t="str">
        <v>Output363</v>
      </c>
      <c r="S18" s="85" t="str">
        <v>Waktu363</v>
      </c>
      <c r="T18" s="85" t="str">
        <v>Monitoring363</v>
      </c>
      <c r="U18" s="85" t="str">
        <v>Standar kelulusan363</v>
      </c>
      <c r="V18" s="194">
        <f ca="1" t="array" ref="V18:AC18">IF($K18="","",IFERROR(INDEX('sheet template'!$F$2:$M$1009,_xlfn.AGGREGATE(15,6,(ROW('sheet template'!$A$2:$A$1009)-ROW('sheet template'!$A$2)+1)/('sheet template'!$A$2:$A$1009=$K18),RANDBETWEEN(1,3)),0),""))</f>
        <v>3</v>
      </c>
      <c r="W18" s="85" t="str">
        <v>Tugas366</v>
      </c>
      <c r="X18" s="85" t="str">
        <v>Tujuan366</v>
      </c>
      <c r="Y18" s="85" t="str">
        <v>Instruksi366</v>
      </c>
      <c r="Z18" s="85" t="str">
        <v>Output366</v>
      </c>
      <c r="AA18" s="85" t="str">
        <v>Waktu366</v>
      </c>
      <c r="AB18" s="85" t="str">
        <v>Monitoring366</v>
      </c>
      <c r="AC18" s="85" t="str">
        <v>Standar kelulusan366</v>
      </c>
      <c r="AD18" s="194">
        <f ca="1" t="array" ref="AD18:AK18">IF($L18="","",IFERROR(INDEX('sheet template'!$F$2:$M$1009,_xlfn.AGGREGATE(15,6,(ROW('sheet template'!$A$2:$A$1009)-ROW('sheet template'!$A$2)+1)/('sheet template'!$A$2:$A$1009=$L18),RANDBETWEEN(1,3)),0),""))</f>
        <v>3</v>
      </c>
      <c r="AE18" s="85" t="str">
        <v>Tugas369</v>
      </c>
      <c r="AF18" s="85" t="str">
        <v>Tujuan369</v>
      </c>
      <c r="AG18" s="85" t="str">
        <v>Instruksi369</v>
      </c>
      <c r="AH18" s="85" t="str">
        <v>Output369</v>
      </c>
      <c r="AI18" s="85" t="str">
        <v>Waktu369</v>
      </c>
      <c r="AJ18" s="85" t="str">
        <v>Monitoring369</v>
      </c>
      <c r="AK18" s="85" t="str">
        <v>Standar kelulusan369</v>
      </c>
      <c r="AL18" s="194">
        <f ca="1" t="array" ref="AL18:AS18">IF($M18="","",IFERROR(INDEX('sheet template'!$F$2:$M$1009,_xlfn.AGGREGATE(15,6,(ROW('sheet template'!$A$2:$A$1009)-ROW('sheet template'!$A$2)+1)/('sheet template'!$A$2:$A$1009=$M18),RANDBETWEEN(1,3)),0),""))</f>
        <v>2</v>
      </c>
      <c r="AM18" s="85" t="str">
        <v>Tugas371</v>
      </c>
      <c r="AN18" s="85" t="str">
        <v>Tujuan371</v>
      </c>
      <c r="AO18" s="85" t="str">
        <v>Instruksi371</v>
      </c>
      <c r="AP18" s="85" t="str">
        <v>Output371</v>
      </c>
      <c r="AQ18" s="85" t="str">
        <v>Waktu371</v>
      </c>
      <c r="AR18" s="85" t="str">
        <v>Monitoring371</v>
      </c>
      <c r="AS18" s="85" t="str">
        <v>Standar kelulusan371</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3</v>
      </c>
      <c r="AE19" s="85" t="str">
        <v>Tugas441</v>
      </c>
      <c r="AF19" s="85" t="str">
        <v>Tujuan441</v>
      </c>
      <c r="AG19" s="85" t="str">
        <v>Instruksi441</v>
      </c>
      <c r="AH19" s="85" t="str">
        <v>Output441</v>
      </c>
      <c r="AI19" s="85" t="str">
        <v>Waktu441</v>
      </c>
      <c r="AJ19" s="85" t="str">
        <v>Monitoring441</v>
      </c>
      <c r="AK19" s="85" t="str">
        <v>Standar kelulusan441</v>
      </c>
      <c r="AL19" s="194">
        <f ca="1" t="array" ref="AL19:AS19">IF($M19="","",IFERROR(INDEX('sheet template'!$F$2:$M$1009,_xlfn.AGGREGATE(15,6,(ROW('sheet template'!$A$2:$A$1009)-ROW('sheet template'!$A$2)+1)/('sheet template'!$A$2:$A$1009=$M19),RANDBETWEEN(1,3)),0),""))</f>
        <v>3</v>
      </c>
      <c r="AM19" s="85" t="str">
        <v>Tugas444</v>
      </c>
      <c r="AN19" s="85" t="str">
        <v>Tujuan444</v>
      </c>
      <c r="AO19" s="85" t="str">
        <v>Instruksi444</v>
      </c>
      <c r="AP19" s="85" t="str">
        <v>Output444</v>
      </c>
      <c r="AQ19" s="85" t="str">
        <v>Waktu444</v>
      </c>
      <c r="AR19" s="85" t="str">
        <v>Monitoring444</v>
      </c>
      <c r="AS19" s="85" t="str">
        <v>Standar kelulusan444</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2</v>
      </c>
      <c r="O20" s="85" t="str">
        <v>Tugas506</v>
      </c>
      <c r="P20" s="85" t="str">
        <v>Tujuan506</v>
      </c>
      <c r="Q20" s="85" t="str">
        <v>Instruksi506</v>
      </c>
      <c r="R20" s="85" t="str">
        <v>Output506</v>
      </c>
      <c r="S20" s="85" t="str">
        <v>Waktu506</v>
      </c>
      <c r="T20" s="85" t="str">
        <v>Monitoring506</v>
      </c>
      <c r="U20" s="85" t="str">
        <v>Standar kelulusan506</v>
      </c>
      <c r="V20" s="194">
        <f ca="1" t="array" ref="V20:AC20">IF($K20="","",IFERROR(INDEX('sheet template'!$F$2:$M$1009,_xlfn.AGGREGATE(15,6,(ROW('sheet template'!$A$2:$A$1009)-ROW('sheet template'!$A$2)+1)/('sheet template'!$A$2:$A$1009=$K20),RANDBETWEEN(1,3)),0),""))</f>
        <v>3</v>
      </c>
      <c r="W20" s="85" t="str">
        <v>Tugas510</v>
      </c>
      <c r="X20" s="85" t="str">
        <v>Tujuan510</v>
      </c>
      <c r="Y20" s="85" t="str">
        <v>Instruksi510</v>
      </c>
      <c r="Z20" s="85" t="str">
        <v>Output510</v>
      </c>
      <c r="AA20" s="85" t="str">
        <v>Waktu510</v>
      </c>
      <c r="AB20" s="85" t="str">
        <v>Monitoring510</v>
      </c>
      <c r="AC20" s="85" t="str">
        <v>Standar kelulusan510</v>
      </c>
      <c r="AD20" s="194">
        <f ca="1" t="array" ref="AD20:AK20">IF($L20="","",IFERROR(INDEX('sheet template'!$F$2:$M$1009,_xlfn.AGGREGATE(15,6,(ROW('sheet template'!$A$2:$A$1009)-ROW('sheet template'!$A$2)+1)/('sheet template'!$A$2:$A$1009=$L20),RANDBETWEEN(1,3)),0),""))</f>
        <v>2</v>
      </c>
      <c r="AE20" s="85" t="str">
        <v>Tugas512</v>
      </c>
      <c r="AF20" s="85" t="str">
        <v>Tujuan512</v>
      </c>
      <c r="AG20" s="85" t="str">
        <v>Instruksi512</v>
      </c>
      <c r="AH20" s="85" t="str">
        <v>Output512</v>
      </c>
      <c r="AI20" s="85" t="str">
        <v>Waktu512</v>
      </c>
      <c r="AJ20" s="85" t="str">
        <v>Monitoring512</v>
      </c>
      <c r="AK20" s="85" t="str">
        <v>Standar kelulusan512</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1</v>
      </c>
      <c r="O22" s="85" t="str">
        <v>Jurnal "Pertanyaan Eksploratif" Harian</v>
      </c>
      <c r="P22" s="85" t="str">
        <v>Melatih kebiasaan mengajukan pertanyaan yang menggali lebih dalam tentang orang lain.</v>
      </c>
      <c r="Q22" s="85" t="str">
        <v>Setiap hari, dalam 1 interaksi dengan rekan kerja, ajukan 1 pertanyaan eksploratif di luar topik pekerjaan (contoh: "Apa yang membuatmu tertarik di bidang ini?", "Bagaimana pengalamanmu sebelumnya membentuk cara kerjamu sekarang?"). Catat pertanyaan dan responsnya.</v>
      </c>
      <c r="R22" s="85" t="str">
        <v>Jurnal minimal 30 pertanyaan eksploratif; refleksi tentang pola respons yang muncul.</v>
      </c>
      <c r="S22" s="85" t="str">
        <v>Bulan 1–12</v>
      </c>
      <c r="T22" s="85" t="str">
        <v>Per bulan</v>
      </c>
      <c r="U22" s="85" t="str">
        <v>Minimal 80% dari 30 pertanyaan mendapat respons yang menunjukkan elaborasi, contoh, atau informasi baru; 5 contoh direview mentor.</v>
      </c>
      <c r="V22" s="194">
        <f ca="1" t="array" ref="V22:AC22">IF($K22="","",IFERROR(INDEX('sheet template'!$F$2:$M$1009,_xlfn.AGGREGATE(15,6,(ROW('sheet template'!$A$2:$A$1009)-ROW('sheet template'!$A$2)+1)/('sheet template'!$A$2:$A$1009=$K22),RANDBETWEEN(1,3)),0),""))</f>
        <v>3</v>
      </c>
      <c r="W22" s="85" t="str">
        <v>Micro-learning "Cultural Intelligence &amp; Empathic Curiosity"</v>
      </c>
      <c r="X22" s="85" t="str">
        <v>Belajar tentang keragaman budaya dan bagaimana rasa ingin tahu yang tulus dapat menjembatani perbedaan.</v>
      </c>
      <c r="Y22" s="85" t="str">
        <v>Selesaikan modul online (2-3 jam) tentang cultural intelligence, menghindari asumsi, dan pendekatan curiositas dalam konteks lintas budaya.</v>
      </c>
      <c r="Z22" s="85" t="str">
        <v>Sertifikat; rencana aksi untuk menerapkan 3 prinsip dalam interaksi lintas tim.</v>
      </c>
      <c r="AA22" s="85" t="str">
        <v>Bulan 1–12</v>
      </c>
      <c r="AB22" s="85" t="str">
        <v>Per bulan</v>
      </c>
      <c r="AC22" s="85" t="str">
        <v>Minimal 3 prinsip diterapkan dalam interaksi lintas fungsi/budaya dan didukung oleh log penerapan atau feedback stakeholder.</v>
      </c>
      <c r="AD22" s="194">
        <f ca="1" t="array" ref="AD22:AK22">IF($L22="","",IFERROR(INDEX('sheet template'!$F$2:$M$1009,_xlfn.AGGREGATE(15,6,(ROW('sheet template'!$A$2:$A$1009)-ROW('sheet template'!$A$2)+1)/('sheet template'!$A$2:$A$1009=$L22),RANDBETWEEN(1,3)),0),""))</f>
        <v>3</v>
      </c>
      <c r="AE22" s="85" t="str">
        <v>Umpan Balik 360° tentang "Rasa Ingin Tahu"</v>
      </c>
      <c r="AF22" s="85" t="str">
        <v>Mengukur persepsi rekan tentang seberapa tulus rasa ingin tahu Anda.</v>
      </c>
      <c r="AG22" s="85" t="str">
        <v>Kuesioner: "Dia benar-benar tertarik memahami saya", "Pertanyaannya membuat saya merasa dihargai". Pre &amp; post dari 5 responden.</v>
      </c>
      <c r="AH22" s="85" t="str">
        <v>Dua laporan; target peningkatan rata-rata ≥1 poin.</v>
      </c>
      <c r="AI22" s="85" t="str">
        <v>Bulan 1–12</v>
      </c>
      <c r="AJ22" s="85" t="str">
        <v>Per bulan</v>
      </c>
      <c r="AK22" s="85" t="str">
        <v>Peningkatan rata-rata ≥1 poin.
Dokumentasi hasil pre dan post</v>
      </c>
      <c r="AL22" s="194">
        <f ca="1" t="array" ref="AL22:AS22">IF($M22="","",IFERROR(INDEX('sheet template'!$F$2:$M$1009,_xlfn.AGGREGATE(15,6,(ROW('sheet template'!$A$2:$A$1009)-ROW('sheet template'!$A$2)+1)/('sheet template'!$A$2:$A$1009=$M22),RANDBETWEEN(1,3)),0),""))</f>
        <v>3</v>
      </c>
      <c r="AM22" s="85" t="str">
        <v>Proyek "Memahami 1 Pengguna/Stakeholder Secara Mendalam"</v>
      </c>
      <c r="AN22" s="85" t="str">
        <v>Menerapkan rasa ingin tahu untuk memahami kebutuhan tersembunyi stakeholder.</v>
      </c>
      <c r="AO22" s="85" t="str">
        <v>Pilih 1 stakeholder internal yang sering berinteraksi. Lakukan 3 sesi wawancara mendalam (total 2-3 jam) untuk benar-benar memahami motivasi, tantangan, dan harapan mereka.</v>
      </c>
      <c r="AP22" s="85" t="str">
        <v>Laporan profil stakeholder; rekomendasi perbaikan hubungan kerja; umpan balik dari stakeholder.</v>
      </c>
      <c r="AQ22" s="85" t="str">
        <v>Bulan 1–12</v>
      </c>
      <c r="AR22" s="85" t="str">
        <v>Per bulan</v>
      </c>
      <c r="AS22" s="85" t="str">
        <v>Stakeholder memberi skor ≥4 untuk "saya merasa benar-benar dipahami";
minimal 1 rekomendasi perbaikan hubungan kerja disetujui untuk dicoba oleh atasan/stakeholder.</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2</v>
      </c>
      <c r="O44" s="85" t="str">
        <v>Tugas290</v>
      </c>
      <c r="P44" s="85" t="str">
        <v>Tujuan290</v>
      </c>
      <c r="Q44" s="85" t="str">
        <v>Instruksi290</v>
      </c>
      <c r="R44" s="85" t="str">
        <v>Output290</v>
      </c>
      <c r="S44" s="85" t="str">
        <v>Waktu290</v>
      </c>
      <c r="T44" s="85" t="str">
        <v>Monitoring290</v>
      </c>
      <c r="U44" s="85" t="str">
        <v>Standar kelulusan290</v>
      </c>
      <c r="V44" s="194">
        <f ca="1" t="array" ref="V44:AC44">IF($K44="","",IFERROR(INDEX('sheet template'!$F$2:$M$1009,_xlfn.AGGREGATE(15,6,(ROW('sheet template'!$A$2:$A$1009)-ROW('sheet template'!$A$2)+1)/('sheet template'!$A$2:$A$1009=$K44),RANDBETWEEN(1,COUNTIF('sheet template'!$A$2:$A$1009,$K44))),0),""))</f>
        <v>2</v>
      </c>
      <c r="W44" s="85" t="str">
        <v>Tugas293</v>
      </c>
      <c r="X44" s="85" t="str">
        <v>Tujuan293</v>
      </c>
      <c r="Y44" s="85" t="str">
        <v>Instruksi293</v>
      </c>
      <c r="Z44" s="85" t="str">
        <v>Output293</v>
      </c>
      <c r="AA44" s="85" t="str">
        <v>Waktu293</v>
      </c>
      <c r="AB44" s="85" t="str">
        <v>Monitoring293</v>
      </c>
      <c r="AC44" s="85" t="str">
        <v>Standar kelulusan293</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2</v>
      </c>
      <c r="O45" s="85" t="str">
        <v>Tugas2</v>
      </c>
      <c r="P45" s="85" t="str">
        <v>Tujuan2</v>
      </c>
      <c r="Q45" s="85" t="str">
        <v>Instruksi2</v>
      </c>
      <c r="R45" s="85" t="str">
        <v>Output2</v>
      </c>
      <c r="S45" s="85" t="str">
        <v>Waktu2</v>
      </c>
      <c r="T45" s="85" t="str">
        <v>Monitoring2</v>
      </c>
      <c r="U45" s="85" t="str">
        <v>Standar kelulusan2</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1</v>
      </c>
      <c r="AE45" s="85" t="str">
        <v>Tugas7</v>
      </c>
      <c r="AF45" s="85" t="str">
        <v>Tujuan7</v>
      </c>
      <c r="AG45" s="85" t="str">
        <v>Instruksi7</v>
      </c>
      <c r="AH45" s="85" t="str">
        <v>Output7</v>
      </c>
      <c r="AI45" s="85" t="str">
        <v>Waktu7</v>
      </c>
      <c r="AJ45" s="85" t="str">
        <v>Monitoring7</v>
      </c>
      <c r="AK45" s="85" t="str">
        <v>Standar kelulusan7</v>
      </c>
      <c r="AL45" s="194">
        <f ca="1" t="array" ref="AL45:AS45">IF($L45="","",IFERROR(INDEX('sheet template'!$F$2:$M$1009,_xlfn.AGGREGATE(15,6,(ROW('sheet template'!$A$2:$A$1009)-ROW('sheet template'!$A$2)+1)/('sheet template'!$A$2:$A$1009=$L45),RANDBETWEEN(1,COUNTIF('sheet template'!$A$2:$A$1009,$L45))),0),""))</f>
        <v>3</v>
      </c>
      <c r="AM45" s="85" t="str">
        <v>Tugas9</v>
      </c>
      <c r="AN45" s="85" t="str">
        <v>Tujuan9</v>
      </c>
      <c r="AO45" s="85" t="str">
        <v>Instruksi9</v>
      </c>
      <c r="AP45" s="85" t="str">
        <v>Output9</v>
      </c>
      <c r="AQ45" s="85" t="str">
        <v>Waktu9</v>
      </c>
      <c r="AR45" s="85" t="str">
        <v>Monitoring9</v>
      </c>
      <c r="AS45" s="85" t="str">
        <v>Standar kelulusan9</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1</v>
      </c>
      <c r="O46" s="85" t="str">
        <v>Tugas73</v>
      </c>
      <c r="P46" s="85" t="str">
        <v>Tujuan73</v>
      </c>
      <c r="Q46" s="85" t="str">
        <v>Instruksi73</v>
      </c>
      <c r="R46" s="85" t="str">
        <v>Output73</v>
      </c>
      <c r="S46" s="85" t="str">
        <v>Waktu73</v>
      </c>
      <c r="T46" s="85" t="str">
        <v>Monitoring73</v>
      </c>
      <c r="U46" s="85" t="str">
        <v>Standar kelulusan73</v>
      </c>
      <c r="V46" s="194">
        <f ca="1" t="array" ref="V46:AC46">IF($J46="","",IFERROR(INDEX('sheet template'!$F$2:$M$1009,_xlfn.AGGREGATE(15,6,(ROW('sheet template'!$A$2:$A$1009)-ROW('sheet template'!$A$2)+1)/('sheet template'!$A$2:$A$1009=$J46),RANDBETWEEN(1,COUNTIF('sheet template'!$A$2:$A$1009,$J46))),0),""))</f>
        <v>1</v>
      </c>
      <c r="W46" s="85" t="str">
        <v>Tugas73</v>
      </c>
      <c r="X46" s="85" t="str">
        <v>Tujuan73</v>
      </c>
      <c r="Y46" s="85" t="str">
        <v>Instruksi73</v>
      </c>
      <c r="Z46" s="85" t="str">
        <v>Output73</v>
      </c>
      <c r="AA46" s="85" t="str">
        <v>Waktu73</v>
      </c>
      <c r="AB46" s="85" t="str">
        <v>Monitoring73</v>
      </c>
      <c r="AC46" s="85" t="str">
        <v>Standar kelulusan73</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2</v>
      </c>
      <c r="AM46" s="85" t="str">
        <v>Tugas80</v>
      </c>
      <c r="AN46" s="85" t="str">
        <v>Tujuan80</v>
      </c>
      <c r="AO46" s="85" t="str">
        <v>Instruksi80</v>
      </c>
      <c r="AP46" s="85" t="str">
        <v>Output80</v>
      </c>
      <c r="AQ46" s="85" t="str">
        <v>Waktu80</v>
      </c>
      <c r="AR46" s="85" t="str">
        <v>Monitoring80</v>
      </c>
      <c r="AS46" s="85" t="str">
        <v>Standar kelulusan80</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1</v>
      </c>
      <c r="W47" s="85" t="str">
        <v>Tugas145</v>
      </c>
      <c r="X47" s="85" t="str">
        <v>Tujuan145</v>
      </c>
      <c r="Y47" s="85" t="str">
        <v>Instruksi145</v>
      </c>
      <c r="Z47" s="85" t="str">
        <v>Output145</v>
      </c>
      <c r="AA47" s="85" t="str">
        <v>Waktu145</v>
      </c>
      <c r="AB47" s="85" t="str">
        <v>Monitoring145</v>
      </c>
      <c r="AC47" s="85" t="str">
        <v>Standar kelulusan145</v>
      </c>
      <c r="AD47" s="194">
        <f ca="1" t="array" ref="AD47:AK47">IF($L47="","",IFERROR(INDEX('sheet template'!$F$2:$M$1009,_xlfn.AGGREGATE(15,6,(ROW('sheet template'!$A$2:$A$1009)-ROW('sheet template'!$A$2)+1)/('sheet template'!$A$2:$A$1009=$L47),RANDBETWEEN(1,COUNTIF('sheet template'!$A$2:$A$1009,$L47))),0),""))</f>
        <v>1</v>
      </c>
      <c r="AE47" s="85" t="str">
        <v>Tugas151</v>
      </c>
      <c r="AF47" s="85" t="str">
        <v>Tujuan151</v>
      </c>
      <c r="AG47" s="85" t="str">
        <v>Instruksi151</v>
      </c>
      <c r="AH47" s="85" t="str">
        <v>Output151</v>
      </c>
      <c r="AI47" s="85" t="str">
        <v>Waktu151</v>
      </c>
      <c r="AJ47" s="85" t="str">
        <v>Monitoring151</v>
      </c>
      <c r="AK47" s="85" t="str">
        <v>Standar kelulusan151</v>
      </c>
      <c r="AL47" s="194">
        <f ca="1" t="array" ref="AL47:AS47">IF($L47="","",IFERROR(INDEX('sheet template'!$F$2:$M$1009,_xlfn.AGGREGATE(15,6,(ROW('sheet template'!$A$2:$A$1009)-ROW('sheet template'!$A$2)+1)/('sheet template'!$A$2:$A$1009=$L47),RANDBETWEEN(1,COUNTIF('sheet template'!$A$2:$A$1009,$L47))),0),""))</f>
        <v>2</v>
      </c>
      <c r="AM47" s="85" t="str">
        <v>Tugas152</v>
      </c>
      <c r="AN47" s="85" t="str">
        <v>Tujuan152</v>
      </c>
      <c r="AO47" s="85" t="str">
        <v>Instruksi152</v>
      </c>
      <c r="AP47" s="85" t="str">
        <v>Output152</v>
      </c>
      <c r="AQ47" s="85" t="str">
        <v>Waktu152</v>
      </c>
      <c r="AR47" s="85" t="str">
        <v>Monitoring152</v>
      </c>
      <c r="AS47" s="85" t="str">
        <v>Standar kelulusan152</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1</v>
      </c>
      <c r="W49" s="85" t="str">
        <v>Tugas361</v>
      </c>
      <c r="X49" s="85" t="str">
        <v>Tujuan361</v>
      </c>
      <c r="Y49" s="85" t="str">
        <v>Instruksi361</v>
      </c>
      <c r="Z49" s="85" t="str">
        <v>Output361</v>
      </c>
      <c r="AA49" s="85" t="str">
        <v>Waktu361</v>
      </c>
      <c r="AB49" s="85" t="str">
        <v>Monitoring361</v>
      </c>
      <c r="AC49" s="85" t="str">
        <v>Standar kelulusan361</v>
      </c>
      <c r="AD49" s="194">
        <f ca="1" t="array" ref="AD49:AK49">IF($L49="","",IFERROR(INDEX('sheet template'!$F$2:$M$1009,_xlfn.AGGREGATE(15,6,(ROW('sheet template'!$A$2:$A$1009)-ROW('sheet template'!$A$2)+1)/('sheet template'!$A$2:$A$1009=$L49),RANDBETWEEN(1,COUNTIF('sheet template'!$A$2:$A$1009,$L49))),0),""))</f>
        <v>3</v>
      </c>
      <c r="AE49" s="85" t="str">
        <v>Tugas369</v>
      </c>
      <c r="AF49" s="85" t="str">
        <v>Tujuan369</v>
      </c>
      <c r="AG49" s="85" t="str">
        <v>Instruksi369</v>
      </c>
      <c r="AH49" s="85" t="str">
        <v>Output369</v>
      </c>
      <c r="AI49" s="85" t="str">
        <v>Waktu369</v>
      </c>
      <c r="AJ49" s="85" t="str">
        <v>Monitoring369</v>
      </c>
      <c r="AK49" s="85" t="str">
        <v>Standar kelulusan369</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3</v>
      </c>
      <c r="O50" s="85" t="str">
        <v>Tugas435</v>
      </c>
      <c r="P50" s="85" t="str">
        <v>Tujuan435</v>
      </c>
      <c r="Q50" s="85" t="str">
        <v>Instruksi435</v>
      </c>
      <c r="R50" s="85" t="str">
        <v>Output435</v>
      </c>
      <c r="S50" s="85" t="str">
        <v>Waktu435</v>
      </c>
      <c r="T50" s="85" t="str">
        <v>Monitoring435</v>
      </c>
      <c r="U50" s="85" t="str">
        <v>Standar kelulusan435</v>
      </c>
      <c r="V50" s="194">
        <f ca="1" t="array" ref="V50:AC50">IF($J50="","",IFERROR(INDEX('sheet template'!$F$2:$M$1009,_xlfn.AGGREGATE(15,6,(ROW('sheet template'!$A$2:$A$1009)-ROW('sheet template'!$A$2)+1)/('sheet template'!$A$2:$A$1009=$J50),RANDBETWEEN(1,COUNTIF('sheet template'!$A$2:$A$1009,$J50))),0),""))</f>
        <v>2</v>
      </c>
      <c r="W50" s="85" t="str">
        <v>Tugas434</v>
      </c>
      <c r="X50" s="85" t="str">
        <v>Tujuan434</v>
      </c>
      <c r="Y50" s="85" t="str">
        <v>Instruksi434</v>
      </c>
      <c r="Z50" s="85" t="str">
        <v>Output434</v>
      </c>
      <c r="AA50" s="85" t="str">
        <v>Waktu434</v>
      </c>
      <c r="AB50" s="85" t="str">
        <v>Monitoring434</v>
      </c>
      <c r="AC50" s="85" t="str">
        <v>Standar kelulusan434</v>
      </c>
      <c r="AD50" s="194">
        <f ca="1" t="array" ref="AD50:AK50">IF($L50="","",IFERROR(INDEX('sheet template'!$F$2:$M$1009,_xlfn.AGGREGATE(15,6,(ROW('sheet template'!$A$2:$A$1009)-ROW('sheet template'!$A$2)+1)/('sheet template'!$A$2:$A$1009=$L50),RANDBETWEEN(1,COUNTIF('sheet template'!$A$2:$A$1009,$L50))),0),""))</f>
        <v>2</v>
      </c>
      <c r="AE50" s="85" t="str">
        <v>Tugas440</v>
      </c>
      <c r="AF50" s="85" t="str">
        <v>Tujuan440</v>
      </c>
      <c r="AG50" s="85" t="str">
        <v>Instruksi440</v>
      </c>
      <c r="AH50" s="85" t="str">
        <v>Output440</v>
      </c>
      <c r="AI50" s="85" t="str">
        <v>Waktu440</v>
      </c>
      <c r="AJ50" s="85" t="str">
        <v>Monitoring440</v>
      </c>
      <c r="AK50" s="85" t="str">
        <v>Standar kelulusan440</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3</v>
      </c>
      <c r="O51" s="85" t="str">
        <v>Tugas507</v>
      </c>
      <c r="P51" s="85" t="str">
        <v>Tujuan507</v>
      </c>
      <c r="Q51" s="85" t="str">
        <v>Instruksi507</v>
      </c>
      <c r="R51" s="85" t="str">
        <v>Output507</v>
      </c>
      <c r="S51" s="85" t="str">
        <v>Waktu507</v>
      </c>
      <c r="T51" s="85" t="str">
        <v>Monitoring507</v>
      </c>
      <c r="U51" s="85" t="str">
        <v>Standar kelulusan507</v>
      </c>
      <c r="V51" s="194">
        <f ca="1" t="array" ref="V51:AC51">IF($J51="","",IFERROR(INDEX('sheet template'!$F$2:$M$1009,_xlfn.AGGREGATE(15,6,(ROW('sheet template'!$A$2:$A$1009)-ROW('sheet template'!$A$2)+1)/('sheet template'!$A$2:$A$1009=$J51),RANDBETWEEN(1,COUNTIF('sheet template'!$A$2:$A$1009,$J51))),0),""))</f>
        <v>1</v>
      </c>
      <c r="W51" s="85" t="str">
        <v>Tugas505</v>
      </c>
      <c r="X51" s="85" t="str">
        <v>Tujuan505</v>
      </c>
      <c r="Y51" s="85" t="str">
        <v>Instruksi505</v>
      </c>
      <c r="Z51" s="85" t="str">
        <v>Output505</v>
      </c>
      <c r="AA51" s="85" t="str">
        <v>Waktu505</v>
      </c>
      <c r="AB51" s="85" t="str">
        <v>Monitoring505</v>
      </c>
      <c r="AC51" s="85" t="str">
        <v>Standar kelulusan505</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2</v>
      </c>
      <c r="AM51" s="85" t="str">
        <v>Tugas512</v>
      </c>
      <c r="AN51" s="85" t="str">
        <v>Tujuan512</v>
      </c>
      <c r="AO51" s="85" t="str">
        <v>Instruksi512</v>
      </c>
      <c r="AP51" s="85" t="str">
        <v>Output512</v>
      </c>
      <c r="AQ51" s="85" t="str">
        <v>Waktu512</v>
      </c>
      <c r="AR51" s="85" t="str">
        <v>Monitoring512</v>
      </c>
      <c r="AS51" s="85" t="str">
        <v>Standar kelulusan512</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3</v>
      </c>
      <c r="O52" s="85" t="str">
        <v>Tugas579</v>
      </c>
      <c r="P52" s="85" t="str">
        <v>Tujuan579</v>
      </c>
      <c r="Q52" s="85" t="str">
        <v>Instruksi579</v>
      </c>
      <c r="R52" s="85" t="str">
        <v>Output579</v>
      </c>
      <c r="S52" s="85" t="str">
        <v>Waktu579</v>
      </c>
      <c r="T52" s="85" t="str">
        <v>Monitoring579</v>
      </c>
      <c r="U52" s="85" t="str">
        <v>Standar kelulusan579</v>
      </c>
      <c r="V52" s="194">
        <f ca="1" t="array" ref="V52:AC52">IF($J52="","",IFERROR(INDEX('sheet template'!$F$2:$M$1009,_xlfn.AGGREGATE(15,6,(ROW('sheet template'!$A$2:$A$1009)-ROW('sheet template'!$A$2)+1)/('sheet template'!$A$2:$A$1009=$J52),RANDBETWEEN(1,COUNTIF('sheet template'!$A$2:$A$1009,$J52))),0),""))</f>
        <v>1</v>
      </c>
      <c r="W52" s="85" t="str">
        <v>Tugas577</v>
      </c>
      <c r="X52" s="85" t="str">
        <v>Tujuan577</v>
      </c>
      <c r="Y52" s="85" t="str">
        <v>Instruksi577</v>
      </c>
      <c r="Z52" s="85" t="str">
        <v>Output577</v>
      </c>
      <c r="AA52" s="85" t="str">
        <v>Waktu577</v>
      </c>
      <c r="AB52" s="85" t="str">
        <v>Monitoring577</v>
      </c>
      <c r="AC52" s="85" t="str">
        <v>Standar kelulusan577</v>
      </c>
      <c r="AD52" s="194">
        <f ca="1" t="array" ref="AD52:AK52">IF($L52="","",IFERROR(INDEX('sheet template'!$F$2:$M$1009,_xlfn.AGGREGATE(15,6,(ROW('sheet template'!$A$2:$A$1009)-ROW('sheet template'!$A$2)+1)/('sheet template'!$A$2:$A$1009=$L52),RANDBETWEEN(1,COUNTIF('sheet template'!$A$2:$A$1009,$L52))),0),""))</f>
        <v>2</v>
      </c>
      <c r="AE52" s="85" t="str">
        <v>Tugas584</v>
      </c>
      <c r="AF52" s="85" t="str">
        <v>Tujuan584</v>
      </c>
      <c r="AG52" s="85" t="str">
        <v>Instruksi584</v>
      </c>
      <c r="AH52" s="85" t="str">
        <v>Output584</v>
      </c>
      <c r="AI52" s="85" t="str">
        <v>Waktu584</v>
      </c>
      <c r="AJ52" s="85" t="str">
        <v>Monitoring584</v>
      </c>
      <c r="AK52" s="85" t="str">
        <v>Standar kelulusan584</v>
      </c>
      <c r="AL52" s="194">
        <f ca="1" t="array" ref="AL52:AS52">IF($L52="","",IFERROR(INDEX('sheet template'!$F$2:$M$1009,_xlfn.AGGREGATE(15,6,(ROW('sheet template'!$A$2:$A$1009)-ROW('sheet template'!$A$2)+1)/('sheet template'!$A$2:$A$1009=$L52),RANDBETWEEN(1,COUNTIF('sheet template'!$A$2:$A$1009,$L52))),0),""))</f>
        <v>1</v>
      </c>
      <c r="AM52" s="85" t="str">
        <v>Tugas583</v>
      </c>
      <c r="AN52" s="85" t="str">
        <v>Tujuan583</v>
      </c>
      <c r="AO52" s="85" t="str">
        <v>Instruksi583</v>
      </c>
      <c r="AP52" s="85" t="str">
        <v>Output583</v>
      </c>
      <c r="AQ52" s="85" t="str">
        <v>Waktu583</v>
      </c>
      <c r="AR52" s="85" t="str">
        <v>Monitoring583</v>
      </c>
      <c r="AS52" s="85" t="str">
        <v>Standar kelulusan583</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2</v>
      </c>
      <c r="O53" s="85" t="str">
        <v>Latihan "Menahan Diri dari Memberi Solusi"</v>
      </c>
      <c r="P53" s="85" t="str">
        <v>Membangun kebiasaan mendengar dan bertanya, bukan langsung memberi solusi.</v>
      </c>
      <c r="Q53" s="85" t="str">
        <v>Dalam setiap percakapan dengan rekan yang sedang bercerita tentang masalahnya, tahan keinginan untuk memberi solusi. Sebaliknya, ajukan 3 pertanyaan eksploratif sebelum merespons. Catat keberhasilan.</v>
      </c>
      <c r="R53" s="85" t="str">
        <v>Log 30 percakapan; rasio bertanya vs memberi solusi; target rasio bertanya:solusi ≥3:1</v>
      </c>
      <c r="S53" s="85" t="str">
        <v>Bulan 1–12</v>
      </c>
      <c r="T53" s="85" t="str">
        <v>Per bulan</v>
      </c>
      <c r="U53" s="85" t="str">
        <v>Rasio bertanya:solusi ≥3:1 di akhir bulan ke-3.
Review log oleh mentor</v>
      </c>
      <c r="V53" s="194">
        <f ca="1" t="array" ref="V53:AC53">IF($J53="","",IFERROR(INDEX('sheet template'!$F$2:$M$1009,_xlfn.AGGREGATE(15,6,(ROW('sheet template'!$A$2:$A$1009)-ROW('sheet template'!$A$2)+1)/('sheet template'!$A$2:$A$1009=$J53),RANDBETWEEN(1,COUNTIF('sheet template'!$A$2:$A$1009,$J53))),0),""))</f>
        <v>1</v>
      </c>
      <c r="W53" s="85" t="str">
        <v>Jurnal "Pertanyaan Eksploratif" Harian</v>
      </c>
      <c r="X53" s="85" t="str">
        <v>Melatih kebiasaan mengajukan pertanyaan yang menggali lebih dalam tentang orang lain.</v>
      </c>
      <c r="Y53" s="85" t="str">
        <v>Setiap hari, dalam 1 interaksi dengan rekan kerja, ajukan 1 pertanyaan eksploratif di luar topik pekerjaan (contoh: "Apa yang membuatmu tertarik di bidang ini?", "Bagaimana pengalamanmu sebelumnya membentuk cara kerjamu sekarang?"). Catat pertanyaan dan responsnya.</v>
      </c>
      <c r="Z53" s="85" t="str">
        <v>Jurnal minimal 30 pertanyaan eksploratif; refleksi tentang pola respons yang muncul.</v>
      </c>
      <c r="AA53" s="85" t="str">
        <v>Bulan 1–12</v>
      </c>
      <c r="AB53" s="85" t="str">
        <v>Per bulan</v>
      </c>
      <c r="AC53" s="85" t="str">
        <v>Minimal 80% dari 30 pertanyaan mendapat respons yang menunjukkan elaborasi, contoh, atau informasi baru; 5 contoh direview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2</v>
      </c>
      <c r="AM53" s="85" t="str">
        <v>"Shadowing Curiosity" – Mengamati Atasan dalam 2 Interaksi</v>
      </c>
      <c r="AN53" s="85" t="str">
        <v>Belajar bagaimana pemimpin senior menunjukkan rasa ingin tahu yang tulus dalam praktik.</v>
      </c>
      <c r="AO53" s="85" t="str">
        <v>Minta izin atasan untuk mengamati 2 interaksi (rapat, one-on-one, atau negosiasi). Catat pertanyaan yang diajukan, bahasa tubuh, dan bagaimana ia menggali lebih dalam.</v>
      </c>
      <c r="AP53" s="85" t="str">
        <v>2 laporan observasi; daftar 5 pertanyaan efektif yang akan diadopsi.</v>
      </c>
      <c r="AQ53" s="85" t="str">
        <v>Bulan 1–12</v>
      </c>
      <c r="AR53" s="85" t="str">
        <v>Per bulan</v>
      </c>
      <c r="AS53" s="85" t="str">
        <v>Minimal 3 pertanyaan hasil shadowing digunakan dalam percakapan nyata dan menghasilkan insight baru yang terdokumentasi.</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Samuel Eko Yulianto</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Samuel Eko Yulianto</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Samuel Eko Yulianto</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Samuel Eko Yulianto</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36E230CCB53B480B8645E2D51AD19CFF_12</vt:lpwstr>
  </property>
  <property fmtid="{D5CDD505-2E9C-101B-9397-08002B2CF9AE}" pid="5" name="KSOProductBuildVer">
    <vt:lpwstr>1033-12.1.0.28485</vt:lpwstr>
  </property>
  <property fmtid="{D5CDD505-2E9C-101B-9397-08002B2CF9AE}" pid="6" name="CalculationRule">
    <vt:i4>0</vt:i4>
  </property>
</Properties>
</file>