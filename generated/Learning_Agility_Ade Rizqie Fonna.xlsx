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15ac="http://schemas.microsoft.com/office/spreadsheetml/2010/11/ac" mc:Ignorable="x15 xr xr6 xr10 xr2">
  <fileVersion appName="xl" lastEdited="7" lowestEdited="7" rupBuild="24026"/>
  <workbookPr/>
  <mc:AlternateContent>
    <mc:Choice Requires="x15">
      <x15ac:absPath url="https://d.docs.live.net/90b1a89cacbbf6c9/Documents/Desktop/learning/data/master/"/>
    </mc:Choice>
  </mc:AlternateContent>
  <xr:revisionPtr revIDLastSave="6" documentId="8_{960D2393-997A-4C4C-AE1E-2F5EAB91C8D5}" xr6:coauthVersionLast="47" xr6:coauthVersionMax="47" xr10:uidLastSave="{246BCE75-84C3-4EF7-88FB-9DDCDDE8034F}"/>
  <bookViews>
    <workbookView xWindow="-110" yWindow="-110" windowWidth="19420" windowHeight="11020" tabRatio="882" activeTab="4"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intepretasi KxLA" sheetId="36" r:id="rId9"/>
    <sheet name="sheet template" sheetId="19" r:id="rId10"/>
    <sheet name="calc" sheetId="30" state="hidden" r:id="rId11"/>
    <sheet name="aktivitas pengembangan." sheetId="27" r:id="rId12"/>
    <sheet name="Monitoring pengembangan" sheetId="31" r:id="rId13"/>
    <sheet name="list" sheetId="33" state="hidden" r:id="rId14"/>
    <sheet name="aspek" sheetId="34" state="hidden" r:id="rId15"/>
    <sheet name="deskripsi" sheetId="32" state="hidden" r:id="rId16"/>
    <sheet name="kamus perilaku" sheetId="35" state="hidden" r:id="rId17"/>
    <sheet name="Hasil Perilaku" sheetId="23" r:id="rId18"/>
    <sheet name="Form Penilaian Presentasi" sheetId="22" r:id="rId19"/>
    <sheet name="Dashboard" sheetId="37" r:id="rId20"/>
    <sheet name="panduan" sheetId="17" r:id="rId21"/>
  </sheets>
  <definedNames>
    <definedName name="_xlnm._FilterDatabase" localSheetId="12" hidden="1">'Monitoring pengembangan'!$A$14:$R$39</definedName>
    <definedName name="_xlnm._FilterDatabase" localSheetId="9" hidden="1">'sheet template'!$A$1:$N$1009</definedName>
  </definedNames>
  <calcPr calcId="191028" fullCalcOnLoad="1"/>
  <extLst>
    <ext uri="{140A7094-0E35-4892-8432-C4D2E57EDEB5}">
      <x15:workbookPr chartTrackingRefBase="1"/>
    </ext>
  </extLst>
</workbook>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<sst xmlns="http://schemas.openxmlformats.org/spreadsheetml/2006/main" count="14555" uniqueCount="7544">
  <si>
    <t xml:space="preserve">Nama </t>
  </si>
  <si>
    <t>:</t>
  </si>
  <si>
    <t>Nama Atasan yang menilai</t>
  </si>
  <si>
    <t>Level Saat Ini</t>
  </si>
  <si>
    <t>Officer</t>
  </si>
  <si>
    <t>Level Tujuan</t>
  </si>
  <si>
    <t>Analyst</t>
  </si>
  <si>
    <t>Tanggal Assesment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</si>
  <si>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</si>
  <si>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</si>
  <si>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</si>
  <si>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</si>
  <si>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</si>
  <si>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</si>
  <si>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</si>
  <si>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</si>
  <si>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</si>
  <si>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</si>
  <si>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</si>
  <si>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</si>
  <si>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</si>
  <si>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</si>
  <si>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</si>
  <si>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</si>
  <si>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</si>
  <si>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</si>
  <si>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</si>
  <si>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</si>
  <si>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</si>
  <si>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</si>
  <si>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</si>
  <si>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</si>
  <si>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</si>
  <si>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</si>
  <si>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</si>
  <si>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</si>
  <si>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</si>
  <si>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</si>
  <si>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</si>
  <si>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</si>
  <si>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</si>
  <si>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</si>
  <si>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</si>
  <si>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</si>
  <si>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</si>
  <si>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</si>
  <si>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</si>
  <si>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</si>
  <si>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</si>
  <si>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</si>
  <si>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</si>
  <si>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</si>
  <si>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</si>
  <si>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</si>
  <si>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</si>
  <si>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</si>
  <si>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</si>
  <si>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</si>
  <si>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</si>
  <si>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</si>
  <si>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</si>
  <si>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</si>
  <si>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</si>
  <si>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</si>
  <si>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</si>
  <si>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</si>
  <si>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</si>
  <si>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</si>
  <si>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</si>
  <si>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</si>
  <si>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</si>
  <si>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</si>
  <si>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</si>
  <si>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</si>
  <si>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</si>
  <si>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</si>
  <si>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</si>
  <si>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</si>
  <si>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</si>
  <si>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</si>
  <si>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</si>
  <si>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</si>
  <si>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</si>
  <si>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</si>
  <si>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</si>
  <si>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</si>
  <si>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</si>
  <si>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</si>
  <si>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</si>
  <si>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</si>
  <si>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</si>
  <si>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</si>
  <si>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</si>
  <si>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</si>
  <si>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</si>
  <si>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</si>
  <si>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</si>
  <si>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</si>
  <si>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</si>
  <si>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</si>
  <si>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</si>
  <si>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</si>
  <si>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</si>
  <si>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</si>
  <si>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</si>
  <si>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</si>
  <si>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</si>
  <si>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</si>
  <si>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</si>
  <si>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</si>
  <si>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</si>
  <si>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</si>
  <si>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</si>
  <si>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</si>
  <si>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</si>
  <si>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</si>
  <si>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</si>
  <si>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</si>
  <si>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</si>
  <si>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</si>
  <si>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</si>
  <si>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</si>
  <si>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</si>
  <si>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</si>
  <si>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</si>
  <si>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</si>
  <si>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</si>
  <si>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</si>
  <si>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</si>
  <si>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</si>
  <si>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</si>
  <si>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</si>
  <si>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</si>
  <si>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</si>
  <si>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</si>
  <si>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</si>
  <si>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</si>
  <si>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</si>
  <si>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</si>
  <si>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</si>
  <si>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</si>
  <si>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</si>
  <si>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</si>
  <si>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</si>
  <si>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</si>
  <si>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</si>
  <si>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</si>
  <si>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</si>
  <si>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</si>
  <si>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</si>
  <si>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</si>
  <si>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</si>
  <si>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</si>
  <si>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</si>
  <si>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</si>
  <si>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</si>
  <si>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</si>
  <si>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</si>
  <si>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</si>
  <si>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</si>
  <si>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</si>
  <si>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</si>
  <si>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</si>
  <si>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</si>
  <si>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</si>
  <si>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</si>
  <si>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</si>
  <si>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</si>
  <si>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</si>
  <si>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</si>
  <si>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</si>
  <si>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</si>
  <si>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</si>
  <si>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</si>
  <si>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</si>
  <si>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</si>
  <si>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</si>
  <si>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</si>
  <si>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</si>
  <si>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</si>
  <si>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</si>
  <si>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</si>
  <si>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</si>
  <si>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</si>
  <si>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</si>
  <si>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</si>
  <si>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</si>
  <si>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</si>
  <si>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</si>
  <si>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</si>
  <si>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</si>
  <si>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</si>
  <si>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</si>
  <si>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</si>
  <si>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</si>
  <si>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</si>
  <si>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</si>
  <si>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</si>
  <si>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</si>
  <si>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</si>
  <si>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</si>
  <si>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</si>
  <si>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</si>
  <si>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</si>
  <si>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</si>
  <si>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</si>
  <si>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</si>
  <si>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</si>
  <si>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</si>
  <si>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</si>
  <si>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</si>
  <si>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</si>
  <si>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</si>
  <si>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</si>
  <si>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</si>
  <si>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</si>
  <si>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</si>
  <si>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</si>
  <si>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</si>
  <si>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</si>
  <si>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</si>
  <si>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</si>
  <si>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</si>
  <si>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</si>
  <si>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</si>
  <si>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</si>
  <si>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</si>
  <si>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</si>
  <si>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</si>
  <si>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</si>
  <si>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</si>
  <si>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</si>
  <si>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</si>
  <si>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</si>
  <si>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</si>
  <si>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</si>
  <si>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</si>
  <si>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</si>
  <si>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</si>
  <si>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</si>
  <si>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</si>
  <si>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</si>
  <si>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</si>
  <si>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</si>
  <si>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</si>
  <si>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</si>
  <si>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</si>
  <si>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</si>
  <si>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</si>
  <si>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</si>
  <si>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</si>
  <si>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</si>
  <si>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</si>
  <si>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</si>
  <si>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</si>
  <si>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</si>
  <si>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</si>
  <si>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</si>
  <si>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</si>
  <si>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</si>
  <si>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</si>
  <si>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</si>
  <si>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</si>
  <si>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</si>
  <si>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</si>
  <si>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</si>
  <si>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</si>
  <si>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</si>
  <si>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</si>
  <si>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</si>
  <si>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</si>
  <si>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</si>
  <si>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</si>
  <si>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</si>
  <si>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</si>
  <si>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</si>
  <si>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</si>
  <si>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</si>
  <si>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</si>
  <si>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</si>
  <si>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</si>
  <si>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</si>
  <si>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</si>
  <si>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</si>
  <si>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</si>
  <si>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</si>
  <si>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</si>
  <si>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</si>
  <si>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</si>
  <si>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</si>
  <si>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</si>
  <si>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</si>
  <si>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</si>
  <si>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</si>
  <si>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</si>
  <si>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</si>
  <si>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</si>
  <si>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</si>
  <si>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</si>
  <si>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</si>
  <si>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</si>
  <si>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</si>
  <si>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</si>
  <si>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</si>
  <si>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</si>
  <si>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</si>
  <si>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</si>
  <si>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</si>
  <si>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</si>
  <si>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</si>
  <si>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</si>
  <si>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</si>
  <si>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</si>
  <si>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</si>
  <si>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</si>
  <si>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</si>
  <si>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</si>
  <si>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</si>
  <si>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</si>
  <si>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</si>
  <si>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</si>
  <si>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</si>
  <si>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</si>
  <si>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</si>
  <si>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</si>
  <si>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</si>
  <si>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</si>
  <si>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</si>
  <si>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</si>
  <si>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</si>
  <si>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</si>
  <si>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</si>
  <si>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</si>
  <si>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</si>
  <si>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</si>
  <si>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</si>
  <si>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</si>
  <si>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</si>
  <si>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</si>
  <si>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</si>
  <si>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</si>
  <si>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</si>
  <si>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</si>
  <si>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</si>
  <si>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</si>
  <si>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</si>
  <si>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</si>
  <si>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</si>
  <si>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</si>
  <si>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</si>
  <si>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</si>
  <si>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</si>
  <si>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</si>
  <si>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</si>
  <si>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</si>
  <si>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</si>
  <si>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</si>
  <si>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</si>
  <si>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</si>
  <si>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</si>
  <si>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</si>
  <si>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</si>
  <si>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</si>
  <si>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</si>
  <si>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</si>
  <si>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</si>
  <si>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</si>
  <si>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</si>
  <si>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</si>
  <si>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</si>
  <si>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</si>
  <si>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</si>
  <si>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</si>
  <si>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</si>
  <si>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</si>
  <si>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</si>
  <si>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</si>
  <si>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</si>
  <si>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</si>
  <si>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</si>
  <si>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</si>
  <si>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</si>
  <si>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</si>
  <si>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</si>
  <si>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</si>
  <si>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</si>
  <si>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</si>
  <si>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</si>
  <si>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</si>
  <si>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</si>
  <si>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</si>
  <si>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</si>
  <si>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</si>
  <si>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</si>
  <si>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</si>
  <si>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</si>
  <si>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</si>
  <si>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</si>
  <si>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</si>
  <si>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</si>
  <si>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</si>
  <si>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</si>
  <si>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</si>
  <si>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</si>
  <si>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</si>
  <si>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</si>
  <si>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</si>
  <si>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</si>
  <si>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</si>
  <si>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</si>
  <si>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</si>
  <si>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</si>
  <si>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</si>
  <si>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</si>
  <si>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</si>
  <si>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</si>
  <si>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</si>
  <si>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</si>
  <si>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</si>
  <si>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</si>
  <si>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</si>
  <si>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</si>
  <si>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</si>
  <si>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</si>
  <si>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</si>
  <si>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</si>
  <si>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</si>
  <si>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</si>
  <si>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</si>
  <si>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</si>
  <si>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</si>
  <si>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</si>
  <si>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</si>
  <si>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</si>
  <si>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</si>
  <si>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</si>
  <si>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</si>
  <si>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</si>
  <si>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</si>
  <si>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</si>
  <si>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</si>
  <si>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</si>
  <si>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</si>
  <si>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</si>
  <si>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</si>
  <si>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</si>
  <si>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</si>
  <si>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</si>
  <si>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</si>
  <si>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</si>
  <si>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</si>
  <si>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</si>
  <si>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</si>
  <si>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</si>
  <si>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</si>
  <si>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</si>
  <si>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</si>
  <si>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</si>
  <si>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</si>
  <si>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</si>
  <si>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</si>
  <si>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</si>
  <si>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</si>
  <si>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</si>
  <si>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</si>
  <si>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</si>
  <si>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</si>
  <si>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</si>
  <si>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</si>
  <si>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</si>
  <si>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</si>
  <si>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</si>
  <si>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</si>
  <si>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</si>
  <si>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</si>
  <si>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</si>
  <si>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</si>
  <si>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</si>
  <si>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</si>
  <si>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</si>
  <si>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</si>
  <si>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</si>
  <si>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</si>
  <si>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</si>
  <si>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</si>
  <si>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</si>
  <si>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</si>
  <si>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</si>
  <si>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</si>
  <si>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</si>
  <si>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</si>
  <si>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</si>
  <si>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</si>
  <si>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</si>
  <si>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</si>
  <si>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</si>
  <si>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</si>
  <si>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</si>
  <si>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</si>
  <si>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</si>
  <si>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</si>
  <si>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</si>
  <si>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</si>
  <si>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</si>
  <si>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</si>
  <si>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</si>
  <si>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</si>
  <si>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</si>
  <si>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</si>
  <si>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</si>
  <si>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</si>
  <si>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</si>
  <si>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</si>
  <si>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A (Key Unik)</t>
  </si>
  <si>
    <t>Level tujuan</t>
  </si>
  <si>
    <t>Kode Metode</t>
  </si>
  <si>
    <t>Metode Text</t>
  </si>
  <si>
    <t>Jenis Aktivitas</t>
  </si>
  <si>
    <t>Tugas</t>
  </si>
  <si>
    <t>Tujuan</t>
  </si>
  <si>
    <t>Instruksi</t>
  </si>
  <si>
    <t>Output</t>
  </si>
  <si>
    <t>Waktu</t>
  </si>
  <si>
    <t>Monitoring</t>
  </si>
  <si>
    <t>Standar kelulusan</t>
  </si>
  <si>
    <t>Evaluator</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</si>
  <si>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</si>
  <si>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</si>
  <si>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</si>
  <si>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</si>
  <si>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</si>
  <si>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</si>
  <si>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</si>
  <si>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</si>
  <si>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</si>
  <si>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</si>
  <si>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</si>
  <si>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</si>
  <si>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</si>
  <si>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</si>
  <si>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</si>
  <si>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</si>
  <si>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</si>
  <si>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</si>
  <si>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</si>
  <si>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</si>
  <si>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</si>
  <si>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</si>
  <si>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</si>
  <si>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</si>
  <si>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</si>
  <si>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</si>
  <si>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</si>
  <si>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</si>
  <si>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</si>
  <si>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</si>
  <si>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</si>
  <si>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</si>
  <si>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</si>
  <si>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</si>
  <si>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</si>
  <si>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</si>
  <si>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</si>
  <si>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</si>
  <si>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</si>
  <si>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</si>
  <si>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</si>
  <si>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</si>
  <si>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</si>
  <si>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</si>
  <si>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</si>
  <si>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</si>
  <si>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</si>
  <si>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</si>
  <si>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</si>
  <si>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</si>
  <si>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</si>
  <si>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RA2: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</si>
  <si>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</si>
  <si>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</si>
  <si>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</si>
  <si>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</si>
  <si>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</si>
  <si>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</si>
  <si>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</si>
  <si>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</si>
  <si>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</si>
  <si>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</si>
  <si>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</si>
  <si>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</si>
  <si>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</si>
  <si>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</si>
  <si>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</si>
  <si>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</si>
  <si>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</si>
  <si>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</si>
  <si>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</si>
  <si>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</si>
  <si>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</si>
  <si>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</si>
  <si>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</si>
  <si>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</si>
  <si>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</si>
  <si>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</si>
  <si>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</si>
  <si>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</si>
  <si>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</si>
  <si>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</si>
  <si>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</si>
  <si>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</si>
  <si>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</si>
  <si>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</si>
  <si>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</si>
  <si>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</si>
  <si>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</si>
  <si>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</si>
  <si>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</si>
  <si>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</si>
  <si>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</si>
  <si>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</si>
  <si>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</si>
  <si>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</si>
  <si>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</si>
  <si>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</si>
  <si>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</si>
  <si>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</si>
  <si>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</si>
  <si>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</si>
  <si>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</si>
  <si>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</si>
  <si>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</si>
  <si>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</si>
  <si>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</si>
  <si>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</si>
  <si>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</si>
  <si>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</si>
  <si>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</si>
  <si>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</si>
  <si>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</si>
  <si>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</si>
  <si>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</si>
  <si>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RA4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</si>
  <si>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</si>
  <si>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</si>
  <si>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</si>
  <si>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</si>
  <si>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</si>
  <si>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</si>
  <si>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</si>
  <si>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</si>
  <si>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</si>
  <si>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</si>
  <si>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</si>
  <si>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</si>
  <si>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</si>
  <si>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</si>
  <si>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</si>
  <si>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</si>
  <si>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</si>
  <si>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</si>
  <si>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</si>
  <si>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</si>
  <si>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</si>
  <si>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</si>
  <si>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</si>
  <si>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</si>
  <si>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</si>
  <si>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</si>
  <si>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</si>
  <si>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</si>
  <si>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</si>
  <si>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</si>
  <si>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</si>
  <si>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</si>
  <si>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</si>
  <si>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</si>
  <si>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</si>
  <si>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</si>
  <si>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</si>
  <si>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</si>
  <si>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</si>
  <si>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</si>
  <si>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</si>
  <si>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</si>
  <si>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</si>
  <si>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</si>
  <si>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</si>
  <si>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</si>
  <si>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</si>
  <si>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</si>
  <si>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</si>
  <si>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</si>
  <si>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</si>
  <si>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</si>
  <si>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</si>
  <si>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</si>
  <si>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</si>
  <si>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</si>
  <si>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</si>
  <si>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</si>
  <si>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</si>
  <si>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RA6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</si>
  <si>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</si>
  <si>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</si>
  <si>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</si>
  <si>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</si>
  <si>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</si>
  <si>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</si>
  <si>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</si>
  <si>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</si>
  <si>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</si>
  <si>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</si>
  <si>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</si>
  <si>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</si>
  <si>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</si>
  <si>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</si>
  <si>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</si>
  <si>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</si>
  <si>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</si>
  <si>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Department Head</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</si>
  <si>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</si>
  <si>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</si>
  <si>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</si>
  <si>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</si>
  <si>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</si>
  <si>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</si>
  <si>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</si>
  <si>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</si>
  <si>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</si>
  <si>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</si>
  <si>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</si>
  <si>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</si>
  <si>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</si>
  <si>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</si>
  <si>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</si>
  <si>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</si>
  <si>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</si>
  <si>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</si>
  <si>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</si>
  <si>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</si>
  <si>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</si>
  <si>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</si>
  <si>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</si>
  <si>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</si>
  <si>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</si>
  <si>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</si>
  <si>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</si>
  <si>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</si>
  <si>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</si>
  <si>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</si>
  <si>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</si>
  <si>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</si>
  <si>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</si>
  <si>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</si>
  <si>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</si>
  <si>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</si>
  <si>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</si>
  <si>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</si>
  <si>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</si>
  <si>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</si>
  <si>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</si>
  <si>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RA8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</si>
  <si>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</si>
  <si>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</si>
  <si>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</si>
  <si>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</si>
  <si>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</si>
  <si>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</si>
  <si>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</si>
  <si>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</si>
  <si>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</si>
  <si>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</si>
  <si>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</si>
  <si>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</si>
  <si>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</si>
  <si>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</si>
  <si>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</si>
  <si>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</si>
  <si>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Division Head</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</si>
  <si>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</si>
  <si>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</si>
  <si>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</si>
  <si>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</si>
  <si>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</si>
  <si>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</si>
  <si>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</si>
  <si>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</si>
  <si>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</si>
  <si>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</si>
  <si>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</si>
  <si>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</si>
  <si>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</si>
  <si>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</si>
  <si>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</si>
  <si>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</si>
  <si>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</si>
  <si>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</si>
  <si>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</si>
  <si>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</si>
  <si>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</si>
  <si>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</si>
  <si>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</si>
  <si>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</si>
  <si>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</si>
  <si>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</si>
  <si>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</si>
  <si>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</si>
  <si>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</si>
  <si>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</si>
  <si>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</si>
  <si>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</si>
  <si>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</si>
  <si>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</si>
  <si>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</si>
  <si>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</si>
  <si>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</si>
  <si>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</si>
  <si>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</si>
  <si>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</si>
  <si>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</si>
  <si>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</si>
  <si>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RA11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</si>
  <si>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</si>
  <si>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</si>
  <si>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</si>
  <si>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</si>
  <si>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</si>
  <si>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</si>
  <si>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</si>
  <si>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</si>
  <si>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</si>
  <si>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</si>
  <si>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</si>
  <si>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</si>
  <si>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</si>
  <si>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</si>
  <si>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</si>
  <si>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</si>
  <si>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Director</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</si>
  <si>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</si>
  <si>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</si>
  <si>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</si>
  <si>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</si>
  <si>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</si>
  <si>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</si>
  <si>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</si>
  <si>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</si>
  <si>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</si>
  <si>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</si>
  <si>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</si>
  <si>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</si>
  <si>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</si>
  <si>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</si>
  <si>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</si>
  <si>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</si>
  <si>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</si>
  <si>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</si>
  <si>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</si>
  <si>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</si>
  <si>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</si>
  <si>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</si>
  <si>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</si>
  <si>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</si>
  <si>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</si>
  <si>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</si>
  <si>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</si>
  <si>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</si>
  <si>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</si>
  <si>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</si>
  <si>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</si>
  <si>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</si>
  <si>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</si>
  <si>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</si>
  <si>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</si>
  <si>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</si>
  <si>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</si>
  <si>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</si>
  <si>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</si>
  <si>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</si>
  <si>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</si>
  <si>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</si>
  <si>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</si>
  <si>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</si>
  <si>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</si>
  <si>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</si>
  <si>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RA12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</si>
  <si>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</si>
  <si>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</si>
  <si>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</si>
  <si>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</si>
  <si>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</si>
  <si>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</si>
  <si>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</si>
  <si>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</si>
  <si>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</si>
  <si>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</si>
  <si>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</si>
  <si>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</si>
  <si>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</si>
  <si>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</si>
  <si>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</si>
  <si>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</si>
  <si>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</si>
  <si>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</si>
  <si>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</si>
  <si>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</si>
  <si>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</si>
  <si>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</si>
  <si>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</si>
  <si>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</si>
  <si>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</si>
  <si>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</si>
  <si>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</si>
  <si>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</si>
  <si>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</si>
  <si>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</si>
  <si>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</si>
  <si>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</si>
  <si>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</si>
  <si>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</si>
  <si>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</si>
  <si>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</si>
  <si>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</si>
  <si>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</si>
  <si>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</si>
  <si>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</si>
  <si>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</si>
  <si>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</si>
  <si>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</si>
  <si>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</si>
  <si>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</si>
  <si>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</si>
  <si>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</si>
  <si>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</si>
  <si>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</si>
  <si>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</si>
  <si>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</si>
  <si>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</si>
  <si>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</si>
  <si>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</si>
  <si>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</si>
  <si>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</si>
  <si>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</si>
  <si>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</si>
  <si>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</si>
  <si>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</si>
  <si>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</si>
  <si>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MA1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</si>
  <si>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</si>
  <si>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</si>
  <si>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</si>
  <si>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</si>
  <si>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</si>
  <si>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</si>
  <si>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</si>
  <si>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</si>
  <si>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</si>
  <si>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</si>
  <si>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</si>
  <si>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</si>
  <si>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</si>
  <si>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</si>
  <si>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</si>
  <si>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</si>
  <si>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</si>
  <si>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</si>
  <si>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</si>
  <si>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</si>
  <si>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</si>
  <si>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</si>
  <si>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</si>
  <si>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</si>
  <si>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</si>
  <si>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</si>
  <si>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</si>
  <si>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</si>
  <si>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</si>
  <si>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</si>
  <si>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</si>
  <si>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</si>
  <si>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</si>
  <si>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</si>
  <si>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</si>
  <si>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</si>
  <si>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</si>
  <si>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</si>
  <si>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</si>
  <si>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</si>
  <si>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</si>
  <si>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</si>
  <si>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</si>
  <si>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</si>
  <si>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</si>
  <si>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</si>
  <si>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</si>
  <si>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</si>
  <si>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</si>
  <si>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</si>
  <si>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</si>
  <si>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</si>
  <si>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</si>
  <si>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</si>
  <si>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</si>
  <si>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</si>
  <si>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</si>
  <si>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</si>
  <si>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</si>
  <si>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</si>
  <si>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MA3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</si>
  <si>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</si>
  <si>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</si>
  <si>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</si>
  <si>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</si>
  <si>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</si>
  <si>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</si>
  <si>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</si>
  <si>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</si>
  <si>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</si>
  <si>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</si>
  <si>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</si>
  <si>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</si>
  <si>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</si>
  <si>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</si>
  <si>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</si>
  <si>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</si>
  <si>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</si>
  <si>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</si>
  <si>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</si>
  <si>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</si>
  <si>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</si>
  <si>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</si>
  <si>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</si>
  <si>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</si>
  <si>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</si>
  <si>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</si>
  <si>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</si>
  <si>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</si>
  <si>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</si>
  <si>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</si>
  <si>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</si>
  <si>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</si>
  <si>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</si>
  <si>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</si>
  <si>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</si>
  <si>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</si>
  <si>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</si>
  <si>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</si>
  <si>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</si>
  <si>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</si>
  <si>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</si>
  <si>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</si>
  <si>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</si>
  <si>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</si>
  <si>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</si>
  <si>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</si>
  <si>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</si>
  <si>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</si>
  <si>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</si>
  <si>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</si>
  <si>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</si>
  <si>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</si>
  <si>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</si>
  <si>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</si>
  <si>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</si>
  <si>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</si>
  <si>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</si>
  <si>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</si>
  <si>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</si>
  <si>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MA6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</si>
  <si>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</si>
  <si>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</si>
  <si>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</si>
  <si>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</si>
  <si>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</si>
  <si>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</si>
  <si>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</si>
  <si>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</si>
  <si>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</si>
  <si>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</si>
  <si>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</si>
  <si>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</si>
  <si>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</si>
  <si>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</si>
  <si>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</si>
  <si>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</si>
  <si>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</si>
  <si>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</si>
  <si>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</si>
  <si>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</si>
  <si>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</si>
  <si>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</si>
  <si>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</si>
  <si>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</si>
  <si>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</si>
  <si>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</si>
  <si>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</si>
  <si>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</si>
  <si>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</si>
  <si>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</si>
  <si>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</si>
  <si>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</si>
  <si>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</si>
  <si>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</si>
  <si>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</si>
  <si>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</si>
  <si>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</si>
  <si>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</si>
  <si>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</si>
  <si>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</si>
  <si>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</si>
  <si>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</si>
  <si>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</si>
  <si>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</si>
  <si>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</si>
  <si>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</si>
  <si>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</si>
  <si>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</si>
  <si>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</si>
  <si>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</si>
  <si>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</si>
  <si>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</si>
  <si>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</si>
  <si>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</si>
  <si>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</si>
  <si>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</si>
  <si>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</si>
  <si>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</si>
  <si>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MA8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</si>
  <si>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</si>
  <si>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</si>
  <si>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</si>
  <si>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</si>
  <si>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</si>
  <si>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</si>
  <si>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</si>
  <si>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</si>
  <si>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</si>
  <si>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</si>
  <si>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</si>
  <si>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</si>
  <si>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</si>
  <si>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</si>
  <si>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</si>
  <si>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</si>
  <si>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</si>
  <si>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</si>
  <si>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</si>
  <si>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</si>
  <si>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</si>
  <si>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</si>
  <si>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</si>
  <si>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</si>
  <si>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</si>
  <si>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</si>
  <si>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</si>
  <si>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</si>
  <si>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</si>
  <si>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</si>
  <si>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</si>
  <si>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</si>
  <si>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</si>
  <si>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</si>
  <si>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</si>
  <si>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</si>
  <si>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</si>
  <si>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</si>
  <si>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</si>
  <si>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</si>
  <si>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</si>
  <si>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</si>
  <si>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</si>
  <si>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</si>
  <si>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</si>
  <si>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</si>
  <si>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</si>
  <si>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</si>
  <si>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</si>
  <si>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</si>
  <si>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</si>
  <si>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</si>
  <si>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</si>
  <si>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</si>
  <si>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</si>
  <si>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</si>
  <si>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</si>
  <si>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</si>
  <si>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</si>
  <si>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</si>
  <si>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MA10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</si>
  <si>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</si>
  <si>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</si>
  <si>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</si>
  <si>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</si>
  <si>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</si>
  <si>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</si>
  <si>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</si>
  <si>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</si>
  <si>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</si>
  <si>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</si>
  <si>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</si>
  <si>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</si>
  <si>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</si>
  <si>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</si>
  <si>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</si>
  <si>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</si>
  <si>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</si>
  <si>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</si>
  <si>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</si>
  <si>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</si>
  <si>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</si>
  <si>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</si>
  <si>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</si>
  <si>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</si>
  <si>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</si>
  <si>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</si>
  <si>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</si>
  <si>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</si>
  <si>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</si>
  <si>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</si>
  <si>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</si>
  <si>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</si>
  <si>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</si>
  <si>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</si>
  <si>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</si>
  <si>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</si>
  <si>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</si>
  <si>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</si>
  <si>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</si>
  <si>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</si>
  <si>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</si>
  <si>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</si>
  <si>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</si>
  <si>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</si>
  <si>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</si>
  <si>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</si>
  <si>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</si>
  <si>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</si>
  <si>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</si>
  <si>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</si>
  <si>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</si>
  <si>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</si>
  <si>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</si>
  <si>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</si>
  <si>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</si>
  <si>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</si>
  <si>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</si>
  <si>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</si>
  <si>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</si>
  <si>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</si>
  <si>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</si>
  <si>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</si>
  <si>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</si>
  <si>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PA2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</si>
  <si>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</si>
  <si>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</si>
  <si>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</si>
  <si>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</si>
  <si>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</si>
  <si>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</si>
  <si>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</si>
  <si>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</si>
  <si>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</si>
  <si>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</si>
  <si>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</si>
  <si>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</si>
  <si>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</si>
  <si>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</si>
  <si>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</si>
  <si>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</si>
  <si>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</si>
  <si>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</si>
  <si>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</si>
  <si>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</si>
  <si>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</si>
  <si>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</si>
  <si>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</si>
  <si>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</si>
  <si>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</si>
  <si>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</si>
  <si>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</si>
  <si>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</si>
  <si>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</si>
  <si>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</si>
  <si>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</si>
  <si>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</si>
  <si>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</si>
  <si>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</si>
  <si>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</si>
  <si>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</si>
  <si>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</si>
  <si>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</si>
  <si>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</si>
  <si>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</si>
  <si>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</si>
  <si>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</si>
  <si>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</si>
  <si>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</si>
  <si>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</si>
  <si>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</si>
  <si>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</si>
  <si>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</si>
  <si>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</si>
  <si>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</si>
  <si>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</si>
  <si>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</si>
  <si>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</si>
  <si>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</si>
  <si>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</si>
  <si>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</si>
  <si>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</si>
  <si>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</si>
  <si>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</si>
  <si>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MA4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</si>
  <si>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</si>
  <si>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</si>
  <si>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</si>
  <si>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</si>
  <si>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</si>
  <si>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</si>
  <si>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</si>
  <si>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</si>
  <si>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</si>
  <si>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</si>
  <si>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</si>
  <si>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</si>
  <si>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</si>
  <si>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</si>
  <si>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</si>
  <si>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</si>
  <si>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</si>
  <si>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</si>
  <si>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</si>
  <si>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</si>
  <si>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</si>
  <si>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</si>
  <si>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</si>
  <si>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</si>
  <si>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</si>
  <si>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</si>
  <si>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</si>
  <si>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</si>
  <si>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</si>
  <si>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</si>
  <si>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</si>
  <si>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</si>
  <si>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</si>
  <si>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</si>
  <si>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</si>
  <si>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</si>
  <si>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</si>
  <si>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</si>
  <si>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</si>
  <si>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</si>
  <si>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</si>
  <si>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</si>
  <si>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</si>
  <si>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</si>
  <si>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</si>
  <si>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</si>
  <si>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</si>
  <si>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</si>
  <si>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</si>
  <si>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</si>
  <si>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</si>
  <si>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</si>
  <si>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</si>
  <si>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</si>
  <si>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</si>
  <si>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</si>
  <si>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</si>
  <si>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</si>
  <si>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PA6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</si>
  <si>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</si>
  <si>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</si>
  <si>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</si>
  <si>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</si>
  <si>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</si>
  <si>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</si>
  <si>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</si>
  <si>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</si>
  <si>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</si>
  <si>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</si>
  <si>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</si>
  <si>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</si>
  <si>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</si>
  <si>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</si>
  <si>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</si>
  <si>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</si>
  <si>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</si>
  <si>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</si>
  <si>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</si>
  <si>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</si>
  <si>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</si>
  <si>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</si>
  <si>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</si>
  <si>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</si>
  <si>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</si>
  <si>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</si>
  <si>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</si>
  <si>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</si>
  <si>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</si>
  <si>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</si>
  <si>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</si>
  <si>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</si>
  <si>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</si>
  <si>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</si>
  <si>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</si>
  <si>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</si>
  <si>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</si>
  <si>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</si>
  <si>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</si>
  <si>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</si>
  <si>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</si>
  <si>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</si>
  <si>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</si>
  <si>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</si>
  <si>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</si>
  <si>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</si>
  <si>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</si>
  <si>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</si>
  <si>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</si>
  <si>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</si>
  <si>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</si>
  <si>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</si>
  <si>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</si>
  <si>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</si>
  <si>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</si>
  <si>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</si>
  <si>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</si>
  <si>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</si>
  <si>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PA10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</si>
  <si>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</si>
  <si>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</si>
  <si>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</si>
  <si>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</si>
  <si>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</si>
  <si>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</si>
  <si>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</si>
  <si>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</si>
  <si>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</si>
  <si>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</si>
  <si>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</si>
  <si>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</si>
  <si>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</si>
  <si>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</si>
  <si>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</si>
  <si>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</si>
  <si>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</si>
  <si>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</si>
  <si>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</si>
  <si>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</si>
  <si>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</si>
  <si>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</si>
  <si>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</si>
  <si>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</si>
  <si>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</si>
  <si>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</si>
  <si>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</si>
  <si>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</si>
  <si>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</si>
  <si>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</si>
  <si>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</si>
  <si>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</si>
  <si>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</si>
  <si>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</si>
  <si>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</si>
  <si>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</si>
  <si>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</si>
  <si>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</si>
  <si>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</si>
  <si>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</si>
  <si>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</si>
  <si>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</si>
  <si>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</si>
  <si>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</si>
  <si>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</si>
  <si>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</si>
  <si>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</si>
  <si>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</si>
  <si>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</si>
  <si>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</si>
  <si>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</si>
  <si>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</si>
  <si>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</si>
  <si>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</si>
  <si>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</si>
  <si>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</si>
  <si>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</si>
  <si>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</si>
  <si>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</si>
  <si>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PA12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</si>
  <si>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</si>
  <si>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</si>
  <si>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</si>
  <si>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</si>
  <si>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</si>
  <si>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</si>
  <si>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</si>
  <si>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</si>
  <si>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</si>
  <si>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</si>
  <si>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</si>
  <si>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</si>
  <si>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</si>
  <si>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</si>
  <si>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</si>
  <si>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</si>
  <si>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</si>
  <si>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</si>
  <si>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</si>
  <si>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</si>
  <si>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</si>
  <si>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</si>
  <si>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</si>
  <si>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</si>
  <si>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</si>
  <si>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</si>
  <si>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</si>
  <si>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</si>
  <si>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</si>
  <si>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</si>
  <si>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</si>
  <si>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</si>
  <si>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</si>
  <si>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</si>
  <si>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</si>
  <si>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</si>
  <si>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</si>
  <si>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</si>
  <si>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</si>
  <si>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</si>
  <si>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</si>
  <si>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</si>
  <si>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</si>
  <si>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</si>
  <si>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</si>
  <si>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</si>
  <si>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</si>
  <si>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</si>
  <si>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</si>
  <si>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</si>
  <si>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</si>
  <si>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</si>
  <si>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</si>
  <si>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</si>
  <si>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</si>
  <si>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</si>
  <si>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</si>
  <si>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</si>
  <si>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</si>
  <si>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</si>
  <si>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</si>
  <si>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</si>
  <si>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PA15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</si>
  <si>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</si>
  <si>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</si>
  <si>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</si>
  <si>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</si>
  <si>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</si>
  <si>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</si>
  <si>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</si>
  <si>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</si>
  <si>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</si>
  <si>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</si>
  <si>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</si>
  <si>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</si>
  <si>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</si>
  <si>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</si>
  <si>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</si>
  <si>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</si>
  <si>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</si>
  <si>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</si>
  <si>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</si>
  <si>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</si>
  <si>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</si>
  <si>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</si>
  <si>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</si>
  <si>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</si>
  <si>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</si>
  <si>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</si>
  <si>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</si>
  <si>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</si>
  <si>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</si>
  <si>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</si>
  <si>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</si>
  <si>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</si>
  <si>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</si>
  <si>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</si>
  <si>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</si>
  <si>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</si>
  <si>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</si>
  <si>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</si>
  <si>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</si>
  <si>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</si>
  <si>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</si>
  <si>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</si>
  <si>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</si>
  <si>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</si>
  <si>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</si>
  <si>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</si>
  <si>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</si>
  <si>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</si>
  <si>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</si>
  <si>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</si>
  <si>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</si>
  <si>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</si>
  <si>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</si>
  <si>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</si>
  <si>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</si>
  <si>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</si>
  <si>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</si>
  <si>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</si>
  <si>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</si>
  <si>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</si>
  <si>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</si>
  <si>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</si>
  <si>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</si>
  <si>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MA1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</si>
  <si>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</si>
  <si>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</si>
  <si>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</si>
  <si>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</si>
  <si>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</si>
  <si>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</si>
  <si>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</si>
  <si>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</si>
  <si>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</si>
  <si>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</si>
  <si>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</si>
  <si>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</si>
  <si>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</si>
  <si>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</si>
  <si>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</si>
  <si>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</si>
  <si>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</si>
  <si>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</si>
  <si>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</si>
  <si>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</si>
  <si>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</si>
  <si>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</si>
  <si>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</si>
  <si>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</si>
  <si>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</si>
  <si>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</si>
  <si>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</si>
  <si>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</si>
  <si>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</si>
  <si>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</si>
  <si>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</si>
  <si>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</si>
  <si>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</si>
  <si>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</si>
  <si>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</si>
  <si>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</si>
  <si>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</si>
  <si>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</si>
  <si>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</si>
  <si>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</si>
  <si>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</si>
  <si>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</si>
  <si>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</si>
  <si>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</si>
  <si>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</si>
  <si>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</si>
  <si>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</si>
  <si>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</si>
  <si>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</si>
  <si>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</si>
  <si>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</si>
  <si>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</si>
  <si>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</si>
  <si>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</si>
  <si>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</si>
  <si>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</si>
  <si>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</si>
  <si>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</si>
  <si>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</si>
  <si>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</si>
  <si>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</si>
  <si>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</si>
  <si>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</si>
  <si>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</si>
  <si>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</si>
  <si>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</si>
  <si>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</si>
  <si>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</si>
  <si>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</si>
  <si>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</si>
  <si>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</si>
  <si>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</si>
  <si>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</si>
  <si>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</si>
  <si>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</si>
  <si>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</si>
  <si>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</si>
  <si>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</si>
  <si>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</si>
  <si>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</si>
  <si>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</si>
  <si>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</si>
  <si>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</si>
  <si>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</si>
  <si>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</si>
  <si>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</si>
  <si>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</si>
  <si>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</si>
  <si>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</si>
  <si>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</si>
  <si>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</si>
  <si>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</si>
  <si>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</si>
  <si>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</si>
  <si>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</si>
  <si>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</si>
  <si>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</si>
  <si>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</si>
  <si>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</si>
  <si>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</si>
  <si>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</si>
  <si>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</si>
  <si>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</si>
  <si>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</si>
  <si>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</si>
  <si>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</si>
  <si>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</si>
  <si>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</si>
  <si>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</si>
  <si>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</si>
  <si>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</si>
  <si>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</si>
  <si>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</si>
  <si>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</si>
  <si>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</si>
  <si>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</si>
  <si>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</si>
  <si>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</si>
  <si>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</si>
  <si>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</si>
  <si>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</si>
  <si>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</si>
  <si>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</si>
  <si>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</si>
  <si>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</si>
  <si>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</si>
  <si>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</si>
  <si>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</si>
  <si>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</si>
  <si>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</si>
  <si>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</si>
  <si>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</si>
  <si>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</si>
  <si>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</si>
  <si>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</si>
  <si>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</si>
  <si>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</si>
  <si>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</si>
  <si>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</si>
  <si>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</si>
  <si>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</si>
  <si>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</si>
  <si>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</si>
  <si>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</si>
  <si>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</si>
  <si>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</si>
  <si>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</si>
  <si>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</si>
  <si>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</si>
  <si>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</si>
  <si>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</si>
  <si>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</si>
  <si>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</si>
  <si>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</si>
  <si>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</si>
  <si>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</si>
  <si>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</si>
  <si>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</si>
  <si>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</si>
  <si>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</si>
  <si>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</si>
  <si>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</si>
  <si>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</si>
  <si>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</si>
  <si>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</si>
  <si>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</si>
  <si>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</si>
  <si>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</si>
  <si>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</si>
  <si>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</si>
  <si>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</si>
  <si>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</si>
  <si>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</si>
  <si>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</si>
  <si>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</si>
  <si>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</si>
  <si>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</si>
  <si>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</si>
  <si>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</si>
  <si>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</si>
  <si>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</si>
  <si>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</si>
  <si>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</si>
  <si>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</si>
  <si>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</si>
  <si>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</si>
  <si>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</si>
  <si>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</si>
  <si>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</si>
  <si>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</si>
  <si>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</si>
  <si>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</si>
  <si>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</si>
  <si>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</si>
  <si>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</si>
  <si>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</si>
  <si>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</si>
  <si>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</si>
  <si>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</si>
  <si>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</si>
  <si>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</si>
  <si>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</si>
  <si>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</si>
  <si>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</si>
  <si>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</si>
  <si>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</si>
  <si>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</si>
  <si>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</si>
  <si>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</si>
  <si>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</si>
  <si>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</si>
  <si>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</si>
  <si>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</si>
  <si>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</si>
  <si>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</si>
  <si>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</si>
  <si>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</si>
  <si>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</si>
  <si>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</si>
  <si>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</si>
  <si>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</si>
  <si>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</si>
  <si>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</si>
  <si>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</si>
  <si>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</si>
  <si>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</si>
  <si>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</si>
  <si>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</si>
  <si>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</si>
  <si>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</si>
  <si>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</si>
  <si>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</si>
  <si>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</si>
  <si>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</si>
  <si>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</si>
  <si>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</si>
  <si>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</si>
  <si>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</si>
  <si>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</si>
  <si>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</si>
  <si>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</si>
  <si>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</si>
  <si>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</si>
  <si>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MA9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</si>
  <si>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</si>
  <si>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</si>
  <si>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</si>
  <si>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</si>
  <si>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</si>
  <si>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</si>
  <si>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</si>
  <si>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</si>
  <si>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</si>
  <si>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</si>
  <si>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</si>
  <si>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</si>
  <si>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</si>
  <si>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</si>
  <si>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</si>
  <si>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</si>
  <si>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</si>
  <si>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</si>
  <si>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</si>
  <si>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</si>
  <si>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</si>
  <si>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</si>
  <si>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</si>
  <si>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</si>
  <si>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</si>
  <si>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</si>
  <si>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</si>
  <si>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</si>
  <si>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</si>
  <si>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</si>
  <si>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</si>
  <si>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</si>
  <si>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</si>
  <si>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</si>
  <si>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</si>
  <si>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</si>
  <si>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</si>
  <si>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</si>
  <si>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</si>
  <si>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</si>
  <si>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</si>
  <si>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</si>
  <si>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</si>
  <si>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</si>
  <si>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</si>
  <si>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</si>
  <si>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</si>
  <si>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</si>
  <si>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</si>
  <si>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</si>
  <si>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</si>
  <si>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</si>
  <si>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</si>
  <si>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</si>
  <si>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</si>
  <si>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</si>
  <si>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</si>
  <si>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</si>
  <si>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</si>
  <si>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</si>
  <si>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RA1: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</si>
  <si>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</si>
  <si>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</si>
  <si>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</si>
  <si>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</si>
  <si>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</si>
  <si>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</si>
  <si>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</si>
  <si>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</si>
  <si>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</si>
  <si>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</si>
  <si>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</si>
  <si>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</si>
  <si>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</si>
  <si>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</si>
  <si>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</si>
  <si>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</si>
  <si>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</si>
  <si>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</si>
  <si>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</si>
  <si>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</si>
  <si>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</si>
  <si>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</si>
  <si>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</si>
  <si>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</si>
  <si>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</si>
  <si>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</si>
  <si>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</si>
  <si>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</si>
  <si>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</si>
  <si>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</si>
  <si>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</si>
  <si>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</si>
  <si>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</si>
  <si>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</si>
  <si>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</si>
  <si>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</si>
  <si>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</si>
  <si>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</si>
  <si>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</si>
  <si>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</si>
  <si>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</si>
  <si>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</si>
  <si>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</si>
  <si>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</si>
  <si>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</si>
  <si>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</si>
  <si>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</si>
  <si>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</si>
  <si>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</si>
  <si>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</si>
  <si>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</si>
  <si>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</si>
  <si>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</si>
  <si>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</si>
  <si>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</si>
  <si>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</si>
  <si>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</si>
  <si>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</si>
  <si>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RA3: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</si>
  <si>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</si>
  <si>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</si>
  <si>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</si>
  <si>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</si>
  <si>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</si>
  <si>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</si>
  <si>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</si>
  <si>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</si>
  <si>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</si>
  <si>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</si>
  <si>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</si>
  <si>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</si>
  <si>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</si>
  <si>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</si>
  <si>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</si>
  <si>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</si>
  <si>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</si>
  <si>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</si>
  <si>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</si>
  <si>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</si>
  <si>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</si>
  <si>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</si>
  <si>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</si>
  <si>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</si>
  <si>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</si>
  <si>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</si>
  <si>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</si>
  <si>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</si>
  <si>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</si>
  <si>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</si>
  <si>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</si>
  <si>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</si>
  <si>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</si>
  <si>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</si>
  <si>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</si>
  <si>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</si>
  <si>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</si>
  <si>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</si>
  <si>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</si>
  <si>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</si>
  <si>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</si>
  <si>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</si>
  <si>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</si>
  <si>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</si>
  <si>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</si>
  <si>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</si>
  <si>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</si>
  <si>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</si>
  <si>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</si>
  <si>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</si>
  <si>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</si>
  <si>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</si>
  <si>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</si>
  <si>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</si>
  <si>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</si>
  <si>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</si>
  <si>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</si>
  <si>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RA6: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</si>
  <si>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</si>
  <si>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</si>
  <si>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</si>
  <si>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</si>
  <si>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</si>
  <si>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</si>
  <si>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</si>
  <si>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</si>
  <si>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</si>
  <si>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</si>
  <si>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</si>
  <si>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</si>
  <si>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</si>
  <si>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</si>
  <si>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</si>
  <si>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</si>
  <si>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</si>
  <si>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</si>
  <si>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</si>
  <si>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</si>
  <si>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</si>
  <si>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</si>
  <si>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</si>
  <si>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</si>
  <si>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</si>
  <si>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</si>
  <si>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</si>
  <si>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</si>
  <si>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</si>
  <si>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</si>
  <si>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</si>
  <si>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</si>
  <si>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</si>
  <si>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</si>
  <si>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</si>
  <si>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</si>
  <si>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</si>
  <si>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</si>
  <si>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</si>
  <si>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</si>
  <si>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</si>
  <si>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</si>
  <si>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</si>
  <si>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</si>
  <si>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</si>
  <si>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</si>
  <si>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</si>
  <si>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</si>
  <si>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</si>
  <si>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</si>
  <si>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</si>
  <si>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</si>
  <si>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</si>
  <si>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</si>
  <si>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</si>
  <si>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</si>
  <si>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</si>
  <si>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RA10: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</si>
  <si>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</si>
  <si>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</si>
  <si>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</si>
  <si>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</si>
  <si>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</si>
  <si>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</si>
  <si>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</si>
  <si>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</si>
  <si>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</si>
  <si>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</si>
  <si>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</si>
  <si>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</si>
  <si>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</si>
  <si>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</si>
  <si>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</si>
  <si>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</si>
  <si>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</si>
  <si>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</si>
  <si>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</si>
  <si>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</si>
  <si>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</si>
  <si>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</si>
  <si>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</si>
  <si>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</si>
  <si>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</si>
  <si>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</si>
  <si>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</si>
  <si>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</si>
  <si>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</si>
  <si>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</si>
  <si>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</si>
  <si>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</si>
  <si>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</si>
  <si>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</si>
  <si>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</si>
  <si>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</si>
  <si>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</si>
  <si>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</si>
  <si>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</si>
  <si>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</si>
  <si>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</si>
  <si>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</si>
  <si>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</si>
  <si>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</si>
  <si>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</si>
  <si>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</si>
  <si>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</si>
  <si>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</si>
  <si>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</si>
  <si>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RA11: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</si>
  <si>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</si>
  <si>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</si>
  <si>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</si>
  <si>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</si>
  <si>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</si>
  <si>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</si>
  <si>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</si>
  <si>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</si>
  <si>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</si>
  <si>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</si>
  <si>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</si>
  <si>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</si>
  <si>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</si>
  <si>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</si>
  <si>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</si>
  <si>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</si>
  <si>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</si>
  <si>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</si>
  <si>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</si>
  <si>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</si>
  <si>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</si>
  <si>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</si>
  <si>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</si>
  <si>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</si>
  <si>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</si>
  <si>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</si>
  <si>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</si>
  <si>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</si>
  <si>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</si>
  <si>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</si>
  <si>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</si>
  <si>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</si>
  <si>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</si>
  <si>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</si>
  <si>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</si>
  <si>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</si>
  <si>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</si>
  <si>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</si>
  <si>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</si>
  <si>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</si>
  <si>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</si>
  <si>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</si>
  <si>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</si>
  <si>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</si>
  <si>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</si>
  <si>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</si>
  <si>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</si>
  <si>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</si>
  <si>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</si>
  <si>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</si>
  <si>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</si>
  <si>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</si>
  <si>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</si>
  <si>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</si>
  <si>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</si>
  <si>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</si>
  <si>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</si>
  <si>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</si>
  <si>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</si>
  <si>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RA12: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</si>
  <si>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</si>
  <si>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</si>
  <si>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</si>
  <si>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</si>
  <si>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</si>
  <si>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</si>
  <si>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</si>
  <si>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</si>
  <si>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</si>
  <si>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</si>
  <si>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</si>
  <si>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</si>
  <si>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</si>
  <si>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</si>
  <si>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</si>
  <si>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</si>
  <si>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</si>
  <si>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</si>
  <si>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</si>
  <si>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</si>
  <si>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</si>
  <si>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</si>
  <si>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</si>
  <si>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</si>
  <si>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</si>
  <si>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</si>
  <si>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</si>
  <si>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</si>
  <si>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</si>
  <si>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</si>
  <si>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</si>
  <si>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</si>
  <si>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</si>
  <si>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</si>
  <si>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</si>
  <si>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</si>
  <si>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</si>
  <si>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</si>
  <si>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</si>
  <si>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</si>
  <si>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</si>
  <si>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</si>
  <si>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</si>
  <si>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</si>
  <si>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</si>
  <si>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</si>
  <si>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</si>
  <si>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</si>
  <si>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</si>
  <si>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</si>
  <si>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</si>
  <si>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</si>
  <si>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</si>
  <si>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</si>
  <si>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</si>
  <si>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</si>
  <si>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</si>
  <si>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</si>
  <si>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</si>
  <si>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</si>
  <si>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</si>
  <si>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</si>
  <si>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</si>
  <si>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</si>
  <si>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</si>
  <si>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</si>
  <si>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</si>
  <si>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</si>
  <si>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</si>
  <si>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</si>
  <si>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</si>
  <si>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</si>
  <si>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</si>
  <si>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</si>
  <si>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</si>
  <si>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</si>
  <si>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</si>
  <si>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</si>
  <si>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</si>
  <si>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</si>
  <si>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</si>
  <si>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</si>
  <si>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</si>
  <si>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</si>
  <si>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</si>
  <si>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</si>
  <si>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</si>
  <si>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</si>
  <si>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</si>
  <si>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</si>
  <si>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</si>
  <si>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</si>
  <si>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</si>
  <si>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</si>
  <si>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</si>
  <si>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</si>
  <si>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</si>
  <si>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</si>
  <si>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</si>
  <si>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</si>
  <si>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</si>
  <si>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</si>
  <si>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</si>
  <si>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</si>
  <si>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khusus PA3: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</si>
  <si>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</si>
  <si>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</si>
  <si>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</si>
  <si>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</si>
  <si>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</si>
  <si>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</si>
  <si>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</si>
  <si>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</si>
  <si>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</si>
  <si>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</si>
  <si>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</si>
  <si>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</si>
  <si>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</si>
  <si>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</si>
  <si>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</si>
  <si>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</si>
  <si>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</si>
  <si>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</si>
  <si>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</si>
  <si>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</si>
  <si>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</si>
  <si>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</si>
  <si>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</si>
  <si>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</si>
  <si>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</si>
  <si>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</si>
  <si>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</si>
  <si>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</si>
  <si>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</si>
  <si>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</si>
  <si>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</si>
  <si>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</si>
  <si>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</si>
  <si>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</si>
  <si>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</si>
  <si>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</si>
  <si>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</si>
  <si>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</si>
  <si>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</si>
  <si>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</si>
  <si>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</si>
  <si>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</si>
  <si>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</si>
  <si>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</si>
  <si>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</si>
  <si>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</si>
  <si>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</si>
  <si>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</si>
  <si>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</si>
  <si>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</si>
  <si>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</si>
  <si>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</si>
  <si>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</si>
  <si>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</si>
  <si>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</si>
  <si>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</si>
  <si>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</si>
  <si>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</si>
  <si>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</si>
  <si>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RA7: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</si>
  <si>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</si>
  <si>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</si>
  <si>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</si>
  <si>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</si>
  <si>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</si>
  <si>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</si>
  <si>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</si>
  <si>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</si>
  <si>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</si>
  <si>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</si>
  <si>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</si>
  <si>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</si>
  <si>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</si>
  <si>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</si>
  <si>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</si>
  <si>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</si>
  <si>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</si>
  <si>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</si>
  <si>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</si>
  <si>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</si>
  <si>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</si>
  <si>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</si>
  <si>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</si>
  <si>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</si>
  <si>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</si>
  <si>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</si>
  <si>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</si>
  <si>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</si>
  <si>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</si>
  <si>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</si>
  <si>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</si>
  <si>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</si>
  <si>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</si>
  <si>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</si>
  <si>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</si>
  <si>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</si>
  <si>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</si>
  <si>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</si>
  <si>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</si>
  <si>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</si>
  <si>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</si>
  <si>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</si>
  <si>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</si>
  <si>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</si>
  <si>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</si>
  <si>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</si>
  <si>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</si>
  <si>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</si>
  <si>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</si>
  <si>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</si>
  <si>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</si>
  <si>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</si>
  <si>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</si>
  <si>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</si>
  <si>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</si>
  <si>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</si>
  <si>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</si>
  <si>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</si>
  <si>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</si>
  <si>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</si>
  <si>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</si>
  <si>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</si>
  <si>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</si>
  <si>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</si>
  <si>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</si>
  <si>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</si>
  <si>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</si>
  <si>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</si>
  <si>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</si>
  <si>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</si>
  <si>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</si>
  <si>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</si>
  <si>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</si>
  <si>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</si>
  <si>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</si>
  <si>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</si>
  <si>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</si>
  <si>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</si>
  <si>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</si>
  <si>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</si>
  <si>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</si>
  <si>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</si>
  <si>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</si>
  <si>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</si>
  <si>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</si>
  <si>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</si>
  <si>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</si>
  <si>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</si>
  <si>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</si>
  <si>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</si>
  <si>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</si>
  <si>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</si>
  <si>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</si>
  <si>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</si>
  <si>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</si>
  <si>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</si>
  <si>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</si>
  <si>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</si>
  <si>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</si>
  <si>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</si>
  <si>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</si>
  <si>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</si>
  <si>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</si>
  <si>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</si>
  <si>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</si>
  <si>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</si>
  <si>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</si>
  <si>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</si>
  <si>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</si>
  <si>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</si>
  <si>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</si>
  <si>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</si>
  <si>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</si>
  <si>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</si>
  <si>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</si>
  <si>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</si>
  <si>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</si>
  <si>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khusus PA12: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</si>
  <si>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</si>
  <si>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</si>
  <si>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</si>
  <si>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</si>
  <si>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</si>
  <si>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</si>
  <si>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</si>
  <si>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</si>
  <si>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</si>
  <si>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</si>
  <si>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</si>
  <si>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</si>
  <si>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</si>
  <si>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</si>
  <si>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</si>
  <si>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</si>
  <si>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</si>
  <si>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</si>
  <si>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</si>
  <si>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</si>
  <si>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</si>
  <si>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</si>
  <si>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</si>
  <si>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</si>
  <si>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</si>
  <si>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</si>
  <si>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</si>
  <si>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</si>
  <si>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</si>
  <si>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</si>
  <si>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</si>
  <si>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</si>
  <si>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</si>
  <si>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</si>
  <si>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</si>
  <si>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</si>
  <si>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</si>
  <si>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</si>
  <si>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</si>
  <si>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</si>
  <si>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</si>
  <si>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</si>
  <si>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</si>
  <si>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</si>
  <si>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</si>
  <si>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</si>
  <si>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</si>
  <si>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</si>
  <si>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</si>
  <si>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</si>
  <si>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</si>
  <si>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</si>
  <si>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</si>
  <si>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</si>
  <si>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</si>
  <si>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khusus RA12: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</si>
  <si>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</si>
  <si>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</si>
  <si>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</si>
  <si>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</si>
  <si>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</si>
  <si>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</si>
  <si>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</si>
  <si>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</si>
  <si>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</si>
  <si>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</si>
  <si>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</si>
  <si>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</si>
  <si>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</si>
  <si>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</si>
  <si>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</si>
  <si>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</si>
  <si>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</si>
  <si>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</si>
  <si>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</si>
  <si>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</si>
  <si>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</si>
  <si>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</si>
  <si>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</si>
  <si>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</si>
  <si>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</si>
  <si>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</si>
  <si>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</si>
  <si>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</si>
  <si>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</si>
  <si>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</si>
  <si>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</si>
  <si>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</si>
  <si>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</si>
  <si>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</si>
  <si>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</si>
  <si>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</si>
  <si>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</si>
  <si>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</si>
  <si>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</si>
  <si>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</si>
  <si>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</si>
  <si>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</si>
  <si>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</si>
  <si>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</si>
  <si>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</si>
  <si>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</si>
  <si>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</si>
  <si>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</si>
  <si>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</si>
  <si>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</si>
  <si>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</si>
  <si>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</si>
  <si>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</si>
  <si>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</si>
  <si>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</si>
  <si>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</si>
  <si>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</si>
  <si>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</si>
  <si>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</si>
  <si>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</si>
  <si>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</si>
  <si>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</si>
  <si>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</si>
  <si>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CA1: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</si>
  <si>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</si>
  <si>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</si>
  <si>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</si>
  <si>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</si>
  <si>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</si>
  <si>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</si>
  <si>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</si>
  <si>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</si>
  <si>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</si>
  <si>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</si>
  <si>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</si>
  <si>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</si>
  <si>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</si>
  <si>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</si>
  <si>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</si>
  <si>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</si>
  <si>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</si>
  <si>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</si>
  <si>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</si>
  <si>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</si>
  <si>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</si>
  <si>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</si>
  <si>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</si>
  <si>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</si>
  <si>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</si>
  <si>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</si>
  <si>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</si>
  <si>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</si>
  <si>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</si>
  <si>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</si>
  <si>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</si>
  <si>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</si>
  <si>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</si>
  <si>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</si>
  <si>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</si>
  <si>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</si>
  <si>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</si>
  <si>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</si>
  <si>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</si>
  <si>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</si>
  <si>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</si>
  <si>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</si>
  <si>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</si>
  <si>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</si>
  <si>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</si>
  <si>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</si>
  <si>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</si>
  <si>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</si>
  <si>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</si>
  <si>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</si>
  <si>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</si>
  <si>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</si>
  <si>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</si>
  <si>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</si>
  <si>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</si>
  <si>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</si>
  <si>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</si>
  <si>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</si>
  <si>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PA3: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</si>
  <si>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</si>
  <si>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</si>
  <si>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</si>
  <si>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</si>
  <si>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</si>
  <si>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</si>
  <si>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</si>
  <si>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</si>
  <si>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</si>
  <si>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</si>
  <si>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</si>
  <si>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</si>
  <si>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</si>
  <si>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</si>
  <si>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</si>
  <si>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</si>
  <si>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</si>
  <si>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</si>
  <si>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</si>
  <si>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</si>
  <si>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</si>
  <si>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</si>
  <si>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</si>
  <si>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</si>
  <si>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</si>
  <si>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</si>
  <si>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</si>
  <si>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</si>
  <si>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</si>
  <si>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</si>
  <si>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</si>
  <si>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</si>
  <si>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</si>
  <si>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</si>
  <si>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</si>
  <si>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</si>
  <si>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</si>
  <si>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</si>
  <si>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</si>
  <si>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</si>
  <si>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</si>
  <si>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</si>
  <si>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</si>
  <si>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</si>
  <si>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</si>
  <si>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</si>
  <si>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</si>
  <si>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</si>
  <si>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</si>
  <si>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</si>
  <si>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</si>
  <si>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</si>
  <si>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</si>
  <si>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</si>
  <si>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</si>
  <si>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</si>
  <si>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</si>
  <si>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PA7: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</si>
  <si>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</si>
  <si>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</si>
  <si>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</si>
  <si>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</si>
  <si>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</si>
  <si>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</si>
  <si>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</si>
  <si>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</si>
  <si>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</si>
  <si>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</si>
  <si>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</si>
  <si>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</si>
  <si>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</si>
  <si>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</si>
  <si>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</si>
  <si>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</si>
  <si>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</si>
  <si>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</si>
  <si>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</si>
  <si>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</si>
  <si>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</si>
  <si>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</si>
  <si>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</si>
  <si>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</si>
  <si>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</si>
  <si>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</si>
  <si>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</si>
  <si>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</si>
  <si>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</si>
  <si>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</si>
  <si>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</si>
  <si>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</si>
  <si>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</si>
  <si>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</si>
  <si>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</si>
  <si>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</si>
  <si>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</si>
  <si>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</si>
  <si>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</si>
  <si>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</si>
  <si>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</si>
  <si>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</si>
  <si>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</si>
  <si>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</si>
  <si>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</si>
  <si>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</si>
  <si>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</si>
  <si>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</si>
  <si>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</si>
  <si>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</si>
  <si>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</si>
  <si>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</si>
  <si>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</si>
  <si>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</si>
  <si>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</si>
  <si>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</si>
  <si>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</si>
  <si>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</si>
  <si>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PA11: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</si>
  <si>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</si>
  <si>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</si>
  <si>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</si>
  <si>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</si>
  <si>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</si>
  <si>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</si>
  <si>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</si>
  <si>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</si>
  <si>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</si>
  <si>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</si>
  <si>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</si>
  <si>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</si>
  <si>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</si>
  <si>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</si>
  <si>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</si>
  <si>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</si>
  <si>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</si>
  <si>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</si>
  <si>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</si>
  <si>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</si>
  <si>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</si>
  <si>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</si>
  <si>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</si>
  <si>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</si>
  <si>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</si>
  <si>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</si>
  <si>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</si>
  <si>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</si>
  <si>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</si>
  <si>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</si>
  <si>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</si>
  <si>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</si>
  <si>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</si>
  <si>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</si>
  <si>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</si>
  <si>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</si>
  <si>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</si>
  <si>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</si>
  <si>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</si>
  <si>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</si>
  <si>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</si>
  <si>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</si>
  <si>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</si>
  <si>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</si>
  <si>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</si>
  <si>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</si>
  <si>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</si>
  <si>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</si>
  <si>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</si>
  <si>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</si>
  <si>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</si>
  <si>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</si>
  <si>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</si>
  <si>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</si>
  <si>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</si>
  <si>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</si>
  <si>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PA13: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</si>
  <si>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</si>
  <si>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</si>
  <si>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</si>
  <si>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</si>
  <si>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</si>
  <si>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</si>
  <si>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</si>
  <si>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</si>
  <si>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</si>
  <si>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</si>
  <si>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</si>
  <si>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</si>
  <si>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</si>
  <si>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</si>
  <si>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</si>
  <si>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</si>
  <si>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</si>
  <si>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</si>
  <si>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</si>
  <si>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</si>
  <si>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</si>
  <si>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</si>
  <si>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</si>
  <si>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</si>
  <si>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</si>
  <si>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</si>
  <si>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</si>
  <si>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</si>
  <si>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</si>
  <si>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</si>
  <si>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</si>
  <si>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</si>
  <si>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</si>
  <si>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</si>
  <si>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</si>
  <si>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</si>
  <si>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</si>
  <si>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</si>
  <si>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</si>
  <si>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</si>
  <si>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</si>
  <si>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</si>
  <si>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</si>
  <si>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</si>
  <si>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</si>
  <si>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</si>
  <si>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</si>
  <si>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</si>
  <si>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</si>
  <si>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</si>
  <si>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</si>
  <si>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</si>
  <si>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</si>
  <si>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</si>
  <si>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</si>
  <si>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</si>
  <si>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</si>
  <si>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</si>
  <si>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</si>
  <si>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</si>
  <si>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</si>
  <si>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</si>
  <si>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</si>
  <si>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</si>
  <si>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</si>
  <si>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</si>
  <si>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</si>
  <si>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</si>
  <si>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</si>
  <si>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</si>
  <si>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</si>
  <si>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</si>
  <si>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</si>
  <si>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</si>
  <si>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</si>
  <si>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</si>
  <si>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</si>
  <si>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</si>
  <si>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</si>
  <si>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</si>
  <si>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</si>
  <si>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</si>
  <si>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</si>
  <si>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</si>
  <si>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</si>
  <si>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</si>
  <si>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</si>
  <si>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</si>
  <si>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</si>
  <si>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</si>
  <si>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</si>
  <si>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</si>
  <si>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</si>
  <si>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</si>
  <si>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</si>
  <si>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</si>
  <si>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</si>
  <si>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</si>
  <si>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</si>
  <si>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</si>
  <si>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</si>
  <si>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</si>
  <si>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</si>
  <si>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</si>
  <si>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</si>
  <si>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</si>
  <si>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</si>
  <si>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</si>
  <si>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</si>
  <si>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</si>
  <si>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</si>
  <si>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</si>
  <si>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</si>
  <si>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</si>
  <si>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</si>
  <si>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</si>
  <si>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</si>
  <si>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</si>
  <si>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</si>
  <si>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</si>
  <si>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</si>
  <si>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</si>
  <si>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</si>
  <si>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</si>
  <si>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</si>
  <si>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</si>
  <si>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</si>
  <si>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</si>
  <si>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</si>
  <si>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</si>
  <si>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</si>
  <si>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</si>
  <si>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</si>
  <si>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</si>
  <si>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</si>
  <si>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</si>
  <si>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</si>
  <si>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</si>
  <si>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</si>
  <si>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</si>
  <si>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</si>
  <si>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</si>
  <si>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</si>
  <si>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</si>
  <si>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</si>
  <si>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</si>
  <si>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</si>
  <si>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</si>
  <si>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</si>
  <si>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</si>
  <si>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</si>
  <si>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</si>
  <si>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</si>
  <si>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</si>
  <si>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</si>
  <si>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</si>
  <si>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</si>
  <si>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</si>
  <si>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</si>
  <si>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</si>
  <si>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</si>
  <si>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</si>
  <si>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</si>
  <si>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</si>
  <si>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</si>
  <si>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</si>
  <si>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</si>
  <si>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</si>
  <si>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</si>
  <si>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</si>
  <si>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</si>
  <si>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</si>
  <si>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</si>
  <si>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</si>
  <si>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</si>
  <si>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</si>
  <si>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</si>
  <si>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</si>
  <si>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</si>
  <si>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</si>
  <si>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</si>
  <si>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</si>
  <si>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</si>
  <si>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</si>
  <si>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</si>
  <si>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</si>
  <si>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</si>
  <si>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</si>
  <si>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</si>
  <si>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</si>
  <si>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</si>
  <si>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</si>
  <si>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</si>
  <si>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</si>
  <si>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</si>
  <si>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</si>
  <si>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</si>
  <si>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</si>
  <si>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</si>
  <si>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</si>
  <si>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</si>
  <si>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</si>
  <si>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</si>
  <si>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</si>
  <si>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</si>
  <si>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</si>
  <si>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</si>
  <si>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</si>
  <si>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</si>
  <si>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</si>
  <si>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</si>
  <si>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</si>
  <si>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</si>
  <si>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</si>
  <si>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</si>
  <si>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</si>
  <si>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</si>
  <si>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</si>
  <si>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</si>
  <si>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</si>
  <si>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</si>
  <si>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</si>
  <si>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</si>
  <si>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</si>
  <si>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</si>
  <si>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</si>
  <si>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</si>
  <si>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</si>
  <si>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</si>
  <si>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</si>
  <si>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</si>
  <si>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</si>
  <si>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</si>
  <si>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</si>
  <si>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</si>
  <si>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</si>
  <si>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</si>
  <si>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</si>
  <si>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</si>
  <si>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</si>
  <si>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</si>
  <si>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</si>
  <si>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</si>
  <si>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</si>
  <si>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</si>
  <si>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</si>
  <si>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</si>
  <si>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</si>
  <si>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</si>
  <si>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</si>
  <si>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</si>
  <si>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</si>
  <si>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</si>
  <si>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</si>
  <si>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</si>
  <si>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</si>
  <si>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</si>
  <si>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</si>
  <si>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</si>
  <si>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</si>
  <si>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</si>
  <si>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</si>
  <si>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</si>
  <si>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</si>
  <si>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</si>
  <si>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</si>
  <si>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</si>
  <si>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</si>
  <si>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</si>
  <si>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</si>
  <si>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</si>
  <si>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</si>
  <si>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</si>
  <si>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</si>
  <si>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</si>
  <si>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</si>
  <si>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</si>
  <si>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</si>
  <si>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</si>
  <si>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</si>
  <si>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</si>
  <si>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</si>
  <si>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</si>
  <si>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</si>
  <si>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</si>
  <si>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</si>
  <si>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</si>
  <si>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</si>
  <si>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</si>
  <si>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</si>
  <si>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</si>
  <si>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</si>
  <si>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</si>
  <si>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</si>
  <si>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</si>
  <si>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</si>
  <si>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</si>
  <si>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</si>
  <si>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</si>
  <si>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</si>
  <si>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</si>
  <si>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</si>
  <si>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</si>
  <si>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</si>
  <si>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</si>
  <si>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</si>
  <si>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</si>
  <si>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</si>
  <si>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</si>
  <si>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</si>
  <si>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</si>
  <si>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</si>
  <si>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</si>
  <si>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</si>
  <si>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</si>
  <si>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</si>
  <si>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</si>
  <si>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</si>
  <si>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</si>
  <si>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</si>
  <si>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</si>
  <si>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</si>
  <si>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</si>
  <si>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</si>
  <si>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</si>
  <si>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</si>
  <si>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</si>
  <si>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</si>
  <si>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</si>
  <si>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</si>
  <si>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</si>
  <si>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</si>
  <si>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</si>
  <si>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</si>
  <si>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</si>
  <si>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</si>
  <si>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</si>
  <si>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</si>
  <si>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</si>
  <si>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</si>
  <si>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</si>
  <si>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</si>
  <si>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</si>
  <si>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</si>
  <si>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</si>
  <si>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</si>
  <si>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</si>
  <si>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</si>
  <si>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</si>
  <si>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</si>
  <si>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</si>
  <si>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</si>
  <si>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</si>
  <si>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</si>
  <si>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</si>
  <si>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</si>
  <si>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</si>
  <si>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</si>
  <si>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</si>
  <si>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</si>
  <si>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</si>
  <si>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</si>
  <si>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</si>
  <si>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</si>
  <si>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</si>
  <si>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</si>
  <si>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</si>
  <si>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</si>
  <si>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</si>
  <si>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</si>
  <si>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</si>
  <si>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</si>
  <si>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</si>
  <si>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</si>
  <si>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</si>
  <si>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</si>
  <si>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</si>
  <si>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</si>
  <si>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</si>
  <si>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</si>
  <si>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</si>
  <si>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</si>
  <si>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</si>
  <si>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</si>
  <si>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</si>
  <si>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</si>
  <si>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</si>
  <si>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</si>
  <si>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</si>
  <si>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</si>
  <si>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</si>
  <si>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</si>
  <si>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</si>
  <si>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</si>
  <si>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</si>
  <si>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</si>
  <si>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</si>
  <si>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</si>
  <si>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</si>
  <si>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</si>
  <si>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</si>
  <si>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</si>
  <si>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</si>
  <si>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</si>
  <si>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</si>
  <si>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</si>
  <si>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</si>
  <si>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</si>
  <si>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</si>
  <si>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</si>
  <si>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</si>
  <si>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</si>
  <si>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</si>
  <si>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</si>
  <si>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</si>
  <si>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</si>
  <si>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</si>
  <si>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</si>
  <si>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</si>
  <si>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</si>
  <si>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</si>
  <si>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</si>
  <si>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</si>
  <si>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</si>
  <si>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</si>
  <si>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</si>
  <si>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</si>
  <si>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</si>
  <si>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</si>
  <si>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</si>
  <si>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</si>
  <si>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</si>
  <si>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</si>
  <si>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</si>
  <si>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</si>
  <si>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</si>
  <si>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</si>
  <si>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</si>
  <si>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</si>
  <si>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</si>
  <si>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</si>
  <si>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</si>
  <si>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</si>
  <si>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</si>
  <si>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</si>
  <si>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</si>
  <si>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</si>
  <si>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</si>
  <si>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</si>
  <si>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</si>
  <si>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</si>
  <si>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</si>
  <si>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</si>
  <si>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</si>
  <si>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</si>
  <si>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</si>
  <si>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</si>
  <si>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</si>
  <si>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</si>
  <si>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</si>
  <si>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</si>
  <si>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</si>
  <si>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</si>
  <si>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</si>
  <si>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</si>
  <si>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</si>
  <si>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</si>
  <si>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</si>
  <si>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</si>
  <si>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</si>
  <si>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</si>
  <si>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</si>
  <si>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</si>
  <si>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</si>
  <si>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</si>
  <si>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</si>
  <si>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</si>
  <si>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</si>
  <si>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</si>
  <si>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</si>
  <si>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</si>
  <si>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</si>
  <si>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</si>
  <si>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</si>
  <si>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</si>
  <si>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</si>
  <si>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</si>
  <si>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</si>
  <si>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</si>
  <si>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</si>
  <si>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</si>
  <si>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</si>
  <si>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</si>
  <si>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</si>
  <si>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RA2: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</si>
  <si>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</si>
  <si>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</si>
  <si>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</si>
  <si>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</si>
  <si>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</si>
  <si>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</si>
  <si>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</si>
  <si>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</si>
  <si>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</si>
  <si>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</si>
  <si>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</si>
  <si>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</si>
  <si>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</si>
  <si>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</si>
  <si>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</si>
  <si>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</si>
  <si>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</si>
  <si>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</si>
  <si>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</si>
  <si>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</si>
  <si>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</si>
  <si>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</si>
  <si>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</si>
  <si>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</si>
  <si>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</si>
  <si>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</si>
  <si>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</si>
  <si>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</si>
  <si>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</si>
  <si>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</si>
  <si>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</si>
  <si>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</si>
  <si>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</si>
  <si>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</si>
  <si>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</si>
  <si>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</si>
  <si>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</si>
  <si>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</si>
  <si>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</si>
  <si>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</si>
  <si>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</si>
  <si>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</si>
  <si>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</si>
  <si>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</si>
  <si>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</si>
  <si>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</si>
  <si>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</si>
  <si>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</si>
  <si>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</si>
  <si>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</si>
  <si>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</si>
  <si>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</si>
  <si>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</si>
  <si>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</si>
  <si>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</si>
  <si>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</si>
  <si>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</si>
  <si>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</si>
  <si>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RA5: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</si>
  <si>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</si>
  <si>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</si>
  <si>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</si>
  <si>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</si>
  <si>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</si>
  <si>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</si>
  <si>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</si>
  <si>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</si>
  <si>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</si>
  <si>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</si>
  <si>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</si>
  <si>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</si>
  <si>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</si>
  <si>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</si>
  <si>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</si>
  <si>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</si>
  <si>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</si>
  <si>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</si>
  <si>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</si>
  <si>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</si>
  <si>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</si>
  <si>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</si>
  <si>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</si>
  <si>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</si>
  <si>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</si>
  <si>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</si>
  <si>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</si>
  <si>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</si>
  <si>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</si>
  <si>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</si>
  <si>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</si>
  <si>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</si>
  <si>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</si>
  <si>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</si>
  <si>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</si>
  <si>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</si>
  <si>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</si>
  <si>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</si>
  <si>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</si>
  <si>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</si>
  <si>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</si>
  <si>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</si>
  <si>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</si>
  <si>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</si>
  <si>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</si>
  <si>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</si>
  <si>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</si>
  <si>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</si>
  <si>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</si>
  <si>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</si>
  <si>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</si>
  <si>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</si>
  <si>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</si>
  <si>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</si>
  <si>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</si>
  <si>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</si>
  <si>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</si>
  <si>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</si>
  <si>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PA6: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</si>
  <si>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</si>
  <si>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</si>
  <si>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</si>
  <si>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</si>
  <si>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</si>
  <si>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</si>
  <si>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</si>
  <si>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</si>
  <si>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</si>
  <si>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</si>
  <si>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</si>
  <si>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</si>
  <si>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</si>
  <si>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</si>
  <si>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</si>
  <si>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</si>
  <si>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</si>
  <si>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</si>
  <si>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</si>
  <si>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</si>
  <si>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</si>
  <si>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</si>
  <si>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</si>
  <si>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</si>
  <si>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</si>
  <si>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</si>
  <si>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</si>
  <si>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</si>
  <si>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</si>
  <si>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</si>
  <si>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</si>
  <si>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</si>
  <si>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</si>
  <si>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</si>
  <si>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</si>
  <si>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</si>
  <si>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</si>
  <si>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</si>
  <si>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</si>
  <si>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</si>
  <si>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</si>
  <si>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</si>
  <si>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</si>
  <si>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</si>
  <si>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</si>
  <si>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</si>
  <si>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</si>
  <si>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</si>
  <si>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</si>
  <si>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</si>
  <si>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</si>
  <si>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</si>
  <si>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</si>
  <si>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</si>
  <si>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</si>
  <si>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</si>
  <si>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</si>
  <si>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PA9: "Atasan saya mampu merasakan apa yang saya rasakan". Butir SA8: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</si>
  <si>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</si>
  <si>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</si>
  <si>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</si>
  <si>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</si>
  <si>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</si>
  <si>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</si>
  <si>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</si>
  <si>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</si>
  <si>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</si>
  <si>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</si>
  <si>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</si>
  <si>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</si>
  <si>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</si>
  <si>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</si>
  <si>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</si>
  <si>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</si>
  <si>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</si>
  <si>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</si>
  <si>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</si>
  <si>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</si>
  <si>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</si>
  <si>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</si>
  <si>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</si>
  <si>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</si>
  <si>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</si>
  <si>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</si>
  <si>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</si>
  <si>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</si>
  <si>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</si>
  <si>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</si>
  <si>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</si>
  <si>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</si>
  <si>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</si>
  <si>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</si>
  <si>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</si>
  <si>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</si>
  <si>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</si>
  <si>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</si>
  <si>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</si>
  <si>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</si>
  <si>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</si>
  <si>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</si>
  <si>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</si>
  <si>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</si>
  <si>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</si>
  <si>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</si>
  <si>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</si>
  <si>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</si>
  <si>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</si>
  <si>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</si>
  <si>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</si>
  <si>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</si>
  <si>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PA14: "Ia memperlakukan saya berbeda dari rekan lain sesuai kesiapan saya pada tugas tertentu". Butir SA9: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</si>
  <si>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</si>
  <si>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</si>
  <si>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</si>
  <si>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</si>
  <si>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</si>
  <si>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</si>
  <si>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</si>
  <si>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</si>
  <si>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</si>
  <si>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</si>
  <si>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</si>
  <si>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</si>
  <si>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</si>
  <si>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</si>
  <si>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</si>
  <si>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</si>
  <si>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</si>
  <si>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</si>
  <si>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</si>
  <si>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</si>
  <si>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</si>
  <si>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</si>
  <si>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</si>
  <si>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</si>
  <si>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</si>
  <si>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</si>
  <si>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</si>
  <si>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</si>
  <si>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</si>
  <si>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</si>
  <si>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</si>
  <si>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</si>
  <si>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</si>
  <si>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</si>
  <si>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</si>
  <si>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</si>
  <si>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</si>
  <si>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</si>
  <si>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</si>
  <si>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</si>
  <si>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</si>
  <si>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</si>
  <si>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</si>
  <si>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</si>
  <si>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</si>
  <si>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</si>
  <si>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</si>
  <si>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</si>
  <si>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</si>
  <si>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</si>
  <si>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</si>
  <si>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</si>
  <si>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</si>
  <si>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</si>
  <si>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PA15: "Saya menganggapnya netral, tidak berpihak". Butir RA12: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</si>
  <si>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</si>
  <si>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</si>
  <si>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</si>
  <si>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</si>
  <si>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</si>
  <si>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</si>
  <si>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</si>
  <si>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</si>
  <si>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</si>
  <si>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</si>
  <si>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</si>
  <si>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</si>
  <si>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</si>
  <si>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</si>
  <si>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</si>
  <si>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</si>
  <si>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</si>
  <si>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</si>
  <si>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</si>
  <si>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</si>
  <si>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</si>
  <si>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</si>
  <si>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</si>
  <si>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</si>
  <si>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</si>
  <si>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</si>
  <si>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</si>
  <si>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</si>
  <si>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</si>
  <si>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</si>
  <si>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</si>
  <si>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</si>
  <si>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</si>
  <si>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</si>
  <si>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</si>
  <si>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</si>
  <si>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</si>
  <si>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</si>
  <si>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</si>
  <si>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</si>
  <si>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</si>
  <si>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</si>
  <si>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</si>
  <si>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</si>
  <si>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</si>
  <si>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</si>
  <si>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</si>
  <si>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</si>
  <si>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</si>
  <si>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</si>
  <si>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</si>
  <si>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</si>
  <si>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</si>
  <si>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</si>
  <si>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</si>
  <si>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</si>
  <si>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</si>
  <si>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</si>
  <si>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</si>
  <si>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CA1: "Ia cepat bisa memakai sistem atau prosedur baru"; "Ia mempelajarinya sendiri, tidak menunggu diajari". Butir CA2: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</si>
  <si>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</si>
  <si>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</si>
  <si>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</si>
  <si>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</si>
  <si>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</si>
  <si>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</si>
  <si>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</si>
  <si>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</si>
  <si>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</si>
  <si>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</si>
  <si>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</si>
  <si>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</si>
  <si>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</si>
  <si>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</si>
  <si>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</si>
  <si>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</si>
  <si>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</si>
  <si>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</si>
  <si>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</si>
  <si>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</si>
  <si>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</si>
  <si>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</si>
  <si>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</si>
  <si>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</si>
  <si>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</si>
  <si>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</si>
  <si>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</si>
  <si>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</si>
  <si>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</si>
  <si>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</si>
  <si>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</si>
  <si>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</si>
  <si>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</si>
  <si>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</si>
  <si>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</si>
  <si>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</si>
  <si>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</si>
  <si>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</si>
  <si>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</si>
  <si>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</si>
  <si>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</si>
  <si>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</si>
  <si>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</si>
  <si>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</si>
  <si>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</si>
  <si>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</si>
  <si>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</si>
  <si>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</si>
  <si>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</si>
  <si>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</si>
  <si>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</si>
  <si>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</si>
  <si>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</si>
  <si>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</si>
  <si>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</si>
  <si>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</si>
  <si>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</si>
  <si>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</si>
  <si>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</si>
  <si>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</si>
  <si>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CA3: "Ketika prioritas berubah mendadak, ia cepat kembali bekerja"; "Mutu kerjanya tidak turun saat ada perubahan mendadak". Butir CA4: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</si>
  <si>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</si>
  <si>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</si>
  <si>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</si>
  <si>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</si>
  <si>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</si>
  <si>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</si>
  <si>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</si>
  <si>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</si>
  <si>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</si>
  <si>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</si>
  <si>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</si>
  <si>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</si>
  <si>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</si>
  <si>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</si>
  <si>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</si>
  <si>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</si>
  <si>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</si>
  <si>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</si>
  <si>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</si>
  <si>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</si>
  <si>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</si>
  <si>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</si>
  <si>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</si>
  <si>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</si>
  <si>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</si>
  <si>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</si>
  <si>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</si>
  <si>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</si>
  <si>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</si>
  <si>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</si>
  <si>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</si>
  <si>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</si>
  <si>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</si>
  <si>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</si>
  <si>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</si>
  <si>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</si>
  <si>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</si>
  <si>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</si>
  <si>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</si>
  <si>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</si>
  <si>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</si>
  <si>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</si>
  <si>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</si>
  <si>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</si>
  <si>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</si>
  <si>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</si>
  <si>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</si>
  <si>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</si>
  <si>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</si>
  <si>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</si>
  <si>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</si>
  <si>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</si>
  <si>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</si>
  <si>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</si>
  <si>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</si>
  <si>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</si>
  <si>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</si>
  <si>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CA5: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</si>
  <si>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</si>
  <si>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</si>
  <si>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</si>
  <si>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</si>
  <si>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</si>
  <si>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</si>
  <si>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</si>
  <si>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</si>
  <si>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</si>
  <si>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</si>
  <si>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</si>
  <si>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</si>
  <si>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</si>
  <si>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</si>
  <si>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</si>
  <si>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</si>
  <si>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</si>
  <si>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</si>
  <si>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</si>
  <si>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</si>
  <si>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</si>
  <si>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</si>
  <si>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</si>
  <si>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</si>
  <si>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</si>
  <si>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</si>
  <si>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</si>
  <si>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</si>
  <si>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</si>
  <si>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</si>
  <si>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</si>
  <si>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</si>
  <si>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</si>
  <si>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</si>
  <si>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</si>
  <si>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</si>
  <si>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</si>
  <si>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</si>
  <si>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</si>
  <si>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</si>
  <si>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</si>
  <si>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</si>
  <si>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</si>
  <si>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</si>
  <si>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</si>
  <si>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</si>
  <si>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</si>
  <si>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</si>
  <si>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</si>
  <si>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</si>
  <si>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</si>
  <si>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</si>
  <si>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</si>
  <si>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</si>
  <si>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</si>
  <si>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</si>
  <si>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</si>
  <si>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</si>
  <si>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CA7: "Ia mengusulkan perbaikan tanpa menunggu diminta"; "Usulannya realistis dan dapat dijalankan"; "Ia tidak berhenti pada penolakan pertama". Butir PA9: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</si>
  <si>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</si>
  <si>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</si>
  <si>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</si>
  <si>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</si>
  <si>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</si>
  <si>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</si>
  <si>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</si>
  <si>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</si>
  <si>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</si>
  <si>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</si>
  <si>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</si>
  <si>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</si>
  <si>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</si>
  <si>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</si>
  <si>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</si>
  <si>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</si>
  <si>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</si>
  <si>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</si>
  <si>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</si>
  <si>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</si>
  <si>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</si>
  <si>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</si>
  <si>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</si>
  <si>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</si>
  <si>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</si>
  <si>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</si>
  <si>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</si>
  <si>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</si>
  <si>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</si>
  <si>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</si>
  <si>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</si>
  <si>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</si>
  <si>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</si>
  <si>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</si>
  <si>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</si>
  <si>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</si>
  <si>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</si>
  <si>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</si>
  <si>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</si>
  <si>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</si>
  <si>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</si>
  <si>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</si>
  <si>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</si>
  <si>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</si>
  <si>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</si>
  <si>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</si>
  <si>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</si>
  <si>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</si>
  <si>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</si>
  <si>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</si>
  <si>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</si>
  <si>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</si>
  <si>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</si>
  <si>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</si>
  <si>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</si>
  <si>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</si>
  <si>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</si>
  <si>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</si>
  <si>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</si>
  <si>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</si>
  <si>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</si>
  <si>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CA9: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</si>
  <si>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</si>
  <si>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</si>
  <si>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</si>
  <si>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</si>
  <si>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</si>
  <si>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</si>
  <si>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</si>
  <si>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</si>
  <si>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</si>
  <si>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</si>
  <si>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</si>
  <si>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</si>
  <si>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</si>
  <si>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</si>
  <si>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</si>
  <si>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</si>
  <si>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</si>
  <si>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</si>
  <si>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</si>
  <si>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</si>
  <si>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</si>
  <si>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</si>
  <si>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</si>
  <si>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</si>
  <si>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</si>
  <si>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</si>
  <si>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</si>
  <si>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</si>
  <si>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</si>
  <si>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</si>
  <si>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</si>
  <si>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</si>
  <si>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</si>
  <si>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</si>
  <si>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</si>
  <si>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</si>
  <si>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</si>
  <si>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</si>
  <si>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</si>
  <si>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</si>
  <si>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</si>
  <si>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</si>
  <si>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</si>
  <si>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</si>
  <si>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</si>
  <si>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</si>
  <si>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</si>
  <si>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</si>
  <si>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</si>
  <si>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</si>
  <si>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</si>
  <si>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</si>
  <si>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</si>
  <si>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</si>
  <si>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</si>
  <si>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</si>
  <si>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</si>
  <si>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</si>
  <si>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</si>
  <si>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</si>
  <si>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khusus CA10: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</si>
  <si>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</si>
  <si>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</si>
  <si>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</si>
  <si>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</si>
  <si>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</si>
  <si>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</si>
  <si>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</si>
  <si>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</si>
  <si>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</si>
  <si>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</si>
  <si>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</si>
  <si>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</si>
  <si>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</si>
  <si>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</si>
  <si>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</si>
  <si>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</si>
  <si>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</si>
  <si>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</si>
  <si>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</si>
  <si>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</si>
  <si>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</si>
  <si>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</si>
  <si>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</si>
  <si>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</si>
  <si>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</si>
  <si>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</si>
  <si>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</si>
  <si>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</si>
  <si>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</si>
  <si>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</si>
  <si>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</si>
  <si>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</si>
  <si>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</si>
  <si>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</si>
  <si>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</si>
  <si>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</si>
  <si>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</si>
  <si>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</si>
  <si>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</si>
  <si>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</si>
  <si>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</si>
  <si>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</si>
  <si>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</si>
  <si>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</si>
  <si>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</si>
  <si>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</si>
  <si>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</si>
  <si>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</si>
  <si>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</si>
  <si>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</si>
  <si>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</si>
  <si>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</si>
  <si>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</si>
  <si>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</si>
  <si>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</si>
  <si>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</si>
  <si>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</si>
  <si>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</si>
  <si>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</si>
  <si>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</si>
  <si>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</si>
  <si>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</si>
  <si>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</si>
  <si>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</si>
  <si>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</si>
  <si>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</si>
  <si>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</si>
  <si>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</si>
  <si>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</si>
  <si>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</si>
  <si>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</si>
  <si>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</si>
  <si>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</si>
  <si>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</si>
  <si>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</si>
  <si>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</si>
  <si>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</si>
  <si>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</si>
  <si>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</si>
  <si>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</si>
  <si>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</si>
  <si>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</si>
  <si>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</si>
  <si>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</si>
  <si>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</si>
  <si>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</si>
  <si>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</si>
  <si>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</si>
  <si>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</si>
  <si>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</si>
  <si>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</si>
  <si>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</si>
  <si>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</si>
  <si>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</si>
  <si>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</si>
  <si>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</si>
  <si>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</si>
  <si>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</si>
  <si>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</si>
  <si>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</si>
  <si>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</si>
  <si>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</si>
  <si>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</si>
  <si>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</si>
  <si>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</si>
  <si>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</si>
  <si>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</si>
  <si>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</si>
  <si>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</si>
  <si>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</si>
  <si>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</si>
  <si>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</si>
  <si>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</si>
  <si>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</si>
  <si>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</si>
  <si>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</si>
  <si>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</si>
  <si>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</si>
  <si>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</si>
  <si>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</si>
  <si>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</si>
  <si>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</si>
  <si>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</si>
  <si>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</si>
  <si>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</si>
  <si>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</si>
  <si>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</si>
  <si>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</si>
  <si>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</si>
  <si>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</si>
  <si>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</si>
  <si>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</si>
  <si>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</si>
  <si>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</si>
  <si>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</si>
  <si>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</si>
  <si>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</si>
  <si>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</si>
  <si>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</si>
  <si>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</si>
  <si>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</si>
  <si>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</si>
  <si>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</si>
  <si>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</si>
  <si>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</si>
  <si>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</si>
  <si>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</si>
  <si>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</si>
  <si>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</si>
  <si>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</si>
  <si>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</si>
  <si>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</si>
  <si>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</si>
  <si>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</si>
  <si>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</si>
  <si>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</si>
  <si>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</si>
  <si>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</si>
  <si>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</si>
  <si>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</si>
  <si>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</si>
  <si>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</si>
  <si>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</si>
  <si>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</si>
  <si>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</si>
  <si>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</si>
  <si>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</si>
  <si>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</si>
  <si>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</si>
  <si>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</si>
  <si>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</si>
  <si>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</si>
  <si>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</si>
  <si>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</si>
  <si>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</si>
  <si>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</si>
  <si>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</si>
  <si>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</si>
  <si>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</si>
  <si>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</si>
  <si>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</si>
  <si>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</si>
  <si>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</si>
  <si>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</si>
  <si>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</si>
  <si>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</si>
  <si>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</si>
  <si>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</si>
  <si>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</si>
  <si>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</si>
  <si>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</si>
  <si>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</si>
  <si>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</si>
  <si>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</si>
  <si>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</si>
  <si>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</si>
  <si>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</si>
  <si>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</si>
  <si>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</si>
  <si>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</si>
  <si>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</si>
  <si>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</si>
  <si>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</si>
  <si>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</si>
  <si>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</si>
  <si>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</si>
  <si>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</si>
  <si>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</si>
  <si>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</si>
  <si>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</si>
  <si>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</si>
  <si>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</si>
  <si>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</si>
  <si>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</si>
  <si>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</si>
  <si>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</si>
  <si>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</si>
  <si>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</si>
  <si>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</si>
  <si>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</si>
  <si>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</si>
  <si>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</si>
  <si>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</si>
  <si>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</si>
  <si>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</si>
  <si>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</si>
  <si>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</si>
  <si>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</si>
  <si>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</si>
  <si>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</si>
  <si>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</si>
  <si>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RA9: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</si>
  <si>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</si>
  <si>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</si>
  <si>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</si>
  <si>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</si>
  <si>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</si>
  <si>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</si>
  <si>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</si>
  <si>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</si>
  <si>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</si>
  <si>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</si>
  <si>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</si>
  <si>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</si>
  <si>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</si>
  <si>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</si>
  <si>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</si>
  <si>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</si>
  <si>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</si>
  <si>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</si>
  <si>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</si>
  <si>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</si>
  <si>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</si>
  <si>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</si>
  <si>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</si>
  <si>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</si>
  <si>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</si>
  <si>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</si>
  <si>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</si>
  <si>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</si>
  <si>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</si>
  <si>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</si>
  <si>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</si>
  <si>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</si>
  <si>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</si>
  <si>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</si>
  <si>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</si>
  <si>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</si>
  <si>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</si>
  <si>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</si>
  <si>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</si>
  <si>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</si>
  <si>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</si>
  <si>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</si>
  <si>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</si>
  <si>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RA11: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</si>
  <si>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</si>
  <si>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</si>
  <si>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</si>
  <si>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</si>
  <si>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</si>
  <si>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</si>
  <si>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</si>
  <si>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</si>
  <si>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</si>
  <si>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</si>
  <si>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</si>
  <si>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</si>
  <si>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</si>
  <si>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</si>
  <si>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</si>
  <si>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</si>
  <si>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</si>
  <si>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</si>
  <si>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</si>
  <si>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</si>
  <si>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</si>
  <si>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</si>
  <si>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</si>
  <si>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</si>
  <si>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</si>
  <si>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</si>
  <si>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</si>
  <si>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</si>
  <si>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</si>
  <si>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</si>
  <si>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</si>
  <si>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</si>
  <si>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</si>
  <si>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</si>
  <si>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</si>
  <si>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</si>
  <si>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</si>
  <si>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</si>
  <si>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</si>
  <si>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</si>
  <si>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</si>
  <si>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</si>
  <si>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</si>
  <si>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</si>
  <si>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</si>
  <si>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</si>
  <si>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</si>
  <si>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</si>
  <si>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</si>
  <si>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</si>
  <si>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</si>
  <si>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RA12: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</si>
  <si>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</si>
  <si>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</si>
  <si>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</si>
  <si>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</si>
  <si>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</si>
  <si>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</si>
  <si>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</si>
  <si>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</si>
  <si>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</si>
  <si>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</si>
  <si>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</si>
  <si>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</si>
  <si>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</si>
  <si>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</si>
  <si>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</si>
  <si>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</si>
  <si>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</si>
  <si>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</si>
  <si>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</si>
  <si>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</si>
  <si>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</si>
  <si>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</si>
  <si>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</si>
  <si>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</si>
  <si>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</si>
  <si>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</si>
  <si>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</si>
  <si>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</si>
  <si>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</si>
  <si>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</si>
  <si>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</si>
  <si>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</si>
  <si>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</si>
  <si>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</si>
  <si>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</si>
  <si>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</si>
  <si>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</si>
  <si>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</si>
  <si>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</si>
  <si>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</si>
  <si>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</si>
  <si>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</si>
  <si>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</si>
  <si>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</si>
  <si>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</si>
  <si>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</si>
  <si>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</si>
  <si>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</si>
  <si>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</si>
  <si>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</si>
  <si>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</si>
  <si>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</si>
  <si>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</si>
  <si>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</si>
  <si>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</si>
  <si>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</si>
  <si>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</si>
  <si>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</si>
  <si>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</si>
  <si>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</si>
  <si>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</si>
  <si>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</si>
  <si>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</si>
  <si>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</si>
  <si>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</si>
  <si>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</si>
  <si>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</si>
  <si>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</si>
  <si>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</si>
  <si>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</si>
  <si>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</si>
  <si>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</si>
  <si>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</si>
  <si>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</si>
  <si>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</si>
  <si>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</si>
  <si>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</si>
  <si>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</si>
  <si>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</si>
  <si>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</si>
  <si>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</si>
  <si>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</si>
  <si>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</si>
  <si>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</si>
  <si>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</si>
  <si>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</si>
  <si>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</si>
  <si>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</si>
  <si>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</si>
  <si>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</si>
  <si>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</si>
  <si>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</si>
  <si>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</si>
  <si>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</si>
  <si>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</si>
  <si>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</si>
  <si>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</si>
  <si>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</si>
  <si>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</si>
  <si>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</si>
  <si>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</si>
  <si>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</si>
  <si>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</si>
  <si>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</si>
  <si>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</si>
  <si>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</si>
  <si>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</si>
  <si>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</si>
  <si>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</si>
  <si>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</si>
  <si>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</si>
  <si>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</si>
  <si>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</si>
  <si>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</si>
  <si>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</si>
  <si>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</si>
  <si>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</si>
  <si>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</si>
  <si>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</si>
  <si>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</si>
  <si>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</si>
  <si>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</si>
  <si>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</si>
  <si>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</si>
  <si>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</si>
  <si>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</si>
  <si>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</si>
  <si>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</si>
  <si>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</si>
  <si>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</si>
  <si>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</si>
  <si>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</si>
  <si>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</si>
  <si>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</si>
  <si>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</si>
  <si>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</si>
  <si>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</si>
  <si>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</si>
  <si>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</si>
  <si>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</si>
  <si>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</si>
  <si>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</si>
  <si>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</si>
  <si>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</si>
  <si>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</si>
  <si>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</si>
  <si>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</si>
  <si>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</si>
  <si>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</si>
  <si>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</si>
  <si>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</si>
  <si>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</si>
  <si>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</si>
  <si>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</si>
  <si>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</si>
  <si>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</si>
  <si>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</si>
  <si>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</si>
  <si>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</si>
  <si>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</si>
  <si>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</si>
  <si>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</si>
  <si>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</si>
  <si>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</si>
  <si>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</si>
  <si>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</si>
  <si>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</si>
  <si>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</si>
  <si>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</si>
  <si>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</si>
  <si>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RA7: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</si>
  <si>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</si>
  <si>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</si>
  <si>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</si>
  <si>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</si>
  <si>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</si>
  <si>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</si>
  <si>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</si>
  <si>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</si>
  <si>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</si>
  <si>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</si>
  <si>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</si>
  <si>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</si>
  <si>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</si>
  <si>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</si>
  <si>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</si>
  <si>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</si>
  <si>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</si>
  <si>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</si>
  <si>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</si>
  <si>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</si>
  <si>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</si>
  <si>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</si>
  <si>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</si>
  <si>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</si>
  <si>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</si>
  <si>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</si>
  <si>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</si>
  <si>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</si>
  <si>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</si>
  <si>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</si>
  <si>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</si>
  <si>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</si>
  <si>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</si>
  <si>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</si>
  <si>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</si>
  <si>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</si>
  <si>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</si>
  <si>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</si>
  <si>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</si>
  <si>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</si>
  <si>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</si>
  <si>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</si>
  <si>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</si>
  <si>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</si>
  <si>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</si>
  <si>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</si>
  <si>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</si>
  <si>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</si>
  <si>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</si>
  <si>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</si>
  <si>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</si>
  <si>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</si>
  <si>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</si>
  <si>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</si>
  <si>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</si>
  <si>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</si>
  <si>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</si>
  <si>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</si>
  <si>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CA8: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</si>
  <si>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</si>
  <si>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</si>
  <si>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</si>
  <si>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</si>
  <si>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</si>
  <si>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</si>
  <si>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</si>
  <si>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</si>
  <si>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</si>
  <si>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</si>
  <si>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</si>
  <si>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</si>
  <si>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</si>
  <si>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</si>
  <si>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</si>
  <si>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</si>
  <si>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</si>
  <si>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</si>
  <si>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</si>
  <si>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</si>
  <si>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</si>
  <si>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</si>
  <si>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</si>
  <si>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</si>
  <si>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</si>
  <si>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</si>
  <si>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</si>
  <si>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</si>
  <si>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</si>
  <si>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</si>
  <si>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</si>
  <si>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</si>
  <si>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</si>
  <si>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</si>
  <si>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</si>
  <si>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</si>
  <si>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</si>
  <si>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</si>
  <si>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</si>
  <si>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</si>
  <si>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</si>
  <si>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</si>
  <si>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</si>
  <si>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</si>
  <si>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</si>
  <si>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</si>
  <si>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</si>
  <si>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</si>
  <si>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</si>
  <si>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</si>
  <si>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</si>
  <si>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MA9: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</si>
  <si>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</si>
  <si>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</si>
  <si>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</si>
  <si>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</si>
  <si>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</si>
  <si>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</si>
  <si>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</si>
  <si>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</si>
  <si>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</si>
  <si>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</si>
  <si>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</si>
  <si>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</si>
  <si>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</si>
  <si>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</si>
  <si>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</si>
  <si>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</si>
  <si>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</si>
  <si>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</si>
  <si>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</si>
  <si>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</si>
  <si>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</si>
  <si>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</si>
  <si>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</si>
  <si>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</si>
  <si>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</si>
  <si>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</si>
  <si>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</si>
  <si>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</si>
  <si>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</si>
  <si>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</si>
  <si>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</si>
  <si>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</si>
  <si>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</si>
  <si>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</si>
  <si>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</si>
  <si>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</si>
  <si>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</si>
  <si>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</si>
  <si>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</si>
  <si>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</si>
  <si>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</si>
  <si>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</si>
  <si>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</si>
  <si>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</si>
  <si>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MA10: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</si>
  <si>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</si>
  <si>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</si>
  <si>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</si>
  <si>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</si>
  <si>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</si>
  <si>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</si>
  <si>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</si>
  <si>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</si>
  <si>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</si>
  <si>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</si>
  <si>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</si>
  <si>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</si>
  <si>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</si>
  <si>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</si>
  <si>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</si>
  <si>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</si>
  <si>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</si>
  <si>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</si>
  <si>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</si>
  <si>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</si>
  <si>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</si>
  <si>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</si>
  <si>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</si>
  <si>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</si>
  <si>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</si>
  <si>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</si>
  <si>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</si>
  <si>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</si>
  <si>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</si>
  <si>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</si>
  <si>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</si>
  <si>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</si>
  <si>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</si>
  <si>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</si>
  <si>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</si>
  <si>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</si>
  <si>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</si>
  <si>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</si>
  <si>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</si>
  <si>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</si>
  <si>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</si>
  <si>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</si>
  <si>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</si>
  <si>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</si>
  <si>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</si>
  <si>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</si>
  <si>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</si>
  <si>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</si>
  <si>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</si>
  <si>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</si>
  <si>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</si>
  <si>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</si>
  <si>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</si>
  <si>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</si>
  <si>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</si>
  <si>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</si>
  <si>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</si>
  <si>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</si>
  <si>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</si>
  <si>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MA1: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</si>
  <si>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</si>
  <si>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</si>
  <si>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</si>
  <si>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</si>
  <si>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</si>
  <si>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</si>
  <si>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</si>
  <si>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</si>
  <si>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</si>
  <si>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</si>
  <si>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</si>
  <si>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</si>
  <si>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</si>
  <si>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</si>
  <si>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</si>
  <si>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</si>
  <si>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</si>
  <si>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</si>
  <si>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</si>
  <si>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</si>
  <si>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</si>
  <si>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</si>
  <si>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</si>
  <si>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</si>
  <si>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</si>
  <si>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</si>
  <si>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</si>
  <si>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</si>
  <si>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</si>
  <si>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</si>
  <si>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</si>
  <si>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</si>
  <si>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</si>
  <si>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</si>
  <si>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</si>
  <si>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</si>
  <si>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</si>
  <si>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</si>
  <si>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</si>
  <si>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</si>
  <si>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</si>
  <si>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</si>
  <si>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</si>
  <si>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</si>
  <si>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</si>
  <si>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</si>
  <si>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</si>
  <si>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</si>
  <si>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</si>
  <si>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</si>
  <si>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</si>
  <si>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</si>
  <si>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</si>
  <si>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</si>
  <si>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</si>
  <si>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</si>
  <si>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</si>
  <si>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</si>
  <si>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</si>
  <si>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MA4: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</si>
  <si>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</si>
  <si>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</si>
  <si>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</si>
  <si>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</si>
  <si>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</si>
  <si>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</si>
  <si>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</si>
  <si>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</si>
  <si>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</si>
  <si>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</si>
  <si>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</si>
  <si>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</si>
  <si>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</si>
  <si>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</si>
  <si>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</si>
  <si>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</si>
  <si>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</si>
  <si>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</si>
  <si>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</si>
  <si>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</si>
  <si>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</si>
  <si>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</si>
  <si>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</si>
  <si>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</si>
  <si>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</si>
  <si>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</si>
  <si>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</si>
  <si>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</si>
  <si>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</si>
  <si>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</si>
  <si>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</si>
  <si>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</si>
  <si>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</si>
  <si>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</si>
  <si>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</si>
  <si>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</si>
  <si>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</si>
  <si>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</si>
  <si>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</si>
  <si>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</si>
  <si>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</si>
  <si>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</si>
  <si>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</si>
  <si>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</si>
  <si>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</si>
  <si>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</si>
  <si>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</si>
  <si>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</si>
  <si>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</si>
  <si>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</si>
  <si>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</si>
  <si>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</si>
  <si>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</si>
  <si>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</si>
  <si>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</si>
  <si>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</si>
  <si>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</si>
  <si>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CA6: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</si>
  <si>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</si>
  <si>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</si>
  <si>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</si>
  <si>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</si>
  <si>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</si>
  <si>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</si>
  <si>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</si>
  <si>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</si>
  <si>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</si>
  <si>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</si>
  <si>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</si>
  <si>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</si>
  <si>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</si>
  <si>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</si>
  <si>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</si>
  <si>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</si>
  <si>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</si>
  <si>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</si>
  <si>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</si>
  <si>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</si>
  <si>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</si>
  <si>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</si>
  <si>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</si>
  <si>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</si>
  <si>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</si>
  <si>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</si>
  <si>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</si>
  <si>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</si>
  <si>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</si>
  <si>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</si>
  <si>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</si>
  <si>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</si>
  <si>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</si>
  <si>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</si>
  <si>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</si>
  <si>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</si>
  <si>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</si>
  <si>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</si>
  <si>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</si>
  <si>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</si>
  <si>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</si>
  <si>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</si>
  <si>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</si>
  <si>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</si>
  <si>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</si>
  <si>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</si>
  <si>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</si>
  <si>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</si>
  <si>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</si>
  <si>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</si>
  <si>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</si>
  <si>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</si>
  <si>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</si>
  <si>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</si>
  <si>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</si>
  <si>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</si>
  <si>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RA9: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</si>
  <si>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</si>
  <si>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</si>
  <si>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</si>
  <si>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</si>
  <si>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</si>
  <si>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</si>
  <si>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</si>
  <si>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</si>
  <si>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</si>
  <si>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</si>
  <si>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</si>
  <si>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</si>
  <si>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</si>
  <si>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</si>
  <si>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</si>
  <si>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</si>
  <si>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</si>
  <si>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</si>
  <si>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</si>
  <si>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</si>
  <si>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</si>
  <si>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</si>
  <si>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</si>
  <si>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</si>
  <si>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</si>
  <si>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</si>
  <si>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</si>
  <si>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</si>
  <si>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</si>
  <si>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</si>
  <si>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</si>
  <si>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</si>
  <si>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</si>
  <si>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</si>
  <si>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</si>
  <si>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</si>
  <si>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</si>
  <si>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</si>
  <si>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</si>
  <si>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</si>
  <si>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</si>
  <si>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</si>
  <si>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</si>
  <si>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</si>
  <si>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</si>
  <si>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</si>
  <si>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</si>
  <si>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</si>
  <si>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</si>
  <si>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</si>
  <si>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</si>
  <si>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</si>
  <si>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</si>
  <si>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</si>
  <si>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MA9: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</si>
  <si>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</si>
  <si>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</si>
  <si>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</si>
  <si>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</si>
  <si>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</si>
  <si>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</si>
  <si>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</si>
  <si>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</si>
  <si>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</si>
  <si>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</si>
  <si>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</si>
  <si>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</si>
  <si>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</si>
  <si>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</si>
  <si>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</si>
  <si>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</si>
  <si>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</si>
  <si>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</si>
  <si>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</si>
  <si>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</si>
  <si>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</si>
  <si>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</si>
  <si>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</si>
  <si>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</si>
  <si>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</si>
  <si>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</si>
  <si>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</si>
  <si>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</si>
  <si>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</si>
  <si>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</si>
  <si>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</si>
  <si>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</si>
  <si>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</si>
  <si>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</si>
  <si>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</si>
  <si>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</si>
  <si>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</si>
  <si>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</si>
  <si>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</si>
  <si>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</si>
  <si>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</si>
  <si>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</si>
  <si>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</si>
  <si>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</si>
  <si>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</si>
  <si>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</si>
  <si>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</si>
  <si>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</si>
  <si>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</si>
  <si>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MA10: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</si>
  <si>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</si>
  <si>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</si>
  <si>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</si>
  <si>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</si>
  <si>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</si>
  <si>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</si>
  <si>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</si>
  <si>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</si>
  <si>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</si>
  <si>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</si>
  <si>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</si>
  <si>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</si>
  <si>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</si>
  <si>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</si>
  <si>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</si>
  <si>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</si>
  <si>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</si>
  <si>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</si>
  <si>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</si>
  <si>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</si>
  <si>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</si>
  <si>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</si>
  <si>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</si>
  <si>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</si>
  <si>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</si>
  <si>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</si>
  <si>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</si>
  <si>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</si>
  <si>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</si>
  <si>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</si>
  <si>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</si>
  <si>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</si>
  <si>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</si>
  <si>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</si>
  <si>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</si>
  <si>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</si>
  <si>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</si>
  <si>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</si>
  <si>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</si>
  <si>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</si>
  <si>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</si>
  <si>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</si>
  <si>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</si>
  <si>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</si>
  <si>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</si>
  <si>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</si>
  <si>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</si>
  <si>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</si>
  <si>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</si>
  <si>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</si>
  <si>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</si>
  <si>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</si>
  <si>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</si>
  <si>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</si>
  <si>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</si>
  <si>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</si>
  <si>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</si>
  <si>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</si>
  <si>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</si>
  <si>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</si>
  <si>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</si>
  <si>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</si>
  <si>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</si>
  <si>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</si>
  <si>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</si>
  <si>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</si>
  <si>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</si>
  <si>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</si>
  <si>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</si>
  <si>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</si>
  <si>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</si>
  <si>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</si>
  <si>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</si>
  <si>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</si>
  <si>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</si>
  <si>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</si>
  <si>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</si>
  <si>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</si>
  <si>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</si>
  <si>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</si>
  <si>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</si>
  <si>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</si>
  <si>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</si>
  <si>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</si>
  <si>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</si>
  <si>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</si>
  <si>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</si>
  <si>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</si>
  <si>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</si>
  <si>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</si>
  <si>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</si>
  <si>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</si>
  <si>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</si>
  <si>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</si>
  <si>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</si>
  <si>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</si>
  <si>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</si>
  <si>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</si>
  <si>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</si>
  <si>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</si>
  <si>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</si>
  <si>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</si>
  <si>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</si>
  <si>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</si>
  <si>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</si>
  <si>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</si>
  <si>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</si>
  <si>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</si>
  <si>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</si>
  <si>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</si>
  <si>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</si>
  <si>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</si>
  <si>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</si>
  <si>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</si>
  <si>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</si>
  <si>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</si>
  <si>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</si>
  <si>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</si>
  <si>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</si>
  <si>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</si>
  <si>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</si>
  <si>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</si>
  <si>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</si>
  <si>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</si>
  <si>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</si>
  <si>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</si>
  <si>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</si>
  <si>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</si>
  <si>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</si>
  <si>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</si>
  <si>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</si>
  <si>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</si>
  <si>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</si>
  <si>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</si>
  <si>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</si>
  <si>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</si>
  <si>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</si>
  <si>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</si>
  <si>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</si>
  <si>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</si>
  <si>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</si>
  <si>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</si>
  <si>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</si>
  <si>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</si>
  <si>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</si>
  <si>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</si>
  <si>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</si>
  <si>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</si>
  <si>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</si>
  <si>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</si>
  <si>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</si>
  <si>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</si>
  <si>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</si>
  <si>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</si>
  <si>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</si>
  <si>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</si>
  <si>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</si>
  <si>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</si>
  <si>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</si>
  <si>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</si>
  <si>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</si>
  <si>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</si>
  <si>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</si>
  <si>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</si>
  <si>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</si>
  <si>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</si>
  <si>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</si>
  <si>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</si>
  <si>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</si>
  <si>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</si>
  <si>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</si>
  <si>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</si>
  <si>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</si>
  <si>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</si>
  <si>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</si>
  <si>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</si>
  <si>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</si>
  <si>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</si>
  <si>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</si>
  <si>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</si>
  <si>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</si>
  <si>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</si>
  <si>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</si>
  <si>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</si>
  <si>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</si>
  <si>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</si>
  <si>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</si>
  <si>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</si>
  <si>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</si>
  <si>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</si>
  <si>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</si>
  <si>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</si>
  <si>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</si>
  <si>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</si>
  <si>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</si>
  <si>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</si>
  <si>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</si>
  <si>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</si>
  <si>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</si>
  <si>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</si>
  <si>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</si>
  <si>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</si>
  <si>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</si>
  <si>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</si>
  <si>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</si>
  <si>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</si>
  <si>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</si>
  <si>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</si>
  <si>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</si>
  <si>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</si>
  <si>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</si>
  <si>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</si>
  <si>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</si>
  <si>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</si>
  <si>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</si>
  <si>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</si>
  <si>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</si>
  <si>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</si>
  <si>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</si>
  <si>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</si>
  <si>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</si>
  <si>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</si>
  <si>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</si>
  <si>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</si>
  <si>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</si>
  <si>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</si>
  <si>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</si>
  <si>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</si>
  <si>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</si>
  <si>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</si>
  <si>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</si>
  <si>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</si>
  <si>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</si>
  <si>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</si>
  <si>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</si>
  <si>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</si>
  <si>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</si>
  <si>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</si>
  <si>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</si>
  <si>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</si>
  <si>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</si>
  <si>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</si>
  <si>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</si>
  <si>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</si>
  <si>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</si>
  <si>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</si>
  <si>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</si>
  <si>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CA8: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</si>
  <si>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</si>
  <si>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</si>
  <si>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</si>
  <si>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</si>
  <si>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</si>
  <si>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</si>
  <si>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</si>
  <si>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</si>
  <si>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</si>
  <si>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</si>
  <si>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</si>
  <si>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</si>
  <si>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</si>
  <si>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</si>
  <si>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</si>
  <si>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</si>
  <si>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</si>
  <si>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</si>
  <si>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</si>
  <si>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</si>
  <si>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</si>
  <si>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</si>
  <si>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</si>
  <si>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</si>
  <si>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</si>
  <si>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</si>
  <si>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</si>
  <si>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</si>
  <si>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</si>
  <si>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</si>
  <si>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</si>
  <si>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</si>
  <si>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</si>
  <si>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</si>
  <si>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</si>
  <si>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</si>
  <si>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</si>
  <si>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</si>
  <si>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</si>
  <si>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</si>
  <si>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</si>
  <si>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</si>
  <si>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</si>
  <si>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</si>
  <si>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</si>
  <si>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</si>
  <si>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</si>
  <si>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</si>
  <si>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</si>
  <si>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</si>
  <si>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</si>
  <si>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</si>
  <si>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</si>
  <si>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</si>
  <si>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</si>
  <si>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PA12: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</si>
  <si>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</si>
  <si>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</si>
  <si>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</si>
  <si>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</si>
  <si>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</si>
  <si>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</si>
  <si>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</si>
  <si>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</si>
  <si>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</si>
  <si>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</si>
  <si>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</si>
  <si>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</si>
  <si>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</si>
  <si>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</si>
  <si>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</si>
  <si>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</si>
  <si>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</si>
  <si>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</si>
  <si>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</si>
  <si>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</si>
  <si>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</si>
  <si>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</si>
  <si>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</si>
  <si>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</si>
  <si>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</si>
  <si>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</si>
  <si>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</si>
  <si>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</si>
  <si>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</si>
  <si>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</si>
  <si>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</si>
  <si>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</si>
  <si>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</si>
  <si>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</si>
  <si>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</si>
  <si>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</si>
  <si>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</si>
  <si>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</si>
  <si>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</si>
  <si>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</si>
  <si>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</si>
  <si>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</si>
  <si>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</si>
  <si>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</si>
  <si>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</si>
  <si>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</si>
  <si>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</si>
  <si>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</si>
  <si>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</si>
  <si>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</si>
  <si>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</si>
  <si>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</si>
  <si>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</si>
  <si>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</si>
  <si>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</si>
  <si>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</si>
  <si>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</si>
  <si>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</si>
  <si>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</si>
  <si>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</si>
  <si>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</si>
  <si>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PA15: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</si>
  <si>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</si>
  <si>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</si>
  <si>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</si>
  <si>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</si>
  <si>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</si>
  <si>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</si>
  <si>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</si>
  <si>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</si>
  <si>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</si>
  <si>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</si>
  <si>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</si>
  <si>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</si>
  <si>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</si>
  <si>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</si>
  <si>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</si>
  <si>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</si>
  <si>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</si>
  <si>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</si>
  <si>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</si>
  <si>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</si>
  <si>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</si>
  <si>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</si>
  <si>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</si>
  <si>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</si>
  <si>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Level</t>
  </si>
  <si>
    <t>MetodeExpanded</t>
  </si>
  <si>
    <t>KompExpanded</t>
  </si>
  <si>
    <t>KompPrioritas</t>
  </si>
  <si>
    <t>LevelSaatIni</t>
  </si>
  <si>
    <t>LevelTujuan</t>
  </si>
  <si>
    <t>GapAktual</t>
  </si>
  <si>
    <t>SpineKomp</t>
  </si>
  <si>
    <t>SpineAspek</t>
  </si>
  <si>
    <t>SpineLevel</t>
  </si>
  <si>
    <t>LvSaatIni</t>
  </si>
  <si>
    <t>LvTujuan</t>
  </si>
  <si>
    <t>LvJabatan</t>
  </si>
  <si>
    <t>SpineFiltered</t>
  </si>
  <si>
    <t>Tanggal Penilaian 1</t>
  </si>
  <si>
    <t>Tanggal Penilaian 2</t>
  </si>
  <si>
    <t>Metode Pengembangan</t>
  </si>
  <si>
    <t>tugas</t>
  </si>
  <si>
    <t>instruksi</t>
  </si>
  <si>
    <t>Output/Bukti</t>
  </si>
  <si>
    <t>Timeline</t>
  </si>
  <si>
    <t>Standar Kelulusan</t>
  </si>
  <si>
    <t>Standar Keberhasilan</t>
  </si>
  <si>
    <t>Target</t>
  </si>
  <si>
    <t>Actual</t>
  </si>
  <si>
    <t>Skor</t>
  </si>
  <si>
    <t>Status</t>
  </si>
  <si>
    <t>Catatan Evaluator</t>
  </si>
  <si>
    <t>Belum Mulai</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</si>
  <si>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</si>
  <si>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</si>
  <si>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</si>
  <si>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</si>
  <si>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</si>
  <si>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</si>
  <si>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</si>
  <si>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</si>
  <si>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</si>
  <si>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</si>
  <si>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</si>
  <si>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</si>
  <si>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</si>
  <si>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</si>
  <si>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</si>
  <si>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</si>
  <si>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</si>
  <si>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</si>
  <si>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</si>
  <si>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</si>
  <si>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</si>
  <si>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</si>
  <si>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</si>
  <si>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</si>
  <si>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</si>
  <si>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</si>
  <si>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</si>
  <si>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</si>
  <si>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</si>
  <si>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</si>
  <si>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</si>
  <si>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</si>
  <si>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</si>
  <si>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</si>
  <si>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</si>
  <si>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</si>
  <si>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</si>
  <si>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</si>
  <si>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</si>
  <si>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</si>
  <si>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</si>
  <si>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</si>
  <si>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</si>
  <si>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</si>
  <si>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</si>
  <si>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</si>
  <si>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</si>
  <si>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</si>
  <si>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</si>
  <si>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</si>
  <si>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</si>
  <si>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</si>
  <si>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</si>
  <si>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</si>
  <si>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</si>
  <si>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</si>
  <si>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</si>
  <si>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</si>
  <si>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</si>
  <si>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</si>
  <si>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</si>
  <si>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</si>
  <si>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</si>
  <si>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</si>
  <si>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</si>
  <si>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</si>
  <si>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</si>
  <si>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</si>
  <si>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</si>
  <si>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</si>
  <si>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</si>
  <si>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</si>
  <si>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</si>
  <si>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</si>
  <si>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</si>
  <si>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</si>
  <si>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</si>
  <si>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</si>
  <si>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</si>
  <si>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</si>
  <si>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</si>
  <si>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</si>
  <si>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</si>
  <si>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</si>
  <si>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</si>
  <si>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</si>
  <si>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</si>
  <si>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</si>
  <si>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</si>
  <si>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</si>
  <si>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</si>
  <si>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</si>
  <si>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</si>
  <si>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</si>
  <si>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</si>
  <si>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</si>
  <si>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</si>
  <si>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</si>
  <si>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</si>
  <si>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</si>
  <si>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</si>
  <si>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</si>
  <si>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</si>
  <si>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</si>
  <si>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</si>
  <si>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</si>
  <si>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</si>
  <si>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</si>
  <si>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</si>
  <si>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</si>
  <si>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</si>
  <si>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</si>
  <si>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</si>
  <si>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</si>
  <si>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</si>
  <si>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</si>
  <si>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</si>
  <si>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</si>
  <si>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</si>
  <si>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</si>
  <si>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</si>
  <si>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</si>
  <si>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</si>
  <si>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</si>
  <si>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</si>
  <si>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</si>
  <si>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</si>
  <si>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</si>
  <si>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</si>
  <si>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</si>
  <si>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</si>
  <si>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</si>
  <si>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</si>
  <si>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</si>
  <si>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</si>
  <si>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</si>
  <si>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</si>
  <si>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</si>
  <si>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</si>
  <si>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</si>
  <si>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</si>
  <si>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</si>
  <si>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</si>
  <si>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</si>
  <si>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</si>
  <si>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</si>
  <si>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</si>
  <si>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</si>
  <si>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</si>
  <si>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</si>
  <si>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</si>
  <si>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</si>
  <si>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</si>
  <si>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</si>
  <si>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</si>
  <si>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</si>
  <si>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</si>
  <si>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</si>
  <si>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</si>
  <si>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</si>
  <si>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</si>
  <si>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</si>
  <si>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</si>
  <si>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</si>
  <si>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</si>
  <si>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</si>
  <si>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</si>
  <si>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</si>
  <si>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</si>
  <si>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</si>
  <si>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</si>
  <si>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</si>
  <si>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</si>
  <si>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</si>
  <si>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</si>
  <si>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</si>
  <si>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</si>
  <si>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</si>
  <si>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</si>
  <si>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</si>
  <si>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</si>
  <si>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</si>
  <si>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</si>
  <si>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</si>
  <si>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</si>
  <si>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</si>
  <si>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</si>
  <si>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</si>
  <si>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</si>
  <si>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</si>
  <si>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</si>
  <si>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</si>
  <si>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</si>
  <si>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</si>
  <si>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</si>
  <si>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</si>
  <si>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</si>
  <si>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</si>
  <si>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</si>
  <si>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</si>
  <si>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</si>
  <si>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</si>
  <si>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</si>
  <si>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</si>
  <si>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</si>
  <si>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</si>
  <si>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</si>
  <si>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</si>
  <si>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</si>
  <si>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</si>
  <si>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</si>
  <si>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</si>
  <si>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</si>
  <si>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</si>
  <si>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</si>
  <si>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</si>
  <si>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</si>
  <si>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</si>
  <si>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</si>
  <si>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</si>
  <si>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</si>
  <si>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</si>
  <si>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</si>
  <si>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</si>
  <si>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</si>
  <si>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</si>
  <si>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</si>
  <si>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</si>
  <si>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</si>
  <si>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</si>
  <si>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</si>
  <si>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</si>
  <si>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</si>
  <si>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</si>
  <si>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</si>
  <si>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</si>
  <si>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</si>
  <si>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</si>
  <si>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</si>
  <si>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</si>
  <si>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</si>
  <si>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</si>
  <si>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</si>
  <si>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</si>
  <si>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</si>
  <si>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</si>
  <si>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</si>
  <si>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</si>
  <si>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</si>
  <si>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</si>
  <si>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</si>
  <si>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</si>
  <si>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</si>
  <si>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</si>
  <si>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</si>
  <si>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</si>
  <si>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</si>
  <si>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</si>
  <si>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</si>
  <si>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</si>
  <si>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</si>
  <si>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</si>
  <si>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</si>
  <si>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</si>
  <si>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</si>
  <si>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</si>
  <si>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</si>
  <si>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</si>
  <si>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</si>
  <si>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</si>
  <si>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</si>
  <si>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</si>
  <si>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</si>
  <si>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</si>
  <si>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</si>
  <si>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</si>
  <si>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</si>
  <si>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</si>
  <si>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</si>
  <si>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</si>
  <si>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</si>
  <si>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</si>
  <si>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</si>
  <si>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</si>
  <si>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</si>
  <si>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</si>
  <si>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</si>
  <si>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</si>
  <si>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</si>
  <si>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</si>
  <si>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</si>
  <si>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</si>
  <si>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</si>
  <si>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</si>
  <si>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</si>
  <si>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</si>
  <si>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</si>
  <si>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</si>
  <si>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</si>
  <si>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</si>
  <si>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</si>
  <si>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</si>
  <si>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</si>
  <si>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</si>
  <si>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</si>
  <si>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</si>
  <si>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</si>
  <si>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</si>
  <si>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</si>
  <si>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</si>
  <si>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</si>
  <si>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</si>
  <si>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</si>
  <si>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</si>
  <si>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</si>
  <si>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</si>
  <si>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</si>
  <si>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</si>
  <si>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</si>
  <si>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</si>
  <si>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</si>
  <si>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</si>
  <si>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</si>
  <si>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</si>
  <si>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</si>
  <si>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</si>
  <si>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</si>
  <si>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</si>
  <si>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</si>
  <si>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</si>
  <si>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</si>
  <si>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</si>
  <si>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</si>
  <si>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</si>
  <si>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</si>
  <si>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</si>
  <si>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</si>
  <si>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</si>
  <si>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</si>
  <si>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</si>
  <si>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</si>
  <si>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</si>
  <si>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</si>
  <si>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</si>
  <si>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</si>
  <si>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</si>
  <si>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</si>
  <si>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</si>
  <si>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</si>
  <si>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</si>
  <si>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</si>
  <si>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</si>
  <si>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</si>
  <si>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</si>
  <si>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</si>
  <si>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</si>
  <si>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</si>
  <si>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</si>
  <si>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</si>
  <si>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</si>
  <si>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</si>
  <si>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</si>
  <si>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</si>
  <si>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</si>
  <si>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</si>
  <si>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</si>
  <si>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</si>
  <si>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</si>
  <si>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</si>
  <si>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</si>
  <si>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</si>
  <si>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</si>
  <si>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</si>
  <si>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</si>
  <si>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</si>
  <si>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</si>
  <si>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</si>
  <si>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</si>
  <si>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</si>
  <si>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</si>
  <si>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</si>
  <si>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</si>
  <si>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</si>
  <si>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</si>
  <si>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</si>
  <si>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</si>
  <si>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</si>
  <si>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</si>
  <si>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</si>
  <si>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</si>
  <si>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</si>
  <si>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</si>
  <si>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</si>
  <si>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</si>
  <si>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</si>
  <si>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</si>
  <si>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</si>
  <si>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</si>
  <si>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</si>
  <si>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</si>
  <si>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</si>
  <si>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</si>
  <si>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</si>
  <si>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</si>
  <si>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</si>
  <si>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</si>
  <si>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</si>
  <si>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</si>
  <si>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</si>
  <si>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</si>
  <si>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</si>
  <si>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</si>
  <si>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</si>
  <si>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</si>
  <si>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</si>
  <si>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</si>
  <si>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</si>
  <si>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</si>
  <si>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</si>
  <si>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</si>
  <si>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</si>
  <si>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</si>
  <si>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</si>
  <si>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</si>
  <si>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</si>
  <si>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</si>
  <si>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</si>
  <si>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</si>
  <si>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</si>
  <si>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</si>
  <si>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</si>
  <si>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</si>
  <si>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</si>
  <si>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</si>
  <si>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</si>
  <si>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</si>
  <si>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</si>
  <si>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</si>
  <si>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</si>
  <si>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</si>
  <si>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</si>
  <si>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</si>
  <si>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</si>
  <si>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</si>
  <si>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</si>
  <si>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</si>
  <si>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</si>
  <si>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</si>
  <si>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</si>
  <si>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</si>
  <si>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</si>
  <si>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</si>
  <si>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</si>
  <si>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</si>
  <si>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</si>
  <si>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</si>
  <si>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</si>
  <si>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</si>
  <si>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</si>
  <si>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</si>
  <si>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</si>
  <si>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</si>
  <si>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</si>
  <si>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</si>
  <si>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</si>
  <si>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</si>
  <si>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</si>
  <si>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</si>
  <si>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</si>
  <si>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</si>
  <si>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</si>
  <si>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</si>
  <si>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</si>
  <si>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</si>
  <si>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</si>
  <si>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</si>
  <si>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</si>
  <si>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</si>
  <si>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</si>
  <si>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</si>
  <si>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</si>
  <si>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</si>
  <si>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</si>
  <si>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</si>
  <si>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</si>
  <si>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</si>
  <si>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</si>
  <si>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</si>
  <si>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</si>
  <si>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</si>
  <si>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</si>
  <si>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</si>
  <si>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</si>
  <si>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</si>
  <si>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</si>
  <si>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</si>
  <si>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</si>
  <si>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</si>
  <si>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</si>
  <si>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</si>
  <si>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</si>
  <si>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</si>
  <si>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</si>
  <si>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</si>
  <si>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</si>
  <si>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</si>
  <si>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</si>
  <si>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</si>
  <si>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</si>
  <si>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</si>
  <si>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</si>
  <si>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</si>
  <si>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</si>
  <si>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</si>
  <si>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</si>
  <si>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</si>
  <si>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</si>
  <si>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</si>
  <si>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</si>
  <si>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</si>
  <si>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</si>
  <si>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</si>
  <si>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</si>
  <si>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</si>
  <si>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</si>
  <si>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</si>
  <si>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</si>
  <si>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</si>
  <si>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</si>
  <si>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</si>
  <si>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</si>
  <si>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</si>
  <si>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</si>
  <si>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</si>
  <si>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</si>
  <si>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</si>
  <si>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</si>
  <si>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</si>
  <si>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</si>
  <si>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</si>
  <si>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</si>
  <si>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</si>
  <si>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</si>
  <si>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</si>
  <si>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</si>
  <si>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</si>
  <si>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</si>
  <si>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</si>
  <si>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</si>
  <si>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</si>
  <si>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</si>
  <si>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</si>
  <si>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</si>
  <si>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</si>
  <si>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</si>
  <si>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</si>
  <si>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</si>
  <si>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</si>
  <si>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</si>
  <si>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</si>
  <si>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</si>
  <si>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</si>
  <si>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</si>
  <si>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</si>
  <si>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</si>
  <si>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</si>
  <si>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</si>
  <si>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</si>
  <si>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</si>
  <si>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</si>
  <si>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</si>
  <si>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</si>
  <si>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</si>
  <si>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</si>
  <si>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</si>
  <si>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</si>
  <si>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</si>
  <si>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</si>
  <si>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</si>
  <si>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</si>
  <si>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</si>
  <si>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</si>
  <si>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</si>
  <si>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</si>
  <si>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</si>
  <si>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</si>
  <si>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</si>
  <si>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</si>
  <si>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</si>
  <si>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</si>
  <si>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</si>
  <si>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</si>
  <si>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</si>
  <si>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</si>
  <si>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</si>
  <si>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</si>
  <si>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</si>
  <si>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</si>
  <si>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</si>
  <si>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</si>
  <si>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</si>
  <si>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</si>
  <si>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</si>
  <si>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</si>
  <si>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</si>
  <si>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</si>
  <si>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</si>
  <si>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</si>
  <si>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</si>
  <si>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</si>
  <si>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</si>
  <si>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</si>
  <si>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</si>
  <si>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</si>
  <si>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</si>
  <si>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</si>
  <si>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</si>
  <si>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</si>
  <si>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</si>
  <si>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</si>
  <si>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</si>
  <si>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</si>
  <si>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</si>
  <si>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</si>
  <si>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</si>
  <si>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</si>
  <si>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</si>
  <si>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</si>
  <si>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</si>
  <si>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</si>
  <si>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</si>
  <si>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</si>
  <si>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</si>
  <si>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</si>
  <si>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</si>
  <si>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</si>
  <si>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</si>
  <si>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</si>
  <si>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</si>
  <si>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</si>
  <si>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</si>
  <si>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</si>
  <si>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</si>
  <si>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</si>
  <si>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</si>
  <si>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</si>
  <si>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</si>
  <si>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</si>
  <si>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</si>
  <si>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</si>
  <si>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</si>
  <si>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</si>
  <si>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</si>
  <si>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</si>
  <si>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</si>
  <si>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</si>
  <si>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</si>
  <si>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</si>
  <si>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</si>
  <si>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</si>
  <si>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</si>
  <si>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</si>
  <si>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</si>
  <si>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</si>
  <si>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</si>
  <si>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</si>
  <si>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</si>
  <si>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</si>
  <si>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</si>
  <si>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</si>
  <si>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</si>
  <si>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</si>
  <si>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</si>
  <si>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</si>
  <si>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</si>
  <si>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</si>
  <si>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</si>
  <si>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</si>
  <si>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</si>
  <si>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</si>
  <si>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</si>
  <si>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</si>
  <si>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</si>
  <si>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</si>
  <si>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</si>
  <si>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</si>
  <si>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</si>
  <si>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</si>
  <si>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</si>
  <si>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</si>
  <si>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</si>
  <si>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</si>
  <si>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</si>
  <si>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</si>
  <si>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</si>
  <si>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</si>
  <si>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</si>
  <si>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</si>
  <si>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</si>
  <si>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</si>
  <si>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</si>
  <si>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</si>
  <si>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</si>
  <si>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</si>
  <si>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</si>
  <si>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</si>
  <si>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</si>
  <si>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</si>
  <si>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</si>
  <si>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</si>
  <si>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</si>
  <si>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</si>
  <si>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</si>
  <si>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</si>
  <si>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</si>
  <si>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</si>
  <si>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</si>
  <si>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</si>
  <si>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</si>
  <si>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</si>
  <si>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</si>
  <si>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</si>
  <si>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</si>
  <si>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</si>
  <si>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</si>
  <si>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</si>
  <si>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</si>
  <si>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</si>
  <si>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</si>
  <si>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</si>
  <si>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</si>
  <si>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</si>
  <si>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</si>
  <si>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</si>
  <si>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</si>
  <si>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</si>
  <si>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</si>
  <si>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</si>
  <si>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</si>
  <si>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</si>
  <si>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</si>
  <si>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</si>
  <si>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</si>
  <si>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</si>
  <si>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</si>
  <si>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</si>
  <si>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</si>
  <si>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</si>
  <si>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</si>
  <si>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</si>
  <si>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</si>
  <si>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</si>
  <si>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</si>
  <si>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</si>
  <si>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</si>
  <si>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</si>
  <si>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</si>
  <si>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</si>
  <si>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</si>
  <si>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</si>
  <si>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</si>
  <si>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</si>
  <si>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</si>
  <si>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</si>
  <si>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</si>
  <si>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</si>
  <si>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</si>
  <si>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</si>
  <si>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</si>
  <si>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</si>
  <si>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</si>
  <si>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</si>
  <si>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</si>
  <si>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</si>
  <si>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</si>
  <si>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</si>
  <si>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</si>
  <si>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</si>
  <si>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</si>
  <si>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</si>
  <si>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</si>
  <si>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</si>
  <si>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</si>
  <si>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</si>
  <si>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</si>
  <si>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</si>
  <si>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</si>
  <si>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</si>
  <si>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</si>
  <si>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</si>
  <si>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</si>
  <si>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</si>
  <si>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</si>
  <si>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</si>
  <si>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</si>
  <si>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</si>
  <si>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</si>
  <si>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</si>
  <si>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</si>
  <si>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</si>
  <si>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</si>
  <si>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</si>
  <si>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</si>
  <si>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</si>
  <si>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</si>
  <si>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</si>
  <si>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</si>
  <si>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</si>
  <si>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</si>
  <si>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</si>
  <si>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</si>
  <si>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</si>
  <si>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</si>
  <si>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</si>
  <si>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</si>
  <si>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</si>
  <si>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</si>
  <si>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</si>
  <si>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</si>
  <si>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</si>
  <si>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</si>
  <si>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</si>
  <si>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</si>
  <si>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</si>
  <si>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</si>
  <si>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</si>
  <si>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</si>
  <si>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</si>
  <si>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</si>
  <si>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</si>
  <si>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</si>
  <si>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</si>
  <si>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</si>
  <si>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</si>
  <si>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</si>
  <si>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</si>
  <si>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</si>
  <si>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</si>
  <si>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</si>
  <si>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</si>
  <si>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</si>
  <si>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</si>
  <si>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</si>
  <si>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</si>
  <si>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</si>
  <si>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</si>
  <si>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</si>
  <si>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</si>
  <si>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</si>
  <si>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</si>
  <si>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</si>
  <si>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</si>
  <si>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</si>
  <si>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</si>
  <si>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</si>
  <si>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</si>
  <si>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</si>
  <si>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</si>
  <si>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</si>
  <si>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</si>
  <si>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</si>
  <si>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</si>
  <si>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</si>
  <si>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</si>
  <si>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</si>
  <si>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</si>
  <si>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</si>
  <si>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</si>
  <si>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</si>
  <si>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</si>
  <si>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</si>
  <si>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</si>
  <si>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</si>
  <si>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</si>
  <si>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</si>
  <si>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</si>
  <si>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</si>
  <si>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</si>
  <si>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</si>
  <si>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</si>
  <si>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</si>
  <si>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</si>
  <si>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</si>
  <si>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</si>
  <si>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</si>
  <si>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</si>
  <si>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</si>
  <si>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</si>
  <si>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</si>
  <si>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</si>
  <si>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</si>
  <si>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</si>
  <si>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</si>
  <si>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</si>
  <si>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</si>
  <si>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</si>
  <si>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</si>
  <si>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</si>
  <si>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</si>
  <si>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</si>
  <si>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</si>
  <si>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</si>
  <si>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</si>
  <si>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</si>
  <si>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</si>
  <si>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</si>
  <si>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</si>
  <si>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</si>
  <si>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</si>
  <si>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</si>
  <si>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</si>
  <si>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</si>
  <si>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</si>
  <si>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</si>
  <si>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</si>
  <si>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</si>
  <si>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</si>
  <si>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</si>
  <si>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</si>
  <si>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</si>
  <si>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</si>
  <si>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</si>
  <si>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</si>
  <si>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</si>
  <si>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</si>
  <si>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</si>
  <si>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</si>
  <si>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</si>
  <si>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</si>
  <si>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</si>
  <si>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</si>
  <si>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</si>
  <si>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</si>
  <si>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</si>
  <si>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</si>
  <si>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</si>
  <si>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</si>
  <si>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</si>
  <si>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</si>
  <si>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</si>
  <si>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</si>
  <si>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</si>
  <si>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</si>
  <si>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</si>
  <si>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</si>
  <si>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</si>
  <si>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</si>
  <si>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</si>
  <si>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</si>
  <si>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</si>
  <si>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</si>
  <si>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</si>
  <si>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</si>
  <si>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</si>
  <si>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</si>
  <si>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</si>
  <si>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</si>
  <si>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</si>
  <si>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</si>
  <si>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</si>
  <si>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</si>
  <si>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</si>
  <si>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</si>
  <si>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</si>
  <si>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</si>
  <si>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</si>
  <si>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</si>
  <si>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</si>
  <si>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</si>
  <si>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</si>
  <si>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</si>
  <si>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</si>
  <si>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</si>
  <si>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</si>
  <si>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</si>
  <si>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</si>
  <si>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</si>
  <si>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</si>
  <si>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</si>
  <si>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</si>
  <si>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</si>
  <si>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</si>
  <si>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</si>
  <si>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</si>
  <si>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</si>
  <si>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</si>
  <si>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</si>
  <si>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</si>
  <si>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</si>
  <si>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</si>
  <si>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</si>
  <si>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</si>
  <si>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</si>
  <si>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</si>
  <si>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</si>
  <si>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</si>
  <si>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</si>
  <si>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</si>
  <si>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</si>
  <si>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</si>
  <si>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</si>
  <si>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</si>
  <si>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</si>
  <si>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</si>
  <si>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</si>
  <si>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</si>
  <si>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</si>
  <si>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</si>
  <si>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</si>
  <si>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</si>
  <si>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</si>
  <si>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</si>
  <si>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</si>
  <si>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</si>
  <si>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</si>
  <si>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</si>
  <si>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</si>
  <si>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</si>
  <si>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</si>
  <si>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</si>
  <si>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</si>
  <si>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</si>
  <si>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</si>
  <si>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</si>
  <si>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</si>
  <si>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</si>
  <si>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</si>
  <si>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</si>
  <si>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</si>
  <si>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</si>
  <si>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</si>
  <si>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</si>
  <si>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</si>
  <si>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</si>
  <si>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</si>
  <si>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</si>
  <si>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</si>
  <si>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</si>
  <si>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</si>
  <si>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</si>
  <si>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</si>
  <si>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</si>
  <si>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</si>
  <si>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</si>
  <si>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</si>
  <si>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</si>
  <si>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</si>
  <si>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</si>
  <si>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</si>
  <si>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</si>
  <si>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</si>
  <si>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</si>
  <si>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</si>
  <si>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</si>
  <si>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</si>
  <si>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</si>
  <si>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</si>
  <si>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</si>
  <si>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</si>
  <si>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</si>
  <si>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</si>
  <si>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</si>
  <si>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</si>
  <si>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</si>
  <si>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</si>
  <si>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</si>
  <si>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</si>
  <si>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</si>
  <si>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</si>
  <si>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</si>
  <si>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</si>
  <si>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</si>
  <si>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</si>
  <si>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</si>
  <si>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</si>
  <si>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</si>
  <si>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</si>
  <si>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</si>
  <si>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</si>
  <si>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</si>
  <si>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</si>
  <si>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</si>
  <si>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</si>
  <si>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</si>
  <si>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</si>
  <si>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</si>
  <si>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</si>
  <si>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</si>
  <si>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</si>
  <si>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</si>
  <si>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</si>
  <si>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</si>
  <si>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</si>
  <si>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</si>
  <si>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</si>
  <si>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</si>
  <si>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</si>
  <si>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</si>
  <si>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</si>
  <si>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</si>
  <si>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</si>
  <si>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</si>
  <si>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</si>
  <si>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</si>
  <si>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</si>
  <si>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</si>
  <si>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</si>
  <si>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</si>
  <si>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</si>
  <si>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</si>
  <si>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</si>
  <si>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</si>
  <si>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</si>
  <si>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</si>
  <si>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</si>
  <si>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</si>
  <si>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</si>
  <si>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</si>
  <si>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</si>
  <si>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</si>
  <si>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</si>
  <si>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</si>
  <si>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</si>
  <si>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</si>
  <si>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</si>
  <si>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</si>
  <si>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</si>
  <si>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</si>
  <si>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</si>
  <si>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</si>
  <si>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</si>
  <si>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</si>
  <si>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</si>
  <si>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</si>
  <si>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</si>
  <si>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</si>
  <si>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</si>
  <si>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</si>
  <si>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</si>
  <si>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</si>
  <si>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</si>
  <si>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</si>
  <si>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</si>
  <si>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</si>
  <si>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</si>
  <si>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</si>
  <si>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</si>
  <si>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</si>
  <si>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</si>
  <si>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</si>
  <si>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</si>
  <si>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</si>
  <si>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</si>
  <si>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</si>
  <si>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</si>
  <si>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</si>
  <si>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</si>
  <si>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</si>
  <si>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</si>
  <si>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</si>
  <si>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</si>
  <si>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</si>
  <si>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</si>
  <si>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</si>
  <si>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</si>
  <si>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</si>
  <si>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</si>
  <si>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</si>
  <si>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</si>
  <si>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</si>
  <si>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</si>
  <si>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</si>
  <si>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</si>
  <si>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</si>
  <si>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</si>
  <si>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</si>
  <si>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</si>
  <si>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</si>
  <si>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</si>
  <si>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</si>
  <si>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</si>
  <si>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</si>
  <si>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</si>
  <si>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</si>
  <si>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</si>
  <si>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</si>
  <si>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</si>
  <si>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</si>
  <si>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</si>
  <si>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</si>
  <si>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</si>
  <si>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</si>
  <si>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</si>
  <si>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</si>
  <si>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</si>
  <si>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</si>
  <si>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</si>
  <si>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</si>
  <si>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</si>
  <si>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</si>
  <si>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</si>
  <si>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</si>
  <si>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</si>
  <si>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</si>
  <si>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</si>
  <si>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</si>
  <si>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</si>
  <si>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</si>
  <si>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</si>
  <si>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</si>
  <si>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</si>
  <si>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</si>
  <si>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</si>
  <si>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</si>
  <si>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</si>
  <si>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</si>
  <si>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</si>
  <si>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</si>
  <si>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</si>
  <si>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</si>
  <si>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</si>
  <si>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</si>
  <si>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</si>
  <si>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</si>
  <si>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</si>
  <si>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</si>
  <si>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</si>
  <si>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</si>
  <si>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</si>
  <si>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</si>
  <si>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</si>
  <si>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</si>
  <si>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</si>
  <si>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</si>
  <si>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</si>
  <si>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</si>
  <si>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</si>
  <si>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</si>
  <si>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</si>
  <si>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</si>
  <si>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</si>
  <si>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</si>
  <si>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</si>
  <si>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</si>
  <si>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</si>
  <si>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</si>
  <si>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</si>
  <si>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</si>
  <si>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</si>
  <si>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</si>
  <si>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</si>
  <si>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</si>
  <si>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</si>
  <si>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</si>
  <si>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</si>
  <si>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</si>
  <si>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</si>
  <si>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</si>
  <si>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</si>
  <si>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</si>
  <si>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</si>
  <si>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</si>
  <si>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</si>
  <si>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</si>
  <si>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</si>
  <si>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</si>
  <si>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</si>
  <si>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</si>
  <si>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</si>
  <si>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</si>
  <si>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</si>
  <si>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</si>
  <si>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</si>
  <si>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</si>
  <si>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</si>
  <si>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</si>
  <si>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</si>
  <si>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</si>
  <si>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</si>
  <si>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</si>
  <si>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</si>
  <si>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</si>
  <si>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</si>
  <si>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</si>
  <si>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</si>
  <si>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</si>
  <si>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</si>
  <si>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</si>
  <si>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</si>
  <si>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</si>
  <si>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</si>
  <si>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</si>
  <si>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</si>
  <si>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</si>
  <si>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</si>
  <si>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</si>
  <si>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</si>
  <si>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</si>
  <si>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</si>
  <si>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</si>
  <si>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</si>
  <si>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</si>
  <si>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</si>
  <si>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</si>
  <si>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</si>
  <si>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</si>
  <si>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</si>
  <si>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</si>
  <si>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</si>
  <si>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</si>
  <si>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</si>
  <si>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</si>
  <si>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</si>
  <si>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</si>
  <si>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</si>
  <si>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</si>
  <si>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</si>
  <si>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</si>
  <si>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</si>
  <si>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</si>
  <si>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</si>
  <si>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</si>
  <si>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</si>
  <si>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</si>
  <si>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</si>
  <si>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</si>
  <si>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</si>
  <si>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</si>
  <si>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</si>
  <si>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</si>
  <si>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</si>
  <si>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</si>
  <si>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</si>
  <si>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</si>
  <si>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</si>
  <si>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</si>
  <si>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</si>
  <si>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</si>
  <si>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</si>
  <si>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</si>
  <si>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</si>
  <si>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</si>
  <si>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</si>
  <si>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</si>
  <si>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</si>
  <si>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</si>
  <si>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</si>
  <si>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</si>
  <si>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</si>
  <si>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</si>
  <si>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</si>
  <si>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</si>
  <si>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</si>
  <si>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</si>
  <si>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</si>
  <si>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</si>
  <si>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</si>
  <si>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</si>
  <si>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</si>
  <si>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</si>
  <si>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</si>
  <si>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</si>
  <si>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</si>
  <si>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</si>
  <si>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</si>
  <si>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</si>
  <si>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</si>
  <si>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</si>
  <si>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</si>
  <si>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</si>
  <si>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</si>
  <si>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</si>
  <si>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</si>
  <si>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</si>
  <si>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</si>
  <si>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</si>
  <si>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</si>
  <si>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</si>
  <si>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</si>
  <si>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</si>
  <si>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</si>
  <si>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</si>
  <si>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</si>
  <si>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</si>
  <si>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</si>
  <si>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</si>
  <si>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</si>
  <si>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</si>
  <si>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</si>
  <si>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</si>
  <si>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</si>
  <si>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</si>
  <si>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</si>
  <si>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</si>
  <si>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</si>
  <si>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</si>
  <si>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</si>
  <si>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</si>
  <si>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</si>
  <si>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</si>
  <si>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</si>
  <si>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</si>
  <si>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</si>
  <si>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</si>
  <si>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</si>
  <si>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</si>
  <si>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</si>
  <si>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</si>
  <si>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</si>
  <si>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</si>
  <si>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</si>
  <si>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</si>
  <si>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</si>
  <si>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</si>
  <si>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</si>
  <si>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</si>
  <si>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</si>
  <si>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</si>
  <si>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</si>
  <si>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</si>
  <si>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</si>
  <si>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</si>
  <si>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</si>
  <si>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</si>
  <si>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</si>
  <si>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</si>
  <si>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</si>
  <si>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</si>
  <si>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</si>
  <si>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</si>
  <si>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</si>
  <si>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</si>
  <si>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</si>
  <si>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</si>
  <si>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</si>
  <si>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</si>
  <si>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</si>
  <si>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</si>
  <si>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</si>
  <si>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</si>
  <si>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</si>
  <si>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</si>
  <si>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</si>
  <si>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</si>
  <si>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</si>
  <si>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</si>
  <si>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</si>
  <si>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</si>
  <si>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</si>
  <si>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</si>
  <si>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</si>
  <si>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</si>
  <si>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</si>
  <si>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</si>
  <si>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</si>
  <si>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</si>
  <si>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</si>
  <si>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</si>
  <si>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</si>
  <si>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</si>
  <si>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</si>
  <si>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</si>
  <si>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</si>
  <si>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</si>
  <si>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</si>
  <si>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</si>
  <si>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</si>
  <si>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</si>
  <si>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</si>
  <si>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</si>
  <si>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</si>
  <si>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</si>
  <si>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</si>
  <si>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</si>
  <si>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</si>
  <si>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</si>
  <si>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</si>
  <si>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</si>
  <si>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</si>
  <si>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</si>
  <si>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</si>
  <si>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</si>
  <si>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</si>
  <si>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</si>
  <si>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</si>
  <si>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</si>
  <si>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</si>
  <si>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</si>
  <si>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</si>
  <si>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</si>
  <si>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</si>
  <si>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</si>
  <si>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</si>
  <si>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</si>
  <si>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</si>
  <si>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</si>
  <si>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</si>
  <si>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</si>
  <si>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</si>
  <si>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</si>
  <si>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</si>
  <si>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</si>
  <si>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</si>
  <si>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</si>
  <si>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</si>
  <si>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</si>
  <si>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</si>
  <si>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</si>
  <si>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</si>
  <si>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</si>
  <si>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</si>
  <si>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</si>
  <si>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</si>
  <si>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</si>
  <si>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</si>
  <si>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</si>
  <si>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</si>
  <si>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</si>
  <si>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</si>
  <si>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</si>
  <si>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</si>
  <si>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</si>
  <si>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</si>
  <si>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</si>
  <si>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</si>
  <si>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</si>
  <si>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</si>
  <si>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</si>
  <si>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</si>
  <si>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</si>
  <si>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</si>
  <si>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</si>
  <si>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</si>
  <si>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</si>
  <si>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</si>
  <si>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</si>
  <si>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</si>
  <si>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</si>
  <si>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</si>
  <si>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</si>
  <si>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</si>
  <si>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</si>
  <si>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</si>
  <si>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</si>
  <si>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</si>
  <si>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</si>
  <si>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</si>
  <si>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</si>
  <si>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</si>
  <si>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</si>
  <si>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</si>
  <si>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</si>
  <si>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</si>
  <si>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</si>
  <si>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</si>
  <si>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</si>
  <si>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</si>
  <si>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</si>
  <si>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</si>
  <si>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</si>
  <si>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</si>
  <si>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</si>
  <si>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</si>
  <si>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</si>
  <si>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</si>
  <si>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</si>
  <si>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</si>
  <si>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</si>
  <si>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</si>
  <si>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</si>
  <si>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</si>
  <si>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</si>
  <si>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</si>
  <si>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</si>
  <si>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</si>
  <si>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</si>
  <si>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</si>
  <si>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</si>
  <si>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</si>
  <si>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</si>
  <si>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</si>
  <si>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</si>
  <si>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</si>
  <si>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</si>
  <si>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</si>
  <si>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</si>
  <si>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</si>
  <si>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</si>
  <si>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</si>
  <si>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</si>
  <si>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</si>
  <si>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</si>
  <si>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</si>
  <si>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</si>
  <si>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</si>
  <si>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</si>
  <si>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</si>
  <si>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</si>
  <si>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</si>
  <si>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</si>
  <si>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</si>
  <si>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</si>
  <si>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</si>
  <si>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</si>
  <si>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</si>
  <si>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</si>
  <si>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</si>
  <si>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</si>
  <si>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</si>
  <si>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</si>
  <si>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</si>
  <si>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</si>
  <si>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</si>
  <si>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</si>
  <si>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</si>
  <si>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</si>
  <si>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</si>
  <si>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</si>
  <si>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</si>
  <si>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</si>
  <si>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</si>
  <si>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</si>
  <si>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</si>
  <si>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</si>
  <si>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</si>
  <si>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</si>
  <si>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</si>
  <si>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</si>
  <si>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</si>
  <si>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</si>
  <si>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</si>
  <si>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</si>
  <si>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</si>
  <si>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</si>
  <si>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</si>
  <si>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</si>
  <si>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</si>
  <si>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</si>
  <si>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</si>
  <si>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</si>
  <si>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</si>
  <si>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</si>
  <si>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</si>
  <si>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</si>
  <si>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</si>
  <si>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</si>
  <si>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</si>
  <si>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</si>
  <si>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</si>
  <si>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</si>
  <si>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</si>
  <si>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</si>
  <si>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</si>
  <si>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</si>
  <si>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</si>
  <si>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</si>
  <si>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</si>
  <si>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</si>
  <si>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</si>
  <si>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</si>
  <si>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</si>
  <si>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</si>
  <si>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</si>
  <si>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</si>
  <si>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</si>
  <si>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</si>
  <si>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</si>
  <si>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</si>
  <si>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</si>
  <si>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</si>
  <si>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</si>
  <si>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</si>
  <si>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</si>
  <si>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</si>
  <si>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</si>
  <si>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</si>
  <si>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</si>
  <si>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</si>
  <si>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</si>
  <si>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</si>
  <si>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</si>
  <si>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</si>
  <si>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</si>
  <si>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</si>
  <si>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</si>
  <si>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</si>
  <si>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</si>
  <si>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</si>
  <si>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</si>
  <si>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</si>
  <si>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</si>
  <si>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</si>
  <si>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</si>
  <si>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</si>
  <si>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</si>
  <si>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</si>
  <si>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</si>
  <si>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</si>
  <si>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</si>
  <si>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</si>
  <si>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</si>
  <si>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</si>
  <si>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</si>
  <si>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</si>
  <si>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</si>
  <si>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</si>
  <si>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</si>
  <si>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</si>
  <si>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</si>
  <si>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</si>
  <si>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</si>
  <si>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</si>
  <si>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</si>
  <si>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</si>
  <si>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</si>
  <si>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</si>
  <si>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</si>
  <si>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</si>
  <si>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</si>
  <si>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</si>
  <si>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</si>
  <si>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</si>
  <si>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</si>
  <si>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</si>
  <si>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</si>
  <si>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</si>
  <si>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</si>
  <si>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</si>
  <si>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</si>
  <si>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</si>
  <si>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</si>
  <si>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</si>
  <si>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</si>
  <si>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</si>
  <si>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</si>
  <si>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</si>
  <si>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</si>
  <si>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</si>
  <si>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</si>
  <si>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</si>
  <si>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</si>
  <si>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</si>
  <si>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</si>
  <si>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</si>
  <si>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</si>
  <si>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</si>
  <si>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</si>
  <si>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</si>
  <si>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</si>
  <si>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</si>
  <si>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</si>
  <si>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</si>
  <si>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</si>
  <si>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</si>
  <si>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</si>
  <si>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</si>
  <si>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</si>
  <si>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</si>
  <si>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</si>
  <si>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</si>
  <si>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</si>
  <si>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</si>
  <si>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</si>
  <si>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</si>
  <si>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</si>
  <si>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</si>
  <si>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</si>
  <si>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</si>
  <si>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</si>
  <si>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</si>
  <si>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</si>
  <si>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</si>
  <si>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</si>
  <si>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</si>
  <si>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</si>
  <si>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</si>
  <si>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</si>
  <si>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</si>
  <si>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</si>
  <si>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</si>
  <si>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</si>
  <si>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</si>
  <si>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</si>
  <si>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</si>
  <si>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</si>
  <si>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</si>
  <si>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</si>
  <si>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</si>
  <si>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</si>
  <si>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</si>
  <si>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</si>
  <si>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</si>
  <si>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</si>
  <si>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</si>
  <si>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</si>
  <si>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</si>
  <si>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</si>
  <si>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</si>
  <si>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</si>
  <si>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</si>
  <si>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</si>
  <si>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</si>
  <si>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</si>
  <si>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</si>
  <si>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</si>
  <si>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</si>
  <si>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</si>
  <si>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</si>
  <si>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</si>
  <si>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</si>
  <si>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</si>
  <si>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</si>
  <si>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</si>
  <si>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</si>
  <si>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</si>
  <si>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</si>
  <si>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</si>
  <si>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</si>
  <si>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</si>
  <si>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</si>
  <si>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</si>
  <si>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</si>
  <si>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</si>
  <si>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</si>
  <si>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</si>
  <si>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</si>
  <si>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</si>
  <si>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</si>
  <si>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</si>
  <si>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</si>
  <si>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</si>
  <si>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</si>
  <si>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</si>
  <si>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</si>
  <si>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</si>
  <si>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</si>
  <si>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</si>
  <si>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</si>
  <si>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</si>
  <si>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</si>
  <si>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</si>
  <si>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</si>
  <si>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</si>
  <si>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</si>
  <si>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</si>
  <si>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</si>
  <si>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</si>
  <si>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</si>
  <si>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</si>
  <si>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</si>
  <si>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</si>
  <si>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</si>
  <si>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</si>
  <si>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</si>
  <si>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</si>
  <si>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</si>
  <si>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</si>
  <si>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</si>
  <si>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</si>
  <si>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</si>
  <si>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</si>
  <si>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</si>
  <si>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</si>
  <si>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</si>
  <si>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</si>
  <si>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</si>
  <si>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</si>
  <si>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</si>
  <si>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</si>
  <si>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</si>
  <si>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</si>
  <si>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</si>
  <si>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</si>
  <si>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</si>
  <si>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</si>
  <si>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</si>
  <si>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</si>
  <si>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</si>
  <si>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</si>
  <si>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</si>
  <si>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</si>
  <si>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</si>
  <si>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</si>
  <si>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</si>
  <si>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</si>
  <si>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</si>
  <si>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</si>
  <si>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</si>
  <si>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</si>
  <si>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</si>
  <si>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</si>
  <si>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</si>
  <si>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</si>
  <si>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</si>
  <si>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</si>
  <si>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</si>
  <si>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</si>
  <si>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</si>
  <si>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</si>
  <si>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</si>
  <si>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</si>
  <si>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</si>
  <si>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</si>
  <si>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</si>
  <si>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</si>
  <si>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</si>
  <si>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</si>
  <si>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</si>
  <si>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</si>
  <si>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</si>
  <si>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</si>
  <si>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</si>
  <si>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</si>
  <si>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</si>
  <si>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</si>
  <si>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</si>
  <si>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</si>
  <si>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</si>
  <si>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</si>
  <si>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</si>
  <si>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</si>
  <si>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</si>
  <si>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</si>
  <si>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</si>
  <si>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</si>
  <si>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</si>
  <si>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</si>
  <si>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</si>
  <si>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</si>
  <si>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</si>
  <si>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</si>
  <si>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</si>
  <si>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</si>
  <si>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</si>
  <si>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</si>
  <si>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</si>
  <si>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</si>
  <si>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</si>
  <si>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</si>
  <si>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</si>
  <si>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</si>
  <si>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</si>
  <si>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</si>
  <si>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</si>
  <si>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</si>
  <si>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</si>
  <si>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</si>
  <si>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</si>
  <si>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</si>
  <si>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</si>
  <si>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</si>
  <si>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</si>
  <si>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</si>
  <si>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</si>
  <si>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</si>
  <si>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</si>
  <si>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</si>
  <si>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</si>
  <si>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</si>
  <si>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Komponen</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</si>
  <si>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</si>
  <si>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</si>
  <si>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</si>
  <si>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</si>
  <si>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</si>
  <si>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</si>
  <si>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</si>
  <si>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</si>
  <si>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</si>
  <si>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</si>
  <si>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</si>
  <si>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</si>
  <si>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</si>
  <si>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</si>
  <si>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Beyond</t>
  </si>
  <si>
    <t>Unit Head / Specialist</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</si>
  <si>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</si>
  <si>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</si>
  <si>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rgb="FF0070C0"/>
        <rFont val="Biome"/>
        <family val="2"/>
      </rPr>
      <t xml:space="preserve">Learning from Outcomes
</t>
    </r>
    <r>
      <rPr>
        <i/>
        <sz val="11"/>
        <color rgb="FF0070C0"/>
        <rFont val="Biome"/>
        <family val="2"/>
      </rPr>
      <t xml:space="preserve">(belajar dari hasil &amp; kesalahan)
</t>
    </r>
    <r>
      <rPr>
        <b/>
        <i/>
        <sz val="11"/>
        <color rgb="FF0070C0"/>
        <rFont val="Biome"/>
        <family val="2"/>
      </rPr>
      <t>(RA6)</t>
    </r>
  </si>
  <si>
    <r>
      <rPr>
        <b/>
        <sz val="11"/>
        <color rgb="FF0070C0"/>
        <rFont val="Biome"/>
        <family val="2"/>
      </rPr>
      <t xml:space="preserve">Focus Under Pressure
</t>
    </r>
    <r>
      <rPr>
        <sz val="11"/>
        <color rgb="FF0070C0"/>
        <rFont val="Biome"/>
        <family val="2"/>
      </rPr>
      <t xml:space="preserve">(tetap fokus dalam tekanan)
</t>
    </r>
    <r>
      <rPr>
        <b/>
        <sz val="11"/>
        <color rgb="FF0070C0"/>
        <rFont val="Biome"/>
        <family val="2"/>
      </rPr>
      <t>(RA8)</t>
    </r>
  </si>
  <si>
    <r>
      <rPr>
        <b/>
        <sz val="11"/>
        <color rgb="FF0070C0"/>
        <rFont val="Biome"/>
        <family val="2"/>
      </rPr>
      <t xml:space="preserve">Resource Planning &amp; Contingency
</t>
    </r>
    <r>
      <rPr>
        <i/>
        <sz val="11"/>
        <color rgb="FF0070C0"/>
        <rFont val="Biome"/>
        <family val="2"/>
      </rPr>
      <t xml:space="preserve">(merencanakan sumber daya &amp; rencana cadangan
</t>
    </r>
    <r>
      <rPr>
        <b/>
        <i/>
        <sz val="11"/>
        <color rgb="FF0070C0"/>
        <rFont val="Biome"/>
        <family val="2"/>
      </rPr>
      <t>(RA11)</t>
    </r>
  </si>
  <si>
    <r>
      <rPr>
        <b/>
        <sz val="11"/>
        <color rgb="FF0070C0"/>
        <rFont val="Biome"/>
        <family val="2"/>
      </rPr>
      <t>Drive for High Performance</t>
    </r>
    <r>
      <rPr>
        <sz val="11"/>
        <color rgb="FF0070C0"/>
        <rFont val="Biome"/>
        <family val="2"/>
      </rPr>
      <t xml:space="preserve">
</t>
    </r>
    <r>
      <rPr>
        <i/>
        <sz val="11"/>
        <color rgb="FF0070C0"/>
        <rFont val="Biome"/>
        <family val="2"/>
      </rPr>
      <t xml:space="preserve">(dorongan berkinerja tinggi)
</t>
    </r>
    <r>
      <rPr>
        <b/>
        <i/>
        <sz val="11"/>
        <color rgb="FF0070C0"/>
        <rFont val="Biome"/>
        <family val="2"/>
      </rPr>
      <t>(RA12)</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</si>
  <si>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</si>
  <si>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</si>
  <si>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</si>
  <si>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</si>
  <si>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</si>
  <si>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</si>
  <si>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</si>
  <si>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</si>
  <si>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</si>
  <si>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</si>
  <si>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</si>
  <si>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(RA7)</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</si>
  <si>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(RA9)</t>
    </r>
  </si>
  <si>
    <r>
      <rPr>
        <b/>
        <sz val="11"/>
        <color rgb="FF0070C0"/>
        <rFont val="Biome"/>
        <family val="2"/>
      </rPr>
      <t xml:space="preserve">Prioritizing &amp; Sequencing Work
</t>
    </r>
    <r>
      <rPr>
        <sz val="11"/>
        <color rgb="FF0070C0"/>
        <rFont val="Biome"/>
        <family val="2"/>
      </rPr>
      <t xml:space="preserve">(menyusun prioritas &amp; urutan kerja)
</t>
    </r>
    <r>
      <rPr>
        <b/>
        <sz val="11"/>
        <color rgb="FF0070C0"/>
        <rFont val="Biome"/>
        <family val="2"/>
      </rPr>
      <t>(RA5)</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</si>
  <si>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</si>
  <si>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</si>
  <si>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</si>
  <si>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rgb="FF833C0C"/>
        <rFont val="Biome"/>
        <family val="2"/>
      </rPr>
      <t xml:space="preserve">Tolerance for Ambiguity
</t>
    </r>
    <r>
      <rPr>
        <i/>
        <sz val="11"/>
        <color rgb="FF833C0C"/>
        <rFont val="Biome"/>
        <family val="2"/>
      </rPr>
      <t xml:space="preserve">(memimpin dalam uncertainty tinggi)
</t>
    </r>
    <r>
      <rPr>
        <b/>
        <i/>
        <sz val="11"/>
        <color rgb="FF833C0C"/>
        <rFont val="Biome"/>
        <family val="2"/>
      </rPr>
      <t>(MA10)</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</si>
  <si>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</si>
  <si>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rgb="FF0070C0"/>
        <rFont val="Biome"/>
        <family val="2"/>
      </rPr>
      <t xml:space="preserve">Agile Problem-Solving Under Pressure
</t>
    </r>
    <r>
      <rPr>
        <sz val="11"/>
        <color rgb="FF0070C0"/>
        <rFont val="Biome"/>
        <family val="2"/>
      </rPr>
      <t xml:space="preserve">memecahkan masalah di bawah tekanan)
</t>
    </r>
    <r>
      <rPr>
        <b/>
        <sz val="11"/>
        <color rgb="FF0070C0"/>
        <rFont val="Biome"/>
        <family val="2"/>
      </rPr>
      <t>(RA10)</t>
    </r>
  </si>
  <si>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</si>
  <si>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theme="5" tint="-0.499984740745262"/>
        <rFont val="Biome"/>
        <family val="2"/>
      </rPr>
      <t xml:space="preserve">Integrating Diverse Perspective
</t>
    </r>
    <r>
      <rPr>
        <sz val="11"/>
        <color theme="5" tint="-0.499984740745262"/>
        <rFont val="Biome"/>
        <family val="2"/>
      </rPr>
      <t xml:space="preserve">(keputusan dari berbagai sudut pandang)
</t>
    </r>
    <r>
      <rPr>
        <b/>
        <sz val="11"/>
        <color theme="5" tint="-0.499984740745262"/>
        <rFont val="Biome"/>
        <family val="2"/>
      </rPr>
      <t>(MA6)</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</si>
  <si>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</si>
  <si>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sistem &amp; Prosedur)</t>
    </r>
    <r>
      <rPr>
        <sz val="11"/>
        <color theme="9" tint="-0.249977111117893"/>
        <rFont val="Biome"/>
        <family val="2"/>
      </rPr>
      <t xml:space="preserve">
</t>
    </r>
    <r>
      <rPr>
        <b/>
        <sz val="11"/>
        <color theme="9" tint="-0.249977111117893"/>
        <rFont val="Biome"/>
        <family val="2"/>
      </rPr>
      <t>(CA1)</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</si>
  <si>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</si>
  <si>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</si>
  <si>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theme="9" tint="-0.249977111117893"/>
        <rFont val="Biome"/>
        <family val="2"/>
      </rPr>
      <t>Proposing New Ideas</t>
    </r>
    <r>
      <rPr>
        <sz val="11"/>
        <color theme="9" tint="-0.249977111117893"/>
        <rFont val="Biome"/>
        <family val="2"/>
      </rPr>
      <t xml:space="preserve">
(menginisiasi perubahan)
</t>
    </r>
    <r>
      <rPr>
        <b/>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</si>
  <si>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</si>
  <si>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548235"/>
        <rFont val="Biome"/>
        <family val="2"/>
      </rPr>
      <t xml:space="preserve">Proactive in Anticipating Change
</t>
    </r>
    <r>
      <rPr>
        <i/>
        <sz val="11"/>
        <color rgb="FF548235"/>
        <rFont val="Biome"/>
        <family val="2"/>
      </rPr>
      <t xml:space="preserve">(mengantisipasi perubahan )
</t>
    </r>
    <r>
      <rPr>
        <b/>
        <i/>
        <sz val="11"/>
        <color rgb="FF548235"/>
        <rFont val="Biome"/>
        <family val="2"/>
      </rPr>
      <t>(CA10)</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</si>
  <si>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(nyaman dengan cara kerja baru)</t>
    </r>
    <r>
      <rPr>
        <sz val="11"/>
        <color theme="9" tint="-0.249977111117893"/>
        <rFont val="Biome"/>
        <family val="2"/>
      </rPr>
      <t xml:space="preserve">
</t>
    </r>
    <r>
      <rPr>
        <b/>
        <sz val="11"/>
        <color theme="9" tint="-0.249977111117893"/>
        <rFont val="Biome"/>
        <family val="2"/>
      </rPr>
      <t>(CA2)</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</si>
  <si>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</si>
  <si>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(PA9)</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</si>
  <si>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</si>
  <si>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</si>
  <si>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</si>
  <si>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</si>
  <si>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</si>
  <si>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rgb="FF7030A0"/>
        <rFont val="Biome"/>
        <family val="2"/>
      </rPr>
      <t>Managing Challanging Stakeholder</t>
    </r>
    <r>
      <rPr>
        <sz val="11"/>
        <color rgb="FF7030A0"/>
        <rFont val="Biome"/>
        <family val="2"/>
      </rPr>
      <t xml:space="preserve">
(relasi berkelanjutan dengan pihak sulit)
</t>
    </r>
    <r>
      <rPr>
        <b/>
        <sz val="11"/>
        <color rgb="FF7030A0"/>
        <rFont val="Biome"/>
        <family val="2"/>
      </rPr>
      <t>(PA12)</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</si>
  <si>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pihak berbeda)
</t>
    </r>
    <r>
      <rPr>
        <b/>
        <i/>
        <sz val="11"/>
        <color rgb="FF7030A0"/>
        <rFont val="Biome"/>
        <family val="2"/>
      </rPr>
      <t>(PA15)</t>
    </r>
  </si>
  <si>
    <r>
      <rPr>
        <b/>
        <sz val="11"/>
        <color rgb="FF7030A0"/>
        <rFont val="Biome"/>
        <family val="2"/>
      </rPr>
      <t>Setting Direction &amp; Expectations</t>
    </r>
    <r>
      <rPr>
        <sz val="11"/>
        <color rgb="FF7030A0"/>
        <rFont val="Biome"/>
        <family val="2"/>
      </rPr>
      <t xml:space="preserve">
</t>
    </r>
    <r>
      <rPr>
        <i/>
        <sz val="11"/>
        <color rgb="FF7030A0"/>
        <rFont val="Biome"/>
        <family val="2"/>
      </rPr>
      <t>(menetapkan arah &amp; ekspektasi)</t>
    </r>
    <r>
      <rPr>
        <sz val="11"/>
        <color rgb="FF7030A0"/>
        <rFont val="Biome"/>
        <family val="2"/>
      </rPr>
      <t xml:space="preserve">
</t>
    </r>
    <r>
      <rPr>
        <b/>
        <sz val="11"/>
        <color rgb="FF7030A0"/>
        <rFont val="Biome"/>
        <family val="2"/>
      </rPr>
      <t>(PA8)</t>
    </r>
  </si>
  <si>
    <r>
      <rPr>
        <b/>
        <sz val="11"/>
        <color theme="7" tint="-0.249977111117893"/>
        <rFont val="Biome"/>
        <family val="2"/>
      </rPr>
      <t>Awareness of Impact on Others</t>
    </r>
    <r>
      <rPr>
        <sz val="11"/>
        <color theme="7" tint="-0.249977111117893"/>
        <rFont val="Biome"/>
        <family val="2"/>
      </rPr>
      <t xml:space="preserve">
(memahami dampak perilaku)
</t>
    </r>
    <r>
      <rPr>
        <b/>
        <sz val="11"/>
        <color theme="7" tint="-0.249977111117893"/>
        <rFont val="Biome"/>
        <family val="2"/>
      </rPr>
      <t>(SA8)</t>
    </r>
  </si>
  <si>
    <r>
      <rPr>
        <b/>
        <sz val="11"/>
        <color rgb="FF7030A0"/>
        <rFont val="Biome"/>
        <family val="2"/>
      </rPr>
      <t>Adapting Leadership Style</t>
    </r>
    <r>
      <rPr>
        <sz val="11"/>
        <color rgb="FF7030A0"/>
        <rFont val="Biome"/>
        <family val="2"/>
      </rPr>
      <t xml:space="preserve">
(menyesuaikan gaya kepemimpinan)
</t>
    </r>
    <r>
      <rPr>
        <b/>
        <sz val="11"/>
        <color rgb="FF7030A0"/>
        <rFont val="Biome"/>
        <family val="2"/>
      </rPr>
      <t>(PA14)</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</si>
  <si>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</si>
  <si>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Recognizing Others' Potential</t>
    </r>
    <r>
      <rPr>
        <sz val="11"/>
        <color rgb="FF7030A0"/>
        <rFont val="Biome"/>
        <family val="2"/>
      </rPr>
      <t xml:space="preserve">
</t>
    </r>
    <r>
      <rPr>
        <i/>
        <sz val="11"/>
        <color rgb="FF7030A0"/>
        <rFont val="Biome"/>
        <family val="2"/>
      </rPr>
      <t>(mengenali potensi orang lain)</t>
    </r>
    <r>
      <rPr>
        <sz val="11"/>
        <color rgb="FF7030A0"/>
        <rFont val="Biome"/>
        <family val="2"/>
      </rPr>
      <t xml:space="preserve">
</t>
    </r>
    <r>
      <rPr>
        <b/>
        <sz val="11"/>
        <color rgb="FF7030A0"/>
        <rFont val="Biome"/>
        <family val="2"/>
      </rPr>
      <t>(PA7)</t>
    </r>
  </si>
  <si>
    <r>
      <rPr>
        <b/>
        <sz val="11"/>
        <color rgb="FF7030A0"/>
        <rFont val="Biome"/>
        <family val="2"/>
      </rPr>
      <t>Giving Developmental Feedback</t>
    </r>
    <r>
      <rPr>
        <sz val="11"/>
        <color rgb="FF7030A0"/>
        <rFont val="Biome"/>
        <family val="2"/>
      </rPr>
      <t xml:space="preserve">
(memberi umpan balik yang mengembangkan)
</t>
    </r>
    <r>
      <rPr>
        <b/>
        <sz val="11"/>
        <color rgb="FF7030A0"/>
        <rFont val="Biome"/>
        <family val="2"/>
      </rPr>
      <t>(PA11)</t>
    </r>
  </si>
  <si>
    <r>
      <rPr>
        <b/>
        <sz val="11"/>
        <color rgb="FF7030A0"/>
        <rFont val="Biome"/>
        <family val="2"/>
      </rPr>
      <t>Delegating for Growth</t>
    </r>
    <r>
      <rPr>
        <sz val="11"/>
        <color rgb="FF7030A0"/>
        <rFont val="Biome"/>
        <family val="2"/>
      </rPr>
      <t xml:space="preserve">
(mendelegasikan sebagai sarana pengembangan)
</t>
    </r>
    <r>
      <rPr>
        <b/>
        <sz val="11"/>
        <color rgb="FF7030A0"/>
        <rFont val="Biome"/>
        <family val="2"/>
      </rPr>
      <t>(PA13)</t>
    </r>
  </si>
  <si>
    <r>
      <rPr>
        <b/>
        <sz val="11"/>
        <color rgb="FF7030A0"/>
        <rFont val="Biome"/>
        <family val="2"/>
      </rPr>
      <t>Coaching &amp; Building Capability</t>
    </r>
    <r>
      <rPr>
        <sz val="11"/>
        <color rgb="FF7030A0"/>
        <rFont val="Biome"/>
        <family val="2"/>
      </rPr>
      <t xml:space="preserve">
</t>
    </r>
    <r>
      <rPr>
        <i/>
        <sz val="11"/>
        <color rgb="FF7030A0"/>
        <rFont val="Biome"/>
        <family val="2"/>
      </rPr>
      <t xml:space="preserve">(membangun kemampuan orang lain)
</t>
    </r>
    <r>
      <rPr>
        <b/>
        <i/>
        <sz val="11"/>
        <color rgb="FF7030A0"/>
        <rFont val="Biome"/>
        <family val="2"/>
      </rPr>
      <t>(PA16)</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</si>
  <si>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t>
    </r>
    <r>
      <rPr>
        <sz val="11"/>
        <color rgb="FF7030A0"/>
        <rFont val="Biome"/>
        <family val="2"/>
      </rPr>
      <t xml:space="preserve">
</t>
    </r>
    <r>
      <rPr>
        <b/>
        <sz val="11"/>
        <color rgb="FF7030A0"/>
        <rFont val="Biome"/>
        <family val="2"/>
      </rPr>
      <t>(PA1)</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</si>
  <si>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</si>
  <si>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</si>
  <si>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t>Communication &amp; Deal with Other</t>
  </si>
  <si>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</si>
  <si>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(PA10)</t>
    </r>
  </si>
  <si>
    <t>NO</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</si>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</sst>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8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b/>
      <sz val="11"/>
      <color rgb="FF833C0C"/>
      <name val="Biome"/>
      <family val="2"/>
    </font>
    <font>
      <sz val="11"/>
      <color rgb="FF833C0C"/>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sz val="11"/>
      <color theme="4" tint="0.79998168889431442"/>
      <name val="Abadi"/>
      <family val="2"/>
    </font>
    <font>
      <sz val="10"/>
      <color rgb="FF0F1115"/>
      <name val="Abadi"/>
      <family val="2"/>
    </font>
    <font>
      <sz val="11"/>
      <color theme="0"/>
      <name val="Aptos Narrow"/>
      <family val="2"/>
      <scheme val="minor"/>
    </font>
    <font>
      <sz val="11"/>
      <color theme="4"/>
      <name val="Aptos Narrow"/>
      <family val="2"/>
      <scheme val="minor"/>
    </font>
    <font>
      <sz val="9"/>
      <name val="Arial"/>
      <family val="2"/>
    </font>
    <font>
      <sz val="11"/>
      <name val="Aptos Narrow"/>
      <family val="2"/>
      <scheme val="minor"/>
    </font>
    <font>
      <sz val="11"/>
      <color rgb="FF000000"/>
      <name val="Aptos Narrow"/>
      <family val="2"/>
    </font>
    <font>
      <sz val="11"/>
      <color theme="1"/>
      <name val="Aptos Narrow"/>
      <family val="2"/>
    </font>
    <font>
      <sz val="11"/>
      <color rgb="FF0F1115"/>
      <name val="Aptos Narrow"/>
      <family val="2"/>
    </font>
    <font>
      <sz val="11"/>
      <color rgb="FF000000"/>
      <name val="Calibri"/>
      <family val="2"/>
    </font>
    <font>
      <sz val="11"/>
      <name val="Segoe UI"/>
      <family val="2"/>
    </font>
    <font>
      <sz val="9"/>
      <name val="Segoe UI"/>
      <family val="2"/>
    </font>
    <font>
      <sz val="11"/>
      <color theme="1"/>
      <name val="Segoe UI"/>
      <family val="2"/>
    </font>
  </fonts>
  <fills count="32">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D9E2F3"/>
      </patternFill>
    </fill>
    <fill>
      <patternFill patternType="solid">
        <fgColor theme="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9" fontId="61" fillId="0" borderId="0" applyFont="0" applyFill="0" applyBorder="0" applyAlignment="0" applyProtection="0"/>
    <xf numFmtId="164" fontId="61" fillId="0" borderId="0" applyFont="0" applyFill="0" applyBorder="0" applyAlignment="0" applyProtection="0"/>
  </cellStyleXfs>
  <cellXfs count="323">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9" fillId="0" borderId="0" xfId="0" applyFont="1" applyAlignment="1">
      <alignment vertical="center"/>
    </xf>
    <xf numFmtId="0" fontId="10" fillId="0" borderId="0" xfId="0" applyFont="1"/>
    <xf numFmtId="0" fontId="1" fillId="0" borderId="1" xfId="0" applyFont="1" applyBorder="1" applyAlignment="1">
      <alignment horizontal="right" vertical="center" wrapText="1" indent="1"/>
    </xf>
    <xf numFmtId="0" fontId="8" fillId="0" borderId="1" xfId="0" applyFont="1" applyBorder="1" applyAlignment="1">
      <alignment horizontal="right" vertical="center" wrapText="1" indent="1"/>
    </xf>
    <xf numFmtId="0" fontId="12"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0"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4" fillId="2" borderId="1" xfId="0" applyFont="1" applyFill="1" applyBorder="1" applyAlignment="1">
      <alignment horizontal="right" vertical="center" wrapText="1" indent="1"/>
    </xf>
    <xf numFmtId="0" fontId="15"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16" fillId="0" borderId="0" xfId="0" applyFont="1" applyAlignment="1">
      <alignment vertical="center"/>
    </xf>
    <xf numFmtId="0" fontId="17" fillId="0" borderId="0" xfId="0" applyFont="1"/>
    <xf numFmtId="0" fontId="18" fillId="4" borderId="1" xfId="0" applyFont="1" applyFill="1" applyBorder="1" applyAlignment="1">
      <alignment horizontal="center" vertical="center" wrapText="1"/>
    </xf>
    <xf numFmtId="0" fontId="17" fillId="0" borderId="1" xfId="0" applyFont="1" applyBorder="1" applyAlignment="1">
      <alignment horizontal="right" vertical="center" wrapText="1" indent="1"/>
    </xf>
    <xf numFmtId="0" fontId="12" fillId="8" borderId="1" xfId="0" applyFont="1" applyFill="1" applyBorder="1" applyAlignment="1">
      <alignment horizontal="center" vertical="center" wrapText="1"/>
    </xf>
    <xf numFmtId="0" fontId="2" fillId="0" borderId="0" xfId="0" applyFont="1" applyAlignment="1">
      <alignment horizontal="center" wrapText="1"/>
    </xf>
    <xf numFmtId="0" fontId="17" fillId="0" borderId="1" xfId="0" applyFont="1" applyBorder="1" applyAlignment="1">
      <alignment horizontal="center" vertical="center" wrapText="1"/>
    </xf>
    <xf numFmtId="0" fontId="20"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21" fillId="5" borderId="1" xfId="0" applyFont="1" applyFill="1" applyBorder="1" applyAlignment="1">
      <alignment horizontal="right" vertical="center" wrapText="1" indent="1"/>
    </xf>
    <xf numFmtId="0" fontId="22" fillId="5" borderId="1" xfId="0" applyFont="1" applyFill="1" applyBorder="1" applyAlignment="1">
      <alignment horizontal="center" vertical="center" wrapText="1"/>
    </xf>
    <xf numFmtId="0" fontId="25" fillId="18" borderId="1" xfId="0" applyFont="1" applyFill="1" applyBorder="1" applyAlignment="1">
      <alignment vertical="center" wrapText="1"/>
    </xf>
    <xf numFmtId="0" fontId="25" fillId="18" borderId="1" xfId="0" applyFont="1" applyFill="1" applyBorder="1" applyAlignment="1">
      <alignment horizontal="left" vertical="center" wrapText="1"/>
    </xf>
    <xf numFmtId="0" fontId="32" fillId="5" borderId="1" xfId="0" applyFont="1" applyFill="1" applyBorder="1" applyAlignment="1">
      <alignment horizontal="left" vertical="center" wrapText="1"/>
    </xf>
    <xf numFmtId="0" fontId="37" fillId="5"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49" fillId="0" borderId="1" xfId="0" applyFont="1" applyBorder="1" applyAlignment="1">
      <alignment horizontal="center" vertical="center"/>
    </xf>
    <xf numFmtId="0" fontId="49" fillId="0" borderId="1" xfId="0" applyFont="1" applyBorder="1" applyAlignment="1">
      <alignment horizontal="center" vertical="center" wrapText="1"/>
    </xf>
    <xf numFmtId="0" fontId="49" fillId="5" borderId="1" xfId="0" applyFont="1" applyFill="1" applyBorder="1" applyAlignment="1">
      <alignment horizontal="center" vertical="center" wrapText="1"/>
    </xf>
    <xf numFmtId="0" fontId="49" fillId="20" borderId="1" xfId="0" applyFont="1" applyFill="1" applyBorder="1" applyAlignment="1">
      <alignment horizontal="center" vertical="center" wrapText="1"/>
    </xf>
    <xf numFmtId="0" fontId="49" fillId="9" borderId="1" xfId="0" applyFont="1" applyFill="1" applyBorder="1" applyAlignment="1">
      <alignment horizontal="center" vertical="center" wrapText="1"/>
    </xf>
    <xf numFmtId="0" fontId="49" fillId="18" borderId="1" xfId="0" applyFont="1" applyFill="1" applyBorder="1" applyAlignment="1">
      <alignment horizontal="center" vertical="center" wrapText="1"/>
    </xf>
    <xf numFmtId="0" fontId="50" fillId="0" borderId="1" xfId="0" applyFont="1" applyBorder="1" applyAlignment="1">
      <alignment horizontal="center" vertical="center"/>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0" fillId="0" borderId="0" xfId="0" applyAlignment="1">
      <alignment wrapText="1"/>
    </xf>
    <xf numFmtId="0" fontId="19"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2" fillId="5" borderId="1" xfId="0" applyFont="1" applyFill="1" applyBorder="1" applyAlignment="1">
      <alignment vertical="center" wrapText="1"/>
    </xf>
    <xf numFmtId="0" fontId="22" fillId="0" borderId="0" xfId="0" applyFont="1" applyAlignment="1">
      <alignment vertical="center" wrapText="1"/>
    </xf>
    <xf numFmtId="0" fontId="2" fillId="0" borderId="1" xfId="0" applyFont="1" applyBorder="1" applyAlignment="1">
      <alignment horizontal="left" vertical="center" wrapText="1"/>
    </xf>
    <xf numFmtId="0" fontId="53" fillId="0" borderId="1" xfId="0" applyFont="1" applyBorder="1" applyAlignment="1">
      <alignment vertical="center" wrapText="1"/>
    </xf>
    <xf numFmtId="0" fontId="14" fillId="2" borderId="1" xfId="0" applyFont="1" applyFill="1" applyBorder="1" applyAlignment="1">
      <alignment horizontal="center" vertical="center" wrapText="1"/>
    </xf>
    <xf numFmtId="0" fontId="5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8"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55" fillId="2" borderId="1" xfId="0" applyFont="1" applyFill="1" applyBorder="1" applyAlignment="1">
      <alignment horizontal="left" vertical="center" indent="1"/>
    </xf>
    <xf numFmtId="0" fontId="55" fillId="2" borderId="1" xfId="0" applyFont="1" applyFill="1" applyBorder="1" applyAlignment="1">
      <alignment horizontal="right" vertical="center" wrapText="1" indent="1"/>
    </xf>
    <xf numFmtId="2" fontId="55" fillId="2" borderId="1" xfId="0" applyNumberFormat="1" applyFont="1" applyFill="1" applyBorder="1" applyAlignment="1">
      <alignment horizontal="center" vertical="center" wrapText="1"/>
    </xf>
    <xf numFmtId="2" fontId="3" fillId="2" borderId="1" xfId="0" applyNumberFormat="1" applyFont="1" applyFill="1" applyBorder="1"/>
    <xf numFmtId="2" fontId="55"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7" fillId="0" borderId="1" xfId="0" applyNumberFormat="1" applyFont="1" applyBorder="1" applyAlignment="1">
      <alignment horizontal="center"/>
    </xf>
    <xf numFmtId="0" fontId="24"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xf>
    <xf numFmtId="0" fontId="3" fillId="0" borderId="1" xfId="0" applyFont="1" applyBorder="1" applyAlignment="1">
      <alignment horizontal="center" vertical="center" wrapText="1"/>
    </xf>
    <xf numFmtId="0" fontId="3" fillId="1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19" fillId="3" borderId="1" xfId="0" applyFont="1" applyFill="1" applyBorder="1" applyAlignment="1">
      <alignment wrapText="1"/>
    </xf>
    <xf numFmtId="0" fontId="19" fillId="3" borderId="1" xfId="0" applyFont="1" applyFill="1" applyBorder="1" applyAlignment="1">
      <alignment horizontal="center" vertical="center"/>
    </xf>
    <xf numFmtId="0" fontId="19" fillId="5" borderId="1" xfId="0" applyFont="1" applyFill="1" applyBorder="1" applyAlignment="1">
      <alignment wrapText="1"/>
    </xf>
    <xf numFmtId="0" fontId="19" fillId="5" borderId="1" xfId="0" applyFont="1" applyFill="1" applyBorder="1" applyAlignment="1">
      <alignment horizontal="center" vertical="center"/>
    </xf>
    <xf numFmtId="0" fontId="19" fillId="6" borderId="1" xfId="0" applyFont="1" applyFill="1" applyBorder="1" applyAlignment="1">
      <alignment wrapText="1"/>
    </xf>
    <xf numFmtId="0" fontId="19" fillId="6" borderId="1" xfId="0" applyFont="1" applyFill="1" applyBorder="1" applyAlignment="1">
      <alignment horizontal="center" vertical="center"/>
    </xf>
    <xf numFmtId="0" fontId="19" fillId="7" borderId="1" xfId="0" applyFont="1" applyFill="1" applyBorder="1" applyAlignment="1">
      <alignment wrapText="1"/>
    </xf>
    <xf numFmtId="0" fontId="19" fillId="7" borderId="1" xfId="0" applyFont="1" applyFill="1" applyBorder="1" applyAlignment="1">
      <alignment horizontal="center" vertical="center"/>
    </xf>
    <xf numFmtId="0" fontId="19" fillId="19" borderId="1" xfId="0" applyFont="1" applyFill="1" applyBorder="1" applyAlignment="1">
      <alignment wrapText="1"/>
    </xf>
    <xf numFmtId="0" fontId="19" fillId="19" borderId="1" xfId="0" applyFont="1" applyFill="1" applyBorder="1" applyAlignment="1">
      <alignment horizontal="center" vertical="center"/>
    </xf>
    <xf numFmtId="0" fontId="57" fillId="0" borderId="0" xfId="0" applyFont="1" applyAlignment="1">
      <alignment horizontal="left" vertical="center" wrapText="1" indent="1"/>
    </xf>
    <xf numFmtId="0" fontId="56" fillId="0" borderId="0" xfId="0" applyFont="1" applyAlignment="1">
      <alignment horizontal="left" vertical="center" wrapText="1" indent="1"/>
    </xf>
    <xf numFmtId="0" fontId="58"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8"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57" fillId="0" borderId="0" xfId="0" applyFont="1" applyAlignment="1">
      <alignment horizontal="right" vertical="center" wrapText="1" indent="1"/>
    </xf>
    <xf numFmtId="0" fontId="58" fillId="2" borderId="0" xfId="0" applyFont="1" applyFill="1" applyAlignment="1">
      <alignment horizontal="right" vertical="center" wrapText="1" indent="1"/>
    </xf>
    <xf numFmtId="0" fontId="58" fillId="2" borderId="1" xfId="0" applyFont="1" applyFill="1" applyBorder="1" applyAlignment="1">
      <alignment horizontal="right" vertical="center" wrapText="1" indent="1"/>
    </xf>
    <xf numFmtId="0" fontId="62" fillId="0" borderId="0" xfId="0" applyFont="1"/>
    <xf numFmtId="0" fontId="8" fillId="15"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8" fillId="17" borderId="1" xfId="0" applyFont="1" applyFill="1" applyBorder="1" applyAlignment="1">
      <alignment horizontal="left" vertical="top" wrapText="1"/>
    </xf>
    <xf numFmtId="0" fontId="8" fillId="14"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11" fillId="15" borderId="1" xfId="0" applyFont="1" applyFill="1" applyBorder="1" applyAlignment="1">
      <alignment horizontal="left" vertical="top" wrapText="1"/>
    </xf>
    <xf numFmtId="0" fontId="11"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64" fillId="0" borderId="1" xfId="0" applyFont="1" applyBorder="1" applyAlignment="1">
      <alignment vertical="center" wrapText="1"/>
    </xf>
    <xf numFmtId="0" fontId="65" fillId="0" borderId="1" xfId="0" applyFont="1" applyBorder="1" applyAlignment="1">
      <alignment vertical="center" wrapText="1"/>
    </xf>
    <xf numFmtId="0" fontId="66"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vertical="center" wrapText="1"/>
    </xf>
    <xf numFmtId="0" fontId="63" fillId="0" borderId="0" xfId="0" applyFont="1" applyAlignment="1">
      <alignment vertical="top" wrapText="1"/>
    </xf>
    <xf numFmtId="0" fontId="63" fillId="0" borderId="0" xfId="0" applyFont="1"/>
    <xf numFmtId="0" fontId="63" fillId="24" borderId="0" xfId="0" applyFont="1" applyFill="1" applyAlignment="1">
      <alignment wrapText="1"/>
    </xf>
    <xf numFmtId="0" fontId="63" fillId="0" borderId="0" xfId="0" applyFont="1" applyAlignment="1">
      <alignment horizontal="center" vertical="center"/>
    </xf>
    <xf numFmtId="0" fontId="70" fillId="0" borderId="0" xfId="0" applyFont="1" applyAlignment="1">
      <alignment horizontal="left" vertical="center" wrapText="1"/>
    </xf>
    <xf numFmtId="0" fontId="71" fillId="25" borderId="0" xfId="0" applyFont="1" applyFill="1" applyAlignment="1">
      <alignment horizontal="center" vertical="center" wrapText="1"/>
    </xf>
    <xf numFmtId="0" fontId="63" fillId="0" borderId="0" xfId="0" applyFont="1" applyAlignment="1">
      <alignment horizontal="center" vertical="center" wrapText="1"/>
    </xf>
    <xf numFmtId="0" fontId="71" fillId="25" borderId="4" xfId="0" applyFont="1" applyFill="1" applyBorder="1" applyAlignment="1">
      <alignment horizontal="center" vertical="center" wrapText="1"/>
    </xf>
    <xf numFmtId="0" fontId="71" fillId="25" borderId="5" xfId="0" applyFont="1" applyFill="1" applyBorder="1" applyAlignment="1">
      <alignment horizontal="center" vertical="center" wrapText="1"/>
    </xf>
    <xf numFmtId="0" fontId="63" fillId="0" borderId="0" xfId="0" applyFont="1" applyAlignment="1">
      <alignment wrapText="1"/>
    </xf>
    <xf numFmtId="0" fontId="63" fillId="0" borderId="0" xfId="0" applyFont="1" applyAlignment="1">
      <alignment vertical="center" wrapText="1"/>
    </xf>
    <xf numFmtId="1" fontId="2" fillId="26" borderId="4" xfId="0" applyNumberFormat="1" applyFont="1" applyFill="1" applyBorder="1" applyAlignment="1">
      <alignment horizontal="center" vertical="center"/>
    </xf>
    <xf numFmtId="165" fontId="2" fillId="26" borderId="4" xfId="0" applyNumberFormat="1" applyFont="1" applyFill="1" applyBorder="1" applyAlignment="1">
      <alignment horizontal="center" vertical="center"/>
    </xf>
    <xf numFmtId="2" fontId="2" fillId="26" borderId="4" xfId="0" applyNumberFormat="1" applyFont="1" applyFill="1" applyBorder="1" applyAlignment="1">
      <alignment horizontal="center" vertical="center"/>
    </xf>
    <xf numFmtId="0" fontId="2" fillId="26" borderId="5" xfId="0" applyFont="1" applyFill="1" applyBorder="1" applyAlignment="1">
      <alignment vertical="center"/>
    </xf>
    <xf numFmtId="1" fontId="2" fillId="0" borderId="4" xfId="0" applyNumberFormat="1" applyFont="1" applyBorder="1" applyAlignment="1">
      <alignment horizontal="center" vertical="center"/>
    </xf>
    <xf numFmtId="165" fontId="2" fillId="0" borderId="4" xfId="0" applyNumberFormat="1" applyFont="1" applyBorder="1" applyAlignment="1">
      <alignment horizontal="center" vertical="center"/>
    </xf>
    <xf numFmtId="2" fontId="2" fillId="0" borderId="4" xfId="0" applyNumberFormat="1" applyFont="1" applyBorder="1" applyAlignment="1">
      <alignment horizontal="center" vertical="center"/>
    </xf>
    <xf numFmtId="0" fontId="2" fillId="0" borderId="5" xfId="0" applyFont="1" applyBorder="1" applyAlignment="1">
      <alignment vertical="center"/>
    </xf>
    <xf numFmtId="0" fontId="63" fillId="0" borderId="0" xfId="0" applyFont="1" applyAlignment="1">
      <alignment vertical="center"/>
    </xf>
    <xf numFmtId="0" fontId="2" fillId="0" borderId="4" xfId="0" applyFont="1" applyBorder="1" applyAlignment="1">
      <alignment horizontal="center" vertical="center"/>
    </xf>
    <xf numFmtId="0" fontId="72" fillId="27" borderId="0" xfId="0" applyFont="1" applyFill="1" applyAlignment="1">
      <alignment horizontal="center" vertical="center" wrapText="1"/>
    </xf>
    <xf numFmtId="0" fontId="73" fillId="0" borderId="0" xfId="0" applyFont="1" applyAlignment="1">
      <alignment wrapText="1"/>
    </xf>
    <xf numFmtId="0" fontId="66" fillId="0" borderId="0" xfId="0" applyFont="1"/>
    <xf numFmtId="0" fontId="14" fillId="0" borderId="1" xfId="0" applyFont="1" applyBorder="1" applyAlignment="1">
      <alignment horizontal="left"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wrapText="1"/>
    </xf>
    <xf numFmtId="0" fontId="14" fillId="2" borderId="1" xfId="0" applyFont="1" applyFill="1" applyBorder="1" applyAlignment="1">
      <alignment vertical="center" wrapText="1"/>
    </xf>
    <xf numFmtId="0" fontId="14" fillId="2" borderId="1" xfId="0" applyFont="1" applyFill="1" applyBorder="1" applyAlignment="1">
      <alignment horizontal="left" vertical="center" wrapText="1" indent="1"/>
    </xf>
    <xf numFmtId="0" fontId="15" fillId="2" borderId="1" xfId="0" applyFont="1" applyFill="1" applyBorder="1" applyAlignment="1">
      <alignment horizontal="center" vertical="center" wrapText="1"/>
    </xf>
    <xf numFmtId="0" fontId="15" fillId="2" borderId="1" xfId="0" applyFont="1" applyFill="1" applyBorder="1" applyAlignment="1">
      <alignment horizontal="right" vertical="center" wrapText="1" indent="1"/>
    </xf>
    <xf numFmtId="0" fontId="2" fillId="0" borderId="0" xfId="0" applyFont="1" applyAlignment="1">
      <alignment horizontal="center" vertical="center" wrapText="1"/>
    </xf>
    <xf numFmtId="0" fontId="63" fillId="0" borderId="1"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62" fillId="28" borderId="0" xfId="0" applyFont="1" applyFill="1" applyAlignment="1">
      <alignment horizontal="center" vertical="center"/>
    </xf>
    <xf numFmtId="0" fontId="20" fillId="11" borderId="3"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16" borderId="3"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0" fillId="15"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5" borderId="1" xfId="0" applyFont="1" applyFill="1" applyBorder="1" applyAlignment="1">
      <alignment horizontal="center" vertical="center"/>
    </xf>
    <xf numFmtId="0" fontId="10" fillId="13" borderId="1" xfId="0" applyFont="1" applyFill="1" applyBorder="1" applyAlignment="1">
      <alignment horizontal="center" vertical="center"/>
    </xf>
    <xf numFmtId="9" fontId="62" fillId="29" borderId="1" xfId="1" applyFont="1" applyFill="1" applyBorder="1" applyAlignment="1">
      <alignment horizontal="center" vertical="center"/>
    </xf>
    <xf numFmtId="0" fontId="4" fillId="0" borderId="0" xfId="0" applyFont="1" applyAlignment="1">
      <alignment horizontal="center" wrapText="1"/>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2" fillId="0" borderId="2" xfId="0" applyFont="1" applyBorder="1" applyAlignment="1">
      <alignment horizontal="center" vertical="center" wrapText="1"/>
    </xf>
    <xf numFmtId="0" fontId="72" fillId="27" borderId="10" xfId="0" applyFont="1" applyFill="1" applyBorder="1" applyAlignment="1">
      <alignment horizontal="center" vertical="center" wrapText="1"/>
    </xf>
    <xf numFmtId="0" fontId="66" fillId="26" borderId="1"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vertical="center" wrapText="1"/>
    </xf>
    <xf numFmtId="9" fontId="0" fillId="0" borderId="1" xfId="1" applyFont="1" applyBorder="1" applyAlignment="1">
      <alignment vertical="center"/>
    </xf>
    <xf numFmtId="2" fontId="0" fillId="0" borderId="1" xfId="0" applyNumberFormat="1" applyBorder="1" applyAlignment="1">
      <alignment vertical="center"/>
    </xf>
    <xf numFmtId="0" fontId="0" fillId="0" borderId="0" xfId="0" applyAlignment="1">
      <alignment vertical="center"/>
    </xf>
    <xf numFmtId="2" fontId="0" fillId="0" borderId="1" xfId="0" applyNumberFormat="1" applyBorder="1" applyAlignment="1">
      <alignment horizontal="center" vertical="center"/>
    </xf>
    <xf numFmtId="0" fontId="0" fillId="0" borderId="1" xfId="0" applyBorder="1" applyAlignment="1">
      <alignment horizontal="center" vertical="center" wrapText="1"/>
    </xf>
    <xf numFmtId="0" fontId="76" fillId="0" borderId="0" xfId="0" applyFont="1" applyAlignment="1">
      <alignment horizontal="center" vertical="center"/>
    </xf>
    <xf numFmtId="0" fontId="76" fillId="0" borderId="0" xfId="0" applyFont="1" applyAlignment="1">
      <alignment horizontal="center" vertical="center" wrapText="1"/>
    </xf>
    <xf numFmtId="0" fontId="77" fillId="0" borderId="11" xfId="0" applyFont="1" applyBorder="1" applyAlignment="1">
      <alignment horizontal="left" vertical="top" wrapText="1"/>
    </xf>
    <xf numFmtId="0" fontId="77" fillId="30" borderId="11" xfId="0" applyFont="1" applyFill="1" applyBorder="1" applyAlignment="1">
      <alignment horizontal="left" vertical="top" wrapText="1"/>
    </xf>
    <xf numFmtId="0" fontId="78" fillId="0" borderId="0" xfId="0" applyFont="1" applyAlignment="1">
      <alignment horizontal="center" vertical="center" wrapText="1"/>
    </xf>
    <xf numFmtId="0" fontId="63" fillId="0" borderId="0" xfId="0" applyFont="1" applyAlignment="1">
      <alignment horizontal="center"/>
    </xf>
    <xf numFmtId="0" fontId="63" fillId="0" borderId="0" xfId="0" applyFont="1" applyAlignment="1">
      <alignment horizontal="center" wrapText="1"/>
    </xf>
    <xf numFmtId="0" fontId="63" fillId="4"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vertical="center" wrapText="1"/>
    </xf>
    <xf numFmtId="0" fontId="2" fillId="0" borderId="7" xfId="0" applyFont="1" applyBorder="1" applyAlignment="1">
      <alignment wrapText="1"/>
    </xf>
    <xf numFmtId="0" fontId="72" fillId="27" borderId="1" xfId="0" applyFont="1" applyFill="1" applyBorder="1" applyAlignment="1">
      <alignment horizontal="center" vertical="center" wrapText="1"/>
    </xf>
    <xf numFmtId="0" fontId="2" fillId="0" borderId="1" xfId="0" applyFont="1" applyBorder="1" applyAlignment="1">
      <alignment horizontal="center" wrapText="1"/>
    </xf>
    <xf numFmtId="0" fontId="2" fillId="0" borderId="0" xfId="0" quotePrefix="1" applyFont="1"/>
    <xf numFmtId="0" fontId="63"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3" fillId="0" borderId="0" xfId="0" applyFont="1" applyAlignment="1">
      <alignment vertical="center" wrapText="1"/>
    </xf>
    <xf numFmtId="0" fontId="63" fillId="0" borderId="1" xfId="0" applyFont="1" applyBorder="1" applyAlignment="1">
      <alignment horizontal="lef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49" fillId="19" borderId="1" xfId="0" applyFont="1" applyFill="1" applyBorder="1" applyAlignment="1">
      <alignment horizontal="center" vertical="center" wrapText="1"/>
    </xf>
    <xf numFmtId="0" fontId="32" fillId="5" borderId="1" xfId="0" applyFont="1" applyFill="1" applyBorder="1" applyAlignment="1">
      <alignment vertical="center" wrapText="1"/>
    </xf>
    <xf numFmtId="0" fontId="29" fillId="19" borderId="1" xfId="0" applyFont="1" applyFill="1" applyBorder="1" applyAlignment="1">
      <alignment vertical="center" wrapText="1"/>
    </xf>
    <xf numFmtId="0" fontId="75" fillId="31" borderId="0" xfId="0" applyFont="1" applyFill="1"/>
    <xf numFmtId="2" fontId="0" fillId="0" borderId="0" xfId="0" applyNumberFormat="1"/>
    <xf numFmtId="0" fontId="0" fillId="0" borderId="0" xfId="0" applyAlignment="1">
      <alignment horizontal="left"/>
    </xf>
    <xf numFmtId="0" fontId="19" fillId="0" borderId="0" xfId="0" applyFont="1"/>
    <xf numFmtId="0" fontId="19" fillId="0" borderId="0" xfId="0" applyFont="1" applyAlignment="1">
      <alignment wrapText="1"/>
    </xf>
    <xf numFmtId="0" fontId="19" fillId="0" borderId="0" xfId="0" applyFont="1" applyAlignment="1">
      <alignment vertical="center"/>
    </xf>
    <xf numFmtId="0" fontId="19" fillId="0" borderId="0" xfId="0" applyFont="1" applyAlignment="1">
      <alignment vertical="center" wrapText="1"/>
    </xf>
    <xf numFmtId="9" fontId="0" fillId="0" borderId="0" xfId="0" applyNumberFormat="1"/>
    <xf numFmtId="164" fontId="0" fillId="0" borderId="0" xfId="2" applyFont="1"/>
    <xf numFmtId="9" fontId="0" fillId="0" borderId="0" xfId="2" applyNumberFormat="1" applyFont="1"/>
    <xf numFmtId="164" fontId="0" fillId="0" borderId="0" xfId="0" applyNumberFormat="1"/>
    <xf numFmtId="164" fontId="19" fillId="0" borderId="0" xfId="0" applyNumberFormat="1" applyFont="1"/>
    <xf numFmtId="0" fontId="75" fillId="31" borderId="0" xfId="0" applyFont="1" applyFill="1" applyAlignment="1">
      <alignment wrapText="1"/>
    </xf>
    <xf numFmtId="2" fontId="19" fillId="0" borderId="0" xfId="0" applyNumberFormat="1" applyFont="1" applyAlignment="1">
      <alignment wrapText="1"/>
    </xf>
    <xf numFmtId="0" fontId="19"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2" fontId="0" fillId="0" borderId="0" xfId="0" applyNumberFormat="1" applyAlignment="1">
      <alignment horizontal="left"/>
    </xf>
    <xf numFmtId="0" fontId="0" fillId="0" borderId="0" xfId="0" applyAlignment="1">
      <alignment horizontal="left" vertical="center" wrapText="1"/>
    </xf>
    <xf numFmtId="0" fontId="79" fillId="0" borderId="0" xfId="0" applyFont="1" applyAlignment="1">
      <alignment horizontal="left" vertical="center" wrapText="1"/>
    </xf>
    <xf numFmtId="0" fontId="79" fillId="0" borderId="0" xfId="0" applyFont="1" applyAlignment="1">
      <alignment vertical="center" wrapText="1"/>
    </xf>
    <xf numFmtId="0" fontId="80" fillId="0" borderId="0" xfId="0" applyFont="1" applyAlignment="1">
      <alignment vertical="center" wrapText="1"/>
    </xf>
    <xf numFmtId="0" fontId="81" fillId="0" borderId="0" xfId="0" applyFont="1" applyAlignment="1">
      <alignment vertical="center" wrapText="1"/>
    </xf>
    <xf numFmtId="0" fontId="82" fillId="0" borderId="0" xfId="0" applyFont="1" applyAlignment="1">
      <alignment vertical="center" wrapText="1"/>
    </xf>
    <xf numFmtId="0" fontId="81" fillId="0" borderId="0" xfId="0" applyFont="1" applyAlignment="1">
      <alignment horizontal="left" vertical="center" wrapText="1"/>
    </xf>
    <xf numFmtId="0" fontId="79" fillId="0" borderId="0" xfId="0" applyFont="1" applyAlignment="1">
      <alignment horizontal="left" vertical="center"/>
    </xf>
    <xf numFmtId="0" fontId="83" fillId="0" borderId="0" xfId="0" applyFont="1" applyAlignment="1">
      <alignment horizontal="left" vertical="center" wrapText="1" indent="1"/>
    </xf>
    <xf numFmtId="0" fontId="84" fillId="0" borderId="0" xfId="0" applyFont="1" applyAlignment="1">
      <alignment horizontal="left" vertical="center" wrapText="1" indent="1"/>
    </xf>
    <xf numFmtId="0" fontId="80" fillId="0" borderId="0" xfId="0" applyFont="1" applyAlignment="1">
      <alignment vertical="center"/>
    </xf>
    <xf numFmtId="0" fontId="85" fillId="0" borderId="0" xfId="0" applyFont="1" applyAlignment="1">
      <alignment horizontal="left" vertical="center" wrapText="1" indent="1"/>
    </xf>
    <xf numFmtId="0" fontId="74" fillId="2" borderId="7" xfId="0" applyFont="1" applyFill="1" applyBorder="1" applyAlignment="1">
      <alignment horizontal="left" vertical="center" wrapText="1"/>
    </xf>
    <xf numFmtId="0" fontId="74" fillId="2" borderId="8" xfId="0" applyFont="1" applyFill="1" applyBorder="1" applyAlignment="1">
      <alignment horizontal="left" vertical="center" wrapText="1"/>
    </xf>
    <xf numFmtId="0" fontId="74" fillId="2" borderId="9" xfId="0" applyFont="1" applyFill="1" applyBorder="1" applyAlignment="1">
      <alignment horizontal="left" vertical="center" wrapText="1"/>
    </xf>
    <xf numFmtId="0" fontId="17"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60" fillId="7"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2" xfId="0" applyFont="1" applyFill="1" applyBorder="1" applyAlignment="1">
      <alignment horizontal="center" vertical="center"/>
    </xf>
    <xf numFmtId="0" fontId="2" fillId="18" borderId="3" xfId="0" applyFont="1" applyFill="1" applyBorder="1" applyAlignment="1">
      <alignment horizontal="center" vertical="center"/>
    </xf>
    <xf numFmtId="0" fontId="2" fillId="18" borderId="6" xfId="0" applyFont="1" applyFill="1" applyBorder="1" applyAlignment="1">
      <alignment horizontal="center" vertical="center"/>
    </xf>
    <xf numFmtId="0" fontId="2" fillId="18" borderId="2"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2" xfId="0" applyFont="1" applyFill="1" applyBorder="1" applyAlignment="1">
      <alignment horizontal="center" vertical="center"/>
    </xf>
    <xf numFmtId="0" fontId="69" fillId="23" borderId="0" xfId="0" applyFont="1" applyFill="1" applyAlignment="1">
      <alignment horizontal="center" vertical="top" wrapText="1"/>
    </xf>
    <xf numFmtId="0" fontId="75" fillId="31" borderId="0" xfId="0" applyFont="1" applyFill="1" applyAlignment="1">
      <alignment horizontal="center"/>
    </xf>
    <xf numFmtId="0" fontId="69" fillId="23" borderId="0" xfId="0" applyFont="1" applyFill="1" applyAlignment="1">
      <alignment horizontal="center" vertical="center" wrapText="1"/>
    </xf>
    <xf numFmtId="0" fontId="19" fillId="18" borderId="0" xfId="0" applyFont="1" applyFill="1" applyAlignment="1">
      <alignment horizontal="center" vertical="center"/>
    </xf>
    <xf numFmtId="0" fontId="19" fillId="0" borderId="0" xfId="0" applyFont="1" applyAlignment="1">
      <alignment horizontal="center"/>
    </xf>
    <xf numFmtId="0" fontId="50" fillId="0" borderId="1" xfId="0" applyFont="1" applyBorder="1" applyAlignment="1">
      <alignment horizontal="center" vertical="center" wrapText="1"/>
    </xf>
    <xf numFmtId="0" fontId="37" fillId="5" borderId="1" xfId="0" applyFont="1" applyFill="1" applyBorder="1" applyAlignment="1">
      <alignment vertical="center" wrapText="1"/>
    </xf>
    <xf numFmtId="0" fontId="38" fillId="9" borderId="1" xfId="0" applyFont="1" applyFill="1" applyBorder="1" applyAlignment="1">
      <alignment vertical="center" wrapText="1"/>
    </xf>
    <xf numFmtId="0" fontId="25" fillId="18" borderId="1" xfId="0" applyFont="1" applyFill="1" applyBorder="1" applyAlignment="1">
      <alignment vertical="center" wrapText="1"/>
    </xf>
    <xf numFmtId="0" fontId="29" fillId="19" borderId="1" xfId="0" applyFont="1" applyFill="1" applyBorder="1" applyAlignment="1">
      <alignment vertical="center" wrapText="1"/>
    </xf>
    <xf numFmtId="0" fontId="32" fillId="5" borderId="1" xfId="0" applyFont="1" applyFill="1" applyBorder="1" applyAlignment="1">
      <alignment vertical="center" wrapText="1"/>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25" fillId="18"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38" fillId="9"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cellXfs>
  <cellStyles count="3">
    <cellStyle name="Comma" xfId="2" builtinId="3"/>
    <cellStyle name="Normal" xfId="0" builtinId="0"/>
    <cellStyle name="Percent" xfId="1" builtinId="5"/>
  </cellStyles>
  <dxfs count="56">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numFmt numFmtId="1" formatCode="0"/>
    </dxf>
    <dxf>
      <numFmt numFmtId="1" formatCode="0"/>
    </dxf>
    <dxf>
      <numFmt numFmtId="1" formatCode="0"/>
    </dxf>
    <dxf>
      <numFmt numFmtId="1" formatCode="0"/>
    </dxf>
    <dxf>
      <font>
        <strike val="0"/>
        <outline val="0"/>
        <shadow val="0"/>
        <u val="none"/>
        <vertAlign val="baseline"/>
        <name val="Abadi"/>
        <family val="2"/>
        <scheme val="none"/>
      </font>
      <numFmt numFmtId="1" formatCode="0"/>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color rgb="FF9C0006"/>
      </font>
      <fill>
        <patternFill>
          <bgColor rgb="FFFFC7CE"/>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B9DC"/>
      <color rgb="FFFFC9C9"/>
      <color rgb="FFB2E6A2"/>
      <color rgb="FFFF2525"/>
      <color rgb="FFFFC1E0"/>
      <color rgb="FFFF99CC"/>
      <color rgb="FFFF8B8B"/>
      <color rgb="FFFF7575"/>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worksheet" Target="worksheets/sheet18.xml" /><Relationship Id="rId3" Type="http://schemas.openxmlformats.org/officeDocument/2006/relationships/worksheet" Target="worksheets/sheet3.xml" /><Relationship Id="rId21" Type="http://schemas.openxmlformats.org/officeDocument/2006/relationships/worksheet" Target="worksheets/sheet21.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sheetMetadata" Target="metadata.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sharedStrings" Target="sharedStrings.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styles" Target="styles.xml" /><Relationship Id="rId28" Type="http://schemas.openxmlformats.org/officeDocument/2006/relationships/customXml" Target="../customXml/item2.xml" /><Relationship Id="rId10" Type="http://schemas.openxmlformats.org/officeDocument/2006/relationships/worksheet" Target="worksheets/sheet10.xml" /><Relationship Id="rId19" Type="http://schemas.openxmlformats.org/officeDocument/2006/relationships/worksheet" Target="worksheets/sheet19.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theme" Target="theme/theme1.xml" /><Relationship Id="rId27" Type="http://schemas.openxmlformats.org/officeDocument/2006/relationships/customXml" Target="../customXml/item1.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#NAME?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6CDD-4372-8D88-C2657A798D3A}"/>
            </c:ext>
          </c:extLst>
        </c:ser>
        <c:ser>
          <c:idx val="1"/>
          <c:order val="1"/>
          <c:tx>
            <c:strRef>
              <c:f>Dashboard!$A$18</c:f>
              <c:strCache>
                <c:ptCount val="1"/>
                <c:pt idx="0">
                  <c:v>#NAME?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6CDD-4372-8D88-C2657A798D3A}"/>
            </c:ext>
          </c:extLst>
        </c:ser>
        <c:ser>
          <c:idx val="2"/>
          <c:order val="2"/>
          <c:tx>
            <c:strRef>
              <c:f>Dashboard!$A$19</c:f>
              <c:strCache>
                <c:ptCount val="1"/>
                <c:pt idx="0">
                  <c:v>#NAME?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6CDD-4372-8D88-C2657A798D3A}"/>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D4870385-6ED6-84C3-72E3-037C6D676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4:P20" totalsRowShown="0" headerRowDxfId="29" dataDxfId="28" totalsRowDxfId="27">
  <tableColumns count="16">
    <tableColumn id="1" xr3:uid="{7D0A76F5-5ABD-45A5-AE0F-0FE3E32F552D}" name="No" dataDxfId="26" totalsRowDxfId="25"/>
    <tableColumn id="2" xr3:uid="{6C848F70-49B3-4719-8C6B-E5A98FFB3B7B}" name="Aspek Penilaian" dataDxfId="24" totalsRowDxfId="23"/>
    <tableColumn id="3" xr3:uid="{BC646E04-3F67-4051-9708-1800A82F004D}" name="Fokus Penilaian" dataDxfId="22" totalsRowDxfId="21"/>
    <tableColumn id="7" xr3:uid="{D6EC74B2-2FF8-4D4B-9251-DB6F6601C2FF}" name="Level 1_x000a_Belum Tampak" dataDxfId="20" totalsRowDxfId="19"/>
    <tableColumn id="8" xr3:uid="{13AA1BA1-71BB-4CEE-A77B-DEA650607651}" name="Level 2_x000a_Mulai Berkembang" dataDxfId="18" totalsRowDxfId="17"/>
    <tableColumn id="9" xr3:uid="{5D56767D-AAAB-4760-AC07-A85BF6DC9AF7}" name="Level 3_x000a_Sesuai Harapan" dataDxfId="16" totalsRowDxfId="15"/>
    <tableColumn id="10" xr3:uid="{3A7C366A-0211-493A-8E40-176EE2A4A1E2}" name="Level 4_x000a_Baik" dataDxfId="14" totalsRowDxfId="13"/>
    <tableColumn id="4" xr3:uid="{414C93CA-C08F-46C7-AD96-99C4932F4C7A}" name="Level 5_x000a_Sangat Baik" dataDxfId="12" totalsRowDxfId="11"/>
    <tableColumn id="5" xr3:uid="{13C44764-88AC-477E-B88E-4A361037FCDA}" name="Skor _x000a_Panelis 1" dataDxfId="10">
      <calculatedColumnFormula>RANDBETWEEN(1,5)</calculatedColumnFormula>
    </tableColumn>
    <tableColumn id="15" xr3:uid="{1AE738B2-E6FB-4B6A-8EF1-73E7A8ABAA01}" name="Skor _x000a_Panelis 2" dataDxfId="9">
      <calculatedColumnFormula>RANDBETWEEN(1,5)</calculatedColumnFormula>
    </tableColumn>
    <tableColumn id="14" xr3:uid="{D98309FD-3876-44F3-8CFE-4327A221708D}" name="Skor _x000a_Panelis 3" dataDxfId="8">
      <calculatedColumnFormula>RANDBETWEEN(1,5)</calculatedColumnFormula>
    </tableColumn>
    <tableColumn id="16" xr3:uid="{D441537B-3FBE-4030-9014-8C179F8276B0}" name="Skor _x000a_Panelis 4" dataDxfId="7">
      <calculatedColumnFormula>RANDBETWEEN(1,5)</calculatedColumnFormula>
    </tableColumn>
    <tableColumn id="17" xr3:uid="{0238B06D-66F9-4FFF-BB0C-6233B03FD363}" name="Rata - rata" dataDxfId="6">
      <calculatedColumnFormula>AVERAGE(FormPenilaianTable3[[#This Row],[Skor 
Panelis 1]:[Skor 
Panelis 4]])</calculatedColumnFormula>
    </tableColumn>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14="http://schemas.microsoft.com/office/spreadsheetml/2009/9/main" xmlns:xm="http://schemas.microsoft.com/office/excel/2006/main" mc:Ignorable="x14ac xr xr2 xr3" xr:uid="{FD71F31B-FACD-4C4E-99F0-AD1CB4851E81}">
  <sheetPr>
    <tabColor theme="5" tint="0.59999389629810485"/>
  </sheetPr>
  <dimension ref="B2:D12"/>
  <sheetViews>
    <sheetView workbookViewId="0">
      <selection activeCell="E20" sqref="E20"/>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c r="B2" s="1" t="s">
        <v>0</v>
      </c>
      <c r="C2" s="2" t="s">
        <v>1</v>
      </c>
      <c r="D2" t="inlineStr">
        <is>
          <t xml:space="preserve">Ade Rizqie Fonna</t>
        </is>
      </c>
    </row>
    <row r="3">
      <c r="B3" s="1" t="s">
        <v>2</v>
      </c>
      <c r="C3" s="2" t="s">
        <v>1</v>
      </c>
      <c r="D3" t="inlineStr">
        <is>
          <t xml:space="preserve">Rachma Deyana</t>
        </is>
      </c>
    </row>
    <row r="4" spans="2:4">
      <c r="B4" s="1" t="s">
        <v>3</v>
      </c>
      <c r="C4" s="2" t="s">
        <v>1</v>
      </c>
      <c r="D4" s="1" t="s">
        <v>4</v>
      </c>
    </row>
    <row r="5" spans="2:4">
      <c r="B5" s="1" t="s">
        <v>5</v>
      </c>
      <c r="C5" s="2" t="s">
        <v>1</v>
      </c>
      <c r="D5" s="1" t="s">
        <v>6</v>
      </c>
    </row>
    <row r="6">
      <c r="B6" s="1" t="s">
        <v>7</v>
      </c>
      <c r="C6" s="2" t="s">
        <v>1</v>
      </c>
      <c r="D6">
        <v>46043.6974537037</v>
      </c>
    </row>
    <row r="7">
      <c r="B7" s="1" t="s">
        <v>8</v>
      </c>
      <c r="C7" s="2" t="s">
        <v>1</v>
      </c>
      <c r="D7" t="inlineStr">
        <is>
          <t xml:space="preserve">Internal Audit Non Network</t>
        </is>
      </c>
    </row>
    <row r="8">
      <c r="B8" s="1" t="s">
        <v>9</v>
      </c>
      <c r="C8" s="2" t="s">
        <v>1</v>
      </c>
      <c r="D8" t="inlineStr">
        <is>
          <t xml:space="preserve">Internal Audit &amp; Risk Management</t>
        </is>
      </c>
    </row>
    <row r="9" spans="2:4">
      <c r="B9" s="1" t="s">
        <v>10</v>
      </c>
      <c r="C9" s="2" t="s">
        <v>1</v>
      </c>
    </row>
    <row r="10">
      <c r="B10" s="1" t="s">
        <v>11</v>
      </c>
      <c r="C10" s="2" t="s">
        <v>1</v>
      </c>
      <c r="D10" t="inlineStr">
        <is>
          <t xml:space="preserve">CEO Office</t>
        </is>
      </c>
    </row>
    <row r="12" spans="2:4">
      <c r="B12" s="1" t="s">
        <v>12</v>
      </c>
      <c r="C12" s="2" t="s">
        <v>1</v>
      </c>
      <c r="D12" s="1" t="s">
        <v>13</v>
      </c>
    </row>
  </sheetData>
  <pageMargins left="0.7" right="0.7" top="0.75" bottom="0.75" header="0.3" footer="0.3"/>
  <extLst>
    <ext uri="{CCE6A557-97BC-4b89-ADB6-D9C93CAAB3DF}">
      <x14:dataValidations count="1">
        <x14:dataValidation type="list" allowBlank="1" showInputMessage="1" showErrorMessage="1" xr:uid="{C9014490-0820-4997-B03B-7CB760438B62}">
          <x14:formula1>
            <xm:f>panduan!$B$101:$B$105</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rgb="FFFFFF00"/>
  </sheetPr>
  <dimension ref="A2:P23"/>
  <sheetViews>
    <sheetView topLeftCell="G19" zoomScale="85" zoomScaleNormal="85" workbookViewId="0">
      <selection activeCell="K22" sqref="I13:K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2" customWidth="1"/>
    <col min="14" max="14" width="21.83203125" style="12" customWidth="1"/>
    <col min="15" max="15" width="46" style="80" customWidth="1"/>
    <col min="16" max="16" width="36.58203125" style="1" customWidth="1"/>
    <col min="17" max="16384" width="8.83203125" style="1"/>
  </cols>
  <sheetData>
    <row r="2" spans="1:16">
      <c r="B2" s="1" t="str">
        <f>Identitas!B2</f>
        <v xml:space="preserve">Nama </v>
      </c>
      <c r="C2" s="84">
        <f>Identitas!D2</f>
        <v>0</v>
      </c>
      <c r="I2" s="1"/>
      <c r="K2" s="1"/>
      <c r="M2" s="1"/>
      <c r="N2" s="1"/>
      <c r="O2" s="1"/>
    </row>
    <row r="3" spans="1:16">
      <c r="B3" s="1" t="str">
        <f>Identitas!B3</f>
        <v>Nama Atasan yang menilai</v>
      </c>
      <c r="C3" s="84">
        <f>Identitas!D3</f>
        <v>0</v>
      </c>
      <c r="I3" s="1"/>
      <c r="K3" s="1"/>
      <c r="M3" s="1"/>
      <c r="N3" s="1"/>
      <c r="O3" s="1"/>
    </row>
    <row r="4" spans="1:16">
      <c r="B4" s="1" t="str">
        <f>Identitas!B4</f>
        <v>Level Saat Ini</v>
      </c>
      <c r="C4" s="84" t="str">
        <f>Identitas!D4</f>
        <v>Officer</v>
      </c>
      <c r="I4" s="1"/>
      <c r="K4" s="1"/>
      <c r="M4" s="1"/>
      <c r="N4" s="1"/>
      <c r="O4" s="1"/>
    </row>
    <row r="5" spans="1:16">
      <c r="B5" s="1" t="str">
        <f>Identitas!B5</f>
        <v>Level Tujuan</v>
      </c>
      <c r="C5" s="84" t="str">
        <f>Identitas!D5</f>
        <v>Analyst</v>
      </c>
      <c r="I5" s="1"/>
      <c r="K5" s="1"/>
      <c r="M5" s="1"/>
      <c r="N5" s="1"/>
      <c r="O5" s="1"/>
    </row>
    <row r="6" spans="1:16">
      <c r="B6" s="1" t="str">
        <f>Identitas!B6</f>
        <v>Tanggal Assesment</v>
      </c>
      <c r="C6" s="84">
        <f>Identitas!D6</f>
        <v>0</v>
      </c>
      <c r="I6" s="1"/>
      <c r="K6" s="1"/>
      <c r="M6" s="1"/>
      <c r="N6" s="1"/>
      <c r="O6" s="1"/>
    </row>
    <row r="7" spans="1:16">
      <c r="B7" s="1" t="str">
        <f>Identitas!B7</f>
        <v>Unit</v>
      </c>
      <c r="C7" s="84">
        <f>Identitas!D7</f>
        <v>0</v>
      </c>
      <c r="I7" s="1"/>
      <c r="K7" s="1"/>
      <c r="M7" s="1"/>
      <c r="N7" s="1"/>
      <c r="O7" s="1"/>
    </row>
    <row r="8" spans="1:16">
      <c r="B8" s="1" t="str">
        <f>Identitas!B8</f>
        <v>Departemen</v>
      </c>
      <c r="C8" s="84">
        <f>Identitas!D8</f>
        <v>0</v>
      </c>
      <c r="I8" s="1"/>
      <c r="K8" s="1"/>
      <c r="M8" s="1"/>
      <c r="N8" s="1"/>
      <c r="O8" s="1"/>
    </row>
    <row r="9" spans="1:16">
      <c r="B9" s="1" t="str">
        <f>Identitas!B9</f>
        <v>Divisi</v>
      </c>
      <c r="C9" s="84">
        <f>Identitas!D9</f>
        <v>0</v>
      </c>
      <c r="I9" s="1"/>
      <c r="K9" s="1"/>
      <c r="M9" s="1"/>
      <c r="N9" s="1"/>
      <c r="O9" s="1"/>
    </row>
    <row r="10" spans="1:16">
      <c r="B10" s="1" t="str">
        <f>Identitas!B10</f>
        <v>Direktorat</v>
      </c>
      <c r="C10" s="84">
        <f>Identitas!D10</f>
        <v>0</v>
      </c>
      <c r="I10" s="1"/>
      <c r="K10" s="1"/>
      <c r="M10" s="1"/>
      <c r="N10" s="1"/>
      <c r="O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ht="43.9" customHeight="1">
      <c r="A13" s="10">
        <v>1</v>
      </c>
      <c r="B13" s="187" t="s">
        <v>29</v>
      </c>
      <c r="C13" s="187" t="s">
        <v>30</v>
      </c>
      <c r="D13" s="187" t="s">
        <v>31</v>
      </c>
      <c r="E13" s="187" t="s">
        <v>32</v>
      </c>
      <c r="F13" s="187" t="s">
        <v>33</v>
      </c>
      <c r="G13" s="187" t="s">
        <v>34</v>
      </c>
      <c r="H13" s="187" t="s">
        <v>35</v>
      </c>
      <c r="I13" s="10">
        <v>4</v>
      </c>
      <c r="J13" s="9" t="inlineStr">
        <is>
          <t xml:space="preserve">Memahami informasi kompleks dengan cepat dan menghubungkannya dengan konteks pekerjaan.</t>
        </is>
      </c>
      <c r="K13" s="10">
        <v>2</v>
      </c>
      <c r="L13" s="9" t="inlineStr">
        <is>
          <t xml:space="preserve">Memahami informasi dasarnya, namun masih memerlukan bantuan untuk menarik kesimpulan.</t>
        </is>
      </c>
      <c r="M13" s="13">
        <f t="shared" ref="M13:M21" si="0">I13-K13</f>
        <v>0</v>
      </c>
      <c r="N13" s="13" t="str" cm="1">
        <f t="array" ref="N13">_xlfn.IFS(
  M13&gt;=2, "Major Positive Gap",
  M13&gt;=1, "Minor Positive Gap",
  M13&gt;=0, "No Gap",
  M13&gt;=-1, "Minor Negative Gap",
  M13&lt;=-2, "Major Negative Gap"
)</f>
        <v>No Gap</v>
      </c>
      <c r="O13" s="83"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ht="46.9" customHeight="1">
      <c r="A14" s="10">
        <f>A13+1</f>
        <v>2</v>
      </c>
      <c r="B14" s="187" t="s">
        <v>36</v>
      </c>
      <c r="C14" s="187" t="s">
        <v>37</v>
      </c>
      <c r="D14" s="187" t="s">
        <v>38</v>
      </c>
      <c r="E14" s="187" t="s">
        <v>39</v>
      </c>
      <c r="F14" s="187" t="s">
        <v>40</v>
      </c>
      <c r="G14" s="187" t="s">
        <v>41</v>
      </c>
      <c r="H14" s="187" t="s">
        <v>42</v>
      </c>
      <c r="I14" s="10">
        <v>1</v>
      </c>
      <c r="J14" s="9" t="inlineStr">
        <is>
          <t xml:space="preserve">Berfokus pada gejala yang terlihat di permukaan.</t>
        </is>
      </c>
      <c r="K14" s="10">
        <v>5</v>
      </c>
      <c r="L14" s="9" t="inlineStr">
        <is>
          <t xml:space="preserve">Menemukan akar masalah secara cepat dan akurat pada situasi kompleks, ambigu, atau lintas fungsi.</t>
        </is>
      </c>
      <c r="M14" s="13">
        <f t="shared" si="0"/>
        <v>0</v>
      </c>
      <c r="N14" s="13" t="str" cm="1">
        <f t="array" ref="N14">_xlfn.IFS(
  M14&gt;=2, "Major Positive Gap",
  M14&gt;=1, "Minor Positive Gap",
  M14&gt;=0, "No Gap",
  M14&gt;=-1, "Minor Negative Gap",
  M14&lt;=-2, "Major Negative Gap"
)</f>
        <v>No Gap</v>
      </c>
      <c r="O14" s="83"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ht="60.65" customHeight="1">
      <c r="A15" s="10">
        <f t="shared" ref="A15:A22" si="1">A14+1</f>
        <v>3</v>
      </c>
      <c r="B15" s="187" t="s">
        <v>43</v>
      </c>
      <c r="C15" s="187" t="s">
        <v>44</v>
      </c>
      <c r="D15" s="187" t="s">
        <v>45</v>
      </c>
      <c r="E15" s="187" t="s">
        <v>46</v>
      </c>
      <c r="F15" s="187" t="s">
        <v>47</v>
      </c>
      <c r="G15" s="187" t="s">
        <v>48</v>
      </c>
      <c r="H15" s="187" t="s">
        <v>49</v>
      </c>
      <c r="I15" s="10">
        <v>3</v>
      </c>
      <c r="J15" s="9" t="inlineStr">
        <is>
          <t xml:space="preserve">Menanyakan "mengapa" dan "bagaimana" untuk memahami alasan di baliknya.</t>
        </is>
      </c>
      <c r="K15" s="10">
        <v>5</v>
      </c>
      <c r="L15" s="9" t="inlineStr">
        <is>
          <t xml:space="preserve">Menyusun kerangka berpikir yang menghubungkan informasi kompleks, kontradiktif, atau belum lengkap.</t>
        </is>
      </c>
      <c r="M15" s="13">
        <f t="shared" si="0"/>
        <v>0</v>
      </c>
      <c r="N15" s="13" t="str" cm="1">
        <f t="array" ref="N15">_xlfn.IFS(
  M15&gt;=2, "Major Positive Gap",
  M15&gt;=1, "Minor Positive Gap",
  M15&gt;=0, "No Gap",
  M15&gt;=-1, "Minor Negative Gap",
  M15&lt;=-2, "Major Negative Gap"
)</f>
        <v>No Gap</v>
      </c>
      <c r="O15" s="83"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ht="46.15" customHeight="1">
      <c r="A16" s="10">
        <f t="shared" si="1"/>
        <v>4</v>
      </c>
      <c r="B16" s="187" t="s">
        <v>50</v>
      </c>
      <c r="C16" s="187" t="s">
        <v>51</v>
      </c>
      <c r="D16" s="187" t="s">
        <v>52</v>
      </c>
      <c r="E16" s="187" t="s">
        <v>53</v>
      </c>
      <c r="F16" s="187" t="s">
        <v>54</v>
      </c>
      <c r="G16" s="187" t="s">
        <v>55</v>
      </c>
      <c r="H16" s="187" t="s">
        <v>56</v>
      </c>
      <c r="I16" s="10">
        <v>3</v>
      </c>
      <c r="J16" s="9" t="inlineStr">
        <is>
          <t xml:space="preserve">Menjelaskan isu kompleks secara runtut dan mudah diikuti.</t>
        </is>
      </c>
      <c r="K16" s="10">
        <v>4</v>
      </c>
      <c r="L16" s="9" t="inlineStr">
        <is>
          <t xml:space="preserve">Menyederhanakan konsep kompleks sesuai kebutuhan audiens yang berbeda-beda.</t>
        </is>
      </c>
      <c r="M16" s="13">
        <f t="shared" si="0"/>
        <v>0</v>
      </c>
      <c r="N16" s="13" t="str" cm="1">
        <f t="array" ref="N16">_xlfn.IFS(
  M16&gt;=2, "Major Positive Gap",
  M16&gt;=1, "Minor Positive Gap",
  M16&gt;=0, "No Gap",
  M16&gt;=-1, "Minor Negative Gap",
  M16&lt;=-2, "Major Negative Gap"
)</f>
        <v>No Gap</v>
      </c>
      <c r="O16" s="83"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ht="88.9" customHeight="1">
      <c r="A17" s="10">
        <f t="shared" si="1"/>
        <v>5</v>
      </c>
      <c r="B17" s="187" t="s">
        <v>57</v>
      </c>
      <c r="C17" s="187" t="s">
        <v>58</v>
      </c>
      <c r="D17" s="187" t="s">
        <v>59</v>
      </c>
      <c r="E17" s="187" t="s">
        <v>60</v>
      </c>
      <c r="F17" s="187" t="s">
        <v>61</v>
      </c>
      <c r="G17" s="187" t="s">
        <v>62</v>
      </c>
      <c r="H17" s="187" t="s">
        <v>63</v>
      </c>
      <c r="I17" s="10">
        <v>5</v>
      </c>
      <c r="J17" s="9" t="inlineStr">
        <is>
          <t xml:space="preserve">Membangun kerangka kerja baru dari informasi kompleks yang sebelumnya tampak tidak berkaitan.</t>
        </is>
      </c>
      <c r="K17" s="10">
        <v>2</v>
      </c>
      <c r="L17" s="9" t="inlineStr">
        <is>
          <t xml:space="preserve">Melihat kemiripan antar informasi, namun belum menghubungkannya menjadi satu kesimpulan.</t>
        </is>
      </c>
      <c r="M17" s="13">
        <f t="shared" si="0"/>
        <v>0</v>
      </c>
      <c r="N17" s="13" t="str" cm="1">
        <f t="array" ref="N17">_xlfn.IFS(
  M17&gt;=2, "Major Positive Gap",
  M17&gt;=1, "Minor Positive Gap",
  M17&gt;=0, "No Gap",
  M17&gt;=-1, "Minor Negative Gap",
  M17&lt;=-2, "Major Negative Gap"
)</f>
        <v>No Gap</v>
      </c>
      <c r="O17" s="83"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ht="102.65" customHeight="1">
      <c r="A18" s="10">
        <f t="shared" si="1"/>
        <v>6</v>
      </c>
      <c r="B18" s="187" t="s">
        <v>64</v>
      </c>
      <c r="C18" s="187" t="s">
        <v>65</v>
      </c>
      <c r="D18" s="187" t="s">
        <v>66</v>
      </c>
      <c r="E18" s="187" t="s">
        <v>67</v>
      </c>
      <c r="F18" s="187" t="s">
        <v>68</v>
      </c>
      <c r="G18" s="187" t="s">
        <v>69</v>
      </c>
      <c r="H18" s="187" t="s">
        <v>70</v>
      </c>
      <c r="I18" s="10">
        <v>2</v>
      </c>
      <c r="J18" s="9" t="inlineStr">
        <is>
          <t xml:space="preserve">Mempertimbangkan perspektif lain, meski sudut pandang saya sendiri masih dominan.</t>
        </is>
      </c>
      <c r="K18" s="10">
        <v>1</v>
      </c>
      <c r="L18" s="9" t="inlineStr">
        <is>
          <t xml:space="preserve">Mencari informasi yang mendukung pendapat awal saya.</t>
        </is>
      </c>
      <c r="M18" s="13">
        <f t="shared" si="0"/>
        <v>0</v>
      </c>
      <c r="N18" s="13" t="str" cm="1">
        <f t="array" ref="N18">_xlfn.IFS(
  M18&gt;=2, "Major Positive Gap",
  M18&gt;=1, "Minor Positive Gap",
  M18&gt;=0, "No Gap",
  M18&gt;=-1, "Minor Negative Gap",
  M18&lt;=-2, "Major Negative Gap"
)</f>
        <v>No Gap</v>
      </c>
      <c r="O18" s="83"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ht="64.150000000000006" customHeight="1">
      <c r="A19" s="10">
        <f t="shared" si="1"/>
        <v>7</v>
      </c>
      <c r="B19" s="187" t="s">
        <v>71</v>
      </c>
      <c r="C19" s="187" t="s">
        <v>72</v>
      </c>
      <c r="D19" s="187" t="s">
        <v>73</v>
      </c>
      <c r="E19" s="187" t="s">
        <v>74</v>
      </c>
      <c r="F19" s="187" t="s">
        <v>75</v>
      </c>
      <c r="G19" s="187" t="s">
        <v>76</v>
      </c>
      <c r="H19" s="187" t="s">
        <v>77</v>
      </c>
      <c r="I19" s="10">
        <v>5</v>
      </c>
      <c r="J19" s="9" t="inlineStr">
        <is>
          <t xml:space="preserve">Mengeksplorasi dan menguji pendekatan baru secara terencana serta menarik pembelajaran dari hasil ujinya.</t>
        </is>
      </c>
      <c r="K19" s="10">
        <v>5</v>
      </c>
      <c r="L19" s="9" t="inlineStr">
        <is>
          <t xml:space="preserve">Mengeksplorasi dan menguji pendekatan baru secara terencana serta menarik pembelajaran dari hasil ujinya.</t>
        </is>
      </c>
      <c r="M19" s="13">
        <f t="shared" si="0"/>
        <v>0</v>
      </c>
      <c r="N19" s="13" t="str" cm="1">
        <f t="array" ref="N19">_xlfn.IFS(
  M19&gt;=2, "Major Positive Gap",
  M19&gt;=1, "Minor Positive Gap",
  M19&gt;=0, "No Gap",
  M19&gt;=-1, "Minor Negative Gap",
  M19&lt;=-2, "Major Negative Gap"
)</f>
        <v>No Gap</v>
      </c>
      <c r="O19" s="83"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ht="50.5" customHeight="1">
      <c r="A20" s="10">
        <f t="shared" si="1"/>
        <v>8</v>
      </c>
      <c r="B20" s="187" t="s">
        <v>78</v>
      </c>
      <c r="C20" s="187" t="s">
        <v>79</v>
      </c>
      <c r="D20" s="187" t="s">
        <v>80</v>
      </c>
      <c r="E20" s="187" t="s">
        <v>81</v>
      </c>
      <c r="F20" s="187" t="s">
        <v>82</v>
      </c>
      <c r="G20" s="187" t="s">
        <v>83</v>
      </c>
      <c r="H20" s="187" t="s">
        <v>84</v>
      </c>
      <c r="I20" s="10">
        <v>2</v>
      </c>
      <c r="J20" s="9" t="inlineStr">
        <is>
          <t xml:space="preserve">Menyesuaikan solusi lama dengan kerangka berpikir yang sama.</t>
        </is>
      </c>
      <c r="K20" s="10">
        <v>5</v>
      </c>
      <c r="L20" s="9" t="inlineStr">
        <is>
          <t xml:space="preserve">Menciptakan solusi baru untuk masalah berulang yang tidak terselesaikan dengan cara lama.</t>
        </is>
      </c>
      <c r="M20" s="13">
        <f t="shared" si="0"/>
        <v>0</v>
      </c>
      <c r="N20" s="13" t="str" cm="1">
        <f t="array" ref="N20">_xlfn.IFS(
  M20&gt;=2, "Major Positive Gap",
  M20&gt;=1, "Minor Positive Gap",
  M20&gt;=0, "No Gap",
  M20&gt;=-1, "Minor Negative Gap",
  M20&lt;=-2, "Major Negative Gap"
)</f>
        <v>No Gap</v>
      </c>
      <c r="O20" s="83"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ht="51" customHeight="1">
      <c r="A21" s="10">
        <f t="shared" si="1"/>
        <v>9</v>
      </c>
      <c r="B21" s="187" t="s">
        <v>85</v>
      </c>
      <c r="C21" s="187" t="s">
        <v>86</v>
      </c>
      <c r="D21" s="187" t="s">
        <v>87</v>
      </c>
      <c r="E21" s="187" t="s">
        <v>88</v>
      </c>
      <c r="F21" s="187" t="s">
        <v>89</v>
      </c>
      <c r="G21" s="187" t="s">
        <v>90</v>
      </c>
      <c r="H21" s="187" t="s">
        <v>91</v>
      </c>
      <c r="I21" s="10">
        <v>5</v>
      </c>
      <c r="J21" s="9" t="inlineStr">
        <is>
          <t xml:space="preserve">Memanfaatkan situasi yang belum jelas untuk menemukan peluang, pola baru, atau alternatif strategi.</t>
        </is>
      </c>
      <c r="K21" s="10">
        <v>3</v>
      </c>
      <c r="L21" s="9" t="inlineStr">
        <is>
          <t xml:space="preserve">Tetap menjalankan pekerjaan dalam situasi ambigu dengan beberapa panduan.</t>
        </is>
      </c>
      <c r="M21" s="13">
        <f t="shared" si="0"/>
        <v>0</v>
      </c>
      <c r="N21" s="13" t="str" cm="1">
        <f t="array" ref="N21">_xlfn.IFS(
  M21&gt;=2, "Major Positive Gap",
  M21&gt;=1, "Minor Positive Gap",
  M21&gt;=0, "No Gap",
  M21&gt;=-1, "Minor Negative Gap",
  M21&lt;=-2, "Major Negative Gap"
)</f>
        <v>No Gap</v>
      </c>
      <c r="O21" s="83"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ht="75" customHeight="1">
      <c r="A22" s="10">
        <f t="shared" si="1"/>
        <v>10</v>
      </c>
      <c r="B22" s="187" t="s">
        <v>92</v>
      </c>
      <c r="C22" s="187" t="s">
        <v>93</v>
      </c>
      <c r="D22" s="187" t="s">
        <v>94</v>
      </c>
      <c r="E22" s="187" t="s">
        <v>95</v>
      </c>
      <c r="F22" s="187" t="s">
        <v>96</v>
      </c>
      <c r="G22" s="187" t="s">
        <v>97</v>
      </c>
      <c r="H22" s="187" t="s">
        <v>98</v>
      </c>
      <c r="I22" s="10">
        <v>5</v>
      </c>
      <c r="J22" s="9" t="inlineStr">
        <is>
          <t xml:space="preserve">Menetapkan arah strategis dan menciptakan peluang baru bagi pihak yang menjadi tanggung jawab saya/bawahan saya.</t>
        </is>
      </c>
      <c r="K22" s="10">
        <v>1</v>
      </c>
      <c r="L22" s="9" t="inlineStr">
        <is>
          <t xml:space="preserve">Menunda keputusan sampai arahnya menjadi lebih jelas.</t>
        </is>
      </c>
      <c r="M22" s="13">
        <f t="shared" ref="M22" si="2">I22-K22</f>
        <v>0</v>
      </c>
      <c r="N22" s="13" t="str" cm="1">
        <f t="array" ref="N22">_xlfn.IFS(
  M22&gt;=2, "Major Positive Gap",
  M22&gt;=1, "Minor Positive Gap",
  M22&gt;=0, "No Gap",
  M22&gt;=-1, "Minor Negative Gap",
  M22&lt;=-2, "Major Negative Gap"
)</f>
        <v>No Gap</v>
      </c>
      <c r="O22" s="83"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35.5" customHeight="1">
      <c r="A23" s="96" t="s">
        <v>99</v>
      </c>
      <c r="B23" s="97"/>
      <c r="C23" s="97"/>
      <c r="D23" s="97"/>
      <c r="E23" s="97"/>
      <c r="F23" s="97"/>
      <c r="G23" s="97"/>
      <c r="H23" s="97"/>
      <c r="I23" s="98" t="e">
        <f>AVERAGE(I13:J22)</f>
        <v>#DIV/0!</v>
      </c>
      <c r="J23" s="98" t="e">
        <f>AVERAGE(J13:K22)</f>
        <v>#DIV/0!</v>
      </c>
      <c r="K23" s="98" t="e">
        <f>AVERAGE(K13:L22)</f>
        <v>#DIV/0!</v>
      </c>
      <c r="L23" s="100"/>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rgb="FFFFFF00"/>
  </sheetPr>
  <dimension ref="A2:P29"/>
  <sheetViews>
    <sheetView topLeftCell="F26" zoomScale="70" zoomScaleNormal="70" workbookViewId="0">
      <selection activeCell="K28" sqref="I13:K28"/>
    </sheetView>
  </sheetViews>
  <sheetFormatPr defaultColWidth="8.83203125" defaultRowHeight="14"/>
  <cols>
    <col min="1" max="1" width="8.83203125" style="1"/>
    <col min="2" max="2" width="30.75" style="1" customWidth="1"/>
    <col min="3" max="8" width="40.75" style="1" customWidth="1"/>
    <col min="9" max="9" width="11.25" style="34" customWidth="1"/>
    <col min="10" max="10" width="30.75" style="34" hidden="1" customWidth="1"/>
    <col min="11" max="11" width="8.83203125" style="34"/>
    <col min="12" max="12" width="30.75" style="34"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2" spans="1:16">
      <c r="B2" s="1" t="str">
        <f>Identitas!B2</f>
        <v xml:space="preserve">Nama </v>
      </c>
      <c r="C2" s="84">
        <f>Identitas!D2</f>
        <v>0</v>
      </c>
      <c r="I2" s="1"/>
      <c r="J2" s="1"/>
      <c r="K2" s="1"/>
      <c r="L2" s="1"/>
      <c r="M2" s="1"/>
      <c r="N2" s="1"/>
    </row>
    <row r="3" spans="1:16">
      <c r="B3" s="1" t="str">
        <f>Identitas!B3</f>
        <v>Nama Atasan yang menilai</v>
      </c>
      <c r="C3" s="84">
        <f>Identitas!D3</f>
        <v>0</v>
      </c>
      <c r="I3" s="1"/>
      <c r="J3" s="1"/>
      <c r="K3" s="1"/>
      <c r="L3" s="1"/>
      <c r="M3" s="1"/>
      <c r="N3" s="1"/>
    </row>
    <row r="4" spans="1:16">
      <c r="B4" s="1" t="str">
        <f>Identitas!B4</f>
        <v>Level Saat Ini</v>
      </c>
      <c r="C4" s="84" t="str">
        <f>Identitas!D4</f>
        <v>Officer</v>
      </c>
      <c r="I4" s="1"/>
      <c r="J4" s="1"/>
      <c r="K4" s="1"/>
      <c r="L4" s="1"/>
      <c r="M4" s="1"/>
      <c r="N4" s="1"/>
    </row>
    <row r="5" spans="1:16">
      <c r="B5" s="1" t="str">
        <f>Identitas!B5</f>
        <v>Level Tujuan</v>
      </c>
      <c r="C5" s="84" t="str">
        <f>Identitas!D5</f>
        <v>Analyst</v>
      </c>
      <c r="I5" s="1"/>
      <c r="J5" s="1"/>
      <c r="K5" s="1"/>
      <c r="L5" s="1"/>
      <c r="M5" s="1"/>
      <c r="N5" s="1"/>
    </row>
    <row r="6" spans="1:16">
      <c r="B6" s="1" t="str">
        <f>Identitas!B6</f>
        <v>Tanggal Assesment</v>
      </c>
      <c r="C6" s="84">
        <f>Identitas!D6</f>
        <v>0</v>
      </c>
      <c r="I6" s="1"/>
      <c r="J6" s="1"/>
      <c r="K6" s="1"/>
      <c r="L6" s="1"/>
      <c r="M6" s="1"/>
      <c r="N6" s="1"/>
    </row>
    <row r="7" spans="1:16">
      <c r="B7" s="1" t="str">
        <f>Identitas!B7</f>
        <v>Unit</v>
      </c>
      <c r="C7" s="84">
        <f>Identitas!D7</f>
        <v>0</v>
      </c>
      <c r="I7" s="1"/>
      <c r="J7" s="1"/>
      <c r="K7" s="1"/>
      <c r="L7" s="1"/>
      <c r="M7" s="1"/>
      <c r="N7" s="1"/>
    </row>
    <row r="8" spans="1:16">
      <c r="B8" s="1" t="str">
        <f>Identitas!B8</f>
        <v>Departemen</v>
      </c>
      <c r="C8" s="84">
        <f>Identitas!D8</f>
        <v>0</v>
      </c>
      <c r="I8" s="1"/>
      <c r="J8" s="1"/>
      <c r="K8" s="1"/>
      <c r="L8" s="1"/>
      <c r="M8" s="1"/>
      <c r="N8" s="1"/>
    </row>
    <row r="9" spans="1:16">
      <c r="B9" s="1" t="str">
        <f>Identitas!B9</f>
        <v>Divisi</v>
      </c>
      <c r="C9" s="84">
        <f>Identitas!D9</f>
        <v>0</v>
      </c>
      <c r="I9" s="1"/>
      <c r="J9" s="1"/>
      <c r="K9" s="1"/>
      <c r="L9" s="1"/>
      <c r="M9" s="1"/>
      <c r="N9" s="1"/>
    </row>
    <row r="10" spans="1:16">
      <c r="B10" s="1" t="str">
        <f>Identitas!B10</f>
        <v>Direktorat</v>
      </c>
      <c r="C10" s="84">
        <f>Identitas!D10</f>
        <v>0</v>
      </c>
      <c r="I10" s="1"/>
      <c r="J10" s="1"/>
      <c r="K10" s="1"/>
      <c r="L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186" customFormat="1" ht="43.15" customHeight="1">
      <c r="A13" s="89">
        <v>1</v>
      </c>
      <c r="B13" s="187" t="s">
        <v>100</v>
      </c>
      <c r="C13" s="187" t="s">
        <v>101</v>
      </c>
      <c r="D13" s="187" t="s">
        <v>102</v>
      </c>
      <c r="E13" s="187" t="s">
        <v>103</v>
      </c>
      <c r="F13" s="187" t="s">
        <v>104</v>
      </c>
      <c r="G13" s="187" t="s">
        <v>105</v>
      </c>
      <c r="H13" s="187" t="s">
        <v>106</v>
      </c>
      <c r="I13" s="89">
        <v>5</v>
      </c>
      <c r="J13" s="89" t="inlineStr">
        <is>
          <t xml:space="preserve">Menghubungkan isu, kebutuhan, dan emosi pihak lain untuk mendorong kesepakatan atau tindak lanjut.</t>
        </is>
      </c>
      <c r="K13" s="89">
        <v>4</v>
      </c>
      <c r="L13" s="89" t="inlineStr">
        <is>
          <t xml:space="preserve">Menangkap makna, emosi, dan nada di balik apa yang disampaikan.</t>
        </is>
      </c>
      <c r="M13" s="188">
        <f t="shared" ref="M13:M28"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6" customFormat="1" ht="44.5" customHeight="1">
      <c r="A14" s="89">
        <f>A13+1</f>
        <v>2</v>
      </c>
      <c r="B14" s="187" t="s">
        <v>107</v>
      </c>
      <c r="C14" s="187" t="s">
        <v>108</v>
      </c>
      <c r="D14" s="187" t="s">
        <v>109</v>
      </c>
      <c r="E14" s="187" t="s">
        <v>110</v>
      </c>
      <c r="F14" s="187" t="s">
        <v>111</v>
      </c>
      <c r="G14" s="187" t="s">
        <v>112</v>
      </c>
      <c r="H14" s="187" t="s">
        <v>113</v>
      </c>
      <c r="I14" s="89">
        <v>1</v>
      </c>
      <c r="J14" s="89" t="inlineStr">
        <is>
          <t xml:space="preserve">Menjelaskan alasan atau pembenaran atas apa yang telah saya lakukan.</t>
        </is>
      </c>
      <c r="K14" s="89">
        <v>3</v>
      </c>
      <c r="L14" s="89" t="inlineStr">
        <is>
          <t xml:space="preserve">Meminta klarifikasi atau contoh agar dapat memahami masukan dengan tepat.</t>
        </is>
      </c>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6" customFormat="1" ht="45" customHeight="1">
      <c r="A15" s="89">
        <f t="shared" ref="A15:A28" si="1">A14+1</f>
        <v>3</v>
      </c>
      <c r="B15" s="187" t="s">
        <v>114</v>
      </c>
      <c r="C15" s="187" t="s">
        <v>115</v>
      </c>
      <c r="D15" s="187" t="s">
        <v>116</v>
      </c>
      <c r="E15" s="187" t="s">
        <v>117</v>
      </c>
      <c r="F15" s="187" t="s">
        <v>118</v>
      </c>
      <c r="G15" s="187" t="s">
        <v>119</v>
      </c>
      <c r="H15" s="187" t="s">
        <v>120</v>
      </c>
      <c r="I15" s="89">
        <v>1</v>
      </c>
      <c r="J15" s="89" t="inlineStr">
        <is>
          <t xml:space="preserve">Menyimpulkan orang lain berdasarkan kesan awal.</t>
        </is>
      </c>
      <c r="K15" s="89">
        <v>3</v>
      </c>
      <c r="L15" s="89" t="inlineStr">
        <is>
          <t xml:space="preserve">Menunjukkan ketertarikan pada kebutuhan, alasan, dan konteks orang lain.</t>
        </is>
      </c>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6" customFormat="1" ht="52.9" customHeight="1">
      <c r="A16" s="89">
        <f t="shared" si="1"/>
        <v>4</v>
      </c>
      <c r="B16" s="187" t="s">
        <v>121</v>
      </c>
      <c r="C16" s="187" t="s">
        <v>122</v>
      </c>
      <c r="D16" s="187" t="s">
        <v>123</v>
      </c>
      <c r="E16" s="187" t="s">
        <v>124</v>
      </c>
      <c r="F16" s="187" t="s">
        <v>125</v>
      </c>
      <c r="G16" s="187" t="s">
        <v>126</v>
      </c>
      <c r="H16" s="187" t="s">
        <v>127</v>
      </c>
      <c r="I16" s="89">
        <v>1</v>
      </c>
      <c r="J16" s="89" t="inlineStr">
        <is>
          <t xml:space="preserve">Bekerja dengan pihak yang memiliki gaya dan latar belakang serupa dengan saya.</t>
        </is>
      </c>
      <c r="K16" s="89">
        <v>4</v>
      </c>
      <c r="L16" s="89" t="inlineStr">
        <is>
          <t xml:space="preserve">Memanfaatkan keberagaman perspektif untuk menghasilkan ide atau solusi yang lebih baik.</t>
        </is>
      </c>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86" customFormat="1" ht="57.5">
      <c r="A17" s="89">
        <f t="shared" si="1"/>
        <v>5</v>
      </c>
      <c r="B17" s="187" t="s">
        <v>128</v>
      </c>
      <c r="C17" s="187" t="s">
        <v>129</v>
      </c>
      <c r="D17" s="187" t="s">
        <v>130</v>
      </c>
      <c r="E17" s="187" t="s">
        <v>131</v>
      </c>
      <c r="F17" s="187" t="s">
        <v>132</v>
      </c>
      <c r="G17" s="187" t="s">
        <v>133</v>
      </c>
      <c r="H17" s="187" t="s">
        <v>134</v>
      </c>
      <c r="I17" s="89">
        <v>2</v>
      </c>
      <c r="J17" s="89" t="inlineStr">
        <is>
          <t xml:space="preserve">Mendengarkan pendapat berbeda, meski belum memandangnya sebagai masukan bernilai.</t>
        </is>
      </c>
      <c r="K17" s="89">
        <v>5</v>
      </c>
      <c r="L17" s="89" t="inlineStr">
        <is>
          <t xml:space="preserve">Mengintegrasikan berbagai pendapat menjadi solusi yang seimbang dan dapat diterima bersama.</t>
        </is>
      </c>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6" customFormat="1" ht="89.5" customHeight="1">
      <c r="A18" s="89">
        <f t="shared" si="1"/>
        <v>6</v>
      </c>
      <c r="B18" s="187" t="s">
        <v>135</v>
      </c>
      <c r="C18" s="187" t="s">
        <v>136</v>
      </c>
      <c r="D18" s="187" t="s">
        <v>137</v>
      </c>
      <c r="E18" s="187" t="s">
        <v>138</v>
      </c>
      <c r="F18" s="187" t="s">
        <v>139</v>
      </c>
      <c r="G18" s="187" t="s">
        <v>140</v>
      </c>
      <c r="H18" s="187" t="s">
        <v>141</v>
      </c>
      <c r="I18" s="89">
        <v>1</v>
      </c>
      <c r="J18" s="89" t="inlineStr">
        <is>
          <t xml:space="preserve">Bertahan pada sudut pandang saya sendiri.</t>
        </is>
      </c>
      <c r="K18" s="89">
        <v>1</v>
      </c>
      <c r="L18" s="89" t="inlineStr">
        <is>
          <t xml:space="preserve">Bertahan pada sudut pandang saya sendiri.</t>
        </is>
      </c>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64" customFormat="1" ht="89.5" customHeight="1">
      <c r="A19" s="89">
        <f>A18+1</f>
        <v>7</v>
      </c>
      <c r="B19" s="26" t="s">
        <v>142</v>
      </c>
      <c r="C19" s="26" t="s">
        <v>143</v>
      </c>
      <c r="D19" s="26" t="s">
        <v>144</v>
      </c>
      <c r="E19" s="26" t="s">
        <v>145</v>
      </c>
      <c r="F19" s="26" t="s">
        <v>146</v>
      </c>
      <c r="G19" s="26" t="s">
        <v>147</v>
      </c>
      <c r="H19" s="26" t="s">
        <v>148</v>
      </c>
      <c r="I19" s="89">
        <v>1</v>
      </c>
      <c r="J19" s="89" t="inlineStr">
        <is>
          <t xml:space="preserve">Berfokus pada penyelesaian tugas saya sendiri.</t>
        </is>
      </c>
      <c r="K19" s="89">
        <v>4</v>
      </c>
      <c r="L19" s="192" t="inlineStr">
        <is>
          <t xml:space="preserve">Menelusuri penyebab kesenjangan kemampuan dan menyesuaikan cara bekerja dengan orang tersebut.</t>
        </is>
      </c>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64" customFormat="1" ht="89.5" customHeight="1">
      <c r="A20" s="89">
        <f t="shared" si="1"/>
        <v>8</v>
      </c>
      <c r="B20" s="26" t="s">
        <v>149</v>
      </c>
      <c r="C20" s="26" t="s">
        <v>150</v>
      </c>
      <c r="D20" s="26" t="s">
        <v>151</v>
      </c>
      <c r="E20" s="26" t="s">
        <v>152</v>
      </c>
      <c r="F20" s="26" t="s">
        <v>153</v>
      </c>
      <c r="G20" s="26" t="s">
        <v>154</v>
      </c>
      <c r="H20" s="26" t="s">
        <v>155</v>
      </c>
      <c r="I20" s="89">
        <v>3</v>
      </c>
      <c r="J20" s="89" t="inlineStr">
        <is>
          <t xml:space="preserve">Menjelaskan tujuan, pembagian peran, dan hasil yang diharapkan kepada semua pihak.</t>
        </is>
      </c>
      <c r="K20" s="89">
        <v>3</v>
      </c>
      <c r="L20" s="192" t="inlineStr">
        <is>
          <t xml:space="preserve">Menjelaskan tujuan, pembagian peran, dan hasil yang diharapkan kepada semua pihak.</t>
        </is>
      </c>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6" customFormat="1" ht="60" customHeight="1">
      <c r="A21" s="89">
        <f t="shared" si="1"/>
        <v>9</v>
      </c>
      <c r="B21" s="187" t="s">
        <v>156</v>
      </c>
      <c r="C21" s="187" t="s">
        <v>157</v>
      </c>
      <c r="D21" s="187" t="s">
        <v>158</v>
      </c>
      <c r="E21" s="187" t="s">
        <v>159</v>
      </c>
      <c r="F21" s="187" t="s">
        <v>160</v>
      </c>
      <c r="G21" s="187" t="s">
        <v>161</v>
      </c>
      <c r="H21" s="187" t="s">
        <v>162</v>
      </c>
      <c r="I21" s="89">
        <v>4</v>
      </c>
      <c r="J21" s="89" t="inlineStr">
        <is>
          <t xml:space="preserve">Menggali penyebab perasaan orang lain dan memberi respons atau dukungan yang tepat.</t>
        </is>
      </c>
      <c r="K21" s="89">
        <v>3</v>
      </c>
      <c r="L21" s="89" t="inlineStr">
        <is>
          <t xml:space="preserve">Mengamati ekspresi, nada bicara, dan situasi orang lain serta menunjukkan perhatian.</t>
        </is>
      </c>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86" customFormat="1" ht="74.5" customHeight="1">
      <c r="A22" s="89">
        <f t="shared" si="1"/>
        <v>10</v>
      </c>
      <c r="B22" s="187" t="s">
        <v>163</v>
      </c>
      <c r="C22" s="187" t="s">
        <v>164</v>
      </c>
      <c r="D22" s="187" t="s">
        <v>165</v>
      </c>
      <c r="E22" s="187" t="s">
        <v>166</v>
      </c>
      <c r="F22" s="187" t="s">
        <v>167</v>
      </c>
      <c r="G22" s="187" t="s">
        <v>168</v>
      </c>
      <c r="H22" s="187" t="s">
        <v>169</v>
      </c>
      <c r="I22" s="89">
        <v>5</v>
      </c>
      <c r="J22" s="89" t="inlineStr">
        <is>
          <t xml:space="preserve">Menjadikan konflik sebagai kesempatan memperjelas ekspektasi dan memperkuat kepercayaan.</t>
        </is>
      </c>
      <c r="K22" s="89">
        <v>2</v>
      </c>
      <c r="L22" s="89" t="inlineStr">
        <is>
          <t xml:space="preserve">Menghadapi konflik, namun mundur ketika situasinya meningkat.</t>
        </is>
      </c>
      <c r="M22" s="188">
        <f t="shared" si="0"/>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164" customFormat="1" ht="74.5" customHeight="1">
      <c r="A23" s="89">
        <f t="shared" si="1"/>
        <v>11</v>
      </c>
      <c r="B23" s="26" t="s">
        <v>170</v>
      </c>
      <c r="C23" s="26" t="s">
        <v>171</v>
      </c>
      <c r="D23" s="26" t="s">
        <v>172</v>
      </c>
      <c r="E23" s="26" t="s">
        <v>173</v>
      </c>
      <c r="F23" s="26" t="s">
        <v>174</v>
      </c>
      <c r="G23" s="26" t="s">
        <v>175</v>
      </c>
      <c r="H23" s="26" t="s">
        <v>176</v>
      </c>
      <c r="I23" s="89">
        <v>4</v>
      </c>
      <c r="J23" s="89" t="inlineStr">
        <is>
          <t xml:space="preserve">Menyampaikan dengan cara yang menjaga harga diri orang tersebut dan disertai saran perbaikan.</t>
        </is>
      </c>
      <c r="K23" s="89">
        <v>4</v>
      </c>
      <c r="L23" s="192" t="inlineStr">
        <is>
          <t xml:space="preserve">Menyampaikan dengan cara yang menjaga harga diri orang tersebut dan disertai saran perbaikan.</t>
        </is>
      </c>
      <c r="M23" s="188">
        <f t="shared" si="0"/>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186" customFormat="1" ht="63" customHeight="1">
      <c r="A24" s="89">
        <f t="shared" si="1"/>
        <v>12</v>
      </c>
      <c r="B24" s="187" t="s">
        <v>177</v>
      </c>
      <c r="C24" s="187" t="s">
        <v>178</v>
      </c>
      <c r="D24" s="187" t="s">
        <v>179</v>
      </c>
      <c r="E24" s="187" t="s">
        <v>180</v>
      </c>
      <c r="F24" s="187" t="s">
        <v>181</v>
      </c>
      <c r="G24" s="187" t="s">
        <v>182</v>
      </c>
      <c r="H24" s="187" t="s">
        <v>183</v>
      </c>
      <c r="I24" s="89">
        <v>3</v>
      </c>
      <c r="J24" s="89" t="inlineStr">
        <is>
          <t xml:space="preserve">Menjaga profesionalisme dan mulai memahami kepentingan pihak kunci.</t>
        </is>
      </c>
      <c r="K24" s="89">
        <v>4</v>
      </c>
      <c r="L24" s="89" t="inlineStr">
        <is>
          <t xml:space="preserve">Menyesuaikan gaya komunikasi dan mencari titik temu untuk membangun hubungan kerja yang produktif.</t>
        </is>
      </c>
      <c r="M24" s="188">
        <f t="shared" si="0"/>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164" customFormat="1" ht="63" customHeight="1">
      <c r="A25" s="89">
        <f t="shared" si="1"/>
        <v>13</v>
      </c>
      <c r="B25" s="26" t="s">
        <v>184</v>
      </c>
      <c r="C25" s="26" t="s">
        <v>185</v>
      </c>
      <c r="D25" s="26" t="s">
        <v>186</v>
      </c>
      <c r="E25" s="26" t="s">
        <v>187</v>
      </c>
      <c r="F25" s="26" t="s">
        <v>188</v>
      </c>
      <c r="G25" s="26" t="s">
        <v>189</v>
      </c>
      <c r="H25" s="26" t="s">
        <v>190</v>
      </c>
      <c r="I25" s="89">
        <v>2</v>
      </c>
      <c r="J25" s="89" t="inlineStr">
        <is>
          <t xml:space="preserve">Menyerahkan tugas rutin saja, sementara tugas penting tetap saya tangani.</t>
        </is>
      </c>
      <c r="K25" s="89">
        <v>2</v>
      </c>
      <c r="L25" s="192" t="inlineStr">
        <is>
          <t xml:space="preserve">Menyerahkan tugas rutin saja, sementara tugas penting tetap saya tangani.</t>
        </is>
      </c>
      <c r="M25" s="188">
        <f t="shared" si="0"/>
        <v>0</v>
      </c>
      <c r="N25" s="188" t="str" cm="1">
        <f t="array" ref="N25">_xlfn.IFS(
  M25&gt;=2, "Major Positive Gap",
  M25&gt;=1, "Minor Positive Gap",
  M25&gt;=0, "No Gap",
  M25&gt;=-1, "Minor Negative Gap",
  M25&lt;=-2, "Major Negative Gap"
)</f>
        <v>No Gap</v>
      </c>
      <c r="O25" s="160"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8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164" customFormat="1" ht="63" customHeight="1">
      <c r="A26" s="89">
        <f t="shared" si="1"/>
        <v>14</v>
      </c>
      <c r="B26" s="26" t="s">
        <v>191</v>
      </c>
      <c r="C26" s="26" t="s">
        <v>192</v>
      </c>
      <c r="D26" s="26" t="s">
        <v>193</v>
      </c>
      <c r="E26" s="26" t="s">
        <v>194</v>
      </c>
      <c r="F26" s="26" t="s">
        <v>195</v>
      </c>
      <c r="G26" s="26" t="s">
        <v>196</v>
      </c>
      <c r="H26" s="26" t="s">
        <v>197</v>
      </c>
      <c r="I26" s="89">
        <v>1</v>
      </c>
      <c r="J26" s="89" t="inlineStr">
        <is>
          <t xml:space="preserve">Menggunakan cara memimpin yang sama untuk semua orang dan semua situasi.</t>
        </is>
      </c>
      <c r="K26" s="89">
        <v>3</v>
      </c>
      <c r="L26" s="192" t="inlineStr">
        <is>
          <t xml:space="preserve">Membedakan pendekatan antara orang yang sudah berpengalaman dan yang masih baru.</t>
        </is>
      </c>
      <c r="M26" s="188">
        <f t="shared" si="0"/>
        <v>0</v>
      </c>
      <c r="N26" s="188" t="str" cm="1">
        <f t="array" ref="N26">_xlfn.IFS(
  M26&gt;=2, "Major Positive Gap",
  M26&gt;=1, "Minor Positive Gap",
  M26&gt;=0, "No Gap",
  M26&gt;=-1, "Minor Negative Gap",
  M26&lt;=-2, "Major Negative Gap"
)</f>
        <v>No Gap</v>
      </c>
      <c r="O26" s="160"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8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186" customFormat="1" ht="84" customHeight="1">
      <c r="A27" s="89">
        <f t="shared" si="1"/>
        <v>15</v>
      </c>
      <c r="B27" s="187" t="s">
        <v>198</v>
      </c>
      <c r="C27" s="187" t="s">
        <v>199</v>
      </c>
      <c r="D27" s="187" t="s">
        <v>200</v>
      </c>
      <c r="E27" s="187" t="s">
        <v>201</v>
      </c>
      <c r="F27" s="187" t="s">
        <v>202</v>
      </c>
      <c r="G27" s="187" t="s">
        <v>203</v>
      </c>
      <c r="H27" s="187" t="s">
        <v>204</v>
      </c>
      <c r="I27" s="89">
        <v>1</v>
      </c>
      <c r="J27" s="89" t="inlineStr">
        <is>
          <t xml:space="preserve">Menyerahkan penyelesaian konflik tersebut kepada pihak lain.</t>
        </is>
      </c>
      <c r="K27" s="89">
        <v>4</v>
      </c>
      <c r="L27" s="89" t="inlineStr">
        <is>
          <t xml:space="preserve">Memfasilitasi dialog dan kesepakatan pada konflik yang kompleks.</t>
        </is>
      </c>
      <c r="M27" s="188">
        <f t="shared" si="0"/>
        <v>0</v>
      </c>
      <c r="N27" s="188" t="str" cm="1">
        <f t="array" ref="N27">_xlfn.IFS(
  M27&gt;=2, "Major Positive Gap",
  M27&gt;=1, "Minor Positive Gap",
  M27&gt;=0, "No Gap",
  M27&gt;=-1, "Minor Negative Gap",
  M27&lt;=-2, "Major Negative Gap"
)</f>
        <v>No Gap</v>
      </c>
      <c r="O27" s="160"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8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164" customFormat="1" ht="84" customHeight="1">
      <c r="A28" s="89">
        <f t="shared" si="1"/>
        <v>16</v>
      </c>
      <c r="B28" s="26" t="s">
        <v>205</v>
      </c>
      <c r="C28" s="26" t="s">
        <v>206</v>
      </c>
      <c r="D28" s="26" t="s">
        <v>207</v>
      </c>
      <c r="E28" s="26" t="s">
        <v>208</v>
      </c>
      <c r="F28" s="26" t="s">
        <v>209</v>
      </c>
      <c r="G28" s="26" t="s">
        <v>210</v>
      </c>
      <c r="H28" s="26" t="s">
        <v>211</v>
      </c>
      <c r="I28" s="89">
        <v>2</v>
      </c>
      <c r="J28" s="89" t="inlineStr">
        <is>
          <t xml:space="preserve">Mendukung pengembangan orang lain ketika diminta atau ketika programnya sudah tersedia.</t>
        </is>
      </c>
      <c r="K28" s="89">
        <v>4</v>
      </c>
      <c r="L28" s="192" t="inlineStr">
        <is>
          <t xml:space="preserve">Mendampingi perkembangan orang lain melalui percakapan pengembangan yang teratur.</t>
        </is>
      </c>
      <c r="M28" s="188">
        <f t="shared" si="0"/>
        <v>0</v>
      </c>
      <c r="N28" s="188" t="str" cm="1">
        <f t="array" ref="N28">_xlfn.IFS(
  M28&gt;=2, "Major Positive Gap",
  M28&gt;=1, "Minor Positive Gap",
  M28&gt;=0, "No Gap",
  M28&gt;=-1, "Minor Negative Gap",
  M28&lt;=-2, "Major Negative Gap"
)</f>
        <v>No Gap</v>
      </c>
      <c r="O28" s="160"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8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8" customFormat="1" ht="26.5" customHeight="1">
      <c r="A29" s="96" t="s">
        <v>99</v>
      </c>
      <c r="B29" s="97"/>
      <c r="C29" s="97"/>
      <c r="D29" s="97"/>
      <c r="E29" s="97"/>
      <c r="F29" s="97"/>
      <c r="G29" s="97"/>
      <c r="H29" s="97"/>
      <c r="I29" s="98" t="e">
        <f>AVERAGE(I13:J27)</f>
        <v>#DIV/0!</v>
      </c>
      <c r="J29" s="98" t="e">
        <f>AVERAGE(J13:K27)</f>
        <v>#DIV/0!</v>
      </c>
      <c r="K29" s="98" t="e">
        <f>AVERAGE(K13:L27)</f>
        <v>#DIV/0!</v>
      </c>
      <c r="L29" s="98"/>
      <c r="M29" s="95" t="e">
        <f>I29-K29</f>
        <v>#DIV/0!</v>
      </c>
      <c r="N29" s="27" t="e" cm="1">
        <f t="array" ref="N29">_xlfn.IFS(
  VALUE(M29) &gt;= 1, "Major Positive Gap",
  VALUE(M29) &gt;= 0.5, "Minor Positive Gap",
  VALUE(M29) &gt;= -0.49, "Aligned",
  VALUE(M29) &gt;= -0.99, "Minor Negative Gap",
  VALUE(M29) &lt;= -1, "Major Negative Gap"
)</f>
        <v>#DIV/0!</v>
      </c>
      <c r="O29" s="88"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rgb="FFFFFF00"/>
  </sheetPr>
  <dimension ref="A1:P23"/>
  <sheetViews>
    <sheetView topLeftCell="F20" zoomScale="70" zoomScaleNormal="70" workbookViewId="0">
      <selection activeCell="K22" sqref="I13:K22"/>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186" customFormat="1" ht="57.65" customHeight="1">
      <c r="A13" s="25">
        <v>1</v>
      </c>
      <c r="B13" s="187" t="s">
        <v>212</v>
      </c>
      <c r="C13" s="187" t="s">
        <v>213</v>
      </c>
      <c r="D13" s="187" t="s">
        <v>214</v>
      </c>
      <c r="E13" s="187" t="s">
        <v>215</v>
      </c>
      <c r="F13" s="187" t="s">
        <v>216</v>
      </c>
      <c r="G13" s="187" t="s">
        <v>217</v>
      </c>
      <c r="H13" s="187" t="s">
        <v>218</v>
      </c>
      <c r="I13" s="89">
        <v>4</v>
      </c>
      <c r="J13" s="25" t="inlineStr">
        <is>
          <t xml:space="preserve">Menguasai sistem baru dengan cepat dan membantu orang lain memahaminya.</t>
        </is>
      </c>
      <c r="K13" s="89">
        <v>1</v>
      </c>
      <c r="L13" s="25" t="inlineStr">
        <is>
          <t xml:space="preserve">Memerlukan waktu lama untuk menggunakannya dan cenderung bertahan pada sistem lama.</t>
        </is>
      </c>
      <c r="M13" s="188">
        <f t="shared" ref="M13:M22" si="0">I13-K13</f>
        <v>0</v>
      </c>
      <c r="N13" s="188" t="str" cm="1">
        <f t="array" ref="N13">_xlfn.IFS(
  M13&gt;=2, "Major Positive Gap",
  M13&gt;=1, "Minor Positive Gap",
  M13&gt;=0, "No Gap",
  M13&gt;=-1, "Minor Negative Gap",
  M13&lt;=-2, "Major Negative Gap"
)</f>
        <v>No Gap</v>
      </c>
      <c r="O13" s="160" t="s">
        <v>219</v>
      </c>
      <c r="P13" s="189" t="s">
        <v>220</v>
      </c>
    </row>
    <row r="14" s="186" customFormat="1" ht="49.9" customHeight="1">
      <c r="A14" s="25">
        <v>2</v>
      </c>
      <c r="B14" s="187" t="s">
        <v>221</v>
      </c>
      <c r="C14" s="187" t="s">
        <v>222</v>
      </c>
      <c r="D14" s="187" t="s">
        <v>223</v>
      </c>
      <c r="E14" s="187" t="s">
        <v>224</v>
      </c>
      <c r="F14" s="187" t="s">
        <v>225</v>
      </c>
      <c r="G14" s="187" t="s">
        <v>226</v>
      </c>
      <c r="H14" s="187" t="s">
        <v>227</v>
      </c>
      <c r="I14" s="89">
        <v>2</v>
      </c>
      <c r="J14" s="25" t="inlineStr">
        <is>
          <t xml:space="preserve">Mencoba cara kerja baru, namun sering kembali pada kebiasaan lama.</t>
        </is>
      </c>
      <c r="K14" s="89">
        <v>5</v>
      </c>
      <c r="L14" s="25" t="inlineStr">
        <is>
          <t xml:space="preserve">Mencoba cara kerja baru dengan antusias dan mendorong perbaikan proses di sekitar saya.</t>
        </is>
      </c>
      <c r="M14" s="188">
        <f t="shared" si="0"/>
        <v>0</v>
      </c>
      <c r="N14" s="188" t="str" cm="1">
        <f t="array" ref="N14">_xlfn.IFS(
  M14&gt;=2, "Major Positive Gap",
  M14&gt;=1, "Minor Positive Gap",
  M14&gt;=0, "No Gap",
  M14&gt;=-1, "Minor Negative Gap",
  M14&lt;=-2, "Major Negative Gap"
)</f>
        <v>No Gap</v>
      </c>
      <c r="O14" s="160" t="s">
        <v>219</v>
      </c>
      <c r="P14" s="189" t="s">
        <v>220</v>
      </c>
    </row>
    <row r="15" s="186" customFormat="1" ht="84" customHeight="1">
      <c r="A15" s="25">
        <v>3</v>
      </c>
      <c r="B15" s="187" t="s">
        <v>228</v>
      </c>
      <c r="C15" s="187" t="s">
        <v>229</v>
      </c>
      <c r="D15" s="187" t="s">
        <v>230</v>
      </c>
      <c r="E15" s="187" t="s">
        <v>231</v>
      </c>
      <c r="F15" s="187" t="s">
        <v>232</v>
      </c>
      <c r="G15" s="187" t="s">
        <v>233</v>
      </c>
      <c r="H15" s="187" t="s">
        <v>234</v>
      </c>
      <c r="I15" s="89">
        <v>2</v>
      </c>
      <c r="J15" s="25" t="inlineStr">
        <is>
          <t xml:space="preserve">Menyesuaikan diri, namun membutuhkan waktu cukup lama untuk kembali produktif.</t>
        </is>
      </c>
      <c r="K15" s="89">
        <v>4</v>
      </c>
      <c r="L15" s="25" t="inlineStr">
        <is>
          <t xml:space="preserve">Menyesuaikan prioritas dengan cepat dan tetap produktif.</t>
        </is>
      </c>
      <c r="M15" s="188">
        <f t="shared" si="0"/>
        <v>0</v>
      </c>
      <c r="N15" s="188" t="str" cm="1">
        <f t="array" ref="N15">_xlfn.IFS(
  M15&gt;=2, "Major Positive Gap",
  M15&gt;=1, "Minor Positive Gap",
  M15&gt;=0, "No Gap",
  M15&gt;=-1, "Minor Negative Gap",
  M15&lt;=-2, "Major Negative Gap"
)</f>
        <v>No Gap</v>
      </c>
      <c r="O15" s="160" t="s">
        <v>235</v>
      </c>
      <c r="P15" s="189" t="s">
        <v>236</v>
      </c>
    </row>
    <row r="16" s="186" customFormat="1" ht="71.5" customHeight="1">
      <c r="A16" s="25">
        <v>4</v>
      </c>
      <c r="B16" s="187" t="s">
        <v>237</v>
      </c>
      <c r="C16" s="187" t="s">
        <v>238</v>
      </c>
      <c r="D16" s="187" t="s">
        <v>239</v>
      </c>
      <c r="E16" s="187" t="s">
        <v>240</v>
      </c>
      <c r="F16" s="187" t="s">
        <v>241</v>
      </c>
      <c r="G16" s="187" t="s">
        <v>242</v>
      </c>
      <c r="H16" s="187" t="s">
        <v>243</v>
      </c>
      <c r="I16" s="89">
        <v>2</v>
      </c>
      <c r="J16" s="25" t="inlineStr">
        <is>
          <t xml:space="preserve">Menerima perubahan, namun kembali ke cara lama saat menghadapi kesulitan.</t>
        </is>
      </c>
      <c r="K16" s="89">
        <v>1</v>
      </c>
      <c r="L16" s="25" t="inlineStr">
        <is>
          <t xml:space="preserve">Bertahan pada cara kerja dan arah yang lama.</t>
        </is>
      </c>
      <c r="M16" s="188">
        <f t="shared" si="0"/>
        <v>0</v>
      </c>
      <c r="N16" s="188" t="str" cm="1">
        <f t="array" ref="N16">_xlfn.IFS(
  M16&gt;=2, "Major Positive Gap",
  M16&gt;=1, "Minor Positive Gap",
  M16&gt;=0, "No Gap",
  M16&gt;=-1, "Minor Negative Gap",
  M16&lt;=-2, "Major Negative Gap"
)</f>
        <v>No Gap</v>
      </c>
      <c r="O16" s="160" t="s">
        <v>244</v>
      </c>
      <c r="P16" s="189" t="s">
        <v>245</v>
      </c>
    </row>
    <row r="17" s="186" customFormat="1" ht="60.65" customHeight="1">
      <c r="A17" s="25">
        <v>5</v>
      </c>
      <c r="B17" s="187" t="s">
        <v>246</v>
      </c>
      <c r="C17" s="187" t="s">
        <v>247</v>
      </c>
      <c r="D17" s="187" t="s">
        <v>248</v>
      </c>
      <c r="E17" s="187" t="s">
        <v>249</v>
      </c>
      <c r="F17" s="187" t="s">
        <v>250</v>
      </c>
      <c r="G17" s="187" t="s">
        <v>251</v>
      </c>
      <c r="H17" s="187" t="s">
        <v>252</v>
      </c>
      <c r="I17" s="89">
        <v>2</v>
      </c>
      <c r="J17" s="25" t="inlineStr">
        <is>
          <t xml:space="preserve">Tertarik pada hal baru, namun belum konsisten mempelajarinya.</t>
        </is>
      </c>
      <c r="K17" s="89">
        <v>1</v>
      </c>
      <c r="L17" s="25" t="inlineStr">
        <is>
          <t xml:space="preserve">Mengandalkan pengetahuan dan keterampilan yang sudah saya miliki.</t>
        </is>
      </c>
      <c r="M17" s="188">
        <f t="shared" si="0"/>
        <v>0</v>
      </c>
      <c r="N17" s="188" t="str" cm="1">
        <f t="array" ref="N17">_xlfn.IFS(
  M17&gt;=2, "Major Positive Gap",
  M17&gt;=1, "Minor Positive Gap",
  M17&gt;=0, "No Gap",
  M17&gt;=-1, "Minor Negative Gap",
  M17&lt;=-2, "Major Negative Gap"
)</f>
        <v>No Gap</v>
      </c>
      <c r="O17" s="160" t="s">
        <v>244</v>
      </c>
      <c r="P17" s="189" t="s">
        <v>245</v>
      </c>
    </row>
    <row r="18" s="186" customFormat="1" ht="54" customHeight="1">
      <c r="A18" s="25">
        <v>6</v>
      </c>
      <c r="B18" s="187" t="s">
        <v>253</v>
      </c>
      <c r="C18" s="187" t="s">
        <v>254</v>
      </c>
      <c r="D18" s="187" t="s">
        <v>255</v>
      </c>
      <c r="E18" s="187" t="s">
        <v>256</v>
      </c>
      <c r="F18" s="187" t="s">
        <v>257</v>
      </c>
      <c r="G18" s="187" t="s">
        <v>258</v>
      </c>
      <c r="H18" s="187" t="s">
        <v>259</v>
      </c>
      <c r="I18" s="89">
        <v>4</v>
      </c>
      <c r="J18" s="25" t="inlineStr">
        <is>
          <t xml:space="preserve">Memandang perubahan sebagai kesempatan belajar dan memperbaiki proses kerja.</t>
        </is>
      </c>
      <c r="K18" s="89">
        <v>2</v>
      </c>
      <c r="L18" s="25" t="inlineStr">
        <is>
          <t xml:space="preserve">Menerima perubahan dengan sangat berhati-hati.</t>
        </is>
      </c>
      <c r="M18" s="188">
        <f t="shared" si="0"/>
        <v>0</v>
      </c>
      <c r="N18" s="188" t="str" cm="1">
        <f t="array" ref="N18">_xlfn.IFS(
  M18&gt;=2, "Major Positive Gap",
  M18&gt;=1, "Minor Positive Gap",
  M18&gt;=0, "No Gap",
  M18&gt;=-1, "Minor Negative Gap",
  M18&lt;=-2, "Major Negative Gap"
)</f>
        <v>No Gap</v>
      </c>
      <c r="O18" s="160" t="s">
        <v>260</v>
      </c>
      <c r="P18" s="189" t="s">
        <v>261</v>
      </c>
    </row>
    <row r="19" s="186" customFormat="1" ht="71.5" customHeight="1">
      <c r="A19" s="25">
        <v>7</v>
      </c>
      <c r="B19" s="187" t="s">
        <v>262</v>
      </c>
      <c r="C19" s="187" t="s">
        <v>263</v>
      </c>
      <c r="D19" s="187" t="s">
        <v>264</v>
      </c>
      <c r="E19" s="187" t="s">
        <v>265</v>
      </c>
      <c r="F19" s="187" t="s">
        <v>266</v>
      </c>
      <c r="G19" s="187" t="s">
        <v>267</v>
      </c>
      <c r="H19" s="187" t="s">
        <v>268</v>
      </c>
      <c r="I19" s="89">
        <v>1</v>
      </c>
      <c r="J19" s="25" t="inlineStr">
        <is>
          <t xml:space="preserve">Mengikuti arahan yang sudah ditetapkan.</t>
        </is>
      </c>
      <c r="K19" s="89">
        <v>3</v>
      </c>
      <c r="L19" s="25" t="inlineStr">
        <is>
          <t xml:space="preserve">Memberikan saran yang relevan untuk perbaikan proses atau penyelesaian masalah.</t>
        </is>
      </c>
      <c r="M19" s="188">
        <f t="shared" si="0"/>
        <v>0</v>
      </c>
      <c r="N19" s="188" t="str" cm="1">
        <f t="array" ref="N19">_xlfn.IFS(
  M19&gt;=2, "Major Positive Gap",
  M19&gt;=1, "Minor Positive Gap",
  M19&gt;=0, "No Gap",
  M19&gt;=-1, "Minor Negative Gap",
  M19&lt;=-2, "Major Negative Gap"
)</f>
        <v>No Gap</v>
      </c>
      <c r="O19" s="160" t="s">
        <v>244</v>
      </c>
      <c r="P19" s="189" t="s">
        <v>245</v>
      </c>
    </row>
    <row r="20" s="186" customFormat="1" ht="60" customHeight="1">
      <c r="A20" s="25">
        <v>8</v>
      </c>
      <c r="B20" s="187" t="s">
        <v>269</v>
      </c>
      <c r="C20" s="187" t="s">
        <v>270</v>
      </c>
      <c r="D20" s="187" t="s">
        <v>271</v>
      </c>
      <c r="E20" s="187" t="s">
        <v>272</v>
      </c>
      <c r="F20" s="187" t="s">
        <v>273</v>
      </c>
      <c r="G20" s="187" t="s">
        <v>274</v>
      </c>
      <c r="H20" s="187" t="s">
        <v>275</v>
      </c>
      <c r="I20" s="89">
        <v>1</v>
      </c>
      <c r="J20" s="25" t="inlineStr">
        <is>
          <t xml:space="preserve">Memilih metode yang aman dan biasa digunakan.</t>
        </is>
      </c>
      <c r="K20" s="89">
        <v>5</v>
      </c>
      <c r="L20" s="25" t="inlineStr">
        <is>
          <t xml:space="preserve">Mendorong eksperimen dalam tim dan menarik pembelajaran atau inovasi dari hasilnya.</t>
        </is>
      </c>
      <c r="M20" s="188">
        <f t="shared" si="0"/>
        <v>0</v>
      </c>
      <c r="N20" s="188" t="str" cm="1">
        <f t="array" ref="N20">_xlfn.IFS(
  M20&gt;=2, "Major Positive Gap",
  M20&gt;=1, "Minor Positive Gap",
  M20&gt;=0, "No Gap",
  M20&gt;=-1, "Minor Negative Gap",
  M20&lt;=-2, "Major Negative Gap"
)</f>
        <v>No Gap</v>
      </c>
      <c r="O20" s="160" t="s">
        <v>260</v>
      </c>
      <c r="P20" s="189" t="s">
        <v>261</v>
      </c>
    </row>
    <row r="21" s="186" customFormat="1" ht="93.65" customHeight="1">
      <c r="A21" s="25">
        <v>9</v>
      </c>
      <c r="B21" s="187" t="s">
        <v>276</v>
      </c>
      <c r="C21" s="187" t="s">
        <v>277</v>
      </c>
      <c r="D21" s="187" t="s">
        <v>278</v>
      </c>
      <c r="E21" s="187" t="s">
        <v>279</v>
      </c>
      <c r="F21" s="187" t="s">
        <v>280</v>
      </c>
      <c r="G21" s="187" t="s">
        <v>281</v>
      </c>
      <c r="H21" s="187" t="s">
        <v>282</v>
      </c>
      <c r="I21" s="89">
        <v>1</v>
      </c>
      <c r="J21" s="25" t="inlineStr">
        <is>
          <t xml:space="preserve">Merasa tidak nyaman dan sulit berpikir jernih ketika arah belum jelas.</t>
        </is>
      </c>
      <c r="K21" s="89">
        <v>1</v>
      </c>
      <c r="L21" s="25" t="inlineStr">
        <is>
          <t xml:space="preserve">Merasa tidak nyaman dan sulit berpikir jernih ketika arah belum jelas.</t>
        </is>
      </c>
      <c r="M21" s="188">
        <f t="shared" si="0"/>
        <v>0</v>
      </c>
      <c r="N21" s="188" t="str" cm="1">
        <f t="array" ref="N21">_xlfn.IFS(
  M21&gt;=2, "Major Positive Gap",
  M21&gt;=1, "Minor Positive Gap",
  M21&gt;=0, "No Gap",
  M21&gt;=-1, "Minor Negative Gap",
  M21&lt;=-2, "Major Negative Gap"
)</f>
        <v>No Gap</v>
      </c>
      <c r="O21" s="160" t="s">
        <v>235</v>
      </c>
      <c r="P21" s="189" t="s">
        <v>236</v>
      </c>
    </row>
    <row r="22" s="186" customFormat="1" ht="28">
      <c r="A22" s="25">
        <v>10</v>
      </c>
      <c r="B22" s="187" t="s">
        <v>283</v>
      </c>
      <c r="C22" s="187" t="s">
        <v>284</v>
      </c>
      <c r="D22" s="187" t="s">
        <v>285</v>
      </c>
      <c r="E22" s="187" t="s">
        <v>286</v>
      </c>
      <c r="F22" s="187" t="s">
        <v>287</v>
      </c>
      <c r="G22" s="187" t="s">
        <v>288</v>
      </c>
      <c r="H22" s="187" t="s">
        <v>289</v>
      </c>
      <c r="I22" s="89">
        <v>4</v>
      </c>
      <c r="J22" s="25" t="inlineStr">
        <is>
          <t xml:space="preserve">Memindai lingkungan, membaca tren, dan menyiapkan rencana menghadapi perubahan.</t>
        </is>
      </c>
      <c r="K22" s="89">
        <v>4</v>
      </c>
      <c r="L22" s="25" t="inlineStr">
        <is>
          <t xml:space="preserve">Memindai lingkungan, membaca tren, dan menyiapkan rencana menghadapi perubahan.</t>
        </is>
      </c>
      <c r="M22" s="188">
        <f t="shared" si="0"/>
        <v>0</v>
      </c>
      <c r="N22" s="188" t="str" cm="1">
        <f t="array" ref="N22">_xlfn.IFS(
  M22&gt;=2, "Major Positive Gap",
  M22&gt;=1, "Minor Positive Gap",
  M22&gt;=0, "No Gap",
  M22&gt;=-1, "Minor Negative Gap",
  M22&lt;=-2, "Major Negative Gap"
)</f>
        <v>No Gap</v>
      </c>
      <c r="O22" s="160" t="s">
        <v>219</v>
      </c>
      <c r="P22" s="189" t="s">
        <v>220</v>
      </c>
    </row>
    <row r="23" spans="1:16" s="28" customFormat="1" ht="31.15" customHeight="1">
      <c r="A23" s="96" t="s">
        <v>99</v>
      </c>
      <c r="B23" s="97"/>
      <c r="C23" s="97"/>
      <c r="D23" s="97"/>
      <c r="E23" s="97"/>
      <c r="F23" s="97"/>
      <c r="G23" s="97"/>
      <c r="H23" s="97"/>
      <c r="I23" s="98" t="e">
        <f>AVERAGE(I13:J22)</f>
        <v>#DIV/0!</v>
      </c>
      <c r="J23" s="98" t="e">
        <f>AVERAGE(J13:K22)</f>
        <v>#DIV/0!</v>
      </c>
      <c r="K23" s="98" t="e">
        <f>AVERAGE(K13:L22)</f>
        <v>#DIV/0!</v>
      </c>
      <c r="L23" s="98"/>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rgb="FFFFFF00"/>
  </sheetPr>
  <dimension ref="A1:P40"/>
  <sheetViews>
    <sheetView tabSelected="1" zoomScale="60" zoomScaleNormal="70" workbookViewId="0">
      <selection activeCell="D13" sqref="D13"/>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22" style="12"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186" customFormat="1" ht="58.15" customHeight="1">
      <c r="A13" s="25">
        <v>1</v>
      </c>
      <c r="B13" s="187" t="s">
        <v>290</v>
      </c>
      <c r="C13" s="187" t="s">
        <v>291</v>
      </c>
      <c r="D13" s="187" t="s">
        <v>292</v>
      </c>
      <c r="E13" s="187" t="s">
        <v>293</v>
      </c>
      <c r="F13" s="187" t="s">
        <v>294</v>
      </c>
      <c r="G13" s="187" t="s">
        <v>295</v>
      </c>
      <c r="H13" s="187" t="s">
        <v>296</v>
      </c>
      <c r="I13" s="89">
        <v>1</v>
      </c>
      <c r="J13" s="25" t="inlineStr">
        <is>
          <t xml:space="preserve">Hasil kerja saya belum selalu memenuhi standar atau tenggat waktu.</t>
        </is>
      </c>
      <c r="K13" s="89">
        <v>1</v>
      </c>
      <c r="L13" s="25" t="inlineStr">
        <is>
          <t xml:space="preserve">Hasil kerja saya belum selalu memenuhi standar atau tenggat waktu.</t>
        </is>
      </c>
      <c r="M13" s="188">
        <f t="shared" ref="M13"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6" customFormat="1" ht="72.650000000000006" customHeight="1">
      <c r="A14" s="25">
        <f>A13+1</f>
        <v>2</v>
      </c>
      <c r="B14" s="187" t="s">
        <v>297</v>
      </c>
      <c r="C14" s="187" t="s">
        <v>298</v>
      </c>
      <c r="D14" s="187" t="s">
        <v>299</v>
      </c>
      <c r="E14" s="187" t="s">
        <v>300</v>
      </c>
      <c r="F14" s="187" t="s">
        <v>301</v>
      </c>
      <c r="G14" s="187" t="s">
        <v>302</v>
      </c>
      <c r="H14" s="187" t="s">
        <v>303</v>
      </c>
      <c r="I14" s="89">
        <v>2</v>
      </c>
      <c r="J14" s="25" t="inlineStr">
        <is>
          <t xml:space="preserve">Mengidentifikasi peluang atau masalah, lalu menunggu persetujuan sebelum bertindak.</t>
        </is>
      </c>
      <c r="K14" s="89">
        <v>5</v>
      </c>
      <c r="L14" s="25" t="inlineStr">
        <is>
          <t xml:space="preserve">Mengambil inisiatif yang menghasilkan perubahan positif dan menggerakkan orang lain untuk terlibat.</t>
        </is>
      </c>
      <c r="M14" s="188">
        <f t="shared" ref="M14:M24" si="1">I14-K14</f>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6" customFormat="1" ht="58.9" customHeight="1">
      <c r="A15" s="25">
        <f t="shared" ref="A15:A24" si="2">A14+1</f>
        <v>3</v>
      </c>
      <c r="B15" s="187" t="s">
        <v>304</v>
      </c>
      <c r="C15" s="187" t="s">
        <v>305</v>
      </c>
      <c r="D15" s="187" t="s">
        <v>306</v>
      </c>
      <c r="E15" s="187" t="s">
        <v>307</v>
      </c>
      <c r="F15" s="187" t="s">
        <v>308</v>
      </c>
      <c r="G15" s="187" t="s">
        <v>309</v>
      </c>
      <c r="H15" s="187" t="s">
        <v>310</v>
      </c>
      <c r="I15" s="89">
        <v>3</v>
      </c>
      <c r="J15" s="25" t="inlineStr">
        <is>
          <t xml:space="preserve">Memahami tujuan akhir pekerjaan dan bertanggung jawab atas pencapaiannya.</t>
        </is>
      </c>
      <c r="K15" s="89">
        <v>1</v>
      </c>
      <c r="L15" s="25" t="inlineStr">
        <is>
          <t xml:space="preserve">Menilai keberhasilan dari aktivitas yang telah saya kerjakan.</t>
        </is>
      </c>
      <c r="M15" s="188">
        <f t="shared" si="1"/>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6" customFormat="1" ht="72" customHeight="1">
      <c r="A16" s="25">
        <f t="shared" si="2"/>
        <v>4</v>
      </c>
      <c r="B16" s="187" t="s">
        <v>311</v>
      </c>
      <c r="C16" s="187" t="s">
        <v>312</v>
      </c>
      <c r="D16" s="187" t="s">
        <v>313</v>
      </c>
      <c r="E16" s="187" t="s">
        <v>314</v>
      </c>
      <c r="F16" s="187" t="s">
        <v>315</v>
      </c>
      <c r="G16" s="187" t="s">
        <v>316</v>
      </c>
      <c r="H16" s="187" t="s">
        <v>317</v>
      </c>
      <c r="I16" s="89">
        <v>1</v>
      </c>
      <c r="J16" s="25" t="inlineStr">
        <is>
          <t xml:space="preserve">Komitmen saya menurun ketika tantangannya berat.</t>
        </is>
      </c>
      <c r="K16" s="89">
        <v>2</v>
      </c>
      <c r="L16" s="25" t="inlineStr">
        <is>
          <t xml:space="preserve">Tetap berupaya, namun memerlukan dorongan dari luar ketika upaya awal gagal.</t>
        </is>
      </c>
      <c r="M16" s="188">
        <f t="shared" si="1"/>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64" customFormat="1" ht="72" customHeight="1">
      <c r="A17" s="25">
        <f t="shared" si="2"/>
        <v>5</v>
      </c>
      <c r="B17" s="26" t="s">
        <v>318</v>
      </c>
      <c r="C17" s="26" t="s">
        <v>319</v>
      </c>
      <c r="D17" s="26" t="s">
        <v>320</v>
      </c>
      <c r="E17" s="26" t="s">
        <v>321</v>
      </c>
      <c r="F17" s="26" t="s">
        <v>322</v>
      </c>
      <c r="G17" s="26" t="s">
        <v>323</v>
      </c>
      <c r="H17" s="26" t="s">
        <v>324</v>
      </c>
      <c r="I17" s="89">
        <v>4</v>
      </c>
      <c r="J17" s="25" t="inlineStr">
        <is>
          <t xml:space="preserve">Menyusun urutan dengan mempertimbangkan keterkaitan antar tugas dan ketergantungan pada pihak lain.</t>
        </is>
      </c>
      <c r="K17" s="89">
        <v>3</v>
      </c>
      <c r="L17" s="193" t="inlineStr">
        <is>
          <t xml:space="preserve">Menyusun urutan kerja berdasarkan tenggat waktu dan tingkat kepentingannya.</t>
        </is>
      </c>
      <c r="M17" s="188">
        <f t="shared" si="1"/>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6" customFormat="1" ht="75.650000000000006" customHeight="1">
      <c r="A18" s="25">
        <f t="shared" si="2"/>
        <v>6</v>
      </c>
      <c r="B18" s="187" t="s">
        <v>325</v>
      </c>
      <c r="C18" s="187" t="s">
        <v>326</v>
      </c>
      <c r="D18" s="187" t="s">
        <v>327</v>
      </c>
      <c r="E18" s="187" t="s">
        <v>328</v>
      </c>
      <c r="F18" s="187" t="s">
        <v>329</v>
      </c>
      <c r="G18" s="187" t="s">
        <v>330</v>
      </c>
      <c r="H18" s="187" t="s">
        <v>331</v>
      </c>
      <c r="I18" s="89">
        <v>4</v>
      </c>
      <c r="J18" s="25" t="inlineStr">
        <is>
          <t xml:space="preserve">Mengubah pelajaran dari hasil kerja menjadi tindakan perbaikan yang nyata.</t>
        </is>
      </c>
      <c r="K18" s="89">
        <v>3</v>
      </c>
      <c r="L18" s="25" t="inlineStr">
        <is>
          <t xml:space="preserve">Mengevaluasi hasil kerja dan mengambil pelajaran darinya.</t>
        </is>
      </c>
      <c r="M18" s="188">
        <f t="shared" si="1"/>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86" customFormat="1" ht="90.65" customHeight="1">
      <c r="A19" s="25">
        <f t="shared" si="2"/>
        <v>7</v>
      </c>
      <c r="B19" s="187" t="s">
        <v>332</v>
      </c>
      <c r="C19" s="187" t="s">
        <v>333</v>
      </c>
      <c r="D19" s="187" t="s">
        <v>334</v>
      </c>
      <c r="E19" s="187" t="s">
        <v>335</v>
      </c>
      <c r="F19" s="187" t="s">
        <v>336</v>
      </c>
      <c r="G19" s="187" t="s">
        <v>337</v>
      </c>
      <c r="H19" s="187" t="s">
        <v>338</v>
      </c>
      <c r="I19" s="89">
        <v>2</v>
      </c>
      <c r="J19" s="25" t="inlineStr">
        <is>
          <t xml:space="preserve">Mengumpulkan informasi tambahan terlebih dahulu sebelum memutuskan.</t>
        </is>
      </c>
      <c r="K19" s="89">
        <v>1</v>
      </c>
      <c r="L19" s="25" t="inlineStr">
        <is>
          <t xml:space="preserve">Menunda keputusan sampai informasinya lengkap..</t>
        </is>
      </c>
      <c r="M19" s="188">
        <f t="shared" si="1"/>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86" customFormat="1" ht="87" customHeight="1">
      <c r="A20" s="25">
        <f t="shared" si="2"/>
        <v>8</v>
      </c>
      <c r="B20" s="187" t="s">
        <v>339</v>
      </c>
      <c r="C20" s="187" t="s">
        <v>340</v>
      </c>
      <c r="D20" s="187" t="s">
        <v>341</v>
      </c>
      <c r="E20" s="187" t="s">
        <v>342</v>
      </c>
      <c r="F20" s="187" t="s">
        <v>343</v>
      </c>
      <c r="G20" s="187" t="s">
        <v>344</v>
      </c>
      <c r="H20" s="187" t="s">
        <v>345</v>
      </c>
      <c r="I20" s="89">
        <v>2</v>
      </c>
      <c r="J20" s="25" t="inlineStr">
        <is>
          <t xml:space="preserve">Berusaha tetap fokus, namun mudah terganggu saat tekanan meningkat.</t>
        </is>
      </c>
      <c r="K20" s="89">
        <v>5</v>
      </c>
      <c r="L20" s="25" t="inlineStr">
        <is>
          <t xml:space="preserve">Menjaga fokus dalam tekanan tinggi, menenangkan situasi, dan mengubah hambatan menjadi momentum hasil.</t>
        </is>
      </c>
      <c r="M20" s="188">
        <f t="shared" si="1"/>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6" customFormat="1" ht="82.9" customHeight="1">
      <c r="A21" s="25">
        <f t="shared" si="2"/>
        <v>9</v>
      </c>
      <c r="B21" s="187" t="s">
        <v>346</v>
      </c>
      <c r="C21" s="187" t="s">
        <v>347</v>
      </c>
      <c r="D21" s="187" t="s">
        <v>348</v>
      </c>
      <c r="E21" s="187" t="s">
        <v>349</v>
      </c>
      <c r="F21" s="187" t="s">
        <v>350</v>
      </c>
      <c r="G21" s="187" t="s">
        <v>351</v>
      </c>
      <c r="H21" s="187" t="s">
        <v>352</v>
      </c>
      <c r="I21" s="89">
        <v>3</v>
      </c>
      <c r="J21" s="25" t="inlineStr">
        <is>
          <t xml:space="preserve">Menyesuaikan strategi ketika ada arahan, data, atau saran dari pihak lain.</t>
        </is>
      </c>
      <c r="K21" s="89">
        <v>3</v>
      </c>
      <c r="L21" s="25" t="inlineStr">
        <is>
          <t xml:space="preserve">Menyesuaikan strategi ketika ada arahan, data, atau saran dari pihak lain.</t>
        </is>
      </c>
      <c r="M21" s="188">
        <f t="shared" si="1"/>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64" customFormat="1" ht="82.9" customHeight="1">
      <c r="A22" s="25">
        <f t="shared" si="2"/>
        <v>10</v>
      </c>
      <c r="B22" s="26" t="s">
        <v>353</v>
      </c>
      <c r="C22" s="26" t="s">
        <v>354</v>
      </c>
      <c r="D22" s="26" t="s">
        <v>355</v>
      </c>
      <c r="E22" s="26" t="s">
        <v>356</v>
      </c>
      <c r="F22" s="26" t="s">
        <v>357</v>
      </c>
      <c r="G22" s="26" t="s">
        <v>358</v>
      </c>
      <c r="H22" s="26" t="s">
        <v>359</v>
      </c>
      <c r="I22" s="89">
        <v>2</v>
      </c>
      <c r="J22" s="25" t="inlineStr">
        <is>
          <t xml:space="preserve">Memperkirakan kebutuhan sumber daya secara garis besar.</t>
        </is>
      </c>
      <c r="K22" s="89">
        <v>3</v>
      </c>
      <c r="L22" s="193" t="inlineStr">
        <is>
          <t xml:space="preserve">Menghitung kebutuhan orang, waktu, dan biaya secara rinci sebelum pelaksanaan dimulai.</t>
        </is>
      </c>
      <c r="M22" s="188">
        <f t="shared" si="1"/>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186" customFormat="1" ht="82.15" customHeight="1">
      <c r="A23" s="25">
        <f t="shared" si="2"/>
        <v>11</v>
      </c>
      <c r="B23" s="187" t="s">
        <v>360</v>
      </c>
      <c r="C23" s="187" t="s">
        <v>361</v>
      </c>
      <c r="D23" s="187" t="s">
        <v>362</v>
      </c>
      <c r="E23" s="187" t="s">
        <v>363</v>
      </c>
      <c r="F23" s="187" t="s">
        <v>364</v>
      </c>
      <c r="G23" s="187" t="s">
        <v>365</v>
      </c>
      <c r="H23" s="187" t="s">
        <v>366</v>
      </c>
      <c r="I23" s="89">
        <v>1</v>
      </c>
      <c r="J23" s="25" t="inlineStr">
        <is>
          <t xml:space="preserve">Memerlukan waktu untuk menentukan langkah dan menunggu arahan sebelum bertindak.</t>
        </is>
      </c>
      <c r="K23" s="89">
        <v>1</v>
      </c>
      <c r="L23" s="25" t="inlineStr">
        <is>
          <t xml:space="preserve">Memerlukan waktu untuk menentukan langkah dan menunggu arahan sebelum bertindak.</t>
        </is>
      </c>
      <c r="M23" s="188">
        <f t="shared" si="1"/>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186" customFormat="1" ht="58.15" customHeight="1">
      <c r="A24" s="25">
        <f t="shared" si="2"/>
        <v>12</v>
      </c>
      <c r="B24" s="187" t="s">
        <v>367</v>
      </c>
      <c r="C24" s="187" t="s">
        <v>368</v>
      </c>
      <c r="D24" s="187" t="s">
        <v>369</v>
      </c>
      <c r="E24" s="187" t="s">
        <v>370</v>
      </c>
      <c r="F24" s="187" t="s">
        <v>371</v>
      </c>
      <c r="G24" s="187" t="s">
        <v>372</v>
      </c>
      <c r="H24" s="187" t="s">
        <v>373</v>
      </c>
      <c r="I24" s="89">
        <v>5</v>
      </c>
      <c r="J24" s="25" t="inlineStr">
        <is>
          <t xml:space="preserve">Membangun standar, sistem, dan kebiasaan kerja berkinerja tinggi yang bertahan dalam jangka panjang.</t>
        </is>
      </c>
      <c r="K24" s="89">
        <v>2</v>
      </c>
      <c r="L24" s="25" t="inlineStr">
        <is>
          <t xml:space="preserve">Termotivasi mencapai hasil baik dengan adanya dorongan atau pengawasan.</t>
        </is>
      </c>
      <c r="M24" s="188">
        <f t="shared" si="1"/>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28" customFormat="1">
      <c r="A25" s="96" t="s">
        <v>99</v>
      </c>
      <c r="B25" s="97"/>
      <c r="C25" s="280"/>
      <c r="D25" s="281"/>
      <c r="E25" s="281"/>
      <c r="F25" s="281"/>
      <c r="G25" s="281"/>
      <c r="H25" s="282"/>
      <c r="I25" s="98" t="e">
        <f>AVERAGE(I13:J24)</f>
        <v>#DIV/0!</v>
      </c>
      <c r="J25" s="100" t="e">
        <f>AVERAGE(J13:K24)</f>
        <v>#DIV/0!</v>
      </c>
      <c r="K25" s="98" t="e">
        <f>AVERAGE(K13:L24)</f>
        <v>#DIV/0!</v>
      </c>
      <c r="L25" s="100"/>
      <c r="M25" s="95" t="e">
        <f>I25-K25</f>
        <v>#DIV/0!</v>
      </c>
      <c r="N25" s="27" t="e" cm="1">
        <f t="array" ref="N25">_xlfn.IFS(
  VALUE(M25) &gt;= 1, "Major Positive Gap",
  VALUE(M25) &gt;= 0.5, "Minor Positive Gap",
  VALUE(M25) &gt;= -0.49, "Aligned",
  VALUE(M25) &gt;= -0.99, "Minor Negative Gap",
  VALUE(M25) &lt;= -1, "Major Negative Gap"
)</f>
        <v>#DIV/0!</v>
      </c>
      <c r="O25" s="88"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row r="26" spans="1:16">
      <c r="B26" s="80"/>
    </row>
    <row r="29" spans="1:16" hidden="1">
      <c r="A29" s="8"/>
      <c r="B29" s="8"/>
      <c r="C29" s="8"/>
      <c r="D29" s="8"/>
      <c r="E29" s="8"/>
      <c r="F29" s="8"/>
      <c r="G29" s="8"/>
      <c r="H29" s="8"/>
    </row>
    <row r="30" spans="1:16" hidden="1">
      <c r="A30" s="9"/>
      <c r="B30" s="26"/>
      <c r="C30" s="26"/>
      <c r="D30" s="26"/>
      <c r="E30" s="26"/>
      <c r="F30" s="26"/>
      <c r="G30" s="26"/>
      <c r="H30" s="26"/>
    </row>
    <row r="31" spans="1:16" hidden="1">
      <c r="A31" s="9"/>
      <c r="B31" s="26"/>
      <c r="C31" s="26"/>
      <c r="D31" s="26"/>
      <c r="E31" s="26"/>
      <c r="F31" s="26"/>
      <c r="G31" s="26"/>
      <c r="H31" s="26"/>
    </row>
    <row r="32" spans="1:16" hidden="1">
      <c r="A32" s="9"/>
      <c r="B32" s="26"/>
      <c r="C32" s="26"/>
      <c r="D32" s="26"/>
      <c r="E32" s="26"/>
      <c r="F32" s="26"/>
      <c r="G32" s="26"/>
      <c r="H32" s="26"/>
    </row>
    <row r="33" spans="1:8" hidden="1">
      <c r="A33" s="25"/>
      <c r="B33" s="26"/>
      <c r="C33" s="26"/>
      <c r="D33" s="26"/>
      <c r="E33" s="26"/>
      <c r="F33" s="26"/>
      <c r="G33" s="26"/>
      <c r="H33" s="26"/>
    </row>
    <row r="34" spans="1:8" hidden="1">
      <c r="A34" s="9"/>
      <c r="B34" s="26"/>
      <c r="C34" s="26"/>
      <c r="D34" s="26"/>
      <c r="E34" s="26"/>
      <c r="F34" s="26"/>
      <c r="G34" s="26"/>
      <c r="H34" s="26"/>
    </row>
    <row r="35" spans="1:8" hidden="1">
      <c r="A35" s="9"/>
      <c r="B35" s="26"/>
      <c r="C35" s="26"/>
      <c r="D35" s="26"/>
      <c r="E35" s="26"/>
      <c r="F35" s="26"/>
      <c r="G35" s="26"/>
      <c r="H35" s="26"/>
    </row>
    <row r="36" spans="1:8" hidden="1">
      <c r="A36" s="9"/>
      <c r="B36" s="26"/>
      <c r="C36" s="26"/>
      <c r="D36" s="26"/>
      <c r="E36" s="26"/>
      <c r="F36" s="26"/>
      <c r="G36" s="26"/>
      <c r="H36" s="26"/>
    </row>
    <row r="37" spans="1:8" hidden="1">
      <c r="A37" s="9"/>
      <c r="B37" s="26"/>
      <c r="C37" s="26"/>
      <c r="D37" s="26"/>
      <c r="E37" s="26"/>
      <c r="F37" s="26"/>
      <c r="G37" s="26"/>
      <c r="H37" s="26"/>
    </row>
    <row r="38" spans="1:8" hidden="1">
      <c r="A38" s="9"/>
      <c r="B38" s="26"/>
      <c r="C38" s="26"/>
      <c r="D38" s="26"/>
      <c r="E38" s="26"/>
      <c r="F38" s="26"/>
      <c r="G38" s="26"/>
      <c r="H38" s="26"/>
    </row>
    <row r="39" spans="1:8" hidden="1">
      <c r="A39" s="25"/>
      <c r="B39" s="26"/>
      <c r="C39" s="26"/>
      <c r="D39" s="26"/>
      <c r="E39" s="26"/>
      <c r="F39" s="26"/>
      <c r="G39" s="26"/>
      <c r="H39" s="26"/>
    </row>
    <row r="40" spans="1:8" ht="231.5" hidden="1"/>
  </sheetData>
  <mergeCells count="1">
    <mergeCell ref="C25:H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rgb="FFFFFF00"/>
  </sheetPr>
  <dimension ref="A1:P23"/>
  <sheetViews>
    <sheetView topLeftCell="G3" zoomScale="85" zoomScaleNormal="85" workbookViewId="0">
      <selection activeCell="I13" sqref="I13:K22"/>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84">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186" customFormat="1" ht="46">
      <c r="A13" s="25">
        <v>1</v>
      </c>
      <c r="B13" s="187" t="s">
        <v>374</v>
      </c>
      <c r="C13" s="187" t="s">
        <v>375</v>
      </c>
      <c r="D13" s="187" t="s">
        <v>376</v>
      </c>
      <c r="E13" s="187" t="s">
        <v>377</v>
      </c>
      <c r="F13" s="187" t="s">
        <v>378</v>
      </c>
      <c r="G13" s="187" t="s">
        <v>379</v>
      </c>
      <c r="H13" s="187" t="s">
        <v>380</v>
      </c>
      <c r="I13" s="89">
        <v>4</v>
      </c>
      <c r="J13" s="25" t="inlineStr">
        <is>
          <t xml:space="preserve">Meminta klarifikasi atas kritik yang diterima dan menggunakannya untuk memperbaiki diri.</t>
        </is>
      </c>
      <c r="K13" s="89">
        <v>1</v>
      </c>
      <c r="L13" s="25" t="inlineStr">
        <is>
          <t xml:space="preserve">Menjelaskan alasan mengapa kritik tersebut kurang tepat.</t>
        </is>
      </c>
      <c r="M13" s="188">
        <f t="shared" ref="M13:M21"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186" customFormat="1" ht="49.15" customHeight="1">
      <c r="A14" s="25">
        <v>2</v>
      </c>
      <c r="B14" s="187" t="s">
        <v>381</v>
      </c>
      <c r="C14" s="187" t="s">
        <v>382</v>
      </c>
      <c r="D14" s="187" t="s">
        <v>383</v>
      </c>
      <c r="E14" s="187" t="s">
        <v>384</v>
      </c>
      <c r="F14" s="187" t="s">
        <v>385</v>
      </c>
      <c r="G14" s="187" t="s">
        <v>386</v>
      </c>
      <c r="H14" s="187" t="s">
        <v>387</v>
      </c>
      <c r="I14" s="89">
        <v>1</v>
      </c>
      <c r="J14" s="25" t="inlineStr">
        <is>
          <t xml:space="preserve">Menjelaskan faktor situasi atau pihak lain yang memengaruhi hasil tersebut.</t>
        </is>
      </c>
      <c r="K14" s="89">
        <v>1</v>
      </c>
      <c r="L14" s="25" t="inlineStr">
        <is>
          <t xml:space="preserve">Menjelaskan faktor situasi atau pihak lain yang memengaruhi hasil tersebut.</t>
        </is>
      </c>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186" customFormat="1" ht="34.5">
      <c r="A15" s="25">
        <v>3</v>
      </c>
      <c r="B15" s="187" t="s">
        <v>388</v>
      </c>
      <c r="C15" s="187" t="s">
        <v>389</v>
      </c>
      <c r="D15" s="187" t="s">
        <v>390</v>
      </c>
      <c r="E15" s="187" t="s">
        <v>391</v>
      </c>
      <c r="F15" s="187" t="s">
        <v>392</v>
      </c>
      <c r="G15" s="187" t="s">
        <v>393</v>
      </c>
      <c r="H15" s="187" t="s">
        <v>394</v>
      </c>
      <c r="I15" s="89">
        <v>2</v>
      </c>
      <c r="J15" s="25" t="inlineStr">
        <is>
          <t xml:space="preserve">Meminta pendapat orang lain pada situasi tertentu atau ketika diminta.</t>
        </is>
      </c>
      <c r="K15" s="89">
        <v>2</v>
      </c>
      <c r="L15" s="25" t="inlineStr">
        <is>
          <t xml:space="preserve">Meminta pendapat orang lain pada situasi tertentu atau ketika diminta.</t>
        </is>
      </c>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186" customFormat="1" ht="34.5">
      <c r="A16" s="25">
        <v>4</v>
      </c>
      <c r="B16" s="187" t="s">
        <v>395</v>
      </c>
      <c r="C16" s="187" t="s">
        <v>396</v>
      </c>
      <c r="D16" s="187" t="s">
        <v>397</v>
      </c>
      <c r="E16" s="187" t="s">
        <v>398</v>
      </c>
      <c r="F16" s="187" t="s">
        <v>399</v>
      </c>
      <c r="G16" s="187" t="s">
        <v>400</v>
      </c>
      <c r="H16" s="187" t="s">
        <v>401</v>
      </c>
      <c r="I16" s="89">
        <v>2</v>
      </c>
      <c r="J16" s="25" t="inlineStr">
        <is>
          <t xml:space="preserve">Memikirkan kemampuan diri ketika diminta dalam konteks formal.</t>
        </is>
      </c>
      <c r="K16" s="89">
        <v>2</v>
      </c>
      <c r="L16" s="25" t="inlineStr">
        <is>
          <t xml:space="preserve">Memikirkan kemampuan diri ketika diminta dalam konteks formal.</t>
        </is>
      </c>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186" customFormat="1" ht="34.5">
      <c r="A17" s="25">
        <v>5</v>
      </c>
      <c r="B17" s="187" t="s">
        <v>402</v>
      </c>
      <c r="C17" s="187" t="s">
        <v>403</v>
      </c>
      <c r="D17" s="187" t="s">
        <v>404</v>
      </c>
      <c r="E17" s="187" t="s">
        <v>405</v>
      </c>
      <c r="F17" s="187" t="s">
        <v>406</v>
      </c>
      <c r="G17" s="187" t="s">
        <v>407</v>
      </c>
      <c r="H17" s="187" t="s">
        <v>408</v>
      </c>
      <c r="I17" s="89">
        <v>1</v>
      </c>
      <c r="J17" s="25" t="inlineStr">
        <is>
          <t xml:space="preserve">Melanjutkan aktivitas berikutnya tanpa meninjau pengalaman sebelumnya.</t>
        </is>
      </c>
      <c r="K17" s="89">
        <v>5</v>
      </c>
      <c r="L17" s="25" t="inlineStr">
        <is>
          <t xml:space="preserve">Mengubah pengalaman menjadi pembelajaran yang mempercepat perkembangan diri secara nyata.</t>
        </is>
      </c>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186" customFormat="1" ht="41.5" customHeight="1">
      <c r="A18" s="25">
        <v>6</v>
      </c>
      <c r="B18" s="187" t="s">
        <v>409</v>
      </c>
      <c r="C18" s="187" t="s">
        <v>410</v>
      </c>
      <c r="D18" s="187" t="s">
        <v>411</v>
      </c>
      <c r="E18" s="187" t="s">
        <v>412</v>
      </c>
      <c r="F18" s="187" t="s">
        <v>413</v>
      </c>
      <c r="G18" s="187" t="s">
        <v>414</v>
      </c>
      <c r="H18" s="187" t="s">
        <v>415</v>
      </c>
      <c r="I18" s="89">
        <v>1</v>
      </c>
      <c r="J18" s="25" t="inlineStr">
        <is>
          <t xml:space="preserve">Memandang pengembangan diri sebagai tanggung jawab perusahaan atau atasan.</t>
        </is>
      </c>
      <c r="K18" s="89">
        <v>3</v>
      </c>
      <c r="L18" s="25" t="inlineStr">
        <is>
          <t xml:space="preserve">Mencari sendiri pengetahuan yang relevan dengan pekerjaan.</t>
        </is>
      </c>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186" customFormat="1" ht="48.65" customHeight="1">
      <c r="A19" s="25">
        <v>7</v>
      </c>
      <c r="B19" s="187" t="s">
        <v>416</v>
      </c>
      <c r="C19" s="187" t="s">
        <v>417</v>
      </c>
      <c r="D19" s="187" t="s">
        <v>418</v>
      </c>
      <c r="E19" s="187" t="s">
        <v>419</v>
      </c>
      <c r="F19" s="187" t="s">
        <v>420</v>
      </c>
      <c r="G19" s="187" t="s">
        <v>421</v>
      </c>
      <c r="H19" s="187" t="s">
        <v>422</v>
      </c>
      <c r="I19" s="89">
        <v>1</v>
      </c>
      <c r="J19" s="25" t="inlineStr">
        <is>
          <t xml:space="preserve">Menilai diri berdasarkan persepsi pribadi saya.</t>
        </is>
      </c>
      <c r="K19" s="89">
        <v>4</v>
      </c>
      <c r="L19" s="25" t="inlineStr">
        <is>
          <t xml:space="preserve">Menilai diri secara realistis berdasarkan bukti hasil kerja dan feedback.</t>
        </is>
      </c>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186" customFormat="1" ht="34.5">
      <c r="A20" s="25">
        <v>8</v>
      </c>
      <c r="B20" s="187" t="s">
        <v>423</v>
      </c>
      <c r="C20" s="187" t="s">
        <v>424</v>
      </c>
      <c r="D20" s="187" t="s">
        <v>425</v>
      </c>
      <c r="E20" s="187" t="s">
        <v>426</v>
      </c>
      <c r="F20" s="187" t="s">
        <v>427</v>
      </c>
      <c r="G20" s="187" t="s">
        <v>428</v>
      </c>
      <c r="H20" s="187" t="s">
        <v>429</v>
      </c>
      <c r="I20" s="89">
        <v>4</v>
      </c>
      <c r="J20" s="25" t="inlineStr">
        <is>
          <t xml:space="preserve">Memahami dampak perilaku saya dan menyesuaikan cara bertindak atau berkomunikasi.</t>
        </is>
      </c>
      <c r="K20" s="89">
        <v>4</v>
      </c>
      <c r="L20" s="25" t="inlineStr">
        <is>
          <t xml:space="preserve">Memahami dampak perilaku saya dan menyesuaikan cara bertindak atau berkomunikasi.</t>
        </is>
      </c>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186" customFormat="1" ht="34.5">
      <c r="A21" s="25">
        <v>9</v>
      </c>
      <c r="B21" s="187" t="s">
        <v>430</v>
      </c>
      <c r="C21" s="187" t="s">
        <v>431</v>
      </c>
      <c r="D21" s="187" t="s">
        <v>432</v>
      </c>
      <c r="E21" s="187" t="s">
        <v>433</v>
      </c>
      <c r="F21" s="187" t="s">
        <v>434</v>
      </c>
      <c r="G21" s="187" t="s">
        <v>435</v>
      </c>
      <c r="H21" s="187" t="s">
        <v>436</v>
      </c>
      <c r="I21" s="89">
        <v>4</v>
      </c>
      <c r="J21" s="25" t="inlineStr">
        <is>
          <t xml:space="preserve">Mengelola emosi dengan baik dan menjaga respons tetap profesional.</t>
        </is>
      </c>
      <c r="K21" s="89">
        <v>3</v>
      </c>
      <c r="L21" s="25" t="inlineStr">
        <is>
          <t xml:space="preserve">Mengenali emosi yang muncul dan mulai memilih respons yang konstruktif.</t>
        </is>
      </c>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186" customFormat="1" ht="49.15" customHeight="1">
      <c r="A22" s="25">
        <v>10</v>
      </c>
      <c r="B22" s="187" t="s">
        <v>437</v>
      </c>
      <c r="C22" s="187" t="s">
        <v>438</v>
      </c>
      <c r="D22" s="190" t="s">
        <v>439</v>
      </c>
      <c r="E22" s="191" t="s">
        <v>440</v>
      </c>
      <c r="F22" s="191" t="s">
        <v>441</v>
      </c>
      <c r="G22" s="191" t="s">
        <v>442</v>
      </c>
      <c r="H22" s="191" t="s">
        <v>443</v>
      </c>
      <c r="I22" s="89">
        <v>2</v>
      </c>
      <c r="J22" s="25" t="inlineStr">
        <is>
          <t xml:space="preserve">Melakukan refleksi terbatas dengan fokus pada faktor di luar diri saya.</t>
        </is>
      </c>
      <c r="K22" s="89">
        <v>5</v>
      </c>
      <c r="L22" s="25" t="inlineStr">
        <is>
          <t xml:space="preserve">Mengenali pola dan bias diri secara mendalam, memperkirakan reaksi pribadi, serta mengelolanya secara matang.</t>
        </is>
      </c>
      <c r="M22" s="188">
        <f t="shared" ref="M22" si="1">I22-K22</f>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26.5" customHeight="1">
      <c r="A23" s="96" t="s">
        <v>99</v>
      </c>
      <c r="B23" s="97"/>
      <c r="C23" s="97"/>
      <c r="D23" s="97"/>
      <c r="E23" s="97"/>
      <c r="F23" s="97"/>
      <c r="G23" s="97"/>
      <c r="H23" s="97"/>
      <c r="I23" s="98" t="e">
        <f>AVERAGE(I13:J22)</f>
        <v>#DIV/0!</v>
      </c>
      <c r="J23" s="99" t="e">
        <f>AVERAGE(J13:K22)</f>
        <v>#DIV/0!</v>
      </c>
      <c r="K23" s="98" t="e">
        <f>AVERAGE(K13:L22)</f>
        <v>#DIV/0!</v>
      </c>
      <c r="L23" s="99"/>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N156"/>
  <sheetViews>
    <sheetView topLeftCell="A95" zoomScale="55" zoomScaleNormal="55" workbookViewId="0">
      <selection activeCell="E99" sqref="E99"/>
    </sheetView>
  </sheetViews>
  <sheetFormatPr defaultRowHeight="14"/>
  <cols>
    <col min="1" max="1" width="43" customWidth="1"/>
    <col min="2" max="2" width="20.75" customWidth="1"/>
    <col min="3" max="3" width="22.83203125" customWidth="1"/>
    <col min="4" max="5" width="50.75" customWidth="1"/>
    <col min="6" max="8" width="50.75" style="24" customWidth="1"/>
    <col min="9" max="13" width="15.75" style="197" customWidth="1"/>
  </cols>
  <sheetData>
    <row r="2" spans="1:14" s="1" customFormat="1">
      <c r="A2" s="1" t="str">
        <f>Identitas!B2</f>
        <v xml:space="preserve">Nama </v>
      </c>
      <c r="B2" s="84">
        <f>Identitas!D2</f>
        <v>0</v>
      </c>
      <c r="I2" s="12"/>
      <c r="J2" s="12"/>
      <c r="K2" s="12"/>
      <c r="L2" s="12"/>
      <c r="M2" s="12"/>
    </row>
    <row r="3" spans="1:14" s="1" customFormat="1">
      <c r="A3" s="1" t="str">
        <f>Identitas!B3</f>
        <v>Nama Atasan yang menilai</v>
      </c>
      <c r="B3" s="84">
        <f>Identitas!D3</f>
        <v>0</v>
      </c>
      <c r="I3" s="12"/>
      <c r="J3" s="12"/>
      <c r="K3" s="12"/>
      <c r="L3" s="12"/>
      <c r="M3" s="12"/>
    </row>
    <row r="4" spans="1:14" s="1" customFormat="1">
      <c r="A4" s="1" t="str">
        <f>Identitas!B4</f>
        <v>Level Saat Ini</v>
      </c>
      <c r="B4" s="84" t="str">
        <f>Identitas!D4</f>
        <v>Officer</v>
      </c>
      <c r="I4" s="12"/>
      <c r="J4" s="12"/>
      <c r="K4" s="12"/>
      <c r="L4" s="12"/>
      <c r="M4" s="12"/>
    </row>
    <row r="5" spans="1:14" s="1" customFormat="1">
      <c r="A5" s="1" t="str">
        <f>Identitas!B5</f>
        <v>Level Tujuan</v>
      </c>
      <c r="B5" s="84" t="str">
        <f>Identitas!D5</f>
        <v>Analyst</v>
      </c>
      <c r="I5" s="12"/>
      <c r="J5" s="12"/>
      <c r="K5" s="12"/>
      <c r="L5" s="12"/>
      <c r="M5" s="12"/>
    </row>
    <row r="6" spans="1:14" s="1" customFormat="1">
      <c r="A6" s="1" t="str">
        <f>Identitas!B6</f>
        <v>Tanggal Assesment</v>
      </c>
      <c r="B6" s="84">
        <f>Identitas!D6</f>
        <v>0</v>
      </c>
      <c r="I6" s="12"/>
      <c r="J6" s="12"/>
      <c r="K6" s="12"/>
      <c r="L6" s="12"/>
      <c r="M6" s="12"/>
    </row>
    <row r="7" spans="1:14" s="1" customFormat="1">
      <c r="A7" s="1" t="str">
        <f>Identitas!B7</f>
        <v>Unit</v>
      </c>
      <c r="B7" s="84">
        <f>Identitas!D7</f>
        <v>0</v>
      </c>
      <c r="I7" s="12"/>
      <c r="J7" s="12"/>
      <c r="K7" s="12"/>
      <c r="L7" s="12"/>
      <c r="M7" s="12"/>
    </row>
    <row r="8" spans="1:14" s="1" customFormat="1">
      <c r="A8" s="1" t="str">
        <f>Identitas!B8</f>
        <v>Departemen</v>
      </c>
      <c r="B8" s="84">
        <f>Identitas!D8</f>
        <v>0</v>
      </c>
      <c r="I8" s="12"/>
      <c r="J8" s="12"/>
      <c r="K8" s="12"/>
      <c r="L8" s="12"/>
      <c r="M8" s="12"/>
    </row>
    <row r="9" spans="1:14" s="1" customFormat="1">
      <c r="A9" s="1" t="str">
        <f>Identitas!B9</f>
        <v>Divisi</v>
      </c>
      <c r="B9" s="84">
        <f>Identitas!D9</f>
        <v>0</v>
      </c>
      <c r="I9" s="12"/>
      <c r="J9" s="12"/>
      <c r="K9" s="12"/>
      <c r="L9" s="12"/>
      <c r="M9" s="12"/>
    </row>
    <row r="10" spans="1:14" s="1" customFormat="1">
      <c r="A10" s="1" t="str">
        <f>Identitas!B10</f>
        <v>Direktorat</v>
      </c>
      <c r="B10" s="84">
        <f>Identitas!D10</f>
        <v>0</v>
      </c>
      <c r="I10" s="12"/>
      <c r="J10" s="12"/>
      <c r="K10" s="12"/>
      <c r="L10" s="12"/>
      <c r="M10" s="12"/>
    </row>
    <row r="11" spans="1:14" s="1" customFormat="1">
      <c r="C11" s="84"/>
      <c r="I11" s="12"/>
      <c r="J11" s="12"/>
      <c r="K11" s="12"/>
      <c r="L11" s="12"/>
      <c r="M11" s="12"/>
    </row>
    <row r="12" spans="1:14" s="15" customFormat="1" ht="16">
      <c r="A12" s="14" t="s">
        <v>444</v>
      </c>
      <c r="F12" s="22"/>
      <c r="G12" s="22"/>
      <c r="H12" s="22"/>
      <c r="I12" s="196"/>
      <c r="J12" s="196"/>
      <c r="K12" s="196"/>
      <c r="L12" s="196"/>
      <c r="M12" s="196"/>
    </row>
    <row r="13" spans="1:14" s="15" customFormat="1" ht="39">
      <c r="A13" s="18" t="s">
        <v>445</v>
      </c>
      <c r="B13" s="18" t="s">
        <v>446</v>
      </c>
      <c r="C13" s="18" t="s">
        <v>447</v>
      </c>
      <c r="D13" s="36" t="s">
        <v>448</v>
      </c>
      <c r="E13" s="33" t="s">
        <v>449</v>
      </c>
      <c r="F13" s="39" t="s">
        <v>450</v>
      </c>
      <c r="G13" s="38" t="s">
        <v>451</v>
      </c>
      <c r="H13" s="37" t="s">
        <v>452</v>
      </c>
      <c r="I13" s="200" t="s">
        <v>448</v>
      </c>
      <c r="J13" s="201" t="s">
        <v>449</v>
      </c>
      <c r="K13" s="202" t="s">
        <v>450</v>
      </c>
      <c r="L13" s="203" t="s">
        <v>451</v>
      </c>
      <c r="M13" s="204" t="s">
        <v>452</v>
      </c>
      <c r="N13" s="199" t="s">
        <v>453</v>
      </c>
    </row>
    <row r="14" spans="1:14" s="15" customFormat="1" ht="160.15" customHeight="1">
      <c r="A14" s="16" t="s">
        <v>454</v>
      </c>
      <c r="B14" s="94" t="e">
        <f>'mental agility'!K23</f>
        <v>#DIV/0!</v>
      </c>
      <c r="C14" s="17" t="e">
        <f>IF(B14&gt;=4.5,"Excellent",IF(B14&gt;=4,"Strong",IF(B14&gt;=3,"Meet","Needs Development")))</f>
        <v>#DIV/0!</v>
      </c>
      <c r="D14" s="149" t="str" cm="1">
        <f t="array" ref="D14">_xlfn.TEXTJOIN(CHAR(10),TRUE,IF('mental agility'!K13:K22=5,"• "&amp;'mental agility'!B13:B22,""))</f>
        <v/>
      </c>
      <c r="E14" s="150" t="str" cm="1">
        <f t="array" ref="E14">_xlfn.TEXTJOIN(CHAR(10),TRUE,IF('mental agility'!K13:K22=4,"• "&amp;'mental agility'!B13:B22,""))</f>
        <v/>
      </c>
      <c r="F14" s="151" t="str" cm="1">
        <f t="array" ref="F14">_xlfn.TEXTJOIN(CHAR(10),TRUE,IF('mental agility'!K13:K22=3,"• "&amp;'mental agility'!B13:B22,""))</f>
        <v/>
      </c>
      <c r="G14" s="152" t="str" cm="1">
        <f t="array" ref="G14">_xlfn.TEXTJOIN(CHAR(10),TRUE,IF('mental agility'!K13:K22=2,"• "&amp;'mental agility'!B13:B22,""))</f>
        <v/>
      </c>
      <c r="H14" s="153" t="str" cm="1">
        <f t="array" ref="H14">_xlfn.TEXTJOIN(CHAR(10),TRUE,IF('mental agility'!K13:K22=1,"• "&amp;'mental agility'!B13:B22,""))</f>
        <v/>
      </c>
      <c r="I14" s="205">
        <f>LEN(D14)-LEN(SUBSTITUTE(D14,"•",""))</f>
        <v>0</v>
      </c>
      <c r="J14" s="206">
        <f>LEN(E14)-LEN(SUBSTITUTE(E14,"•",""))</f>
        <v>0</v>
      </c>
      <c r="K14" s="207">
        <f>LEN(F14)-LEN(SUBSTITUTE(F14,"•",""))</f>
        <v>0</v>
      </c>
      <c r="L14" s="208">
        <f>LEN(G14)-LEN(SUBSTITUTE(G14,"•",""))</f>
        <v>0</v>
      </c>
      <c r="M14" s="209">
        <f>LEN(H14)-LEN(SUBSTITUTE(H14,"•",""))</f>
        <v>0</v>
      </c>
      <c r="N14" s="210" t="e">
        <f>(J14+I14)/(SUM(I14:M14))</f>
        <v>#DIV/0!</v>
      </c>
    </row>
    <row r="15" spans="1:14" s="15" customFormat="1" ht="160.15" customHeight="1">
      <c r="A15" s="16" t="s">
        <v>455</v>
      </c>
      <c r="B15" s="94" t="e">
        <f>'people agility'!K29</f>
        <v>#DIV/0!</v>
      </c>
      <c r="C15" s="17" t="e">
        <f t="shared" ref="C15:C17" si="0">IF(B15&gt;=4.5,"Excellent",IF(B15&gt;=4,"Strong",IF(B15&gt;=3,"Meet","Needs Development")))</f>
        <v>#DIV/0!</v>
      </c>
      <c r="D15" s="154" t="str" cm="1">
        <f t="array" ref="D15">_xlfn.TEXTJOIN(CHAR(10),TRUE,IF('people agility'!K13:K28=5,"• "&amp;'people agility'!B13:B28,""))</f>
        <v/>
      </c>
      <c r="E15" s="155" t="str" cm="1">
        <f t="array" ref="E15">_xlfn.TEXTJOIN(CHAR(10),TRUE,IF('people agility'!K13:K28=4,"• "&amp;'people agility'!B13:B28,""))</f>
        <v/>
      </c>
      <c r="F15" s="151" t="str" cm="1">
        <f t="array" ref="F15">_xlfn.TEXTJOIN(CHAR(10),TRUE,IF('people agility'!K13:K28=3,"• "&amp;'people agility'!B13:B28,""))</f>
        <v/>
      </c>
      <c r="G15" s="152" t="str" cm="1">
        <f t="array" ref="G15">_xlfn.TEXTJOIN(CHAR(10),TRUE,IF('people agility'!K13:K28=2,"• "&amp;'people agility'!B13:B28,""))</f>
        <v/>
      </c>
      <c r="H15" s="153" t="str" cm="1">
        <f t="array" ref="H15">_xlfn.TEXTJOIN(CHAR(10),TRUE,IF('people agility'!K13:K28=1,"• "&amp;'people agility'!B13:B28,""))</f>
        <v/>
      </c>
      <c r="I15" s="205">
        <f t="shared" ref="I15:I18" si="1">LEN(D15)-LEN(SUBSTITUTE(D15,"•",""))</f>
        <v>0</v>
      </c>
      <c r="J15" s="206">
        <f t="shared" ref="J15:J18" si="2">LEN(E15)-LEN(SUBSTITUTE(E15,"•",""))</f>
        <v>0</v>
      </c>
      <c r="K15" s="207">
        <f t="shared" ref="K15:K18" si="3">LEN(F15)-LEN(SUBSTITUTE(F15,"•",""))</f>
        <v>0</v>
      </c>
      <c r="L15" s="208">
        <f t="shared" ref="L15:L18" si="4">LEN(G15)-LEN(SUBSTITUTE(G15,"•",""))</f>
        <v>0</v>
      </c>
      <c r="M15" s="209">
        <f t="shared" ref="M15:M18" si="5">LEN(H15)-LEN(SUBSTITUTE(H15,"•",""))</f>
        <v>0</v>
      </c>
      <c r="N15" s="210" t="e">
        <f t="shared" ref="N15:N18" si="6">(J15+I15)/(SUM(I15:M15))</f>
        <v>#DIV/0!</v>
      </c>
    </row>
    <row r="16" spans="1:14" s="15" customFormat="1" ht="160.15" customHeight="1">
      <c r="A16" s="16" t="s">
        <v>456</v>
      </c>
      <c r="B16" s="94" t="e">
        <f>'change agility'!K23</f>
        <v>#DIV/0!</v>
      </c>
      <c r="C16" s="17" t="e">
        <f t="shared" si="0"/>
        <v>#DIV/0!</v>
      </c>
      <c r="D16" s="149" t="str" cm="1">
        <f t="array" ref="D16">_xlfn.TEXTJOIN(CHAR(10),TRUE,IF('change agility'!K13:K22=5,"• "&amp;'change agility'!B13:B22,""))</f>
        <v/>
      </c>
      <c r="E16" s="150" t="str" cm="1">
        <f t="array" ref="E16">_xlfn.TEXTJOIN(CHAR(10),TRUE,IF('change agility'!K13:K22=4,"• "&amp;'change agility'!B13:B22,""))</f>
        <v/>
      </c>
      <c r="F16" s="151" t="str" cm="1">
        <f t="array" ref="F16">_xlfn.TEXTJOIN(CHAR(10),TRUE,IF('change agility'!K13:K22=3,"• "&amp;'change agility'!B13:B22,""))</f>
        <v/>
      </c>
      <c r="G16" s="152" t="str" cm="1">
        <f t="array" ref="G16">_xlfn.TEXTJOIN(CHAR(10),TRUE,IF('change agility'!K13:K22=2,"• "&amp;'change agility'!B13:B22,""))</f>
        <v/>
      </c>
      <c r="H16" s="153" t="str" cm="1">
        <f t="array" ref="H16">_xlfn.TEXTJOIN(CHAR(10),TRUE,IF('change agility'!K13:K22=1,"• "&amp;'change agility'!B13:B22,""))</f>
        <v/>
      </c>
      <c r="I16" s="205">
        <f t="shared" si="1"/>
        <v>0</v>
      </c>
      <c r="J16" s="206">
        <f t="shared" si="2"/>
        <v>0</v>
      </c>
      <c r="K16" s="207">
        <f t="shared" si="3"/>
        <v>0</v>
      </c>
      <c r="L16" s="208">
        <f t="shared" si="4"/>
        <v>0</v>
      </c>
      <c r="M16" s="209">
        <f t="shared" si="5"/>
        <v>0</v>
      </c>
      <c r="N16" s="210" t="e">
        <f t="shared" si="6"/>
        <v>#DIV/0!</v>
      </c>
    </row>
    <row r="17" spans="1:14" s="15" customFormat="1" ht="210.65" customHeight="1">
      <c r="A17" s="16" t="s">
        <v>457</v>
      </c>
      <c r="B17" s="94" t="e">
        <f>'result agility'!K25</f>
        <v>#DIV/0!</v>
      </c>
      <c r="C17" s="17" t="e">
        <f t="shared" si="0"/>
        <v>#DIV/0!</v>
      </c>
      <c r="D17" s="149" t="str" cm="1">
        <f t="array" ref="D17">_xlfn.TEXTJOIN(CHAR(10),TRUE,IF('result agility'!K13:K24=5,"• "&amp;'result agility'!B13:B24,""))</f>
        <v/>
      </c>
      <c r="E17" s="150" t="str" cm="1">
        <f t="array" ref="E17">_xlfn.TEXTJOIN(CHAR(10),TRUE,IF('result agility'!K13:K24=4,"• "&amp;'result agility'!B13:B24,""))</f>
        <v/>
      </c>
      <c r="F17" s="151" t="str" cm="1">
        <f t="array" ref="F17">_xlfn.TEXTJOIN(CHAR(10),TRUE,IF('result agility'!K13:K24=3,"• "&amp;'result agility'!B13:B24,""))</f>
        <v/>
      </c>
      <c r="G17" s="152" t="str" cm="1">
        <f t="array" ref="G17">_xlfn.TEXTJOIN(CHAR(10),TRUE,IF('result agility'!K13:K24=2,"• "&amp;'result agility'!B13:B24,""))</f>
        <v/>
      </c>
      <c r="H17" s="153" t="str" cm="1">
        <f t="array" ref="H17">_xlfn.TEXTJOIN(CHAR(10),TRUE,IF('result agility'!K13:K24=1,"• "&amp;'result agility'!B13:B24,""))</f>
        <v/>
      </c>
      <c r="I17" s="205">
        <f t="shared" si="1"/>
        <v>0</v>
      </c>
      <c r="J17" s="206">
        <f t="shared" si="2"/>
        <v>0</v>
      </c>
      <c r="K17" s="207">
        <f t="shared" si="3"/>
        <v>0</v>
      </c>
      <c r="L17" s="208">
        <f t="shared" si="4"/>
        <v>0</v>
      </c>
      <c r="M17" s="209">
        <f t="shared" si="5"/>
        <v>0</v>
      </c>
      <c r="N17" s="210" t="e">
        <f t="shared" si="6"/>
        <v>#DIV/0!</v>
      </c>
    </row>
    <row r="18" spans="1:14" s="15" customFormat="1" ht="196.9" customHeight="1">
      <c r="A18" s="16" t="s">
        <v>458</v>
      </c>
      <c r="B18" s="94" t="e">
        <f>'self awareness'!K23</f>
        <v>#DIV/0!</v>
      </c>
      <c r="C18" s="17" t="e">
        <f>IF(B18&gt;=4.5,"Excellent",IF(B18&gt;=4,"Strong",IF(B18&gt;=3,"Meet","Needs Development")))</f>
        <v>#DIV/0!</v>
      </c>
      <c r="D18" s="149" t="str" cm="1">
        <f t="array" ref="D18">_xlfn.TEXTJOIN(CHAR(10),TRUE,IF('self awareness'!K13:K22=5,"• "&amp;'self awareness'!B13:B22,""))</f>
        <v/>
      </c>
      <c r="E18" s="150" t="str" cm="1">
        <f t="array" ref="E18">_xlfn.TEXTJOIN(CHAR(10),TRUE,IF('self awareness'!K13:K22=4,"• "&amp;'self awareness'!B13:B22,""))</f>
        <v/>
      </c>
      <c r="F18" s="151" t="str" cm="1">
        <f t="array" ref="F18">_xlfn.TEXTJOIN(CHAR(10),TRUE,IF('self awareness'!K13:K22=3,"• "&amp;'self awareness'!B13:B22,""))</f>
        <v/>
      </c>
      <c r="G18" s="152" t="str" cm="1">
        <f t="array" ref="G18">_xlfn.TEXTJOIN(CHAR(10),TRUE,IF('self awareness'!K13:K22=2,"• "&amp;'self awareness'!B13:B22,""))</f>
        <v/>
      </c>
      <c r="H18" s="153" t="str" cm="1">
        <f t="array" ref="H18">_xlfn.TEXTJOIN(CHAR(10),TRUE,IF('self awareness'!K13:K22=1,"• "&amp;'self awareness'!B13:B22,""))</f>
        <v/>
      </c>
      <c r="I18" s="205">
        <f t="shared" si="1"/>
        <v>0</v>
      </c>
      <c r="J18" s="206">
        <f t="shared" si="2"/>
        <v>0</v>
      </c>
      <c r="K18" s="207">
        <f t="shared" si="3"/>
        <v>0</v>
      </c>
      <c r="L18" s="208">
        <f t="shared" si="4"/>
        <v>0</v>
      </c>
      <c r="M18" s="209">
        <f t="shared" si="5"/>
        <v>0</v>
      </c>
      <c r="N18" s="210" t="e">
        <f t="shared" si="6"/>
        <v>#DIV/0!</v>
      </c>
    </row>
    <row r="19" spans="1:14" s="15" customFormat="1" ht="27" customHeight="1">
      <c r="A19" s="40" t="s">
        <v>459</v>
      </c>
      <c r="B19" s="41" t="e">
        <f>AVERAGE(B14:B18)</f>
        <v>#DIV/0!</v>
      </c>
      <c r="C19" s="85" t="e">
        <f>IF(B19&gt;=4.5,"Highly Agile",IF(B19&gt;=4,"Agile",IF(B19&gt;=3,"Moderately Agile","Developing")))</f>
        <v>#DIV/0!</v>
      </c>
      <c r="D19" s="148" t="s">
        <v>460</v>
      </c>
      <c r="E19" s="23"/>
      <c r="F19" s="23"/>
      <c r="G19" s="22"/>
      <c r="H19" s="22"/>
      <c r="I19" s="196"/>
      <c r="J19" s="196"/>
      <c r="K19" s="196"/>
      <c r="L19" s="196"/>
      <c r="M19" s="196"/>
    </row>
    <row r="20" spans="1:14" ht="15.5">
      <c r="D20" s="86"/>
    </row>
    <row r="22" spans="1:14" s="3" customFormat="1" ht="16">
      <c r="A22" s="14" t="s">
        <v>461</v>
      </c>
      <c r="B22" s="6"/>
      <c r="C22" s="6"/>
      <c r="D22" s="6"/>
      <c r="E22" s="6"/>
      <c r="I22" s="69"/>
      <c r="J22" s="69"/>
      <c r="K22" s="69"/>
      <c r="L22" s="69"/>
      <c r="M22" s="69"/>
    </row>
    <row r="23" spans="1:14" s="3" customFormat="1" ht="15.5">
      <c r="A23" s="3" t="s">
        <v>462</v>
      </c>
      <c r="B23" s="6"/>
      <c r="C23" s="6"/>
      <c r="D23" s="6"/>
      <c r="I23" s="69"/>
      <c r="J23" s="69"/>
      <c r="K23" s="69"/>
      <c r="L23" s="69"/>
      <c r="M23" s="69"/>
    </row>
    <row r="24" spans="1:14" s="3" customFormat="1" ht="31">
      <c r="A24" s="19" t="s">
        <v>463</v>
      </c>
      <c r="B24" s="21" t="s">
        <v>464</v>
      </c>
      <c r="C24" s="21" t="s">
        <v>465</v>
      </c>
      <c r="D24" s="20" t="s">
        <v>466</v>
      </c>
      <c r="E24" s="19" t="s">
        <v>467</v>
      </c>
      <c r="I24" s="69"/>
      <c r="J24" s="69"/>
      <c r="K24" s="69"/>
      <c r="L24" s="69"/>
      <c r="M24" s="69"/>
    </row>
    <row r="25" spans="1:14" s="3" customFormat="1" ht="31">
      <c r="A25" s="91" t="str">
        <f>'mental agility'!B13</f>
        <v>Analytical Thinking
(memahami data &amp; fakta dasar)</v>
      </c>
      <c r="B25" s="91">
        <f>'mental agility'!I13</f>
        <v>0</v>
      </c>
      <c r="C25" s="91">
        <f>'mental agility'!K13</f>
        <v>0</v>
      </c>
      <c r="D25" s="92">
        <f>'mental agility'!M13</f>
        <v>0</v>
      </c>
      <c r="E25" s="93" t="str">
        <f>'mental agility'!N13</f>
        <v>No Gap</v>
      </c>
      <c r="I25" s="69"/>
      <c r="J25" s="69"/>
      <c r="K25" s="69"/>
      <c r="L25" s="69"/>
      <c r="M25" s="69"/>
    </row>
    <row r="26" spans="1:14" s="3" customFormat="1" ht="31">
      <c r="A26" s="91" t="str">
        <f>'mental agility'!B14</f>
        <v>Root Cause Analysis
(mencari penyebab masalah)</v>
      </c>
      <c r="B26" s="91">
        <f>'mental agility'!I14</f>
        <v>0</v>
      </c>
      <c r="C26" s="91">
        <f>'mental agility'!K14</f>
        <v>0</v>
      </c>
      <c r="D26" s="92">
        <f>'mental agility'!M14</f>
        <v>0</v>
      </c>
      <c r="E26" s="93" t="str">
        <f>'mental agility'!N14</f>
        <v>No Gap</v>
      </c>
      <c r="I26" s="69"/>
      <c r="J26" s="69"/>
      <c r="K26" s="69"/>
      <c r="L26" s="69"/>
      <c r="M26" s="69"/>
    </row>
    <row r="27" spans="1:14" s="3" customFormat="1" ht="31">
      <c r="A27" s="91" t="str">
        <f>'mental agility'!B15</f>
        <v>Critical Thinking &amp; Inquisitiveness
(mempertanyakan &amp; mengevaluasi)</v>
      </c>
      <c r="B27" s="91">
        <f>'mental agility'!I15</f>
        <v>0</v>
      </c>
      <c r="C27" s="91">
        <f>'mental agility'!K15</f>
        <v>0</v>
      </c>
      <c r="D27" s="92">
        <f>'mental agility'!M15</f>
        <v>0</v>
      </c>
      <c r="E27" s="93" t="str">
        <f>'mental agility'!N15</f>
        <v>No Gap</v>
      </c>
      <c r="I27" s="69"/>
      <c r="J27" s="69"/>
      <c r="K27" s="69"/>
      <c r="L27" s="69"/>
      <c r="M27" s="69"/>
    </row>
    <row r="28" spans="1:14" s="3" customFormat="1" ht="31">
      <c r="A28" s="91" t="str">
        <f>'mental agility'!B16</f>
        <v>Explaining Complexity
(menjelaskan hal kompleks secara sederhana)</v>
      </c>
      <c r="B28" s="91">
        <f>'mental agility'!I16</f>
        <v>0</v>
      </c>
      <c r="C28" s="91">
        <f>'mental agility'!K16</f>
        <v>0</v>
      </c>
      <c r="D28" s="92">
        <f>'mental agility'!M16</f>
        <v>0</v>
      </c>
      <c r="E28" s="93" t="str">
        <f>'mental agility'!N16</f>
        <v>No Gap</v>
      </c>
      <c r="I28" s="69"/>
      <c r="J28" s="69"/>
      <c r="K28" s="69"/>
      <c r="L28" s="69"/>
      <c r="M28" s="69"/>
    </row>
    <row r="29" spans="1:14" s="3" customFormat="1" ht="31">
      <c r="A29" s="91" t="str">
        <f>'mental agility'!B17</f>
        <v>Intellectual Synthesis
(menghubungkan berbagai informasi)</v>
      </c>
      <c r="B29" s="91">
        <f>'mental agility'!I17</f>
        <v>0</v>
      </c>
      <c r="C29" s="91">
        <f>'mental agility'!K17</f>
        <v>0</v>
      </c>
      <c r="D29" s="92">
        <f>'mental agility'!M17</f>
        <v>0</v>
      </c>
      <c r="E29" s="93" t="str">
        <f>'mental agility'!N17</f>
        <v>No Gap</v>
      </c>
      <c r="I29" s="69"/>
      <c r="J29" s="69"/>
      <c r="K29" s="69"/>
      <c r="L29" s="69"/>
      <c r="M29" s="69"/>
    </row>
    <row r="30" spans="1:14" s="3" customFormat="1" ht="31">
      <c r="A30" s="91" t="str">
        <f>'mental agility'!B18</f>
        <v>Integrating Diverse Perspective
(keputusan dari berbagai sudut pandang)</v>
      </c>
      <c r="B30" s="91">
        <f>'mental agility'!I18</f>
        <v>0</v>
      </c>
      <c r="C30" s="91">
        <f>'mental agility'!K18</f>
        <v>0</v>
      </c>
      <c r="D30" s="92">
        <f>'mental agility'!M18</f>
        <v>0</v>
      </c>
      <c r="E30" s="93" t="str">
        <f>'mental agility'!N18</f>
        <v>No Gap</v>
      </c>
      <c r="I30" s="69"/>
      <c r="J30" s="69"/>
      <c r="K30" s="69"/>
      <c r="L30" s="69"/>
      <c r="M30" s="69"/>
    </row>
    <row r="31" spans="1:14" s="3" customFormat="1" ht="31">
      <c r="A31" s="91" t="str">
        <f>'mental agility'!B19</f>
        <v>Creative Exploration
(mencari pendekatan baru)</v>
      </c>
      <c r="B31" s="91">
        <f>'mental agility'!I19</f>
        <v>0</v>
      </c>
      <c r="C31" s="91">
        <f>'mental agility'!K19</f>
        <v>0</v>
      </c>
      <c r="D31" s="92">
        <f>'mental agility'!M19</f>
        <v>0</v>
      </c>
      <c r="E31" s="93" t="str">
        <f>'mental agility'!N19</f>
        <v>No Gap</v>
      </c>
      <c r="I31" s="69"/>
      <c r="J31" s="69"/>
      <c r="K31" s="69"/>
      <c r="L31" s="69"/>
      <c r="M31" s="69"/>
    </row>
    <row r="32" spans="1:14" s="3" customFormat="1" ht="31">
      <c r="A32" s="91" t="str">
        <f>'mental agility'!B20</f>
        <v>Breaking Patterned thinking
(menciptakan solusi baru)</v>
      </c>
      <c r="B32" s="91">
        <f>'mental agility'!I20</f>
        <v>0</v>
      </c>
      <c r="C32" s="91">
        <f>'mental agility'!K20</f>
        <v>0</v>
      </c>
      <c r="D32" s="92">
        <f>'mental agility'!M20</f>
        <v>0</v>
      </c>
      <c r="E32" s="93" t="str">
        <f>'mental agility'!N20</f>
        <v>No Gap</v>
      </c>
      <c r="I32" s="69"/>
      <c r="J32" s="69"/>
      <c r="K32" s="69"/>
      <c r="L32" s="69"/>
      <c r="M32" s="69"/>
    </row>
    <row r="33" spans="1:13" s="3" customFormat="1" ht="31">
      <c r="A33" s="91" t="str">
        <f>'mental agility'!B21</f>
        <v>Comfort with Ambiguity
(tetap efektif di situasi tidak jelas)</v>
      </c>
      <c r="B33" s="91">
        <f>'mental agility'!I21</f>
        <v>0</v>
      </c>
      <c r="C33" s="91">
        <f>'mental agility'!K21</f>
        <v>0</v>
      </c>
      <c r="D33" s="92">
        <f>'mental agility'!M21</f>
        <v>0</v>
      </c>
      <c r="E33" s="93" t="str">
        <f>'mental agility'!N21</f>
        <v>No Gap</v>
      </c>
      <c r="F33" s="3" t="s">
        <v>468</v>
      </c>
      <c r="I33" s="69"/>
      <c r="J33" s="69"/>
      <c r="K33" s="69"/>
      <c r="L33" s="69"/>
      <c r="M33" s="69"/>
    </row>
    <row r="34" spans="1:13" s="3" customFormat="1" ht="31">
      <c r="A34" s="91" t="str">
        <f>'mental agility'!B22</f>
        <v>Tolerance for Ambiguity 
(memimpin dalam uncertainty tinggi)</v>
      </c>
      <c r="B34" s="91">
        <f>'mental agility'!I22</f>
        <v>0</v>
      </c>
      <c r="C34" s="91">
        <f>'mental agility'!K22</f>
        <v>0</v>
      </c>
      <c r="D34" s="92">
        <f>'mental agility'!M22</f>
        <v>0</v>
      </c>
      <c r="E34" s="93" t="str">
        <f>'mental agility'!N22</f>
        <v>No Gap</v>
      </c>
      <c r="I34" s="69"/>
      <c r="J34" s="69"/>
      <c r="K34" s="69"/>
      <c r="L34" s="69"/>
      <c r="M34" s="69"/>
    </row>
    <row r="35" spans="1:13" s="3" customFormat="1" ht="31">
      <c r="A35" s="20" t="s">
        <v>469</v>
      </c>
      <c r="B35" s="21" t="e">
        <f>'mental agility'!I23</f>
        <v>#DIV/0!</v>
      </c>
      <c r="C35" s="21" t="e">
        <f>'mental agility'!K23</f>
        <v>#DIV/0!</v>
      </c>
      <c r="D35" s="19" t="e">
        <f>'mental agility'!M23</f>
        <v>#DIV/0!</v>
      </c>
      <c r="E35" s="19" t="e">
        <f>'mental agility'!N23</f>
        <v>#DIV/0!</v>
      </c>
      <c r="I35" s="69"/>
      <c r="J35" s="69"/>
      <c r="K35" s="69"/>
      <c r="L35" s="69"/>
      <c r="M35" s="69"/>
    </row>
    <row r="36" spans="1:13" s="3" customFormat="1" ht="15.5">
      <c r="A36" s="211"/>
      <c r="B36" s="73"/>
      <c r="C36" s="73"/>
      <c r="D36" s="65"/>
      <c r="E36" s="65"/>
      <c r="I36" s="69"/>
      <c r="J36" s="69"/>
      <c r="K36" s="69"/>
      <c r="L36" s="69"/>
      <c r="M36" s="69"/>
    </row>
    <row r="37" spans="1:13">
      <c r="E37" s="24"/>
      <c r="H37"/>
    </row>
    <row r="38" spans="1:13" s="3" customFormat="1" ht="15.5">
      <c r="A38" s="3" t="s">
        <v>470</v>
      </c>
      <c r="C38" s="6"/>
      <c r="D38" s="6"/>
      <c r="I38" s="69"/>
      <c r="J38" s="69"/>
      <c r="K38" s="69"/>
      <c r="L38" s="69"/>
      <c r="M38" s="69"/>
    </row>
    <row r="39" spans="1:13" s="3" customFormat="1" ht="31">
      <c r="A39" s="59" t="s">
        <v>463</v>
      </c>
      <c r="B39" s="60" t="s">
        <v>464</v>
      </c>
      <c r="C39" s="60" t="s">
        <v>465</v>
      </c>
      <c r="D39" s="60" t="s">
        <v>466</v>
      </c>
      <c r="E39" s="59" t="s">
        <v>467</v>
      </c>
      <c r="I39" s="69"/>
      <c r="J39" s="69"/>
      <c r="K39" s="69"/>
      <c r="L39" s="69"/>
      <c r="M39" s="69"/>
    </row>
    <row r="40" spans="1:13" s="3" customFormat="1" ht="31">
      <c r="A40" s="91" t="str">
        <f>'people agility'!B13</f>
        <v xml:space="preserve"> Listening for understanding
(mendengarkan &amp; memahami)</v>
      </c>
      <c r="B40" s="91">
        <f>'people agility'!I13</f>
        <v>0</v>
      </c>
      <c r="C40" s="91">
        <f>'people agility'!K13</f>
        <v>0</v>
      </c>
      <c r="D40" s="92">
        <f>'people agility'!M13</f>
        <v>0</v>
      </c>
      <c r="E40" s="93" t="str">
        <f>'people agility'!N13</f>
        <v>No Gap</v>
      </c>
      <c r="I40" s="69"/>
      <c r="J40" s="69"/>
      <c r="K40" s="69"/>
      <c r="L40" s="69"/>
      <c r="M40" s="69"/>
    </row>
    <row r="41" spans="1:13" s="3" customFormat="1" ht="31">
      <c r="A41" s="91" t="str">
        <f>'people agility'!B14</f>
        <v>Openness to Feedback
(menerima &amp; menindaklajuti masukan)</v>
      </c>
      <c r="B41" s="91">
        <f>'people agility'!I14</f>
        <v>0</v>
      </c>
      <c r="C41" s="91">
        <f>'people agility'!K14</f>
        <v>0</v>
      </c>
      <c r="D41" s="92">
        <f>'people agility'!M14</f>
        <v>0</v>
      </c>
      <c r="E41" s="93" t="str">
        <f>'people agility'!N14</f>
        <v>No Gap</v>
      </c>
      <c r="I41" s="69"/>
      <c r="J41" s="69"/>
      <c r="K41" s="69"/>
      <c r="L41" s="69"/>
      <c r="M41" s="69"/>
    </row>
    <row r="42" spans="1:13" s="3" customFormat="1" ht="31">
      <c r="A42" s="91" t="str">
        <f>'people agility'!B15</f>
        <v>Genuine Curiosity about Others
(rasa ingin tahu tulus pada orang lain)</v>
      </c>
      <c r="B42" s="91">
        <f>'people agility'!I15</f>
        <v>0</v>
      </c>
      <c r="C42" s="91">
        <f>'people agility'!K15</f>
        <v>0</v>
      </c>
      <c r="D42" s="92">
        <f>'people agility'!M15</f>
        <v>0</v>
      </c>
      <c r="E42" s="93" t="str">
        <f>'people agility'!N15</f>
        <v>No Gap</v>
      </c>
      <c r="I42" s="69"/>
      <c r="J42" s="69"/>
      <c r="K42" s="69"/>
      <c r="L42" s="69"/>
      <c r="M42" s="69"/>
    </row>
    <row r="43" spans="1:13" s="3" customFormat="1" ht="31">
      <c r="A43" s="91" t="str">
        <f>'people agility'!B16</f>
        <v>Collaboration with Diversity
(Bekerja efektif dalam keberagaman)</v>
      </c>
      <c r="B43" s="91">
        <f>'people agility'!I16</f>
        <v>0</v>
      </c>
      <c r="C43" s="91">
        <f>'people agility'!K16</f>
        <v>0</v>
      </c>
      <c r="D43" s="92">
        <f>'people agility'!M16</f>
        <v>0</v>
      </c>
      <c r="E43" s="93" t="str">
        <f>'people agility'!N16</f>
        <v>No Gap</v>
      </c>
      <c r="I43" s="69"/>
      <c r="J43" s="69"/>
      <c r="K43" s="69"/>
      <c r="L43" s="69"/>
      <c r="M43" s="69"/>
    </row>
    <row r="44" spans="1:13" s="3" customFormat="1" ht="31">
      <c r="A44" s="91" t="str">
        <f>'people agility'!B17</f>
        <v>Valuing Diverse Opinions
(Menghargai opini berbeda)</v>
      </c>
      <c r="B44" s="91">
        <f>'people agility'!I17</f>
        <v>0</v>
      </c>
      <c r="C44" s="91">
        <f>'people agility'!K17</f>
        <v>0</v>
      </c>
      <c r="D44" s="92">
        <f>'people agility'!M17</f>
        <v>0</v>
      </c>
      <c r="E44" s="93" t="str">
        <f>'people agility'!N17</f>
        <v>No Gap</v>
      </c>
      <c r="I44" s="69"/>
      <c r="J44" s="69"/>
      <c r="K44" s="69"/>
      <c r="L44" s="69"/>
      <c r="M44" s="69"/>
    </row>
    <row r="45" spans="1:13" s="3" customFormat="1" ht="31">
      <c r="A45" s="91" t="str">
        <f>'people agility'!B18</f>
        <v>Understanding Different Perspectives
(Analisis multi-sudut pandang)</v>
      </c>
      <c r="B45" s="91">
        <f>'people agility'!I18</f>
        <v>0</v>
      </c>
      <c r="C45" s="91">
        <f>'people agility'!K18</f>
        <v>0</v>
      </c>
      <c r="D45" s="92">
        <f>'people agility'!M18</f>
        <v>0</v>
      </c>
      <c r="E45" s="93" t="str">
        <f>'people agility'!N18</f>
        <v>No Gap</v>
      </c>
      <c r="I45" s="69"/>
      <c r="J45" s="69"/>
      <c r="K45" s="69"/>
      <c r="L45" s="69"/>
      <c r="M45" s="69"/>
    </row>
    <row r="46" spans="1:13" s="3" customFormat="1" ht="31">
      <c r="A46" s="91" t="str">
        <f>'people agility'!B19</f>
        <v>Recognizing Others' Potential
(mengenali potensi orang lain)</v>
      </c>
      <c r="B46" s="91">
        <f>'people agility'!I19</f>
        <v>0</v>
      </c>
      <c r="C46" s="91">
        <f>'people agility'!K19</f>
        <v>0</v>
      </c>
      <c r="D46" s="92">
        <f>'people agility'!M19</f>
        <v>0</v>
      </c>
      <c r="E46" s="93" t="str">
        <f>'people agility'!N19</f>
        <v>No Gap</v>
      </c>
      <c r="I46" s="69"/>
      <c r="J46" s="69"/>
      <c r="K46" s="69"/>
      <c r="L46" s="69"/>
      <c r="M46" s="69"/>
    </row>
    <row r="47" spans="1:13" s="3" customFormat="1" ht="31">
      <c r="A47" s="91" t="str">
        <f>'people agility'!B20</f>
        <v>Setting Direction &amp; Expectations
(menetapkan arah &amp; ekspektasi)</v>
      </c>
      <c r="B47" s="91">
        <f>'people agility'!I20</f>
        <v>0</v>
      </c>
      <c r="C47" s="91">
        <f>'people agility'!K20</f>
        <v>0</v>
      </c>
      <c r="D47" s="92">
        <f>'people agility'!M20</f>
        <v>0</v>
      </c>
      <c r="E47" s="93" t="str">
        <f>'people agility'!N20</f>
        <v>No Gap</v>
      </c>
      <c r="I47" s="69"/>
      <c r="J47" s="69"/>
      <c r="K47" s="69"/>
      <c r="L47" s="69"/>
      <c r="M47" s="69"/>
    </row>
    <row r="48" spans="1:13" s="3" customFormat="1" ht="31">
      <c r="A48" s="91" t="str">
        <f>'people agility'!B21</f>
        <v>Empathy
(Merasakan &amp; memahami emosi orang lain)</v>
      </c>
      <c r="B48" s="91">
        <f>'people agility'!I21</f>
        <v>0</v>
      </c>
      <c r="C48" s="91">
        <f>'people agility'!K21</f>
        <v>0</v>
      </c>
      <c r="D48" s="92">
        <f>'people agility'!M21</f>
        <v>0</v>
      </c>
      <c r="E48" s="93" t="str">
        <f>'people agility'!N21</f>
        <v>No Gap</v>
      </c>
      <c r="I48" s="69"/>
      <c r="J48" s="69"/>
      <c r="K48" s="69"/>
      <c r="L48" s="69"/>
      <c r="M48" s="69"/>
    </row>
    <row r="49" spans="1:13" s="3" customFormat="1" ht="31">
      <c r="A49" s="91" t="str">
        <f>'people agility'!B22</f>
        <v>Conflict Navigation
(menghadapi konflik secara konstruktif)</v>
      </c>
      <c r="B49" s="91">
        <f>'people agility'!I22</f>
        <v>0</v>
      </c>
      <c r="C49" s="91">
        <f>'people agility'!K22</f>
        <v>0</v>
      </c>
      <c r="D49" s="92">
        <f>'people agility'!M22</f>
        <v>0</v>
      </c>
      <c r="E49" s="93" t="str">
        <f>'people agility'!N22</f>
        <v>No Gap</v>
      </c>
      <c r="I49" s="69"/>
      <c r="J49" s="69"/>
      <c r="K49" s="69"/>
      <c r="L49" s="69"/>
      <c r="M49" s="69"/>
    </row>
    <row r="50" spans="1:13" s="3" customFormat="1" ht="31">
      <c r="A50" s="91" t="str">
        <f>'people agility'!B23</f>
        <v>Giving Developmental Feedback
(memberi umpan balik yang mengembangkan)</v>
      </c>
      <c r="B50" s="91">
        <f>'people agility'!I23</f>
        <v>0</v>
      </c>
      <c r="C50" s="91">
        <f>'people agility'!K23</f>
        <v>0</v>
      </c>
      <c r="D50" s="92">
        <f>'people agility'!M23</f>
        <v>0</v>
      </c>
      <c r="E50" s="93" t="str">
        <f>'people agility'!N23</f>
        <v>No Gap</v>
      </c>
      <c r="I50" s="69"/>
      <c r="J50" s="69"/>
      <c r="K50" s="69"/>
      <c r="L50" s="69"/>
      <c r="M50" s="69"/>
    </row>
    <row r="51" spans="1:13" s="3" customFormat="1" ht="31">
      <c r="A51" s="91" t="str">
        <f>'people agility'!B24</f>
        <v>Managing Challenging  Stakeholder
(relasi berkelanjutan dengan pihak sulit)</v>
      </c>
      <c r="B51" s="91">
        <f>'people agility'!I24</f>
        <v>0</v>
      </c>
      <c r="C51" s="91">
        <f>'people agility'!K24</f>
        <v>0</v>
      </c>
      <c r="D51" s="92">
        <f>'people agility'!M24</f>
        <v>0</v>
      </c>
      <c r="E51" s="93" t="str">
        <f>'people agility'!N24</f>
        <v>No Gap</v>
      </c>
      <c r="I51" s="69"/>
      <c r="J51" s="69"/>
      <c r="K51" s="69"/>
      <c r="L51" s="69"/>
      <c r="M51" s="69"/>
    </row>
    <row r="52" spans="1:13" s="3" customFormat="1" ht="31">
      <c r="A52" s="91" t="str">
        <f>'people agility'!B25</f>
        <v>Delegating for Growth (mendelegasikan sebagai sarana pengembangan)</v>
      </c>
      <c r="B52" s="91">
        <f>'people agility'!I25</f>
        <v>0</v>
      </c>
      <c r="C52" s="91">
        <f>'people agility'!K25</f>
        <v>0</v>
      </c>
      <c r="D52" s="92">
        <f>'people agility'!M25</f>
        <v>0</v>
      </c>
      <c r="E52" s="93" t="str">
        <f>'people agility'!N25</f>
        <v>No Gap</v>
      </c>
      <c r="I52" s="69"/>
      <c r="J52" s="69"/>
      <c r="K52" s="69"/>
      <c r="L52" s="69"/>
      <c r="M52" s="69"/>
    </row>
    <row r="53" spans="1:13" s="3" customFormat="1" ht="31">
      <c r="A53" s="91" t="str">
        <f>'people agility'!B26</f>
        <v>Adapting Leadership Style
(menyesuaikan gaya kepemimpinan)</v>
      </c>
      <c r="B53" s="91">
        <f>'people agility'!I26</f>
        <v>0</v>
      </c>
      <c r="C53" s="91">
        <f>'people agility'!K26</f>
        <v>0</v>
      </c>
      <c r="D53" s="92">
        <f>'people agility'!M26</f>
        <v>0</v>
      </c>
      <c r="E53" s="93" t="str">
        <f>'people agility'!N26</f>
        <v>No Gap</v>
      </c>
      <c r="I53" s="69"/>
      <c r="J53" s="69"/>
      <c r="K53" s="69"/>
      <c r="L53" s="69"/>
      <c r="M53" s="69"/>
    </row>
    <row r="54" spans="1:13" s="3" customFormat="1" ht="31">
      <c r="A54" s="91" t="str">
        <f>'people agility'!B27</f>
        <v>Conflict Mediation
(menjadi penengah pihak berbeda)</v>
      </c>
      <c r="B54" s="91">
        <f>'people agility'!I27</f>
        <v>0</v>
      </c>
      <c r="C54" s="91">
        <f>'people agility'!K27</f>
        <v>0</v>
      </c>
      <c r="D54" s="92">
        <f>'people agility'!M27</f>
        <v>0</v>
      </c>
      <c r="E54" s="93" t="str">
        <f>'people agility'!N27</f>
        <v>No Gap</v>
      </c>
      <c r="I54" s="69"/>
      <c r="J54" s="69"/>
      <c r="K54" s="69"/>
      <c r="L54" s="69"/>
      <c r="M54" s="69"/>
    </row>
    <row r="55" spans="1:13" s="3" customFormat="1" ht="60" customHeight="1">
      <c r="A55" s="91" t="str">
        <f>'people agility'!B28</f>
        <v>Coaching &amp; Building Capability
(membangun kemampuan orang lain)</v>
      </c>
      <c r="B55" s="91">
        <f>'people agility'!I28</f>
        <v>0</v>
      </c>
      <c r="C55" s="91">
        <f>'people agility'!K28</f>
        <v>0</v>
      </c>
      <c r="D55" s="92">
        <f>'people agility'!M28</f>
        <v>0</v>
      </c>
      <c r="E55" s="93" t="str">
        <f>'people agility'!N28</f>
        <v>No Gap</v>
      </c>
      <c r="I55" s="69"/>
      <c r="J55" s="69"/>
      <c r="K55" s="69"/>
      <c r="L55" s="69"/>
      <c r="M55" s="69"/>
    </row>
    <row r="56" spans="1:13" s="3" customFormat="1" ht="31">
      <c r="A56" s="61" t="s">
        <v>469</v>
      </c>
      <c r="B56" s="61" t="e">
        <f>'people agility'!I29</f>
        <v>#DIV/0!</v>
      </c>
      <c r="C56" s="212" t="e">
        <f>'people agility'!K29</f>
        <v>#DIV/0!</v>
      </c>
      <c r="D56" s="213" t="e">
        <f>'people agility'!M29</f>
        <v>#DIV/0!</v>
      </c>
      <c r="E56" s="59" t="e">
        <f>'people agility'!N29</f>
        <v>#DIV/0!</v>
      </c>
      <c r="I56" s="69"/>
      <c r="J56" s="69"/>
      <c r="K56" s="69"/>
      <c r="L56" s="69"/>
      <c r="M56" s="69"/>
    </row>
    <row r="57" spans="1:13" s="3" customFormat="1" ht="15.5">
      <c r="A57" s="73"/>
      <c r="B57" s="73"/>
      <c r="C57" s="73"/>
      <c r="D57" s="65"/>
      <c r="E57" s="65"/>
      <c r="I57" s="69"/>
      <c r="J57" s="69"/>
      <c r="K57" s="69"/>
      <c r="L57" s="69"/>
      <c r="M57" s="69"/>
    </row>
    <row r="58" spans="1:13">
      <c r="E58" s="24"/>
      <c r="H58"/>
    </row>
    <row r="59" spans="1:13" s="3" customFormat="1" ht="15.5">
      <c r="A59" s="3" t="s">
        <v>471</v>
      </c>
      <c r="C59" s="6"/>
      <c r="D59" s="6"/>
      <c r="I59" s="69"/>
      <c r="J59" s="69"/>
      <c r="K59" s="69"/>
      <c r="L59" s="69"/>
      <c r="M59" s="69"/>
    </row>
    <row r="60" spans="1:13" s="3" customFormat="1" ht="31">
      <c r="A60" s="62" t="s">
        <v>463</v>
      </c>
      <c r="B60" s="63" t="s">
        <v>464</v>
      </c>
      <c r="C60" s="63" t="s">
        <v>465</v>
      </c>
      <c r="D60" s="63" t="s">
        <v>466</v>
      </c>
      <c r="E60" s="62" t="s">
        <v>467</v>
      </c>
      <c r="I60" s="69"/>
      <c r="J60" s="69"/>
      <c r="K60" s="69"/>
      <c r="L60" s="69"/>
      <c r="M60" s="69"/>
    </row>
    <row r="61" spans="1:13" s="3" customFormat="1" ht="31">
      <c r="A61" s="7" t="str">
        <f>'change agility'!B13</f>
        <v>Adapting to New Systems
(mengikuti perubahan sistem &amp; prosedur)</v>
      </c>
      <c r="B61" s="7">
        <f>'change agility'!I13</f>
        <v>0</v>
      </c>
      <c r="C61" s="7">
        <f>'change agility'!K13</f>
        <v>0</v>
      </c>
      <c r="D61" s="5">
        <f>'change agility'!M13</f>
        <v>0</v>
      </c>
      <c r="E61" s="4" t="str">
        <f>'change agility'!N13</f>
        <v>No Gap</v>
      </c>
      <c r="I61" s="69"/>
      <c r="J61" s="69"/>
      <c r="K61" s="69"/>
      <c r="L61" s="69"/>
      <c r="M61" s="69"/>
    </row>
    <row r="62" spans="1:13" s="3" customFormat="1" ht="31">
      <c r="A62" s="7" t="str">
        <f>'change agility'!B14</f>
        <v>Comfort with New Ways of Working
(nyaman dengan cara kerja baru)</v>
      </c>
      <c r="B62" s="7">
        <f>'change agility'!I14</f>
        <v>0</v>
      </c>
      <c r="C62" s="7">
        <f>'change agility'!K14</f>
        <v>0</v>
      </c>
      <c r="D62" s="5">
        <f>'change agility'!M14</f>
        <v>0</v>
      </c>
      <c r="E62" s="4" t="str">
        <f>'change agility'!N14</f>
        <v>No Gap</v>
      </c>
      <c r="I62" s="69"/>
      <c r="J62" s="69"/>
      <c r="K62" s="69"/>
      <c r="L62" s="69"/>
      <c r="M62" s="69"/>
    </row>
    <row r="63" spans="1:13" s="3" customFormat="1" ht="31">
      <c r="A63" s="7" t="str">
        <f>'change agility'!B15</f>
        <v>Comfort with Sudden Change
(tetap bekerja saat perubahan mendadak)</v>
      </c>
      <c r="B63" s="7">
        <f>'change agility'!I15</f>
        <v>0</v>
      </c>
      <c r="C63" s="7">
        <f>'change agility'!K15</f>
        <v>0</v>
      </c>
      <c r="D63" s="5">
        <f>'change agility'!M15</f>
        <v>0</v>
      </c>
      <c r="E63" s="4" t="str">
        <f>'change agility'!N15</f>
        <v>No Gap</v>
      </c>
      <c r="I63" s="69"/>
      <c r="J63" s="69"/>
      <c r="K63" s="69"/>
      <c r="L63" s="69"/>
      <c r="M63" s="69"/>
    </row>
    <row r="64" spans="1:13" s="3" customFormat="1" ht="31">
      <c r="A64" s="7" t="str">
        <f>'change agility'!B16</f>
        <v>Managing Resistance to Change
(pengelolaan resistensi)</v>
      </c>
      <c r="B64" s="7">
        <f>'change agility'!I16</f>
        <v>0</v>
      </c>
      <c r="C64" s="7">
        <f>'change agility'!K16</f>
        <v>0</v>
      </c>
      <c r="D64" s="5">
        <f>'change agility'!M16</f>
        <v>0</v>
      </c>
      <c r="E64" s="4" t="str">
        <f>'change agility'!N16</f>
        <v>No Gap</v>
      </c>
      <c r="I64" s="69"/>
      <c r="J64" s="69"/>
      <c r="K64" s="69"/>
      <c r="L64" s="69"/>
      <c r="M64" s="69"/>
    </row>
    <row r="65" spans="1:13" s="3" customFormat="1" ht="31">
      <c r="A65" s="7" t="str">
        <f>'change agility'!B17</f>
        <v>Adaptive Learning &amp; Experimentation
(aktif belajar hal baru)</v>
      </c>
      <c r="B65" s="7">
        <f>'change agility'!I17</f>
        <v>0</v>
      </c>
      <c r="C65" s="7">
        <f>'change agility'!K17</f>
        <v>0</v>
      </c>
      <c r="D65" s="5">
        <f>'change agility'!M17</f>
        <v>0</v>
      </c>
      <c r="E65" s="4" t="str">
        <f>'change agility'!N17</f>
        <v>No Gap</v>
      </c>
      <c r="I65" s="69"/>
      <c r="J65" s="69"/>
      <c r="K65" s="69"/>
      <c r="L65" s="69"/>
      <c r="M65" s="69"/>
    </row>
    <row r="66" spans="1:13" s="3" customFormat="1" ht="31">
      <c r="A66" s="7" t="str">
        <f>'change agility'!B18</f>
        <v>Viewing Change as Opportunity
(melihat perubahan sebagai peluang)</v>
      </c>
      <c r="B66" s="7">
        <f>'change agility'!I18</f>
        <v>0</v>
      </c>
      <c r="C66" s="7">
        <f>'change agility'!K18</f>
        <v>0</v>
      </c>
      <c r="D66" s="5">
        <f>'change agility'!M18</f>
        <v>0</v>
      </c>
      <c r="E66" s="4" t="str">
        <f>'change agility'!N18</f>
        <v>No Gap</v>
      </c>
      <c r="I66" s="69"/>
      <c r="J66" s="69"/>
      <c r="K66" s="69"/>
      <c r="L66" s="69"/>
      <c r="M66" s="69"/>
    </row>
    <row r="67" spans="1:13" s="3" customFormat="1" ht="31">
      <c r="A67" s="7" t="str">
        <f>'change agility'!B19</f>
        <v>Proposing New Ideas
(menginisiasi perubahan)</v>
      </c>
      <c r="B67" s="7">
        <f>'change agility'!I19</f>
        <v>0</v>
      </c>
      <c r="C67" s="7">
        <f>'change agility'!K19</f>
        <v>0</v>
      </c>
      <c r="D67" s="5">
        <f>'change agility'!M19</f>
        <v>0</v>
      </c>
      <c r="E67" s="4" t="str">
        <f>'change agility'!N19</f>
        <v>No Gap</v>
      </c>
      <c r="I67" s="69"/>
      <c r="J67" s="69"/>
      <c r="K67" s="69"/>
      <c r="L67" s="69"/>
      <c r="M67" s="69"/>
    </row>
    <row r="68" spans="1:13" s="3" customFormat="1" ht="31">
      <c r="A68" s="7" t="str">
        <f>'change agility'!B20</f>
        <v>Risk-Taking for Innovation
(berani mencoba pendekatan baru)</v>
      </c>
      <c r="B68" s="7">
        <f>'change agility'!I20</f>
        <v>0</v>
      </c>
      <c r="C68" s="7">
        <f>'change agility'!K20</f>
        <v>0</v>
      </c>
      <c r="D68" s="5">
        <f>'change agility'!M20</f>
        <v>0</v>
      </c>
      <c r="E68" s="4" t="str">
        <f>'change agility'!N20</f>
        <v>No Gap</v>
      </c>
      <c r="I68" s="69"/>
      <c r="J68" s="69"/>
      <c r="K68" s="69"/>
      <c r="L68" s="69"/>
      <c r="M68" s="69"/>
    </row>
    <row r="69" spans="1:13" s="3" customFormat="1" ht="31">
      <c r="A69" s="7" t="str">
        <f>'change agility'!B21</f>
        <v>Calmness in Uncertainty
(tetap tenang di kondisi tidak pasti)</v>
      </c>
      <c r="B69" s="7">
        <f>'change agility'!I21</f>
        <v>0</v>
      </c>
      <c r="C69" s="7">
        <f>'change agility'!K21</f>
        <v>0</v>
      </c>
      <c r="D69" s="5">
        <f>'change agility'!M21</f>
        <v>0</v>
      </c>
      <c r="E69" s="4" t="str">
        <f>'change agility'!N21</f>
        <v>No Gap</v>
      </c>
      <c r="I69" s="69"/>
      <c r="J69" s="69"/>
      <c r="K69" s="69"/>
      <c r="L69" s="69"/>
      <c r="M69" s="69"/>
    </row>
    <row r="70" spans="1:13" s="3" customFormat="1" ht="31">
      <c r="A70" s="7" t="str">
        <f>'change agility'!B22</f>
        <v>Proactive in Anticipating Change
(mengantisipasi perubahan)</v>
      </c>
      <c r="B70" s="7">
        <f>'change agility'!I22</f>
        <v>0</v>
      </c>
      <c r="C70" s="7">
        <f>'change agility'!K22</f>
        <v>0</v>
      </c>
      <c r="D70" s="5">
        <f>'change agility'!M22</f>
        <v>0</v>
      </c>
      <c r="E70" s="4" t="str">
        <f>'change agility'!N22</f>
        <v>No Gap</v>
      </c>
      <c r="I70" s="69"/>
      <c r="J70" s="69"/>
      <c r="K70" s="69"/>
      <c r="L70" s="69"/>
      <c r="M70" s="69"/>
    </row>
    <row r="71" spans="1:13" s="65" customFormat="1" ht="31">
      <c r="A71" s="64" t="s">
        <v>469</v>
      </c>
      <c r="B71" s="101" t="e">
        <f>'change agility'!I23</f>
        <v>#DIV/0!</v>
      </c>
      <c r="C71" s="101" t="e">
        <f>'change agility'!K23</f>
        <v>#DIV/0!</v>
      </c>
      <c r="D71" s="102" t="e">
        <f>'change agility'!M23</f>
        <v>#DIV/0!</v>
      </c>
      <c r="E71" s="62" t="e">
        <f>'change agility'!N23</f>
        <v>#DIV/0!</v>
      </c>
    </row>
    <row r="72" spans="1:13" s="3" customFormat="1" ht="15.5">
      <c r="A72" s="6"/>
      <c r="B72" s="6"/>
      <c r="C72" s="6"/>
      <c r="D72" s="6"/>
      <c r="I72" s="69"/>
      <c r="J72" s="69"/>
      <c r="K72" s="69"/>
      <c r="L72" s="69"/>
      <c r="M72" s="69"/>
    </row>
    <row r="73" spans="1:13" s="3" customFormat="1" ht="15.5">
      <c r="A73" s="6"/>
      <c r="B73" s="6"/>
      <c r="C73" s="6"/>
      <c r="D73" s="6"/>
      <c r="I73" s="69"/>
      <c r="J73" s="69"/>
      <c r="K73" s="69"/>
      <c r="L73" s="69"/>
      <c r="M73" s="69"/>
    </row>
    <row r="74" spans="1:13" s="3" customFormat="1" ht="15.5">
      <c r="A74" s="3" t="s">
        <v>472</v>
      </c>
      <c r="C74" s="6"/>
      <c r="D74" s="6"/>
      <c r="I74" s="69"/>
      <c r="J74" s="69"/>
      <c r="K74" s="69"/>
      <c r="L74" s="69"/>
      <c r="M74" s="69"/>
    </row>
    <row r="75" spans="1:13" s="3" customFormat="1" ht="31">
      <c r="A75" s="66" t="s">
        <v>463</v>
      </c>
      <c r="B75" s="67" t="s">
        <v>464</v>
      </c>
      <c r="C75" s="67" t="s">
        <v>465</v>
      </c>
      <c r="D75" s="67" t="s">
        <v>466</v>
      </c>
      <c r="E75" s="66" t="s">
        <v>467</v>
      </c>
      <c r="I75" s="69"/>
      <c r="J75" s="69"/>
      <c r="K75" s="69"/>
      <c r="L75" s="69"/>
      <c r="M75" s="69"/>
    </row>
    <row r="76" spans="1:13" s="3" customFormat="1" ht="31">
      <c r="A76" s="7" t="str">
        <f>'result agility'!B13</f>
        <v>Task Completion Quality 
(menyelesaikan tugas dengan baik)</v>
      </c>
      <c r="B76" s="91">
        <f>'result agility'!I13</f>
        <v>0</v>
      </c>
      <c r="C76" s="91">
        <f>'result agility'!K13</f>
        <v>0</v>
      </c>
      <c r="D76" s="91">
        <f>'result agility'!M13</f>
        <v>0</v>
      </c>
      <c r="E76" s="103" t="str">
        <f>'result agility'!N13</f>
        <v>No Gap</v>
      </c>
      <c r="I76" s="69"/>
      <c r="J76" s="69"/>
      <c r="K76" s="69"/>
      <c r="L76" s="69"/>
      <c r="M76" s="69"/>
    </row>
    <row r="77" spans="1:13" s="3" customFormat="1" ht="31">
      <c r="A77" s="7" t="str">
        <f>'result agility'!B14</f>
        <v>Action-Oriented &amp; Takes Initiative 
(proaktif bertindak)</v>
      </c>
      <c r="B77" s="91">
        <f>'result agility'!I14</f>
        <v>0</v>
      </c>
      <c r="C77" s="91">
        <f>'result agility'!K14</f>
        <v>0</v>
      </c>
      <c r="D77" s="91">
        <f>'result agility'!M14</f>
        <v>0</v>
      </c>
      <c r="E77" s="103" t="str">
        <f>'result agility'!N14</f>
        <v>No Gap</v>
      </c>
      <c r="I77" s="69"/>
      <c r="J77" s="69"/>
      <c r="K77" s="69"/>
      <c r="L77" s="69"/>
      <c r="M77" s="69"/>
    </row>
    <row r="78" spans="1:13" s="3" customFormat="1" ht="31">
      <c r="A78" s="7" t="str">
        <f>'result agility'!B15</f>
        <v>Driving for impact
(fokus pada hasil kerja)</v>
      </c>
      <c r="B78" s="91">
        <f>'result agility'!I15</f>
        <v>0</v>
      </c>
      <c r="C78" s="91">
        <f>'result agility'!K15</f>
        <v>0</v>
      </c>
      <c r="D78" s="91">
        <f>'result agility'!M15</f>
        <v>0</v>
      </c>
      <c r="E78" s="103" t="str">
        <f>'result agility'!N15</f>
        <v>No Gap</v>
      </c>
      <c r="I78" s="69"/>
      <c r="J78" s="69"/>
      <c r="K78" s="69"/>
      <c r="L78" s="69"/>
      <c r="M78" s="69"/>
    </row>
    <row r="79" spans="1:13" s="3" customFormat="1" ht="31">
      <c r="A79" s="7" t="str">
        <f>'result agility'!B16</f>
        <v>Tenacity &amp; Strategic Persistence
(menjaga komitmen di tengah tantangan)</v>
      </c>
      <c r="B79" s="91">
        <f>'result agility'!I16</f>
        <v>0</v>
      </c>
      <c r="C79" s="91">
        <f>'result agility'!K16</f>
        <v>0</v>
      </c>
      <c r="D79" s="91">
        <f>'result agility'!M16</f>
        <v>0</v>
      </c>
      <c r="E79" s="103" t="str">
        <f>'result agility'!N16</f>
        <v>No Gap</v>
      </c>
      <c r="I79" s="69"/>
      <c r="J79" s="69"/>
      <c r="K79" s="69"/>
      <c r="L79" s="69"/>
      <c r="M79" s="69"/>
    </row>
    <row r="80" spans="1:13" s="3" customFormat="1" ht="31">
      <c r="A80" s="7" t="str">
        <f>'result agility'!B17</f>
        <v>Prioritizing &amp; Sequencing Work
(menyusun prioritas &amp; urutan kerja)</v>
      </c>
      <c r="B80" s="91">
        <f>'result agility'!I17</f>
        <v>0</v>
      </c>
      <c r="C80" s="91">
        <f>'result agility'!K17</f>
        <v>0</v>
      </c>
      <c r="D80" s="91">
        <f>'result agility'!M17</f>
        <v>0</v>
      </c>
      <c r="E80" s="103" t="str">
        <f>'result agility'!N17</f>
        <v>No Gap</v>
      </c>
      <c r="I80" s="69"/>
      <c r="J80" s="69"/>
      <c r="K80" s="69"/>
      <c r="L80" s="69"/>
      <c r="M80" s="69"/>
    </row>
    <row r="81" spans="1:13" s="3" customFormat="1" ht="31">
      <c r="A81" s="7" t="str">
        <f>'result agility'!B18</f>
        <v>Learning from Outcomes
(belajar dari hasil &amp; kesalahan)</v>
      </c>
      <c r="B81" s="91">
        <f>'result agility'!I18</f>
        <v>0</v>
      </c>
      <c r="C81" s="91">
        <f>'result agility'!K18</f>
        <v>0</v>
      </c>
      <c r="D81" s="91">
        <f>'result agility'!M18</f>
        <v>0</v>
      </c>
      <c r="E81" s="103" t="str">
        <f>'result agility'!N18</f>
        <v>No Gap</v>
      </c>
      <c r="I81" s="69"/>
      <c r="J81" s="69"/>
      <c r="K81" s="69"/>
      <c r="L81" s="69"/>
      <c r="M81" s="69"/>
    </row>
    <row r="82" spans="1:13" s="3" customFormat="1" ht="46.5">
      <c r="A82" s="7" t="str">
        <f>'result agility'!B19</f>
        <v>Deciding with Incomplete Data
(mengambil keputusan dengan data/informasi terbatas)</v>
      </c>
      <c r="B82" s="91">
        <f>'result agility'!I19</f>
        <v>0</v>
      </c>
      <c r="C82" s="91">
        <f>'result agility'!K19</f>
        <v>0</v>
      </c>
      <c r="D82" s="91">
        <f>'result agility'!M19</f>
        <v>0</v>
      </c>
      <c r="E82" s="103" t="str">
        <f>'result agility'!N19</f>
        <v>No Gap</v>
      </c>
      <c r="I82" s="69"/>
      <c r="J82" s="69"/>
      <c r="K82" s="69"/>
      <c r="L82" s="69"/>
      <c r="M82" s="69"/>
    </row>
    <row r="83" spans="1:13" s="3" customFormat="1" ht="31">
      <c r="A83" s="7" t="str">
        <f>'result agility'!B20</f>
        <v>Focus Under Pressure
(tetap fokus dalam tekanan)</v>
      </c>
      <c r="B83" s="91">
        <f>'result agility'!I20</f>
        <v>0</v>
      </c>
      <c r="C83" s="91">
        <f>'result agility'!K20</f>
        <v>0</v>
      </c>
      <c r="D83" s="91">
        <f>'result agility'!M20</f>
        <v>0</v>
      </c>
      <c r="E83" s="103" t="str">
        <f>'result agility'!N20</f>
        <v>No Gap</v>
      </c>
      <c r="I83" s="69"/>
      <c r="J83" s="69"/>
      <c r="K83" s="69"/>
      <c r="L83" s="69"/>
      <c r="M83" s="69"/>
    </row>
    <row r="84" spans="1:13" s="3" customFormat="1" ht="31">
      <c r="A84" s="7" t="str">
        <f>'result agility'!B21</f>
        <v>Adapting Strategy When Needed
(mengubah strategi untuk hasil lebih baik)</v>
      </c>
      <c r="B84" s="91">
        <f>'result agility'!I21</f>
        <v>0</v>
      </c>
      <c r="C84" s="91">
        <f>'result agility'!K21</f>
        <v>0</v>
      </c>
      <c r="D84" s="91">
        <f>'result agility'!M21</f>
        <v>0</v>
      </c>
      <c r="E84" s="103" t="str">
        <f>'result agility'!N21</f>
        <v>No Gap</v>
      </c>
      <c r="I84" s="69"/>
      <c r="J84" s="69"/>
      <c r="K84" s="69"/>
      <c r="L84" s="69"/>
      <c r="M84" s="69"/>
    </row>
    <row r="85" spans="1:13" s="3" customFormat="1" ht="46.5">
      <c r="A85" s="7" t="str">
        <f>'result agility'!B22</f>
        <v>Resource Planning &amp; Contingency
(merencanakan sumber daya &amp; rencana cadangan)</v>
      </c>
      <c r="B85" s="91">
        <f>'result agility'!I22</f>
        <v>0</v>
      </c>
      <c r="C85" s="91">
        <f>'result agility'!K22</f>
        <v>0</v>
      </c>
      <c r="D85" s="91">
        <f>'result agility'!M22</f>
        <v>0</v>
      </c>
      <c r="E85" s="103" t="str">
        <f>'result agility'!N22</f>
        <v>No Gap</v>
      </c>
      <c r="I85" s="69"/>
      <c r="J85" s="69"/>
      <c r="K85" s="69"/>
      <c r="L85" s="69"/>
      <c r="M85" s="69"/>
    </row>
    <row r="86" spans="1:13" s="3" customFormat="1" ht="31">
      <c r="A86" s="7" t="str">
        <f>'result agility'!B23</f>
        <v>Agile Problem-Solving Under Pressure
(memecahkan masalah di bawah tekanan)</v>
      </c>
      <c r="B86" s="91">
        <f>'result agility'!I23</f>
        <v>0</v>
      </c>
      <c r="C86" s="91">
        <f>'result agility'!K23</f>
        <v>0</v>
      </c>
      <c r="D86" s="91">
        <f>'result agility'!M23</f>
        <v>0</v>
      </c>
      <c r="E86" s="103" t="str">
        <f>'result agility'!N23</f>
        <v>No Gap</v>
      </c>
      <c r="I86" s="69"/>
      <c r="J86" s="69"/>
      <c r="K86" s="69"/>
      <c r="L86" s="69"/>
      <c r="M86" s="69"/>
    </row>
    <row r="87" spans="1:13" s="3" customFormat="1" ht="31">
      <c r="A87" s="7" t="str">
        <f>'result agility'!B24</f>
        <v>Drive for High Performance
(dorongan berkinerja tinggi)</v>
      </c>
      <c r="B87" s="91">
        <f>'result agility'!I24</f>
        <v>0</v>
      </c>
      <c r="C87" s="91">
        <f>'result agility'!K24</f>
        <v>0</v>
      </c>
      <c r="D87" s="91">
        <f>'result agility'!M24</f>
        <v>0</v>
      </c>
      <c r="E87" s="103" t="str">
        <f>'result agility'!N24</f>
        <v>No Gap</v>
      </c>
      <c r="I87" s="69"/>
      <c r="J87" s="69"/>
      <c r="K87" s="69"/>
      <c r="L87" s="69"/>
      <c r="M87" s="69"/>
    </row>
    <row r="88" spans="1:13" s="69" customFormat="1" ht="31">
      <c r="A88" s="68" t="s">
        <v>469</v>
      </c>
      <c r="B88" s="104" t="e">
        <f>'result agility'!I25</f>
        <v>#DIV/0!</v>
      </c>
      <c r="C88" s="104" t="e">
        <f>'result agility'!K25</f>
        <v>#DIV/0!</v>
      </c>
      <c r="D88" s="105" t="e">
        <f>'result agility'!M25</f>
        <v>#DIV/0!</v>
      </c>
      <c r="E88" s="66" t="e">
        <f>'result agility'!N25</f>
        <v>#DIV/0!</v>
      </c>
    </row>
    <row r="89" spans="1:13" s="3" customFormat="1" ht="15.5">
      <c r="A89" s="6"/>
      <c r="B89" s="6"/>
      <c r="C89" s="6"/>
      <c r="D89" s="6"/>
      <c r="I89" s="69"/>
      <c r="J89" s="69"/>
      <c r="K89" s="69"/>
      <c r="L89" s="69"/>
      <c r="M89" s="69"/>
    </row>
    <row r="90" spans="1:13" s="3" customFormat="1" ht="15.5">
      <c r="A90" s="6"/>
      <c r="B90" s="6"/>
      <c r="C90" s="6"/>
      <c r="D90" s="6"/>
      <c r="I90" s="69"/>
      <c r="J90" s="69"/>
      <c r="K90" s="69"/>
      <c r="L90" s="69"/>
      <c r="M90" s="69"/>
    </row>
    <row r="91" spans="1:13" s="3" customFormat="1" ht="15.5">
      <c r="A91" s="3" t="s">
        <v>473</v>
      </c>
      <c r="C91" s="6"/>
      <c r="D91" s="6"/>
      <c r="I91" s="69"/>
      <c r="J91" s="69"/>
      <c r="K91" s="69"/>
      <c r="L91" s="69"/>
      <c r="M91" s="69"/>
    </row>
    <row r="92" spans="1:13" s="3" customFormat="1" ht="31">
      <c r="A92" s="70" t="s">
        <v>463</v>
      </c>
      <c r="B92" s="71" t="s">
        <v>464</v>
      </c>
      <c r="C92" s="71" t="s">
        <v>465</v>
      </c>
      <c r="D92" s="71" t="s">
        <v>466</v>
      </c>
      <c r="E92" s="70" t="s">
        <v>467</v>
      </c>
      <c r="I92" s="69"/>
      <c r="J92" s="69"/>
      <c r="K92" s="69"/>
      <c r="L92" s="69"/>
      <c r="M92" s="69"/>
    </row>
    <row r="93" spans="1:13" s="3" customFormat="1" ht="31">
      <c r="A93" s="91" t="str">
        <f>'self awareness'!B13</f>
        <v>Openness to Criticism
(menerima kritik)</v>
      </c>
      <c r="B93" s="91">
        <f>'self awareness'!I13</f>
        <v>0</v>
      </c>
      <c r="C93" s="91">
        <f>'self awareness'!K13</f>
        <v>0</v>
      </c>
      <c r="D93" s="91">
        <f>'self awareness'!M13</f>
        <v>0</v>
      </c>
      <c r="E93" s="103" t="str">
        <f>'self awareness'!N13</f>
        <v>No Gap</v>
      </c>
      <c r="I93" s="69"/>
      <c r="J93" s="69"/>
      <c r="K93" s="69"/>
      <c r="L93" s="69"/>
      <c r="M93" s="69"/>
    </row>
    <row r="94" spans="1:13" s="3" customFormat="1" ht="31">
      <c r="A94" s="91" t="str">
        <f>'self awareness'!B14</f>
        <v>Admitting Mistakes
(mengakui kesalahan)</v>
      </c>
      <c r="B94" s="91">
        <f>'self awareness'!I14</f>
        <v>0</v>
      </c>
      <c r="C94" s="91">
        <f>'self awareness'!K14</f>
        <v>0</v>
      </c>
      <c r="D94" s="91">
        <f>'self awareness'!M14</f>
        <v>0</v>
      </c>
      <c r="E94" s="103" t="str">
        <f>'self awareness'!N14</f>
        <v>No Gap</v>
      </c>
      <c r="I94" s="69"/>
      <c r="J94" s="69"/>
      <c r="K94" s="69"/>
      <c r="L94" s="69"/>
      <c r="M94" s="69"/>
    </row>
    <row r="95" spans="1:13" s="3" customFormat="1" ht="31">
      <c r="A95" s="91" t="str">
        <f>'self awareness'!B15</f>
        <v>Seeking Feedback on Performance
(mencari feedback)</v>
      </c>
      <c r="B95" s="91">
        <f>'self awareness'!I15</f>
        <v>0</v>
      </c>
      <c r="C95" s="91">
        <f>'self awareness'!K15</f>
        <v>0</v>
      </c>
      <c r="D95" s="91">
        <f>'self awareness'!M15</f>
        <v>0</v>
      </c>
      <c r="E95" s="103" t="str">
        <f>'self awareness'!N15</f>
        <v>No Gap</v>
      </c>
      <c r="I95" s="69"/>
      <c r="J95" s="69"/>
      <c r="K95" s="69"/>
      <c r="L95" s="69"/>
      <c r="M95" s="69"/>
    </row>
    <row r="96" spans="1:13" s="3" customFormat="1" ht="31">
      <c r="A96" s="91" t="str">
        <f>'self awareness'!B16</f>
        <v>Understanding Strengths &amp; Weaknesses
(memahami kekuatan &amp; kelemahan)</v>
      </c>
      <c r="B96" s="91">
        <f>'self awareness'!I16</f>
        <v>0</v>
      </c>
      <c r="C96" s="91">
        <f>'self awareness'!K16</f>
        <v>0</v>
      </c>
      <c r="D96" s="91">
        <f>'self awareness'!M16</f>
        <v>0</v>
      </c>
      <c r="E96" s="103" t="str">
        <f>'self awareness'!N16</f>
        <v>No Gap</v>
      </c>
      <c r="I96" s="69"/>
      <c r="J96" s="69"/>
      <c r="K96" s="69"/>
      <c r="L96" s="69"/>
      <c r="M96" s="69"/>
    </row>
    <row r="97" spans="1:13" s="3" customFormat="1" ht="31">
      <c r="A97" s="91" t="str">
        <f>'self awareness'!B17</f>
        <v>Reflective Practices
(melakukan refleksi diri)</v>
      </c>
      <c r="B97" s="91">
        <f>'self awareness'!I17</f>
        <v>0</v>
      </c>
      <c r="C97" s="91">
        <f>'self awareness'!K17</f>
        <v>0</v>
      </c>
      <c r="D97" s="91">
        <f>'self awareness'!M17</f>
        <v>0</v>
      </c>
      <c r="E97" s="103" t="str">
        <f>'self awareness'!N17</f>
        <v>No Gap</v>
      </c>
      <c r="I97" s="69"/>
      <c r="J97" s="69"/>
      <c r="K97" s="69"/>
      <c r="L97" s="69"/>
      <c r="M97" s="69"/>
    </row>
    <row r="98" spans="1:13" s="3" customFormat="1" ht="31">
      <c r="A98" s="91" t="str">
        <f>'self awareness'!B18</f>
        <v>Proactive Self-Development for Adaptation
(aktif mengembangkan diri)</v>
      </c>
      <c r="B98" s="91">
        <f>'self awareness'!I18</f>
        <v>0</v>
      </c>
      <c r="C98" s="91">
        <f>'self awareness'!K18</f>
        <v>0</v>
      </c>
      <c r="D98" s="91">
        <f>'self awareness'!M18</f>
        <v>0</v>
      </c>
      <c r="E98" s="103" t="str">
        <f>'self awareness'!N18</f>
        <v>No Gap</v>
      </c>
      <c r="I98" s="69"/>
      <c r="J98" s="69"/>
      <c r="K98" s="69"/>
      <c r="L98" s="69"/>
      <c r="M98" s="69"/>
    </row>
    <row r="99" spans="1:13" s="3" customFormat="1" ht="31">
      <c r="A99" s="91" t="str">
        <f>'self awareness'!B19</f>
        <v>Objective Self-Assessment
(menilai diri secara objektif)</v>
      </c>
      <c r="B99" s="91">
        <f>'self awareness'!I19</f>
        <v>0</v>
      </c>
      <c r="C99" s="91">
        <f>'self awareness'!K19</f>
        <v>0</v>
      </c>
      <c r="D99" s="91">
        <f>'self awareness'!M19</f>
        <v>0</v>
      </c>
      <c r="E99" s="103" t="str">
        <f>'self awareness'!N19</f>
        <v>No Gap</v>
      </c>
      <c r="I99" s="69"/>
      <c r="J99" s="69"/>
      <c r="K99" s="69"/>
      <c r="L99" s="69"/>
      <c r="M99" s="69"/>
    </row>
    <row r="100" spans="1:13" s="3" customFormat="1" ht="31">
      <c r="A100" s="91" t="str">
        <f>'self awareness'!B20</f>
        <v>Awareness of Impact on Others
(memahami dampak perilaku)</v>
      </c>
      <c r="B100" s="91">
        <f>'self awareness'!I20</f>
        <v>0</v>
      </c>
      <c r="C100" s="91">
        <f>'self awareness'!K20</f>
        <v>0</v>
      </c>
      <c r="D100" s="91">
        <f>'self awareness'!M20</f>
        <v>0</v>
      </c>
      <c r="E100" s="103" t="str">
        <f>'self awareness'!N20</f>
        <v>No Gap</v>
      </c>
      <c r="I100" s="69"/>
      <c r="J100" s="69"/>
      <c r="K100" s="69"/>
      <c r="L100" s="69"/>
      <c r="M100" s="69"/>
    </row>
    <row r="101" spans="1:13" s="3" customFormat="1" ht="31">
      <c r="A101" s="91" t="str">
        <f>'self awareness'!B21</f>
        <v>Managing Emotions Effectively
(mengelola emosi)</v>
      </c>
      <c r="B101" s="91">
        <f>'self awareness'!I21</f>
        <v>0</v>
      </c>
      <c r="C101" s="91">
        <f>'self awareness'!K21</f>
        <v>0</v>
      </c>
      <c r="D101" s="91">
        <f>'self awareness'!M21</f>
        <v>0</v>
      </c>
      <c r="E101" s="103" t="str">
        <f>'self awareness'!N21</f>
        <v>No Gap</v>
      </c>
      <c r="I101" s="69"/>
      <c r="J101" s="69"/>
      <c r="K101" s="69"/>
      <c r="L101" s="69"/>
      <c r="M101" s="69"/>
    </row>
    <row r="102" spans="1:13" s="3" customFormat="1" ht="31">
      <c r="A102" s="91" t="str">
        <f>'self awareness'!B22</f>
        <v>Deep Pattern Recognition &amp; Bias Awareness
(refleksi diri mendalam &amp; autentik)</v>
      </c>
      <c r="B102" s="91">
        <f>'self awareness'!I22</f>
        <v>0</v>
      </c>
      <c r="C102" s="91">
        <f>'self awareness'!K22</f>
        <v>0</v>
      </c>
      <c r="D102" s="91">
        <f>'self awareness'!M22</f>
        <v>0</v>
      </c>
      <c r="E102" s="103" t="str">
        <f>'self awareness'!N22</f>
        <v>No Gap</v>
      </c>
      <c r="I102" s="69"/>
      <c r="J102" s="69"/>
      <c r="K102" s="69"/>
      <c r="L102" s="69"/>
      <c r="M102" s="69"/>
    </row>
    <row r="103" spans="1:13" s="65" customFormat="1" ht="31">
      <c r="A103" s="72" t="s">
        <v>469</v>
      </c>
      <c r="B103" s="106" t="e">
        <f>'self awareness'!I23</f>
        <v>#DIV/0!</v>
      </c>
      <c r="C103" s="106" t="e">
        <f>'self awareness'!K23</f>
        <v>#DIV/0!</v>
      </c>
      <c r="D103" s="107" t="e">
        <f>'self awareness'!M23</f>
        <v>#DIV/0!</v>
      </c>
      <c r="E103" s="70" t="e">
        <f>'self awareness'!N23</f>
        <v>#DIV/0!</v>
      </c>
    </row>
    <row r="104" spans="1:13" s="65" customFormat="1" ht="15.5">
      <c r="A104" s="73"/>
      <c r="B104" s="73"/>
      <c r="C104" s="73"/>
    </row>
    <row r="105" spans="1:13" s="65" customFormat="1" ht="15.5">
      <c r="A105" s="73"/>
      <c r="B105" s="73"/>
      <c r="C105" s="73"/>
    </row>
    <row r="106" spans="1:13" s="3" customFormat="1" ht="15.5">
      <c r="A106" s="3" t="s">
        <v>474</v>
      </c>
      <c r="C106" s="6"/>
      <c r="D106" s="6"/>
      <c r="I106" s="69"/>
      <c r="J106" s="69"/>
      <c r="K106" s="69"/>
      <c r="L106" s="69"/>
      <c r="M106" s="69"/>
    </row>
    <row r="107" spans="1:13" s="3" customFormat="1" ht="31">
      <c r="A107" s="70" t="s">
        <v>463</v>
      </c>
      <c r="B107" s="71" t="s">
        <v>464</v>
      </c>
      <c r="C107" s="71" t="s">
        <v>465</v>
      </c>
      <c r="D107" s="71" t="s">
        <v>466</v>
      </c>
      <c r="E107" s="70" t="s">
        <v>467</v>
      </c>
      <c r="I107" s="69"/>
      <c r="J107" s="69"/>
      <c r="K107" s="69"/>
      <c r="L107" s="69"/>
      <c r="M107" s="69"/>
    </row>
    <row r="108" spans="1:13" s="3" customFormat="1" ht="15.5">
      <c r="A108" s="35" t="s">
        <v>454</v>
      </c>
      <c r="B108" s="108" t="e">
        <f>B35</f>
        <v>#DIV/0!</v>
      </c>
      <c r="C108" s="108" t="e">
        <f>C35</f>
        <v>#DIV/0!</v>
      </c>
      <c r="D108" s="108" t="e">
        <f>D35</f>
        <v>#DIV/0!</v>
      </c>
      <c r="E108" s="7" t="e">
        <f>E35</f>
        <v>#DIV/0!</v>
      </c>
      <c r="I108" s="69"/>
      <c r="J108" s="69"/>
      <c r="K108" s="69"/>
      <c r="L108" s="69"/>
      <c r="M108" s="69"/>
    </row>
    <row r="109" spans="1:13" s="3" customFormat="1" ht="15.5">
      <c r="A109" s="35" t="s">
        <v>455</v>
      </c>
      <c r="B109" s="108" t="e">
        <f>B56</f>
        <v>#DIV/0!</v>
      </c>
      <c r="C109" s="108" t="e">
        <f>C56</f>
        <v>#DIV/0!</v>
      </c>
      <c r="D109" s="108" t="e">
        <f t="shared" ref="D109:E109" si="7">D56</f>
        <v>#DIV/0!</v>
      </c>
      <c r="E109" s="7" t="e">
        <f t="shared" si="7"/>
        <v>#DIV/0!</v>
      </c>
      <c r="I109" s="69"/>
      <c r="J109" s="69"/>
      <c r="K109" s="69"/>
      <c r="L109" s="69"/>
      <c r="M109" s="69"/>
    </row>
    <row r="110" spans="1:13" s="3" customFormat="1" ht="15.5">
      <c r="A110" s="35" t="s">
        <v>456</v>
      </c>
      <c r="B110" s="108" t="e">
        <f>B71</f>
        <v>#DIV/0!</v>
      </c>
      <c r="C110" s="108" t="e">
        <f t="shared" ref="C110:E110" si="8">C71</f>
        <v>#DIV/0!</v>
      </c>
      <c r="D110" s="108" t="e">
        <f t="shared" si="8"/>
        <v>#DIV/0!</v>
      </c>
      <c r="E110" s="7" t="e">
        <f t="shared" si="8"/>
        <v>#DIV/0!</v>
      </c>
      <c r="I110" s="69"/>
      <c r="J110" s="69"/>
      <c r="K110" s="69"/>
      <c r="L110" s="69"/>
      <c r="M110" s="69"/>
    </row>
    <row r="111" spans="1:13" s="3" customFormat="1" ht="15.5">
      <c r="A111" s="35" t="s">
        <v>457</v>
      </c>
      <c r="B111" s="108" t="e">
        <f>B88</f>
        <v>#DIV/0!</v>
      </c>
      <c r="C111" s="108" t="e">
        <f t="shared" ref="C111:E111" si="9">C88</f>
        <v>#DIV/0!</v>
      </c>
      <c r="D111" s="108" t="e">
        <f t="shared" si="9"/>
        <v>#DIV/0!</v>
      </c>
      <c r="E111" s="7" t="e">
        <f t="shared" si="9"/>
        <v>#DIV/0!</v>
      </c>
      <c r="I111" s="69"/>
      <c r="J111" s="69"/>
      <c r="K111" s="69"/>
      <c r="L111" s="69"/>
      <c r="M111" s="69"/>
    </row>
    <row r="112" spans="1:13" s="3" customFormat="1" ht="15.5">
      <c r="A112" s="35" t="s">
        <v>458</v>
      </c>
      <c r="B112" s="108" t="e">
        <f>B103</f>
        <v>#DIV/0!</v>
      </c>
      <c r="C112" s="108" t="e">
        <f t="shared" ref="C112:E112" si="10">C103</f>
        <v>#DIV/0!</v>
      </c>
      <c r="D112" s="108" t="e">
        <f t="shared" si="10"/>
        <v>#DIV/0!</v>
      </c>
      <c r="E112" s="7" t="e">
        <f t="shared" si="10"/>
        <v>#DIV/0!</v>
      </c>
      <c r="I112" s="69"/>
      <c r="J112" s="69"/>
      <c r="K112" s="69"/>
      <c r="L112" s="69"/>
      <c r="M112" s="69"/>
    </row>
    <row r="113" spans="1:13" s="139" customFormat="1" ht="15.5">
      <c r="A113" s="136" t="s">
        <v>475</v>
      </c>
      <c r="B113" s="137" t="e">
        <f>AVERAGE(B108:B112)</f>
        <v>#DIV/0!</v>
      </c>
      <c r="C113" s="137" t="e">
        <f>AVERAGE(C108:C112)</f>
        <v>#DIV/0!</v>
      </c>
      <c r="D113" s="137" t="e">
        <f>B113-C113</f>
        <v>#DIV/0!</v>
      </c>
      <c r="E113" s="138" t="e" cm="1">
        <f t="array" ref="E113">_xlfn.IFS(
  VALUE(D113) &gt;= 1, "Major Positive Gap",
  VALUE(D113) &gt;= 0.5, "Minor Positive Gap",
  VALUE(D113) &gt;= -0.49, "Aligned",
  VALUE(D113) &gt;= -0.99, "Minor Negative Gap",
  VALUE(D113) &lt;= -1, "Major Negative Gap"
)</f>
        <v>#DIV/0!</v>
      </c>
      <c r="I113" s="65"/>
      <c r="J113" s="65"/>
      <c r="K113" s="65"/>
      <c r="L113" s="65"/>
      <c r="M113" s="65"/>
    </row>
    <row r="116" spans="1:13" s="30" customFormat="1" ht="13">
      <c r="A116" s="29" t="s">
        <v>476</v>
      </c>
      <c r="I116" s="198"/>
      <c r="J116" s="198"/>
      <c r="K116" s="198"/>
      <c r="L116" s="198"/>
      <c r="M116" s="198"/>
    </row>
    <row r="117" spans="1:13" s="30" customFormat="1" ht="13">
      <c r="A117" s="29"/>
      <c r="I117" s="198"/>
      <c r="J117" s="198"/>
      <c r="K117" s="198"/>
      <c r="L117" s="198"/>
      <c r="M117" s="198"/>
    </row>
    <row r="118" spans="1:13" s="30" customFormat="1" ht="13">
      <c r="A118" s="31" t="s">
        <v>445</v>
      </c>
      <c r="B118" s="31" t="s">
        <v>477</v>
      </c>
      <c r="C118" s="284" t="s">
        <v>447</v>
      </c>
      <c r="D118" s="284"/>
      <c r="I118" s="198"/>
      <c r="J118" s="198"/>
      <c r="K118" s="198"/>
      <c r="L118" s="198"/>
      <c r="M118" s="198"/>
    </row>
    <row r="119" spans="1:13" s="30" customFormat="1" ht="13">
      <c r="A119" s="32" t="s">
        <v>454</v>
      </c>
      <c r="B119" s="109" t="e">
        <f>C108</f>
        <v>#DIV/0!</v>
      </c>
      <c r="C119" s="283" t="e">
        <f>'Profile Summary'!C14</f>
        <v>#DIV/0!</v>
      </c>
      <c r="D119" s="283"/>
      <c r="I119" s="198"/>
      <c r="J119" s="198"/>
      <c r="K119" s="198"/>
      <c r="L119" s="198"/>
      <c r="M119" s="198"/>
    </row>
    <row r="120" spans="1:13" s="30" customFormat="1" ht="13">
      <c r="A120" s="32" t="s">
        <v>455</v>
      </c>
      <c r="B120" s="109" t="e">
        <f t="shared" ref="B120:B123" si="11">C109</f>
        <v>#DIV/0!</v>
      </c>
      <c r="C120" s="283" t="e">
        <f>'Profile Summary'!C15</f>
        <v>#DIV/0!</v>
      </c>
      <c r="D120" s="283"/>
      <c r="I120" s="198"/>
      <c r="J120" s="198"/>
      <c r="K120" s="198"/>
      <c r="L120" s="198"/>
      <c r="M120" s="198"/>
    </row>
    <row r="121" spans="1:13" s="30" customFormat="1" ht="13">
      <c r="A121" s="32" t="s">
        <v>456</v>
      </c>
      <c r="B121" s="109" t="e">
        <f t="shared" si="11"/>
        <v>#DIV/0!</v>
      </c>
      <c r="C121" s="283" t="e">
        <f>'Profile Summary'!C16</f>
        <v>#DIV/0!</v>
      </c>
      <c r="D121" s="283"/>
      <c r="I121" s="198"/>
      <c r="J121" s="198"/>
      <c r="K121" s="198"/>
      <c r="L121" s="198"/>
      <c r="M121" s="198"/>
    </row>
    <row r="122" spans="1:13" s="30" customFormat="1" ht="13">
      <c r="A122" s="32" t="s">
        <v>457</v>
      </c>
      <c r="B122" s="109" t="e">
        <f t="shared" si="11"/>
        <v>#DIV/0!</v>
      </c>
      <c r="C122" s="283" t="e">
        <f>'Profile Summary'!C17</f>
        <v>#DIV/0!</v>
      </c>
      <c r="D122" s="283"/>
      <c r="I122" s="198"/>
      <c r="J122" s="198"/>
      <c r="K122" s="198"/>
      <c r="L122" s="198"/>
      <c r="M122" s="198"/>
    </row>
    <row r="123" spans="1:13" s="30" customFormat="1" ht="13">
      <c r="A123" s="32" t="s">
        <v>458</v>
      </c>
      <c r="B123" s="109" t="e">
        <f t="shared" si="11"/>
        <v>#DIV/0!</v>
      </c>
      <c r="C123" s="283" t="e">
        <f>'Profile Summary'!C18</f>
        <v>#DIV/0!</v>
      </c>
      <c r="D123" s="283"/>
      <c r="I123" s="198"/>
      <c r="J123" s="198"/>
      <c r="K123" s="198"/>
      <c r="L123" s="198"/>
      <c r="M123" s="198"/>
    </row>
    <row r="124" spans="1:13" s="1" customFormat="1">
      <c r="I124" s="12"/>
      <c r="J124" s="12"/>
      <c r="K124" s="12"/>
      <c r="L124" s="12"/>
      <c r="M124" s="12"/>
    </row>
    <row r="125" spans="1:13" s="1" customFormat="1">
      <c r="I125" s="12"/>
      <c r="J125" s="12"/>
      <c r="K125" s="12"/>
      <c r="L125" s="12"/>
      <c r="M125" s="12"/>
    </row>
    <row r="126" spans="1:13" s="1" customFormat="1">
      <c r="I126" s="12"/>
      <c r="J126" s="12"/>
      <c r="K126" s="12"/>
      <c r="L126" s="12"/>
      <c r="M126" s="12"/>
    </row>
    <row r="127" spans="1:13" s="1" customFormat="1">
      <c r="I127" s="12"/>
      <c r="J127" s="12"/>
      <c r="K127" s="12"/>
      <c r="L127" s="12"/>
      <c r="M127" s="12"/>
    </row>
    <row r="128" spans="1:13" s="1" customFormat="1">
      <c r="I128" s="12"/>
      <c r="J128" s="12"/>
      <c r="K128" s="12"/>
      <c r="L128" s="12"/>
      <c r="M128" s="12"/>
    </row>
    <row r="129" spans="9:13" s="1" customFormat="1">
      <c r="I129" s="12"/>
      <c r="J129" s="12"/>
      <c r="K129" s="12"/>
      <c r="L129" s="12"/>
      <c r="M129" s="12"/>
    </row>
    <row r="130" spans="9:13" s="1" customFormat="1">
      <c r="I130" s="12"/>
      <c r="J130" s="12"/>
      <c r="K130" s="12"/>
      <c r="L130" s="12"/>
      <c r="M130" s="12"/>
    </row>
    <row r="131" spans="9:13" s="1" customFormat="1">
      <c r="I131" s="12"/>
      <c r="J131" s="12"/>
      <c r="K131" s="12"/>
      <c r="L131" s="12"/>
      <c r="M131" s="12"/>
    </row>
    <row r="132" spans="9:13" s="1" customFormat="1">
      <c r="I132" s="12"/>
      <c r="J132" s="12"/>
      <c r="K132" s="12"/>
      <c r="L132" s="12"/>
      <c r="M132" s="12"/>
    </row>
    <row r="133" spans="9:13" s="1" customFormat="1">
      <c r="I133" s="12"/>
      <c r="J133" s="12"/>
      <c r="K133" s="12"/>
      <c r="L133" s="12"/>
      <c r="M133" s="12"/>
    </row>
    <row r="134" spans="9:13" s="1" customFormat="1">
      <c r="I134" s="12"/>
      <c r="J134" s="12"/>
      <c r="K134" s="12"/>
      <c r="L134" s="12"/>
      <c r="M134" s="12"/>
    </row>
    <row r="135" spans="9:13" s="1" customFormat="1">
      <c r="I135" s="12"/>
      <c r="J135" s="12"/>
      <c r="K135" s="12"/>
      <c r="L135" s="12"/>
      <c r="M135" s="12"/>
    </row>
    <row r="136" spans="9:13" s="1" customFormat="1">
      <c r="I136" s="12"/>
      <c r="J136" s="12"/>
      <c r="K136" s="12"/>
      <c r="L136" s="12"/>
      <c r="M136" s="12"/>
    </row>
    <row r="137" spans="9:13" s="1" customFormat="1">
      <c r="I137" s="12"/>
      <c r="J137" s="12"/>
      <c r="K137" s="12"/>
      <c r="L137" s="12"/>
      <c r="M137" s="12"/>
    </row>
    <row r="138" spans="9:13" s="1" customFormat="1">
      <c r="I138" s="12"/>
      <c r="J138" s="12"/>
      <c r="K138" s="12"/>
      <c r="L138" s="12"/>
      <c r="M138" s="12"/>
    </row>
    <row r="139" spans="9:13" s="1" customFormat="1">
      <c r="I139" s="12"/>
      <c r="J139" s="12"/>
      <c r="K139" s="12"/>
      <c r="L139" s="12"/>
      <c r="M139" s="12"/>
    </row>
    <row r="140" spans="9:13" s="1" customFormat="1">
      <c r="I140" s="12"/>
      <c r="J140" s="12"/>
      <c r="K140" s="12"/>
      <c r="L140" s="12"/>
      <c r="M140" s="12"/>
    </row>
    <row r="141" spans="9:13" s="1" customFormat="1">
      <c r="I141" s="12"/>
      <c r="J141" s="12"/>
      <c r="K141" s="12"/>
      <c r="L141" s="12"/>
      <c r="M141" s="12"/>
    </row>
    <row r="142" spans="9:13" s="1" customFormat="1">
      <c r="I142" s="12"/>
      <c r="J142" s="12"/>
      <c r="K142" s="12"/>
      <c r="L142" s="12"/>
      <c r="M142" s="12"/>
    </row>
    <row r="143" spans="9:13" s="1" customFormat="1">
      <c r="I143" s="12"/>
      <c r="J143" s="12"/>
      <c r="K143" s="12"/>
      <c r="L143" s="12"/>
      <c r="M143" s="12"/>
    </row>
    <row r="144" spans="9:13" s="1" customFormat="1">
      <c r="I144" s="12"/>
      <c r="J144" s="12"/>
      <c r="K144" s="12"/>
      <c r="L144" s="12"/>
      <c r="M144" s="12"/>
    </row>
    <row r="145" spans="9:13" s="1" customFormat="1">
      <c r="I145" s="12"/>
      <c r="J145" s="12"/>
      <c r="K145" s="12"/>
      <c r="L145" s="12"/>
      <c r="M145" s="12"/>
    </row>
    <row r="146" spans="9:13" s="1" customFormat="1">
      <c r="I146" s="12"/>
      <c r="J146" s="12"/>
      <c r="K146" s="12"/>
      <c r="L146" s="12"/>
      <c r="M146" s="12"/>
    </row>
    <row r="147" spans="9:13" s="1" customFormat="1">
      <c r="I147" s="12"/>
      <c r="J147" s="12"/>
      <c r="K147" s="12"/>
      <c r="L147" s="12"/>
      <c r="M147" s="12"/>
    </row>
    <row r="148" spans="9:13" s="1" customFormat="1">
      <c r="I148" s="12"/>
      <c r="J148" s="12"/>
      <c r="K148" s="12"/>
      <c r="L148" s="12"/>
      <c r="M148" s="12"/>
    </row>
    <row r="149" spans="9:13" s="1" customFormat="1">
      <c r="I149" s="12"/>
      <c r="J149" s="12"/>
      <c r="K149" s="12"/>
      <c r="L149" s="12"/>
      <c r="M149" s="12"/>
    </row>
    <row r="150" spans="9:13" s="1" customFormat="1">
      <c r="I150" s="12"/>
      <c r="J150" s="12"/>
      <c r="K150" s="12"/>
      <c r="L150" s="12"/>
      <c r="M150" s="12"/>
    </row>
    <row r="151" spans="9:13" s="1" customFormat="1">
      <c r="I151" s="12"/>
      <c r="J151" s="12"/>
      <c r="K151" s="12"/>
      <c r="L151" s="12"/>
      <c r="M151" s="12"/>
    </row>
    <row r="152" spans="9:13" s="1" customFormat="1">
      <c r="I152" s="12"/>
      <c r="J152" s="12"/>
      <c r="K152" s="12"/>
      <c r="L152" s="12"/>
      <c r="M152" s="12"/>
    </row>
    <row r="153" spans="9:13" s="1" customFormat="1">
      <c r="I153" s="12"/>
      <c r="J153" s="12"/>
      <c r="K153" s="12"/>
      <c r="L153" s="12"/>
      <c r="M153" s="12"/>
    </row>
    <row r="154" spans="9:13" s="1" customFormat="1">
      <c r="I154" s="12"/>
      <c r="J154" s="12"/>
      <c r="K154" s="12"/>
      <c r="L154" s="12"/>
      <c r="M154" s="12"/>
    </row>
    <row r="155" spans="9:13" s="1" customFormat="1">
      <c r="I155" s="12"/>
      <c r="J155" s="12"/>
      <c r="K155" s="12"/>
      <c r="L155" s="12"/>
      <c r="M155" s="12"/>
    </row>
    <row r="156" spans="9:13" s="1" customFormat="1">
      <c r="I156" s="12"/>
      <c r="J156" s="12"/>
      <c r="K156" s="12"/>
      <c r="L156" s="12"/>
      <c r="M156" s="12"/>
    </row>
  </sheetData>
  <mergeCells count="6">
    <mergeCell ref="C123:D123"/>
    <mergeCell ref="C118:D118"/>
    <mergeCell ref="C119:D119"/>
    <mergeCell ref="C120:D120"/>
    <mergeCell ref="C121:D121"/>
    <mergeCell ref="C122:D122"/>
  </mergeCells>
  <conditionalFormatting sqref="E24:E103">
    <cfRule type="containsText" dxfId="55" priority="2" operator="containsText" text="Minor Positive Gap">
      <formula>NOT(ISERROR(SEARCH("Minor Positive Gap",E24)))</formula>
    </cfRule>
    <cfRule type="containsText" dxfId="54" priority="3" operator="containsText" text="Major Positive Gap">
      <formula>NOT(ISERROR(SEARCH("Major Positive Gap",E24)))</formula>
    </cfRule>
    <cfRule type="containsText" dxfId="53" priority="4" operator="containsText" text="minor negative">
      <formula>NOT(ISERROR(SEARCH("minor negative",E24)))</formula>
    </cfRule>
    <cfRule type="containsText" dxfId="52" priority="5" operator="containsText" text="major negative">
      <formula>NOT(ISERROR(SEARCH("major negative",E24)))</formula>
    </cfRule>
  </conditionalFormatting>
  <conditionalFormatting sqref="E107:E113">
    <cfRule type="containsText" dxfId="51" priority="8" operator="containsText" text="major negative">
      <formula>NOT(ISERROR(SEARCH("major negative",E107)))</formula>
    </cfRule>
  </conditionalFormatting>
  <conditionalFormatting sqref="E108:E113">
    <cfRule type="containsText" dxfId="50" priority="1" operator="containsText" text="Minor Positive">
      <formula>NOT(ISERROR(SEARCH("Minor Positive",E108)))</formula>
    </cfRule>
    <cfRule type="containsText" dxfId="49" priority="6" operator="containsText" text="Major Positive">
      <formula>NOT(ISERROR(SEARCH("Major Positive",E108)))</formula>
    </cfRule>
    <cfRule type="containsText" dxfId="48" priority="7" operator="containsText" text="minor negative">
      <formula>NOT(ISERROR(SEARCH("minor negative",E108)))</formula>
    </cfRule>
  </conditionalFormatting>
  <conditionalFormatting sqref="F22">
    <cfRule type="containsText" dxfId="47" priority="9" operator="containsText" text="Major Positive">
      <formula>NOT(ISERROR(SEARCH("Major Positive",F22)))</formula>
    </cfRule>
    <cfRule type="containsText" dxfId="46"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sheetPr>
    <tabColor rgb="FFFFB9DC"/>
  </sheetPr>
  <dimension ref="A2:AS113"/>
  <sheetViews>
    <sheetView zoomScale="55" zoomScaleNormal="55" workbookViewId="0">
      <selection activeCell="AU72" sqref="AU72"/>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2" customWidth="1"/>
    <col min="7" max="7" width="19.75" style="1" customWidth="1"/>
    <col min="8" max="8" width="39.75" style="80" customWidth="1"/>
    <col min="9" max="9" width="11.75" style="1" customWidth="1"/>
    <col min="10" max="13" width="20.75" style="82" customWidth="1"/>
    <col min="14" max="14" width="7.83203125" style="2" hidden="1" customWidth="1"/>
    <col min="15" max="16" width="30.75" style="80" hidden="1" customWidth="1"/>
    <col min="17" max="17" width="45.75" style="80" hidden="1" customWidth="1"/>
    <col min="18" max="21" width="30.75" style="80" hidden="1" customWidth="1"/>
    <col min="22" max="22" width="7.83203125" style="2" hidden="1" customWidth="1"/>
    <col min="23" max="24" width="30.75" style="80" hidden="1" customWidth="1"/>
    <col min="25" max="25" width="45.75" style="80" hidden="1" customWidth="1"/>
    <col min="26" max="29" width="30.75" style="80" hidden="1" customWidth="1"/>
    <col min="30" max="30" width="6.1640625" style="12" hidden="1" customWidth="1"/>
    <col min="31" max="32" width="30.75" style="80" hidden="1" customWidth="1"/>
    <col min="33" max="33" width="45.75" style="80" hidden="1" customWidth="1"/>
    <col min="34" max="37" width="30.75" style="80" hidden="1" customWidth="1"/>
    <col min="38" max="38" width="8.83203125" style="12" hidden="1" customWidth="1"/>
    <col min="39" max="40" width="30.75" style="80" hidden="1" customWidth="1"/>
    <col min="41" max="41" width="45.75" style="80" hidden="1" customWidth="1"/>
    <col min="42" max="45" width="30.75" style="80" hidden="1" customWidth="1"/>
    <col min="46" max="16384" width="8.83203125" style="1"/>
  </cols>
  <sheetData>
    <row r="2" spans="1:45">
      <c r="A2" s="1" t="str">
        <f>Identitas!B2</f>
        <v xml:space="preserve">Nama </v>
      </c>
      <c r="B2" s="84">
        <f>Identitas!D2</f>
        <v>0</v>
      </c>
    </row>
    <row r="3" spans="1:45">
      <c r="A3" s="1" t="str">
        <f>Identitas!B3</f>
        <v>Nama Atasan yang menilai</v>
      </c>
      <c r="B3" s="84">
        <f>Identitas!D3</f>
        <v>0</v>
      </c>
    </row>
    <row r="4" spans="1:45">
      <c r="A4" s="1" t="str">
        <f>Identitas!B4</f>
        <v>Level Saat Ini</v>
      </c>
      <c r="B4" s="84" t="str">
        <f>Identitas!D4</f>
        <v>Officer</v>
      </c>
    </row>
    <row r="5" spans="1:45">
      <c r="A5" s="1" t="str">
        <f>Identitas!B5</f>
        <v>Level Tujuan</v>
      </c>
      <c r="B5" s="84" t="str">
        <f>Identitas!D5</f>
        <v>Analyst</v>
      </c>
    </row>
    <row r="6" spans="1:45">
      <c r="A6" s="1" t="str">
        <f>Identitas!B6</f>
        <v>Tanggal Assesment</v>
      </c>
      <c r="B6" s="84">
        <f>Identitas!D6</f>
        <v>0</v>
      </c>
    </row>
    <row r="7" spans="1:45">
      <c r="A7" s="1" t="str">
        <f>Identitas!B7</f>
        <v>Unit</v>
      </c>
      <c r="B7" s="84">
        <f>Identitas!D7</f>
        <v>0</v>
      </c>
    </row>
    <row r="8" spans="1:45">
      <c r="A8" s="1" t="str">
        <f>Identitas!B8</f>
        <v>Departemen</v>
      </c>
      <c r="B8" s="84">
        <f>Identitas!D8</f>
        <v>0</v>
      </c>
    </row>
    <row r="9" spans="1:45">
      <c r="A9" s="1" t="str">
        <f>Identitas!B9</f>
        <v>Divisi</v>
      </c>
      <c r="B9" s="84">
        <f>Identitas!D9</f>
        <v>0</v>
      </c>
    </row>
    <row r="10" spans="1:45">
      <c r="A10" s="1" t="str">
        <f>Identitas!B10</f>
        <v>Direktorat</v>
      </c>
      <c r="B10" s="84">
        <f>Identitas!D10</f>
        <v>0</v>
      </c>
    </row>
    <row r="12" spans="1:45" ht="42">
      <c r="A12" s="113" t="s">
        <v>478</v>
      </c>
      <c r="B12" s="115" t="s">
        <v>479</v>
      </c>
      <c r="C12" s="114" t="s">
        <v>480</v>
      </c>
      <c r="D12" s="11" t="s">
        <v>481</v>
      </c>
      <c r="E12" s="131" t="s">
        <v>482</v>
      </c>
      <c r="F12" s="131" t="s">
        <v>483</v>
      </c>
      <c r="G12" s="131" t="s">
        <v>484</v>
      </c>
      <c r="H12" s="131" t="s">
        <v>485</v>
      </c>
      <c r="I12" s="132" t="s">
        <v>486</v>
      </c>
      <c r="J12" s="143" t="s">
        <v>487</v>
      </c>
      <c r="K12" s="143" t="s">
        <v>488</v>
      </c>
      <c r="L12" s="143" t="s">
        <v>489</v>
      </c>
      <c r="M12" s="143" t="s">
        <v>490</v>
      </c>
      <c r="N12" s="291" t="s">
        <v>491</v>
      </c>
      <c r="O12" s="291"/>
      <c r="P12" s="291"/>
      <c r="Q12" s="291"/>
      <c r="R12" s="291"/>
      <c r="S12" s="291"/>
      <c r="T12" s="291"/>
      <c r="U12" s="291"/>
      <c r="V12" s="291" t="s">
        <v>492</v>
      </c>
      <c r="W12" s="291"/>
      <c r="X12" s="291"/>
      <c r="Y12" s="291"/>
      <c r="Z12" s="291"/>
      <c r="AA12" s="291"/>
      <c r="AB12" s="291"/>
      <c r="AC12" s="291"/>
      <c r="AD12" s="291" t="s">
        <v>493</v>
      </c>
      <c r="AE12" s="291"/>
      <c r="AF12" s="291"/>
      <c r="AG12" s="291"/>
      <c r="AH12" s="291"/>
      <c r="AI12" s="291"/>
      <c r="AJ12" s="291"/>
      <c r="AK12" s="291"/>
      <c r="AL12" s="291" t="s">
        <v>494</v>
      </c>
      <c r="AM12" s="291"/>
      <c r="AN12" s="291"/>
      <c r="AO12" s="291"/>
      <c r="AP12" s="291"/>
      <c r="AQ12" s="291"/>
      <c r="AR12" s="291"/>
      <c r="AS12" s="291"/>
    </row>
    <row r="13" spans="1:45" ht="15" customHeight="1">
      <c r="A13" s="285" t="s">
        <v>495</v>
      </c>
      <c r="B13" s="298">
        <f>IFERROR(INDEX(panduan!$C$3:$H$16,
       MATCH(TRIM(A13), panduan!$B$3:$B$16, 0),
       MATCH(TRIM($B$4), panduan!$C$2:$H$2, 0)),"")</f>
        <v>2</v>
      </c>
      <c r="C13" s="295">
        <f>IFERROR(INDEX(panduan!$C$3:$H$16,
       MATCH(TRIM(A13), panduan!$B$3:$B$16, 0),
       MATCH(TRIM($B$5), panduan!$C$2:$H$2, 0)),"")</f>
        <v>3</v>
      </c>
      <c r="D13" s="292">
        <v>1</v>
      </c>
      <c r="E13" s="288">
        <f>D13-C13</f>
        <v>-2</v>
      </c>
      <c r="F13" s="288">
        <f>IF(E13&lt;0, MIN(-E13, 4), "")</f>
        <v>2</v>
      </c>
      <c r="G13" s="288" t="str">
        <f>IFERROR(
    INDEX(panduan!$C$181:$G$185,
          MATCH($F$65,panduan!$B$181:$B$185,0),
          MATCH($F13,panduan!$C$180:$G$180,0)
    ),
"")</f>
        <v/>
      </c>
      <c r="H13" s="285" t="str">
        <f>IF(G13="", "",
   SUBSTITUTE(
     SUBSTITUTE(
       SUBSTITUTE(
         SUBSTITUTE(G13,
           "1", "Personal Development"),
         "2", "Education-Based Development"),
       "3", "Relation-Based Development"),
     "4", "Experience-Based Development")
)</f>
        <v/>
      </c>
      <c r="I13" s="288">
        <f>IF(E13&lt;0,_xlfn.RANK.EQ(E13,$E$13:$E$54,1)+COUNTIF($E$13:E13,E13)-1,"")</f>
        <v>1</v>
      </c>
      <c r="J13" s="285" t="str">
        <f>IF(ISNUMBER(FIND("1",$G13)), $A13&amp;"|"&amp;$B$5&amp;"|1", "")</f>
        <v/>
      </c>
      <c r="K13" s="285" t="str">
        <f>IF(ISNUMBER(FIND("2",$G13)), $A13&amp;"|"&amp;$B$5&amp;"|2", "")</f>
        <v/>
      </c>
      <c r="L13" s="285" t="str">
        <f>IF(ISNUMBER(FIND("3",$G13)), $A13&amp;"|"&amp;$B$5&amp;"|3", "")</f>
        <v/>
      </c>
      <c r="M13" s="285" t="str">
        <f>IF(ISNUMBER(FIND("4",$G13)), $A13&amp;"|"&amp;$B$5&amp;"|4", "")</f>
        <v/>
      </c>
      <c r="N13" s="13" t="e" cm="1">
        <f t="array" aca="1" ref="N13:U14" ca="1">_xlfn.LET(
    _xlpm.gap, $F13,
    _xlpm.key, $J13,
    _xlpm.data, _xlfn._xlws.FILTER('sheet template'!$F$2:$M$1009,
                 ('sheet template'!$A$2:$A$1009=_xlpm.key) *
                 ('sheet template'!$F$2:$F$1009&lt;=_xlpm.gap), ""),
    IF(OR(_xlpm.key="", _xlpm.gap&lt;=0, ROWS(_xlpm.data)=0), "", _xlpm.data)
)</f>
        <v>#NAME?</v>
      </c>
      <c r="O13" s="83" t="e">
        <f ca="1"/>
        <v>#NAME?</v>
      </c>
      <c r="P13" s="83" t="e">
        <f ca="1"/>
        <v>#NAME?</v>
      </c>
      <c r="Q13" s="83" t="e">
        <f ca="1"/>
        <v>#NAME?</v>
      </c>
      <c r="R13" s="83" t="e">
        <f ca="1"/>
        <v>#NAME?</v>
      </c>
      <c r="S13" s="83" t="e">
        <f ca="1"/>
        <v>#NAME?</v>
      </c>
      <c r="T13" s="83" t="e">
        <f ca="1"/>
        <v>#NAME?</v>
      </c>
      <c r="U13" s="83" t="e">
        <f ca="1"/>
        <v>#NAME?</v>
      </c>
      <c r="V13" s="13" t="e" cm="1">
        <f t="array" aca="1" ref="V13:AC14" ca="1">_xlfn.LET(
    _xlpm.gap, $F13,
    _xlpm.key, $K13,
    _xlpm.data, _xlfn._xlws.FILTER('sheet template'!$F$2:$M$1009,
                 ('sheet template'!$A$2:$A$1009=_xlpm.key) *
                 ('sheet template'!$F$2:$F$1009&lt;=_xlpm.gap), ""),
    IF(OR(_xlpm.key="", _xlpm.gap&lt;=0, ROWS(_xlpm.data)=0), "", _xlpm.data)
)</f>
        <v>#NAME?</v>
      </c>
      <c r="W13" s="83" t="e">
        <f ca="1"/>
        <v>#NAME?</v>
      </c>
      <c r="X13" s="83" t="e">
        <f ca="1"/>
        <v>#NAME?</v>
      </c>
      <c r="Y13" s="83" t="e">
        <f ca="1"/>
        <v>#NAME?</v>
      </c>
      <c r="Z13" s="83" t="e">
        <f ca="1"/>
        <v>#NAME?</v>
      </c>
      <c r="AA13" s="83" t="e">
        <f ca="1"/>
        <v>#NAME?</v>
      </c>
      <c r="AB13" s="83" t="e">
        <f ca="1"/>
        <v>#NAME?</v>
      </c>
      <c r="AC13" s="83" t="e">
        <f ca="1"/>
        <v>#NAME?</v>
      </c>
      <c r="AD13" s="13" t="e" cm="1">
        <f t="array" aca="1" ref="AD13:AK14" ca="1">_xlfn.LET(
    _xlpm.gap, $F13,
    _xlpm.key, $L13,
    _xlpm.data, _xlfn._xlws.FILTER('sheet template'!$F$2:$M$1009,
                 ('sheet template'!$A$2:$A$1009=_xlpm.key) *
                 ('sheet template'!$F$2:$F$1009&lt;=_xlpm.gap), ""),
    IF(OR(_xlpm.key="", _xlpm.gap&lt;=0, ROWS(_xlpm.data)=0), "", _xlpm.data)
)</f>
        <v>#NAME?</v>
      </c>
      <c r="AE13" s="83" t="e">
        <f ca="1"/>
        <v>#NAME?</v>
      </c>
      <c r="AF13" s="83" t="e">
        <f ca="1"/>
        <v>#NAME?</v>
      </c>
      <c r="AG13" s="83" t="e">
        <f ca="1"/>
        <v>#NAME?</v>
      </c>
      <c r="AH13" s="83" t="e">
        <f ca="1"/>
        <v>#NAME?</v>
      </c>
      <c r="AI13" s="83" t="e">
        <f ca="1"/>
        <v>#NAME?</v>
      </c>
      <c r="AJ13" s="83" t="e">
        <f ca="1"/>
        <v>#NAME?</v>
      </c>
      <c r="AK13" s="83" t="e">
        <f ca="1"/>
        <v>#NAME?</v>
      </c>
      <c r="AL13" s="13" t="e" cm="1">
        <f t="array" aca="1" ref="AL13:AS14" ca="1">_xlfn.LET(
    _xlpm.gap, $F13,
    _xlpm.key, $L13,
    _xlpm.data, _xlfn._xlws.FILTER('sheet template'!$F$2:$M$1009,
                 ('sheet template'!$A$2:$A$1009=_xlpm.key) *
                 ('sheet template'!$F$2:$F$1009&lt;=_xlpm.gap), ""),
    IF(OR(_xlpm.key="", _xlpm.gap&lt;=0, ROWS(_xlpm.data)=0), "", _xlpm.data)
)</f>
        <v>#NAME?</v>
      </c>
      <c r="AM13" s="83" t="e">
        <f ca="1"/>
        <v>#NAME?</v>
      </c>
      <c r="AN13" s="83" t="e">
        <f ca="1"/>
        <v>#NAME?</v>
      </c>
      <c r="AO13" s="83" t="e">
        <f ca="1"/>
        <v>#NAME?</v>
      </c>
      <c r="AP13" s="83" t="e">
        <f ca="1"/>
        <v>#NAME?</v>
      </c>
      <c r="AQ13" s="83" t="e">
        <f ca="1"/>
        <v>#NAME?</v>
      </c>
      <c r="AR13" s="83" t="e">
        <f ca="1"/>
        <v>#NAME?</v>
      </c>
      <c r="AS13" s="83" t="e">
        <f ca="1"/>
        <v>#NAME?</v>
      </c>
    </row>
    <row r="14" spans="1:45">
      <c r="A14" s="286"/>
      <c r="B14" s="299"/>
      <c r="C14" s="296"/>
      <c r="D14" s="293"/>
      <c r="E14" s="289"/>
      <c r="F14" s="289"/>
      <c r="G14" s="289"/>
      <c r="H14" s="286"/>
      <c r="I14" s="289"/>
      <c r="J14" s="286"/>
      <c r="K14" s="286"/>
      <c r="L14" s="286"/>
      <c r="M14" s="286"/>
      <c r="N14" s="13" t="e">
        <f ca="1"/>
        <v>#NAME?</v>
      </c>
      <c r="O14" s="83" t="e">
        <f ca="1"/>
        <v>#NAME?</v>
      </c>
      <c r="P14" s="83" t="e">
        <f ca="1"/>
        <v>#NAME?</v>
      </c>
      <c r="Q14" s="83" t="e">
        <f ca="1"/>
        <v>#NAME?</v>
      </c>
      <c r="R14" s="83" t="e">
        <f ca="1"/>
        <v>#NAME?</v>
      </c>
      <c r="S14" s="83" t="e">
        <f ca="1"/>
        <v>#NAME?</v>
      </c>
      <c r="T14" s="83" t="e">
        <f ca="1"/>
        <v>#NAME?</v>
      </c>
      <c r="U14" s="83" t="e">
        <f ca="1"/>
        <v>#NAME?</v>
      </c>
      <c r="V14" s="13" t="e">
        <f ca="1"/>
        <v>#NAME?</v>
      </c>
      <c r="W14" s="83" t="e">
        <f ca="1"/>
        <v>#NAME?</v>
      </c>
      <c r="X14" s="83" t="e">
        <f ca="1"/>
        <v>#NAME?</v>
      </c>
      <c r="Y14" s="83" t="e">
        <f ca="1"/>
        <v>#NAME?</v>
      </c>
      <c r="Z14" s="83" t="e">
        <f ca="1"/>
        <v>#NAME?</v>
      </c>
      <c r="AA14" s="83" t="e">
        <f ca="1"/>
        <v>#NAME?</v>
      </c>
      <c r="AB14" s="83" t="e">
        <f ca="1"/>
        <v>#NAME?</v>
      </c>
      <c r="AC14" s="83" t="e">
        <f ca="1"/>
        <v>#NAME?</v>
      </c>
      <c r="AD14" s="13" t="e">
        <f ca="1"/>
        <v>#NAME?</v>
      </c>
      <c r="AE14" s="83" t="e">
        <f ca="1"/>
        <v>#NAME?</v>
      </c>
      <c r="AF14" s="83" t="e">
        <f ca="1"/>
        <v>#NAME?</v>
      </c>
      <c r="AG14" s="83" t="e">
        <f ca="1"/>
        <v>#NAME?</v>
      </c>
      <c r="AH14" s="83" t="e">
        <f ca="1"/>
        <v>#NAME?</v>
      </c>
      <c r="AI14" s="83" t="e">
        <f ca="1"/>
        <v>#NAME?</v>
      </c>
      <c r="AJ14" s="83" t="e">
        <f ca="1"/>
        <v>#NAME?</v>
      </c>
      <c r="AK14" s="83" t="e">
        <f ca="1"/>
        <v>#NAME?</v>
      </c>
      <c r="AL14" s="13" t="e">
        <f ca="1"/>
        <v>#NAME?</v>
      </c>
      <c r="AM14" s="83" t="e">
        <f ca="1"/>
        <v>#NAME?</v>
      </c>
      <c r="AN14" s="83" t="e">
        <f ca="1"/>
        <v>#NAME?</v>
      </c>
      <c r="AO14" s="83" t="e">
        <f ca="1"/>
        <v>#NAME?</v>
      </c>
      <c r="AP14" s="83" t="e">
        <f ca="1"/>
        <v>#NAME?</v>
      </c>
      <c r="AQ14" s="83" t="e">
        <f ca="1"/>
        <v>#NAME?</v>
      </c>
      <c r="AR14" s="83" t="e">
        <f ca="1"/>
        <v>#NAME?</v>
      </c>
      <c r="AS14" s="83" t="e">
        <f ca="1"/>
        <v>#NAME?</v>
      </c>
    </row>
    <row r="15" spans="1:45">
      <c r="A15" s="287"/>
      <c r="B15" s="300"/>
      <c r="C15" s="297"/>
      <c r="D15" s="294"/>
      <c r="E15" s="290"/>
      <c r="F15" s="290"/>
      <c r="G15" s="290"/>
      <c r="H15" s="287"/>
      <c r="I15" s="290"/>
      <c r="J15" s="287"/>
      <c r="K15" s="287"/>
      <c r="L15" s="287"/>
      <c r="M15" s="287"/>
      <c r="N15" s="13"/>
      <c r="O15" s="83"/>
      <c r="P15" s="83"/>
      <c r="Q15" s="83"/>
      <c r="R15" s="83"/>
      <c r="S15" s="83"/>
      <c r="T15" s="83"/>
      <c r="U15" s="83"/>
      <c r="V15" s="13"/>
      <c r="W15" s="83"/>
      <c r="X15" s="83"/>
      <c r="Y15" s="83"/>
      <c r="Z15" s="83"/>
      <c r="AA15" s="83"/>
      <c r="AB15" s="83"/>
      <c r="AC15" s="83"/>
      <c r="AD15" s="13"/>
      <c r="AE15" s="83"/>
      <c r="AF15" s="83"/>
      <c r="AG15" s="83"/>
      <c r="AH15" s="83"/>
      <c r="AI15" s="83"/>
      <c r="AJ15" s="83"/>
      <c r="AK15" s="83"/>
      <c r="AL15" s="13"/>
      <c r="AM15" s="83"/>
      <c r="AN15" s="83"/>
      <c r="AO15" s="83"/>
      <c r="AP15" s="83"/>
      <c r="AQ15" s="83"/>
      <c r="AR15" s="83"/>
      <c r="AS15" s="83"/>
    </row>
    <row r="16" spans="1:45" ht="15" customHeight="1">
      <c r="A16" s="285" t="s">
        <v>496</v>
      </c>
      <c r="B16" s="298">
        <f>IFERROR(INDEX(panduan!$C$3:$H$16,
       MATCH(TRIM(A16), panduan!$B$3:$B$16, 0),
       MATCH(TRIM($B$4), panduan!$C$2:$H$2, 0)),"")</f>
        <v>1</v>
      </c>
      <c r="C16" s="295">
        <f>IFERROR(INDEX(panduan!$C$3:$H$16,
       MATCH(TRIM(A16), panduan!$B$3:$B$16, 0),
       MATCH(TRIM($B$5), panduan!$C$2:$H$2, 0)),"")</f>
        <v>2</v>
      </c>
      <c r="D16" s="292">
        <v>2</v>
      </c>
      <c r="E16" s="288">
        <f t="shared" ref="E16:E49" si="0">D16-C16</f>
        <v>0</v>
      </c>
      <c r="F16" s="288" t="str">
        <f t="shared" ref="F16:F49" si="1">IF(E16&lt;0, MIN(-E16, 4), "")</f>
        <v/>
      </c>
      <c r="G16" s="288" t="str">
        <f>IFERROR(
    INDEX(panduan!$C$181:$G$185,
          MATCH($F$65,panduan!$B$181:$B$185,0),
          MATCH($F16,panduan!$C$180:$G$180,0)
    ),
"")</f>
        <v/>
      </c>
      <c r="H16" s="285" t="str">
        <f t="shared" ref="H16:H49" si="2">IF(G16="", "",
   SUBSTITUTE(
     SUBSTITUTE(
       SUBSTITUTE(
         SUBSTITUTE(G16,
           "1", "Personal Development"),
         "2", "Education-Based Development"),
       "3", "Relation-Based Development"),
     "4", "Experience-Based Development")
)</f>
        <v/>
      </c>
      <c r="I16" s="288" t="str">
        <f>IF(E16&lt;0,_xlfn.RANK.EQ(E16,$E$13:$E$54,1)+COUNTIF($E$13:E18,E16)-1,"")</f>
        <v/>
      </c>
      <c r="J16" s="285" t="str">
        <f t="shared" ref="J16:J49" si="3">IF(ISNUMBER(FIND("1",$G16)), $A16&amp;"|"&amp;$B$5&amp;"|1", "")</f>
        <v/>
      </c>
      <c r="K16" s="285" t="str">
        <f t="shared" ref="K16:K49" si="4">IF(ISNUMBER(FIND("2",$G16)), $A16&amp;"|"&amp;$B$5&amp;"|2", "")</f>
        <v/>
      </c>
      <c r="L16" s="285" t="str">
        <f t="shared" ref="L16:L49" si="5">IF(ISNUMBER(FIND("3",$G16)), $A16&amp;"|"&amp;$B$5&amp;"|3", "")</f>
        <v/>
      </c>
      <c r="M16" s="285" t="str">
        <f t="shared" ref="M16:M49" si="6">IF(ISNUMBER(FIND("4",$G16)), $A16&amp;"|"&amp;$B$5&amp;"|4", "")</f>
        <v/>
      </c>
      <c r="N16" s="13" t="e" cm="1">
        <f t="array" aca="1" ref="N16" ca="1">_xlfn.LET(
    _xlpm.gap, $F16,
    _xlpm.key, $J16,
    _xlpm.data, _xlfn._xlws.FILTER('sheet template'!$F$2:$M$1009,
                 ('sheet template'!$A$2:$A$1009=_xlpm.key) *
                 ('sheet template'!$F$2:$F$1009&lt;=_xlpm.gap), ""),
    IF(OR(_xlpm.key="", _xlpm.gap&lt;=0, ROWS(_xlpm.data)=0), "", _xlpm.data)
)</f>
        <v>#NAME?</v>
      </c>
      <c r="O16" s="83"/>
      <c r="P16" s="83"/>
      <c r="Q16" s="83"/>
      <c r="R16" s="83"/>
      <c r="S16" s="83"/>
      <c r="T16" s="83"/>
      <c r="U16" s="83"/>
      <c r="V16" s="13" t="e" cm="1">
        <f t="array" aca="1" ref="V16" ca="1">_xlfn.LET(
    _xlpm.gap, $F16,
    _xlpm.key, $K16,
    _xlpm.data, _xlfn._xlws.FILTER('sheet template'!$F$2:$M$1009,
                 ('sheet template'!$A$2:$A$1009=_xlpm.key) *
                 ('sheet template'!$F$2:$F$1009&lt;=_xlpm.gap), ""),
    IF(OR(_xlpm.key="", _xlpm.gap&lt;=0, ROWS(_xlpm.data)=0), "", _xlpm.data)
)</f>
        <v>#NAME?</v>
      </c>
      <c r="W16" s="83"/>
      <c r="X16" s="83"/>
      <c r="Y16" s="83"/>
      <c r="Z16" s="83"/>
      <c r="AA16" s="83"/>
      <c r="AB16" s="83"/>
      <c r="AC16" s="83"/>
      <c r="AD16" s="13" t="e" cm="1">
        <f t="array" aca="1" ref="AD16" ca="1">_xlfn.LET(
    _xlpm.gap, $F16,
    _xlpm.key, $L16,
    _xlpm.data, _xlfn._xlws.FILTER('sheet template'!$F$2:$M$1009,
                 ('sheet template'!$A$2:$A$1009=_xlpm.key) *
                 ('sheet template'!$F$2:$F$1009&lt;=_xlpm.gap), ""),
    IF(OR(_xlpm.key="", _xlpm.gap&lt;=0, ROWS(_xlpm.data)=0), "", _xlpm.data)
)</f>
        <v>#NAME?</v>
      </c>
      <c r="AE16" s="83"/>
      <c r="AF16" s="83"/>
      <c r="AG16" s="83"/>
      <c r="AH16" s="83"/>
      <c r="AI16" s="83"/>
      <c r="AJ16" s="83"/>
      <c r="AK16" s="83"/>
      <c r="AL16" s="13" t="e" cm="1">
        <f t="array" aca="1" ref="AL16" ca="1">_xlfn.LET(
    _xlpm.gap, $F16,
    _xlpm.key, $L16,
    _xlpm.data, _xlfn._xlws.FILTER('sheet template'!$F$2:$M$1009,
                 ('sheet template'!$A$2:$A$1009=_xlpm.key) *
                 ('sheet template'!$F$2:$F$1009&lt;=_xlpm.gap), ""),
    IF(OR(_xlpm.key="", _xlpm.gap&lt;=0, ROWS(_xlpm.data)=0), "", _xlpm.data)
)</f>
        <v>#NAME?</v>
      </c>
      <c r="AM16" s="83"/>
      <c r="AN16" s="83"/>
      <c r="AO16" s="83"/>
      <c r="AP16" s="83"/>
      <c r="AQ16" s="83"/>
      <c r="AR16" s="83"/>
      <c r="AS16" s="83"/>
    </row>
    <row r="17" spans="1:45">
      <c r="A17" s="286"/>
      <c r="B17" s="299"/>
      <c r="C17" s="296"/>
      <c r="D17" s="293"/>
      <c r="E17" s="289"/>
      <c r="F17" s="289"/>
      <c r="G17" s="289"/>
      <c r="H17" s="286"/>
      <c r="I17" s="289"/>
      <c r="J17" s="286"/>
      <c r="K17" s="286"/>
      <c r="L17" s="286"/>
      <c r="M17" s="286"/>
      <c r="N17" s="13"/>
      <c r="O17" s="83"/>
      <c r="P17" s="83"/>
      <c r="Q17" s="83"/>
      <c r="R17" s="83"/>
      <c r="S17" s="83"/>
      <c r="T17" s="83"/>
      <c r="U17" s="83"/>
      <c r="V17" s="13"/>
      <c r="W17" s="83"/>
      <c r="X17" s="83"/>
      <c r="Y17" s="83"/>
      <c r="Z17" s="83"/>
      <c r="AA17" s="83"/>
      <c r="AB17" s="83"/>
      <c r="AC17" s="83"/>
      <c r="AD17" s="13"/>
      <c r="AE17" s="83"/>
      <c r="AF17" s="83"/>
      <c r="AG17" s="83"/>
      <c r="AH17" s="83"/>
      <c r="AI17" s="83"/>
      <c r="AJ17" s="83"/>
      <c r="AK17" s="83"/>
      <c r="AL17" s="13"/>
      <c r="AM17" s="83"/>
      <c r="AN17" s="83"/>
      <c r="AO17" s="83"/>
      <c r="AP17" s="83"/>
      <c r="AQ17" s="83"/>
      <c r="AR17" s="83"/>
      <c r="AS17" s="83"/>
    </row>
    <row r="18" spans="1:45">
      <c r="A18" s="287"/>
      <c r="B18" s="300"/>
      <c r="C18" s="297"/>
      <c r="D18" s="294"/>
      <c r="E18" s="290"/>
      <c r="F18" s="290"/>
      <c r="G18" s="290"/>
      <c r="H18" s="287"/>
      <c r="I18" s="290"/>
      <c r="J18" s="287"/>
      <c r="K18" s="287"/>
      <c r="L18" s="287"/>
      <c r="M18" s="287"/>
      <c r="N18" s="13"/>
      <c r="O18" s="83"/>
      <c r="P18" s="83"/>
      <c r="Q18" s="83"/>
      <c r="R18" s="83"/>
      <c r="S18" s="83"/>
      <c r="T18" s="83"/>
      <c r="U18" s="83"/>
      <c r="V18" s="13"/>
      <c r="W18" s="83"/>
      <c r="X18" s="83"/>
      <c r="Y18" s="83"/>
      <c r="Z18" s="83"/>
      <c r="AA18" s="83"/>
      <c r="AB18" s="83"/>
      <c r="AC18" s="83"/>
      <c r="AD18" s="13"/>
      <c r="AE18" s="83"/>
      <c r="AF18" s="83"/>
      <c r="AG18" s="83"/>
      <c r="AH18" s="83"/>
      <c r="AI18" s="83"/>
      <c r="AJ18" s="83"/>
      <c r="AK18" s="83"/>
      <c r="AL18" s="13"/>
      <c r="AM18" s="83"/>
      <c r="AN18" s="83"/>
      <c r="AO18" s="83"/>
      <c r="AP18" s="83"/>
      <c r="AQ18" s="83"/>
      <c r="AR18" s="83"/>
      <c r="AS18" s="83"/>
    </row>
    <row r="19" spans="1:45" ht="15" customHeight="1">
      <c r="A19" s="285" t="s">
        <v>497</v>
      </c>
      <c r="B19" s="298">
        <f>IFERROR(INDEX(panduan!$C$3:$H$16,
       MATCH(TRIM(A19), panduan!$B$3:$B$16, 0),
       MATCH(TRIM($B$4), panduan!$C$2:$H$2, 0)),"")</f>
        <v>1</v>
      </c>
      <c r="C19" s="295">
        <f>IFERROR(INDEX(panduan!$C$3:$H$16,
       MATCH(TRIM(A19), panduan!$B$3:$B$16, 0),
       MATCH(TRIM($B$5), panduan!$C$2:$H$2, 0)),"")</f>
        <v>2</v>
      </c>
      <c r="D19" s="292">
        <v>2</v>
      </c>
      <c r="E19" s="288">
        <f t="shared" si="0"/>
        <v>0</v>
      </c>
      <c r="F19" s="288" t="str">
        <f t="shared" si="1"/>
        <v/>
      </c>
      <c r="G19" s="288" t="str">
        <f>IFERROR(
    INDEX(panduan!$C$181:$G$185,
          MATCH($F$65,panduan!$B$181:$B$185,0),
          MATCH($F19,panduan!$C$180:$G$180,0)
    ),
"")</f>
        <v/>
      </c>
      <c r="H19" s="285" t="str">
        <f t="shared" si="2"/>
        <v/>
      </c>
      <c r="I19" s="288" t="str">
        <f>IF(E19&lt;0,_xlfn.RANK.EQ(E19,$E$13:$E$54,1)+COUNTIF($E$13:E21,E19)-1,"")</f>
        <v/>
      </c>
      <c r="J19" s="285" t="str">
        <f t="shared" si="3"/>
        <v/>
      </c>
      <c r="K19" s="285" t="str">
        <f t="shared" si="4"/>
        <v/>
      </c>
      <c r="L19" s="285" t="str">
        <f t="shared" si="5"/>
        <v/>
      </c>
      <c r="M19" s="285" t="str">
        <f t="shared" si="6"/>
        <v/>
      </c>
      <c r="N19" s="13" t="e" cm="1">
        <f t="array" aca="1" ref="N19" ca="1">_xlfn.LET(
    _xlpm.gap, $F19,
    _xlpm.key, $J19,
    _xlpm.data, _xlfn._xlws.FILTER('sheet template'!$F$2:$M$1009,
                 ('sheet template'!$A$2:$A$1009=_xlpm.key) *
                 ('sheet template'!$F$2:$F$1009&lt;=_xlpm.gap), ""),
    IF(OR(_xlpm.key="", _xlpm.gap&lt;=0, ROWS(_xlpm.data)=0), "", _xlpm.data)
)</f>
        <v>#NAME?</v>
      </c>
      <c r="O19" s="83"/>
      <c r="P19" s="83"/>
      <c r="Q19" s="83"/>
      <c r="R19" s="83"/>
      <c r="S19" s="83"/>
      <c r="T19" s="83"/>
      <c r="U19" s="83"/>
      <c r="V19" s="13" t="e" cm="1">
        <f t="array" aca="1" ref="V19" ca="1">_xlfn.LET(
    _xlpm.gap, $F19,
    _xlpm.key, $K19,
    _xlpm.data, _xlfn._xlws.FILTER('sheet template'!$F$2:$M$1009,
                 ('sheet template'!$A$2:$A$1009=_xlpm.key) *
                 ('sheet template'!$F$2:$F$1009&lt;=_xlpm.gap), ""),
    IF(OR(_xlpm.key="", _xlpm.gap&lt;=0, ROWS(_xlpm.data)=0), "", _xlpm.data)
)</f>
        <v>#NAME?</v>
      </c>
      <c r="W19" s="83"/>
      <c r="X19" s="83"/>
      <c r="Y19" s="83"/>
      <c r="Z19" s="83"/>
      <c r="AA19" s="83"/>
      <c r="AB19" s="83"/>
      <c r="AC19" s="83"/>
      <c r="AD19" s="13" t="e" cm="1">
        <f t="array" aca="1" ref="AD19" ca="1">_xlfn.LET(
    _xlpm.gap, $F19,
    _xlpm.key, $L19,
    _xlpm.data, _xlfn._xlws.FILTER('sheet template'!$F$2:$M$1009,
                 ('sheet template'!$A$2:$A$1009=_xlpm.key) *
                 ('sheet template'!$F$2:$F$1009&lt;=_xlpm.gap), ""),
    IF(OR(_xlpm.key="", _xlpm.gap&lt;=0, ROWS(_xlpm.data)=0), "", _xlpm.data)
)</f>
        <v>#NAME?</v>
      </c>
      <c r="AE19" s="83"/>
      <c r="AF19" s="83"/>
      <c r="AG19" s="83"/>
      <c r="AH19" s="83"/>
      <c r="AI19" s="83"/>
      <c r="AJ19" s="83"/>
      <c r="AK19" s="83"/>
      <c r="AL19" s="13" t="e" cm="1">
        <f t="array" aca="1" ref="AL19" ca="1">_xlfn.LET(
    _xlpm.gap, $F19,
    _xlpm.key, $L19,
    _xlpm.data, _xlfn._xlws.FILTER('sheet template'!$F$2:$M$1009,
                 ('sheet template'!$A$2:$A$1009=_xlpm.key) *
                 ('sheet template'!$F$2:$F$1009&lt;=_xlpm.gap), ""),
    IF(OR(_xlpm.key="", _xlpm.gap&lt;=0, ROWS(_xlpm.data)=0), "", _xlpm.data)
)</f>
        <v>#NAME?</v>
      </c>
      <c r="AM19" s="83"/>
      <c r="AN19" s="83"/>
      <c r="AO19" s="83"/>
      <c r="AP19" s="83"/>
      <c r="AQ19" s="83"/>
      <c r="AR19" s="83"/>
      <c r="AS19" s="83"/>
    </row>
    <row r="20" spans="1:45">
      <c r="A20" s="286"/>
      <c r="B20" s="299"/>
      <c r="C20" s="296"/>
      <c r="D20" s="293"/>
      <c r="E20" s="289"/>
      <c r="F20" s="289"/>
      <c r="G20" s="289"/>
      <c r="H20" s="286"/>
      <c r="I20" s="289"/>
      <c r="J20" s="286"/>
      <c r="K20" s="286"/>
      <c r="L20" s="286"/>
      <c r="M20" s="286"/>
      <c r="N20" s="13"/>
      <c r="O20" s="83"/>
      <c r="P20" s="83"/>
      <c r="Q20" s="83"/>
      <c r="R20" s="83"/>
      <c r="S20" s="83"/>
      <c r="T20" s="83"/>
      <c r="U20" s="83"/>
      <c r="V20" s="13"/>
      <c r="W20" s="83"/>
      <c r="X20" s="83"/>
      <c r="Y20" s="83"/>
      <c r="Z20" s="83"/>
      <c r="AA20" s="83"/>
      <c r="AB20" s="83"/>
      <c r="AC20" s="83"/>
      <c r="AD20" s="13"/>
      <c r="AE20" s="83"/>
      <c r="AF20" s="83"/>
      <c r="AG20" s="83"/>
      <c r="AH20" s="83"/>
      <c r="AI20" s="83"/>
      <c r="AJ20" s="83"/>
      <c r="AK20" s="83"/>
      <c r="AL20" s="13"/>
      <c r="AM20" s="83"/>
      <c r="AN20" s="83"/>
      <c r="AO20" s="83"/>
      <c r="AP20" s="83"/>
      <c r="AQ20" s="83"/>
      <c r="AR20" s="83"/>
      <c r="AS20" s="83"/>
    </row>
    <row r="21" spans="1:45">
      <c r="A21" s="287"/>
      <c r="B21" s="300"/>
      <c r="C21" s="297"/>
      <c r="D21" s="294"/>
      <c r="E21" s="290"/>
      <c r="F21" s="290"/>
      <c r="G21" s="290"/>
      <c r="H21" s="287"/>
      <c r="I21" s="290"/>
      <c r="J21" s="287"/>
      <c r="K21" s="287"/>
      <c r="L21" s="287"/>
      <c r="M21" s="287"/>
      <c r="N21" s="13"/>
      <c r="O21" s="83"/>
      <c r="P21" s="83"/>
      <c r="Q21" s="83"/>
      <c r="R21" s="83"/>
      <c r="S21" s="83"/>
      <c r="T21" s="83"/>
      <c r="U21" s="83"/>
      <c r="V21" s="13"/>
      <c r="W21" s="83"/>
      <c r="X21" s="83"/>
      <c r="Y21" s="83"/>
      <c r="Z21" s="83"/>
      <c r="AA21" s="83"/>
      <c r="AB21" s="83"/>
      <c r="AC21" s="83"/>
      <c r="AD21" s="13"/>
      <c r="AE21" s="83"/>
      <c r="AF21" s="83"/>
      <c r="AG21" s="83"/>
      <c r="AH21" s="83"/>
      <c r="AI21" s="83"/>
      <c r="AJ21" s="83"/>
      <c r="AK21" s="83"/>
      <c r="AL21" s="13"/>
      <c r="AM21" s="83"/>
      <c r="AN21" s="83"/>
      <c r="AO21" s="83"/>
      <c r="AP21" s="83"/>
      <c r="AQ21" s="83"/>
      <c r="AR21" s="83"/>
      <c r="AS21" s="83"/>
    </row>
    <row r="22" spans="1:45">
      <c r="A22" s="285" t="s">
        <v>498</v>
      </c>
      <c r="B22" s="298">
        <f>IFERROR(INDEX(panduan!$C$3:$H$16,
       MATCH(TRIM(A22), panduan!$B$3:$B$16, 0),
       MATCH(TRIM($B$4), panduan!$C$2:$H$2, 0)),"")</f>
        <v>1</v>
      </c>
      <c r="C22" s="295">
        <f>IFERROR(INDEX(panduan!$C$3:$H$16,
       MATCH(TRIM(A22), panduan!$B$3:$B$16, 0),
       MATCH(TRIM($B$5), panduan!$C$2:$H$2, 0)),"")</f>
        <v>2</v>
      </c>
      <c r="D22" s="292">
        <v>2</v>
      </c>
      <c r="E22" s="288">
        <f t="shared" si="0"/>
        <v>0</v>
      </c>
      <c r="F22" s="288" t="str">
        <f t="shared" si="1"/>
        <v/>
      </c>
      <c r="G22" s="288" t="str">
        <f>IFERROR(
    INDEX(panduan!$C$181:$G$185,
          MATCH($F$65,panduan!$B$181:$B$185,0),
          MATCH($F22,panduan!$C$180:$G$180,0)
    ),
"")</f>
        <v/>
      </c>
      <c r="H22" s="285" t="str">
        <f t="shared" si="2"/>
        <v/>
      </c>
      <c r="I22" s="288" t="str">
        <f>IF(E22&lt;0,_xlfn.RANK.EQ(E22,$E$13:$E$54,1)+COUNTIF($E$13:E24,E22)-1,"")</f>
        <v/>
      </c>
      <c r="J22" s="285" t="str">
        <f t="shared" si="3"/>
        <v/>
      </c>
      <c r="K22" s="285" t="str">
        <f t="shared" si="4"/>
        <v/>
      </c>
      <c r="L22" s="285" t="str">
        <f t="shared" si="5"/>
        <v/>
      </c>
      <c r="M22" s="285" t="str">
        <f t="shared" si="6"/>
        <v/>
      </c>
      <c r="N22" s="13" t="e" cm="1">
        <f t="array" aca="1" ref="N22" ca="1">_xlfn.LET(
    _xlpm.gap, $F22,
    _xlpm.key, $J22,
    _xlpm.data, _xlfn._xlws.FILTER('sheet template'!$F$2:$M$1009,
                 ('sheet template'!$A$2:$A$1009=_xlpm.key) *
                 ('sheet template'!$F$2:$F$1009&lt;=_xlpm.gap), ""),
    IF(OR(_xlpm.key="", _xlpm.gap&lt;=0, ROWS(_xlpm.data)=0), "", _xlpm.data)
)</f>
        <v>#NAME?</v>
      </c>
      <c r="O22" s="83"/>
      <c r="P22" s="83"/>
      <c r="Q22" s="83"/>
      <c r="R22" s="83"/>
      <c r="S22" s="83"/>
      <c r="T22" s="83"/>
      <c r="U22" s="83"/>
      <c r="V22" s="13" t="e" cm="1">
        <f t="array" aca="1" ref="V22" ca="1">_xlfn.LET(
    _xlpm.gap, $F22,
    _xlpm.key, $K22,
    _xlpm.data, _xlfn._xlws.FILTER('sheet template'!$F$2:$M$1009,
                 ('sheet template'!$A$2:$A$1009=_xlpm.key) *
                 ('sheet template'!$F$2:$F$1009&lt;=_xlpm.gap), ""),
    IF(OR(_xlpm.key="", _xlpm.gap&lt;=0, ROWS(_xlpm.data)=0), "", _xlpm.data)
)</f>
        <v>#NAME?</v>
      </c>
      <c r="W22" s="83"/>
      <c r="X22" s="83"/>
      <c r="Y22" s="83"/>
      <c r="Z22" s="83"/>
      <c r="AA22" s="83"/>
      <c r="AB22" s="83"/>
      <c r="AC22" s="83"/>
      <c r="AD22" s="13" t="e" cm="1">
        <f t="array" aca="1" ref="AD22" ca="1">_xlfn.LET(
    _xlpm.gap, $F22,
    _xlpm.key, $L22,
    _xlpm.data, _xlfn._xlws.FILTER('sheet template'!$F$2:$M$1009,
                 ('sheet template'!$A$2:$A$1009=_xlpm.key) *
                 ('sheet template'!$F$2:$F$1009&lt;=_xlpm.gap), ""),
    IF(OR(_xlpm.key="", _xlpm.gap&lt;=0, ROWS(_xlpm.data)=0), "", _xlpm.data)
)</f>
        <v>#NAME?</v>
      </c>
      <c r="AE22" s="83"/>
      <c r="AF22" s="83"/>
      <c r="AG22" s="83"/>
      <c r="AH22" s="83"/>
      <c r="AI22" s="83"/>
      <c r="AJ22" s="83"/>
      <c r="AK22" s="83"/>
      <c r="AL22" s="13" t="e" cm="1">
        <f t="array" aca="1" ref="AL22" ca="1">_xlfn.LET(
    _xlpm.gap, $F22,
    _xlpm.key, $L22,
    _xlpm.data, _xlfn._xlws.FILTER('sheet template'!$F$2:$M$1009,
                 ('sheet template'!$A$2:$A$1009=_xlpm.key) *
                 ('sheet template'!$F$2:$F$1009&lt;=_xlpm.gap), ""),
    IF(OR(_xlpm.key="", _xlpm.gap&lt;=0, ROWS(_xlpm.data)=0), "", _xlpm.data)
)</f>
        <v>#NAME?</v>
      </c>
      <c r="AM22" s="83"/>
      <c r="AN22" s="83"/>
      <c r="AO22" s="83"/>
      <c r="AP22" s="83"/>
      <c r="AQ22" s="83"/>
      <c r="AR22" s="83"/>
      <c r="AS22" s="83"/>
    </row>
    <row r="23" spans="1:45">
      <c r="A23" s="286"/>
      <c r="B23" s="299"/>
      <c r="C23" s="296"/>
      <c r="D23" s="293"/>
      <c r="E23" s="289"/>
      <c r="F23" s="289"/>
      <c r="G23" s="289"/>
      <c r="H23" s="286"/>
      <c r="I23" s="289"/>
      <c r="J23" s="286"/>
      <c r="K23" s="286"/>
      <c r="L23" s="286"/>
      <c r="M23" s="286"/>
      <c r="N23" s="13"/>
      <c r="O23" s="83"/>
      <c r="P23" s="83"/>
      <c r="Q23" s="83"/>
      <c r="R23" s="83"/>
      <c r="S23" s="83"/>
      <c r="T23" s="83"/>
      <c r="U23" s="83"/>
      <c r="V23" s="13"/>
      <c r="W23" s="83"/>
      <c r="X23" s="83"/>
      <c r="Y23" s="83"/>
      <c r="Z23" s="83"/>
      <c r="AA23" s="83"/>
      <c r="AB23" s="83"/>
      <c r="AC23" s="83"/>
      <c r="AD23" s="13"/>
      <c r="AE23" s="83"/>
      <c r="AF23" s="83"/>
      <c r="AG23" s="83"/>
      <c r="AH23" s="83"/>
      <c r="AI23" s="83"/>
      <c r="AJ23" s="83"/>
      <c r="AK23" s="83"/>
      <c r="AL23" s="13"/>
      <c r="AM23" s="83"/>
      <c r="AN23" s="83"/>
      <c r="AO23" s="83"/>
      <c r="AP23" s="83"/>
      <c r="AQ23" s="83"/>
      <c r="AR23" s="83"/>
      <c r="AS23" s="83"/>
    </row>
    <row r="24" spans="1:45">
      <c r="A24" s="287"/>
      <c r="B24" s="300"/>
      <c r="C24" s="297"/>
      <c r="D24" s="294"/>
      <c r="E24" s="290"/>
      <c r="F24" s="290"/>
      <c r="G24" s="290"/>
      <c r="H24" s="287"/>
      <c r="I24" s="290"/>
      <c r="J24" s="287"/>
      <c r="K24" s="287"/>
      <c r="L24" s="287"/>
      <c r="M24" s="287"/>
      <c r="N24" s="13"/>
      <c r="O24" s="83"/>
      <c r="P24" s="83"/>
      <c r="Q24" s="83"/>
      <c r="R24" s="83"/>
      <c r="S24" s="83"/>
      <c r="T24" s="83"/>
      <c r="U24" s="83"/>
      <c r="V24" s="13"/>
      <c r="W24" s="83"/>
      <c r="X24" s="83"/>
      <c r="Y24" s="83"/>
      <c r="Z24" s="83"/>
      <c r="AA24" s="83"/>
      <c r="AB24" s="83"/>
      <c r="AC24" s="83"/>
      <c r="AD24" s="13"/>
      <c r="AE24" s="83"/>
      <c r="AF24" s="83"/>
      <c r="AG24" s="83"/>
      <c r="AH24" s="83"/>
      <c r="AI24" s="83"/>
      <c r="AJ24" s="83"/>
      <c r="AK24" s="83"/>
      <c r="AL24" s="13"/>
      <c r="AM24" s="83"/>
      <c r="AN24" s="83"/>
      <c r="AO24" s="83"/>
      <c r="AP24" s="83"/>
      <c r="AQ24" s="83"/>
      <c r="AR24" s="83"/>
      <c r="AS24" s="83"/>
    </row>
    <row r="25" spans="1:45">
      <c r="A25" s="285" t="s">
        <v>499</v>
      </c>
      <c r="B25" s="298">
        <f>IFERROR(INDEX(panduan!$C$3:$H$16,
       MATCH(TRIM(A25), panduan!$B$3:$B$16, 0),
       MATCH(TRIM($B$4), panduan!$C$2:$H$2, 0)),"")</f>
        <v>2</v>
      </c>
      <c r="C25" s="295">
        <f>IFERROR(INDEX(panduan!$C$3:$H$16,
       MATCH(TRIM(A25), panduan!$B$3:$B$16, 0),
       MATCH(TRIM($B$5), panduan!$C$2:$H$2, 0)),"")</f>
        <v>3</v>
      </c>
      <c r="D25" s="292">
        <v>3</v>
      </c>
      <c r="E25" s="288">
        <f t="shared" si="0"/>
        <v>0</v>
      </c>
      <c r="F25" s="288" t="str">
        <f t="shared" si="1"/>
        <v/>
      </c>
      <c r="G25" s="288" t="str">
        <f>IFERROR(
    INDEX(panduan!$C$181:$G$185,
          MATCH($F$65,panduan!$B$181:$B$185,0),
          MATCH($F25,panduan!$C$180:$G$180,0)
    ),
"")</f>
        <v/>
      </c>
      <c r="H25" s="285" t="str">
        <f t="shared" si="2"/>
        <v/>
      </c>
      <c r="I25" s="288" t="str">
        <f>IF(E25&lt;0,_xlfn.RANK.EQ(E25,$E$13:$E$54,1)+COUNTIF($E$13:E27,E25)-1,"")</f>
        <v/>
      </c>
      <c r="J25" s="285" t="str">
        <f t="shared" si="3"/>
        <v/>
      </c>
      <c r="K25" s="285" t="str">
        <f t="shared" si="4"/>
        <v/>
      </c>
      <c r="L25" s="285" t="str">
        <f t="shared" si="5"/>
        <v/>
      </c>
      <c r="M25" s="285" t="str">
        <f t="shared" si="6"/>
        <v/>
      </c>
      <c r="N25" s="13" t="e" cm="1">
        <f t="array" aca="1" ref="N25" ca="1">_xlfn.LET(
    _xlpm.gap, $F25,
    _xlpm.key, $J25,
    _xlpm.data, _xlfn._xlws.FILTER('sheet template'!$F$2:$M$1009,
                 ('sheet template'!$A$2:$A$1009=_xlpm.key) *
                 ('sheet template'!$F$2:$F$1009&lt;=_xlpm.gap), ""),
    IF(OR(_xlpm.key="", _xlpm.gap&lt;=0, ROWS(_xlpm.data)=0), "", _xlpm.data)
)</f>
        <v>#NAME?</v>
      </c>
      <c r="O25" s="83"/>
      <c r="P25" s="83"/>
      <c r="Q25" s="83"/>
      <c r="R25" s="83"/>
      <c r="S25" s="83"/>
      <c r="T25" s="83"/>
      <c r="U25" s="83"/>
      <c r="V25" s="13" t="e" cm="1">
        <f t="array" aca="1" ref="V25" ca="1">_xlfn.LET(
    _xlpm.gap, $F25,
    _xlpm.key, $K25,
    _xlpm.data, _xlfn._xlws.FILTER('sheet template'!$F$2:$M$1009,
                 ('sheet template'!$A$2:$A$1009=_xlpm.key) *
                 ('sheet template'!$F$2:$F$1009&lt;=_xlpm.gap), ""),
    IF(OR(_xlpm.key="", _xlpm.gap&lt;=0, ROWS(_xlpm.data)=0), "", _xlpm.data)
)</f>
        <v>#NAME?</v>
      </c>
      <c r="W25" s="83"/>
      <c r="X25" s="83"/>
      <c r="Y25" s="83"/>
      <c r="Z25" s="83"/>
      <c r="AA25" s="83"/>
      <c r="AB25" s="83"/>
      <c r="AC25" s="83"/>
      <c r="AD25" s="13" t="e" cm="1">
        <f t="array" aca="1" ref="AD25" ca="1">_xlfn.LET(
    _xlpm.gap, $F25,
    _xlpm.key, $L25,
    _xlpm.data, _xlfn._xlws.FILTER('sheet template'!$F$2:$M$1009,
                 ('sheet template'!$A$2:$A$1009=_xlpm.key) *
                 ('sheet template'!$F$2:$F$1009&lt;=_xlpm.gap), ""),
    IF(OR(_xlpm.key="", _xlpm.gap&lt;=0, ROWS(_xlpm.data)=0), "", _xlpm.data)
)</f>
        <v>#NAME?</v>
      </c>
      <c r="AE25" s="83"/>
      <c r="AF25" s="83"/>
      <c r="AG25" s="83"/>
      <c r="AH25" s="83"/>
      <c r="AI25" s="83"/>
      <c r="AJ25" s="83"/>
      <c r="AK25" s="83"/>
      <c r="AL25" s="13" t="e" cm="1">
        <f t="array" aca="1" ref="AL25" ca="1">_xlfn.LET(
    _xlpm.gap, $F25,
    _xlpm.key, $L25,
    _xlpm.data, _xlfn._xlws.FILTER('sheet template'!$F$2:$M$1009,
                 ('sheet template'!$A$2:$A$1009=_xlpm.key) *
                 ('sheet template'!$F$2:$F$1009&lt;=_xlpm.gap), ""),
    IF(OR(_xlpm.key="", _xlpm.gap&lt;=0, ROWS(_xlpm.data)=0), "", _xlpm.data)
)</f>
        <v>#NAME?</v>
      </c>
      <c r="AM25" s="83"/>
      <c r="AN25" s="83"/>
      <c r="AO25" s="83"/>
      <c r="AP25" s="83"/>
      <c r="AQ25" s="83"/>
      <c r="AR25" s="83"/>
      <c r="AS25" s="83"/>
    </row>
    <row r="26" spans="1:45">
      <c r="A26" s="286"/>
      <c r="B26" s="299"/>
      <c r="C26" s="296"/>
      <c r="D26" s="293"/>
      <c r="E26" s="289"/>
      <c r="F26" s="289"/>
      <c r="G26" s="289"/>
      <c r="H26" s="286"/>
      <c r="I26" s="289"/>
      <c r="J26" s="286"/>
      <c r="K26" s="286"/>
      <c r="L26" s="286"/>
      <c r="M26" s="286"/>
      <c r="N26" s="13"/>
      <c r="O26" s="83"/>
      <c r="P26" s="83"/>
      <c r="Q26" s="83"/>
      <c r="R26" s="83"/>
      <c r="S26" s="83"/>
      <c r="T26" s="83"/>
      <c r="U26" s="83"/>
      <c r="V26" s="13"/>
      <c r="W26" s="83"/>
      <c r="X26" s="83"/>
      <c r="Y26" s="83"/>
      <c r="Z26" s="83"/>
      <c r="AA26" s="83"/>
      <c r="AB26" s="83"/>
      <c r="AC26" s="83"/>
      <c r="AD26" s="13"/>
      <c r="AE26" s="83"/>
      <c r="AF26" s="83"/>
      <c r="AG26" s="83"/>
      <c r="AH26" s="83"/>
      <c r="AI26" s="83"/>
      <c r="AJ26" s="83"/>
      <c r="AK26" s="83"/>
      <c r="AL26" s="13"/>
      <c r="AM26" s="83"/>
      <c r="AN26" s="83"/>
      <c r="AO26" s="83"/>
      <c r="AP26" s="83"/>
      <c r="AQ26" s="83"/>
      <c r="AR26" s="83"/>
      <c r="AS26" s="83"/>
    </row>
    <row r="27" spans="1:45">
      <c r="A27" s="287"/>
      <c r="B27" s="300"/>
      <c r="C27" s="297"/>
      <c r="D27" s="294"/>
      <c r="E27" s="290"/>
      <c r="F27" s="290"/>
      <c r="G27" s="290"/>
      <c r="H27" s="287"/>
      <c r="I27" s="290"/>
      <c r="J27" s="287"/>
      <c r="K27" s="287"/>
      <c r="L27" s="287"/>
      <c r="M27" s="287"/>
      <c r="N27" s="13"/>
      <c r="O27" s="83"/>
      <c r="P27" s="83"/>
      <c r="Q27" s="83"/>
      <c r="R27" s="83"/>
      <c r="S27" s="83"/>
      <c r="T27" s="83"/>
      <c r="U27" s="83"/>
      <c r="V27" s="13"/>
      <c r="W27" s="83"/>
      <c r="X27" s="83"/>
      <c r="Y27" s="83"/>
      <c r="Z27" s="83"/>
      <c r="AA27" s="83"/>
      <c r="AB27" s="83"/>
      <c r="AC27" s="83"/>
      <c r="AD27" s="13"/>
      <c r="AE27" s="83"/>
      <c r="AF27" s="83"/>
      <c r="AG27" s="83"/>
      <c r="AH27" s="83"/>
      <c r="AI27" s="83"/>
      <c r="AJ27" s="83"/>
      <c r="AK27" s="83"/>
      <c r="AL27" s="13"/>
      <c r="AM27" s="83"/>
      <c r="AN27" s="83"/>
      <c r="AO27" s="83"/>
      <c r="AP27" s="83"/>
      <c r="AQ27" s="83"/>
      <c r="AR27" s="83"/>
      <c r="AS27" s="83"/>
    </row>
    <row r="28" spans="1:45" ht="60" customHeight="1">
      <c r="A28" s="285" t="s">
        <v>500</v>
      </c>
      <c r="B28" s="298">
        <f>IFERROR(INDEX(panduan!$C$3:$H$16,
       MATCH(TRIM(A28), panduan!$B$3:$B$16, 0),
       MATCH(TRIM($B$4), panduan!$C$2:$H$2, 0)),"")</f>
        <v>1</v>
      </c>
      <c r="C28" s="295">
        <f>IFERROR(INDEX(panduan!$C$3:$H$16,
       MATCH(TRIM(A28), panduan!$B$3:$B$16, 0),
       MATCH(TRIM($B$5), panduan!$C$2:$H$2, 0)),"")</f>
        <v>2</v>
      </c>
      <c r="D28" s="292">
        <v>1</v>
      </c>
      <c r="E28" s="288">
        <f t="shared" si="0"/>
        <v>-1</v>
      </c>
      <c r="F28" s="288">
        <f t="shared" si="1"/>
        <v>1</v>
      </c>
      <c r="G28" s="288" t="str">
        <f>IFERROR(
    INDEX(panduan!$C$181:$G$185,
          MATCH($F$65,panduan!$B$181:$B$185,0),
          MATCH($F28,panduan!$C$180:$G$180,0)
    ),
"")</f>
        <v/>
      </c>
      <c r="H28" s="285" t="str">
        <f t="shared" si="2"/>
        <v/>
      </c>
      <c r="I28" s="288">
        <f>IF(E28&lt;0,_xlfn.RANK.EQ(E28,$E$13:$E$54,1)+COUNTIF($E$13:E30,E28)-1,"")</f>
        <v>3</v>
      </c>
      <c r="J28" s="285" t="str">
        <f t="shared" si="3"/>
        <v/>
      </c>
      <c r="K28" s="285" t="str">
        <f t="shared" si="4"/>
        <v/>
      </c>
      <c r="L28" s="285" t="str">
        <f t="shared" si="5"/>
        <v/>
      </c>
      <c r="M28" s="285" t="str">
        <f t="shared" si="6"/>
        <v/>
      </c>
      <c r="N28" s="13" t="e" cm="1">
        <f t="array" aca="1" ref="N28:U28" ca="1">_xlfn.LET(
    _xlpm.gap, $F28,
    _xlpm.key, $J28,
    _xlpm.data, _xlfn._xlws.FILTER('sheet template'!$F$2:$M$1009,
                 ('sheet template'!$A$2:$A$1009=_xlpm.key) *
                 ('sheet template'!$F$2:$F$1009&lt;=_xlpm.gap), ""),
    IF(OR(_xlpm.key="", _xlpm.gap&lt;=0, ROWS(_xlpm.data)=0), "", _xlpm.data)
)</f>
        <v>#NAME?</v>
      </c>
      <c r="O28" s="83" t="e">
        <f ca="1"/>
        <v>#NAME?</v>
      </c>
      <c r="P28" s="83" t="e">
        <f ca="1"/>
        <v>#NAME?</v>
      </c>
      <c r="Q28" s="83" t="e">
        <f ca="1"/>
        <v>#NAME?</v>
      </c>
      <c r="R28" s="83" t="e">
        <f ca="1"/>
        <v>#NAME?</v>
      </c>
      <c r="S28" s="83" t="e">
        <f ca="1"/>
        <v>#NAME?</v>
      </c>
      <c r="T28" s="83" t="e">
        <f ca="1"/>
        <v>#NAME?</v>
      </c>
      <c r="U28" s="83" t="e">
        <f ca="1"/>
        <v>#NAME?</v>
      </c>
      <c r="V28" s="13" t="e" cm="1">
        <f t="array" aca="1" ref="V28:AC28" ca="1">_xlfn.LET(
    _xlpm.gap, $F28,
    _xlpm.key, $K28,
    _xlpm.data, _xlfn._xlws.FILTER('sheet template'!$F$2:$M$1009,
                 ('sheet template'!$A$2:$A$1009=_xlpm.key) *
                 ('sheet template'!$F$2:$F$1009&lt;=_xlpm.gap), ""),
    IF(OR(_xlpm.key="", _xlpm.gap&lt;=0, ROWS(_xlpm.data)=0), "", _xlpm.data)
)</f>
        <v>#NAME?</v>
      </c>
      <c r="W28" s="83" t="e">
        <f ca="1"/>
        <v>#NAME?</v>
      </c>
      <c r="X28" s="83" t="e">
        <f ca="1"/>
        <v>#NAME?</v>
      </c>
      <c r="Y28" s="83" t="e">
        <f ca="1"/>
        <v>#NAME?</v>
      </c>
      <c r="Z28" s="83" t="e">
        <f ca="1"/>
        <v>#NAME?</v>
      </c>
      <c r="AA28" s="83" t="e">
        <f ca="1"/>
        <v>#NAME?</v>
      </c>
      <c r="AB28" s="83" t="e">
        <f ca="1"/>
        <v>#NAME?</v>
      </c>
      <c r="AC28" s="83" t="e">
        <f ca="1"/>
        <v>#NAME?</v>
      </c>
      <c r="AD28" s="13" t="e" cm="1">
        <f t="array" aca="1" ref="AD28:AK28" ca="1">_xlfn.LET(
    _xlpm.gap, $F28,
    _xlpm.key, $L28,
    _xlpm.data, _xlfn._xlws.FILTER('sheet template'!$F$2:$M$1009,
                 ('sheet template'!$A$2:$A$1009=_xlpm.key) *
                 ('sheet template'!$F$2:$F$1009&lt;=_xlpm.gap), ""),
    IF(OR(_xlpm.key="", _xlpm.gap&lt;=0, ROWS(_xlpm.data)=0), "", _xlpm.data)
)</f>
        <v>#NAME?</v>
      </c>
      <c r="AE28" s="83" t="e">
        <f ca="1"/>
        <v>#NAME?</v>
      </c>
      <c r="AF28" s="83" t="e">
        <f ca="1"/>
        <v>#NAME?</v>
      </c>
      <c r="AG28" s="83" t="e">
        <f ca="1"/>
        <v>#NAME?</v>
      </c>
      <c r="AH28" s="83" t="e">
        <f ca="1"/>
        <v>#NAME?</v>
      </c>
      <c r="AI28" s="83" t="e">
        <f ca="1"/>
        <v>#NAME?</v>
      </c>
      <c r="AJ28" s="83" t="e">
        <f ca="1"/>
        <v>#NAME?</v>
      </c>
      <c r="AK28" s="83" t="e">
        <f ca="1"/>
        <v>#NAME?</v>
      </c>
      <c r="AL28" s="13" t="e" cm="1">
        <f t="array" aca="1" ref="AL28:AS28" ca="1">_xlfn.LET(
    _xlpm.gap, $F28,
    _xlpm.key, $L28,
    _xlpm.data, _xlfn._xlws.FILTER('sheet template'!$F$2:$M$1009,
                 ('sheet template'!$A$2:$A$1009=_xlpm.key) *
                 ('sheet template'!$F$2:$F$1009&lt;=_xlpm.gap), ""),
    IF(OR(_xlpm.key="", _xlpm.gap&lt;=0, ROWS(_xlpm.data)=0), "", _xlpm.data)
)</f>
        <v>#NAME?</v>
      </c>
      <c r="AM28" s="83" t="e">
        <f ca="1"/>
        <v>#NAME?</v>
      </c>
      <c r="AN28" s="83" t="e">
        <f ca="1"/>
        <v>#NAME?</v>
      </c>
      <c r="AO28" s="83" t="e">
        <f ca="1"/>
        <v>#NAME?</v>
      </c>
      <c r="AP28" s="83" t="e">
        <f ca="1"/>
        <v>#NAME?</v>
      </c>
      <c r="AQ28" s="83" t="e">
        <f ca="1"/>
        <v>#NAME?</v>
      </c>
      <c r="AR28" s="83" t="e">
        <f ca="1"/>
        <v>#NAME?</v>
      </c>
      <c r="AS28" s="83" t="e">
        <f ca="1"/>
        <v>#NAME?</v>
      </c>
    </row>
    <row r="29" spans="1:45">
      <c r="A29" s="286"/>
      <c r="B29" s="299"/>
      <c r="C29" s="296"/>
      <c r="D29" s="293"/>
      <c r="E29" s="289"/>
      <c r="F29" s="289"/>
      <c r="G29" s="289"/>
      <c r="H29" s="286"/>
      <c r="I29" s="289"/>
      <c r="J29" s="286"/>
      <c r="K29" s="286"/>
      <c r="L29" s="286"/>
      <c r="M29" s="286"/>
      <c r="N29" s="13"/>
      <c r="O29" s="83"/>
      <c r="P29" s="83"/>
      <c r="Q29" s="83"/>
      <c r="R29" s="83"/>
      <c r="S29" s="83"/>
      <c r="T29" s="83"/>
      <c r="U29" s="83"/>
      <c r="V29" s="13"/>
      <c r="W29" s="83"/>
      <c r="X29" s="83"/>
      <c r="Y29" s="83"/>
      <c r="Z29" s="83"/>
      <c r="AA29" s="83"/>
      <c r="AB29" s="83"/>
      <c r="AC29" s="83"/>
      <c r="AD29" s="13"/>
      <c r="AE29" s="83"/>
      <c r="AF29" s="83"/>
      <c r="AG29" s="83"/>
      <c r="AH29" s="83"/>
      <c r="AI29" s="83"/>
      <c r="AJ29" s="83"/>
      <c r="AK29" s="83"/>
      <c r="AL29" s="13"/>
      <c r="AM29" s="83"/>
      <c r="AN29" s="83"/>
      <c r="AO29" s="83"/>
      <c r="AP29" s="83"/>
      <c r="AQ29" s="83"/>
      <c r="AR29" s="83"/>
      <c r="AS29" s="83"/>
    </row>
    <row r="30" spans="1:45">
      <c r="A30" s="287"/>
      <c r="B30" s="300"/>
      <c r="C30" s="297"/>
      <c r="D30" s="294"/>
      <c r="E30" s="290"/>
      <c r="F30" s="290"/>
      <c r="G30" s="290"/>
      <c r="H30" s="287"/>
      <c r="I30" s="290"/>
      <c r="J30" s="287"/>
      <c r="K30" s="287"/>
      <c r="L30" s="287"/>
      <c r="M30" s="287"/>
      <c r="N30" s="13"/>
      <c r="O30" s="83"/>
      <c r="P30" s="83"/>
      <c r="Q30" s="83"/>
      <c r="R30" s="83"/>
      <c r="S30" s="83"/>
      <c r="T30" s="83"/>
      <c r="U30" s="83"/>
      <c r="V30" s="13"/>
      <c r="W30" s="83"/>
      <c r="X30" s="83"/>
      <c r="Y30" s="83"/>
      <c r="Z30" s="83"/>
      <c r="AA30" s="83"/>
      <c r="AB30" s="83"/>
      <c r="AC30" s="83"/>
      <c r="AD30" s="13"/>
      <c r="AE30" s="83"/>
      <c r="AF30" s="83"/>
      <c r="AG30" s="83"/>
      <c r="AH30" s="83"/>
      <c r="AI30" s="83"/>
      <c r="AJ30" s="83"/>
      <c r="AK30" s="83"/>
      <c r="AL30" s="13"/>
      <c r="AM30" s="83"/>
      <c r="AN30" s="83"/>
      <c r="AO30" s="83"/>
      <c r="AP30" s="83"/>
      <c r="AQ30" s="83"/>
      <c r="AR30" s="83"/>
      <c r="AS30" s="83"/>
    </row>
    <row r="31" spans="1:45" ht="60" customHeight="1">
      <c r="A31" s="285" t="s">
        <v>501</v>
      </c>
      <c r="B31" s="298">
        <f>IFERROR(INDEX(panduan!$C$3:$H$16,
       MATCH(TRIM(A31), panduan!$B$3:$B$16, 0),
       MATCH(TRIM($B$4), panduan!$C$2:$H$2, 0)),"")</f>
        <v>1</v>
      </c>
      <c r="C31" s="295">
        <f>IFERROR(INDEX(panduan!$C$3:$H$16,
       MATCH(TRIM(A31), panduan!$B$3:$B$16, 0),
       MATCH(TRIM($B$5), panduan!$C$2:$H$2, 0)),"")</f>
        <v>2</v>
      </c>
      <c r="D31" s="292">
        <v>1</v>
      </c>
      <c r="E31" s="288">
        <f t="shared" si="0"/>
        <v>-1</v>
      </c>
      <c r="F31" s="288">
        <f t="shared" si="1"/>
        <v>1</v>
      </c>
      <c r="G31" s="288" t="str">
        <f>IFERROR(
    INDEX(panduan!$C$181:$G$185,
          MATCH($F$65,panduan!$B$181:$B$185,0),
          MATCH($F31,panduan!$C$180:$G$180,0)
    ),
"")</f>
        <v/>
      </c>
      <c r="H31" s="285" t="str">
        <f t="shared" si="2"/>
        <v/>
      </c>
      <c r="I31" s="288">
        <f>IF(E31&lt;0,_xlfn.RANK.EQ(E31,$E$13:$E$54,1)+COUNTIF($E$13:E331,E31)-1,"")</f>
        <v>8</v>
      </c>
      <c r="J31" s="285" t="str">
        <f t="shared" si="3"/>
        <v/>
      </c>
      <c r="K31" s="285" t="str">
        <f t="shared" si="4"/>
        <v/>
      </c>
      <c r="L31" s="285" t="str">
        <f t="shared" si="5"/>
        <v/>
      </c>
      <c r="M31" s="285" t="str">
        <f t="shared" si="6"/>
        <v/>
      </c>
      <c r="N31" s="13" t="e" cm="1">
        <f t="array" aca="1" ref="N31:U31" ca="1">_xlfn.LET(
    _xlpm.gap, $F31,
    _xlpm.key, $J31,
    _xlpm.data, _xlfn._xlws.FILTER('sheet template'!$F$2:$M$1009,
                 ('sheet template'!$A$2:$A$1009=_xlpm.key) *
                 ('sheet template'!$F$2:$F$1009&lt;=_xlpm.gap), ""),
    IF(OR(_xlpm.key="", _xlpm.gap&lt;=0, ROWS(_xlpm.data)=0), "", _xlpm.data)
)</f>
        <v>#NAME?</v>
      </c>
      <c r="O31" s="83" t="e">
        <f ca="1"/>
        <v>#NAME?</v>
      </c>
      <c r="P31" s="83" t="e">
        <f ca="1"/>
        <v>#NAME?</v>
      </c>
      <c r="Q31" s="83" t="e">
        <f ca="1"/>
        <v>#NAME?</v>
      </c>
      <c r="R31" s="83" t="e">
        <f ca="1"/>
        <v>#NAME?</v>
      </c>
      <c r="S31" s="83" t="e">
        <f ca="1"/>
        <v>#NAME?</v>
      </c>
      <c r="T31" s="83" t="e">
        <f ca="1"/>
        <v>#NAME?</v>
      </c>
      <c r="U31" s="83" t="e">
        <f ca="1"/>
        <v>#NAME?</v>
      </c>
      <c r="V31" s="13" t="e" cm="1">
        <f t="array" aca="1" ref="V31:AC31" ca="1">_xlfn.LET(
    _xlpm.gap, $F31,
    _xlpm.key, $K31,
    _xlpm.data, _xlfn._xlws.FILTER('sheet template'!$F$2:$M$1009,
                 ('sheet template'!$A$2:$A$1009=_xlpm.key) *
                 ('sheet template'!$F$2:$F$1009&lt;=_xlpm.gap), ""),
    IF(OR(_xlpm.key="", _xlpm.gap&lt;=0, ROWS(_xlpm.data)=0), "", _xlpm.data)
)</f>
        <v>#NAME?</v>
      </c>
      <c r="W31" s="83" t="e">
        <f ca="1"/>
        <v>#NAME?</v>
      </c>
      <c r="X31" s="83" t="e">
        <f ca="1"/>
        <v>#NAME?</v>
      </c>
      <c r="Y31" s="83" t="e">
        <f ca="1"/>
        <v>#NAME?</v>
      </c>
      <c r="Z31" s="83" t="e">
        <f ca="1"/>
        <v>#NAME?</v>
      </c>
      <c r="AA31" s="83" t="e">
        <f ca="1"/>
        <v>#NAME?</v>
      </c>
      <c r="AB31" s="83" t="e">
        <f ca="1"/>
        <v>#NAME?</v>
      </c>
      <c r="AC31" s="83" t="e">
        <f ca="1"/>
        <v>#NAME?</v>
      </c>
      <c r="AD31" s="13" t="e" cm="1">
        <f t="array" aca="1" ref="AD31:AK31" ca="1">_xlfn.LET(
    _xlpm.gap, $F31,
    _xlpm.key, $L31,
    _xlpm.data, _xlfn._xlws.FILTER('sheet template'!$F$2:$M$1009,
                 ('sheet template'!$A$2:$A$1009=_xlpm.key) *
                 ('sheet template'!$F$2:$F$1009&lt;=_xlpm.gap), ""),
    IF(OR(_xlpm.key="", _xlpm.gap&lt;=0, ROWS(_xlpm.data)=0), "", _xlpm.data)
)</f>
        <v>#NAME?</v>
      </c>
      <c r="AE31" s="83" t="e">
        <f ca="1"/>
        <v>#NAME?</v>
      </c>
      <c r="AF31" s="83" t="e">
        <f ca="1"/>
        <v>#NAME?</v>
      </c>
      <c r="AG31" s="83" t="e">
        <f ca="1"/>
        <v>#NAME?</v>
      </c>
      <c r="AH31" s="83" t="e">
        <f ca="1"/>
        <v>#NAME?</v>
      </c>
      <c r="AI31" s="83" t="e">
        <f ca="1"/>
        <v>#NAME?</v>
      </c>
      <c r="AJ31" s="83" t="e">
        <f ca="1"/>
        <v>#NAME?</v>
      </c>
      <c r="AK31" s="83" t="e">
        <f ca="1"/>
        <v>#NAME?</v>
      </c>
      <c r="AL31" s="13" t="e" cm="1">
        <f t="array" aca="1" ref="AL31:AS31" ca="1">_xlfn.LET(
    _xlpm.gap, $F31,
    _xlpm.key, $L31,
    _xlpm.data, _xlfn._xlws.FILTER('sheet template'!$F$2:$M$1009,
                 ('sheet template'!$A$2:$A$1009=_xlpm.key) *
                 ('sheet template'!$F$2:$F$1009&lt;=_xlpm.gap), ""),
    IF(OR(_xlpm.key="", _xlpm.gap&lt;=0, ROWS(_xlpm.data)=0), "", _xlpm.data)
)</f>
        <v>#NAME?</v>
      </c>
      <c r="AM31" s="83" t="e">
        <f ca="1"/>
        <v>#NAME?</v>
      </c>
      <c r="AN31" s="83" t="e">
        <f ca="1"/>
        <v>#NAME?</v>
      </c>
      <c r="AO31" s="83" t="e">
        <f ca="1"/>
        <v>#NAME?</v>
      </c>
      <c r="AP31" s="83" t="e">
        <f ca="1"/>
        <v>#NAME?</v>
      </c>
      <c r="AQ31" s="83" t="e">
        <f ca="1"/>
        <v>#NAME?</v>
      </c>
      <c r="AR31" s="83" t="e">
        <f ca="1"/>
        <v>#NAME?</v>
      </c>
      <c r="AS31" s="83" t="e">
        <f ca="1"/>
        <v>#NAME?</v>
      </c>
    </row>
    <row r="32" spans="1:45">
      <c r="A32" s="286"/>
      <c r="B32" s="299"/>
      <c r="C32" s="296"/>
      <c r="D32" s="293"/>
      <c r="E32" s="289"/>
      <c r="F32" s="289"/>
      <c r="G32" s="289"/>
      <c r="H32" s="286"/>
      <c r="I32" s="289"/>
      <c r="J32" s="286"/>
      <c r="K32" s="286"/>
      <c r="L32" s="286"/>
      <c r="M32" s="286"/>
      <c r="N32" s="13"/>
      <c r="O32" s="83"/>
      <c r="P32" s="83"/>
      <c r="Q32" s="83"/>
      <c r="R32" s="83"/>
      <c r="S32" s="83"/>
      <c r="T32" s="83"/>
      <c r="U32" s="83"/>
      <c r="V32" s="13"/>
      <c r="W32" s="83"/>
      <c r="X32" s="83"/>
      <c r="Y32" s="83"/>
      <c r="Z32" s="83"/>
      <c r="AA32" s="83"/>
      <c r="AB32" s="83"/>
      <c r="AC32" s="83"/>
      <c r="AD32" s="13"/>
      <c r="AE32" s="83"/>
      <c r="AF32" s="83"/>
      <c r="AG32" s="83"/>
      <c r="AH32" s="83"/>
      <c r="AI32" s="83"/>
      <c r="AJ32" s="83"/>
      <c r="AK32" s="83"/>
      <c r="AL32" s="13"/>
      <c r="AM32" s="83"/>
      <c r="AN32" s="83"/>
      <c r="AO32" s="83"/>
      <c r="AP32" s="83"/>
      <c r="AQ32" s="83"/>
      <c r="AR32" s="83"/>
      <c r="AS32" s="83"/>
    </row>
    <row r="33" spans="1:45">
      <c r="A33" s="287"/>
      <c r="B33" s="300"/>
      <c r="C33" s="297"/>
      <c r="D33" s="294"/>
      <c r="E33" s="290"/>
      <c r="F33" s="290"/>
      <c r="G33" s="290"/>
      <c r="H33" s="214"/>
      <c r="I33" s="290"/>
      <c r="J33" s="287"/>
      <c r="K33" s="287"/>
      <c r="L33" s="287"/>
      <c r="M33" s="287"/>
      <c r="N33" s="13"/>
      <c r="O33" s="83"/>
      <c r="P33" s="83"/>
      <c r="Q33" s="83"/>
      <c r="R33" s="83"/>
      <c r="S33" s="83"/>
      <c r="T33" s="83"/>
      <c r="U33" s="83"/>
      <c r="V33" s="13"/>
      <c r="W33" s="83"/>
      <c r="X33" s="83"/>
      <c r="Y33" s="83"/>
      <c r="Z33" s="83"/>
      <c r="AA33" s="83"/>
      <c r="AB33" s="83"/>
      <c r="AC33" s="83"/>
      <c r="AD33" s="13"/>
      <c r="AE33" s="83"/>
      <c r="AF33" s="83"/>
      <c r="AG33" s="83"/>
      <c r="AH33" s="83"/>
      <c r="AI33" s="83"/>
      <c r="AJ33" s="83"/>
      <c r="AK33" s="83"/>
      <c r="AL33" s="13"/>
      <c r="AM33" s="83"/>
      <c r="AN33" s="83"/>
      <c r="AO33" s="83"/>
      <c r="AP33" s="83"/>
      <c r="AQ33" s="83"/>
      <c r="AR33" s="83"/>
      <c r="AS33" s="83"/>
    </row>
    <row r="34" spans="1:45" ht="60" customHeight="1">
      <c r="A34" s="285" t="s">
        <v>502</v>
      </c>
      <c r="B34" s="298">
        <f>IFERROR(INDEX(panduan!$C$3:$H$16,
       MATCH(TRIM(A34), panduan!$B$3:$B$16, 0),
       MATCH(TRIM($B$4), panduan!$C$2:$H$2, 0)),"")</f>
        <v>1</v>
      </c>
      <c r="C34" s="295">
        <f>IFERROR(INDEX(panduan!$C$3:$H$16,
       MATCH(TRIM(A34), panduan!$B$3:$B$16, 0),
       MATCH(TRIM($B$5), panduan!$C$2:$H$2, 0)),"")</f>
        <v>2</v>
      </c>
      <c r="D34" s="292">
        <v>1</v>
      </c>
      <c r="E34" s="288">
        <f t="shared" si="0"/>
        <v>-1</v>
      </c>
      <c r="F34" s="288">
        <f t="shared" si="1"/>
        <v>1</v>
      </c>
      <c r="G34" s="288" t="str">
        <f>IFERROR(
    INDEX(panduan!$C$181:$G$185,
          MATCH($F$65,panduan!$B$181:$B$185,0),
          MATCH($F34,panduan!$C$180:$G$180,0)
    ),
"")</f>
        <v/>
      </c>
      <c r="H34" s="285" t="str">
        <f t="shared" si="2"/>
        <v/>
      </c>
      <c r="I34" s="288">
        <f>IF(E34&lt;0,_xlfn.RANK.EQ(E34,$E$13:$E$54,1)+COUNTIF($E$13:E36,E34)-1,"")</f>
        <v>5</v>
      </c>
      <c r="J34" s="285" t="str">
        <f t="shared" si="3"/>
        <v/>
      </c>
      <c r="K34" s="285" t="str">
        <f t="shared" si="4"/>
        <v/>
      </c>
      <c r="L34" s="285" t="str">
        <f t="shared" si="5"/>
        <v/>
      </c>
      <c r="M34" s="285" t="str">
        <f t="shared" si="6"/>
        <v/>
      </c>
      <c r="N34" s="13" t="e" cm="1">
        <f t="array" aca="1" ref="N34:U34" ca="1">_xlfn.LET(
    _xlpm.gap, $F34,
    _xlpm.key, $J34,
    _xlpm.data, _xlfn._xlws.FILTER('sheet template'!$F$2:$M$1009,
                 ('sheet template'!$A$2:$A$1009=_xlpm.key) *
                 ('sheet template'!$F$2:$F$1009&lt;=_xlpm.gap), ""),
    IF(OR(_xlpm.key="", _xlpm.gap&lt;=0, ROWS(_xlpm.data)=0), "", _xlpm.data)
)</f>
        <v>#NAME?</v>
      </c>
      <c r="O34" s="83" t="e">
        <f ca="1"/>
        <v>#NAME?</v>
      </c>
      <c r="P34" s="83" t="e">
        <f ca="1"/>
        <v>#NAME?</v>
      </c>
      <c r="Q34" s="83" t="e">
        <f ca="1"/>
        <v>#NAME?</v>
      </c>
      <c r="R34" s="83" t="e">
        <f ca="1"/>
        <v>#NAME?</v>
      </c>
      <c r="S34" s="83" t="e">
        <f ca="1"/>
        <v>#NAME?</v>
      </c>
      <c r="T34" s="83" t="e">
        <f ca="1"/>
        <v>#NAME?</v>
      </c>
      <c r="U34" s="83" t="e">
        <f ca="1"/>
        <v>#NAME?</v>
      </c>
      <c r="V34" s="13" t="e" cm="1">
        <f t="array" aca="1" ref="V34:AC34" ca="1">_xlfn.LET(
    _xlpm.gap, $F34,
    _xlpm.key, $K34,
    _xlpm.data, _xlfn._xlws.FILTER('sheet template'!$F$2:$M$1009,
                 ('sheet template'!$A$2:$A$1009=_xlpm.key) *
                 ('sheet template'!$F$2:$F$1009&lt;=_xlpm.gap), ""),
    IF(OR(_xlpm.key="", _xlpm.gap&lt;=0, ROWS(_xlpm.data)=0), "", _xlpm.data)
)</f>
        <v>#NAME?</v>
      </c>
      <c r="W34" s="83" t="e">
        <f ca="1"/>
        <v>#NAME?</v>
      </c>
      <c r="X34" s="83" t="e">
        <f ca="1"/>
        <v>#NAME?</v>
      </c>
      <c r="Y34" s="83" t="e">
        <f ca="1"/>
        <v>#NAME?</v>
      </c>
      <c r="Z34" s="83" t="e">
        <f ca="1"/>
        <v>#NAME?</v>
      </c>
      <c r="AA34" s="83" t="e">
        <f ca="1"/>
        <v>#NAME?</v>
      </c>
      <c r="AB34" s="83" t="e">
        <f ca="1"/>
        <v>#NAME?</v>
      </c>
      <c r="AC34" s="83" t="e">
        <f ca="1"/>
        <v>#NAME?</v>
      </c>
      <c r="AD34" s="13" t="e" cm="1">
        <f t="array" aca="1" ref="AD34:AK34" ca="1">_xlfn.LET(
    _xlpm.gap, $F34,
    _xlpm.key, $L34,
    _xlpm.data, _xlfn._xlws.FILTER('sheet template'!$F$2:$M$1009,
                 ('sheet template'!$A$2:$A$1009=_xlpm.key) *
                 ('sheet template'!$F$2:$F$1009&lt;=_xlpm.gap), ""),
    IF(OR(_xlpm.key="", _xlpm.gap&lt;=0, ROWS(_xlpm.data)=0), "", _xlpm.data)
)</f>
        <v>#NAME?</v>
      </c>
      <c r="AE34" s="83" t="e">
        <f ca="1"/>
        <v>#NAME?</v>
      </c>
      <c r="AF34" s="83" t="e">
        <f ca="1"/>
        <v>#NAME?</v>
      </c>
      <c r="AG34" s="83" t="e">
        <f ca="1"/>
        <v>#NAME?</v>
      </c>
      <c r="AH34" s="83" t="e">
        <f ca="1"/>
        <v>#NAME?</v>
      </c>
      <c r="AI34" s="83" t="e">
        <f ca="1"/>
        <v>#NAME?</v>
      </c>
      <c r="AJ34" s="83" t="e">
        <f ca="1"/>
        <v>#NAME?</v>
      </c>
      <c r="AK34" s="83" t="e">
        <f ca="1"/>
        <v>#NAME?</v>
      </c>
      <c r="AL34" s="13" t="e" cm="1">
        <f t="array" aca="1" ref="AL34:AS34" ca="1">_xlfn.LET(
    _xlpm.gap, $F34,
    _xlpm.key, $L34,
    _xlpm.data, _xlfn._xlws.FILTER('sheet template'!$F$2:$M$1009,
                 ('sheet template'!$A$2:$A$1009=_xlpm.key) *
                 ('sheet template'!$F$2:$F$1009&lt;=_xlpm.gap), ""),
    IF(OR(_xlpm.key="", _xlpm.gap&lt;=0, ROWS(_xlpm.data)=0), "", _xlpm.data)
)</f>
        <v>#NAME?</v>
      </c>
      <c r="AM34" s="83" t="e">
        <f ca="1"/>
        <v>#NAME?</v>
      </c>
      <c r="AN34" s="83" t="e">
        <f ca="1"/>
        <v>#NAME?</v>
      </c>
      <c r="AO34" s="83" t="e">
        <f ca="1"/>
        <v>#NAME?</v>
      </c>
      <c r="AP34" s="83" t="e">
        <f ca="1"/>
        <v>#NAME?</v>
      </c>
      <c r="AQ34" s="83" t="e">
        <f ca="1"/>
        <v>#NAME?</v>
      </c>
      <c r="AR34" s="83" t="e">
        <f ca="1"/>
        <v>#NAME?</v>
      </c>
      <c r="AS34" s="83" t="e">
        <f ca="1"/>
        <v>#NAME?</v>
      </c>
    </row>
    <row r="35" spans="1:45">
      <c r="A35" s="286"/>
      <c r="B35" s="299"/>
      <c r="C35" s="296"/>
      <c r="D35" s="293"/>
      <c r="E35" s="289"/>
      <c r="F35" s="289"/>
      <c r="G35" s="289"/>
      <c r="H35" s="286"/>
      <c r="I35" s="289"/>
      <c r="J35" s="286"/>
      <c r="K35" s="286"/>
      <c r="L35" s="286"/>
      <c r="M35" s="286"/>
      <c r="N35" s="13"/>
      <c r="O35" s="83"/>
      <c r="P35" s="83"/>
      <c r="Q35" s="83"/>
      <c r="R35" s="83"/>
      <c r="S35" s="83"/>
      <c r="T35" s="83"/>
      <c r="U35" s="83"/>
      <c r="V35" s="13"/>
      <c r="W35" s="83"/>
      <c r="X35" s="83"/>
      <c r="Y35" s="83"/>
      <c r="Z35" s="83"/>
      <c r="AA35" s="83"/>
      <c r="AB35" s="83"/>
      <c r="AC35" s="83"/>
      <c r="AD35" s="13"/>
      <c r="AE35" s="83"/>
      <c r="AF35" s="83"/>
      <c r="AG35" s="83"/>
      <c r="AH35" s="83"/>
      <c r="AI35" s="83"/>
      <c r="AJ35" s="83"/>
      <c r="AK35" s="83"/>
      <c r="AL35" s="13"/>
      <c r="AM35" s="83"/>
      <c r="AN35" s="83"/>
      <c r="AO35" s="83"/>
      <c r="AP35" s="83"/>
      <c r="AQ35" s="83"/>
      <c r="AR35" s="83"/>
      <c r="AS35" s="83"/>
    </row>
    <row r="36" spans="1:45">
      <c r="A36" s="287"/>
      <c r="B36" s="300"/>
      <c r="C36" s="297"/>
      <c r="D36" s="294"/>
      <c r="E36" s="290"/>
      <c r="F36" s="290"/>
      <c r="G36" s="290"/>
      <c r="H36" s="287"/>
      <c r="I36" s="290"/>
      <c r="J36" s="287"/>
      <c r="K36" s="287"/>
      <c r="L36" s="287"/>
      <c r="M36" s="287"/>
      <c r="N36" s="13"/>
      <c r="O36" s="83"/>
      <c r="P36" s="83"/>
      <c r="Q36" s="83"/>
      <c r="R36" s="83"/>
      <c r="S36" s="83"/>
      <c r="T36" s="83"/>
      <c r="U36" s="83"/>
      <c r="V36" s="13"/>
      <c r="W36" s="83"/>
      <c r="X36" s="83"/>
      <c r="Y36" s="83"/>
      <c r="Z36" s="83"/>
      <c r="AA36" s="83"/>
      <c r="AB36" s="83"/>
      <c r="AC36" s="83"/>
      <c r="AD36" s="13"/>
      <c r="AE36" s="83"/>
      <c r="AF36" s="83"/>
      <c r="AG36" s="83"/>
      <c r="AH36" s="83"/>
      <c r="AI36" s="83"/>
      <c r="AJ36" s="83"/>
      <c r="AK36" s="83"/>
      <c r="AL36" s="13"/>
      <c r="AM36" s="83"/>
      <c r="AN36" s="83"/>
      <c r="AO36" s="83"/>
      <c r="AP36" s="83"/>
      <c r="AQ36" s="83"/>
      <c r="AR36" s="83"/>
      <c r="AS36" s="83"/>
    </row>
    <row r="37" spans="1:45" ht="15" customHeight="1">
      <c r="A37" s="285" t="s">
        <v>503</v>
      </c>
      <c r="B37" s="298">
        <f>IFERROR(INDEX(panduan!$C$3:$H$16,
       MATCH(TRIM(A37), panduan!$B$3:$B$16, 0),
       MATCH(TRIM($B$4), panduan!$C$2:$H$2, 0)),"")</f>
        <v>1</v>
      </c>
      <c r="C37" s="295">
        <f>IFERROR(INDEX(panduan!$C$3:$H$16,
       MATCH(TRIM(A37), panduan!$B$3:$B$16, 0),
       MATCH(TRIM($B$5), panduan!$C$2:$H$2, 0)),"")</f>
        <v>2</v>
      </c>
      <c r="D37" s="292">
        <v>2</v>
      </c>
      <c r="E37" s="288">
        <f t="shared" si="0"/>
        <v>0</v>
      </c>
      <c r="F37" s="288" t="str">
        <f t="shared" si="1"/>
        <v/>
      </c>
      <c r="G37" s="288" t="str">
        <f>IFERROR(
    INDEX(panduan!$C$181:$G$185,
          MATCH($F$65,panduan!$B$181:$B$185,0),
          MATCH($F37,panduan!$C$180:$G$180,0)
    ),
"")</f>
        <v/>
      </c>
      <c r="H37" s="285" t="str">
        <f t="shared" si="2"/>
        <v/>
      </c>
      <c r="I37" s="288" t="str">
        <f>IF(E37&lt;0,_xlfn.RANK.EQ(E37,$E$13:$E$54,1)+COUNTIF($E$13:E39,E37)-1,"")</f>
        <v/>
      </c>
      <c r="J37" s="285" t="str">
        <f t="shared" si="3"/>
        <v/>
      </c>
      <c r="K37" s="285" t="str">
        <f t="shared" si="4"/>
        <v/>
      </c>
      <c r="L37" s="285" t="str">
        <f t="shared" si="5"/>
        <v/>
      </c>
      <c r="M37" s="285" t="str">
        <f t="shared" si="6"/>
        <v/>
      </c>
      <c r="N37" s="13" t="e" cm="1">
        <f t="array" aca="1" ref="N37" ca="1">_xlfn.LET(
    _xlpm.gap, $F37,
    _xlpm.key, $J37,
    _xlpm.data, _xlfn._xlws.FILTER('sheet template'!$F$2:$M$1009,
                 ('sheet template'!$A$2:$A$1009=_xlpm.key) *
                 ('sheet template'!$F$2:$F$1009&lt;=_xlpm.gap), ""),
    IF(OR(_xlpm.key="", _xlpm.gap&lt;=0, ROWS(_xlpm.data)=0), "", _xlpm.data)
)</f>
        <v>#NAME?</v>
      </c>
      <c r="O37" s="83"/>
      <c r="P37" s="83"/>
      <c r="Q37" s="83"/>
      <c r="R37" s="83"/>
      <c r="S37" s="83"/>
      <c r="T37" s="83"/>
      <c r="U37" s="83"/>
      <c r="V37" s="13" t="e" cm="1">
        <f t="array" aca="1" ref="V37" ca="1">_xlfn.LET(
    _xlpm.gap, $F37,
    _xlpm.key, $K37,
    _xlpm.data, _xlfn._xlws.FILTER('sheet template'!$F$2:$M$1009,
                 ('sheet template'!$A$2:$A$1009=_xlpm.key) *
                 ('sheet template'!$F$2:$F$1009&lt;=_xlpm.gap), ""),
    IF(OR(_xlpm.key="", _xlpm.gap&lt;=0, ROWS(_xlpm.data)=0), "", _xlpm.data)
)</f>
        <v>#NAME?</v>
      </c>
      <c r="W37" s="83"/>
      <c r="X37" s="83"/>
      <c r="Y37" s="83"/>
      <c r="Z37" s="83"/>
      <c r="AA37" s="83"/>
      <c r="AB37" s="83"/>
      <c r="AC37" s="83"/>
      <c r="AD37" s="13" t="e" cm="1">
        <f t="array" aca="1" ref="AD37" ca="1">_xlfn.LET(
    _xlpm.gap, $F37,
    _xlpm.key, $L37,
    _xlpm.data, _xlfn._xlws.FILTER('sheet template'!$F$2:$M$1009,
                 ('sheet template'!$A$2:$A$1009=_xlpm.key) *
                 ('sheet template'!$F$2:$F$1009&lt;=_xlpm.gap), ""),
    IF(OR(_xlpm.key="", _xlpm.gap&lt;=0, ROWS(_xlpm.data)=0), "", _xlpm.data)
)</f>
        <v>#NAME?</v>
      </c>
      <c r="AE37" s="83"/>
      <c r="AF37" s="83"/>
      <c r="AG37" s="83"/>
      <c r="AH37" s="83"/>
      <c r="AI37" s="83"/>
      <c r="AJ37" s="83"/>
      <c r="AK37" s="83"/>
      <c r="AL37" s="13" t="e" cm="1">
        <f t="array" aca="1" ref="AL37" ca="1">_xlfn.LET(
    _xlpm.gap, $F37,
    _xlpm.key, $L37,
    _xlpm.data, _xlfn._xlws.FILTER('sheet template'!$F$2:$M$1009,
                 ('sheet template'!$A$2:$A$1009=_xlpm.key) *
                 ('sheet template'!$F$2:$F$1009&lt;=_xlpm.gap), ""),
    IF(OR(_xlpm.key="", _xlpm.gap&lt;=0, ROWS(_xlpm.data)=0), "", _xlpm.data)
)</f>
        <v>#NAME?</v>
      </c>
      <c r="AM37" s="83"/>
      <c r="AN37" s="83"/>
      <c r="AO37" s="83"/>
      <c r="AP37" s="83"/>
      <c r="AQ37" s="83"/>
      <c r="AR37" s="83"/>
      <c r="AS37" s="83"/>
    </row>
    <row r="38" spans="1:45">
      <c r="A38" s="286"/>
      <c r="B38" s="299"/>
      <c r="C38" s="296"/>
      <c r="D38" s="293"/>
      <c r="E38" s="289"/>
      <c r="F38" s="289"/>
      <c r="G38" s="289"/>
      <c r="H38" s="286"/>
      <c r="I38" s="289"/>
      <c r="J38" s="286"/>
      <c r="K38" s="286"/>
      <c r="L38" s="286"/>
      <c r="M38" s="286"/>
      <c r="N38" s="13"/>
      <c r="O38" s="83"/>
      <c r="P38" s="83"/>
      <c r="Q38" s="83"/>
      <c r="R38" s="83"/>
      <c r="S38" s="83"/>
      <c r="T38" s="83"/>
      <c r="U38" s="83"/>
      <c r="V38" s="13"/>
      <c r="W38" s="83"/>
      <c r="X38" s="83"/>
      <c r="Y38" s="83"/>
      <c r="Z38" s="83"/>
      <c r="AA38" s="83"/>
      <c r="AB38" s="83"/>
      <c r="AC38" s="83"/>
      <c r="AD38" s="13"/>
      <c r="AE38" s="83"/>
      <c r="AF38" s="83"/>
      <c r="AG38" s="83"/>
      <c r="AH38" s="83"/>
      <c r="AI38" s="83"/>
      <c r="AJ38" s="83"/>
      <c r="AK38" s="83"/>
      <c r="AL38" s="13"/>
      <c r="AM38" s="83"/>
      <c r="AN38" s="83"/>
      <c r="AO38" s="83"/>
      <c r="AP38" s="83"/>
      <c r="AQ38" s="83"/>
      <c r="AR38" s="83"/>
      <c r="AS38" s="83"/>
    </row>
    <row r="39" spans="1:45">
      <c r="A39" s="287"/>
      <c r="B39" s="300"/>
      <c r="C39" s="297"/>
      <c r="D39" s="294"/>
      <c r="E39" s="290"/>
      <c r="F39" s="290"/>
      <c r="G39" s="290"/>
      <c r="H39" s="287"/>
      <c r="I39" s="290"/>
      <c r="J39" s="287"/>
      <c r="K39" s="287"/>
      <c r="L39" s="287"/>
      <c r="M39" s="287"/>
      <c r="N39" s="13"/>
      <c r="O39" s="83"/>
      <c r="P39" s="83"/>
      <c r="Q39" s="83"/>
      <c r="R39" s="83"/>
      <c r="S39" s="83"/>
      <c r="T39" s="83"/>
      <c r="U39" s="83"/>
      <c r="V39" s="13"/>
      <c r="W39" s="83"/>
      <c r="X39" s="83"/>
      <c r="Y39" s="83"/>
      <c r="Z39" s="83"/>
      <c r="AA39" s="83"/>
      <c r="AB39" s="83"/>
      <c r="AC39" s="83"/>
      <c r="AD39" s="13"/>
      <c r="AE39" s="83"/>
      <c r="AF39" s="83"/>
      <c r="AG39" s="83"/>
      <c r="AH39" s="83"/>
      <c r="AI39" s="83"/>
      <c r="AJ39" s="83"/>
      <c r="AK39" s="83"/>
      <c r="AL39" s="13"/>
      <c r="AM39" s="83"/>
      <c r="AN39" s="83"/>
      <c r="AO39" s="83"/>
      <c r="AP39" s="83"/>
      <c r="AQ39" s="83"/>
      <c r="AR39" s="83"/>
      <c r="AS39" s="83"/>
    </row>
    <row r="40" spans="1:45">
      <c r="A40" s="285" t="s">
        <v>504</v>
      </c>
      <c r="B40" s="298">
        <f>IFERROR(INDEX(panduan!$C$3:$H$16,
       MATCH(TRIM(A40), panduan!$B$3:$B$16, 0),
       MATCH(TRIM($B$4), panduan!$C$2:$H$2, 0)),"")</f>
        <v>2</v>
      </c>
      <c r="C40" s="295">
        <f>IFERROR(INDEX(panduan!$C$3:$H$16,
       MATCH(TRIM(A40), panduan!$B$3:$B$16, 0),
       MATCH(TRIM($B$5), panduan!$C$2:$H$2, 0)),"")</f>
        <v>3</v>
      </c>
      <c r="D40" s="292">
        <v>1</v>
      </c>
      <c r="E40" s="288">
        <f t="shared" si="0"/>
        <v>-2</v>
      </c>
      <c r="F40" s="288">
        <f t="shared" si="1"/>
        <v>2</v>
      </c>
      <c r="G40" s="288" t="str">
        <f>IFERROR(
    INDEX(panduan!$C$181:$G$185,
          MATCH($F$65,panduan!$B$181:$B$185,0),
          MATCH($F40,panduan!$C$180:$G$180,0)
    ),
"")</f>
        <v/>
      </c>
      <c r="H40" s="285" t="str">
        <f t="shared" si="2"/>
        <v/>
      </c>
      <c r="I40" s="288">
        <f>IF(E40&lt;0,_xlfn.RANK.EQ(E40,$E$13:$E$54,1)+COUNTIF($E$13:E42,E40)-1,"")</f>
        <v>2</v>
      </c>
      <c r="J40" s="285" t="str">
        <f t="shared" si="3"/>
        <v/>
      </c>
      <c r="K40" s="285" t="str">
        <f t="shared" si="4"/>
        <v/>
      </c>
      <c r="L40" s="285" t="str">
        <f t="shared" si="5"/>
        <v/>
      </c>
      <c r="M40" s="285" t="str">
        <f t="shared" si="6"/>
        <v/>
      </c>
      <c r="N40" s="13" t="e" cm="1">
        <f t="array" aca="1" ref="N40:U41" ca="1">_xlfn.LET(
    _xlpm.gap, $F40,
    _xlpm.key, $J40,
    _xlpm.data, _xlfn._xlws.FILTER('sheet template'!$F$2:$M$1009,
                 ('sheet template'!$A$2:$A$1009=_xlpm.key) *
                 ('sheet template'!$F$2:$F$1009&lt;=_xlpm.gap), ""),
    IF(OR(_xlpm.key="", _xlpm.gap&lt;=0, ROWS(_xlpm.data)=0), "", _xlpm.data)
)</f>
        <v>#NAME?</v>
      </c>
      <c r="O40" s="83" t="e">
        <f ca="1"/>
        <v>#NAME?</v>
      </c>
      <c r="P40" s="83" t="e">
        <f ca="1"/>
        <v>#NAME?</v>
      </c>
      <c r="Q40" s="83" t="e">
        <f ca="1"/>
        <v>#NAME?</v>
      </c>
      <c r="R40" s="83" t="e">
        <f ca="1"/>
        <v>#NAME?</v>
      </c>
      <c r="S40" s="83" t="e">
        <f ca="1"/>
        <v>#NAME?</v>
      </c>
      <c r="T40" s="83" t="e">
        <f ca="1"/>
        <v>#NAME?</v>
      </c>
      <c r="U40" s="83" t="e">
        <f ca="1"/>
        <v>#NAME?</v>
      </c>
      <c r="V40" s="13" t="e" cm="1">
        <f t="array" aca="1" ref="V40:AC41" ca="1">_xlfn.LET(
    _xlpm.gap, $F40,
    _xlpm.key, $K40,
    _xlpm.data, _xlfn._xlws.FILTER('sheet template'!$F$2:$M$1009,
                 ('sheet template'!$A$2:$A$1009=_xlpm.key) *
                 ('sheet template'!$F$2:$F$1009&lt;=_xlpm.gap), ""),
    IF(OR(_xlpm.key="", _xlpm.gap&lt;=0, ROWS(_xlpm.data)=0), "", _xlpm.data)
)</f>
        <v>#NAME?</v>
      </c>
      <c r="W40" s="83" t="e">
        <f ca="1"/>
        <v>#NAME?</v>
      </c>
      <c r="X40" s="83" t="e">
        <f ca="1"/>
        <v>#NAME?</v>
      </c>
      <c r="Y40" s="83" t="e">
        <f ca="1"/>
        <v>#NAME?</v>
      </c>
      <c r="Z40" s="83" t="e">
        <f ca="1"/>
        <v>#NAME?</v>
      </c>
      <c r="AA40" s="83" t="e">
        <f ca="1"/>
        <v>#NAME?</v>
      </c>
      <c r="AB40" s="83" t="e">
        <f ca="1"/>
        <v>#NAME?</v>
      </c>
      <c r="AC40" s="83" t="e">
        <f ca="1"/>
        <v>#NAME?</v>
      </c>
      <c r="AD40" s="13" t="e" cm="1">
        <f t="array" aca="1" ref="AD40:AK41" ca="1">_xlfn.LET(
    _xlpm.gap, $F40,
    _xlpm.key, $L40,
    _xlpm.data, _xlfn._xlws.FILTER('sheet template'!$F$2:$M$1009,
                 ('sheet template'!$A$2:$A$1009=_xlpm.key) *
                 ('sheet template'!$F$2:$F$1009&lt;=_xlpm.gap), ""),
    IF(OR(_xlpm.key="", _xlpm.gap&lt;=0, ROWS(_xlpm.data)=0), "", _xlpm.data)
)</f>
        <v>#NAME?</v>
      </c>
      <c r="AE40" s="83" t="e">
        <f ca="1"/>
        <v>#NAME?</v>
      </c>
      <c r="AF40" s="83" t="e">
        <f ca="1"/>
        <v>#NAME?</v>
      </c>
      <c r="AG40" s="83" t="e">
        <f ca="1"/>
        <v>#NAME?</v>
      </c>
      <c r="AH40" s="83" t="e">
        <f ca="1"/>
        <v>#NAME?</v>
      </c>
      <c r="AI40" s="83" t="e">
        <f ca="1"/>
        <v>#NAME?</v>
      </c>
      <c r="AJ40" s="83" t="e">
        <f ca="1"/>
        <v>#NAME?</v>
      </c>
      <c r="AK40" s="83" t="e">
        <f ca="1"/>
        <v>#NAME?</v>
      </c>
      <c r="AL40" s="13" t="e" cm="1">
        <f t="array" aca="1" ref="AL40:AS41" ca="1">_xlfn.LET(
    _xlpm.gap, $F40,
    _xlpm.key, $L40,
    _xlpm.data, _xlfn._xlws.FILTER('sheet template'!$F$2:$M$1009,
                 ('sheet template'!$A$2:$A$1009=_xlpm.key) *
                 ('sheet template'!$F$2:$F$1009&lt;=_xlpm.gap), ""),
    IF(OR(_xlpm.key="", _xlpm.gap&lt;=0, ROWS(_xlpm.data)=0), "", _xlpm.data)
)</f>
        <v>#NAME?</v>
      </c>
      <c r="AM40" s="83" t="e">
        <f ca="1"/>
        <v>#NAME?</v>
      </c>
      <c r="AN40" s="83" t="e">
        <f ca="1"/>
        <v>#NAME?</v>
      </c>
      <c r="AO40" s="83" t="e">
        <f ca="1"/>
        <v>#NAME?</v>
      </c>
      <c r="AP40" s="83" t="e">
        <f ca="1"/>
        <v>#NAME?</v>
      </c>
      <c r="AQ40" s="83" t="e">
        <f ca="1"/>
        <v>#NAME?</v>
      </c>
      <c r="AR40" s="83" t="e">
        <f ca="1"/>
        <v>#NAME?</v>
      </c>
      <c r="AS40" s="83" t="e">
        <f ca="1"/>
        <v>#NAME?</v>
      </c>
    </row>
    <row r="41" spans="1:45" ht="15" customHeight="1">
      <c r="A41" s="286"/>
      <c r="B41" s="299"/>
      <c r="C41" s="296"/>
      <c r="D41" s="293"/>
      <c r="E41" s="289"/>
      <c r="F41" s="289"/>
      <c r="G41" s="289"/>
      <c r="H41" s="286"/>
      <c r="I41" s="289"/>
      <c r="J41" s="286"/>
      <c r="K41" s="286"/>
      <c r="L41" s="286"/>
      <c r="M41" s="286"/>
      <c r="N41" s="13" t="e">
        <f ca="1"/>
        <v>#NAME?</v>
      </c>
      <c r="O41" s="83" t="e">
        <f ca="1"/>
        <v>#NAME?</v>
      </c>
      <c r="P41" s="83" t="e">
        <f ca="1"/>
        <v>#NAME?</v>
      </c>
      <c r="Q41" s="83" t="e">
        <f ca="1"/>
        <v>#NAME?</v>
      </c>
      <c r="R41" s="83" t="e">
        <f ca="1"/>
        <v>#NAME?</v>
      </c>
      <c r="S41" s="83" t="e">
        <f ca="1"/>
        <v>#NAME?</v>
      </c>
      <c r="T41" s="83" t="e">
        <f ca="1"/>
        <v>#NAME?</v>
      </c>
      <c r="U41" s="83" t="e">
        <f ca="1"/>
        <v>#NAME?</v>
      </c>
      <c r="V41" s="13" t="e">
        <f ca="1"/>
        <v>#NAME?</v>
      </c>
      <c r="W41" s="83" t="e">
        <f ca="1"/>
        <v>#NAME?</v>
      </c>
      <c r="X41" s="83" t="e">
        <f ca="1"/>
        <v>#NAME?</v>
      </c>
      <c r="Y41" s="83" t="e">
        <f ca="1"/>
        <v>#NAME?</v>
      </c>
      <c r="Z41" s="83" t="e">
        <f ca="1"/>
        <v>#NAME?</v>
      </c>
      <c r="AA41" s="83" t="e">
        <f ca="1"/>
        <v>#NAME?</v>
      </c>
      <c r="AB41" s="83" t="e">
        <f ca="1"/>
        <v>#NAME?</v>
      </c>
      <c r="AC41" s="83" t="e">
        <f ca="1"/>
        <v>#NAME?</v>
      </c>
      <c r="AD41" s="13" t="e">
        <f ca="1"/>
        <v>#NAME?</v>
      </c>
      <c r="AE41" s="83" t="e">
        <f ca="1"/>
        <v>#NAME?</v>
      </c>
      <c r="AF41" s="83" t="e">
        <f ca="1"/>
        <v>#NAME?</v>
      </c>
      <c r="AG41" s="83" t="e">
        <f ca="1"/>
        <v>#NAME?</v>
      </c>
      <c r="AH41" s="83" t="e">
        <f ca="1"/>
        <v>#NAME?</v>
      </c>
      <c r="AI41" s="83" t="e">
        <f ca="1"/>
        <v>#NAME?</v>
      </c>
      <c r="AJ41" s="83" t="e">
        <f ca="1"/>
        <v>#NAME?</v>
      </c>
      <c r="AK41" s="83" t="e">
        <f ca="1"/>
        <v>#NAME?</v>
      </c>
      <c r="AL41" s="13" t="e">
        <f ca="1"/>
        <v>#NAME?</v>
      </c>
      <c r="AM41" s="83" t="e">
        <f ca="1"/>
        <v>#NAME?</v>
      </c>
      <c r="AN41" s="83" t="e">
        <f ca="1"/>
        <v>#NAME?</v>
      </c>
      <c r="AO41" s="83" t="e">
        <f ca="1"/>
        <v>#NAME?</v>
      </c>
      <c r="AP41" s="83" t="e">
        <f ca="1"/>
        <v>#NAME?</v>
      </c>
      <c r="AQ41" s="83" t="e">
        <f ca="1"/>
        <v>#NAME?</v>
      </c>
      <c r="AR41" s="83" t="e">
        <f ca="1"/>
        <v>#NAME?</v>
      </c>
      <c r="AS41" s="83" t="e">
        <f ca="1"/>
        <v>#NAME?</v>
      </c>
    </row>
    <row r="42" spans="1:45" ht="15" customHeight="1">
      <c r="A42" s="287"/>
      <c r="B42" s="300"/>
      <c r="C42" s="297"/>
      <c r="D42" s="294"/>
      <c r="E42" s="290"/>
      <c r="F42" s="290"/>
      <c r="G42" s="290"/>
      <c r="H42" s="287"/>
      <c r="I42" s="290"/>
      <c r="J42" s="287"/>
      <c r="K42" s="287"/>
      <c r="L42" s="287"/>
      <c r="M42" s="287"/>
      <c r="N42" s="13"/>
      <c r="O42" s="83"/>
      <c r="P42" s="83"/>
      <c r="Q42" s="83"/>
      <c r="R42" s="83"/>
      <c r="S42" s="83"/>
      <c r="T42" s="83"/>
      <c r="U42" s="83"/>
      <c r="V42" s="13"/>
      <c r="W42" s="83"/>
      <c r="X42" s="83"/>
      <c r="Y42" s="83"/>
      <c r="Z42" s="83"/>
      <c r="AA42" s="83"/>
      <c r="AB42" s="83"/>
      <c r="AC42" s="83"/>
      <c r="AD42" s="13"/>
      <c r="AE42" s="83"/>
      <c r="AF42" s="83"/>
      <c r="AG42" s="83"/>
      <c r="AH42" s="83"/>
      <c r="AI42" s="83"/>
      <c r="AJ42" s="83"/>
      <c r="AK42" s="83"/>
      <c r="AL42" s="13"/>
      <c r="AM42" s="83"/>
      <c r="AN42" s="83"/>
      <c r="AO42" s="83"/>
      <c r="AP42" s="83"/>
      <c r="AQ42" s="83"/>
      <c r="AR42" s="83"/>
      <c r="AS42" s="83"/>
    </row>
    <row r="43" spans="1:45">
      <c r="A43" s="285" t="s">
        <v>505</v>
      </c>
      <c r="B43" s="298">
        <f>IFERROR(INDEX(panduan!$C$3:$H$16,
       MATCH(TRIM(A43), panduan!$B$3:$B$16, 0),
       MATCH(TRIM($B$4), panduan!$C$2:$H$2, 0)),"")</f>
        <v>1</v>
      </c>
      <c r="C43" s="295">
        <f>IFERROR(INDEX(panduan!$C$3:$H$16,
       MATCH(TRIM(A43), panduan!$B$3:$B$16, 0),
       MATCH(TRIM($B$5), panduan!$C$2:$H$2, 0)),"")</f>
        <v>2</v>
      </c>
      <c r="D43" s="292">
        <v>3</v>
      </c>
      <c r="E43" s="288">
        <f t="shared" si="0"/>
        <v>1</v>
      </c>
      <c r="F43" s="288" t="str">
        <f t="shared" si="1"/>
        <v/>
      </c>
      <c r="G43" s="288" t="str">
        <f>IFERROR(
    INDEX(panduan!$C$181:$G$185,
          MATCH($F$65,panduan!$B$181:$B$185,0),
          MATCH($F43,panduan!$C$180:$G$180,0)
    ),
"")</f>
        <v/>
      </c>
      <c r="H43" s="285" t="str">
        <f t="shared" si="2"/>
        <v/>
      </c>
      <c r="I43" s="288" t="str">
        <f>IF(E43&lt;0,_xlfn.RANK.EQ(E43,$E$13:$E$54,1)+COUNTIF($E$13:E45,E43)-1,"")</f>
        <v/>
      </c>
      <c r="J43" s="285" t="str">
        <f t="shared" si="3"/>
        <v/>
      </c>
      <c r="K43" s="285" t="str">
        <f t="shared" si="4"/>
        <v/>
      </c>
      <c r="L43" s="285" t="str">
        <f t="shared" si="5"/>
        <v/>
      </c>
      <c r="M43" s="285" t="str">
        <f t="shared" si="6"/>
        <v/>
      </c>
      <c r="N43" s="13" t="e" cm="1">
        <f t="array" aca="1" ref="N43" ca="1">_xlfn.LET(
    _xlpm.gap, $F43,
    _xlpm.key, $J43,
    _xlpm.data, _xlfn._xlws.FILTER('sheet template'!$F$2:$M$1009,
                 ('sheet template'!$A$2:$A$1009=_xlpm.key) *
                 ('sheet template'!$F$2:$F$1009&lt;=_xlpm.gap), ""),
    IF(OR(_xlpm.key="", _xlpm.gap&lt;=0, ROWS(_xlpm.data)=0), "", _xlpm.data)
)</f>
        <v>#NAME?</v>
      </c>
      <c r="O43" s="83"/>
      <c r="P43" s="83"/>
      <c r="Q43" s="83"/>
      <c r="R43" s="83"/>
      <c r="S43" s="83"/>
      <c r="T43" s="83"/>
      <c r="U43" s="83"/>
      <c r="V43" s="13" t="e" cm="1">
        <f t="array" aca="1" ref="V43" ca="1">_xlfn.LET(
    _xlpm.gap, $F43,
    _xlpm.key, $K43,
    _xlpm.data, _xlfn._xlws.FILTER('sheet template'!$F$2:$M$1009,
                 ('sheet template'!$A$2:$A$1009=_xlpm.key) *
                 ('sheet template'!$F$2:$F$1009&lt;=_xlpm.gap), ""),
    IF(OR(_xlpm.key="", _xlpm.gap&lt;=0, ROWS(_xlpm.data)=0), "", _xlpm.data)
)</f>
        <v>#NAME?</v>
      </c>
      <c r="W43" s="83"/>
      <c r="X43" s="83"/>
      <c r="Y43" s="83"/>
      <c r="Z43" s="83"/>
      <c r="AA43" s="83"/>
      <c r="AB43" s="83"/>
      <c r="AC43" s="83"/>
      <c r="AD43" s="13" t="e" cm="1">
        <f t="array" aca="1" ref="AD43" ca="1">_xlfn.LET(
    _xlpm.gap, $F43,
    _xlpm.key, $L43,
    _xlpm.data, _xlfn._xlws.FILTER('sheet template'!$F$2:$M$1009,
                 ('sheet template'!$A$2:$A$1009=_xlpm.key) *
                 ('sheet template'!$F$2:$F$1009&lt;=_xlpm.gap), ""),
    IF(OR(_xlpm.key="", _xlpm.gap&lt;=0, ROWS(_xlpm.data)=0), "", _xlpm.data)
)</f>
        <v>#NAME?</v>
      </c>
      <c r="AE43" s="83"/>
      <c r="AF43" s="83"/>
      <c r="AG43" s="83"/>
      <c r="AH43" s="83"/>
      <c r="AI43" s="83"/>
      <c r="AJ43" s="83"/>
      <c r="AK43" s="83"/>
      <c r="AL43" s="13" t="e" cm="1">
        <f t="array" aca="1" ref="AL43" ca="1">_xlfn.LET(
    _xlpm.gap, $F43,
    _xlpm.key, $L43,
    _xlpm.data, _xlfn._xlws.FILTER('sheet template'!$F$2:$M$1009,
                 ('sheet template'!$A$2:$A$1009=_xlpm.key) *
                 ('sheet template'!$F$2:$F$1009&lt;=_xlpm.gap), ""),
    IF(OR(_xlpm.key="", _xlpm.gap&lt;=0, ROWS(_xlpm.data)=0), "", _xlpm.data)
)</f>
        <v>#NAME?</v>
      </c>
      <c r="AM43" s="83"/>
      <c r="AN43" s="83"/>
      <c r="AO43" s="83"/>
      <c r="AP43" s="83"/>
      <c r="AQ43" s="83"/>
      <c r="AR43" s="83"/>
      <c r="AS43" s="83"/>
    </row>
    <row r="44" spans="1:45">
      <c r="A44" s="286"/>
      <c r="B44" s="299"/>
      <c r="C44" s="296"/>
      <c r="D44" s="293"/>
      <c r="E44" s="289"/>
      <c r="F44" s="289"/>
      <c r="G44" s="289"/>
      <c r="H44" s="286"/>
      <c r="I44" s="289"/>
      <c r="J44" s="286"/>
      <c r="K44" s="286"/>
      <c r="L44" s="286"/>
      <c r="M44" s="286"/>
      <c r="N44" s="13"/>
      <c r="O44" s="83"/>
      <c r="P44" s="83"/>
      <c r="Q44" s="83"/>
      <c r="R44" s="83"/>
      <c r="S44" s="83"/>
      <c r="T44" s="83"/>
      <c r="U44" s="83"/>
      <c r="V44" s="13"/>
      <c r="W44" s="83"/>
      <c r="X44" s="83"/>
      <c r="Y44" s="83"/>
      <c r="Z44" s="83"/>
      <c r="AA44" s="83"/>
      <c r="AB44" s="83"/>
      <c r="AC44" s="83"/>
      <c r="AD44" s="13"/>
      <c r="AE44" s="83"/>
      <c r="AF44" s="83"/>
      <c r="AG44" s="83"/>
      <c r="AH44" s="83"/>
      <c r="AI44" s="83"/>
      <c r="AJ44" s="83"/>
      <c r="AK44" s="83"/>
      <c r="AL44" s="13"/>
      <c r="AM44" s="83"/>
      <c r="AN44" s="83"/>
      <c r="AO44" s="83"/>
      <c r="AP44" s="83"/>
      <c r="AQ44" s="83"/>
      <c r="AR44" s="83"/>
      <c r="AS44" s="83"/>
    </row>
    <row r="45" spans="1:45">
      <c r="A45" s="287"/>
      <c r="B45" s="300"/>
      <c r="C45" s="297"/>
      <c r="D45" s="294"/>
      <c r="E45" s="290"/>
      <c r="F45" s="290"/>
      <c r="G45" s="290"/>
      <c r="H45" s="287"/>
      <c r="I45" s="290"/>
      <c r="J45" s="287"/>
      <c r="K45" s="287"/>
      <c r="L45" s="287"/>
      <c r="M45" s="287"/>
      <c r="N45" s="13"/>
      <c r="O45" s="83"/>
      <c r="P45" s="83"/>
      <c r="Q45" s="83"/>
      <c r="R45" s="83"/>
      <c r="S45" s="83"/>
      <c r="T45" s="83"/>
      <c r="U45" s="83"/>
      <c r="V45" s="13"/>
      <c r="W45" s="83"/>
      <c r="X45" s="83"/>
      <c r="Y45" s="83"/>
      <c r="Z45" s="83"/>
      <c r="AA45" s="83"/>
      <c r="AB45" s="83"/>
      <c r="AC45" s="83"/>
      <c r="AD45" s="13"/>
      <c r="AE45" s="83"/>
      <c r="AF45" s="83"/>
      <c r="AG45" s="83"/>
      <c r="AH45" s="83"/>
      <c r="AI45" s="83"/>
      <c r="AJ45" s="83"/>
      <c r="AK45" s="83"/>
      <c r="AL45" s="13"/>
      <c r="AM45" s="83"/>
      <c r="AN45" s="83"/>
      <c r="AO45" s="83"/>
      <c r="AP45" s="83"/>
      <c r="AQ45" s="83"/>
      <c r="AR45" s="83"/>
      <c r="AS45" s="83"/>
    </row>
    <row r="46" spans="1:45">
      <c r="A46" s="285" t="s">
        <v>506</v>
      </c>
      <c r="B46" s="298">
        <f>IFERROR(INDEX(panduan!$C$3:$H$16,
       MATCH(TRIM(A46), panduan!$B$3:$B$16, 0),
       MATCH(TRIM($B$4), panduan!$C$2:$H$2, 0)),"")</f>
        <v>2</v>
      </c>
      <c r="C46" s="295">
        <f>IFERROR(INDEX(panduan!$C$3:$H$16,
       MATCH(TRIM(A46), panduan!$B$3:$B$16, 0),
       MATCH(TRIM($B$5), panduan!$C$2:$H$2, 0)),"")</f>
        <v>3</v>
      </c>
      <c r="D46" s="292">
        <v>4</v>
      </c>
      <c r="E46" s="288">
        <f t="shared" si="0"/>
        <v>1</v>
      </c>
      <c r="F46" s="288" t="str">
        <f t="shared" si="1"/>
        <v/>
      </c>
      <c r="G46" s="288" t="str">
        <f>IFERROR(
    INDEX(panduan!$C$181:$G$185,
          MATCH($F$65,panduan!$B$181:$B$185,0),
          MATCH($F46,panduan!$C$180:$G$180,0)
    ),
"")</f>
        <v/>
      </c>
      <c r="H46" s="285" t="str">
        <f t="shared" si="2"/>
        <v/>
      </c>
      <c r="I46" s="288" t="str">
        <f>IF(E46&lt;0,_xlfn.RANK.EQ(E46,$E$13:$E$54,1)+COUNTIF($E$13:E48,E46)-1,"")</f>
        <v/>
      </c>
      <c r="J46" s="285" t="str">
        <f t="shared" si="3"/>
        <v/>
      </c>
      <c r="K46" s="285" t="str">
        <f t="shared" si="4"/>
        <v/>
      </c>
      <c r="L46" s="285" t="str">
        <f t="shared" si="5"/>
        <v/>
      </c>
      <c r="M46" s="285" t="str">
        <f t="shared" si="6"/>
        <v/>
      </c>
      <c r="N46" s="13" t="e" cm="1">
        <f t="array" aca="1" ref="N46" ca="1">_xlfn.LET(
    _xlpm.gap, $F46,
    _xlpm.key, $J46,
    _xlpm.data, _xlfn._xlws.FILTER('sheet template'!$F$2:$M$1009,
                 ('sheet template'!$A$2:$A$1009=_xlpm.key) *
                 ('sheet template'!$F$2:$F$1009&lt;=_xlpm.gap), ""),
    IF(OR(_xlpm.key="", _xlpm.gap&lt;=0, ROWS(_xlpm.data)=0), "", _xlpm.data)
)</f>
        <v>#NAME?</v>
      </c>
      <c r="O46" s="83"/>
      <c r="P46" s="83"/>
      <c r="Q46" s="83"/>
      <c r="R46" s="83"/>
      <c r="S46" s="83"/>
      <c r="T46" s="83"/>
      <c r="U46" s="83"/>
      <c r="V46" s="13" t="e" cm="1">
        <f t="array" aca="1" ref="V46" ca="1">_xlfn.LET(
    _xlpm.gap, $F46,
    _xlpm.key, $K46,
    _xlpm.data, _xlfn._xlws.FILTER('sheet template'!$F$2:$M$1009,
                 ('sheet template'!$A$2:$A$1009=_xlpm.key) *
                 ('sheet template'!$F$2:$F$1009&lt;=_xlpm.gap), ""),
    IF(OR(_xlpm.key="", _xlpm.gap&lt;=0, ROWS(_xlpm.data)=0), "", _xlpm.data)
)</f>
        <v>#NAME?</v>
      </c>
      <c r="W46" s="83"/>
      <c r="X46" s="83"/>
      <c r="Y46" s="83"/>
      <c r="Z46" s="83"/>
      <c r="AA46" s="83"/>
      <c r="AB46" s="83"/>
      <c r="AC46" s="83"/>
      <c r="AD46" s="13" t="e" cm="1">
        <f t="array" aca="1" ref="AD46" ca="1">_xlfn.LET(
    _xlpm.gap, $F46,
    _xlpm.key, $L46,
    _xlpm.data, _xlfn._xlws.FILTER('sheet template'!$F$2:$M$1009,
                 ('sheet template'!$A$2:$A$1009=_xlpm.key) *
                 ('sheet template'!$F$2:$F$1009&lt;=_xlpm.gap), ""),
    IF(OR(_xlpm.key="", _xlpm.gap&lt;=0, ROWS(_xlpm.data)=0), "", _xlpm.data)
)</f>
        <v>#NAME?</v>
      </c>
      <c r="AE46" s="83"/>
      <c r="AF46" s="83"/>
      <c r="AG46" s="83"/>
      <c r="AH46" s="83"/>
      <c r="AI46" s="83"/>
      <c r="AJ46" s="83"/>
      <c r="AK46" s="83"/>
      <c r="AL46" s="13" t="e" cm="1">
        <f t="array" aca="1" ref="AL46" ca="1">_xlfn.LET(
    _xlpm.gap, $F46,
    _xlpm.key, $L46,
    _xlpm.data, _xlfn._xlws.FILTER('sheet template'!$F$2:$M$1009,
                 ('sheet template'!$A$2:$A$1009=_xlpm.key) *
                 ('sheet template'!$F$2:$F$1009&lt;=_xlpm.gap), ""),
    IF(OR(_xlpm.key="", _xlpm.gap&lt;=0, ROWS(_xlpm.data)=0), "", _xlpm.data)
)</f>
        <v>#NAME?</v>
      </c>
      <c r="AM46" s="83"/>
      <c r="AN46" s="83"/>
      <c r="AO46" s="83"/>
      <c r="AP46" s="83"/>
      <c r="AQ46" s="83"/>
      <c r="AR46" s="83"/>
      <c r="AS46" s="83"/>
    </row>
    <row r="47" spans="1:45">
      <c r="A47" s="286"/>
      <c r="B47" s="299"/>
      <c r="C47" s="296"/>
      <c r="D47" s="293"/>
      <c r="E47" s="289"/>
      <c r="F47" s="289"/>
      <c r="G47" s="289"/>
      <c r="H47" s="286"/>
      <c r="I47" s="289"/>
      <c r="J47" s="286"/>
      <c r="K47" s="286"/>
      <c r="L47" s="286"/>
      <c r="M47" s="286"/>
      <c r="N47" s="13"/>
      <c r="O47" s="83"/>
      <c r="P47" s="83"/>
      <c r="Q47" s="83"/>
      <c r="R47" s="83"/>
      <c r="S47" s="83"/>
      <c r="T47" s="83"/>
      <c r="U47" s="83"/>
      <c r="V47" s="13"/>
      <c r="W47" s="83"/>
      <c r="X47" s="83"/>
      <c r="Y47" s="83"/>
      <c r="Z47" s="83"/>
      <c r="AA47" s="83"/>
      <c r="AB47" s="83"/>
      <c r="AC47" s="83"/>
      <c r="AD47" s="13"/>
      <c r="AE47" s="83"/>
      <c r="AF47" s="83"/>
      <c r="AG47" s="83"/>
      <c r="AH47" s="83"/>
      <c r="AI47" s="83"/>
      <c r="AJ47" s="83"/>
      <c r="AK47" s="83"/>
      <c r="AL47" s="13"/>
      <c r="AM47" s="83"/>
      <c r="AN47" s="83"/>
      <c r="AO47" s="83"/>
      <c r="AP47" s="83"/>
      <c r="AQ47" s="83"/>
      <c r="AR47" s="83"/>
      <c r="AS47" s="83"/>
    </row>
    <row r="48" spans="1:45">
      <c r="A48" s="287"/>
      <c r="B48" s="300"/>
      <c r="C48" s="297"/>
      <c r="D48" s="294"/>
      <c r="E48" s="290"/>
      <c r="F48" s="290"/>
      <c r="G48" s="290"/>
      <c r="H48" s="287"/>
      <c r="I48" s="290"/>
      <c r="J48" s="287"/>
      <c r="K48" s="287"/>
      <c r="L48" s="287"/>
      <c r="M48" s="287"/>
      <c r="N48" s="13"/>
      <c r="O48" s="83"/>
      <c r="P48" s="83"/>
      <c r="Q48" s="83"/>
      <c r="R48" s="83"/>
      <c r="S48" s="83"/>
      <c r="T48" s="83"/>
      <c r="U48" s="83"/>
      <c r="V48" s="13"/>
      <c r="W48" s="83"/>
      <c r="X48" s="83"/>
      <c r="Y48" s="83"/>
      <c r="Z48" s="83"/>
      <c r="AA48" s="83"/>
      <c r="AB48" s="83"/>
      <c r="AC48" s="83"/>
      <c r="AD48" s="13"/>
      <c r="AE48" s="83"/>
      <c r="AF48" s="83"/>
      <c r="AG48" s="83"/>
      <c r="AH48" s="83"/>
      <c r="AI48" s="83"/>
      <c r="AJ48" s="83"/>
      <c r="AK48" s="83"/>
      <c r="AL48" s="13"/>
      <c r="AM48" s="83"/>
      <c r="AN48" s="83"/>
      <c r="AO48" s="83"/>
      <c r="AP48" s="83"/>
      <c r="AQ48" s="83"/>
      <c r="AR48" s="83"/>
      <c r="AS48" s="83"/>
    </row>
    <row r="49" spans="1:45">
      <c r="A49" s="285" t="s">
        <v>507</v>
      </c>
      <c r="B49" s="298">
        <f>IFERROR(INDEX(panduan!$C$3:$H$16,
       MATCH(TRIM(A49), panduan!$B$3:$B$16, 0),
       MATCH(TRIM($B$4), panduan!$C$2:$H$2, 0)),"")</f>
        <v>1</v>
      </c>
      <c r="C49" s="295">
        <f>IFERROR(INDEX(panduan!$C$3:$H$16,
       MATCH(TRIM(A49), panduan!$B$3:$B$16, 0),
       MATCH(TRIM($B$5), panduan!$C$2:$H$2, 0)),"")</f>
        <v>2</v>
      </c>
      <c r="D49" s="292">
        <v>4</v>
      </c>
      <c r="E49" s="288">
        <f t="shared" si="0"/>
        <v>2</v>
      </c>
      <c r="F49" s="288" t="str">
        <f t="shared" si="1"/>
        <v/>
      </c>
      <c r="G49" s="288" t="str">
        <f>IFERROR(
    INDEX(panduan!$C$181:$G$185,
          MATCH($F$65,panduan!$B$181:$B$185,0),
          MATCH($F49,panduan!$C$180:$G$180,0)
    ),
"")</f>
        <v/>
      </c>
      <c r="H49" s="285" t="str">
        <f t="shared" si="2"/>
        <v/>
      </c>
      <c r="I49" s="288" t="str">
        <f>IF(E49&lt;0,_xlfn.RANK.EQ(E49,$E$13:$E$54,1)+COUNTIF($E$13:E51,E49)-1,"")</f>
        <v/>
      </c>
      <c r="J49" s="285" t="str">
        <f t="shared" si="3"/>
        <v/>
      </c>
      <c r="K49" s="285" t="str">
        <f t="shared" si="4"/>
        <v/>
      </c>
      <c r="L49" s="285" t="str">
        <f t="shared" si="5"/>
        <v/>
      </c>
      <c r="M49" s="285" t="str">
        <f t="shared" si="6"/>
        <v/>
      </c>
      <c r="N49" s="13" t="e" cm="1">
        <f t="array" aca="1" ref="N49" ca="1">_xlfn.LET(
    _xlpm.gap, $F49,
    _xlpm.key, $J49,
    _xlpm.data, _xlfn._xlws.FILTER('sheet template'!$F$2:$M$1009,
                 ('sheet template'!$A$2:$A$1009=_xlpm.key) *
                 ('sheet template'!$F$2:$F$1009&lt;=_xlpm.gap), ""),
    IF(OR(_xlpm.key="", _xlpm.gap&lt;=0, ROWS(_xlpm.data)=0), "", _xlpm.data)
)</f>
        <v>#NAME?</v>
      </c>
      <c r="O49" s="83"/>
      <c r="P49" s="83"/>
      <c r="Q49" s="83"/>
      <c r="R49" s="83"/>
      <c r="S49" s="83"/>
      <c r="T49" s="83"/>
      <c r="U49" s="83"/>
      <c r="V49" s="13" t="e" cm="1">
        <f t="array" aca="1" ref="V49" ca="1">_xlfn.LET(
    _xlpm.gap, $F49,
    _xlpm.key, $K49,
    _xlpm.data, _xlfn._xlws.FILTER('sheet template'!$F$2:$M$1009,
                 ('sheet template'!$A$2:$A$1009=_xlpm.key) *
                 ('sheet template'!$F$2:$F$1009&lt;=_xlpm.gap), ""),
    IF(OR(_xlpm.key="", _xlpm.gap&lt;=0, ROWS(_xlpm.data)=0), "", _xlpm.data)
)</f>
        <v>#NAME?</v>
      </c>
      <c r="W49" s="83"/>
      <c r="X49" s="83"/>
      <c r="Y49" s="83"/>
      <c r="Z49" s="83"/>
      <c r="AA49" s="83"/>
      <c r="AB49" s="83"/>
      <c r="AC49" s="83"/>
      <c r="AD49" s="13" t="e" cm="1">
        <f t="array" aca="1" ref="AD49" ca="1">_xlfn.LET(
    _xlpm.gap, $F49,
    _xlpm.key, $L49,
    _xlpm.data, _xlfn._xlws.FILTER('sheet template'!$F$2:$M$1009,
                 ('sheet template'!$A$2:$A$1009=_xlpm.key) *
                 ('sheet template'!$F$2:$F$1009&lt;=_xlpm.gap), ""),
    IF(OR(_xlpm.key="", _xlpm.gap&lt;=0, ROWS(_xlpm.data)=0), "", _xlpm.data)
)</f>
        <v>#NAME?</v>
      </c>
      <c r="AE49" s="83"/>
      <c r="AF49" s="83"/>
      <c r="AG49" s="83"/>
      <c r="AH49" s="83"/>
      <c r="AI49" s="83"/>
      <c r="AJ49" s="83"/>
      <c r="AK49" s="83"/>
      <c r="AL49" s="13" t="e" cm="1">
        <f t="array" aca="1" ref="AL49" ca="1">_xlfn.LET(
    _xlpm.gap, $F49,
    _xlpm.key, $L49,
    _xlpm.data, _xlfn._xlws.FILTER('sheet template'!$F$2:$M$1009,
                 ('sheet template'!$A$2:$A$1009=_xlpm.key) *
                 ('sheet template'!$F$2:$F$1009&lt;=_xlpm.gap), ""),
    IF(OR(_xlpm.key="", _xlpm.gap&lt;=0, ROWS(_xlpm.data)=0), "", _xlpm.data)
)</f>
        <v>#NAME?</v>
      </c>
      <c r="AM49" s="83"/>
      <c r="AN49" s="83"/>
      <c r="AO49" s="83"/>
      <c r="AP49" s="83"/>
      <c r="AQ49" s="83"/>
      <c r="AR49" s="83"/>
      <c r="AS49" s="83"/>
    </row>
    <row r="50" spans="1:45">
      <c r="A50" s="286"/>
      <c r="B50" s="299"/>
      <c r="C50" s="296"/>
      <c r="D50" s="293"/>
      <c r="E50" s="289"/>
      <c r="F50" s="289"/>
      <c r="G50" s="289"/>
      <c r="H50" s="286"/>
      <c r="I50" s="289"/>
      <c r="J50" s="286"/>
      <c r="K50" s="286"/>
      <c r="L50" s="286"/>
      <c r="M50" s="286"/>
      <c r="N50" s="13"/>
      <c r="O50" s="83"/>
      <c r="P50" s="83"/>
      <c r="Q50" s="83"/>
      <c r="R50" s="83"/>
      <c r="S50" s="83"/>
      <c r="T50" s="83"/>
      <c r="U50" s="83"/>
      <c r="V50" s="13"/>
      <c r="W50" s="83"/>
      <c r="X50" s="83"/>
      <c r="Y50" s="83"/>
      <c r="Z50" s="83"/>
      <c r="AA50" s="83"/>
      <c r="AB50" s="83"/>
      <c r="AC50" s="83"/>
      <c r="AD50" s="13"/>
      <c r="AE50" s="83"/>
      <c r="AF50" s="83"/>
      <c r="AG50" s="83"/>
      <c r="AH50" s="83"/>
      <c r="AI50" s="83"/>
      <c r="AJ50" s="83"/>
      <c r="AK50" s="83"/>
      <c r="AL50" s="13"/>
      <c r="AM50" s="83"/>
      <c r="AN50" s="83"/>
      <c r="AO50" s="83"/>
      <c r="AP50" s="83"/>
      <c r="AQ50" s="83"/>
      <c r="AR50" s="83"/>
      <c r="AS50" s="83"/>
    </row>
    <row r="51" spans="1:45">
      <c r="A51" s="287"/>
      <c r="B51" s="300"/>
      <c r="C51" s="297"/>
      <c r="D51" s="294"/>
      <c r="E51" s="290"/>
      <c r="F51" s="290"/>
      <c r="G51" s="290"/>
      <c r="H51" s="287"/>
      <c r="I51" s="290"/>
      <c r="J51" s="287"/>
      <c r="K51" s="287"/>
      <c r="L51" s="287"/>
      <c r="M51" s="287"/>
      <c r="N51" s="13"/>
      <c r="O51" s="83"/>
      <c r="P51" s="83"/>
      <c r="Q51" s="83"/>
      <c r="R51" s="83"/>
      <c r="S51" s="83"/>
      <c r="T51" s="83"/>
      <c r="U51" s="83"/>
      <c r="V51" s="13"/>
      <c r="W51" s="83"/>
      <c r="X51" s="83"/>
      <c r="Y51" s="83"/>
      <c r="Z51" s="83"/>
      <c r="AA51" s="83"/>
      <c r="AB51" s="83"/>
      <c r="AC51" s="83"/>
      <c r="AD51" s="13"/>
      <c r="AE51" s="83"/>
      <c r="AF51" s="83"/>
      <c r="AG51" s="83"/>
      <c r="AH51" s="83"/>
      <c r="AI51" s="83"/>
      <c r="AJ51" s="83"/>
      <c r="AK51" s="83"/>
      <c r="AL51" s="13"/>
      <c r="AM51" s="83"/>
      <c r="AN51" s="83"/>
      <c r="AO51" s="83"/>
      <c r="AP51" s="83"/>
      <c r="AQ51" s="83"/>
      <c r="AR51" s="83"/>
      <c r="AS51" s="83"/>
    </row>
    <row r="52" spans="1:45">
      <c r="A52" s="285" t="s">
        <v>508</v>
      </c>
      <c r="B52" s="298">
        <f>IFERROR(INDEX(panduan!$C$3:$H$16,
       MATCH(TRIM(A52), panduan!$B$3:$B$16, 0),
       MATCH(TRIM($B$4), panduan!$C$2:$H$2, 0)),"")</f>
        <v>1</v>
      </c>
      <c r="C52" s="295">
        <f>IFERROR(INDEX(panduan!$C$3:$H$16,
       MATCH(TRIM(A52), panduan!$B$3:$B$16, 0),
       MATCH(TRIM($B$5), panduan!$C$2:$H$2, 0)),"")</f>
        <v>2</v>
      </c>
      <c r="D52" s="292">
        <v>4</v>
      </c>
      <c r="E52" s="288">
        <f>D52-C52</f>
        <v>2</v>
      </c>
      <c r="F52" s="288" t="str">
        <f>IF(E52&lt;0, MIN(-E52, 4), "")</f>
        <v/>
      </c>
      <c r="G52" s="288" t="str">
        <f>IFERROR(
    INDEX(panduan!$C$181:$G$185,
          MATCH($F$65,panduan!$B$181:$B$185,0),
          MATCH($F52,panduan!$C$180:$G$180,0)
    ),
"")</f>
        <v/>
      </c>
      <c r="H52" s="285" t="str">
        <f>IF(G52="", "",
   SUBSTITUTE(
     SUBSTITUTE(
       SUBSTITUTE(
         SUBSTITUTE(G52,
           "1", "Personal Development"),
         "2", "Education-Based Development"),
       "3", "Relation-Based Development"),
     "4", "Experience-Based Development")
)</f>
        <v/>
      </c>
      <c r="I52" s="288" t="str">
        <f>IF(E52&lt;0,_xlfn.RANK.EQ(E52,$E$13:$E$54,1)+COUNTIF($E$13:E54,E52)-1,"")</f>
        <v/>
      </c>
      <c r="J52" s="285" t="str">
        <f>IF(ISNUMBER(FIND("1",$G52)), $A52&amp;"|"&amp;$B$5&amp;"|1", "")</f>
        <v/>
      </c>
      <c r="K52" s="285" t="str">
        <f>IF(ISNUMBER(FIND("2",$G52)), $A52&amp;"|"&amp;$B$5&amp;"|2", "")</f>
        <v/>
      </c>
      <c r="L52" s="285" t="str">
        <f>IF(ISNUMBER(FIND("3",$G52)), $A52&amp;"|"&amp;$B$5&amp;"|3", "")</f>
        <v/>
      </c>
      <c r="M52" s="285" t="str">
        <f>IF(ISNUMBER(FIND("4",$G52)), $A52&amp;"|"&amp;$B$5&amp;"|4", "")</f>
        <v/>
      </c>
      <c r="N52" s="13" t="e" cm="1">
        <f t="array" aca="1" ref="N52" ca="1">_xlfn.LET(
    _xlpm.gap, $F52,
    _xlpm.key, $J52,
    _xlpm.data, _xlfn._xlws.FILTER('sheet template'!$F$2:$M$1009,
                 ('sheet template'!$A$2:$A$1009=_xlpm.key) *
                 ('sheet template'!$F$2:$F$1009&lt;=_xlpm.gap), ""),
    IF(OR(_xlpm.key="", _xlpm.gap&lt;=0, ROWS(_xlpm.data)=0), "", _xlpm.data)
)</f>
        <v>#NAME?</v>
      </c>
      <c r="O52" s="83"/>
      <c r="P52" s="83"/>
      <c r="Q52" s="83"/>
      <c r="R52" s="83"/>
      <c r="S52" s="83"/>
      <c r="T52" s="83"/>
      <c r="U52" s="83"/>
      <c r="V52" s="13" t="e" cm="1">
        <f t="array" aca="1" ref="V52" ca="1">_xlfn.LET(
    _xlpm.gap, $F52,
    _xlpm.key, $K52,
    _xlpm.data, _xlfn._xlws.FILTER('sheet template'!$F$2:$M$1009,
                 ('sheet template'!$A$2:$A$1009=_xlpm.key) *
                 ('sheet template'!$F$2:$F$1009&lt;=_xlpm.gap), ""),
    IF(OR(_xlpm.key="", _xlpm.gap&lt;=0, ROWS(_xlpm.data)=0), "", _xlpm.data)
)</f>
        <v>#NAME?</v>
      </c>
      <c r="W52" s="83"/>
      <c r="X52" s="83"/>
      <c r="Y52" s="83"/>
      <c r="Z52" s="83"/>
      <c r="AA52" s="83"/>
      <c r="AB52" s="83"/>
      <c r="AC52" s="83"/>
      <c r="AD52" s="13" t="e" cm="1">
        <f t="array" aca="1" ref="AD52" ca="1">_xlfn.LET(
    _xlpm.gap, $F52,
    _xlpm.key, $L52,
    _xlpm.data, _xlfn._xlws.FILTER('sheet template'!$F$2:$M$1009,
                 ('sheet template'!$A$2:$A$1009=_xlpm.key) *
                 ('sheet template'!$F$2:$F$1009&lt;=_xlpm.gap), ""),
    IF(OR(_xlpm.key="", _xlpm.gap&lt;=0, ROWS(_xlpm.data)=0), "", _xlpm.data)
)</f>
        <v>#NAME?</v>
      </c>
      <c r="AE52" s="83"/>
      <c r="AF52" s="83"/>
      <c r="AG52" s="83"/>
      <c r="AH52" s="83"/>
      <c r="AI52" s="83"/>
      <c r="AJ52" s="83"/>
      <c r="AK52" s="83"/>
      <c r="AL52" s="13" t="e" cm="1">
        <f t="array" aca="1" ref="AL52" ca="1">_xlfn.LET(
    _xlpm.gap, $F52,
    _xlpm.key, $L52,
    _xlpm.data, _xlfn._xlws.FILTER('sheet template'!$F$2:$M$1009,
                 ('sheet template'!$A$2:$A$1009=_xlpm.key) *
                 ('sheet template'!$F$2:$F$1009&lt;=_xlpm.gap), ""),
    IF(OR(_xlpm.key="", _xlpm.gap&lt;=0, ROWS(_xlpm.data)=0), "", _xlpm.data)
)</f>
        <v>#NAME?</v>
      </c>
      <c r="AM52" s="83"/>
      <c r="AN52" s="83"/>
      <c r="AO52" s="83"/>
      <c r="AP52" s="83"/>
      <c r="AQ52" s="83"/>
      <c r="AR52" s="83"/>
      <c r="AS52" s="83"/>
    </row>
    <row r="53" spans="1:45">
      <c r="A53" s="286"/>
      <c r="B53" s="299"/>
      <c r="C53" s="296"/>
      <c r="D53" s="293"/>
      <c r="E53" s="289"/>
      <c r="F53" s="289"/>
      <c r="G53" s="289"/>
      <c r="H53" s="286"/>
      <c r="I53" s="289"/>
      <c r="J53" s="286"/>
      <c r="K53" s="286"/>
      <c r="L53" s="286"/>
      <c r="M53" s="286"/>
      <c r="N53" s="13"/>
      <c r="O53" s="83"/>
      <c r="P53" s="83"/>
      <c r="Q53" s="83"/>
      <c r="R53" s="83"/>
      <c r="S53" s="83"/>
      <c r="T53" s="83"/>
      <c r="U53" s="83"/>
      <c r="V53" s="13"/>
      <c r="W53" s="83"/>
      <c r="X53" s="83"/>
      <c r="Y53" s="83"/>
      <c r="Z53" s="83"/>
      <c r="AA53" s="83"/>
      <c r="AB53" s="83"/>
      <c r="AC53" s="83"/>
      <c r="AD53" s="13"/>
      <c r="AE53" s="83"/>
      <c r="AF53" s="83"/>
      <c r="AG53" s="83"/>
      <c r="AH53" s="83"/>
      <c r="AI53" s="83"/>
      <c r="AJ53" s="83"/>
      <c r="AK53" s="83"/>
      <c r="AL53" s="13"/>
      <c r="AM53" s="83"/>
      <c r="AN53" s="83"/>
      <c r="AO53" s="83"/>
      <c r="AP53" s="83"/>
      <c r="AQ53" s="83"/>
      <c r="AR53" s="83"/>
      <c r="AS53" s="83"/>
    </row>
    <row r="54" spans="1:45">
      <c r="A54" s="287"/>
      <c r="B54" s="300"/>
      <c r="C54" s="297"/>
      <c r="D54" s="294"/>
      <c r="E54" s="290"/>
      <c r="F54" s="290"/>
      <c r="G54" s="290"/>
      <c r="H54" s="287"/>
      <c r="I54" s="290"/>
      <c r="J54" s="287"/>
      <c r="K54" s="287"/>
      <c r="L54" s="287"/>
      <c r="M54" s="287"/>
      <c r="N54" s="13" t="e" cm="1">
        <f t="array" aca="1" ref="N54" ca="1">_xlfn.LET(
    _xlpm.key, J52,
    _xlpm.data, _xlfn._xlws.FILTER('sheet template'!$F$2:$M$1009, 'sheet template'!$A$2:$A$1009=_xlpm.key, ""),
    _xlpm.jmlBaris, ROWS(_xlpm.data),
    IF(OR(_xlpm.key="", _xlpm.jmlBaris=0), "", INDEX(_xlpm.data, RANDBETWEEN(1, _xlpm.jmlBaris), 0))
)</f>
        <v>#NAME?</v>
      </c>
      <c r="O54" s="83"/>
      <c r="P54" s="83"/>
      <c r="Q54" s="83"/>
      <c r="R54" s="83"/>
      <c r="S54" s="83"/>
      <c r="T54" s="83"/>
      <c r="U54" s="83"/>
      <c r="V54" s="13" t="str" cm="1">
        <f t="array" aca="1" ref="V54" ca="1">IF(K52="", "", INDEX(_xlfn._xlws.FILTER('sheet template'!$F$2:$M$1009, 'sheet template'!$A$2:$A$1009=K52), RANDBETWEEN(1,3), 0))</f>
        <v/>
      </c>
      <c r="W54" s="83"/>
      <c r="X54" s="83"/>
      <c r="Y54" s="83"/>
      <c r="Z54" s="83"/>
      <c r="AA54" s="83"/>
      <c r="AB54" s="83"/>
      <c r="AC54" s="83"/>
      <c r="AD54" s="13" t="str" cm="1">
        <f t="array" aca="1" ref="AD54" ca="1">IF(L52="", "", INDEX(_xlfn._xlws.FILTER('sheet template'!$F$2:$M$1009, 'sheet template'!$A$2:$A$1009=L52), RANDBETWEEN(1,3), 0))</f>
        <v/>
      </c>
      <c r="AE54" s="83"/>
      <c r="AF54" s="83"/>
      <c r="AG54" s="83"/>
      <c r="AH54" s="83"/>
      <c r="AI54" s="83"/>
      <c r="AJ54" s="83"/>
      <c r="AK54" s="83"/>
      <c r="AL54" s="13" t="str" cm="1">
        <f t="array" aca="1" ref="AL54" ca="1">IF(M52="", "", INDEX(_xlfn._xlws.FILTER('sheet template'!$F$2:$M$1009, 'sheet template'!$A$2:$A$1009=M52), RANDBETWEEN(1,3), 0))</f>
        <v/>
      </c>
      <c r="AM54" s="83"/>
      <c r="AN54" s="83"/>
      <c r="AO54" s="83"/>
      <c r="AP54" s="83"/>
      <c r="AQ54" s="83"/>
      <c r="AR54" s="83"/>
      <c r="AS54" s="83"/>
    </row>
    <row r="57" spans="1:45" hidden="1"/>
    <row r="58" spans="1:45" hidden="1"/>
    <row r="59" spans="1:45" ht="31" hidden="1">
      <c r="A59" s="114" t="s">
        <v>509</v>
      </c>
      <c r="B59" s="72" t="s">
        <v>464</v>
      </c>
      <c r="C59" s="72" t="s">
        <v>465</v>
      </c>
      <c r="D59" s="72" t="s">
        <v>510</v>
      </c>
      <c r="E59" s="70" t="s">
        <v>467</v>
      </c>
      <c r="F59" s="72" t="s">
        <v>511</v>
      </c>
    </row>
    <row r="60" spans="1:45" hidden="1">
      <c r="A60" s="87" t="str">
        <f>'Profile Summary'!A108</f>
        <v>Mental Agility</v>
      </c>
      <c r="B60" s="133" t="e">
        <f>'Profile Summary'!B108</f>
        <v>#DIV/0!</v>
      </c>
      <c r="C60" s="133" t="e">
        <f>'Profile Summary'!C108</f>
        <v>#DIV/0!</v>
      </c>
      <c r="D60" s="133" t="e">
        <f>'Profile Summary'!D108</f>
        <v>#DIV/0!</v>
      </c>
      <c r="E60" s="133" t="e">
        <f>'Profile Summary'!E108</f>
        <v>#DIV/0!</v>
      </c>
      <c r="F60" s="13"/>
    </row>
    <row r="61" spans="1:45" hidden="1">
      <c r="A61" s="87" t="str">
        <f>'Profile Summary'!A109</f>
        <v>People Agility</v>
      </c>
      <c r="B61" s="133" t="e">
        <f>'Profile Summary'!B109</f>
        <v>#DIV/0!</v>
      </c>
      <c r="C61" s="133" t="e">
        <f>'Profile Summary'!C109</f>
        <v>#DIV/0!</v>
      </c>
      <c r="D61" s="133" t="e">
        <f>'Profile Summary'!D109</f>
        <v>#DIV/0!</v>
      </c>
      <c r="E61" s="133" t="e">
        <f>'Profile Summary'!E109</f>
        <v>#DIV/0!</v>
      </c>
      <c r="F61" s="13"/>
    </row>
    <row r="62" spans="1:45" hidden="1">
      <c r="A62" s="87" t="str">
        <f>'Profile Summary'!A110</f>
        <v>Change Agility</v>
      </c>
      <c r="B62" s="133" t="e">
        <f>'Profile Summary'!B110</f>
        <v>#DIV/0!</v>
      </c>
      <c r="C62" s="133" t="e">
        <f>'Profile Summary'!C110</f>
        <v>#DIV/0!</v>
      </c>
      <c r="D62" s="133" t="e">
        <f>'Profile Summary'!D110</f>
        <v>#DIV/0!</v>
      </c>
      <c r="E62" s="133" t="e">
        <f>'Profile Summary'!E110</f>
        <v>#DIV/0!</v>
      </c>
      <c r="F62" s="13"/>
    </row>
    <row r="63" spans="1:45" hidden="1">
      <c r="A63" s="87" t="str">
        <f>'Profile Summary'!A111</f>
        <v>Result Agility</v>
      </c>
      <c r="B63" s="133" t="e">
        <f>'Profile Summary'!B111</f>
        <v>#DIV/0!</v>
      </c>
      <c r="C63" s="133" t="e">
        <f>'Profile Summary'!C111</f>
        <v>#DIV/0!</v>
      </c>
      <c r="D63" s="133" t="e">
        <f>'Profile Summary'!D111</f>
        <v>#DIV/0!</v>
      </c>
      <c r="E63" s="133" t="e">
        <f>'Profile Summary'!E111</f>
        <v>#DIV/0!</v>
      </c>
      <c r="F63" s="13"/>
    </row>
    <row r="64" spans="1:45" hidden="1">
      <c r="A64" s="87" t="str">
        <f>'Profile Summary'!A112</f>
        <v>Self Awareness</v>
      </c>
      <c r="B64" s="133" t="e">
        <f>'Profile Summary'!B112</f>
        <v>#DIV/0!</v>
      </c>
      <c r="C64" s="133" t="e">
        <f>'Profile Summary'!C112</f>
        <v>#DIV/0!</v>
      </c>
      <c r="D64" s="133" t="e">
        <f>'Profile Summary'!D112</f>
        <v>#DIV/0!</v>
      </c>
      <c r="E64" s="133" t="e">
        <f>'Profile Summary'!E112</f>
        <v>#DIV/0!</v>
      </c>
      <c r="F64" s="13"/>
    </row>
    <row r="65" spans="1:45" s="28" customFormat="1" hidden="1">
      <c r="A65" s="140"/>
      <c r="B65" s="142" t="e">
        <f>'Profile Summary'!B113</f>
        <v>#DIV/0!</v>
      </c>
      <c r="C65" s="142" t="e">
        <f>'Profile Summary'!C113</f>
        <v>#DIV/0!</v>
      </c>
      <c r="D65" s="142" t="e">
        <f>'Profile Summary'!D113</f>
        <v>#DIV/0!</v>
      </c>
      <c r="E65" s="142" t="e">
        <f>'Profile Summary'!E113</f>
        <v>#DIV/0!</v>
      </c>
      <c r="F65" s="141" t="e" cm="1">
        <f t="array" ref="F65">_xlfn.IFS(
  D65&gt;=1, 0,
  D65&gt;=0.5, 1,
  D65&gt;=-0.49, 2,
  D65&gt;=-0.99, 3,
  D65&lt;=-1, 4
)</f>
        <v>#DIV/0!</v>
      </c>
      <c r="H65" s="81"/>
      <c r="J65" s="144"/>
      <c r="K65" s="144"/>
      <c r="L65" s="144"/>
      <c r="M65" s="144"/>
      <c r="N65" s="156"/>
      <c r="O65" s="81"/>
      <c r="P65" s="81"/>
      <c r="Q65" s="81"/>
      <c r="R65" s="81"/>
      <c r="S65" s="81"/>
      <c r="T65" s="81"/>
      <c r="U65" s="81"/>
      <c r="V65" s="156"/>
      <c r="W65" s="81"/>
      <c r="X65" s="81"/>
      <c r="Y65" s="81"/>
      <c r="Z65" s="81"/>
      <c r="AA65" s="81"/>
      <c r="AB65" s="81"/>
      <c r="AC65" s="81"/>
      <c r="AD65" s="157"/>
      <c r="AE65" s="81"/>
      <c r="AF65" s="81"/>
      <c r="AG65" s="81"/>
      <c r="AH65" s="81"/>
      <c r="AI65" s="81"/>
      <c r="AJ65" s="81"/>
      <c r="AK65" s="81"/>
      <c r="AL65" s="157"/>
      <c r="AM65" s="81"/>
      <c r="AN65" s="81"/>
      <c r="AO65" s="81"/>
      <c r="AP65" s="81"/>
      <c r="AQ65" s="81"/>
      <c r="AR65" s="81"/>
      <c r="AS65" s="81"/>
    </row>
    <row r="66" spans="1:45" hidden="1"/>
    <row r="67" spans="1:45" hidden="1"/>
    <row r="69" spans="1:45">
      <c r="A69" s="1" t="s">
        <v>12</v>
      </c>
      <c r="B69" s="1" t="str">
        <f>Identitas!D12</f>
        <v>Unit Head/Specialist</v>
      </c>
    </row>
    <row r="70" spans="1:45">
      <c r="I70" s="239" t="s">
        <v>512</v>
      </c>
    </row>
    <row r="71" spans="1:45" ht="42">
      <c r="A71" s="113" t="s">
        <v>478</v>
      </c>
      <c r="B71" s="115" t="s">
        <v>479</v>
      </c>
      <c r="C71" s="114" t="s">
        <v>480</v>
      </c>
      <c r="D71" s="11" t="s">
        <v>481</v>
      </c>
      <c r="E71" s="131" t="s">
        <v>482</v>
      </c>
      <c r="F71" s="131" t="s">
        <v>483</v>
      </c>
      <c r="G71" s="131" t="s">
        <v>484</v>
      </c>
      <c r="H71" s="131" t="s">
        <v>485</v>
      </c>
      <c r="I71" s="132" t="s">
        <v>486</v>
      </c>
      <c r="J71" s="143" t="s">
        <v>487</v>
      </c>
      <c r="K71" s="143" t="s">
        <v>488</v>
      </c>
      <c r="L71" s="143" t="s">
        <v>489</v>
      </c>
      <c r="M71" s="143" t="s">
        <v>490</v>
      </c>
      <c r="N71" s="291" t="s">
        <v>491</v>
      </c>
      <c r="O71" s="291"/>
      <c r="P71" s="291"/>
      <c r="Q71" s="291"/>
      <c r="R71" s="291"/>
      <c r="S71" s="291"/>
      <c r="T71" s="291"/>
      <c r="U71" s="291"/>
      <c r="V71" s="291" t="s">
        <v>492</v>
      </c>
      <c r="W71" s="291"/>
      <c r="X71" s="291"/>
      <c r="Y71" s="291"/>
      <c r="Z71" s="291"/>
      <c r="AA71" s="291"/>
      <c r="AB71" s="291"/>
      <c r="AC71" s="291"/>
      <c r="AD71" s="291" t="s">
        <v>493</v>
      </c>
      <c r="AE71" s="291"/>
      <c r="AF71" s="291"/>
      <c r="AG71" s="291"/>
      <c r="AH71" s="291"/>
      <c r="AI71" s="291"/>
      <c r="AJ71" s="291"/>
      <c r="AK71" s="291"/>
      <c r="AL71" s="291" t="s">
        <v>494</v>
      </c>
      <c r="AM71" s="291"/>
      <c r="AN71" s="291"/>
      <c r="AO71" s="291"/>
      <c r="AP71" s="291"/>
      <c r="AQ71" s="291"/>
      <c r="AR71" s="291"/>
      <c r="AS71" s="291"/>
    </row>
    <row r="72" spans="1:45">
      <c r="A72" s="285" t="s">
        <v>495</v>
      </c>
      <c r="B72" s="298">
        <f>IFERROR(INDEX(panduan!$C$3:$H$16,
       MATCH(TRIM(A72), panduan!$B$3:$B$16, 0),
       MATCH(TRIM($B$4), panduan!$C$2:$H$2, 0)),"")</f>
        <v>2</v>
      </c>
      <c r="C72" s="295">
        <f>IFERROR(INDEX(panduan!$C$3:$H$16,
       MATCH(TRIM(A72), panduan!$B$3:$B$16, 0),
       MATCH(TRIM($B$69), panduan!$C$2:$H$2, 0)),"")</f>
        <v>3</v>
      </c>
      <c r="D72" s="292">
        <v>1</v>
      </c>
      <c r="E72" s="288">
        <f>D72-C72</f>
        <v>-2</v>
      </c>
      <c r="F72" s="288">
        <f>IF(E72&lt;0, MIN(-E72, 4), "")</f>
        <v>2</v>
      </c>
      <c r="G72" s="288" t="str">
        <f>IFERROR(
    INDEX(panduan!$C$181:$G$185,
          MATCH($F$65,panduan!$B$181:$B$185,0),
          MATCH($F72,panduan!$C$180:$G$180,0)
    ),
"")</f>
        <v/>
      </c>
      <c r="H72" s="285" t="str">
        <f>IF(G72="", "",
   SUBSTITUTE(
     SUBSTITUTE(
       SUBSTITUTE(
         SUBSTITUTE(G72,
           "1", "Personal Development"),
         "2", "Education-Based Development"),
       "3", "Relation-Based Development"),
     "4", "Experience-Based Development")
)</f>
        <v/>
      </c>
      <c r="I72" s="288">
        <f>IF(E72&lt;0,_xlfn.RANK.EQ(E72,$E$72:$E$113,1)+COUNTIF($E$72:E74,E72)-1,"")</f>
        <v>2</v>
      </c>
      <c r="J72" s="285" t="str">
        <f>IF(ISNUMBER(FIND("1",$G72)), $A72&amp;"|"&amp;$B$5&amp;"|1", "")</f>
        <v/>
      </c>
      <c r="K72" s="285" t="str">
        <f>IF(ISNUMBER(FIND("2",$G72)), $A72&amp;"|"&amp;$B$5&amp;"|2", "")</f>
        <v/>
      </c>
      <c r="L72" s="285" t="str">
        <f>IF(ISNUMBER(FIND("3",$G72)), $A72&amp;"|"&amp;$B$5&amp;"|3", "")</f>
        <v/>
      </c>
      <c r="M72" s="285" t="str">
        <f>IF(ISNUMBER(FIND("4",$G72)), $A72&amp;"|"&amp;$B$5&amp;"|4", "")</f>
        <v/>
      </c>
      <c r="N72" s="13" t="e" cm="1">
        <f t="array" aca="1" ref="N72:U73" ca="1">_xlfn.LET(
    _xlpm.gap, $F72,
    _xlpm.key, $J72,
    _xlpm.data, _xlfn._xlws.FILTER('sheet template'!$F$2:$M$1009,
                 ('sheet template'!$A$2:$A$1009=_xlpm.key) *
                 ('sheet template'!$F$2:$F$1009&lt;=_xlpm.gap), ""),
    IF(OR(_xlpm.key="", _xlpm.gap&lt;=0, ROWS(_xlpm.data)=0), "", _xlpm.data)
)</f>
        <v>#NAME?</v>
      </c>
      <c r="O72" s="83" t="e">
        <f ca="1"/>
        <v>#NAME?</v>
      </c>
      <c r="P72" s="83" t="e">
        <f ca="1"/>
        <v>#NAME?</v>
      </c>
      <c r="Q72" s="83" t="e">
        <f ca="1"/>
        <v>#NAME?</v>
      </c>
      <c r="R72" s="83" t="e">
        <f ca="1"/>
        <v>#NAME?</v>
      </c>
      <c r="S72" s="83" t="e">
        <f ca="1"/>
        <v>#NAME?</v>
      </c>
      <c r="T72" s="83" t="e">
        <f ca="1"/>
        <v>#NAME?</v>
      </c>
      <c r="U72" s="83" t="e">
        <f ca="1"/>
        <v>#NAME?</v>
      </c>
      <c r="V72" s="13" t="e" cm="1">
        <f t="array" aca="1" ref="V72:AC73" ca="1">_xlfn.LET(
    _xlpm.gap, $F72,
    _xlpm.key, $K72,
    _xlpm.data, _xlfn._xlws.FILTER('sheet template'!$F$2:$M$1009,
                 ('sheet template'!$A$2:$A$1009=_xlpm.key) *
                 ('sheet template'!$F$2:$F$1009&lt;=_xlpm.gap), ""),
    IF(OR(_xlpm.key="", _xlpm.gap&lt;=0, ROWS(_xlpm.data)=0), "", _xlpm.data)
)</f>
        <v>#NAME?</v>
      </c>
      <c r="W72" s="83" t="e">
        <f ca="1"/>
        <v>#NAME?</v>
      </c>
      <c r="X72" s="83" t="e">
        <f ca="1"/>
        <v>#NAME?</v>
      </c>
      <c r="Y72" s="83" t="e">
        <f ca="1"/>
        <v>#NAME?</v>
      </c>
      <c r="Z72" s="83" t="e">
        <f ca="1"/>
        <v>#NAME?</v>
      </c>
      <c r="AA72" s="83" t="e">
        <f ca="1"/>
        <v>#NAME?</v>
      </c>
      <c r="AB72" s="83" t="e">
        <f ca="1"/>
        <v>#NAME?</v>
      </c>
      <c r="AC72" s="83" t="e">
        <f ca="1"/>
        <v>#NAME?</v>
      </c>
      <c r="AD72" s="13" t="e" cm="1">
        <f t="array" aca="1" ref="AD72:AK73" ca="1">_xlfn.LET(
    _xlpm.gap, $F72,
    _xlpm.key, $L72,
    _xlpm.data, _xlfn._xlws.FILTER('sheet template'!$F$2:$M$1009,
                 ('sheet template'!$A$2:$A$1009=_xlpm.key) *
                 ('sheet template'!$F$2:$F$1009&lt;=_xlpm.gap), ""),
    IF(OR(_xlpm.key="", _xlpm.gap&lt;=0, ROWS(_xlpm.data)=0), "", _xlpm.data)
)</f>
        <v>#NAME?</v>
      </c>
      <c r="AE72" s="83" t="e">
        <f ca="1"/>
        <v>#NAME?</v>
      </c>
      <c r="AF72" s="83" t="e">
        <f ca="1"/>
        <v>#NAME?</v>
      </c>
      <c r="AG72" s="83" t="e">
        <f ca="1"/>
        <v>#NAME?</v>
      </c>
      <c r="AH72" s="83" t="e">
        <f ca="1"/>
        <v>#NAME?</v>
      </c>
      <c r="AI72" s="83" t="e">
        <f ca="1"/>
        <v>#NAME?</v>
      </c>
      <c r="AJ72" s="83" t="e">
        <f ca="1"/>
        <v>#NAME?</v>
      </c>
      <c r="AK72" s="83" t="e">
        <f ca="1"/>
        <v>#NAME?</v>
      </c>
      <c r="AL72" s="13" t="e" cm="1">
        <f t="array" aca="1" ref="AL72:AS73" ca="1">_xlfn.LET(
    _xlpm.gap, $F72,
    _xlpm.key, $L72,
    _xlpm.data, _xlfn._xlws.FILTER('sheet template'!$F$2:$M$1009,
                 ('sheet template'!$A$2:$A$1009=_xlpm.key) *
                 ('sheet template'!$F$2:$F$1009&lt;=_xlpm.gap), ""),
    IF(OR(_xlpm.key="", _xlpm.gap&lt;=0, ROWS(_xlpm.data)=0), "", _xlpm.data)
)</f>
        <v>#NAME?</v>
      </c>
      <c r="AM72" s="83" t="e">
        <f ca="1"/>
        <v>#NAME?</v>
      </c>
      <c r="AN72" s="83" t="e">
        <f ca="1"/>
        <v>#NAME?</v>
      </c>
      <c r="AO72" s="83" t="e">
        <f ca="1"/>
        <v>#NAME?</v>
      </c>
      <c r="AP72" s="83" t="e">
        <f ca="1"/>
        <v>#NAME?</v>
      </c>
      <c r="AQ72" s="83" t="e">
        <f ca="1"/>
        <v>#NAME?</v>
      </c>
      <c r="AR72" s="83" t="e">
        <f ca="1"/>
        <v>#NAME?</v>
      </c>
      <c r="AS72" s="83" t="e">
        <f ca="1"/>
        <v>#NAME?</v>
      </c>
    </row>
    <row r="73" spans="1:45">
      <c r="A73" s="286"/>
      <c r="B73" s="299"/>
      <c r="C73" s="296"/>
      <c r="D73" s="293"/>
      <c r="E73" s="289"/>
      <c r="F73" s="289"/>
      <c r="G73" s="289"/>
      <c r="H73" s="286"/>
      <c r="I73" s="289"/>
      <c r="J73" s="286"/>
      <c r="K73" s="286"/>
      <c r="L73" s="286"/>
      <c r="M73" s="286"/>
      <c r="N73" s="13" t="e">
        <f ca="1"/>
        <v>#NAME?</v>
      </c>
      <c r="O73" s="83" t="e">
        <f ca="1"/>
        <v>#NAME?</v>
      </c>
      <c r="P73" s="83" t="e">
        <f ca="1"/>
        <v>#NAME?</v>
      </c>
      <c r="Q73" s="83" t="e">
        <f ca="1"/>
        <v>#NAME?</v>
      </c>
      <c r="R73" s="83" t="e">
        <f ca="1"/>
        <v>#NAME?</v>
      </c>
      <c r="S73" s="83" t="e">
        <f ca="1"/>
        <v>#NAME?</v>
      </c>
      <c r="T73" s="83" t="e">
        <f ca="1"/>
        <v>#NAME?</v>
      </c>
      <c r="U73" s="83" t="e">
        <f ca="1"/>
        <v>#NAME?</v>
      </c>
      <c r="V73" s="13" t="e">
        <f ca="1"/>
        <v>#NAME?</v>
      </c>
      <c r="W73" s="83" t="e">
        <f ca="1"/>
        <v>#NAME?</v>
      </c>
      <c r="X73" s="83" t="e">
        <f ca="1"/>
        <v>#NAME?</v>
      </c>
      <c r="Y73" s="83" t="e">
        <f ca="1"/>
        <v>#NAME?</v>
      </c>
      <c r="Z73" s="83" t="e">
        <f ca="1"/>
        <v>#NAME?</v>
      </c>
      <c r="AA73" s="83" t="e">
        <f ca="1"/>
        <v>#NAME?</v>
      </c>
      <c r="AB73" s="83" t="e">
        <f ca="1"/>
        <v>#NAME?</v>
      </c>
      <c r="AC73" s="83" t="e">
        <f ca="1"/>
        <v>#NAME?</v>
      </c>
      <c r="AD73" s="13" t="e">
        <f ca="1"/>
        <v>#NAME?</v>
      </c>
      <c r="AE73" s="83" t="e">
        <f ca="1"/>
        <v>#NAME?</v>
      </c>
      <c r="AF73" s="83" t="e">
        <f ca="1"/>
        <v>#NAME?</v>
      </c>
      <c r="AG73" s="83" t="e">
        <f ca="1"/>
        <v>#NAME?</v>
      </c>
      <c r="AH73" s="83" t="e">
        <f ca="1"/>
        <v>#NAME?</v>
      </c>
      <c r="AI73" s="83" t="e">
        <f ca="1"/>
        <v>#NAME?</v>
      </c>
      <c r="AJ73" s="83" t="e">
        <f ca="1"/>
        <v>#NAME?</v>
      </c>
      <c r="AK73" s="83" t="e">
        <f ca="1"/>
        <v>#NAME?</v>
      </c>
      <c r="AL73" s="13" t="e">
        <f ca="1"/>
        <v>#NAME?</v>
      </c>
      <c r="AM73" s="83" t="e">
        <f ca="1"/>
        <v>#NAME?</v>
      </c>
      <c r="AN73" s="83" t="e">
        <f ca="1"/>
        <v>#NAME?</v>
      </c>
      <c r="AO73" s="83" t="e">
        <f ca="1"/>
        <v>#NAME?</v>
      </c>
      <c r="AP73" s="83" t="e">
        <f ca="1"/>
        <v>#NAME?</v>
      </c>
      <c r="AQ73" s="83" t="e">
        <f ca="1"/>
        <v>#NAME?</v>
      </c>
      <c r="AR73" s="83" t="e">
        <f ca="1"/>
        <v>#NAME?</v>
      </c>
      <c r="AS73" s="83" t="e">
        <f ca="1"/>
        <v>#NAME?</v>
      </c>
    </row>
    <row r="74" spans="1:45">
      <c r="A74" s="287"/>
      <c r="B74" s="300"/>
      <c r="C74" s="297"/>
      <c r="D74" s="294"/>
      <c r="E74" s="290"/>
      <c r="F74" s="290"/>
      <c r="G74" s="290"/>
      <c r="H74" s="287"/>
      <c r="I74" s="290"/>
      <c r="J74" s="287"/>
      <c r="K74" s="287"/>
      <c r="L74" s="287"/>
      <c r="M74" s="287"/>
      <c r="N74" s="13"/>
      <c r="O74" s="83"/>
      <c r="P74" s="83"/>
      <c r="Q74" s="83"/>
      <c r="R74" s="83"/>
      <c r="S74" s="83"/>
      <c r="T74" s="83"/>
      <c r="U74" s="83"/>
      <c r="V74" s="13"/>
      <c r="W74" s="83"/>
      <c r="X74" s="83"/>
      <c r="Y74" s="83"/>
      <c r="Z74" s="83"/>
      <c r="AA74" s="83"/>
      <c r="AB74" s="83"/>
      <c r="AC74" s="83"/>
      <c r="AD74" s="13"/>
      <c r="AE74" s="83"/>
      <c r="AF74" s="83"/>
      <c r="AG74" s="83"/>
      <c r="AH74" s="83"/>
      <c r="AI74" s="83"/>
      <c r="AJ74" s="83"/>
      <c r="AK74" s="83"/>
      <c r="AL74" s="13"/>
      <c r="AM74" s="83"/>
      <c r="AN74" s="83"/>
      <c r="AO74" s="83"/>
      <c r="AP74" s="83"/>
      <c r="AQ74" s="83"/>
      <c r="AR74" s="83"/>
      <c r="AS74" s="83"/>
    </row>
    <row r="75" spans="1:45">
      <c r="A75" s="285" t="s">
        <v>496</v>
      </c>
      <c r="B75" s="298">
        <f>IFERROR(INDEX(panduan!$C$3:$H$16,
       MATCH(TRIM(A75), panduan!$B$3:$B$16, 0),
       MATCH(TRIM($B$4), panduan!$C$2:$H$2, 0)),"")</f>
        <v>1</v>
      </c>
      <c r="C75" s="295">
        <f>IFERROR(INDEX(panduan!$C$3:$H$16,
       MATCH(TRIM(A75), panduan!$B$3:$B$16, 0),
       MATCH(TRIM($B$69), panduan!$C$2:$H$2, 0)),"")</f>
        <v>3</v>
      </c>
      <c r="D75" s="292">
        <v>2</v>
      </c>
      <c r="E75" s="288">
        <f t="shared" ref="E75" si="7">D75-C75</f>
        <v>-1</v>
      </c>
      <c r="F75" s="288">
        <f t="shared" ref="F75" si="8">IF(E75&lt;0, MIN(-E75, 4), "")</f>
        <v>1</v>
      </c>
      <c r="G75" s="288" t="str">
        <f>IFERROR(
    INDEX(panduan!$C$181:$G$185,
          MATCH($F$65,panduan!$B$181:$B$185,0),
          MATCH($F75,panduan!$C$180:$G$180,0)
    ),
"")</f>
        <v/>
      </c>
      <c r="H75" s="285" t="str">
        <f t="shared" ref="H75" si="9">IF(G75="", "",
   SUBSTITUTE(
     SUBSTITUTE(
       SUBSTITUTE(
         SUBSTITUTE(G75,
           "1", "Personal Development"),
         "2", "Education-Based Development"),
       "3", "Relation-Based Development"),
     "4", "Experience-Based Development")
)</f>
        <v/>
      </c>
      <c r="I75" s="288">
        <f>IF(E75&lt;0,_xlfn.RANK.EQ(E75,$E$72:$E$113,1)+COUNTIF($E$72:E77,E75)-1,"")</f>
        <v>7</v>
      </c>
      <c r="J75" s="285" t="str">
        <f t="shared" ref="J75" si="10">IF(ISNUMBER(FIND("1",$G75)), $A75&amp;"|"&amp;$B$5&amp;"|1", "")</f>
        <v/>
      </c>
      <c r="K75" s="285" t="str">
        <f t="shared" ref="K75" si="11">IF(ISNUMBER(FIND("2",$G75)), $A75&amp;"|"&amp;$B$5&amp;"|2", "")</f>
        <v/>
      </c>
      <c r="L75" s="285" t="str">
        <f t="shared" ref="L75" si="12">IF(ISNUMBER(FIND("3",$G75)), $A75&amp;"|"&amp;$B$5&amp;"|3", "")</f>
        <v/>
      </c>
      <c r="M75" s="285" t="str">
        <f t="shared" ref="M75" si="13">IF(ISNUMBER(FIND("4",$G75)), $A75&amp;"|"&amp;$B$5&amp;"|4", "")</f>
        <v/>
      </c>
      <c r="N75" s="13" t="e" cm="1">
        <f t="array" aca="1" ref="N75" ca="1">_xlfn.LET(
    _xlpm.gap, $F75,
    _xlpm.key, $J75,
    _xlpm.data, _xlfn._xlws.FILTER('sheet template'!$F$2:$M$1009,
                 ('sheet template'!$A$2:$A$1009=_xlpm.key) *
                 ('sheet template'!$F$2:$F$1009&lt;=_xlpm.gap), ""),
    IF(OR(_xlpm.key="", _xlpm.gap&lt;=0, ROWS(_xlpm.data)=0), "", _xlpm.data)
)</f>
        <v>#NAME?</v>
      </c>
      <c r="O75" s="83"/>
      <c r="P75" s="83"/>
      <c r="Q75" s="83"/>
      <c r="R75" s="83"/>
      <c r="S75" s="83"/>
      <c r="T75" s="83"/>
      <c r="U75" s="83"/>
      <c r="V75" s="13" t="e" cm="1">
        <f t="array" aca="1" ref="V75" ca="1">_xlfn.LET(
    _xlpm.gap, $F75,
    _xlpm.key, $K75,
    _xlpm.data, _xlfn._xlws.FILTER('sheet template'!$F$2:$M$1009,
                 ('sheet template'!$A$2:$A$1009=_xlpm.key) *
                 ('sheet template'!$F$2:$F$1009&lt;=_xlpm.gap), ""),
    IF(OR(_xlpm.key="", _xlpm.gap&lt;=0, ROWS(_xlpm.data)=0), "", _xlpm.data)
)</f>
        <v>#NAME?</v>
      </c>
      <c r="W75" s="83"/>
      <c r="X75" s="83"/>
      <c r="Y75" s="83"/>
      <c r="Z75" s="83"/>
      <c r="AA75" s="83"/>
      <c r="AB75" s="83"/>
      <c r="AC75" s="83"/>
      <c r="AD75" s="13" t="e" cm="1">
        <f t="array" aca="1" ref="AD75" ca="1">_xlfn.LET(
    _xlpm.gap, $F75,
    _xlpm.key, $L75,
    _xlpm.data, _xlfn._xlws.FILTER('sheet template'!$F$2:$M$1009,
                 ('sheet template'!$A$2:$A$1009=_xlpm.key) *
                 ('sheet template'!$F$2:$F$1009&lt;=_xlpm.gap), ""),
    IF(OR(_xlpm.key="", _xlpm.gap&lt;=0, ROWS(_xlpm.data)=0), "", _xlpm.data)
)</f>
        <v>#NAME?</v>
      </c>
      <c r="AE75" s="83"/>
      <c r="AF75" s="83"/>
      <c r="AG75" s="83"/>
      <c r="AH75" s="83"/>
      <c r="AI75" s="83"/>
      <c r="AJ75" s="83"/>
      <c r="AK75" s="83"/>
      <c r="AL75" s="13" t="e" cm="1">
        <f t="array" aca="1" ref="AL75" ca="1">_xlfn.LET(
    _xlpm.gap, $F75,
    _xlpm.key, $L75,
    _xlpm.data, _xlfn._xlws.FILTER('sheet template'!$F$2:$M$1009,
                 ('sheet template'!$A$2:$A$1009=_xlpm.key) *
                 ('sheet template'!$F$2:$F$1009&lt;=_xlpm.gap), ""),
    IF(OR(_xlpm.key="", _xlpm.gap&lt;=0, ROWS(_xlpm.data)=0), "", _xlpm.data)
)</f>
        <v>#NAME?</v>
      </c>
      <c r="AM75" s="83"/>
      <c r="AN75" s="83"/>
      <c r="AO75" s="83"/>
      <c r="AP75" s="83"/>
      <c r="AQ75" s="83"/>
      <c r="AR75" s="83"/>
      <c r="AS75" s="83"/>
    </row>
    <row r="76" spans="1:45" ht="15" customHeight="1">
      <c r="A76" s="286"/>
      <c r="B76" s="299"/>
      <c r="C76" s="296"/>
      <c r="D76" s="293"/>
      <c r="E76" s="289"/>
      <c r="F76" s="289"/>
      <c r="G76" s="289"/>
      <c r="H76" s="286"/>
      <c r="I76" s="289"/>
      <c r="J76" s="286"/>
      <c r="K76" s="286"/>
      <c r="L76" s="286"/>
      <c r="M76" s="286"/>
      <c r="N76" s="13"/>
      <c r="O76" s="83"/>
      <c r="P76" s="83"/>
      <c r="Q76" s="83"/>
      <c r="R76" s="83"/>
      <c r="S76" s="83"/>
      <c r="T76" s="83"/>
      <c r="U76" s="83"/>
      <c r="V76" s="13"/>
      <c r="W76" s="83"/>
      <c r="X76" s="83"/>
      <c r="Y76" s="83"/>
      <c r="Z76" s="83"/>
      <c r="AA76" s="83"/>
      <c r="AB76" s="83"/>
      <c r="AC76" s="83"/>
      <c r="AD76" s="13"/>
      <c r="AE76" s="83"/>
      <c r="AF76" s="83"/>
      <c r="AG76" s="83"/>
      <c r="AH76" s="83"/>
      <c r="AI76" s="83"/>
      <c r="AJ76" s="83"/>
      <c r="AK76" s="83"/>
      <c r="AL76" s="13"/>
      <c r="AM76" s="83"/>
      <c r="AN76" s="83"/>
      <c r="AO76" s="83"/>
      <c r="AP76" s="83"/>
      <c r="AQ76" s="83"/>
      <c r="AR76" s="83"/>
      <c r="AS76" s="83"/>
    </row>
    <row r="77" spans="1:45">
      <c r="A77" s="287"/>
      <c r="B77" s="300"/>
      <c r="C77" s="297"/>
      <c r="D77" s="294"/>
      <c r="E77" s="290"/>
      <c r="F77" s="290"/>
      <c r="G77" s="290"/>
      <c r="H77" s="287"/>
      <c r="I77" s="290"/>
      <c r="J77" s="287"/>
      <c r="K77" s="287"/>
      <c r="L77" s="287"/>
      <c r="M77" s="287"/>
      <c r="N77" s="13"/>
      <c r="O77" s="83"/>
      <c r="P77" s="83"/>
      <c r="Q77" s="83"/>
      <c r="R77" s="83"/>
      <c r="S77" s="83"/>
      <c r="T77" s="83"/>
      <c r="U77" s="83"/>
      <c r="V77" s="13"/>
      <c r="W77" s="83"/>
      <c r="X77" s="83"/>
      <c r="Y77" s="83"/>
      <c r="Z77" s="83"/>
      <c r="AA77" s="83"/>
      <c r="AB77" s="83"/>
      <c r="AC77" s="83"/>
      <c r="AD77" s="13"/>
      <c r="AE77" s="83"/>
      <c r="AF77" s="83"/>
      <c r="AG77" s="83"/>
      <c r="AH77" s="83"/>
      <c r="AI77" s="83"/>
      <c r="AJ77" s="83"/>
      <c r="AK77" s="83"/>
      <c r="AL77" s="13"/>
      <c r="AM77" s="83"/>
      <c r="AN77" s="83"/>
      <c r="AO77" s="83"/>
      <c r="AP77" s="83"/>
      <c r="AQ77" s="83"/>
      <c r="AR77" s="83"/>
      <c r="AS77" s="83"/>
    </row>
    <row r="78" spans="1:45">
      <c r="A78" s="285" t="s">
        <v>497</v>
      </c>
      <c r="B78" s="298">
        <f>IFERROR(INDEX(panduan!$C$3:$H$16,
       MATCH(TRIM(A78), panduan!$B$3:$B$16, 0),
       MATCH(TRIM($B$4), panduan!$C$2:$H$2, 0)),"")</f>
        <v>1</v>
      </c>
      <c r="C78" s="295">
        <f>IFERROR(INDEX(panduan!$C$3:$H$16,
       MATCH(TRIM(A78), panduan!$B$3:$B$16, 0),
       MATCH(TRIM($B$69), panduan!$C$2:$H$2, 0)),"")</f>
        <v>3</v>
      </c>
      <c r="D78" s="292">
        <v>2</v>
      </c>
      <c r="E78" s="288">
        <f t="shared" ref="E78" si="14">D78-C78</f>
        <v>-1</v>
      </c>
      <c r="F78" s="288">
        <f t="shared" ref="F78" si="15">IF(E78&lt;0, MIN(-E78, 4), "")</f>
        <v>1</v>
      </c>
      <c r="G78" s="288" t="str">
        <f>IFERROR(
    INDEX(panduan!$C$181:$G$185,
          MATCH($F$65,panduan!$B$181:$B$185,0),
          MATCH($F78,panduan!$C$180:$G$180,0)
    ),
"")</f>
        <v/>
      </c>
      <c r="H78" s="285" t="str">
        <f t="shared" ref="H78" si="16">IF(G78="", "",
   SUBSTITUTE(
     SUBSTITUTE(
       SUBSTITUTE(
         SUBSTITUTE(G78,
           "1", "Personal Development"),
         "2", "Education-Based Development"),
       "3", "Relation-Based Development"),
     "4", "Experience-Based Development")
)</f>
        <v/>
      </c>
      <c r="I78" s="288">
        <f>IF(E78&lt;0,_xlfn.RANK.EQ(E78,$E$72:$E$113,1)+COUNTIF($E$72:E80,E78)-1,"")</f>
        <v>8</v>
      </c>
      <c r="J78" s="285" t="str">
        <f t="shared" ref="J78" si="17">IF(ISNUMBER(FIND("1",$G78)), $A78&amp;"|"&amp;$B$5&amp;"|1", "")</f>
        <v/>
      </c>
      <c r="K78" s="285" t="str">
        <f t="shared" ref="K78" si="18">IF(ISNUMBER(FIND("2",$G78)), $A78&amp;"|"&amp;$B$5&amp;"|2", "")</f>
        <v/>
      </c>
      <c r="L78" s="285" t="str">
        <f t="shared" ref="L78" si="19">IF(ISNUMBER(FIND("3",$G78)), $A78&amp;"|"&amp;$B$5&amp;"|3", "")</f>
        <v/>
      </c>
      <c r="M78" s="285" t="str">
        <f t="shared" ref="M78" si="20">IF(ISNUMBER(FIND("4",$G78)), $A78&amp;"|"&amp;$B$5&amp;"|4", "")</f>
        <v/>
      </c>
      <c r="N78" s="13" t="e" cm="1">
        <f t="array" aca="1" ref="N78:U78" ca="1">_xlfn.LET(
    _xlpm.gap, $F78,
    _xlpm.key, $J78,
    _xlpm.data, _xlfn._xlws.FILTER('sheet template'!$F$2:$M$1009,
                 ('sheet template'!$A$2:$A$1009=_xlpm.key) *
                 ('sheet template'!$F$2:$F$1009&lt;=_xlpm.gap), ""),
    IF(OR(_xlpm.key="", _xlpm.gap&lt;=0, ROWS(_xlpm.data)=0), "", _xlpm.data)
)</f>
        <v>#NAME?</v>
      </c>
      <c r="O78" s="83" t="e">
        <f ca="1"/>
        <v>#NAME?</v>
      </c>
      <c r="P78" s="83" t="e">
        <f ca="1"/>
        <v>#NAME?</v>
      </c>
      <c r="Q78" s="83" t="e">
        <f ca="1"/>
        <v>#NAME?</v>
      </c>
      <c r="R78" s="83" t="e">
        <f ca="1"/>
        <v>#NAME?</v>
      </c>
      <c r="S78" s="83" t="e">
        <f ca="1"/>
        <v>#NAME?</v>
      </c>
      <c r="T78" s="83" t="e">
        <f ca="1"/>
        <v>#NAME?</v>
      </c>
      <c r="U78" s="83" t="e">
        <f ca="1"/>
        <v>#NAME?</v>
      </c>
      <c r="V78" s="13" t="e" cm="1">
        <f t="array" aca="1" ref="V78:AC78" ca="1">_xlfn.LET(
    _xlpm.gap, $F78,
    _xlpm.key, $K78,
    _xlpm.data, _xlfn._xlws.FILTER('sheet template'!$F$2:$M$1009,
                 ('sheet template'!$A$2:$A$1009=_xlpm.key) *
                 ('sheet template'!$F$2:$F$1009&lt;=_xlpm.gap), ""),
    IF(OR(_xlpm.key="", _xlpm.gap&lt;=0, ROWS(_xlpm.data)=0), "", _xlpm.data)
)</f>
        <v>#NAME?</v>
      </c>
      <c r="W78" s="83" t="e">
        <f ca="1"/>
        <v>#NAME?</v>
      </c>
      <c r="X78" s="83" t="e">
        <f ca="1"/>
        <v>#NAME?</v>
      </c>
      <c r="Y78" s="83" t="e">
        <f ca="1"/>
        <v>#NAME?</v>
      </c>
      <c r="Z78" s="83" t="e">
        <f ca="1"/>
        <v>#NAME?</v>
      </c>
      <c r="AA78" s="83" t="e">
        <f ca="1"/>
        <v>#NAME?</v>
      </c>
      <c r="AB78" s="83" t="e">
        <f ca="1"/>
        <v>#NAME?</v>
      </c>
      <c r="AC78" s="83" t="e">
        <f ca="1"/>
        <v>#NAME?</v>
      </c>
      <c r="AD78" s="13" t="e" cm="1">
        <f t="array" aca="1" ref="AD78:AK78" ca="1">_xlfn.LET(
    _xlpm.gap, $F78,
    _xlpm.key, $L78,
    _xlpm.data, _xlfn._xlws.FILTER('sheet template'!$F$2:$M$1009,
                 ('sheet template'!$A$2:$A$1009=_xlpm.key) *
                 ('sheet template'!$F$2:$F$1009&lt;=_xlpm.gap), ""),
    IF(OR(_xlpm.key="", _xlpm.gap&lt;=0, ROWS(_xlpm.data)=0), "", _xlpm.data)
)</f>
        <v>#NAME?</v>
      </c>
      <c r="AE78" s="83" t="e">
        <f ca="1"/>
        <v>#NAME?</v>
      </c>
      <c r="AF78" s="83" t="e">
        <f ca="1"/>
        <v>#NAME?</v>
      </c>
      <c r="AG78" s="83" t="e">
        <f ca="1"/>
        <v>#NAME?</v>
      </c>
      <c r="AH78" s="83" t="e">
        <f ca="1"/>
        <v>#NAME?</v>
      </c>
      <c r="AI78" s="83" t="e">
        <f ca="1"/>
        <v>#NAME?</v>
      </c>
      <c r="AJ78" s="83" t="e">
        <f ca="1"/>
        <v>#NAME?</v>
      </c>
      <c r="AK78" s="83" t="e">
        <f ca="1"/>
        <v>#NAME?</v>
      </c>
      <c r="AL78" s="13" t="e" cm="1">
        <f t="array" aca="1" ref="AL78:AS78" ca="1">_xlfn.LET(
    _xlpm.gap, $F78,
    _xlpm.key, $L78,
    _xlpm.data, _xlfn._xlws.FILTER('sheet template'!$F$2:$M$1009,
                 ('sheet template'!$A$2:$A$1009=_xlpm.key) *
                 ('sheet template'!$F$2:$F$1009&lt;=_xlpm.gap), ""),
    IF(OR(_xlpm.key="", _xlpm.gap&lt;=0, ROWS(_xlpm.data)=0), "", _xlpm.data)
)</f>
        <v>#NAME?</v>
      </c>
      <c r="AM78" s="83" t="e">
        <f ca="1"/>
        <v>#NAME?</v>
      </c>
      <c r="AN78" s="83" t="e">
        <f ca="1"/>
        <v>#NAME?</v>
      </c>
      <c r="AO78" s="83" t="e">
        <f ca="1"/>
        <v>#NAME?</v>
      </c>
      <c r="AP78" s="83" t="e">
        <f ca="1"/>
        <v>#NAME?</v>
      </c>
      <c r="AQ78" s="83" t="e">
        <f ca="1"/>
        <v>#NAME?</v>
      </c>
      <c r="AR78" s="83" t="e">
        <f ca="1"/>
        <v>#NAME?</v>
      </c>
      <c r="AS78" s="83" t="e">
        <f ca="1"/>
        <v>#NAME?</v>
      </c>
    </row>
    <row r="79" spans="1:45">
      <c r="A79" s="286"/>
      <c r="B79" s="299"/>
      <c r="C79" s="296"/>
      <c r="D79" s="293"/>
      <c r="E79" s="289"/>
      <c r="F79" s="289"/>
      <c r="G79" s="289"/>
      <c r="H79" s="286"/>
      <c r="I79" s="289"/>
      <c r="J79" s="286"/>
      <c r="K79" s="286"/>
      <c r="L79" s="286"/>
      <c r="M79" s="286"/>
      <c r="N79" s="13"/>
      <c r="O79" s="83"/>
      <c r="P79" s="83"/>
      <c r="Q79" s="83"/>
      <c r="R79" s="83"/>
      <c r="S79" s="83"/>
      <c r="T79" s="83"/>
      <c r="U79" s="83"/>
      <c r="V79" s="13"/>
      <c r="W79" s="83"/>
      <c r="X79" s="83"/>
      <c r="Y79" s="83"/>
      <c r="Z79" s="83"/>
      <c r="AA79" s="83"/>
      <c r="AB79" s="83"/>
      <c r="AC79" s="83"/>
      <c r="AD79" s="13"/>
      <c r="AE79" s="83"/>
      <c r="AF79" s="83"/>
      <c r="AG79" s="83"/>
      <c r="AH79" s="83"/>
      <c r="AI79" s="83"/>
      <c r="AJ79" s="83"/>
      <c r="AK79" s="83"/>
      <c r="AL79" s="13"/>
      <c r="AM79" s="83"/>
      <c r="AN79" s="83"/>
      <c r="AO79" s="83"/>
      <c r="AP79" s="83"/>
      <c r="AQ79" s="83"/>
      <c r="AR79" s="83"/>
      <c r="AS79" s="83"/>
    </row>
    <row r="80" spans="1:45">
      <c r="A80" s="287"/>
      <c r="B80" s="300"/>
      <c r="C80" s="297"/>
      <c r="D80" s="294"/>
      <c r="E80" s="290"/>
      <c r="F80" s="290"/>
      <c r="G80" s="290"/>
      <c r="H80" s="287"/>
      <c r="I80" s="290"/>
      <c r="J80" s="287"/>
      <c r="K80" s="287"/>
      <c r="L80" s="287"/>
      <c r="M80" s="287"/>
      <c r="N80" s="13"/>
      <c r="O80" s="83"/>
      <c r="P80" s="83"/>
      <c r="Q80" s="83"/>
      <c r="R80" s="83"/>
      <c r="S80" s="83"/>
      <c r="T80" s="83"/>
      <c r="U80" s="83"/>
      <c r="V80" s="13"/>
      <c r="W80" s="83"/>
      <c r="X80" s="83"/>
      <c r="Y80" s="83"/>
      <c r="Z80" s="83"/>
      <c r="AA80" s="83"/>
      <c r="AB80" s="83"/>
      <c r="AC80" s="83"/>
      <c r="AD80" s="13"/>
      <c r="AE80" s="83"/>
      <c r="AF80" s="83"/>
      <c r="AG80" s="83"/>
      <c r="AH80" s="83"/>
      <c r="AI80" s="83"/>
      <c r="AJ80" s="83"/>
      <c r="AK80" s="83"/>
      <c r="AL80" s="13"/>
      <c r="AM80" s="83"/>
      <c r="AN80" s="83"/>
      <c r="AO80" s="83"/>
      <c r="AP80" s="83"/>
      <c r="AQ80" s="83"/>
      <c r="AR80" s="83"/>
      <c r="AS80" s="83"/>
    </row>
    <row r="81" spans="1:45" ht="90" customHeight="1">
      <c r="A81" s="285" t="s">
        <v>498</v>
      </c>
      <c r="B81" s="298">
        <f>IFERROR(INDEX(panduan!$C$3:$H$16,
       MATCH(TRIM(A81), panduan!$B$3:$B$16, 0),
       MATCH(TRIM($B$4), panduan!$C$2:$H$2, 0)),"")</f>
        <v>1</v>
      </c>
      <c r="C81" s="295">
        <f>IFERROR(INDEX(panduan!$C$3:$H$16,
       MATCH(TRIM(A81), panduan!$B$3:$B$16, 0),
       MATCH(TRIM($B$69), panduan!$C$2:$H$2, 0)),"")</f>
        <v>4</v>
      </c>
      <c r="D81" s="292">
        <v>2</v>
      </c>
      <c r="E81" s="288">
        <f t="shared" ref="E81" si="21">D81-C81</f>
        <v>-2</v>
      </c>
      <c r="F81" s="288">
        <f t="shared" ref="F81" si="22">IF(E81&lt;0, MIN(-E81, 4), "")</f>
        <v>2</v>
      </c>
      <c r="G81" s="288" t="str">
        <f>IFERROR(
    INDEX(panduan!$C$181:$G$185,
          MATCH($F$65,panduan!$B$181:$B$185,0),
          MATCH($F81,panduan!$C$180:$G$180,0)
    ),
"")</f>
        <v/>
      </c>
      <c r="H81" s="285" t="str">
        <f t="shared" ref="H81" si="23">IF(G81="", "",
   SUBSTITUTE(
     SUBSTITUTE(
       SUBSTITUTE(
         SUBSTITUTE(G81,
           "1", "Personal Development"),
         "2", "Education-Based Development"),
       "3", "Relation-Based Development"),
     "4", "Experience-Based Development")
)</f>
        <v/>
      </c>
      <c r="I81" s="288">
        <f>IF(E81&lt;0,_xlfn.RANK.EQ(E81,$E$72:$E$113,1)+COUNTIF($E$72:E83,E81)-1,"")</f>
        <v>3</v>
      </c>
      <c r="J81" s="285" t="str">
        <f t="shared" ref="J81" si="24">IF(ISNUMBER(FIND("1",$G81)), $A81&amp;"|"&amp;$B$5&amp;"|1", "")</f>
        <v/>
      </c>
      <c r="K81" s="285" t="str">
        <f t="shared" ref="K81" si="25">IF(ISNUMBER(FIND("2",$G81)), $A81&amp;"|"&amp;$B$5&amp;"|2", "")</f>
        <v/>
      </c>
      <c r="L81" s="285" t="str">
        <f t="shared" ref="L81" si="26">IF(ISNUMBER(FIND("3",$G81)), $A81&amp;"|"&amp;$B$5&amp;"|3", "")</f>
        <v/>
      </c>
      <c r="M81" s="285" t="str">
        <f t="shared" ref="M81" si="27">IF(ISNUMBER(FIND("4",$G81)), $A81&amp;"|"&amp;$B$5&amp;"|4", "")</f>
        <v/>
      </c>
      <c r="N81" s="13" t="e" cm="1">
        <f t="array" aca="1" ref="N81:U82" ca="1">_xlfn.LET(
    _xlpm.gap, $F81,
    _xlpm.key, $J81,
    _xlpm.data, _xlfn._xlws.FILTER('sheet template'!$F$2:$M$1009,
                 ('sheet template'!$A$2:$A$1009=_xlpm.key) *
                 ('sheet template'!$F$2:$F$1009&lt;=_xlpm.gap), ""),
    IF(OR(_xlpm.key="", _xlpm.gap&lt;=0, ROWS(_xlpm.data)=0), "", _xlpm.data)
)</f>
        <v>#NAME?</v>
      </c>
      <c r="O81" s="83" t="e">
        <f ca="1"/>
        <v>#NAME?</v>
      </c>
      <c r="P81" s="83" t="e">
        <f ca="1"/>
        <v>#NAME?</v>
      </c>
      <c r="Q81" s="83" t="e">
        <f ca="1"/>
        <v>#NAME?</v>
      </c>
      <c r="R81" s="83" t="e">
        <f ca="1"/>
        <v>#NAME?</v>
      </c>
      <c r="S81" s="83" t="e">
        <f ca="1"/>
        <v>#NAME?</v>
      </c>
      <c r="T81" s="83" t="e">
        <f ca="1"/>
        <v>#NAME?</v>
      </c>
      <c r="U81" s="83" t="e">
        <f ca="1"/>
        <v>#NAME?</v>
      </c>
      <c r="V81" s="13" t="e" cm="1">
        <f t="array" aca="1" ref="V81:AC82" ca="1">_xlfn.LET(
    _xlpm.gap, $F81,
    _xlpm.key, $K81,
    _xlpm.data, _xlfn._xlws.FILTER('sheet template'!$F$2:$M$1009,
                 ('sheet template'!$A$2:$A$1009=_xlpm.key) *
                 ('sheet template'!$F$2:$F$1009&lt;=_xlpm.gap), ""),
    IF(OR(_xlpm.key="", _xlpm.gap&lt;=0, ROWS(_xlpm.data)=0), "", _xlpm.data)
)</f>
        <v>#NAME?</v>
      </c>
      <c r="W81" s="83" t="e">
        <f ca="1"/>
        <v>#NAME?</v>
      </c>
      <c r="X81" s="83" t="e">
        <f ca="1"/>
        <v>#NAME?</v>
      </c>
      <c r="Y81" s="83" t="e">
        <f ca="1"/>
        <v>#NAME?</v>
      </c>
      <c r="Z81" s="83" t="e">
        <f ca="1"/>
        <v>#NAME?</v>
      </c>
      <c r="AA81" s="83" t="e">
        <f ca="1"/>
        <v>#NAME?</v>
      </c>
      <c r="AB81" s="83" t="e">
        <f ca="1"/>
        <v>#NAME?</v>
      </c>
      <c r="AC81" s="83" t="e">
        <f ca="1"/>
        <v>#NAME?</v>
      </c>
      <c r="AD81" s="13" t="e" cm="1">
        <f t="array" aca="1" ref="AD81:AK82" ca="1">_xlfn.LET(
    _xlpm.gap, $F81,
    _xlpm.key, $L81,
    _xlpm.data, _xlfn._xlws.FILTER('sheet template'!$F$2:$M$1009,
                 ('sheet template'!$A$2:$A$1009=_xlpm.key) *
                 ('sheet template'!$F$2:$F$1009&lt;=_xlpm.gap), ""),
    IF(OR(_xlpm.key="", _xlpm.gap&lt;=0, ROWS(_xlpm.data)=0), "", _xlpm.data)
)</f>
        <v>#NAME?</v>
      </c>
      <c r="AE81" s="83" t="e">
        <f ca="1"/>
        <v>#NAME?</v>
      </c>
      <c r="AF81" s="83" t="e">
        <f ca="1"/>
        <v>#NAME?</v>
      </c>
      <c r="AG81" s="83" t="e">
        <f ca="1"/>
        <v>#NAME?</v>
      </c>
      <c r="AH81" s="83" t="e">
        <f ca="1"/>
        <v>#NAME?</v>
      </c>
      <c r="AI81" s="83" t="e">
        <f ca="1"/>
        <v>#NAME?</v>
      </c>
      <c r="AJ81" s="83" t="e">
        <f ca="1"/>
        <v>#NAME?</v>
      </c>
      <c r="AK81" s="83" t="e">
        <f ca="1"/>
        <v>#NAME?</v>
      </c>
      <c r="AL81" s="13" t="e" cm="1">
        <f t="array" aca="1" ref="AL81:AS82" ca="1">_xlfn.LET(
    _xlpm.gap, $F81,
    _xlpm.key, $L81,
    _xlpm.data, _xlfn._xlws.FILTER('sheet template'!$F$2:$M$1009,
                 ('sheet template'!$A$2:$A$1009=_xlpm.key) *
                 ('sheet template'!$F$2:$F$1009&lt;=_xlpm.gap), ""),
    IF(OR(_xlpm.key="", _xlpm.gap&lt;=0, ROWS(_xlpm.data)=0), "", _xlpm.data)
)</f>
        <v>#NAME?</v>
      </c>
      <c r="AM81" s="83" t="e">
        <f ca="1"/>
        <v>#NAME?</v>
      </c>
      <c r="AN81" s="83" t="e">
        <f ca="1"/>
        <v>#NAME?</v>
      </c>
      <c r="AO81" s="83" t="e">
        <f ca="1"/>
        <v>#NAME?</v>
      </c>
      <c r="AP81" s="83" t="e">
        <f ca="1"/>
        <v>#NAME?</v>
      </c>
      <c r="AQ81" s="83" t="e">
        <f ca="1"/>
        <v>#NAME?</v>
      </c>
      <c r="AR81" s="83" t="e">
        <f ca="1"/>
        <v>#NAME?</v>
      </c>
      <c r="AS81" s="83" t="e">
        <f ca="1"/>
        <v>#NAME?</v>
      </c>
    </row>
    <row r="82" spans="1:45" ht="15" customHeight="1">
      <c r="A82" s="286"/>
      <c r="B82" s="299"/>
      <c r="C82" s="296"/>
      <c r="D82" s="293"/>
      <c r="E82" s="289"/>
      <c r="F82" s="289"/>
      <c r="G82" s="289"/>
      <c r="H82" s="286"/>
      <c r="I82" s="289"/>
      <c r="J82" s="286"/>
      <c r="K82" s="286"/>
      <c r="L82" s="286"/>
      <c r="M82" s="286"/>
      <c r="N82" s="13" t="e">
        <f ca="1"/>
        <v>#NAME?</v>
      </c>
      <c r="O82" s="83" t="e">
        <f ca="1"/>
        <v>#NAME?</v>
      </c>
      <c r="P82" s="83" t="e">
        <f ca="1"/>
        <v>#NAME?</v>
      </c>
      <c r="Q82" s="83" t="e">
        <f ca="1"/>
        <v>#NAME?</v>
      </c>
      <c r="R82" s="83" t="e">
        <f ca="1"/>
        <v>#NAME?</v>
      </c>
      <c r="S82" s="83" t="e">
        <f ca="1"/>
        <v>#NAME?</v>
      </c>
      <c r="T82" s="83" t="e">
        <f ca="1"/>
        <v>#NAME?</v>
      </c>
      <c r="U82" s="83" t="e">
        <f ca="1"/>
        <v>#NAME?</v>
      </c>
      <c r="V82" s="13" t="e">
        <f ca="1"/>
        <v>#NAME?</v>
      </c>
      <c r="W82" s="83" t="e">
        <f ca="1"/>
        <v>#NAME?</v>
      </c>
      <c r="X82" s="83" t="e">
        <f ca="1"/>
        <v>#NAME?</v>
      </c>
      <c r="Y82" s="83" t="e">
        <f ca="1"/>
        <v>#NAME?</v>
      </c>
      <c r="Z82" s="83" t="e">
        <f ca="1"/>
        <v>#NAME?</v>
      </c>
      <c r="AA82" s="83" t="e">
        <f ca="1"/>
        <v>#NAME?</v>
      </c>
      <c r="AB82" s="83" t="e">
        <f ca="1"/>
        <v>#NAME?</v>
      </c>
      <c r="AC82" s="83" t="e">
        <f ca="1"/>
        <v>#NAME?</v>
      </c>
      <c r="AD82" s="13" t="e">
        <f ca="1"/>
        <v>#NAME?</v>
      </c>
      <c r="AE82" s="83" t="e">
        <f ca="1"/>
        <v>#NAME?</v>
      </c>
      <c r="AF82" s="83" t="e">
        <f ca="1"/>
        <v>#NAME?</v>
      </c>
      <c r="AG82" s="83" t="e">
        <f ca="1"/>
        <v>#NAME?</v>
      </c>
      <c r="AH82" s="83" t="e">
        <f ca="1"/>
        <v>#NAME?</v>
      </c>
      <c r="AI82" s="83" t="e">
        <f ca="1"/>
        <v>#NAME?</v>
      </c>
      <c r="AJ82" s="83" t="e">
        <f ca="1"/>
        <v>#NAME?</v>
      </c>
      <c r="AK82" s="83" t="e">
        <f ca="1"/>
        <v>#NAME?</v>
      </c>
      <c r="AL82" s="13" t="e">
        <f ca="1"/>
        <v>#NAME?</v>
      </c>
      <c r="AM82" s="83" t="e">
        <f ca="1"/>
        <v>#NAME?</v>
      </c>
      <c r="AN82" s="83" t="e">
        <f ca="1"/>
        <v>#NAME?</v>
      </c>
      <c r="AO82" s="83" t="e">
        <f ca="1"/>
        <v>#NAME?</v>
      </c>
      <c r="AP82" s="83" t="e">
        <f ca="1"/>
        <v>#NAME?</v>
      </c>
      <c r="AQ82" s="83" t="e">
        <f ca="1"/>
        <v>#NAME?</v>
      </c>
      <c r="AR82" s="83" t="e">
        <f ca="1"/>
        <v>#NAME?</v>
      </c>
      <c r="AS82" s="83" t="e">
        <f ca="1"/>
        <v>#NAME?</v>
      </c>
    </row>
    <row r="83" spans="1:45">
      <c r="A83" s="287"/>
      <c r="B83" s="300"/>
      <c r="C83" s="297"/>
      <c r="D83" s="294"/>
      <c r="E83" s="290"/>
      <c r="F83" s="290"/>
      <c r="G83" s="290"/>
      <c r="H83" s="287"/>
      <c r="I83" s="290"/>
      <c r="J83" s="287"/>
      <c r="K83" s="287"/>
      <c r="L83" s="287"/>
      <c r="M83" s="287"/>
      <c r="N83" s="13"/>
      <c r="O83" s="83"/>
      <c r="P83" s="83"/>
      <c r="Q83" s="83"/>
      <c r="R83" s="83"/>
      <c r="S83" s="83"/>
      <c r="T83" s="83"/>
      <c r="U83" s="83"/>
      <c r="V83" s="13"/>
      <c r="W83" s="83"/>
      <c r="X83" s="83"/>
      <c r="Y83" s="83"/>
      <c r="Z83" s="83"/>
      <c r="AA83" s="83"/>
      <c r="AB83" s="83"/>
      <c r="AC83" s="83"/>
      <c r="AD83" s="13"/>
      <c r="AE83" s="83"/>
      <c r="AF83" s="83"/>
      <c r="AG83" s="83"/>
      <c r="AH83" s="83"/>
      <c r="AI83" s="83"/>
      <c r="AJ83" s="83"/>
      <c r="AK83" s="83"/>
      <c r="AL83" s="13"/>
      <c r="AM83" s="83"/>
      <c r="AN83" s="83"/>
      <c r="AO83" s="83"/>
      <c r="AP83" s="83"/>
      <c r="AQ83" s="83"/>
      <c r="AR83" s="83"/>
      <c r="AS83" s="83"/>
    </row>
    <row r="84" spans="1:45">
      <c r="A84" s="285" t="s">
        <v>499</v>
      </c>
      <c r="B84" s="298">
        <f>IFERROR(INDEX(panduan!$C$3:$H$16,
       MATCH(TRIM(A84), panduan!$B$3:$B$16, 0),
       MATCH(TRIM($B$4), panduan!$C$2:$H$2, 0)),"")</f>
        <v>2</v>
      </c>
      <c r="C84" s="295">
        <f>IFERROR(INDEX(panduan!$C$3:$H$16,
       MATCH(TRIM(A84), panduan!$B$3:$B$16, 0),
       MATCH(TRIM($B$69), panduan!$C$2:$H$2, 0)),"")</f>
        <v>3</v>
      </c>
      <c r="D84" s="292">
        <v>3</v>
      </c>
      <c r="E84" s="288">
        <f t="shared" ref="E84" si="28">D84-C84</f>
        <v>0</v>
      </c>
      <c r="F84" s="288" t="str">
        <f t="shared" ref="F84" si="29">IF(E84&lt;0, MIN(-E84, 4), "")</f>
        <v/>
      </c>
      <c r="G84" s="288" t="str">
        <f>IFERROR(
    INDEX(panduan!$C$181:$G$185,
          MATCH($F$65,panduan!$B$181:$B$185,0),
          MATCH($F84,panduan!$C$180:$G$180,0)
    ),
"")</f>
        <v/>
      </c>
      <c r="H84" s="285" t="str">
        <f t="shared" ref="H84" si="30">IF(G84="", "",
   SUBSTITUTE(
     SUBSTITUTE(
       SUBSTITUTE(
         SUBSTITUTE(G84,
           "1", "Personal Development"),
         "2", "Education-Based Development"),
       "3", "Relation-Based Development"),
     "4", "Experience-Based Development")
)</f>
        <v/>
      </c>
      <c r="I84" s="288" t="str">
        <f>IF(E84&lt;0,_xlfn.RANK.EQ(E84,$E$72:$E$113,1)+COUNTIF($E$72:E86,E84)-1,"")</f>
        <v/>
      </c>
      <c r="J84" s="285" t="str">
        <f t="shared" ref="J84" si="31">IF(ISNUMBER(FIND("1",$G84)), $A84&amp;"|"&amp;$B$5&amp;"|1", "")</f>
        <v/>
      </c>
      <c r="K84" s="285" t="str">
        <f t="shared" ref="K84" si="32">IF(ISNUMBER(FIND("2",$G84)), $A84&amp;"|"&amp;$B$5&amp;"|2", "")</f>
        <v/>
      </c>
      <c r="L84" s="285" t="str">
        <f t="shared" ref="L84" si="33">IF(ISNUMBER(FIND("3",$G84)), $A84&amp;"|"&amp;$B$5&amp;"|3", "")</f>
        <v/>
      </c>
      <c r="M84" s="285" t="str">
        <f t="shared" ref="M84" si="34">IF(ISNUMBER(FIND("4",$G84)), $A84&amp;"|"&amp;$B$5&amp;"|4", "")</f>
        <v/>
      </c>
      <c r="N84" s="13" t="e" cm="1">
        <f t="array" aca="1" ref="N84" ca="1">_xlfn.LET(
    _xlpm.gap, $F84,
    _xlpm.key, $J84,
    _xlpm.data, _xlfn._xlws.FILTER('sheet template'!$F$2:$M$1009,
                 ('sheet template'!$A$2:$A$1009=_xlpm.key) *
                 ('sheet template'!$F$2:$F$1009&lt;=_xlpm.gap), ""),
    IF(OR(_xlpm.key="", _xlpm.gap&lt;=0, ROWS(_xlpm.data)=0), "", _xlpm.data)
)</f>
        <v>#NAME?</v>
      </c>
      <c r="O84" s="83"/>
      <c r="P84" s="83"/>
      <c r="Q84" s="83"/>
      <c r="R84" s="83"/>
      <c r="S84" s="83"/>
      <c r="T84" s="83"/>
      <c r="U84" s="83"/>
      <c r="V84" s="13" t="e" cm="1">
        <f t="array" aca="1" ref="V84" ca="1">_xlfn.LET(
    _xlpm.gap, $F84,
    _xlpm.key, $K84,
    _xlpm.data, _xlfn._xlws.FILTER('sheet template'!$F$2:$M$1009,
                 ('sheet template'!$A$2:$A$1009=_xlpm.key) *
                 ('sheet template'!$F$2:$F$1009&lt;=_xlpm.gap), ""),
    IF(OR(_xlpm.key="", _xlpm.gap&lt;=0, ROWS(_xlpm.data)=0), "", _xlpm.data)
)</f>
        <v>#NAME?</v>
      </c>
      <c r="W84" s="83"/>
      <c r="X84" s="83"/>
      <c r="Y84" s="83"/>
      <c r="Z84" s="83"/>
      <c r="AA84" s="83"/>
      <c r="AB84" s="83"/>
      <c r="AC84" s="83"/>
      <c r="AD84" s="13" t="e" cm="1">
        <f t="array" aca="1" ref="AD84" ca="1">_xlfn.LET(
    _xlpm.gap, $F84,
    _xlpm.key, $L84,
    _xlpm.data, _xlfn._xlws.FILTER('sheet template'!$F$2:$M$1009,
                 ('sheet template'!$A$2:$A$1009=_xlpm.key) *
                 ('sheet template'!$F$2:$F$1009&lt;=_xlpm.gap), ""),
    IF(OR(_xlpm.key="", _xlpm.gap&lt;=0, ROWS(_xlpm.data)=0), "", _xlpm.data)
)</f>
        <v>#NAME?</v>
      </c>
      <c r="AE84" s="83"/>
      <c r="AF84" s="83"/>
      <c r="AG84" s="83"/>
      <c r="AH84" s="83"/>
      <c r="AI84" s="83"/>
      <c r="AJ84" s="83"/>
      <c r="AK84" s="83"/>
      <c r="AL84" s="13" t="e" cm="1">
        <f t="array" aca="1" ref="AL84" ca="1">_xlfn.LET(
    _xlpm.gap, $F84,
    _xlpm.key, $L84,
    _xlpm.data, _xlfn._xlws.FILTER('sheet template'!$F$2:$M$1009,
                 ('sheet template'!$A$2:$A$1009=_xlpm.key) *
                 ('sheet template'!$F$2:$F$1009&lt;=_xlpm.gap), ""),
    IF(OR(_xlpm.key="", _xlpm.gap&lt;=0, ROWS(_xlpm.data)=0), "", _xlpm.data)
)</f>
        <v>#NAME?</v>
      </c>
      <c r="AM84" s="83"/>
      <c r="AN84" s="83"/>
      <c r="AO84" s="83"/>
      <c r="AP84" s="83"/>
      <c r="AQ84" s="83"/>
      <c r="AR84" s="83"/>
      <c r="AS84" s="83"/>
    </row>
    <row r="85" spans="1:45">
      <c r="A85" s="286"/>
      <c r="B85" s="299"/>
      <c r="C85" s="296"/>
      <c r="D85" s="293"/>
      <c r="E85" s="289"/>
      <c r="F85" s="289"/>
      <c r="G85" s="289"/>
      <c r="H85" s="286"/>
      <c r="I85" s="289"/>
      <c r="J85" s="286"/>
      <c r="K85" s="286"/>
      <c r="L85" s="286"/>
      <c r="M85" s="286"/>
      <c r="N85" s="13"/>
      <c r="O85" s="83"/>
      <c r="P85" s="83"/>
      <c r="Q85" s="83"/>
      <c r="R85" s="83"/>
      <c r="S85" s="83"/>
      <c r="T85" s="83"/>
      <c r="U85" s="83"/>
      <c r="V85" s="13"/>
      <c r="W85" s="83"/>
      <c r="X85" s="83"/>
      <c r="Y85" s="83"/>
      <c r="Z85" s="83"/>
      <c r="AA85" s="83"/>
      <c r="AB85" s="83"/>
      <c r="AC85" s="83"/>
      <c r="AD85" s="13"/>
      <c r="AE85" s="83"/>
      <c r="AF85" s="83"/>
      <c r="AG85" s="83"/>
      <c r="AH85" s="83"/>
      <c r="AI85" s="83"/>
      <c r="AJ85" s="83"/>
      <c r="AK85" s="83"/>
      <c r="AL85" s="13"/>
      <c r="AM85" s="83"/>
      <c r="AN85" s="83"/>
      <c r="AO85" s="83"/>
      <c r="AP85" s="83"/>
      <c r="AQ85" s="83"/>
      <c r="AR85" s="83"/>
      <c r="AS85" s="83"/>
    </row>
    <row r="86" spans="1:45">
      <c r="A86" s="287"/>
      <c r="B86" s="300"/>
      <c r="C86" s="297"/>
      <c r="D86" s="294"/>
      <c r="E86" s="290"/>
      <c r="F86" s="290"/>
      <c r="G86" s="290"/>
      <c r="H86" s="287"/>
      <c r="I86" s="290"/>
      <c r="J86" s="287"/>
      <c r="K86" s="287"/>
      <c r="L86" s="287"/>
      <c r="M86" s="287"/>
      <c r="N86" s="13"/>
      <c r="O86" s="83"/>
      <c r="P86" s="83"/>
      <c r="Q86" s="83"/>
      <c r="R86" s="83"/>
      <c r="S86" s="83"/>
      <c r="T86" s="83"/>
      <c r="U86" s="83"/>
      <c r="V86" s="13"/>
      <c r="W86" s="83"/>
      <c r="X86" s="83"/>
      <c r="Y86" s="83"/>
      <c r="Z86" s="83"/>
      <c r="AA86" s="83"/>
      <c r="AB86" s="83"/>
      <c r="AC86" s="83"/>
      <c r="AD86" s="13"/>
      <c r="AE86" s="83"/>
      <c r="AF86" s="83"/>
      <c r="AG86" s="83"/>
      <c r="AH86" s="83"/>
      <c r="AI86" s="83"/>
      <c r="AJ86" s="83"/>
      <c r="AK86" s="83"/>
      <c r="AL86" s="13"/>
      <c r="AM86" s="83"/>
      <c r="AN86" s="83"/>
      <c r="AO86" s="83"/>
      <c r="AP86" s="83"/>
      <c r="AQ86" s="83"/>
      <c r="AR86" s="83"/>
      <c r="AS86" s="83"/>
    </row>
    <row r="87" spans="1:45" ht="15" customHeight="1">
      <c r="A87" s="285" t="s">
        <v>500</v>
      </c>
      <c r="B87" s="298">
        <f>IFERROR(INDEX(panduan!$C$3:$H$16,
       MATCH(TRIM(A87), panduan!$B$3:$B$16, 0),
       MATCH(TRIM($B$4), panduan!$C$2:$H$2, 0)),"")</f>
        <v>1</v>
      </c>
      <c r="C87" s="295">
        <f>IFERROR(INDEX(panduan!$C$3:$H$16,
       MATCH(TRIM(A87), panduan!$B$3:$B$16, 0),
       MATCH(TRIM($B$69), panduan!$C$2:$H$2, 0)),"")</f>
        <v>3</v>
      </c>
      <c r="D87" s="292">
        <v>1</v>
      </c>
      <c r="E87" s="288">
        <f t="shared" ref="E87" si="35">D87-C87</f>
        <v>-2</v>
      </c>
      <c r="F87" s="288">
        <f t="shared" ref="F87" si="36">IF(E87&lt;0, MIN(-E87, 4), "")</f>
        <v>2</v>
      </c>
      <c r="G87" s="288" t="str">
        <f>IFERROR(
    INDEX(panduan!$C$181:$G$185,
          MATCH($F$65,panduan!$B$181:$B$185,0),
          MATCH($F87,panduan!$C$180:$G$180,0)
    ),
"")</f>
        <v/>
      </c>
      <c r="H87" s="285" t="str">
        <f t="shared" ref="H87" si="37">IF(G87="", "",
   SUBSTITUTE(
     SUBSTITUTE(
       SUBSTITUTE(
         SUBSTITUTE(G87,
           "1", "Personal Development"),
         "2", "Education-Based Development"),
       "3", "Relation-Based Development"),
     "4", "Experience-Based Development")
)</f>
        <v/>
      </c>
      <c r="I87" s="288">
        <f>IF(E87&lt;0,_xlfn.RANK.EQ(E87,$E$72:$E$113,1)+COUNTIF($E$72:E89,E87)-1,"")</f>
        <v>4</v>
      </c>
      <c r="J87" s="285" t="str">
        <f t="shared" ref="J87" si="38">IF(ISNUMBER(FIND("1",$G87)), $A87&amp;"|"&amp;$B$5&amp;"|1", "")</f>
        <v/>
      </c>
      <c r="K87" s="285" t="str">
        <f t="shared" ref="K87" si="39">IF(ISNUMBER(FIND("2",$G87)), $A87&amp;"|"&amp;$B$5&amp;"|2", "")</f>
        <v/>
      </c>
      <c r="L87" s="285" t="str">
        <f t="shared" ref="L87" si="40">IF(ISNUMBER(FIND("3",$G87)), $A87&amp;"|"&amp;$B$5&amp;"|3", "")</f>
        <v/>
      </c>
      <c r="M87" s="285" t="str">
        <f t="shared" ref="M87" si="41">IF(ISNUMBER(FIND("4",$G87)), $A87&amp;"|"&amp;$B$5&amp;"|4", "")</f>
        <v/>
      </c>
      <c r="N87" s="13" t="e" cm="1">
        <f t="array" aca="1" ref="N87:U88" ca="1">_xlfn.LET(
    _xlpm.gap, $F87,
    _xlpm.key, $J87,
    _xlpm.data, _xlfn._xlws.FILTER('sheet template'!$F$2:$M$1009,
                 ('sheet template'!$A$2:$A$1009=_xlpm.key) *
                 ('sheet template'!$F$2:$F$1009&lt;=_xlpm.gap), ""),
    IF(OR(_xlpm.key="", _xlpm.gap&lt;=0, ROWS(_xlpm.data)=0), "", _xlpm.data)
)</f>
        <v>#NAME?</v>
      </c>
      <c r="O87" s="83" t="e">
        <f ca="1"/>
        <v>#NAME?</v>
      </c>
      <c r="P87" s="83" t="e">
        <f ca="1"/>
        <v>#NAME?</v>
      </c>
      <c r="Q87" s="83" t="e">
        <f ca="1"/>
        <v>#NAME?</v>
      </c>
      <c r="R87" s="83" t="e">
        <f ca="1"/>
        <v>#NAME?</v>
      </c>
      <c r="S87" s="83" t="e">
        <f ca="1"/>
        <v>#NAME?</v>
      </c>
      <c r="T87" s="83" t="e">
        <f ca="1"/>
        <v>#NAME?</v>
      </c>
      <c r="U87" s="83" t="e">
        <f ca="1"/>
        <v>#NAME?</v>
      </c>
      <c r="V87" s="13" t="e" cm="1">
        <f t="array" aca="1" ref="V87:AC88" ca="1">_xlfn.LET(
    _xlpm.gap, $F87,
    _xlpm.key, $K87,
    _xlpm.data, _xlfn._xlws.FILTER('sheet template'!$F$2:$M$1009,
                 ('sheet template'!$A$2:$A$1009=_xlpm.key) *
                 ('sheet template'!$F$2:$F$1009&lt;=_xlpm.gap), ""),
    IF(OR(_xlpm.key="", _xlpm.gap&lt;=0, ROWS(_xlpm.data)=0), "", _xlpm.data)
)</f>
        <v>#NAME?</v>
      </c>
      <c r="W87" s="83" t="e">
        <f ca="1"/>
        <v>#NAME?</v>
      </c>
      <c r="X87" s="83" t="e">
        <f ca="1"/>
        <v>#NAME?</v>
      </c>
      <c r="Y87" s="83" t="e">
        <f ca="1"/>
        <v>#NAME?</v>
      </c>
      <c r="Z87" s="83" t="e">
        <f ca="1"/>
        <v>#NAME?</v>
      </c>
      <c r="AA87" s="83" t="e">
        <f ca="1"/>
        <v>#NAME?</v>
      </c>
      <c r="AB87" s="83" t="e">
        <f ca="1"/>
        <v>#NAME?</v>
      </c>
      <c r="AC87" s="83" t="e">
        <f ca="1"/>
        <v>#NAME?</v>
      </c>
      <c r="AD87" s="13" t="e" cm="1">
        <f t="array" aca="1" ref="AD87:AK88" ca="1">_xlfn.LET(
    _xlpm.gap, $F87,
    _xlpm.key, $L87,
    _xlpm.data, _xlfn._xlws.FILTER('sheet template'!$F$2:$M$1009,
                 ('sheet template'!$A$2:$A$1009=_xlpm.key) *
                 ('sheet template'!$F$2:$F$1009&lt;=_xlpm.gap), ""),
    IF(OR(_xlpm.key="", _xlpm.gap&lt;=0, ROWS(_xlpm.data)=0), "", _xlpm.data)
)</f>
        <v>#NAME?</v>
      </c>
      <c r="AE87" s="83" t="e">
        <f ca="1"/>
        <v>#NAME?</v>
      </c>
      <c r="AF87" s="83" t="e">
        <f ca="1"/>
        <v>#NAME?</v>
      </c>
      <c r="AG87" s="83" t="e">
        <f ca="1"/>
        <v>#NAME?</v>
      </c>
      <c r="AH87" s="83" t="e">
        <f ca="1"/>
        <v>#NAME?</v>
      </c>
      <c r="AI87" s="83" t="e">
        <f ca="1"/>
        <v>#NAME?</v>
      </c>
      <c r="AJ87" s="83" t="e">
        <f ca="1"/>
        <v>#NAME?</v>
      </c>
      <c r="AK87" s="83" t="e">
        <f ca="1"/>
        <v>#NAME?</v>
      </c>
      <c r="AL87" s="13" t="e" cm="1">
        <f t="array" aca="1" ref="AL87:AS88" ca="1">_xlfn.LET(
    _xlpm.gap, $F87,
    _xlpm.key, $L87,
    _xlpm.data, _xlfn._xlws.FILTER('sheet template'!$F$2:$M$1009,
                 ('sheet template'!$A$2:$A$1009=_xlpm.key) *
                 ('sheet template'!$F$2:$F$1009&lt;=_xlpm.gap), ""),
    IF(OR(_xlpm.key="", _xlpm.gap&lt;=0, ROWS(_xlpm.data)=0), "", _xlpm.data)
)</f>
        <v>#NAME?</v>
      </c>
      <c r="AM87" s="83" t="e">
        <f ca="1"/>
        <v>#NAME?</v>
      </c>
      <c r="AN87" s="83" t="e">
        <f ca="1"/>
        <v>#NAME?</v>
      </c>
      <c r="AO87" s="83" t="e">
        <f ca="1"/>
        <v>#NAME?</v>
      </c>
      <c r="AP87" s="83" t="e">
        <f ca="1"/>
        <v>#NAME?</v>
      </c>
      <c r="AQ87" s="83" t="e">
        <f ca="1"/>
        <v>#NAME?</v>
      </c>
      <c r="AR87" s="83" t="e">
        <f ca="1"/>
        <v>#NAME?</v>
      </c>
      <c r="AS87" s="83" t="e">
        <f ca="1"/>
        <v>#NAME?</v>
      </c>
    </row>
    <row r="88" spans="1:45" ht="15" customHeight="1">
      <c r="A88" s="286"/>
      <c r="B88" s="299"/>
      <c r="C88" s="296"/>
      <c r="D88" s="293"/>
      <c r="E88" s="289"/>
      <c r="F88" s="289"/>
      <c r="G88" s="289"/>
      <c r="H88" s="286"/>
      <c r="I88" s="289"/>
      <c r="J88" s="286"/>
      <c r="K88" s="286"/>
      <c r="L88" s="286"/>
      <c r="M88" s="286"/>
      <c r="N88" s="13" t="e">
        <f ca="1"/>
        <v>#NAME?</v>
      </c>
      <c r="O88" s="83" t="e">
        <f ca="1"/>
        <v>#NAME?</v>
      </c>
      <c r="P88" s="83" t="e">
        <f ca="1"/>
        <v>#NAME?</v>
      </c>
      <c r="Q88" s="83" t="e">
        <f ca="1"/>
        <v>#NAME?</v>
      </c>
      <c r="R88" s="83" t="e">
        <f ca="1"/>
        <v>#NAME?</v>
      </c>
      <c r="S88" s="83" t="e">
        <f ca="1"/>
        <v>#NAME?</v>
      </c>
      <c r="T88" s="83" t="e">
        <f ca="1"/>
        <v>#NAME?</v>
      </c>
      <c r="U88" s="83" t="e">
        <f ca="1"/>
        <v>#NAME?</v>
      </c>
      <c r="V88" s="13" t="e">
        <f ca="1"/>
        <v>#NAME?</v>
      </c>
      <c r="W88" s="83" t="e">
        <f ca="1"/>
        <v>#NAME?</v>
      </c>
      <c r="X88" s="83" t="e">
        <f ca="1"/>
        <v>#NAME?</v>
      </c>
      <c r="Y88" s="83" t="e">
        <f ca="1"/>
        <v>#NAME?</v>
      </c>
      <c r="Z88" s="83" t="e">
        <f ca="1"/>
        <v>#NAME?</v>
      </c>
      <c r="AA88" s="83" t="e">
        <f ca="1"/>
        <v>#NAME?</v>
      </c>
      <c r="AB88" s="83" t="e">
        <f ca="1"/>
        <v>#NAME?</v>
      </c>
      <c r="AC88" s="83" t="e">
        <f ca="1"/>
        <v>#NAME?</v>
      </c>
      <c r="AD88" s="13" t="e">
        <f ca="1"/>
        <v>#NAME?</v>
      </c>
      <c r="AE88" s="83" t="e">
        <f ca="1"/>
        <v>#NAME?</v>
      </c>
      <c r="AF88" s="83" t="e">
        <f ca="1"/>
        <v>#NAME?</v>
      </c>
      <c r="AG88" s="83" t="e">
        <f ca="1"/>
        <v>#NAME?</v>
      </c>
      <c r="AH88" s="83" t="e">
        <f ca="1"/>
        <v>#NAME?</v>
      </c>
      <c r="AI88" s="83" t="e">
        <f ca="1"/>
        <v>#NAME?</v>
      </c>
      <c r="AJ88" s="83" t="e">
        <f ca="1"/>
        <v>#NAME?</v>
      </c>
      <c r="AK88" s="83" t="e">
        <f ca="1"/>
        <v>#NAME?</v>
      </c>
      <c r="AL88" s="13" t="e">
        <f ca="1"/>
        <v>#NAME?</v>
      </c>
      <c r="AM88" s="83" t="e">
        <f ca="1"/>
        <v>#NAME?</v>
      </c>
      <c r="AN88" s="83" t="e">
        <f ca="1"/>
        <v>#NAME?</v>
      </c>
      <c r="AO88" s="83" t="e">
        <f ca="1"/>
        <v>#NAME?</v>
      </c>
      <c r="AP88" s="83" t="e">
        <f ca="1"/>
        <v>#NAME?</v>
      </c>
      <c r="AQ88" s="83" t="e">
        <f ca="1"/>
        <v>#NAME?</v>
      </c>
      <c r="AR88" s="83" t="e">
        <f ca="1"/>
        <v>#NAME?</v>
      </c>
      <c r="AS88" s="83" t="e">
        <f ca="1"/>
        <v>#NAME?</v>
      </c>
    </row>
    <row r="89" spans="1:45">
      <c r="A89" s="287"/>
      <c r="B89" s="300"/>
      <c r="C89" s="297"/>
      <c r="D89" s="294"/>
      <c r="E89" s="290"/>
      <c r="F89" s="290"/>
      <c r="G89" s="290"/>
      <c r="H89" s="287"/>
      <c r="I89" s="290"/>
      <c r="J89" s="287"/>
      <c r="K89" s="287"/>
      <c r="L89" s="287"/>
      <c r="M89" s="287"/>
      <c r="N89" s="13"/>
      <c r="O89" s="83"/>
      <c r="P89" s="83"/>
      <c r="Q89" s="83"/>
      <c r="R89" s="83"/>
      <c r="S89" s="83"/>
      <c r="T89" s="83"/>
      <c r="U89" s="83"/>
      <c r="V89" s="13"/>
      <c r="W89" s="83"/>
      <c r="X89" s="83"/>
      <c r="Y89" s="83"/>
      <c r="Z89" s="83"/>
      <c r="AA89" s="83"/>
      <c r="AB89" s="83"/>
      <c r="AC89" s="83"/>
      <c r="AD89" s="13"/>
      <c r="AE89" s="83"/>
      <c r="AF89" s="83"/>
      <c r="AG89" s="83"/>
      <c r="AH89" s="83"/>
      <c r="AI89" s="83"/>
      <c r="AJ89" s="83"/>
      <c r="AK89" s="83"/>
      <c r="AL89" s="13"/>
      <c r="AM89" s="83"/>
      <c r="AN89" s="83"/>
      <c r="AO89" s="83"/>
      <c r="AP89" s="83"/>
      <c r="AQ89" s="83"/>
      <c r="AR89" s="83"/>
      <c r="AS89" s="83"/>
    </row>
    <row r="90" spans="1:45">
      <c r="A90" s="285" t="s">
        <v>501</v>
      </c>
      <c r="B90" s="298">
        <f>IFERROR(INDEX(panduan!$C$3:$H$16,
       MATCH(TRIM(A90), panduan!$B$3:$B$16, 0),
       MATCH(TRIM($B$4), panduan!$C$2:$H$2, 0)),"")</f>
        <v>1</v>
      </c>
      <c r="C90" s="295">
        <f>IFERROR(INDEX(panduan!$C$3:$H$16,
       MATCH(TRIM(A90), panduan!$B$3:$B$16, 0),
       MATCH(TRIM($B$69), panduan!$C$2:$H$2, 0)),"")</f>
        <v>3</v>
      </c>
      <c r="D90" s="292">
        <v>1</v>
      </c>
      <c r="E90" s="288">
        <f t="shared" ref="E90" si="42">D90-C90</f>
        <v>-2</v>
      </c>
      <c r="F90" s="288">
        <f t="shared" ref="F90" si="43">IF(E90&lt;0, MIN(-E90, 4), "")</f>
        <v>2</v>
      </c>
      <c r="G90" s="288" t="str">
        <f>IFERROR(
    INDEX(panduan!$C$181:$G$185,
          MATCH($F$65,panduan!$B$181:$B$185,0),
          MATCH($F90,panduan!$C$180:$G$180,0)
    ),
"")</f>
        <v/>
      </c>
      <c r="H90" s="285" t="str">
        <f t="shared" ref="H90" si="44">IF(G90="", "",
   SUBSTITUTE(
     SUBSTITUTE(
       SUBSTITUTE(
         SUBSTITUTE(G90,
           "1", "Personal Development"),
         "2", "Education-Based Development"),
       "3", "Relation-Based Development"),
     "4", "Experience-Based Development")
)</f>
        <v/>
      </c>
      <c r="I90" s="288">
        <f>IF(E90&lt;0,_xlfn.RANK.EQ(E90,$E$72:$E$113,1)+COUNTIF($E$72:E92,E90)-1,"")</f>
        <v>5</v>
      </c>
      <c r="J90" s="285" t="str">
        <f t="shared" ref="J90" si="45">IF(ISNUMBER(FIND("1",$G90)), $A90&amp;"|"&amp;$B$5&amp;"|1", "")</f>
        <v/>
      </c>
      <c r="K90" s="285" t="str">
        <f t="shared" ref="K90" si="46">IF(ISNUMBER(FIND("2",$G90)), $A90&amp;"|"&amp;$B$5&amp;"|2", "")</f>
        <v/>
      </c>
      <c r="L90" s="285" t="str">
        <f t="shared" ref="L90" si="47">IF(ISNUMBER(FIND("3",$G90)), $A90&amp;"|"&amp;$B$5&amp;"|3", "")</f>
        <v/>
      </c>
      <c r="M90" s="285" t="str">
        <f t="shared" ref="M90" si="48">IF(ISNUMBER(FIND("4",$G90)), $A90&amp;"|"&amp;$B$5&amp;"|4", "")</f>
        <v/>
      </c>
      <c r="N90" s="13" t="e" cm="1">
        <f t="array" aca="1" ref="N90:U91" ca="1">_xlfn.LET(
    _xlpm.gap, $F90,
    _xlpm.key, $J90,
    _xlpm.data, _xlfn._xlws.FILTER('sheet template'!$F$2:$M$1009,
                 ('sheet template'!$A$2:$A$1009=_xlpm.key) *
                 ('sheet template'!$F$2:$F$1009&lt;=_xlpm.gap), ""),
    IF(OR(_xlpm.key="", _xlpm.gap&lt;=0, ROWS(_xlpm.data)=0), "", _xlpm.data)
)</f>
        <v>#NAME?</v>
      </c>
      <c r="O90" s="83" t="e">
        <f ca="1"/>
        <v>#NAME?</v>
      </c>
      <c r="P90" s="83" t="e">
        <f ca="1"/>
        <v>#NAME?</v>
      </c>
      <c r="Q90" s="83" t="e">
        <f ca="1"/>
        <v>#NAME?</v>
      </c>
      <c r="R90" s="83" t="e">
        <f ca="1"/>
        <v>#NAME?</v>
      </c>
      <c r="S90" s="83" t="e">
        <f ca="1"/>
        <v>#NAME?</v>
      </c>
      <c r="T90" s="83" t="e">
        <f ca="1"/>
        <v>#NAME?</v>
      </c>
      <c r="U90" s="83" t="e">
        <f ca="1"/>
        <v>#NAME?</v>
      </c>
      <c r="V90" s="13" t="e" cm="1">
        <f t="array" aca="1" ref="V90:AC91" ca="1">_xlfn.LET(
    _xlpm.gap, $F90,
    _xlpm.key, $K90,
    _xlpm.data, _xlfn._xlws.FILTER('sheet template'!$F$2:$M$1009,
                 ('sheet template'!$A$2:$A$1009=_xlpm.key) *
                 ('sheet template'!$F$2:$F$1009&lt;=_xlpm.gap), ""),
    IF(OR(_xlpm.key="", _xlpm.gap&lt;=0, ROWS(_xlpm.data)=0), "", _xlpm.data)
)</f>
        <v>#NAME?</v>
      </c>
      <c r="W90" s="83" t="e">
        <f ca="1"/>
        <v>#NAME?</v>
      </c>
      <c r="X90" s="83" t="e">
        <f ca="1"/>
        <v>#NAME?</v>
      </c>
      <c r="Y90" s="83" t="e">
        <f ca="1"/>
        <v>#NAME?</v>
      </c>
      <c r="Z90" s="83" t="e">
        <f ca="1"/>
        <v>#NAME?</v>
      </c>
      <c r="AA90" s="83" t="e">
        <f ca="1"/>
        <v>#NAME?</v>
      </c>
      <c r="AB90" s="83" t="e">
        <f ca="1"/>
        <v>#NAME?</v>
      </c>
      <c r="AC90" s="83" t="e">
        <f ca="1"/>
        <v>#NAME?</v>
      </c>
      <c r="AD90" s="13" t="e" cm="1">
        <f t="array" aca="1" ref="AD90:AK91" ca="1">_xlfn.LET(
    _xlpm.gap, $F90,
    _xlpm.key, $L90,
    _xlpm.data, _xlfn._xlws.FILTER('sheet template'!$F$2:$M$1009,
                 ('sheet template'!$A$2:$A$1009=_xlpm.key) *
                 ('sheet template'!$F$2:$F$1009&lt;=_xlpm.gap), ""),
    IF(OR(_xlpm.key="", _xlpm.gap&lt;=0, ROWS(_xlpm.data)=0), "", _xlpm.data)
)</f>
        <v>#NAME?</v>
      </c>
      <c r="AE90" s="83" t="e">
        <f ca="1"/>
        <v>#NAME?</v>
      </c>
      <c r="AF90" s="83" t="e">
        <f ca="1"/>
        <v>#NAME?</v>
      </c>
      <c r="AG90" s="83" t="e">
        <f ca="1"/>
        <v>#NAME?</v>
      </c>
      <c r="AH90" s="83" t="e">
        <f ca="1"/>
        <v>#NAME?</v>
      </c>
      <c r="AI90" s="83" t="e">
        <f ca="1"/>
        <v>#NAME?</v>
      </c>
      <c r="AJ90" s="83" t="e">
        <f ca="1"/>
        <v>#NAME?</v>
      </c>
      <c r="AK90" s="83" t="e">
        <f ca="1"/>
        <v>#NAME?</v>
      </c>
      <c r="AL90" s="13" t="e" cm="1">
        <f t="array" aca="1" ref="AL90:AS91" ca="1">_xlfn.LET(
    _xlpm.gap, $F90,
    _xlpm.key, $L90,
    _xlpm.data, _xlfn._xlws.FILTER('sheet template'!$F$2:$M$1009,
                 ('sheet template'!$A$2:$A$1009=_xlpm.key) *
                 ('sheet template'!$F$2:$F$1009&lt;=_xlpm.gap), ""),
    IF(OR(_xlpm.key="", _xlpm.gap&lt;=0, ROWS(_xlpm.data)=0), "", _xlpm.data)
)</f>
        <v>#NAME?</v>
      </c>
      <c r="AM90" s="83" t="e">
        <f ca="1"/>
        <v>#NAME?</v>
      </c>
      <c r="AN90" s="83" t="e">
        <f ca="1"/>
        <v>#NAME?</v>
      </c>
      <c r="AO90" s="83" t="e">
        <f ca="1"/>
        <v>#NAME?</v>
      </c>
      <c r="AP90" s="83" t="e">
        <f ca="1"/>
        <v>#NAME?</v>
      </c>
      <c r="AQ90" s="83" t="e">
        <f ca="1"/>
        <v>#NAME?</v>
      </c>
      <c r="AR90" s="83" t="e">
        <f ca="1"/>
        <v>#NAME?</v>
      </c>
      <c r="AS90" s="83" t="e">
        <f ca="1"/>
        <v>#NAME?</v>
      </c>
    </row>
    <row r="91" spans="1:45">
      <c r="A91" s="286"/>
      <c r="B91" s="299"/>
      <c r="C91" s="296"/>
      <c r="D91" s="293"/>
      <c r="E91" s="289"/>
      <c r="F91" s="289"/>
      <c r="G91" s="289"/>
      <c r="H91" s="286"/>
      <c r="I91" s="289"/>
      <c r="J91" s="286"/>
      <c r="K91" s="286"/>
      <c r="L91" s="286"/>
      <c r="M91" s="286"/>
      <c r="N91" s="13" t="e">
        <f ca="1"/>
        <v>#NAME?</v>
      </c>
      <c r="O91" s="83" t="e">
        <f ca="1"/>
        <v>#NAME?</v>
      </c>
      <c r="P91" s="83" t="e">
        <f ca="1"/>
        <v>#NAME?</v>
      </c>
      <c r="Q91" s="83" t="e">
        <f ca="1"/>
        <v>#NAME?</v>
      </c>
      <c r="R91" s="83" t="e">
        <f ca="1"/>
        <v>#NAME?</v>
      </c>
      <c r="S91" s="83" t="e">
        <f ca="1"/>
        <v>#NAME?</v>
      </c>
      <c r="T91" s="83" t="e">
        <f ca="1"/>
        <v>#NAME?</v>
      </c>
      <c r="U91" s="83" t="e">
        <f ca="1"/>
        <v>#NAME?</v>
      </c>
      <c r="V91" s="13" t="e">
        <f ca="1"/>
        <v>#NAME?</v>
      </c>
      <c r="W91" s="83" t="e">
        <f ca="1"/>
        <v>#NAME?</v>
      </c>
      <c r="X91" s="83" t="e">
        <f ca="1"/>
        <v>#NAME?</v>
      </c>
      <c r="Y91" s="83" t="e">
        <f ca="1"/>
        <v>#NAME?</v>
      </c>
      <c r="Z91" s="83" t="e">
        <f ca="1"/>
        <v>#NAME?</v>
      </c>
      <c r="AA91" s="83" t="e">
        <f ca="1"/>
        <v>#NAME?</v>
      </c>
      <c r="AB91" s="83" t="e">
        <f ca="1"/>
        <v>#NAME?</v>
      </c>
      <c r="AC91" s="83" t="e">
        <f ca="1"/>
        <v>#NAME?</v>
      </c>
      <c r="AD91" s="13" t="e">
        <f ca="1"/>
        <v>#NAME?</v>
      </c>
      <c r="AE91" s="83" t="e">
        <f ca="1"/>
        <v>#NAME?</v>
      </c>
      <c r="AF91" s="83" t="e">
        <f ca="1"/>
        <v>#NAME?</v>
      </c>
      <c r="AG91" s="83" t="e">
        <f ca="1"/>
        <v>#NAME?</v>
      </c>
      <c r="AH91" s="83" t="e">
        <f ca="1"/>
        <v>#NAME?</v>
      </c>
      <c r="AI91" s="83" t="e">
        <f ca="1"/>
        <v>#NAME?</v>
      </c>
      <c r="AJ91" s="83" t="e">
        <f ca="1"/>
        <v>#NAME?</v>
      </c>
      <c r="AK91" s="83" t="e">
        <f ca="1"/>
        <v>#NAME?</v>
      </c>
      <c r="AL91" s="13" t="e">
        <f ca="1"/>
        <v>#NAME?</v>
      </c>
      <c r="AM91" s="83" t="e">
        <f ca="1"/>
        <v>#NAME?</v>
      </c>
      <c r="AN91" s="83" t="e">
        <f ca="1"/>
        <v>#NAME?</v>
      </c>
      <c r="AO91" s="83" t="e">
        <f ca="1"/>
        <v>#NAME?</v>
      </c>
      <c r="AP91" s="83" t="e">
        <f ca="1"/>
        <v>#NAME?</v>
      </c>
      <c r="AQ91" s="83" t="e">
        <f ca="1"/>
        <v>#NAME?</v>
      </c>
      <c r="AR91" s="83" t="e">
        <f ca="1"/>
        <v>#NAME?</v>
      </c>
      <c r="AS91" s="83" t="e">
        <f ca="1"/>
        <v>#NAME?</v>
      </c>
    </row>
    <row r="92" spans="1:45">
      <c r="A92" s="287"/>
      <c r="B92" s="300"/>
      <c r="C92" s="297"/>
      <c r="D92" s="294"/>
      <c r="E92" s="290"/>
      <c r="F92" s="290"/>
      <c r="G92" s="290"/>
      <c r="H92" s="287"/>
      <c r="I92" s="290"/>
      <c r="J92" s="287"/>
      <c r="K92" s="287"/>
      <c r="L92" s="287"/>
      <c r="M92" s="287"/>
      <c r="N92" s="13"/>
      <c r="O92" s="83"/>
      <c r="P92" s="83"/>
      <c r="Q92" s="83"/>
      <c r="R92" s="83"/>
      <c r="S92" s="83"/>
      <c r="T92" s="83"/>
      <c r="U92" s="83"/>
      <c r="V92" s="13"/>
      <c r="W92" s="83"/>
      <c r="X92" s="83"/>
      <c r="Y92" s="83"/>
      <c r="Z92" s="83"/>
      <c r="AA92" s="83"/>
      <c r="AB92" s="83"/>
      <c r="AC92" s="83"/>
      <c r="AD92" s="13"/>
      <c r="AE92" s="83"/>
      <c r="AF92" s="83"/>
      <c r="AG92" s="83"/>
      <c r="AH92" s="83"/>
      <c r="AI92" s="83"/>
      <c r="AJ92" s="83"/>
      <c r="AK92" s="83"/>
      <c r="AL92" s="13"/>
      <c r="AM92" s="83"/>
      <c r="AN92" s="83"/>
      <c r="AO92" s="83"/>
      <c r="AP92" s="83"/>
      <c r="AQ92" s="83"/>
      <c r="AR92" s="83"/>
      <c r="AS92" s="83"/>
    </row>
    <row r="93" spans="1:45">
      <c r="A93" s="285" t="s">
        <v>502</v>
      </c>
      <c r="B93" s="298">
        <f>IFERROR(INDEX(panduan!$C$3:$H$16,
       MATCH(TRIM(A93), panduan!$B$3:$B$16, 0),
       MATCH(TRIM($B$4), panduan!$C$2:$H$2, 0)),"")</f>
        <v>1</v>
      </c>
      <c r="C93" s="295">
        <f>IFERROR(INDEX(panduan!$C$3:$H$16,
       MATCH(TRIM(A93), panduan!$B$3:$B$16, 0),
       MATCH(TRIM($B$69), panduan!$C$2:$H$2, 0)),"")</f>
        <v>3</v>
      </c>
      <c r="D93" s="292">
        <v>1</v>
      </c>
      <c r="E93" s="288">
        <f t="shared" ref="E93" si="49">D93-C93</f>
        <v>-2</v>
      </c>
      <c r="F93" s="288">
        <f t="shared" ref="F93" si="50">IF(E93&lt;0, MIN(-E93, 4), "")</f>
        <v>2</v>
      </c>
      <c r="G93" s="288" t="str">
        <f>IFERROR(
    INDEX(panduan!$C$181:$G$185,
          MATCH($F$65,panduan!$B$181:$B$185,0),
          MATCH($F93,panduan!$C$180:$G$180,0)
    ),
"")</f>
        <v/>
      </c>
      <c r="H93" s="285" t="str">
        <f t="shared" ref="H93" si="51">IF(G93="", "",
   SUBSTITUTE(
     SUBSTITUTE(
       SUBSTITUTE(
         SUBSTITUTE(G93,
           "1", "Personal Development"),
         "2", "Education-Based Development"),
       "3", "Relation-Based Development"),
     "4", "Experience-Based Development")
)</f>
        <v/>
      </c>
      <c r="I93" s="288">
        <f>IF(E93&lt;0,_xlfn.RANK.EQ(E93,$E$72:$E$113,1)+COUNTIF($E$72:E95,E93)-1,"")</f>
        <v>6</v>
      </c>
      <c r="J93" s="285" t="str">
        <f t="shared" ref="J93" si="52">IF(ISNUMBER(FIND("1",$G93)), $A93&amp;"|"&amp;$B$5&amp;"|1", "")</f>
        <v/>
      </c>
      <c r="K93" s="285" t="str">
        <f t="shared" ref="K93" si="53">IF(ISNUMBER(FIND("2",$G93)), $A93&amp;"|"&amp;$B$5&amp;"|2", "")</f>
        <v/>
      </c>
      <c r="L93" s="285" t="str">
        <f t="shared" ref="L93" si="54">IF(ISNUMBER(FIND("3",$G93)), $A93&amp;"|"&amp;$B$5&amp;"|3", "")</f>
        <v/>
      </c>
      <c r="M93" s="285" t="str">
        <f t="shared" ref="M93" si="55">IF(ISNUMBER(FIND("4",$G93)), $A93&amp;"|"&amp;$B$5&amp;"|4", "")</f>
        <v/>
      </c>
      <c r="N93" s="13" t="e" cm="1">
        <f t="array" aca="1" ref="N93:U94" ca="1">_xlfn.LET(
    _xlpm.gap, $F93,
    _xlpm.key, $J93,
    _xlpm.data, _xlfn._xlws.FILTER('sheet template'!$F$2:$M$1009,
                 ('sheet template'!$A$2:$A$1009=_xlpm.key) *
                 ('sheet template'!$F$2:$F$1009&lt;=_xlpm.gap), ""),
    IF(OR(_xlpm.key="", _xlpm.gap&lt;=0, ROWS(_xlpm.data)=0), "", _xlpm.data)
)</f>
        <v>#NAME?</v>
      </c>
      <c r="O93" s="83" t="e">
        <f ca="1"/>
        <v>#NAME?</v>
      </c>
      <c r="P93" s="83" t="e">
        <f ca="1"/>
        <v>#NAME?</v>
      </c>
      <c r="Q93" s="83" t="e">
        <f ca="1"/>
        <v>#NAME?</v>
      </c>
      <c r="R93" s="83" t="e">
        <f ca="1"/>
        <v>#NAME?</v>
      </c>
      <c r="S93" s="83" t="e">
        <f ca="1"/>
        <v>#NAME?</v>
      </c>
      <c r="T93" s="83" t="e">
        <f ca="1"/>
        <v>#NAME?</v>
      </c>
      <c r="U93" s="83" t="e">
        <f ca="1"/>
        <v>#NAME?</v>
      </c>
      <c r="V93" s="13" t="e" cm="1">
        <f t="array" aca="1" ref="V93:AC94" ca="1">_xlfn.LET(
    _xlpm.gap, $F93,
    _xlpm.key, $K93,
    _xlpm.data, _xlfn._xlws.FILTER('sheet template'!$F$2:$M$1009,
                 ('sheet template'!$A$2:$A$1009=_xlpm.key) *
                 ('sheet template'!$F$2:$F$1009&lt;=_xlpm.gap), ""),
    IF(OR(_xlpm.key="", _xlpm.gap&lt;=0, ROWS(_xlpm.data)=0), "", _xlpm.data)
)</f>
        <v>#NAME?</v>
      </c>
      <c r="W93" s="83" t="e">
        <f ca="1"/>
        <v>#NAME?</v>
      </c>
      <c r="X93" s="83" t="e">
        <f ca="1"/>
        <v>#NAME?</v>
      </c>
      <c r="Y93" s="83" t="e">
        <f ca="1"/>
        <v>#NAME?</v>
      </c>
      <c r="Z93" s="83" t="e">
        <f ca="1"/>
        <v>#NAME?</v>
      </c>
      <c r="AA93" s="83" t="e">
        <f ca="1"/>
        <v>#NAME?</v>
      </c>
      <c r="AB93" s="83" t="e">
        <f ca="1"/>
        <v>#NAME?</v>
      </c>
      <c r="AC93" s="83" t="e">
        <f ca="1"/>
        <v>#NAME?</v>
      </c>
      <c r="AD93" s="13" t="e" cm="1">
        <f t="array" aca="1" ref="AD93:AK94" ca="1">_xlfn.LET(
    _xlpm.gap, $F93,
    _xlpm.key, $L93,
    _xlpm.data, _xlfn._xlws.FILTER('sheet template'!$F$2:$M$1009,
                 ('sheet template'!$A$2:$A$1009=_xlpm.key) *
                 ('sheet template'!$F$2:$F$1009&lt;=_xlpm.gap), ""),
    IF(OR(_xlpm.key="", _xlpm.gap&lt;=0, ROWS(_xlpm.data)=0), "", _xlpm.data)
)</f>
        <v>#NAME?</v>
      </c>
      <c r="AE93" s="83" t="e">
        <f ca="1"/>
        <v>#NAME?</v>
      </c>
      <c r="AF93" s="83" t="e">
        <f ca="1"/>
        <v>#NAME?</v>
      </c>
      <c r="AG93" s="83" t="e">
        <f ca="1"/>
        <v>#NAME?</v>
      </c>
      <c r="AH93" s="83" t="e">
        <f ca="1"/>
        <v>#NAME?</v>
      </c>
      <c r="AI93" s="83" t="e">
        <f ca="1"/>
        <v>#NAME?</v>
      </c>
      <c r="AJ93" s="83" t="e">
        <f ca="1"/>
        <v>#NAME?</v>
      </c>
      <c r="AK93" s="83" t="e">
        <f ca="1"/>
        <v>#NAME?</v>
      </c>
      <c r="AL93" s="13" t="e" cm="1">
        <f t="array" aca="1" ref="AL93:AS94" ca="1">_xlfn.LET(
    _xlpm.gap, $F93,
    _xlpm.key, $L93,
    _xlpm.data, _xlfn._xlws.FILTER('sheet template'!$F$2:$M$1009,
                 ('sheet template'!$A$2:$A$1009=_xlpm.key) *
                 ('sheet template'!$F$2:$F$1009&lt;=_xlpm.gap), ""),
    IF(OR(_xlpm.key="", _xlpm.gap&lt;=0, ROWS(_xlpm.data)=0), "", _xlpm.data)
)</f>
        <v>#NAME?</v>
      </c>
      <c r="AM93" s="83" t="e">
        <f ca="1"/>
        <v>#NAME?</v>
      </c>
      <c r="AN93" s="83" t="e">
        <f ca="1"/>
        <v>#NAME?</v>
      </c>
      <c r="AO93" s="83" t="e">
        <f ca="1"/>
        <v>#NAME?</v>
      </c>
      <c r="AP93" s="83" t="e">
        <f ca="1"/>
        <v>#NAME?</v>
      </c>
      <c r="AQ93" s="83" t="e">
        <f ca="1"/>
        <v>#NAME?</v>
      </c>
      <c r="AR93" s="83" t="e">
        <f ca="1"/>
        <v>#NAME?</v>
      </c>
      <c r="AS93" s="83" t="e">
        <f ca="1"/>
        <v>#NAME?</v>
      </c>
    </row>
    <row r="94" spans="1:45">
      <c r="A94" s="286"/>
      <c r="B94" s="299"/>
      <c r="C94" s="296"/>
      <c r="D94" s="293"/>
      <c r="E94" s="289"/>
      <c r="F94" s="289"/>
      <c r="G94" s="289"/>
      <c r="H94" s="286"/>
      <c r="I94" s="289"/>
      <c r="J94" s="286"/>
      <c r="K94" s="286"/>
      <c r="L94" s="286"/>
      <c r="M94" s="286"/>
      <c r="N94" s="13" t="e">
        <f ca="1"/>
        <v>#NAME?</v>
      </c>
      <c r="O94" s="83" t="e">
        <f ca="1"/>
        <v>#NAME?</v>
      </c>
      <c r="P94" s="83" t="e">
        <f ca="1"/>
        <v>#NAME?</v>
      </c>
      <c r="Q94" s="83" t="e">
        <f ca="1"/>
        <v>#NAME?</v>
      </c>
      <c r="R94" s="83" t="e">
        <f ca="1"/>
        <v>#NAME?</v>
      </c>
      <c r="S94" s="83" t="e">
        <f ca="1"/>
        <v>#NAME?</v>
      </c>
      <c r="T94" s="83" t="e">
        <f ca="1"/>
        <v>#NAME?</v>
      </c>
      <c r="U94" s="83" t="e">
        <f ca="1"/>
        <v>#NAME?</v>
      </c>
      <c r="V94" s="13" t="e">
        <f ca="1"/>
        <v>#NAME?</v>
      </c>
      <c r="W94" s="83" t="e">
        <f ca="1"/>
        <v>#NAME?</v>
      </c>
      <c r="X94" s="83" t="e">
        <f ca="1"/>
        <v>#NAME?</v>
      </c>
      <c r="Y94" s="83" t="e">
        <f ca="1"/>
        <v>#NAME?</v>
      </c>
      <c r="Z94" s="83" t="e">
        <f ca="1"/>
        <v>#NAME?</v>
      </c>
      <c r="AA94" s="83" t="e">
        <f ca="1"/>
        <v>#NAME?</v>
      </c>
      <c r="AB94" s="83" t="e">
        <f ca="1"/>
        <v>#NAME?</v>
      </c>
      <c r="AC94" s="83" t="e">
        <f ca="1"/>
        <v>#NAME?</v>
      </c>
      <c r="AD94" s="13" t="e">
        <f ca="1"/>
        <v>#NAME?</v>
      </c>
      <c r="AE94" s="83" t="e">
        <f ca="1"/>
        <v>#NAME?</v>
      </c>
      <c r="AF94" s="83" t="e">
        <f ca="1"/>
        <v>#NAME?</v>
      </c>
      <c r="AG94" s="83" t="e">
        <f ca="1"/>
        <v>#NAME?</v>
      </c>
      <c r="AH94" s="83" t="e">
        <f ca="1"/>
        <v>#NAME?</v>
      </c>
      <c r="AI94" s="83" t="e">
        <f ca="1"/>
        <v>#NAME?</v>
      </c>
      <c r="AJ94" s="83" t="e">
        <f ca="1"/>
        <v>#NAME?</v>
      </c>
      <c r="AK94" s="83" t="e">
        <f ca="1"/>
        <v>#NAME?</v>
      </c>
      <c r="AL94" s="13" t="e">
        <f ca="1"/>
        <v>#NAME?</v>
      </c>
      <c r="AM94" s="83" t="e">
        <f ca="1"/>
        <v>#NAME?</v>
      </c>
      <c r="AN94" s="83" t="e">
        <f ca="1"/>
        <v>#NAME?</v>
      </c>
      <c r="AO94" s="83" t="e">
        <f ca="1"/>
        <v>#NAME?</v>
      </c>
      <c r="AP94" s="83" t="e">
        <f ca="1"/>
        <v>#NAME?</v>
      </c>
      <c r="AQ94" s="83" t="e">
        <f ca="1"/>
        <v>#NAME?</v>
      </c>
      <c r="AR94" s="83" t="e">
        <f ca="1"/>
        <v>#NAME?</v>
      </c>
      <c r="AS94" s="83" t="e">
        <f ca="1"/>
        <v>#NAME?</v>
      </c>
    </row>
    <row r="95" spans="1:45">
      <c r="A95" s="287"/>
      <c r="B95" s="300"/>
      <c r="C95" s="297"/>
      <c r="D95" s="294"/>
      <c r="E95" s="290"/>
      <c r="F95" s="290"/>
      <c r="G95" s="290"/>
      <c r="H95" s="287"/>
      <c r="I95" s="290"/>
      <c r="J95" s="287"/>
      <c r="K95" s="287"/>
      <c r="L95" s="287"/>
      <c r="M95" s="287"/>
      <c r="N95" s="13"/>
      <c r="O95" s="83"/>
      <c r="P95" s="83"/>
      <c r="Q95" s="83"/>
      <c r="R95" s="83"/>
      <c r="S95" s="83"/>
      <c r="T95" s="83"/>
      <c r="U95" s="83"/>
      <c r="V95" s="13"/>
      <c r="W95" s="83"/>
      <c r="X95" s="83"/>
      <c r="Y95" s="83"/>
      <c r="Z95" s="83"/>
      <c r="AA95" s="83"/>
      <c r="AB95" s="83"/>
      <c r="AC95" s="83"/>
      <c r="AD95" s="13"/>
      <c r="AE95" s="83"/>
      <c r="AF95" s="83"/>
      <c r="AG95" s="83"/>
      <c r="AH95" s="83"/>
      <c r="AI95" s="83"/>
      <c r="AJ95" s="83"/>
      <c r="AK95" s="83"/>
      <c r="AL95" s="13"/>
      <c r="AM95" s="83"/>
      <c r="AN95" s="83"/>
      <c r="AO95" s="83"/>
      <c r="AP95" s="83"/>
      <c r="AQ95" s="83"/>
      <c r="AR95" s="83"/>
      <c r="AS95" s="83"/>
    </row>
    <row r="96" spans="1:45" ht="15" customHeight="1">
      <c r="A96" s="285" t="s">
        <v>503</v>
      </c>
      <c r="B96" s="298">
        <f>IFERROR(INDEX(panduan!$C$3:$H$16,
       MATCH(TRIM(A96), panduan!$B$3:$B$16, 0),
       MATCH(TRIM($B$4), panduan!$C$2:$H$2, 0)),"")</f>
        <v>1</v>
      </c>
      <c r="C96" s="295">
        <f>IFERROR(INDEX(panduan!$C$3:$H$16,
       MATCH(TRIM(A96), panduan!$B$3:$B$16, 0),
       MATCH(TRIM($B$69), panduan!$C$2:$H$2, 0)),"")</f>
        <v>3</v>
      </c>
      <c r="D96" s="292">
        <v>2</v>
      </c>
      <c r="E96" s="288">
        <f t="shared" ref="E96" si="56">D96-C96</f>
        <v>-1</v>
      </c>
      <c r="F96" s="288">
        <f t="shared" ref="F96" si="57">IF(E96&lt;0, MIN(-E96, 4), "")</f>
        <v>1</v>
      </c>
      <c r="G96" s="288" t="str">
        <f>IFERROR(
    INDEX(panduan!$C$181:$G$185,
          MATCH($F$65,panduan!$B$181:$B$185,0),
          MATCH($F96,panduan!$C$180:$G$180,0)
    ),
"")</f>
        <v/>
      </c>
      <c r="H96" s="285" t="str">
        <f t="shared" ref="H96" si="58">IF(G96="", "",
   SUBSTITUTE(
     SUBSTITUTE(
       SUBSTITUTE(
         SUBSTITUTE(G96,
           "1", "Personal Development"),
         "2", "Education-Based Development"),
       "3", "Relation-Based Development"),
     "4", "Experience-Based Development")
)</f>
        <v/>
      </c>
      <c r="I96" s="288">
        <f>IF(E96&lt;0,_xlfn.RANK.EQ(E96,$E$72:$E$113,1)+COUNTIF($E$72:E98,E96)-1,"")</f>
        <v>9</v>
      </c>
      <c r="J96" s="285" t="str">
        <f t="shared" ref="J96" si="59">IF(ISNUMBER(FIND("1",$G96)), $A96&amp;"|"&amp;$B$5&amp;"|1", "")</f>
        <v/>
      </c>
      <c r="K96" s="285" t="str">
        <f t="shared" ref="K96" si="60">IF(ISNUMBER(FIND("2",$G96)), $A96&amp;"|"&amp;$B$5&amp;"|2", "")</f>
        <v/>
      </c>
      <c r="L96" s="285" t="str">
        <f t="shared" ref="L96" si="61">IF(ISNUMBER(FIND("3",$G96)), $A96&amp;"|"&amp;$B$5&amp;"|3", "")</f>
        <v/>
      </c>
      <c r="M96" s="285" t="str">
        <f t="shared" ref="M96" si="62">IF(ISNUMBER(FIND("4",$G96)), $A96&amp;"|"&amp;$B$5&amp;"|4", "")</f>
        <v/>
      </c>
      <c r="N96" s="13" t="e" cm="1">
        <f t="array" aca="1" ref="N96:U96" ca="1">_xlfn.LET(
    _xlpm.gap, $F96,
    _xlpm.key, $J96,
    _xlpm.data, _xlfn._xlws.FILTER('sheet template'!$F$2:$M$1009,
                 ('sheet template'!$A$2:$A$1009=_xlpm.key) *
                 ('sheet template'!$F$2:$F$1009&lt;=_xlpm.gap), ""),
    IF(OR(_xlpm.key="", _xlpm.gap&lt;=0, ROWS(_xlpm.data)=0), "", _xlpm.data)
)</f>
        <v>#NAME?</v>
      </c>
      <c r="O96" s="83" t="e">
        <f ca="1"/>
        <v>#NAME?</v>
      </c>
      <c r="P96" s="83" t="e">
        <f ca="1"/>
        <v>#NAME?</v>
      </c>
      <c r="Q96" s="83" t="e">
        <f ca="1"/>
        <v>#NAME?</v>
      </c>
      <c r="R96" s="83" t="e">
        <f ca="1"/>
        <v>#NAME?</v>
      </c>
      <c r="S96" s="83" t="e">
        <f ca="1"/>
        <v>#NAME?</v>
      </c>
      <c r="T96" s="83" t="e">
        <f ca="1"/>
        <v>#NAME?</v>
      </c>
      <c r="U96" s="83" t="e">
        <f ca="1"/>
        <v>#NAME?</v>
      </c>
      <c r="V96" s="13" t="e" cm="1">
        <f t="array" aca="1" ref="V96:AC96" ca="1">_xlfn.LET(
    _xlpm.gap, $F96,
    _xlpm.key, $K96,
    _xlpm.data, _xlfn._xlws.FILTER('sheet template'!$F$2:$M$1009,
                 ('sheet template'!$A$2:$A$1009=_xlpm.key) *
                 ('sheet template'!$F$2:$F$1009&lt;=_xlpm.gap), ""),
    IF(OR(_xlpm.key="", _xlpm.gap&lt;=0, ROWS(_xlpm.data)=0), "", _xlpm.data)
)</f>
        <v>#NAME?</v>
      </c>
      <c r="W96" s="83" t="e">
        <f ca="1"/>
        <v>#NAME?</v>
      </c>
      <c r="X96" s="83" t="e">
        <f ca="1"/>
        <v>#NAME?</v>
      </c>
      <c r="Y96" s="83" t="e">
        <f ca="1"/>
        <v>#NAME?</v>
      </c>
      <c r="Z96" s="83" t="e">
        <f ca="1"/>
        <v>#NAME?</v>
      </c>
      <c r="AA96" s="83" t="e">
        <f ca="1"/>
        <v>#NAME?</v>
      </c>
      <c r="AB96" s="83" t="e">
        <f ca="1"/>
        <v>#NAME?</v>
      </c>
      <c r="AC96" s="83" t="e">
        <f ca="1"/>
        <v>#NAME?</v>
      </c>
      <c r="AD96" s="13" t="e" cm="1">
        <f t="array" aca="1" ref="AD96:AK96" ca="1">_xlfn.LET(
    _xlpm.gap, $F96,
    _xlpm.key, $L96,
    _xlpm.data, _xlfn._xlws.FILTER('sheet template'!$F$2:$M$1009,
                 ('sheet template'!$A$2:$A$1009=_xlpm.key) *
                 ('sheet template'!$F$2:$F$1009&lt;=_xlpm.gap), ""),
    IF(OR(_xlpm.key="", _xlpm.gap&lt;=0, ROWS(_xlpm.data)=0), "", _xlpm.data)
)</f>
        <v>#NAME?</v>
      </c>
      <c r="AE96" s="83" t="e">
        <f ca="1"/>
        <v>#NAME?</v>
      </c>
      <c r="AF96" s="83" t="e">
        <f ca="1"/>
        <v>#NAME?</v>
      </c>
      <c r="AG96" s="83" t="e">
        <f ca="1"/>
        <v>#NAME?</v>
      </c>
      <c r="AH96" s="83" t="e">
        <f ca="1"/>
        <v>#NAME?</v>
      </c>
      <c r="AI96" s="83" t="e">
        <f ca="1"/>
        <v>#NAME?</v>
      </c>
      <c r="AJ96" s="83" t="e">
        <f ca="1"/>
        <v>#NAME?</v>
      </c>
      <c r="AK96" s="83" t="e">
        <f ca="1"/>
        <v>#NAME?</v>
      </c>
      <c r="AL96" s="13" t="e" cm="1">
        <f t="array" aca="1" ref="AL96:AS96" ca="1">_xlfn.LET(
    _xlpm.gap, $F96,
    _xlpm.key, $L96,
    _xlpm.data, _xlfn._xlws.FILTER('sheet template'!$F$2:$M$1009,
                 ('sheet template'!$A$2:$A$1009=_xlpm.key) *
                 ('sheet template'!$F$2:$F$1009&lt;=_xlpm.gap), ""),
    IF(OR(_xlpm.key="", _xlpm.gap&lt;=0, ROWS(_xlpm.data)=0), "", _xlpm.data)
)</f>
        <v>#NAME?</v>
      </c>
      <c r="AM96" s="83" t="e">
        <f ca="1"/>
        <v>#NAME?</v>
      </c>
      <c r="AN96" s="83" t="e">
        <f ca="1"/>
        <v>#NAME?</v>
      </c>
      <c r="AO96" s="83" t="e">
        <f ca="1"/>
        <v>#NAME?</v>
      </c>
      <c r="AP96" s="83" t="e">
        <f ca="1"/>
        <v>#NAME?</v>
      </c>
      <c r="AQ96" s="83" t="e">
        <f ca="1"/>
        <v>#NAME?</v>
      </c>
      <c r="AR96" s="83" t="e">
        <f ca="1"/>
        <v>#NAME?</v>
      </c>
      <c r="AS96" s="83" t="e">
        <f ca="1"/>
        <v>#NAME?</v>
      </c>
    </row>
    <row r="97" spans="1:45">
      <c r="A97" s="286"/>
      <c r="B97" s="299"/>
      <c r="C97" s="296"/>
      <c r="D97" s="293"/>
      <c r="E97" s="289"/>
      <c r="F97" s="289"/>
      <c r="G97" s="289"/>
      <c r="H97" s="286"/>
      <c r="I97" s="289"/>
      <c r="J97" s="286"/>
      <c r="K97" s="286"/>
      <c r="L97" s="286"/>
      <c r="M97" s="286"/>
      <c r="N97" s="13"/>
      <c r="O97" s="83"/>
      <c r="P97" s="83"/>
      <c r="Q97" s="83"/>
      <c r="R97" s="83"/>
      <c r="S97" s="83"/>
      <c r="T97" s="83"/>
      <c r="U97" s="83"/>
      <c r="V97" s="13"/>
      <c r="W97" s="83"/>
      <c r="X97" s="83"/>
      <c r="Y97" s="83"/>
      <c r="Z97" s="83"/>
      <c r="AA97" s="83"/>
      <c r="AB97" s="83"/>
      <c r="AC97" s="83"/>
      <c r="AD97" s="13"/>
      <c r="AE97" s="83"/>
      <c r="AF97" s="83"/>
      <c r="AG97" s="83"/>
      <c r="AH97" s="83"/>
      <c r="AI97" s="83"/>
      <c r="AJ97" s="83"/>
      <c r="AK97" s="83"/>
      <c r="AL97" s="13"/>
      <c r="AM97" s="83"/>
      <c r="AN97" s="83"/>
      <c r="AO97" s="83"/>
      <c r="AP97" s="83"/>
      <c r="AQ97" s="83"/>
      <c r="AR97" s="83"/>
      <c r="AS97" s="83"/>
    </row>
    <row r="98" spans="1:45">
      <c r="A98" s="287"/>
      <c r="B98" s="300"/>
      <c r="C98" s="297"/>
      <c r="D98" s="294"/>
      <c r="E98" s="290"/>
      <c r="F98" s="290"/>
      <c r="G98" s="290"/>
      <c r="H98" s="287"/>
      <c r="I98" s="290"/>
      <c r="J98" s="287"/>
      <c r="K98" s="287"/>
      <c r="L98" s="287"/>
      <c r="M98" s="287"/>
      <c r="N98" s="13"/>
      <c r="O98" s="83"/>
      <c r="P98" s="83"/>
      <c r="Q98" s="83"/>
      <c r="R98" s="83"/>
      <c r="S98" s="83"/>
      <c r="T98" s="83"/>
      <c r="U98" s="83"/>
      <c r="V98" s="13"/>
      <c r="W98" s="83"/>
      <c r="X98" s="83"/>
      <c r="Y98" s="83"/>
      <c r="Z98" s="83"/>
      <c r="AA98" s="83"/>
      <c r="AB98" s="83"/>
      <c r="AC98" s="83"/>
      <c r="AD98" s="13"/>
      <c r="AE98" s="83"/>
      <c r="AF98" s="83"/>
      <c r="AG98" s="83"/>
      <c r="AH98" s="83"/>
      <c r="AI98" s="83"/>
      <c r="AJ98" s="83"/>
      <c r="AK98" s="83"/>
      <c r="AL98" s="13"/>
      <c r="AM98" s="83"/>
      <c r="AN98" s="83"/>
      <c r="AO98" s="83"/>
      <c r="AP98" s="83"/>
      <c r="AQ98" s="83"/>
      <c r="AR98" s="83"/>
      <c r="AS98" s="83"/>
    </row>
    <row r="99" spans="1:45" ht="90" customHeight="1">
      <c r="A99" s="285" t="s">
        <v>504</v>
      </c>
      <c r="B99" s="298">
        <f>IFERROR(INDEX(panduan!$C$3:$H$16,
       MATCH(TRIM(A99), panduan!$B$3:$B$16, 0),
       MATCH(TRIM($B$4), panduan!$C$2:$H$2, 0)),"")</f>
        <v>2</v>
      </c>
      <c r="C99" s="295">
        <f>IFERROR(INDEX(panduan!$C$3:$H$16,
       MATCH(TRIM(A99), panduan!$B$3:$B$16, 0),
       MATCH(TRIM($B$69), panduan!$C$2:$H$2, 0)),"")</f>
        <v>4</v>
      </c>
      <c r="D99" s="292">
        <v>1</v>
      </c>
      <c r="E99" s="288">
        <f t="shared" ref="E99" si="63">D99-C99</f>
        <v>-3</v>
      </c>
      <c r="F99" s="288">
        <f t="shared" ref="F99" si="64">IF(E99&lt;0, MIN(-E99, 4), "")</f>
        <v>3</v>
      </c>
      <c r="G99" s="288" t="str">
        <f>IFERROR(
    INDEX(panduan!$C$181:$G$185,
          MATCH($F$65,panduan!$B$181:$B$185,0),
          MATCH($F99,panduan!$C$180:$G$180,0)
    ),
"")</f>
        <v/>
      </c>
      <c r="H99" s="285" t="str">
        <f t="shared" ref="H99" si="65">IF(G99="", "",
   SUBSTITUTE(
     SUBSTITUTE(
       SUBSTITUTE(
         SUBSTITUTE(G99,
           "1", "Personal Development"),
         "2", "Education-Based Development"),
       "3", "Relation-Based Development"),
     "4", "Experience-Based Development")
)</f>
        <v/>
      </c>
      <c r="I99" s="288">
        <f>IF(E99&lt;0,_xlfn.RANK.EQ(E99,$E$72:$E$113,1)+COUNTIF($E$72:E101,E99)-1,"")</f>
        <v>1</v>
      </c>
      <c r="J99" s="285" t="str">
        <f t="shared" ref="J99" si="66">IF(ISNUMBER(FIND("1",$G99)), $A99&amp;"|"&amp;$B$5&amp;"|1", "")</f>
        <v/>
      </c>
      <c r="K99" s="285" t="str">
        <f t="shared" ref="K99" si="67">IF(ISNUMBER(FIND("2",$G99)), $A99&amp;"|"&amp;$B$5&amp;"|2", "")</f>
        <v/>
      </c>
      <c r="L99" s="285" t="str">
        <f t="shared" ref="L99" si="68">IF(ISNUMBER(FIND("3",$G99)), $A99&amp;"|"&amp;$B$5&amp;"|3", "")</f>
        <v/>
      </c>
      <c r="M99" s="285" t="str">
        <f t="shared" ref="M99" si="69">IF(ISNUMBER(FIND("4",$G99)), $A99&amp;"|"&amp;$B$5&amp;"|4", "")</f>
        <v/>
      </c>
      <c r="N99" s="13" t="e" cm="1">
        <f t="array" aca="1" ref="N99:U101" ca="1">_xlfn.LET(
    _xlpm.gap, $F99,
    _xlpm.key, $J99,
    _xlpm.data, _xlfn._xlws.FILTER('sheet template'!$F$2:$M$1009,
                 ('sheet template'!$A$2:$A$1009=_xlpm.key) *
                 ('sheet template'!$F$2:$F$1009&lt;=_xlpm.gap), ""),
    IF(OR(_xlpm.key="", _xlpm.gap&lt;=0, ROWS(_xlpm.data)=0), "", _xlpm.data)
)</f>
        <v>#NAME?</v>
      </c>
      <c r="O99" s="83" t="e">
        <f ca="1"/>
        <v>#NAME?</v>
      </c>
      <c r="P99" s="83" t="e">
        <f ca="1"/>
        <v>#NAME?</v>
      </c>
      <c r="Q99" s="83" t="e">
        <f ca="1"/>
        <v>#NAME?</v>
      </c>
      <c r="R99" s="83" t="e">
        <f ca="1"/>
        <v>#NAME?</v>
      </c>
      <c r="S99" s="83" t="e">
        <f ca="1"/>
        <v>#NAME?</v>
      </c>
      <c r="T99" s="83" t="e">
        <f ca="1"/>
        <v>#NAME?</v>
      </c>
      <c r="U99" s="83" t="e">
        <f ca="1"/>
        <v>#NAME?</v>
      </c>
      <c r="V99" s="13" t="e" cm="1">
        <f t="array" aca="1" ref="V99:AC101" ca="1">_xlfn.LET(
    _xlpm.gap, $F99,
    _xlpm.key, $K99,
    _xlpm.data, _xlfn._xlws.FILTER('sheet template'!$F$2:$M$1009,
                 ('sheet template'!$A$2:$A$1009=_xlpm.key) *
                 ('sheet template'!$F$2:$F$1009&lt;=_xlpm.gap), ""),
    IF(OR(_xlpm.key="", _xlpm.gap&lt;=0, ROWS(_xlpm.data)=0), "", _xlpm.data)
)</f>
        <v>#NAME?</v>
      </c>
      <c r="W99" s="83" t="e">
        <f ca="1"/>
        <v>#NAME?</v>
      </c>
      <c r="X99" s="83" t="e">
        <f ca="1"/>
        <v>#NAME?</v>
      </c>
      <c r="Y99" s="83" t="e">
        <f ca="1"/>
        <v>#NAME?</v>
      </c>
      <c r="Z99" s="83" t="e">
        <f ca="1"/>
        <v>#NAME?</v>
      </c>
      <c r="AA99" s="83" t="e">
        <f ca="1"/>
        <v>#NAME?</v>
      </c>
      <c r="AB99" s="83" t="e">
        <f ca="1"/>
        <v>#NAME?</v>
      </c>
      <c r="AC99" s="83" t="e">
        <f ca="1"/>
        <v>#NAME?</v>
      </c>
      <c r="AD99" s="13" t="e" cm="1">
        <f t="array" aca="1" ref="AD99:AK101" ca="1">_xlfn.LET(
    _xlpm.gap, $F99,
    _xlpm.key, $L99,
    _xlpm.data, _xlfn._xlws.FILTER('sheet template'!$F$2:$M$1009,
                 ('sheet template'!$A$2:$A$1009=_xlpm.key) *
                 ('sheet template'!$F$2:$F$1009&lt;=_xlpm.gap), ""),
    IF(OR(_xlpm.key="", _xlpm.gap&lt;=0, ROWS(_xlpm.data)=0), "", _xlpm.data)
)</f>
        <v>#NAME?</v>
      </c>
      <c r="AE99" s="83" t="e">
        <f ca="1"/>
        <v>#NAME?</v>
      </c>
      <c r="AF99" s="83" t="e">
        <f ca="1"/>
        <v>#NAME?</v>
      </c>
      <c r="AG99" s="83" t="e">
        <f ca="1"/>
        <v>#NAME?</v>
      </c>
      <c r="AH99" s="83" t="e">
        <f ca="1"/>
        <v>#NAME?</v>
      </c>
      <c r="AI99" s="83" t="e">
        <f ca="1"/>
        <v>#NAME?</v>
      </c>
      <c r="AJ99" s="83" t="e">
        <f ca="1"/>
        <v>#NAME?</v>
      </c>
      <c r="AK99" s="83" t="e">
        <f ca="1"/>
        <v>#NAME?</v>
      </c>
      <c r="AL99" s="13" t="e" cm="1">
        <f t="array" aca="1" ref="AL99:AS101" ca="1">_xlfn.LET(
    _xlpm.gap, $F99,
    _xlpm.key, $L99,
    _xlpm.data, _xlfn._xlws.FILTER('sheet template'!$F$2:$M$1009,
                 ('sheet template'!$A$2:$A$1009=_xlpm.key) *
                 ('sheet template'!$F$2:$F$1009&lt;=_xlpm.gap), ""),
    IF(OR(_xlpm.key="", _xlpm.gap&lt;=0, ROWS(_xlpm.data)=0), "", _xlpm.data)
)</f>
        <v>#NAME?</v>
      </c>
      <c r="AM99" s="83" t="e">
        <f ca="1"/>
        <v>#NAME?</v>
      </c>
      <c r="AN99" s="83" t="e">
        <f ca="1"/>
        <v>#NAME?</v>
      </c>
      <c r="AO99" s="83" t="e">
        <f ca="1"/>
        <v>#NAME?</v>
      </c>
      <c r="AP99" s="83" t="e">
        <f ca="1"/>
        <v>#NAME?</v>
      </c>
      <c r="AQ99" s="83" t="e">
        <f ca="1"/>
        <v>#NAME?</v>
      </c>
      <c r="AR99" s="83" t="e">
        <f ca="1"/>
        <v>#NAME?</v>
      </c>
      <c r="AS99" s="83" t="e">
        <f ca="1"/>
        <v>#NAME?</v>
      </c>
    </row>
    <row r="100" spans="1:45" ht="90" customHeight="1">
      <c r="A100" s="286"/>
      <c r="B100" s="299"/>
      <c r="C100" s="296"/>
      <c r="D100" s="293"/>
      <c r="E100" s="289"/>
      <c r="F100" s="289"/>
      <c r="G100" s="289"/>
      <c r="H100" s="286"/>
      <c r="I100" s="289"/>
      <c r="J100" s="286"/>
      <c r="K100" s="286"/>
      <c r="L100" s="286"/>
      <c r="M100" s="286"/>
      <c r="N100" s="13" t="e">
        <f ca="1"/>
        <v>#NAME?</v>
      </c>
      <c r="O100" s="83" t="e">
        <f ca="1"/>
        <v>#NAME?</v>
      </c>
      <c r="P100" s="83" t="e">
        <f ca="1"/>
        <v>#NAME?</v>
      </c>
      <c r="Q100" s="83" t="e">
        <f ca="1"/>
        <v>#NAME?</v>
      </c>
      <c r="R100" s="83" t="e">
        <f ca="1"/>
        <v>#NAME?</v>
      </c>
      <c r="S100" s="83" t="e">
        <f ca="1"/>
        <v>#NAME?</v>
      </c>
      <c r="T100" s="83" t="e">
        <f ca="1"/>
        <v>#NAME?</v>
      </c>
      <c r="U100" s="83" t="e">
        <f ca="1"/>
        <v>#NAME?</v>
      </c>
      <c r="V100" s="13" t="e">
        <f ca="1"/>
        <v>#NAME?</v>
      </c>
      <c r="W100" s="83" t="e">
        <f ca="1"/>
        <v>#NAME?</v>
      </c>
      <c r="X100" s="83" t="e">
        <f ca="1"/>
        <v>#NAME?</v>
      </c>
      <c r="Y100" s="83" t="e">
        <f ca="1"/>
        <v>#NAME?</v>
      </c>
      <c r="Z100" s="83" t="e">
        <f ca="1"/>
        <v>#NAME?</v>
      </c>
      <c r="AA100" s="83" t="e">
        <f ca="1"/>
        <v>#NAME?</v>
      </c>
      <c r="AB100" s="83" t="e">
        <f ca="1"/>
        <v>#NAME?</v>
      </c>
      <c r="AC100" s="83" t="e">
        <f ca="1"/>
        <v>#NAME?</v>
      </c>
      <c r="AD100" s="13" t="e">
        <f ca="1"/>
        <v>#NAME?</v>
      </c>
      <c r="AE100" s="83" t="e">
        <f ca="1"/>
        <v>#NAME?</v>
      </c>
      <c r="AF100" s="83" t="e">
        <f ca="1"/>
        <v>#NAME?</v>
      </c>
      <c r="AG100" s="83" t="e">
        <f ca="1"/>
        <v>#NAME?</v>
      </c>
      <c r="AH100" s="83" t="e">
        <f ca="1"/>
        <v>#NAME?</v>
      </c>
      <c r="AI100" s="83" t="e">
        <f ca="1"/>
        <v>#NAME?</v>
      </c>
      <c r="AJ100" s="83" t="e">
        <f ca="1"/>
        <v>#NAME?</v>
      </c>
      <c r="AK100" s="83" t="e">
        <f ca="1"/>
        <v>#NAME?</v>
      </c>
      <c r="AL100" s="13" t="e">
        <f ca="1"/>
        <v>#NAME?</v>
      </c>
      <c r="AM100" s="83" t="e">
        <f ca="1"/>
        <v>#NAME?</v>
      </c>
      <c r="AN100" s="83" t="e">
        <f ca="1"/>
        <v>#NAME?</v>
      </c>
      <c r="AO100" s="83" t="e">
        <f ca="1"/>
        <v>#NAME?</v>
      </c>
      <c r="AP100" s="83" t="e">
        <f ca="1"/>
        <v>#NAME?</v>
      </c>
      <c r="AQ100" s="83" t="e">
        <f ca="1"/>
        <v>#NAME?</v>
      </c>
      <c r="AR100" s="83" t="e">
        <f ca="1"/>
        <v>#NAME?</v>
      </c>
      <c r="AS100" s="83" t="e">
        <f ca="1"/>
        <v>#NAME?</v>
      </c>
    </row>
    <row r="101" spans="1:45" ht="75" customHeight="1">
      <c r="A101" s="287"/>
      <c r="B101" s="300"/>
      <c r="C101" s="297"/>
      <c r="D101" s="294"/>
      <c r="E101" s="290"/>
      <c r="F101" s="290"/>
      <c r="G101" s="290"/>
      <c r="H101" s="287"/>
      <c r="I101" s="290"/>
      <c r="J101" s="287"/>
      <c r="K101" s="287"/>
      <c r="L101" s="287"/>
      <c r="M101" s="287"/>
      <c r="N101" s="13" t="e">
        <f ca="1"/>
        <v>#NAME?</v>
      </c>
      <c r="O101" s="83" t="e">
        <f ca="1"/>
        <v>#NAME?</v>
      </c>
      <c r="P101" s="83" t="e">
        <f ca="1"/>
        <v>#NAME?</v>
      </c>
      <c r="Q101" s="83" t="e">
        <f ca="1"/>
        <v>#NAME?</v>
      </c>
      <c r="R101" s="83" t="e">
        <f ca="1"/>
        <v>#NAME?</v>
      </c>
      <c r="S101" s="83" t="e">
        <f ca="1"/>
        <v>#NAME?</v>
      </c>
      <c r="T101" s="83" t="e">
        <f ca="1"/>
        <v>#NAME?</v>
      </c>
      <c r="U101" s="83" t="e">
        <f ca="1"/>
        <v>#NAME?</v>
      </c>
      <c r="V101" s="13" t="e">
        <f ca="1"/>
        <v>#NAME?</v>
      </c>
      <c r="W101" s="83" t="e">
        <f ca="1"/>
        <v>#NAME?</v>
      </c>
      <c r="X101" s="83" t="e">
        <f ca="1"/>
        <v>#NAME?</v>
      </c>
      <c r="Y101" s="83" t="e">
        <f ca="1"/>
        <v>#NAME?</v>
      </c>
      <c r="Z101" s="83" t="e">
        <f ca="1"/>
        <v>#NAME?</v>
      </c>
      <c r="AA101" s="83" t="e">
        <f ca="1"/>
        <v>#NAME?</v>
      </c>
      <c r="AB101" s="83" t="e">
        <f ca="1"/>
        <v>#NAME?</v>
      </c>
      <c r="AC101" s="83" t="e">
        <f ca="1"/>
        <v>#NAME?</v>
      </c>
      <c r="AD101" s="13" t="e">
        <f ca="1"/>
        <v>#NAME?</v>
      </c>
      <c r="AE101" s="83" t="e">
        <f ca="1"/>
        <v>#NAME?</v>
      </c>
      <c r="AF101" s="83" t="e">
        <f ca="1"/>
        <v>#NAME?</v>
      </c>
      <c r="AG101" s="83" t="e">
        <f ca="1"/>
        <v>#NAME?</v>
      </c>
      <c r="AH101" s="83" t="e">
        <f ca="1"/>
        <v>#NAME?</v>
      </c>
      <c r="AI101" s="83" t="e">
        <f ca="1"/>
        <v>#NAME?</v>
      </c>
      <c r="AJ101" s="83" t="e">
        <f ca="1"/>
        <v>#NAME?</v>
      </c>
      <c r="AK101" s="83" t="e">
        <f ca="1"/>
        <v>#NAME?</v>
      </c>
      <c r="AL101" s="13" t="e">
        <f ca="1"/>
        <v>#NAME?</v>
      </c>
      <c r="AM101" s="83" t="e">
        <f ca="1"/>
        <v>#NAME?</v>
      </c>
      <c r="AN101" s="83" t="e">
        <f ca="1"/>
        <v>#NAME?</v>
      </c>
      <c r="AO101" s="83" t="e">
        <f ca="1"/>
        <v>#NAME?</v>
      </c>
      <c r="AP101" s="83" t="e">
        <f ca="1"/>
        <v>#NAME?</v>
      </c>
      <c r="AQ101" s="83" t="e">
        <f ca="1"/>
        <v>#NAME?</v>
      </c>
      <c r="AR101" s="83" t="e">
        <f ca="1"/>
        <v>#NAME?</v>
      </c>
      <c r="AS101" s="83" t="e">
        <f ca="1"/>
        <v>#NAME?</v>
      </c>
    </row>
    <row r="102" spans="1:45">
      <c r="A102" s="285" t="s">
        <v>505</v>
      </c>
      <c r="B102" s="298">
        <f>IFERROR(INDEX(panduan!$C$3:$H$16,
       MATCH(TRIM(A102), panduan!$B$3:$B$16, 0),
       MATCH(TRIM($B$4), panduan!$C$2:$H$2, 0)),"")</f>
        <v>1</v>
      </c>
      <c r="C102" s="295">
        <f>IFERROR(INDEX(panduan!$C$3:$H$16,
       MATCH(TRIM(A102), panduan!$B$3:$B$16, 0),
       MATCH(TRIM($B$69), panduan!$C$2:$H$2, 0)),"")</f>
        <v>3</v>
      </c>
      <c r="D102" s="292">
        <v>3</v>
      </c>
      <c r="E102" s="288">
        <f t="shared" ref="E102" si="70">D102-C102</f>
        <v>0</v>
      </c>
      <c r="F102" s="288" t="str">
        <f t="shared" ref="F102" si="71">IF(E102&lt;0, MIN(-E102, 4), "")</f>
        <v/>
      </c>
      <c r="G102" s="288" t="str">
        <f>IFERROR(
    INDEX(panduan!$C$181:$G$185,
          MATCH($F$65,panduan!$B$181:$B$185,0),
          MATCH($F102,panduan!$C$180:$G$180,0)
    ),
"")</f>
        <v/>
      </c>
      <c r="H102" s="285" t="str">
        <f t="shared" ref="H102" si="72">IF(G102="", "",
   SUBSTITUTE(
     SUBSTITUTE(
       SUBSTITUTE(
         SUBSTITUTE(G102,
           "1", "Personal Development"),
         "2", "Education-Based Development"),
       "3", "Relation-Based Development"),
     "4", "Experience-Based Development")
)</f>
        <v/>
      </c>
      <c r="I102" s="288" t="str">
        <f>IF(E102&lt;0,_xlfn.RANK.EQ(E102,$E$72:$E$113,1)+COUNTIF($E$72:E104,E102)-1,"")</f>
        <v/>
      </c>
      <c r="J102" s="285" t="str">
        <f t="shared" ref="J102" si="73">IF(ISNUMBER(FIND("1",$G102)), $A102&amp;"|"&amp;$B$5&amp;"|1", "")</f>
        <v/>
      </c>
      <c r="K102" s="285" t="str">
        <f t="shared" ref="K102" si="74">IF(ISNUMBER(FIND("2",$G102)), $A102&amp;"|"&amp;$B$5&amp;"|2", "")</f>
        <v/>
      </c>
      <c r="L102" s="285" t="str">
        <f t="shared" ref="L102" si="75">IF(ISNUMBER(FIND("3",$G102)), $A102&amp;"|"&amp;$B$5&amp;"|3", "")</f>
        <v/>
      </c>
      <c r="M102" s="285" t="str">
        <f t="shared" ref="M102" si="76">IF(ISNUMBER(FIND("4",$G102)), $A102&amp;"|"&amp;$B$5&amp;"|4", "")</f>
        <v/>
      </c>
      <c r="N102" s="13" t="e" cm="1">
        <f t="array" aca="1" ref="N102" ca="1">_xlfn.LET(
    _xlpm.gap, $F102,
    _xlpm.key, $J102,
    _xlpm.data, _xlfn._xlws.FILTER('sheet template'!$F$2:$M$1009,
                 ('sheet template'!$A$2:$A$1009=_xlpm.key) *
                 ('sheet template'!$F$2:$F$1009&lt;=_xlpm.gap), ""),
    IF(OR(_xlpm.key="", _xlpm.gap&lt;=0, ROWS(_xlpm.data)=0), "", _xlpm.data)
)</f>
        <v>#NAME?</v>
      </c>
      <c r="O102" s="83"/>
      <c r="P102" s="83"/>
      <c r="Q102" s="83"/>
      <c r="R102" s="83"/>
      <c r="S102" s="83"/>
      <c r="T102" s="83"/>
      <c r="U102" s="83"/>
      <c r="V102" s="13" t="e" cm="1">
        <f t="array" aca="1" ref="V102" ca="1">_xlfn.LET(
    _xlpm.gap, $F102,
    _xlpm.key, $K102,
    _xlpm.data, _xlfn._xlws.FILTER('sheet template'!$F$2:$M$1009,
                 ('sheet template'!$A$2:$A$1009=_xlpm.key) *
                 ('sheet template'!$F$2:$F$1009&lt;=_xlpm.gap), ""),
    IF(OR(_xlpm.key="", _xlpm.gap&lt;=0, ROWS(_xlpm.data)=0), "", _xlpm.data)
)</f>
        <v>#NAME?</v>
      </c>
      <c r="W102" s="83"/>
      <c r="X102" s="83"/>
      <c r="Y102" s="83"/>
      <c r="Z102" s="83"/>
      <c r="AA102" s="83"/>
      <c r="AB102" s="83"/>
      <c r="AC102" s="83"/>
      <c r="AD102" s="13" t="e" cm="1">
        <f t="array" aca="1" ref="AD102" ca="1">_xlfn.LET(
    _xlpm.gap, $F102,
    _xlpm.key, $L102,
    _xlpm.data, _xlfn._xlws.FILTER('sheet template'!$F$2:$M$1009,
                 ('sheet template'!$A$2:$A$1009=_xlpm.key) *
                 ('sheet template'!$F$2:$F$1009&lt;=_xlpm.gap), ""),
    IF(OR(_xlpm.key="", _xlpm.gap&lt;=0, ROWS(_xlpm.data)=0), "", _xlpm.data)
)</f>
        <v>#NAME?</v>
      </c>
      <c r="AE102" s="83"/>
      <c r="AF102" s="83"/>
      <c r="AG102" s="83"/>
      <c r="AH102" s="83"/>
      <c r="AI102" s="83"/>
      <c r="AJ102" s="83"/>
      <c r="AK102" s="83"/>
      <c r="AL102" s="13" t="e" cm="1">
        <f t="array" aca="1" ref="AL102" ca="1">_xlfn.LET(
    _xlpm.gap, $F102,
    _xlpm.key, $L102,
    _xlpm.data, _xlfn._xlws.FILTER('sheet template'!$F$2:$M$1009,
                 ('sheet template'!$A$2:$A$1009=_xlpm.key) *
                 ('sheet template'!$F$2:$F$1009&lt;=_xlpm.gap), ""),
    IF(OR(_xlpm.key="", _xlpm.gap&lt;=0, ROWS(_xlpm.data)=0), "", _xlpm.data)
)</f>
        <v>#NAME?</v>
      </c>
      <c r="AM102" s="83"/>
      <c r="AN102" s="83"/>
      <c r="AO102" s="83"/>
      <c r="AP102" s="83"/>
      <c r="AQ102" s="83"/>
      <c r="AR102" s="83"/>
      <c r="AS102" s="83"/>
    </row>
    <row r="103" spans="1:45">
      <c r="A103" s="286"/>
      <c r="B103" s="299"/>
      <c r="C103" s="296"/>
      <c r="D103" s="293"/>
      <c r="E103" s="289"/>
      <c r="F103" s="289"/>
      <c r="G103" s="289"/>
      <c r="H103" s="286"/>
      <c r="I103" s="289"/>
      <c r="J103" s="286"/>
      <c r="K103" s="286"/>
      <c r="L103" s="286"/>
      <c r="M103" s="286"/>
      <c r="N103" s="13"/>
      <c r="O103" s="83"/>
      <c r="P103" s="83"/>
      <c r="Q103" s="83"/>
      <c r="R103" s="83"/>
      <c r="S103" s="83"/>
      <c r="T103" s="83"/>
      <c r="U103" s="83"/>
      <c r="V103" s="13"/>
      <c r="W103" s="83"/>
      <c r="X103" s="83"/>
      <c r="Y103" s="83"/>
      <c r="Z103" s="83"/>
      <c r="AA103" s="83"/>
      <c r="AB103" s="83"/>
      <c r="AC103" s="83"/>
      <c r="AD103" s="13"/>
      <c r="AE103" s="83"/>
      <c r="AF103" s="83"/>
      <c r="AG103" s="83"/>
      <c r="AH103" s="83"/>
      <c r="AI103" s="83"/>
      <c r="AJ103" s="83"/>
      <c r="AK103" s="83"/>
      <c r="AL103" s="13"/>
      <c r="AM103" s="83"/>
      <c r="AN103" s="83"/>
      <c r="AO103" s="83"/>
      <c r="AP103" s="83"/>
      <c r="AQ103" s="83"/>
      <c r="AR103" s="83"/>
      <c r="AS103" s="83"/>
    </row>
    <row r="104" spans="1:45">
      <c r="A104" s="287"/>
      <c r="B104" s="300"/>
      <c r="C104" s="297"/>
      <c r="D104" s="294"/>
      <c r="E104" s="290"/>
      <c r="F104" s="290"/>
      <c r="G104" s="290"/>
      <c r="H104" s="287"/>
      <c r="I104" s="290"/>
      <c r="J104" s="287"/>
      <c r="K104" s="287"/>
      <c r="L104" s="287"/>
      <c r="M104" s="287"/>
      <c r="N104" s="13"/>
      <c r="O104" s="83"/>
      <c r="P104" s="83"/>
      <c r="Q104" s="83"/>
      <c r="R104" s="83"/>
      <c r="S104" s="83"/>
      <c r="T104" s="83"/>
      <c r="U104" s="83"/>
      <c r="V104" s="13"/>
      <c r="W104" s="83"/>
      <c r="X104" s="83"/>
      <c r="Y104" s="83"/>
      <c r="Z104" s="83"/>
      <c r="AA104" s="83"/>
      <c r="AB104" s="83"/>
      <c r="AC104" s="83"/>
      <c r="AD104" s="13"/>
      <c r="AE104" s="83"/>
      <c r="AF104" s="83"/>
      <c r="AG104" s="83"/>
      <c r="AH104" s="83"/>
      <c r="AI104" s="83"/>
      <c r="AJ104" s="83"/>
      <c r="AK104" s="83"/>
      <c r="AL104" s="13"/>
      <c r="AM104" s="83"/>
      <c r="AN104" s="83"/>
      <c r="AO104" s="83"/>
      <c r="AP104" s="83"/>
      <c r="AQ104" s="83"/>
      <c r="AR104" s="83"/>
      <c r="AS104" s="83"/>
    </row>
    <row r="105" spans="1:45">
      <c r="A105" s="285" t="s">
        <v>506</v>
      </c>
      <c r="B105" s="298">
        <f>IFERROR(INDEX(panduan!$C$3:$H$16,
       MATCH(TRIM(A105), panduan!$B$3:$B$16, 0),
       MATCH(TRIM($B$4), panduan!$C$2:$H$2, 0)),"")</f>
        <v>2</v>
      </c>
      <c r="C105" s="295">
        <f>IFERROR(INDEX(panduan!$C$3:$H$16,
       MATCH(TRIM(A105), panduan!$B$3:$B$16, 0),
       MATCH(TRIM($B$69), panduan!$C$2:$H$2, 0)),"")</f>
        <v>3</v>
      </c>
      <c r="D105" s="292">
        <v>4</v>
      </c>
      <c r="E105" s="288">
        <f t="shared" ref="E105" si="77">D105-C105</f>
        <v>1</v>
      </c>
      <c r="F105" s="288" t="str">
        <f t="shared" ref="F105" si="78">IF(E105&lt;0, MIN(-E105, 4), "")</f>
        <v/>
      </c>
      <c r="G105" s="288" t="str">
        <f>IFERROR(
    INDEX(panduan!$C$181:$G$185,
          MATCH($F$65,panduan!$B$181:$B$185,0),
          MATCH($F105,panduan!$C$180:$G$180,0)
    ),
"")</f>
        <v/>
      </c>
      <c r="H105" s="285" t="str">
        <f t="shared" ref="H105" si="79">IF(G105="", "",
   SUBSTITUTE(
     SUBSTITUTE(
       SUBSTITUTE(
         SUBSTITUTE(G105,
           "1", "Personal Development"),
         "2", "Education-Based Development"),
       "3", "Relation-Based Development"),
     "4", "Experience-Based Development")
)</f>
        <v/>
      </c>
      <c r="I105" s="288" t="str">
        <f>IF(E105&lt;0,_xlfn.RANK.EQ(E105,$E$72:$E$113,1)+COUNTIF($E$72:E107,E105)-1,"")</f>
        <v/>
      </c>
      <c r="J105" s="285" t="str">
        <f t="shared" ref="J105" si="80">IF(ISNUMBER(FIND("1",$G105)), $A105&amp;"|"&amp;$B$5&amp;"|1", "")</f>
        <v/>
      </c>
      <c r="K105" s="285" t="str">
        <f t="shared" ref="K105" si="81">IF(ISNUMBER(FIND("2",$G105)), $A105&amp;"|"&amp;$B$5&amp;"|2", "")</f>
        <v/>
      </c>
      <c r="L105" s="285" t="str">
        <f t="shared" ref="L105" si="82">IF(ISNUMBER(FIND("3",$G105)), $A105&amp;"|"&amp;$B$5&amp;"|3", "")</f>
        <v/>
      </c>
      <c r="M105" s="285" t="str">
        <f t="shared" ref="M105" si="83">IF(ISNUMBER(FIND("4",$G105)), $A105&amp;"|"&amp;$B$5&amp;"|4", "")</f>
        <v/>
      </c>
      <c r="N105" s="13" t="e" cm="1">
        <f t="array" aca="1" ref="N105" ca="1">_xlfn.LET(
    _xlpm.gap, $F105,
    _xlpm.key, $J105,
    _xlpm.data, _xlfn._xlws.FILTER('sheet template'!$F$2:$M$1009,
                 ('sheet template'!$A$2:$A$1009=_xlpm.key) *
                 ('sheet template'!$F$2:$F$1009&lt;=_xlpm.gap), ""),
    IF(OR(_xlpm.key="", _xlpm.gap&lt;=0, ROWS(_xlpm.data)=0), "", _xlpm.data)
)</f>
        <v>#NAME?</v>
      </c>
      <c r="O105" s="83"/>
      <c r="P105" s="83"/>
      <c r="Q105" s="83"/>
      <c r="R105" s="83"/>
      <c r="S105" s="83"/>
      <c r="T105" s="83"/>
      <c r="U105" s="83"/>
      <c r="V105" s="13" t="e" cm="1">
        <f t="array" aca="1" ref="V105" ca="1">_xlfn.LET(
    _xlpm.gap, $F105,
    _xlpm.key, $K105,
    _xlpm.data, _xlfn._xlws.FILTER('sheet template'!$F$2:$M$1009,
                 ('sheet template'!$A$2:$A$1009=_xlpm.key) *
                 ('sheet template'!$F$2:$F$1009&lt;=_xlpm.gap), ""),
    IF(OR(_xlpm.key="", _xlpm.gap&lt;=0, ROWS(_xlpm.data)=0), "", _xlpm.data)
)</f>
        <v>#NAME?</v>
      </c>
      <c r="W105" s="83"/>
      <c r="X105" s="83"/>
      <c r="Y105" s="83"/>
      <c r="Z105" s="83"/>
      <c r="AA105" s="83"/>
      <c r="AB105" s="83"/>
      <c r="AC105" s="83"/>
      <c r="AD105" s="13" t="e" cm="1">
        <f t="array" aca="1" ref="AD105" ca="1">_xlfn.LET(
    _xlpm.gap, $F105,
    _xlpm.key, $L105,
    _xlpm.data, _xlfn._xlws.FILTER('sheet template'!$F$2:$M$1009,
                 ('sheet template'!$A$2:$A$1009=_xlpm.key) *
                 ('sheet template'!$F$2:$F$1009&lt;=_xlpm.gap), ""),
    IF(OR(_xlpm.key="", _xlpm.gap&lt;=0, ROWS(_xlpm.data)=0), "", _xlpm.data)
)</f>
        <v>#NAME?</v>
      </c>
      <c r="AE105" s="83"/>
      <c r="AF105" s="83"/>
      <c r="AG105" s="83"/>
      <c r="AH105" s="83"/>
      <c r="AI105" s="83"/>
      <c r="AJ105" s="83"/>
      <c r="AK105" s="83"/>
      <c r="AL105" s="13" t="e" cm="1">
        <f t="array" aca="1" ref="AL105" ca="1">_xlfn.LET(
    _xlpm.gap, $F105,
    _xlpm.key, $L105,
    _xlpm.data, _xlfn._xlws.FILTER('sheet template'!$F$2:$M$1009,
                 ('sheet template'!$A$2:$A$1009=_xlpm.key) *
                 ('sheet template'!$F$2:$F$1009&lt;=_xlpm.gap), ""),
    IF(OR(_xlpm.key="", _xlpm.gap&lt;=0, ROWS(_xlpm.data)=0), "", _xlpm.data)
)</f>
        <v>#NAME?</v>
      </c>
      <c r="AM105" s="83"/>
      <c r="AN105" s="83"/>
      <c r="AO105" s="83"/>
      <c r="AP105" s="83"/>
      <c r="AQ105" s="83"/>
      <c r="AR105" s="83"/>
      <c r="AS105" s="83"/>
    </row>
    <row r="106" spans="1:45">
      <c r="A106" s="286"/>
      <c r="B106" s="299"/>
      <c r="C106" s="296"/>
      <c r="D106" s="293"/>
      <c r="E106" s="289"/>
      <c r="F106" s="289"/>
      <c r="G106" s="289"/>
      <c r="H106" s="286"/>
      <c r="I106" s="289"/>
      <c r="J106" s="286"/>
      <c r="K106" s="286"/>
      <c r="L106" s="286"/>
      <c r="M106" s="286"/>
      <c r="N106" s="13"/>
      <c r="O106" s="83"/>
      <c r="P106" s="83"/>
      <c r="Q106" s="83"/>
      <c r="R106" s="83"/>
      <c r="S106" s="83"/>
      <c r="T106" s="83"/>
      <c r="U106" s="83"/>
      <c r="V106" s="13"/>
      <c r="W106" s="83"/>
      <c r="X106" s="83"/>
      <c r="Y106" s="83"/>
      <c r="Z106" s="83"/>
      <c r="AA106" s="83"/>
      <c r="AB106" s="83"/>
      <c r="AC106" s="83"/>
      <c r="AD106" s="13"/>
      <c r="AE106" s="83"/>
      <c r="AF106" s="83"/>
      <c r="AG106" s="83"/>
      <c r="AH106" s="83"/>
      <c r="AI106" s="83"/>
      <c r="AJ106" s="83"/>
      <c r="AK106" s="83"/>
      <c r="AL106" s="13"/>
      <c r="AM106" s="83"/>
      <c r="AN106" s="83"/>
      <c r="AO106" s="83"/>
      <c r="AP106" s="83"/>
      <c r="AQ106" s="83"/>
      <c r="AR106" s="83"/>
      <c r="AS106" s="83"/>
    </row>
    <row r="107" spans="1:45">
      <c r="A107" s="287"/>
      <c r="B107" s="300"/>
      <c r="C107" s="297"/>
      <c r="D107" s="294"/>
      <c r="E107" s="290"/>
      <c r="F107" s="290"/>
      <c r="G107" s="290"/>
      <c r="H107" s="287"/>
      <c r="I107" s="290"/>
      <c r="J107" s="287"/>
      <c r="K107" s="287"/>
      <c r="L107" s="287"/>
      <c r="M107" s="287"/>
      <c r="N107" s="13"/>
      <c r="O107" s="83"/>
      <c r="P107" s="83"/>
      <c r="Q107" s="83"/>
      <c r="R107" s="83"/>
      <c r="S107" s="83"/>
      <c r="T107" s="83"/>
      <c r="U107" s="83"/>
      <c r="V107" s="13"/>
      <c r="W107" s="83"/>
      <c r="X107" s="83"/>
      <c r="Y107" s="83"/>
      <c r="Z107" s="83"/>
      <c r="AA107" s="83"/>
      <c r="AB107" s="83"/>
      <c r="AC107" s="83"/>
      <c r="AD107" s="13"/>
      <c r="AE107" s="83"/>
      <c r="AF107" s="83"/>
      <c r="AG107" s="83"/>
      <c r="AH107" s="83"/>
      <c r="AI107" s="83"/>
      <c r="AJ107" s="83"/>
      <c r="AK107" s="83"/>
      <c r="AL107" s="13"/>
      <c r="AM107" s="83"/>
      <c r="AN107" s="83"/>
      <c r="AO107" s="83"/>
      <c r="AP107" s="83"/>
      <c r="AQ107" s="83"/>
      <c r="AR107" s="83"/>
      <c r="AS107" s="83"/>
    </row>
    <row r="108" spans="1:45">
      <c r="A108" s="285" t="s">
        <v>507</v>
      </c>
      <c r="B108" s="298">
        <f>IFERROR(INDEX(panduan!$C$3:$H$16,
       MATCH(TRIM(A108), panduan!$B$3:$B$16, 0),
       MATCH(TRIM($B$4), panduan!$C$2:$H$2, 0)),"")</f>
        <v>1</v>
      </c>
      <c r="C108" s="295">
        <f>IFERROR(INDEX(panduan!$C$3:$H$16,
       MATCH(TRIM(A108), panduan!$B$3:$B$16, 0),
       MATCH(TRIM($B$69), panduan!$C$2:$H$2, 0)),"")</f>
        <v>3</v>
      </c>
      <c r="D108" s="292">
        <v>4</v>
      </c>
      <c r="E108" s="288">
        <f t="shared" ref="E108" si="84">D108-C108</f>
        <v>1</v>
      </c>
      <c r="F108" s="288" t="str">
        <f t="shared" ref="F108" si="85">IF(E108&lt;0, MIN(-E108, 4), "")</f>
        <v/>
      </c>
      <c r="G108" s="288" t="str">
        <f>IFERROR(
    INDEX(panduan!$C$181:$G$185,
          MATCH($F$65,panduan!$B$181:$B$185,0),
          MATCH($F108,panduan!$C$180:$G$180,0)
    ),
"")</f>
        <v/>
      </c>
      <c r="H108" s="285" t="str">
        <f t="shared" ref="H108" si="86">IF(G108="", "",
   SUBSTITUTE(
     SUBSTITUTE(
       SUBSTITUTE(
         SUBSTITUTE(G108,
           "1", "Personal Development"),
         "2", "Education-Based Development"),
       "3", "Relation-Based Development"),
     "4", "Experience-Based Development")
)</f>
        <v/>
      </c>
      <c r="I108" s="288" t="str">
        <f>IF(E108&lt;0,_xlfn.RANK.EQ(E108,$E$72:$E$113,1)+COUNTIF($E$72:E110,E108)-1,"")</f>
        <v/>
      </c>
      <c r="J108" s="285" t="str">
        <f t="shared" ref="J108" si="87">IF(ISNUMBER(FIND("1",$G108)), $A108&amp;"|"&amp;$B$5&amp;"|1", "")</f>
        <v/>
      </c>
      <c r="K108" s="285" t="str">
        <f t="shared" ref="K108" si="88">IF(ISNUMBER(FIND("2",$G108)), $A108&amp;"|"&amp;$B$5&amp;"|2", "")</f>
        <v/>
      </c>
      <c r="L108" s="285" t="str">
        <f t="shared" ref="L108" si="89">IF(ISNUMBER(FIND("3",$G108)), $A108&amp;"|"&amp;$B$5&amp;"|3", "")</f>
        <v/>
      </c>
      <c r="M108" s="285" t="str">
        <f t="shared" ref="M108" si="90">IF(ISNUMBER(FIND("4",$G108)), $A108&amp;"|"&amp;$B$5&amp;"|4", "")</f>
        <v/>
      </c>
      <c r="N108" s="13" t="e" cm="1">
        <f t="array" aca="1" ref="N108" ca="1">_xlfn.LET(
    _xlpm.gap, $F108,
    _xlpm.key, $J108,
    _xlpm.data, _xlfn._xlws.FILTER('sheet template'!$F$2:$M$1009,
                 ('sheet template'!$A$2:$A$1009=_xlpm.key) *
                 ('sheet template'!$F$2:$F$1009&lt;=_xlpm.gap), ""),
    IF(OR(_xlpm.key="", _xlpm.gap&lt;=0, ROWS(_xlpm.data)=0), "", _xlpm.data)
)</f>
        <v>#NAME?</v>
      </c>
      <c r="O108" s="83"/>
      <c r="P108" s="83"/>
      <c r="Q108" s="83"/>
      <c r="R108" s="83"/>
      <c r="S108" s="83"/>
      <c r="T108" s="83"/>
      <c r="U108" s="83"/>
      <c r="V108" s="13" t="e" cm="1">
        <f t="array" aca="1" ref="V108" ca="1">_xlfn.LET(
    _xlpm.gap, $F108,
    _xlpm.key, $K108,
    _xlpm.data, _xlfn._xlws.FILTER('sheet template'!$F$2:$M$1009,
                 ('sheet template'!$A$2:$A$1009=_xlpm.key) *
                 ('sheet template'!$F$2:$F$1009&lt;=_xlpm.gap), ""),
    IF(OR(_xlpm.key="", _xlpm.gap&lt;=0, ROWS(_xlpm.data)=0), "", _xlpm.data)
)</f>
        <v>#NAME?</v>
      </c>
      <c r="W108" s="83"/>
      <c r="X108" s="83"/>
      <c r="Y108" s="83"/>
      <c r="Z108" s="83"/>
      <c r="AA108" s="83"/>
      <c r="AB108" s="83"/>
      <c r="AC108" s="83"/>
      <c r="AD108" s="13" t="e" cm="1">
        <f t="array" aca="1" ref="AD108" ca="1">_xlfn.LET(
    _xlpm.gap, $F108,
    _xlpm.key, $L108,
    _xlpm.data, _xlfn._xlws.FILTER('sheet template'!$F$2:$M$1009,
                 ('sheet template'!$A$2:$A$1009=_xlpm.key) *
                 ('sheet template'!$F$2:$F$1009&lt;=_xlpm.gap), ""),
    IF(OR(_xlpm.key="", _xlpm.gap&lt;=0, ROWS(_xlpm.data)=0), "", _xlpm.data)
)</f>
        <v>#NAME?</v>
      </c>
      <c r="AE108" s="83"/>
      <c r="AF108" s="83"/>
      <c r="AG108" s="83"/>
      <c r="AH108" s="83"/>
      <c r="AI108" s="83"/>
      <c r="AJ108" s="83"/>
      <c r="AK108" s="83"/>
      <c r="AL108" s="13" t="e" cm="1">
        <f t="array" aca="1" ref="AL108" ca="1">_xlfn.LET(
    _xlpm.gap, $F108,
    _xlpm.key, $L108,
    _xlpm.data, _xlfn._xlws.FILTER('sheet template'!$F$2:$M$1009,
                 ('sheet template'!$A$2:$A$1009=_xlpm.key) *
                 ('sheet template'!$F$2:$F$1009&lt;=_xlpm.gap), ""),
    IF(OR(_xlpm.key="", _xlpm.gap&lt;=0, ROWS(_xlpm.data)=0), "", _xlpm.data)
)</f>
        <v>#NAME?</v>
      </c>
      <c r="AM108" s="83"/>
      <c r="AN108" s="83"/>
      <c r="AO108" s="83"/>
      <c r="AP108" s="83"/>
      <c r="AQ108" s="83"/>
      <c r="AR108" s="83"/>
      <c r="AS108" s="83"/>
    </row>
    <row r="109" spans="1:45">
      <c r="A109" s="286"/>
      <c r="B109" s="299"/>
      <c r="C109" s="296"/>
      <c r="D109" s="293"/>
      <c r="E109" s="289"/>
      <c r="F109" s="289"/>
      <c r="G109" s="289"/>
      <c r="H109" s="286"/>
      <c r="I109" s="289"/>
      <c r="J109" s="286"/>
      <c r="K109" s="286"/>
      <c r="L109" s="286"/>
      <c r="M109" s="286"/>
      <c r="N109" s="13"/>
      <c r="O109" s="83"/>
      <c r="P109" s="83"/>
      <c r="Q109" s="83"/>
      <c r="R109" s="83"/>
      <c r="S109" s="83"/>
      <c r="T109" s="83"/>
      <c r="U109" s="83"/>
      <c r="V109" s="13"/>
      <c r="W109" s="83"/>
      <c r="X109" s="83"/>
      <c r="Y109" s="83"/>
      <c r="Z109" s="83"/>
      <c r="AA109" s="83"/>
      <c r="AB109" s="83"/>
      <c r="AC109" s="83"/>
      <c r="AD109" s="13"/>
      <c r="AE109" s="83"/>
      <c r="AF109" s="83"/>
      <c r="AG109" s="83"/>
      <c r="AH109" s="83"/>
      <c r="AI109" s="83"/>
      <c r="AJ109" s="83"/>
      <c r="AK109" s="83"/>
      <c r="AL109" s="13"/>
      <c r="AM109" s="83"/>
      <c r="AN109" s="83"/>
      <c r="AO109" s="83"/>
      <c r="AP109" s="83"/>
      <c r="AQ109" s="83"/>
      <c r="AR109" s="83"/>
      <c r="AS109" s="83"/>
    </row>
    <row r="110" spans="1:45">
      <c r="A110" s="287"/>
      <c r="B110" s="300"/>
      <c r="C110" s="297"/>
      <c r="D110" s="294"/>
      <c r="E110" s="290"/>
      <c r="F110" s="290"/>
      <c r="G110" s="290"/>
      <c r="H110" s="287"/>
      <c r="I110" s="290"/>
      <c r="J110" s="287"/>
      <c r="K110" s="287"/>
      <c r="L110" s="287"/>
      <c r="M110" s="287"/>
      <c r="N110" s="13"/>
      <c r="O110" s="83"/>
      <c r="P110" s="83"/>
      <c r="Q110" s="83"/>
      <c r="R110" s="83"/>
      <c r="S110" s="83"/>
      <c r="T110" s="83"/>
      <c r="U110" s="83"/>
      <c r="V110" s="13"/>
      <c r="W110" s="83"/>
      <c r="X110" s="83"/>
      <c r="Y110" s="83"/>
      <c r="Z110" s="83"/>
      <c r="AA110" s="83"/>
      <c r="AB110" s="83"/>
      <c r="AC110" s="83"/>
      <c r="AD110" s="13"/>
      <c r="AE110" s="83"/>
      <c r="AF110" s="83"/>
      <c r="AG110" s="83"/>
      <c r="AH110" s="83"/>
      <c r="AI110" s="83"/>
      <c r="AJ110" s="83"/>
      <c r="AK110" s="83"/>
      <c r="AL110" s="13"/>
      <c r="AM110" s="83"/>
      <c r="AN110" s="83"/>
      <c r="AO110" s="83"/>
      <c r="AP110" s="83"/>
      <c r="AQ110" s="83"/>
      <c r="AR110" s="83"/>
      <c r="AS110" s="83"/>
    </row>
    <row r="111" spans="1:45">
      <c r="A111" s="285" t="s">
        <v>508</v>
      </c>
      <c r="B111" s="298">
        <f>IFERROR(INDEX(panduan!$C$3:$H$16,
       MATCH(TRIM(A111), panduan!$B$3:$B$16, 0),
       MATCH(TRIM($B$4), panduan!$C$2:$H$2, 0)),"")</f>
        <v>1</v>
      </c>
      <c r="C111" s="295">
        <f>IFERROR(INDEX(panduan!$C$3:$H$16,
       MATCH(TRIM(A111), panduan!$B$3:$B$16, 0),
       MATCH(TRIM($B$69), panduan!$C$2:$H$2, 0)),"")</f>
        <v>3</v>
      </c>
      <c r="D111" s="292">
        <v>4</v>
      </c>
      <c r="E111" s="288">
        <f>D111-C111</f>
        <v>1</v>
      </c>
      <c r="F111" s="288" t="str">
        <f>IF(E111&lt;0, MIN(-E111, 4), "")</f>
        <v/>
      </c>
      <c r="G111" s="288" t="str">
        <f>IFERROR(
    INDEX(panduan!$C$181:$G$185,
          MATCH($F$65,panduan!$B$181:$B$185,0),
          MATCH($F111,panduan!$C$180:$G$180,0)
    ),
"")</f>
        <v/>
      </c>
      <c r="H111" s="285" t="str">
        <f>IF(G111="", "",
   SUBSTITUTE(
     SUBSTITUTE(
       SUBSTITUTE(
         SUBSTITUTE(G111,
           "1", "Personal Development"),
         "2", "Education-Based Development"),
       "3", "Relation-Based Development"),
     "4", "Experience-Based Development")
)</f>
        <v/>
      </c>
      <c r="I111" s="288" t="str">
        <f>IF(E111&lt;0,_xlfn.RANK.EQ(E111,$E$72:$E$113,1)+COUNTIF($E$72:E113,E111)-1,"")</f>
        <v/>
      </c>
      <c r="J111" s="285" t="str">
        <f>IF(ISNUMBER(FIND("1",$G111)), $A111&amp;"|"&amp;$B$5&amp;"|1", "")</f>
        <v/>
      </c>
      <c r="K111" s="285" t="str">
        <f>IF(ISNUMBER(FIND("2",$G111)), $A111&amp;"|"&amp;$B$5&amp;"|2", "")</f>
        <v/>
      </c>
      <c r="L111" s="285" t="str">
        <f>IF(ISNUMBER(FIND("3",$G111)), $A111&amp;"|"&amp;$B$5&amp;"|3", "")</f>
        <v/>
      </c>
      <c r="M111" s="285" t="str">
        <f>IF(ISNUMBER(FIND("4",$G111)), $A111&amp;"|"&amp;$B$5&amp;"|4", "")</f>
        <v/>
      </c>
      <c r="N111" s="13" t="e" cm="1">
        <f t="array" aca="1" ref="N111" ca="1">_xlfn.LET(
    _xlpm.gap, $F111,
    _xlpm.key, $J111,
    _xlpm.data, _xlfn._xlws.FILTER('sheet template'!$F$2:$M$1009,
                 ('sheet template'!$A$2:$A$1009=_xlpm.key) *
                 ('sheet template'!$F$2:$F$1009&lt;=_xlpm.gap), ""),
    IF(OR(_xlpm.key="", _xlpm.gap&lt;=0, ROWS(_xlpm.data)=0), "", _xlpm.data)
)</f>
        <v>#NAME?</v>
      </c>
      <c r="O111" s="83"/>
      <c r="P111" s="83"/>
      <c r="Q111" s="83"/>
      <c r="R111" s="83"/>
      <c r="S111" s="83"/>
      <c r="T111" s="83"/>
      <c r="U111" s="83"/>
      <c r="V111" s="13" t="e" cm="1">
        <f t="array" aca="1" ref="V111" ca="1">_xlfn.LET(
    _xlpm.gap, $F111,
    _xlpm.key, $K111,
    _xlpm.data, _xlfn._xlws.FILTER('sheet template'!$F$2:$M$1009,
                 ('sheet template'!$A$2:$A$1009=_xlpm.key) *
                 ('sheet template'!$F$2:$F$1009&lt;=_xlpm.gap), ""),
    IF(OR(_xlpm.key="", _xlpm.gap&lt;=0, ROWS(_xlpm.data)=0), "", _xlpm.data)
)</f>
        <v>#NAME?</v>
      </c>
      <c r="W111" s="83"/>
      <c r="X111" s="83"/>
      <c r="Y111" s="83"/>
      <c r="Z111" s="83"/>
      <c r="AA111" s="83"/>
      <c r="AB111" s="83"/>
      <c r="AC111" s="83"/>
      <c r="AD111" s="13" t="e" cm="1">
        <f t="array" aca="1" ref="AD111" ca="1">_xlfn.LET(
    _xlpm.gap, $F111,
    _xlpm.key, $L111,
    _xlpm.data, _xlfn._xlws.FILTER('sheet template'!$F$2:$M$1009,
                 ('sheet template'!$A$2:$A$1009=_xlpm.key) *
                 ('sheet template'!$F$2:$F$1009&lt;=_xlpm.gap), ""),
    IF(OR(_xlpm.key="", _xlpm.gap&lt;=0, ROWS(_xlpm.data)=0), "", _xlpm.data)
)</f>
        <v>#NAME?</v>
      </c>
      <c r="AE111" s="83"/>
      <c r="AF111" s="83"/>
      <c r="AG111" s="83"/>
      <c r="AH111" s="83"/>
      <c r="AI111" s="83"/>
      <c r="AJ111" s="83"/>
      <c r="AK111" s="83"/>
      <c r="AL111" s="13" t="e" cm="1">
        <f t="array" aca="1" ref="AL111" ca="1">_xlfn.LET(
    _xlpm.gap, $F111,
    _xlpm.key, $L111,
    _xlpm.data, _xlfn._xlws.FILTER('sheet template'!$F$2:$M$1009,
                 ('sheet template'!$A$2:$A$1009=_xlpm.key) *
                 ('sheet template'!$F$2:$F$1009&lt;=_xlpm.gap), ""),
    IF(OR(_xlpm.key="", _xlpm.gap&lt;=0, ROWS(_xlpm.data)=0), "", _xlpm.data)
)</f>
        <v>#NAME?</v>
      </c>
      <c r="AM111" s="83"/>
      <c r="AN111" s="83"/>
      <c r="AO111" s="83"/>
      <c r="AP111" s="83"/>
      <c r="AQ111" s="83"/>
      <c r="AR111" s="83"/>
      <c r="AS111" s="83"/>
    </row>
    <row r="112" spans="1:45">
      <c r="A112" s="286"/>
      <c r="B112" s="299"/>
      <c r="C112" s="296"/>
      <c r="D112" s="293"/>
      <c r="E112" s="289"/>
      <c r="F112" s="289"/>
      <c r="G112" s="289"/>
      <c r="H112" s="286"/>
      <c r="I112" s="289"/>
      <c r="J112" s="286"/>
      <c r="K112" s="286"/>
      <c r="L112" s="286"/>
      <c r="M112" s="286"/>
      <c r="N112" s="13"/>
      <c r="O112" s="83"/>
      <c r="P112" s="83"/>
      <c r="Q112" s="83"/>
      <c r="R112" s="83"/>
      <c r="S112" s="83"/>
      <c r="T112" s="83"/>
      <c r="U112" s="83"/>
      <c r="V112" s="13"/>
      <c r="W112" s="83"/>
      <c r="X112" s="83"/>
      <c r="Y112" s="83"/>
      <c r="Z112" s="83"/>
      <c r="AA112" s="83"/>
      <c r="AB112" s="83"/>
      <c r="AC112" s="83"/>
      <c r="AD112" s="13"/>
      <c r="AE112" s="83"/>
      <c r="AF112" s="83"/>
      <c r="AG112" s="83"/>
      <c r="AH112" s="83"/>
      <c r="AI112" s="83"/>
      <c r="AJ112" s="83"/>
      <c r="AK112" s="83"/>
      <c r="AL112" s="13"/>
      <c r="AM112" s="83"/>
      <c r="AN112" s="83"/>
      <c r="AO112" s="83"/>
      <c r="AP112" s="83"/>
      <c r="AQ112" s="83"/>
      <c r="AR112" s="83"/>
      <c r="AS112" s="83"/>
    </row>
    <row r="113" spans="1:45">
      <c r="A113" s="287"/>
      <c r="B113" s="300"/>
      <c r="C113" s="297"/>
      <c r="D113" s="294"/>
      <c r="E113" s="290"/>
      <c r="F113" s="290"/>
      <c r="G113" s="290"/>
      <c r="H113" s="287"/>
      <c r="I113" s="290"/>
      <c r="J113" s="287"/>
      <c r="K113" s="287"/>
      <c r="L113" s="287"/>
      <c r="M113" s="287"/>
      <c r="N113" s="13" t="e" cm="1">
        <f t="array" aca="1" ref="N113" ca="1">_xlfn.LET(
    _xlpm.key, J111,
    _xlpm.data, _xlfn._xlws.FILTER('sheet template'!$F$2:$M$1009, 'sheet template'!$A$2:$A$1009=_xlpm.key, ""),
    _xlpm.jmlBaris, ROWS(_xlpm.data),
    IF(OR(_xlpm.key="", _xlpm.jmlBaris=0), "", INDEX(_xlpm.data, RANDBETWEEN(1, _xlpm.jmlBaris), 0))
)</f>
        <v>#NAME?</v>
      </c>
      <c r="O113" s="83"/>
      <c r="P113" s="83"/>
      <c r="Q113" s="83"/>
      <c r="R113" s="83"/>
      <c r="S113" s="83"/>
      <c r="T113" s="83"/>
      <c r="U113" s="83"/>
      <c r="V113" s="13" t="str" cm="1">
        <f t="array" aca="1" ref="V113" ca="1">IF(K111="", "", INDEX(_xlfn._xlws.FILTER('sheet template'!$F$2:$M$1009, 'sheet template'!$A$2:$A$1009=K111), RANDBETWEEN(1,3), 0))</f>
        <v/>
      </c>
      <c r="W113" s="83"/>
      <c r="X113" s="83"/>
      <c r="Y113" s="83"/>
      <c r="Z113" s="83"/>
      <c r="AA113" s="83"/>
      <c r="AB113" s="83"/>
      <c r="AC113" s="83"/>
      <c r="AD113" s="13" t="str" cm="1">
        <f t="array" aca="1" ref="AD113" ca="1">IF(L111="", "", INDEX(_xlfn._xlws.FILTER('sheet template'!$F$2:$M$1009, 'sheet template'!$A$2:$A$1009=L111), RANDBETWEEN(1,3), 0))</f>
        <v/>
      </c>
      <c r="AE113" s="83"/>
      <c r="AF113" s="83"/>
      <c r="AG113" s="83"/>
      <c r="AH113" s="83"/>
      <c r="AI113" s="83"/>
      <c r="AJ113" s="83"/>
      <c r="AK113" s="83"/>
      <c r="AL113" s="13" t="str" cm="1">
        <f t="array" aca="1" ref="AL113" ca="1">IF(M111="", "", INDEX(_xlfn._xlws.FILTER('sheet template'!$F$2:$M$1009, 'sheet template'!$A$2:$A$1009=M111), RANDBETWEEN(1,3), 0))</f>
        <v/>
      </c>
      <c r="AM113" s="83"/>
      <c r="AN113" s="83"/>
      <c r="AO113" s="83"/>
      <c r="AP113" s="83"/>
      <c r="AQ113" s="83"/>
      <c r="AR113" s="83"/>
      <c r="AS113" s="83"/>
    </row>
  </sheetData>
  <mergeCells count="372">
    <mergeCell ref="J111:J113"/>
    <mergeCell ref="K111:K113"/>
    <mergeCell ref="L111:L113"/>
    <mergeCell ref="M111:M113"/>
    <mergeCell ref="A108:A110"/>
    <mergeCell ref="E111:E113"/>
    <mergeCell ref="F111:F113"/>
    <mergeCell ref="G111:G113"/>
    <mergeCell ref="H111:H113"/>
    <mergeCell ref="I111:I113"/>
    <mergeCell ref="A111:A113"/>
    <mergeCell ref="B111:B113"/>
    <mergeCell ref="C111:C113"/>
    <mergeCell ref="D111:D113"/>
    <mergeCell ref="B108:B110"/>
    <mergeCell ref="C108:C110"/>
    <mergeCell ref="D108:D110"/>
    <mergeCell ref="E108:E110"/>
    <mergeCell ref="F108:F110"/>
    <mergeCell ref="G108:G110"/>
    <mergeCell ref="H108:H110"/>
    <mergeCell ref="I108:I110"/>
    <mergeCell ref="J108:J110"/>
    <mergeCell ref="K108:K110"/>
    <mergeCell ref="L108:L110"/>
    <mergeCell ref="M108:M110"/>
    <mergeCell ref="F105:F107"/>
    <mergeCell ref="G105:G107"/>
    <mergeCell ref="H105:H107"/>
    <mergeCell ref="I105:I107"/>
    <mergeCell ref="J105:J107"/>
    <mergeCell ref="K105:K107"/>
    <mergeCell ref="L105:L107"/>
    <mergeCell ref="M105:M107"/>
    <mergeCell ref="A105:A107"/>
    <mergeCell ref="B105:B107"/>
    <mergeCell ref="C105:C107"/>
    <mergeCell ref="D105:D107"/>
    <mergeCell ref="E105:E107"/>
    <mergeCell ref="K99:K101"/>
    <mergeCell ref="L99:L101"/>
    <mergeCell ref="M99:M101"/>
    <mergeCell ref="A102:A104"/>
    <mergeCell ref="B102:B104"/>
    <mergeCell ref="C102:C104"/>
    <mergeCell ref="D102:D104"/>
    <mergeCell ref="E102:E104"/>
    <mergeCell ref="F102:F104"/>
    <mergeCell ref="G102:G104"/>
    <mergeCell ref="H102:H104"/>
    <mergeCell ref="I102:I104"/>
    <mergeCell ref="J102:J104"/>
    <mergeCell ref="K102:K104"/>
    <mergeCell ref="L102:L104"/>
    <mergeCell ref="M102:M104"/>
    <mergeCell ref="F99:F101"/>
    <mergeCell ref="G99:G101"/>
    <mergeCell ref="H99:H101"/>
    <mergeCell ref="I99:I101"/>
    <mergeCell ref="J99:J101"/>
    <mergeCell ref="A99:A101"/>
    <mergeCell ref="B99:B101"/>
    <mergeCell ref="C99:C101"/>
    <mergeCell ref="D99:D101"/>
    <mergeCell ref="E99:E101"/>
    <mergeCell ref="K93:K95"/>
    <mergeCell ref="L93:L95"/>
    <mergeCell ref="M93:M95"/>
    <mergeCell ref="A96:A98"/>
    <mergeCell ref="B96:B98"/>
    <mergeCell ref="C96:C98"/>
    <mergeCell ref="D96:D98"/>
    <mergeCell ref="E96:E98"/>
    <mergeCell ref="F96:F98"/>
    <mergeCell ref="G96:G98"/>
    <mergeCell ref="H96:H98"/>
    <mergeCell ref="I96:I98"/>
    <mergeCell ref="J96:J98"/>
    <mergeCell ref="K96:K98"/>
    <mergeCell ref="L96:L98"/>
    <mergeCell ref="M96:M98"/>
    <mergeCell ref="F93:F95"/>
    <mergeCell ref="G93:G95"/>
    <mergeCell ref="H93:H95"/>
    <mergeCell ref="I93:I95"/>
    <mergeCell ref="J93:J95"/>
    <mergeCell ref="A93:A95"/>
    <mergeCell ref="B93:B95"/>
    <mergeCell ref="C93:C95"/>
    <mergeCell ref="D93:D95"/>
    <mergeCell ref="E93:E95"/>
    <mergeCell ref="K87:K89"/>
    <mergeCell ref="L87:L89"/>
    <mergeCell ref="M87:M89"/>
    <mergeCell ref="A90:A92"/>
    <mergeCell ref="B90:B92"/>
    <mergeCell ref="C90:C92"/>
    <mergeCell ref="D90:D92"/>
    <mergeCell ref="E90:E92"/>
    <mergeCell ref="F90:F92"/>
    <mergeCell ref="G90:G92"/>
    <mergeCell ref="H90:H92"/>
    <mergeCell ref="I90:I92"/>
    <mergeCell ref="J90:J92"/>
    <mergeCell ref="K90:K92"/>
    <mergeCell ref="L90:L92"/>
    <mergeCell ref="M90:M92"/>
    <mergeCell ref="F87:F89"/>
    <mergeCell ref="G87:G89"/>
    <mergeCell ref="H87:H89"/>
    <mergeCell ref="I87:I89"/>
    <mergeCell ref="J87:J89"/>
    <mergeCell ref="A87:A89"/>
    <mergeCell ref="B87:B89"/>
    <mergeCell ref="C87:C89"/>
    <mergeCell ref="D87:D89"/>
    <mergeCell ref="E87:E89"/>
    <mergeCell ref="K81:K83"/>
    <mergeCell ref="L81:L83"/>
    <mergeCell ref="M81:M83"/>
    <mergeCell ref="A84:A86"/>
    <mergeCell ref="B84:B86"/>
    <mergeCell ref="C84:C86"/>
    <mergeCell ref="D84:D86"/>
    <mergeCell ref="E84:E86"/>
    <mergeCell ref="F84:F86"/>
    <mergeCell ref="G84:G86"/>
    <mergeCell ref="H84:H86"/>
    <mergeCell ref="I84:I86"/>
    <mergeCell ref="J84:J86"/>
    <mergeCell ref="K84:K86"/>
    <mergeCell ref="L84:L86"/>
    <mergeCell ref="M84:M86"/>
    <mergeCell ref="F81:F83"/>
    <mergeCell ref="G81:G83"/>
    <mergeCell ref="H81:H83"/>
    <mergeCell ref="I81:I83"/>
    <mergeCell ref="J81:J83"/>
    <mergeCell ref="A81:A83"/>
    <mergeCell ref="B81:B83"/>
    <mergeCell ref="C81:C83"/>
    <mergeCell ref="D81:D83"/>
    <mergeCell ref="E81:E83"/>
    <mergeCell ref="K75:K77"/>
    <mergeCell ref="L75:L77"/>
    <mergeCell ref="M75:M77"/>
    <mergeCell ref="A78:A80"/>
    <mergeCell ref="B78:B80"/>
    <mergeCell ref="C78:C80"/>
    <mergeCell ref="D78:D80"/>
    <mergeCell ref="E78:E80"/>
    <mergeCell ref="F78:F80"/>
    <mergeCell ref="G78:G80"/>
    <mergeCell ref="H78:H80"/>
    <mergeCell ref="I78:I80"/>
    <mergeCell ref="J78:J80"/>
    <mergeCell ref="K78:K80"/>
    <mergeCell ref="L78:L80"/>
    <mergeCell ref="M78:M80"/>
    <mergeCell ref="F75:F77"/>
    <mergeCell ref="G75:G77"/>
    <mergeCell ref="H75:H77"/>
    <mergeCell ref="I75:I77"/>
    <mergeCell ref="J75:J77"/>
    <mergeCell ref="A75:A77"/>
    <mergeCell ref="B75:B77"/>
    <mergeCell ref="C75:C77"/>
    <mergeCell ref="D75:D77"/>
    <mergeCell ref="E75:E77"/>
    <mergeCell ref="I72:I74"/>
    <mergeCell ref="J72:J74"/>
    <mergeCell ref="K72:K74"/>
    <mergeCell ref="L72:L74"/>
    <mergeCell ref="M72:M74"/>
    <mergeCell ref="D72:D74"/>
    <mergeCell ref="E72:E74"/>
    <mergeCell ref="F72:F74"/>
    <mergeCell ref="G72:G74"/>
    <mergeCell ref="H72:H74"/>
    <mergeCell ref="C52:C54"/>
    <mergeCell ref="B52:B54"/>
    <mergeCell ref="A52:A54"/>
    <mergeCell ref="A72:A74"/>
    <mergeCell ref="B72:B74"/>
    <mergeCell ref="C72:C74"/>
    <mergeCell ref="F52:F54"/>
    <mergeCell ref="E52:E54"/>
    <mergeCell ref="D52:D54"/>
    <mergeCell ref="C46:C48"/>
    <mergeCell ref="B46:B48"/>
    <mergeCell ref="A46:A48"/>
    <mergeCell ref="F49:F51"/>
    <mergeCell ref="E49:E51"/>
    <mergeCell ref="D49:D51"/>
    <mergeCell ref="C49:C51"/>
    <mergeCell ref="B49:B51"/>
    <mergeCell ref="F46:F48"/>
    <mergeCell ref="E46:E48"/>
    <mergeCell ref="D46:D48"/>
    <mergeCell ref="A49:A51"/>
    <mergeCell ref="C40:C42"/>
    <mergeCell ref="B40:B42"/>
    <mergeCell ref="A40:A42"/>
    <mergeCell ref="F43:F45"/>
    <mergeCell ref="E43:E45"/>
    <mergeCell ref="D43:D45"/>
    <mergeCell ref="C43:C45"/>
    <mergeCell ref="B43:B45"/>
    <mergeCell ref="A43:A45"/>
    <mergeCell ref="F40:F42"/>
    <mergeCell ref="E40:E42"/>
    <mergeCell ref="D40:D42"/>
    <mergeCell ref="F37:F39"/>
    <mergeCell ref="E37:E39"/>
    <mergeCell ref="D37:D39"/>
    <mergeCell ref="C37:C39"/>
    <mergeCell ref="B37:B39"/>
    <mergeCell ref="A37:A39"/>
    <mergeCell ref="C31:C33"/>
    <mergeCell ref="B31:B33"/>
    <mergeCell ref="A31:A33"/>
    <mergeCell ref="F34:F36"/>
    <mergeCell ref="E34:E36"/>
    <mergeCell ref="D34:D36"/>
    <mergeCell ref="C34:C36"/>
    <mergeCell ref="B34:B36"/>
    <mergeCell ref="F31:F33"/>
    <mergeCell ref="D31:D33"/>
    <mergeCell ref="E31:E33"/>
    <mergeCell ref="A34:A36"/>
    <mergeCell ref="C25:C27"/>
    <mergeCell ref="B25:B27"/>
    <mergeCell ref="A25:A27"/>
    <mergeCell ref="E28:E30"/>
    <mergeCell ref="D28:D30"/>
    <mergeCell ref="C28:C30"/>
    <mergeCell ref="B28:B30"/>
    <mergeCell ref="A28:A30"/>
    <mergeCell ref="F25:F27"/>
    <mergeCell ref="E25:E27"/>
    <mergeCell ref="D25:D27"/>
    <mergeCell ref="F28:F30"/>
    <mergeCell ref="C19:C21"/>
    <mergeCell ref="B19:B21"/>
    <mergeCell ref="A19:A21"/>
    <mergeCell ref="F22:F24"/>
    <mergeCell ref="E22:E24"/>
    <mergeCell ref="D22:D24"/>
    <mergeCell ref="C22:C24"/>
    <mergeCell ref="B22:B24"/>
    <mergeCell ref="A22:A24"/>
    <mergeCell ref="F19:F21"/>
    <mergeCell ref="E19:E21"/>
    <mergeCell ref="D19:D21"/>
    <mergeCell ref="E16:E18"/>
    <mergeCell ref="D16:D18"/>
    <mergeCell ref="C16:C18"/>
    <mergeCell ref="B16:B18"/>
    <mergeCell ref="A16:A18"/>
    <mergeCell ref="F16:F18"/>
    <mergeCell ref="F13:F15"/>
    <mergeCell ref="A13:A15"/>
    <mergeCell ref="B13:B15"/>
    <mergeCell ref="C13:C15"/>
    <mergeCell ref="D13:D15"/>
    <mergeCell ref="E13:E15"/>
    <mergeCell ref="N12:U12"/>
    <mergeCell ref="V12:AC12"/>
    <mergeCell ref="AD12:AK12"/>
    <mergeCell ref="AL12:AS12"/>
    <mergeCell ref="N71:U71"/>
    <mergeCell ref="V71:AC71"/>
    <mergeCell ref="AD71:AK71"/>
    <mergeCell ref="AL71:AS71"/>
    <mergeCell ref="M13:M15"/>
    <mergeCell ref="M19:M21"/>
    <mergeCell ref="M25:M27"/>
    <mergeCell ref="M31:M33"/>
    <mergeCell ref="M37:M39"/>
    <mergeCell ref="M43:M45"/>
    <mergeCell ref="M49:M51"/>
    <mergeCell ref="L13:L15"/>
    <mergeCell ref="K13:K15"/>
    <mergeCell ref="J13:J15"/>
    <mergeCell ref="I13:I15"/>
    <mergeCell ref="H13:H15"/>
    <mergeCell ref="G13:G15"/>
    <mergeCell ref="M16:M18"/>
    <mergeCell ref="L16:L18"/>
    <mergeCell ref="K16:K18"/>
    <mergeCell ref="J16:J18"/>
    <mergeCell ref="I16:I18"/>
    <mergeCell ref="H16:H18"/>
    <mergeCell ref="G16:G18"/>
    <mergeCell ref="L19:L21"/>
    <mergeCell ref="K19:K21"/>
    <mergeCell ref="J19:J21"/>
    <mergeCell ref="I19:I21"/>
    <mergeCell ref="H19:H21"/>
    <mergeCell ref="G19:G21"/>
    <mergeCell ref="M22:M24"/>
    <mergeCell ref="L22:L24"/>
    <mergeCell ref="K22:K24"/>
    <mergeCell ref="J22:J24"/>
    <mergeCell ref="I22:I24"/>
    <mergeCell ref="H22:H24"/>
    <mergeCell ref="G22:G24"/>
    <mergeCell ref="L25:L27"/>
    <mergeCell ref="K25:K27"/>
    <mergeCell ref="J25:J27"/>
    <mergeCell ref="I25:I27"/>
    <mergeCell ref="H25:H27"/>
    <mergeCell ref="G25:G27"/>
    <mergeCell ref="M28:M30"/>
    <mergeCell ref="L28:L30"/>
    <mergeCell ref="K28:K30"/>
    <mergeCell ref="J28:J30"/>
    <mergeCell ref="I28:I30"/>
    <mergeCell ref="H28:H30"/>
    <mergeCell ref="G28:G30"/>
    <mergeCell ref="L31:L33"/>
    <mergeCell ref="K31:K33"/>
    <mergeCell ref="J31:J33"/>
    <mergeCell ref="I31:I33"/>
    <mergeCell ref="H31:H32"/>
    <mergeCell ref="G31:G33"/>
    <mergeCell ref="M34:M36"/>
    <mergeCell ref="L34:L36"/>
    <mergeCell ref="K34:K36"/>
    <mergeCell ref="J34:J36"/>
    <mergeCell ref="I34:I36"/>
    <mergeCell ref="H34:H36"/>
    <mergeCell ref="G34:G36"/>
    <mergeCell ref="L37:L39"/>
    <mergeCell ref="K37:K39"/>
    <mergeCell ref="J37:J39"/>
    <mergeCell ref="I37:I39"/>
    <mergeCell ref="H37:H39"/>
    <mergeCell ref="G37:G39"/>
    <mergeCell ref="M40:M42"/>
    <mergeCell ref="L40:L42"/>
    <mergeCell ref="K40:K42"/>
    <mergeCell ref="J40:J42"/>
    <mergeCell ref="I40:I42"/>
    <mergeCell ref="H40:H42"/>
    <mergeCell ref="G40:G42"/>
    <mergeCell ref="L43:L45"/>
    <mergeCell ref="K43:K45"/>
    <mergeCell ref="J43:J45"/>
    <mergeCell ref="I43:I45"/>
    <mergeCell ref="H43:H45"/>
    <mergeCell ref="G43:G45"/>
    <mergeCell ref="M46:M48"/>
    <mergeCell ref="L46:L48"/>
    <mergeCell ref="K46:K48"/>
    <mergeCell ref="J46:J48"/>
    <mergeCell ref="I46:I48"/>
    <mergeCell ref="H46:H48"/>
    <mergeCell ref="G46:G48"/>
    <mergeCell ref="L49:L51"/>
    <mergeCell ref="K49:K51"/>
    <mergeCell ref="J49:J51"/>
    <mergeCell ref="I49:I51"/>
    <mergeCell ref="H49:H51"/>
    <mergeCell ref="G49:G51"/>
    <mergeCell ref="M52:M54"/>
    <mergeCell ref="L52:L54"/>
    <mergeCell ref="K52:K54"/>
    <mergeCell ref="J52:J54"/>
    <mergeCell ref="I52:I54"/>
    <mergeCell ref="H52:H54"/>
    <mergeCell ref="G52:G54"/>
  </mergeCells>
  <phoneticPr fontId="59" type="noConversion"/>
  <conditionalFormatting sqref="E12:E13 E16 E19 E22 E25 E28 E31 E34 E37 E40 E43 E46 E49 E52">
    <cfRule type="cellIs" dxfId="45" priority="22" operator="lessThan">
      <formula>0</formula>
    </cfRule>
  </conditionalFormatting>
  <conditionalFormatting sqref="E13 E16 E19 E22 E25 E28 E31 E34 E37 E40 E43 E46 E49 E52">
    <cfRule type="cellIs" dxfId="44" priority="20" operator="equal">
      <formula>0</formula>
    </cfRule>
    <cfRule type="cellIs" dxfId="43" priority="21" operator="greaterThan">
      <formula>0</formula>
    </cfRule>
  </conditionalFormatting>
  <conditionalFormatting sqref="E71:E72 E75 E78 E81 E84 E87 E90 E93 E96 E99 E102 E105 E108 E111">
    <cfRule type="cellIs" dxfId="42" priority="7" operator="lessThan">
      <formula>0</formula>
    </cfRule>
  </conditionalFormatting>
  <conditionalFormatting sqref="E72 E75 E78 E81 E84 E87 E90 E93 E96 E99 E102 E105 E108 E111">
    <cfRule type="cellIs" dxfId="41" priority="5" operator="equal">
      <formula>0</formula>
    </cfRule>
    <cfRule type="cellIs" dxfId="40" priority="6" operator="greaterThan">
      <formula>0</formula>
    </cfRule>
  </conditionalFormatting>
  <conditionalFormatting sqref="E59:F59">
    <cfRule type="containsText" dxfId="39" priority="15" operator="containsText" text="major negativ">
      <formula>NOT(ISERROR(SEARCH("major negativ",E59)))</formula>
    </cfRule>
  </conditionalFormatting>
  <conditionalFormatting sqref="F13 F16 F19 F22 F25 F28 F31 F34 F37 F40 F43 F46 F49 F52">
    <cfRule type="containsText" dxfId="38" priority="16" operator="containsText" text="4">
      <formula>NOT(ISERROR(SEARCH("4",F13)))</formula>
    </cfRule>
    <cfRule type="containsText" dxfId="37" priority="17" operator="containsText" text="3">
      <formula>NOT(ISERROR(SEARCH("3",F13)))</formula>
    </cfRule>
    <cfRule type="containsText" dxfId="36" priority="18" operator="containsText" text="2">
      <formula>NOT(ISERROR(SEARCH("2",F13)))</formula>
    </cfRule>
    <cfRule type="containsText" dxfId="35" priority="19" operator="containsText" text="1">
      <formula>NOT(ISERROR(SEARCH("1",F13)))</formula>
    </cfRule>
  </conditionalFormatting>
  <conditionalFormatting sqref="F72 F75 F78 F81 F84 F87 F90 F93 F96 F99 F102 F105 F108 F111">
    <cfRule type="containsText" dxfId="34" priority="1" operator="containsText" text="4">
      <formula>NOT(ISERROR(SEARCH("4",F72)))</formula>
    </cfRule>
    <cfRule type="containsText" dxfId="33" priority="2" operator="containsText" text="3">
      <formula>NOT(ISERROR(SEARCH("3",F72)))</formula>
    </cfRule>
    <cfRule type="containsText" dxfId="32" priority="3" operator="containsText" text="2">
      <formula>NOT(ISERROR(SEARCH("2",F72)))</formula>
    </cfRule>
    <cfRule type="containsText" dxfId="31" priority="4" operator="containsText" text="1">
      <formula>NOT(ISERROR(SEARCH("1",F72)))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ECDB6-9741-4CAA-9B67-9B0A7F6FE058}">
  <dimension ref="A1"/>
  <sheetViews>
    <sheetView workbookViewId="0">
      <selection activeCell="P23" sqref="P23"/>
    </sheetView>
  </sheetViews>
  <sheetFormatPr defaultRowHeight="1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00B0F0"/>
  </sheetPr>
  <dimension ref="A1:O1009"/>
  <sheetViews>
    <sheetView topLeftCell="A9" zoomScale="55" zoomScaleNormal="55" workbookViewId="0">
      <selection activeCell="I20" sqref="I20"/>
    </sheetView>
  </sheetViews>
  <sheetFormatPr defaultColWidth="8.83203125" defaultRowHeight="14"/>
  <cols>
    <col min="1" max="1" width="34.58203125" style="268" customWidth="1"/>
    <col min="2" max="2" width="34.4140625" style="223" bestFit="1" customWidth="1"/>
    <col min="3" max="3" width="17.1640625" style="197" customWidth="1"/>
    <col min="4" max="4" width="8.83203125" style="197"/>
    <col min="5" max="5" width="17.25" style="223" customWidth="1"/>
    <col min="6" max="6" width="8.83203125" style="223"/>
    <col min="7" max="7" width="32.4140625" style="223" customWidth="1"/>
    <col min="8" max="8" width="41.4140625" style="223" customWidth="1"/>
    <col min="9" max="9" width="63.4140625" style="223" customWidth="1"/>
    <col min="10" max="10" width="37.25" style="223" customWidth="1"/>
    <col min="11" max="11" width="12" style="223" bestFit="1" customWidth="1"/>
    <col min="12" max="12" width="11.58203125" style="223" customWidth="1"/>
    <col min="13" max="13" width="65.25" style="223" customWidth="1"/>
    <col min="14" max="14" width="19.83203125" style="223" customWidth="1"/>
    <col min="15" max="16384" width="8.83203125" style="58"/>
  </cols>
  <sheetData>
    <row r="1" spans="1:14" ht="28">
      <c r="A1" s="268" t="s">
        <v>513</v>
      </c>
      <c r="B1" s="58" t="s">
        <v>478</v>
      </c>
      <c r="C1" s="79" t="s">
        <v>514</v>
      </c>
      <c r="D1" s="79" t="s">
        <v>515</v>
      </c>
      <c r="E1" s="79" t="s">
        <v>516</v>
      </c>
      <c r="F1" s="79" t="s">
        <v>517</v>
      </c>
      <c r="G1" s="58" t="s">
        <v>518</v>
      </c>
      <c r="H1" s="58" t="s">
        <v>519</v>
      </c>
      <c r="I1" s="58" t="s">
        <v>520</v>
      </c>
      <c r="J1" s="58" t="s">
        <v>521</v>
      </c>
      <c r="K1" s="58" t="s">
        <v>522</v>
      </c>
      <c r="L1" s="58" t="s">
        <v>523</v>
      </c>
      <c r="M1" s="58" t="s">
        <v>524</v>
      </c>
      <c r="N1" s="58" t="s">
        <v>525</v>
      </c>
    </row>
    <row r="2" spans="1:14" ht="42">
      <c r="A2" s="268" t="str">
        <f>B2 &amp; "|" &amp; C2 &amp; "|" &amp; D2</f>
        <v>Achievement Drive|Officer|1</v>
      </c>
      <c r="B2" s="223" t="s">
        <v>495</v>
      </c>
      <c r="C2" s="197" t="s">
        <v>4</v>
      </c>
      <c r="D2" s="197">
        <v>1</v>
      </c>
      <c r="E2" s="79" t="s">
        <v>526</v>
      </c>
      <c r="F2" s="79">
        <v>1</v>
      </c>
      <c r="G2" s="269" t="s">
        <v>527</v>
      </c>
      <c r="H2" s="270" t="s">
        <v>528</v>
      </c>
      <c r="I2" s="270" t="s">
        <v>529</v>
      </c>
      <c r="J2" s="270" t="s">
        <v>530</v>
      </c>
      <c r="K2" s="271" t="s">
        <v>531</v>
      </c>
      <c r="L2" s="270" t="s">
        <v>532</v>
      </c>
      <c r="M2" s="270" t="s">
        <v>533</v>
      </c>
      <c r="N2" s="270" t="s">
        <v>534</v>
      </c>
    </row>
    <row r="3" spans="1:14" ht="42">
      <c r="A3" s="268" t="str">
        <f t="shared" ref="A3:A66" si="0">B3 &amp; "|" &amp; C3 &amp; "|" &amp; D3</f>
        <v>Achievement Drive|Officer|1</v>
      </c>
      <c r="B3" s="223" t="s">
        <v>495</v>
      </c>
      <c r="C3" s="197" t="s">
        <v>4</v>
      </c>
      <c r="D3" s="197">
        <v>1</v>
      </c>
      <c r="E3" s="79" t="s">
        <v>526</v>
      </c>
      <c r="F3" s="79">
        <v>2</v>
      </c>
      <c r="G3" s="269" t="s">
        <v>535</v>
      </c>
      <c r="H3" s="270" t="s">
        <v>536</v>
      </c>
      <c r="I3" s="270" t="s">
        <v>537</v>
      </c>
      <c r="J3" s="270" t="s">
        <v>538</v>
      </c>
      <c r="K3" s="271" t="s">
        <v>531</v>
      </c>
      <c r="L3" s="270" t="s">
        <v>532</v>
      </c>
      <c r="M3" s="270" t="s">
        <v>539</v>
      </c>
      <c r="N3" s="270" t="s">
        <v>534</v>
      </c>
    </row>
    <row r="4" spans="1:14" ht="42">
      <c r="A4" s="268" t="str">
        <f t="shared" si="0"/>
        <v>Achievement Drive|Officer|1</v>
      </c>
      <c r="B4" s="223" t="s">
        <v>495</v>
      </c>
      <c r="C4" s="197" t="s">
        <v>4</v>
      </c>
      <c r="D4" s="197">
        <v>1</v>
      </c>
      <c r="E4" s="79" t="s">
        <v>526</v>
      </c>
      <c r="F4" s="79">
        <v>3</v>
      </c>
      <c r="G4" s="269" t="s">
        <v>540</v>
      </c>
      <c r="H4" s="272" t="s">
        <v>541</v>
      </c>
      <c r="I4" s="270" t="s">
        <v>542</v>
      </c>
      <c r="J4" s="270" t="s">
        <v>543</v>
      </c>
      <c r="K4" s="271" t="s">
        <v>531</v>
      </c>
      <c r="L4" s="270" t="s">
        <v>532</v>
      </c>
      <c r="M4" s="270" t="s">
        <v>544</v>
      </c>
      <c r="N4" s="270" t="s">
        <v>534</v>
      </c>
    </row>
    <row r="5" spans="1:14" ht="42">
      <c r="A5" s="268" t="str">
        <f t="shared" si="0"/>
        <v>Achievement Drive|Officer|2</v>
      </c>
      <c r="B5" s="223" t="s">
        <v>495</v>
      </c>
      <c r="C5" s="197" t="s">
        <v>4</v>
      </c>
      <c r="D5" s="79">
        <v>2</v>
      </c>
      <c r="E5" s="79" t="s">
        <v>545</v>
      </c>
      <c r="F5" s="79">
        <v>1</v>
      </c>
      <c r="G5" s="269" t="s">
        <v>546</v>
      </c>
      <c r="H5" s="270" t="s">
        <v>547</v>
      </c>
      <c r="I5" s="270" t="s">
        <v>548</v>
      </c>
      <c r="J5" s="270" t="s">
        <v>549</v>
      </c>
      <c r="K5" s="271" t="s">
        <v>531</v>
      </c>
      <c r="L5" s="270" t="s">
        <v>532</v>
      </c>
      <c r="M5" s="270" t="s">
        <v>550</v>
      </c>
      <c r="N5" s="270" t="s">
        <v>551</v>
      </c>
    </row>
    <row r="6" spans="1:14" ht="42">
      <c r="A6" s="268" t="str">
        <f t="shared" si="0"/>
        <v>Achievement Drive|Officer|2</v>
      </c>
      <c r="B6" s="223" t="s">
        <v>495</v>
      </c>
      <c r="C6" s="197" t="s">
        <v>4</v>
      </c>
      <c r="D6" s="79">
        <v>2</v>
      </c>
      <c r="E6" s="79" t="s">
        <v>545</v>
      </c>
      <c r="F6" s="79">
        <v>2</v>
      </c>
      <c r="G6" s="269" t="s">
        <v>552</v>
      </c>
      <c r="H6" s="270" t="s">
        <v>553</v>
      </c>
      <c r="I6" s="270" t="s">
        <v>554</v>
      </c>
      <c r="J6" s="270" t="s">
        <v>555</v>
      </c>
      <c r="K6" s="271" t="s">
        <v>531</v>
      </c>
      <c r="L6" s="270" t="s">
        <v>532</v>
      </c>
      <c r="M6" s="270" t="s">
        <v>556</v>
      </c>
      <c r="N6" s="270" t="s">
        <v>534</v>
      </c>
    </row>
    <row r="7" spans="1:14" ht="56">
      <c r="A7" s="268" t="str">
        <f t="shared" si="0"/>
        <v>Achievement Drive|Officer|2</v>
      </c>
      <c r="B7" s="223" t="s">
        <v>495</v>
      </c>
      <c r="C7" s="197" t="s">
        <v>4</v>
      </c>
      <c r="D7" s="79">
        <v>2</v>
      </c>
      <c r="E7" s="79" t="s">
        <v>545</v>
      </c>
      <c r="F7" s="79">
        <v>3</v>
      </c>
      <c r="G7" s="269" t="s">
        <v>557</v>
      </c>
      <c r="H7" s="270" t="s">
        <v>558</v>
      </c>
      <c r="I7" s="270" t="s">
        <v>559</v>
      </c>
      <c r="J7" s="270" t="s">
        <v>560</v>
      </c>
      <c r="K7" s="271" t="s">
        <v>531</v>
      </c>
      <c r="L7" s="270" t="s">
        <v>532</v>
      </c>
      <c r="M7" s="270" t="s">
        <v>561</v>
      </c>
      <c r="N7" s="270" t="s">
        <v>562</v>
      </c>
    </row>
    <row r="8" spans="1:14" ht="42">
      <c r="A8" s="268" t="str">
        <f t="shared" si="0"/>
        <v>Achievement Drive|Officer|3</v>
      </c>
      <c r="B8" s="223" t="s">
        <v>495</v>
      </c>
      <c r="C8" s="197" t="s">
        <v>4</v>
      </c>
      <c r="D8" s="79">
        <v>3</v>
      </c>
      <c r="E8" s="79" t="s">
        <v>563</v>
      </c>
      <c r="F8" s="79">
        <v>1</v>
      </c>
      <c r="G8" s="269" t="s">
        <v>564</v>
      </c>
      <c r="H8" s="270" t="s">
        <v>565</v>
      </c>
      <c r="I8" s="270" t="s">
        <v>566</v>
      </c>
      <c r="J8" s="270" t="s">
        <v>567</v>
      </c>
      <c r="K8" s="271" t="s">
        <v>531</v>
      </c>
      <c r="L8" s="270" t="s">
        <v>532</v>
      </c>
      <c r="M8" s="270" t="s">
        <v>568</v>
      </c>
      <c r="N8" s="270" t="s">
        <v>569</v>
      </c>
    </row>
    <row r="9" spans="1:14" ht="42">
      <c r="A9" s="268" t="str">
        <f t="shared" si="0"/>
        <v>Achievement Drive|Officer|3</v>
      </c>
      <c r="B9" s="223" t="s">
        <v>495</v>
      </c>
      <c r="C9" s="197" t="s">
        <v>4</v>
      </c>
      <c r="D9" s="79">
        <v>3</v>
      </c>
      <c r="E9" s="79" t="s">
        <v>563</v>
      </c>
      <c r="F9" s="79">
        <v>2</v>
      </c>
      <c r="G9" s="269" t="s">
        <v>570</v>
      </c>
      <c r="H9" s="270" t="s">
        <v>571</v>
      </c>
      <c r="I9" s="270" t="s">
        <v>572</v>
      </c>
      <c r="J9" s="270" t="s">
        <v>573</v>
      </c>
      <c r="K9" s="271" t="s">
        <v>531</v>
      </c>
      <c r="L9" s="270" t="s">
        <v>532</v>
      </c>
      <c r="M9" s="270" t="s">
        <v>574</v>
      </c>
      <c r="N9" s="270" t="s">
        <v>562</v>
      </c>
    </row>
    <row r="10" spans="1:14" ht="58">
      <c r="A10" s="268" t="str">
        <f t="shared" si="0"/>
        <v>Achievement Drive|Officer|3</v>
      </c>
      <c r="B10" s="223" t="s">
        <v>495</v>
      </c>
      <c r="C10" s="197" t="s">
        <v>4</v>
      </c>
      <c r="D10" s="79">
        <v>3</v>
      </c>
      <c r="E10" s="79" t="s">
        <v>563</v>
      </c>
      <c r="F10" s="79">
        <v>3</v>
      </c>
      <c r="G10" s="269" t="s">
        <v>575</v>
      </c>
      <c r="H10" s="270" t="s">
        <v>576</v>
      </c>
      <c r="I10" s="273" t="s">
        <v>577</v>
      </c>
      <c r="J10" s="270" t="s">
        <v>578</v>
      </c>
      <c r="K10" s="271" t="s">
        <v>531</v>
      </c>
      <c r="L10" s="270" t="s">
        <v>532</v>
      </c>
      <c r="M10" s="270" t="s">
        <v>579</v>
      </c>
      <c r="N10" s="270" t="s">
        <v>580</v>
      </c>
    </row>
    <row r="11" spans="1:14" ht="42">
      <c r="A11" s="268" t="str">
        <f t="shared" si="0"/>
        <v>Achievement Drive|Officer|4</v>
      </c>
      <c r="B11" s="223" t="s">
        <v>495</v>
      </c>
      <c r="C11" s="197" t="s">
        <v>4</v>
      </c>
      <c r="D11" s="79">
        <v>4</v>
      </c>
      <c r="E11" s="79" t="s">
        <v>581</v>
      </c>
      <c r="F11" s="79">
        <v>1</v>
      </c>
      <c r="G11" s="269" t="s">
        <v>582</v>
      </c>
      <c r="H11" s="270" t="s">
        <v>583</v>
      </c>
      <c r="I11" s="270" t="s">
        <v>584</v>
      </c>
      <c r="J11" s="270" t="s">
        <v>585</v>
      </c>
      <c r="K11" s="271" t="s">
        <v>531</v>
      </c>
      <c r="L11" s="270" t="s">
        <v>532</v>
      </c>
      <c r="M11" s="270" t="s">
        <v>586</v>
      </c>
      <c r="N11" s="270" t="s">
        <v>562</v>
      </c>
    </row>
    <row r="12" spans="1:14" ht="42">
      <c r="A12" s="268" t="str">
        <f t="shared" si="0"/>
        <v>Achievement Drive|Officer|4</v>
      </c>
      <c r="B12" s="223" t="s">
        <v>495</v>
      </c>
      <c r="C12" s="197" t="s">
        <v>4</v>
      </c>
      <c r="D12" s="79">
        <v>4</v>
      </c>
      <c r="E12" s="79" t="s">
        <v>581</v>
      </c>
      <c r="F12" s="79">
        <v>2</v>
      </c>
      <c r="G12" s="269" t="s">
        <v>587</v>
      </c>
      <c r="H12" s="270" t="s">
        <v>588</v>
      </c>
      <c r="I12" s="270" t="s">
        <v>589</v>
      </c>
      <c r="J12" s="270" t="s">
        <v>590</v>
      </c>
      <c r="K12" s="271" t="s">
        <v>531</v>
      </c>
      <c r="L12" s="270" t="s">
        <v>532</v>
      </c>
      <c r="M12" s="270" t="s">
        <v>591</v>
      </c>
      <c r="N12" s="270" t="s">
        <v>562</v>
      </c>
    </row>
    <row r="13" spans="1:14" ht="42">
      <c r="A13" s="268" t="str">
        <f t="shared" si="0"/>
        <v>Achievement Drive|Officer|4</v>
      </c>
      <c r="B13" s="223" t="s">
        <v>495</v>
      </c>
      <c r="C13" s="197" t="s">
        <v>4</v>
      </c>
      <c r="D13" s="79">
        <v>4</v>
      </c>
      <c r="E13" s="79" t="s">
        <v>581</v>
      </c>
      <c r="F13" s="79">
        <v>3</v>
      </c>
      <c r="G13" s="269" t="s">
        <v>592</v>
      </c>
      <c r="H13" s="270" t="s">
        <v>593</v>
      </c>
      <c r="I13" s="270" t="s">
        <v>594</v>
      </c>
      <c r="J13" s="270" t="s">
        <v>595</v>
      </c>
      <c r="K13" s="271" t="s">
        <v>531</v>
      </c>
      <c r="L13" s="270" t="s">
        <v>532</v>
      </c>
      <c r="M13" s="270" t="s">
        <v>596</v>
      </c>
      <c r="N13" s="270" t="s">
        <v>597</v>
      </c>
    </row>
    <row r="14" spans="1:14" ht="70">
      <c r="A14" s="268" t="str">
        <f t="shared" si="0"/>
        <v>Achievement Drive|Analyst|1</v>
      </c>
      <c r="B14" s="223" t="s">
        <v>495</v>
      </c>
      <c r="C14" s="197" t="s">
        <v>6</v>
      </c>
      <c r="D14" s="197">
        <v>1</v>
      </c>
      <c r="E14" s="79" t="s">
        <v>526</v>
      </c>
      <c r="F14" s="79">
        <v>1</v>
      </c>
      <c r="G14" s="269" t="s">
        <v>598</v>
      </c>
      <c r="H14" s="269" t="s">
        <v>599</v>
      </c>
      <c r="I14" s="269" t="s">
        <v>600</v>
      </c>
      <c r="J14" s="269" t="s">
        <v>601</v>
      </c>
      <c r="K14" s="271" t="s">
        <v>531</v>
      </c>
      <c r="L14" s="269" t="s">
        <v>532</v>
      </c>
      <c r="M14" s="269" t="s">
        <v>602</v>
      </c>
      <c r="N14" s="269" t="s">
        <v>534</v>
      </c>
    </row>
    <row r="15" spans="1:14" ht="42">
      <c r="A15" s="268" t="str">
        <f t="shared" si="0"/>
        <v>Achievement Drive|Analyst|1</v>
      </c>
      <c r="B15" s="223" t="s">
        <v>495</v>
      </c>
      <c r="C15" s="197" t="s">
        <v>6</v>
      </c>
      <c r="D15" s="197">
        <v>1</v>
      </c>
      <c r="E15" s="79" t="s">
        <v>526</v>
      </c>
      <c r="F15" s="79">
        <v>2</v>
      </c>
      <c r="G15" s="269" t="s">
        <v>603</v>
      </c>
      <c r="H15" s="269" t="s">
        <v>604</v>
      </c>
      <c r="I15" s="269" t="s">
        <v>605</v>
      </c>
      <c r="J15" s="269" t="s">
        <v>606</v>
      </c>
      <c r="K15" s="271" t="s">
        <v>531</v>
      </c>
      <c r="L15" s="269" t="s">
        <v>532</v>
      </c>
      <c r="M15" s="269" t="s">
        <v>607</v>
      </c>
      <c r="N15" s="269" t="s">
        <v>534</v>
      </c>
    </row>
    <row r="16" spans="1:14" ht="42">
      <c r="A16" s="268" t="str">
        <f t="shared" si="0"/>
        <v>Achievement Drive|Analyst|1</v>
      </c>
      <c r="B16" s="223" t="s">
        <v>495</v>
      </c>
      <c r="C16" s="197" t="s">
        <v>6</v>
      </c>
      <c r="D16" s="197">
        <v>1</v>
      </c>
      <c r="E16" s="79" t="s">
        <v>526</v>
      </c>
      <c r="F16" s="79">
        <v>3</v>
      </c>
      <c r="G16" s="269" t="s">
        <v>608</v>
      </c>
      <c r="H16" s="274" t="s">
        <v>609</v>
      </c>
      <c r="I16" s="269" t="s">
        <v>610</v>
      </c>
      <c r="J16" s="269" t="s">
        <v>611</v>
      </c>
      <c r="K16" s="271" t="s">
        <v>531</v>
      </c>
      <c r="L16" s="269" t="s">
        <v>532</v>
      </c>
      <c r="M16" s="269" t="s">
        <v>612</v>
      </c>
      <c r="N16" s="269" t="s">
        <v>534</v>
      </c>
    </row>
    <row r="17" spans="1:14" ht="42">
      <c r="A17" s="268" t="str">
        <f t="shared" si="0"/>
        <v>Achievement Drive|Analyst|2</v>
      </c>
      <c r="B17" s="223" t="s">
        <v>495</v>
      </c>
      <c r="C17" s="197" t="s">
        <v>6</v>
      </c>
      <c r="D17" s="79">
        <v>2</v>
      </c>
      <c r="E17" s="79" t="s">
        <v>545</v>
      </c>
      <c r="F17" s="79">
        <v>1</v>
      </c>
      <c r="G17" s="269" t="s">
        <v>613</v>
      </c>
      <c r="H17" s="269" t="s">
        <v>614</v>
      </c>
      <c r="I17" s="269" t="s">
        <v>615</v>
      </c>
      <c r="J17" s="269" t="s">
        <v>616</v>
      </c>
      <c r="K17" s="271" t="s">
        <v>531</v>
      </c>
      <c r="L17" s="269" t="s">
        <v>532</v>
      </c>
      <c r="M17" s="269" t="s">
        <v>617</v>
      </c>
      <c r="N17" s="269" t="s">
        <v>551</v>
      </c>
    </row>
    <row r="18" spans="1:14" ht="56">
      <c r="A18" s="268" t="str">
        <f t="shared" si="0"/>
        <v>Achievement Drive|Analyst|2</v>
      </c>
      <c r="B18" s="223" t="s">
        <v>495</v>
      </c>
      <c r="C18" s="197" t="s">
        <v>6</v>
      </c>
      <c r="D18" s="79">
        <v>2</v>
      </c>
      <c r="E18" s="79" t="s">
        <v>545</v>
      </c>
      <c r="F18" s="79">
        <v>2</v>
      </c>
      <c r="G18" s="269" t="s">
        <v>618</v>
      </c>
      <c r="H18" s="269" t="s">
        <v>619</v>
      </c>
      <c r="I18" s="269" t="s">
        <v>620</v>
      </c>
      <c r="J18" s="269" t="s">
        <v>621</v>
      </c>
      <c r="K18" s="271" t="s">
        <v>531</v>
      </c>
      <c r="L18" s="269" t="s">
        <v>532</v>
      </c>
      <c r="M18" s="269" t="s">
        <v>622</v>
      </c>
      <c r="N18" s="269" t="s">
        <v>534</v>
      </c>
    </row>
    <row r="19" spans="1:14" ht="56">
      <c r="A19" s="268" t="str">
        <f t="shared" si="0"/>
        <v>Achievement Drive|Analyst|2</v>
      </c>
      <c r="B19" s="223" t="s">
        <v>495</v>
      </c>
      <c r="C19" s="197" t="s">
        <v>6</v>
      </c>
      <c r="D19" s="79">
        <v>2</v>
      </c>
      <c r="E19" s="79" t="s">
        <v>545</v>
      </c>
      <c r="F19" s="79">
        <v>3</v>
      </c>
      <c r="G19" s="269" t="s">
        <v>623</v>
      </c>
      <c r="H19" s="274" t="s">
        <v>624</v>
      </c>
      <c r="I19" s="269" t="s">
        <v>625</v>
      </c>
      <c r="J19" s="269" t="s">
        <v>626</v>
      </c>
      <c r="K19" s="271" t="s">
        <v>531</v>
      </c>
      <c r="L19" s="269" t="s">
        <v>532</v>
      </c>
      <c r="M19" s="269" t="s">
        <v>627</v>
      </c>
      <c r="N19" s="269" t="s">
        <v>534</v>
      </c>
    </row>
    <row r="20" spans="1:14" ht="56">
      <c r="A20" s="268" t="str">
        <f t="shared" si="0"/>
        <v>Achievement Drive|Analyst|3</v>
      </c>
      <c r="B20" s="223" t="s">
        <v>495</v>
      </c>
      <c r="C20" s="197" t="s">
        <v>6</v>
      </c>
      <c r="D20" s="79">
        <v>3</v>
      </c>
      <c r="E20" s="79" t="s">
        <v>563</v>
      </c>
      <c r="F20" s="79">
        <v>1</v>
      </c>
      <c r="G20" s="269" t="s">
        <v>628</v>
      </c>
      <c r="H20" s="269" t="s">
        <v>629</v>
      </c>
      <c r="I20" s="269" t="s">
        <v>630</v>
      </c>
      <c r="J20" s="269" t="s">
        <v>631</v>
      </c>
      <c r="K20" s="271" t="s">
        <v>531</v>
      </c>
      <c r="L20" s="269" t="s">
        <v>532</v>
      </c>
      <c r="M20" s="269" t="s">
        <v>632</v>
      </c>
      <c r="N20" s="269" t="s">
        <v>633</v>
      </c>
    </row>
    <row r="21" spans="1:14" ht="42">
      <c r="A21" s="268" t="str">
        <f t="shared" si="0"/>
        <v>Achievement Drive|Analyst|3</v>
      </c>
      <c r="B21" s="223" t="s">
        <v>495</v>
      </c>
      <c r="C21" s="197" t="s">
        <v>6</v>
      </c>
      <c r="D21" s="79">
        <v>3</v>
      </c>
      <c r="E21" s="79" t="s">
        <v>563</v>
      </c>
      <c r="F21" s="79">
        <v>2</v>
      </c>
      <c r="G21" s="269" t="s">
        <v>634</v>
      </c>
      <c r="H21" s="269" t="s">
        <v>635</v>
      </c>
      <c r="I21" s="269" t="s">
        <v>636</v>
      </c>
      <c r="J21" s="269" t="s">
        <v>637</v>
      </c>
      <c r="K21" s="271" t="s">
        <v>531</v>
      </c>
      <c r="L21" s="269" t="s">
        <v>532</v>
      </c>
      <c r="M21" s="269" t="s">
        <v>638</v>
      </c>
      <c r="N21" s="269" t="s">
        <v>562</v>
      </c>
    </row>
    <row r="22" spans="1:14" ht="56">
      <c r="A22" s="268" t="str">
        <f t="shared" si="0"/>
        <v>Achievement Drive|Analyst|3</v>
      </c>
      <c r="B22" s="223" t="s">
        <v>495</v>
      </c>
      <c r="C22" s="197" t="s">
        <v>6</v>
      </c>
      <c r="D22" s="79">
        <v>3</v>
      </c>
      <c r="E22" s="79" t="s">
        <v>563</v>
      </c>
      <c r="F22" s="79">
        <v>3</v>
      </c>
      <c r="G22" s="269" t="s">
        <v>639</v>
      </c>
      <c r="H22" s="269" t="s">
        <v>640</v>
      </c>
      <c r="I22" s="269" t="s">
        <v>641</v>
      </c>
      <c r="J22" s="269" t="s">
        <v>578</v>
      </c>
      <c r="K22" s="271" t="s">
        <v>531</v>
      </c>
      <c r="L22" s="269" t="s">
        <v>532</v>
      </c>
      <c r="M22" s="269" t="s">
        <v>642</v>
      </c>
      <c r="N22" s="269" t="s">
        <v>580</v>
      </c>
    </row>
    <row r="23" spans="1:14" ht="56">
      <c r="A23" s="268" t="str">
        <f t="shared" si="0"/>
        <v>Achievement Drive|Analyst|4</v>
      </c>
      <c r="B23" s="223" t="s">
        <v>495</v>
      </c>
      <c r="C23" s="197" t="s">
        <v>6</v>
      </c>
      <c r="D23" s="79">
        <v>4</v>
      </c>
      <c r="E23" s="79" t="s">
        <v>581</v>
      </c>
      <c r="F23" s="79">
        <v>1</v>
      </c>
      <c r="G23" s="275" t="s">
        <v>643</v>
      </c>
      <c r="H23" s="269" t="s">
        <v>644</v>
      </c>
      <c r="I23" s="269" t="s">
        <v>645</v>
      </c>
      <c r="J23" s="269" t="s">
        <v>646</v>
      </c>
      <c r="K23" s="271" t="s">
        <v>531</v>
      </c>
      <c r="L23" s="269" t="s">
        <v>532</v>
      </c>
      <c r="M23" s="269" t="s">
        <v>647</v>
      </c>
      <c r="N23" s="269" t="s">
        <v>562</v>
      </c>
    </row>
    <row r="24" spans="1:14" ht="42">
      <c r="A24" s="268" t="str">
        <f t="shared" si="0"/>
        <v>Achievement Drive|Analyst|4</v>
      </c>
      <c r="B24" s="223" t="s">
        <v>495</v>
      </c>
      <c r="C24" s="197" t="s">
        <v>6</v>
      </c>
      <c r="D24" s="79">
        <v>4</v>
      </c>
      <c r="E24" s="79" t="s">
        <v>581</v>
      </c>
      <c r="F24" s="79">
        <v>2</v>
      </c>
      <c r="G24" s="275" t="s">
        <v>648</v>
      </c>
      <c r="H24" s="269" t="s">
        <v>649</v>
      </c>
      <c r="I24" s="269" t="s">
        <v>650</v>
      </c>
      <c r="J24" s="269" t="s">
        <v>651</v>
      </c>
      <c r="K24" s="271" t="s">
        <v>531</v>
      </c>
      <c r="L24" s="269" t="s">
        <v>532</v>
      </c>
      <c r="M24" s="269" t="s">
        <v>652</v>
      </c>
      <c r="N24" s="269" t="s">
        <v>562</v>
      </c>
    </row>
    <row r="25" spans="1:14" ht="28">
      <c r="A25" s="268" t="str">
        <f t="shared" si="0"/>
        <v>Achievement Drive|Analyst|4</v>
      </c>
      <c r="B25" s="223" t="s">
        <v>495</v>
      </c>
      <c r="C25" s="197" t="s">
        <v>6</v>
      </c>
      <c r="D25" s="79">
        <v>4</v>
      </c>
      <c r="E25" s="79" t="s">
        <v>581</v>
      </c>
      <c r="F25" s="79">
        <v>3</v>
      </c>
      <c r="G25" s="275" t="s">
        <v>653</v>
      </c>
      <c r="H25" s="269" t="s">
        <v>654</v>
      </c>
      <c r="I25" s="269" t="s">
        <v>655</v>
      </c>
      <c r="J25" s="269" t="s">
        <v>656</v>
      </c>
      <c r="K25" s="271" t="s">
        <v>531</v>
      </c>
      <c r="L25" s="269" t="s">
        <v>532</v>
      </c>
      <c r="M25" s="269" t="s">
        <v>657</v>
      </c>
      <c r="N25" s="269" t="s">
        <v>597</v>
      </c>
    </row>
    <row r="26" spans="1:14" ht="56">
      <c r="A26" s="268" t="str">
        <f t="shared" si="0"/>
        <v>Achievement Drive|Unit Head/Specialist|1</v>
      </c>
      <c r="B26" s="223" t="s">
        <v>495</v>
      </c>
      <c r="C26" s="79" t="s">
        <v>13</v>
      </c>
      <c r="D26" s="197">
        <v>1</v>
      </c>
      <c r="E26" s="79" t="s">
        <v>526</v>
      </c>
      <c r="F26" s="79">
        <v>1</v>
      </c>
      <c r="G26" s="269" t="s">
        <v>658</v>
      </c>
      <c r="H26" s="269" t="s">
        <v>659</v>
      </c>
      <c r="I26" s="269" t="s">
        <v>660</v>
      </c>
      <c r="J26" s="269" t="s">
        <v>661</v>
      </c>
      <c r="K26" s="271" t="s">
        <v>531</v>
      </c>
      <c r="L26" s="269" t="s">
        <v>532</v>
      </c>
      <c r="M26" s="269" t="s">
        <v>662</v>
      </c>
      <c r="N26" s="269" t="s">
        <v>534</v>
      </c>
    </row>
    <row r="27" spans="1:14" ht="28">
      <c r="A27" s="268" t="str">
        <f t="shared" si="0"/>
        <v>Achievement Drive|Unit Head/Specialist|1</v>
      </c>
      <c r="B27" s="223" t="s">
        <v>495</v>
      </c>
      <c r="C27" s="79" t="s">
        <v>13</v>
      </c>
      <c r="D27" s="197">
        <v>1</v>
      </c>
      <c r="E27" s="79" t="s">
        <v>526</v>
      </c>
      <c r="F27" s="79">
        <v>2</v>
      </c>
      <c r="G27" s="269" t="s">
        <v>663</v>
      </c>
      <c r="H27" s="269" t="s">
        <v>664</v>
      </c>
      <c r="I27" s="269" t="s">
        <v>665</v>
      </c>
      <c r="J27" s="269" t="s">
        <v>606</v>
      </c>
      <c r="K27" s="271" t="s">
        <v>531</v>
      </c>
      <c r="L27" s="269" t="s">
        <v>532</v>
      </c>
      <c r="M27" s="269" t="s">
        <v>666</v>
      </c>
      <c r="N27" s="269" t="s">
        <v>534</v>
      </c>
    </row>
    <row r="28" spans="1:14" ht="42">
      <c r="A28" s="268" t="str">
        <f t="shared" si="0"/>
        <v>Achievement Drive|Unit Head/Specialist|1</v>
      </c>
      <c r="B28" s="223" t="s">
        <v>495</v>
      </c>
      <c r="C28" s="79" t="s">
        <v>13</v>
      </c>
      <c r="D28" s="197">
        <v>1</v>
      </c>
      <c r="E28" s="79" t="s">
        <v>526</v>
      </c>
      <c r="F28" s="79">
        <v>3</v>
      </c>
      <c r="G28" s="269" t="s">
        <v>667</v>
      </c>
      <c r="H28" s="274" t="s">
        <v>668</v>
      </c>
      <c r="I28" s="269" t="s">
        <v>669</v>
      </c>
      <c r="J28" s="269" t="s">
        <v>670</v>
      </c>
      <c r="K28" s="271" t="s">
        <v>531</v>
      </c>
      <c r="L28" s="269" t="s">
        <v>532</v>
      </c>
      <c r="M28" s="269" t="s">
        <v>671</v>
      </c>
      <c r="N28" s="269" t="s">
        <v>562</v>
      </c>
    </row>
    <row r="29" spans="1:14" ht="28">
      <c r="A29" s="268" t="str">
        <f t="shared" si="0"/>
        <v>Achievement Drive|Unit Head/Specialist|2</v>
      </c>
      <c r="B29" s="223" t="s">
        <v>495</v>
      </c>
      <c r="C29" s="79" t="s">
        <v>13</v>
      </c>
      <c r="D29" s="79">
        <v>2</v>
      </c>
      <c r="E29" s="79" t="s">
        <v>545</v>
      </c>
      <c r="F29" s="79">
        <v>1</v>
      </c>
      <c r="G29" s="269" t="s">
        <v>672</v>
      </c>
      <c r="H29" s="269" t="s">
        <v>673</v>
      </c>
      <c r="I29" s="269" t="s">
        <v>674</v>
      </c>
      <c r="J29" s="269" t="s">
        <v>675</v>
      </c>
      <c r="K29" s="271" t="s">
        <v>531</v>
      </c>
      <c r="L29" s="269" t="s">
        <v>532</v>
      </c>
      <c r="M29" s="269" t="s">
        <v>676</v>
      </c>
      <c r="N29" s="269" t="s">
        <v>677</v>
      </c>
    </row>
    <row r="30" spans="1:14" ht="42">
      <c r="A30" s="268" t="str">
        <f t="shared" si="0"/>
        <v>Achievement Drive|Unit Head/Specialist|2</v>
      </c>
      <c r="B30" s="223" t="s">
        <v>495</v>
      </c>
      <c r="C30" s="79" t="s">
        <v>13</v>
      </c>
      <c r="D30" s="79">
        <v>2</v>
      </c>
      <c r="E30" s="79" t="s">
        <v>545</v>
      </c>
      <c r="F30" s="79">
        <v>2</v>
      </c>
      <c r="G30" s="269" t="s">
        <v>678</v>
      </c>
      <c r="H30" s="269" t="s">
        <v>679</v>
      </c>
      <c r="I30" s="269" t="s">
        <v>680</v>
      </c>
      <c r="J30" s="269" t="s">
        <v>681</v>
      </c>
      <c r="K30" s="271" t="s">
        <v>531</v>
      </c>
      <c r="L30" s="269" t="s">
        <v>532</v>
      </c>
      <c r="M30" s="269" t="s">
        <v>682</v>
      </c>
      <c r="N30" s="269" t="s">
        <v>562</v>
      </c>
    </row>
    <row r="31" spans="1:14" ht="28">
      <c r="A31" s="268" t="str">
        <f t="shared" si="0"/>
        <v>Achievement Drive|Unit Head/Specialist|2</v>
      </c>
      <c r="B31" s="223" t="s">
        <v>495</v>
      </c>
      <c r="C31" s="79" t="s">
        <v>13</v>
      </c>
      <c r="D31" s="79">
        <v>2</v>
      </c>
      <c r="E31" s="79" t="s">
        <v>545</v>
      </c>
      <c r="F31" s="79">
        <v>3</v>
      </c>
      <c r="G31" s="269" t="s">
        <v>683</v>
      </c>
      <c r="H31" s="269" t="s">
        <v>684</v>
      </c>
      <c r="I31" s="269" t="s">
        <v>685</v>
      </c>
      <c r="J31" s="269" t="s">
        <v>686</v>
      </c>
      <c r="K31" s="271" t="s">
        <v>531</v>
      </c>
      <c r="L31" s="269" t="s">
        <v>532</v>
      </c>
      <c r="M31" s="269" t="s">
        <v>687</v>
      </c>
      <c r="N31" s="269" t="s">
        <v>534</v>
      </c>
    </row>
    <row r="32" spans="1:14" ht="42">
      <c r="A32" s="268" t="str">
        <f t="shared" si="0"/>
        <v>Achievement Drive|Unit Head/Specialist|3</v>
      </c>
      <c r="B32" s="223" t="s">
        <v>495</v>
      </c>
      <c r="C32" s="79" t="s">
        <v>13</v>
      </c>
      <c r="D32" s="79">
        <v>3</v>
      </c>
      <c r="E32" s="79" t="s">
        <v>563</v>
      </c>
      <c r="F32" s="79">
        <v>1</v>
      </c>
      <c r="G32" s="269" t="s">
        <v>688</v>
      </c>
      <c r="H32" s="269" t="s">
        <v>689</v>
      </c>
      <c r="I32" s="269" t="s">
        <v>690</v>
      </c>
      <c r="J32" s="269" t="s">
        <v>691</v>
      </c>
      <c r="K32" s="271" t="s">
        <v>531</v>
      </c>
      <c r="L32" s="269" t="s">
        <v>532</v>
      </c>
      <c r="M32" s="269" t="s">
        <v>692</v>
      </c>
      <c r="N32" s="269" t="s">
        <v>562</v>
      </c>
    </row>
    <row r="33" spans="1:14" ht="42">
      <c r="A33" s="268" t="str">
        <f t="shared" si="0"/>
        <v>Achievement Drive|Unit Head/Specialist|3</v>
      </c>
      <c r="B33" s="223" t="s">
        <v>495</v>
      </c>
      <c r="C33" s="79" t="s">
        <v>13</v>
      </c>
      <c r="D33" s="79">
        <v>3</v>
      </c>
      <c r="E33" s="79" t="s">
        <v>563</v>
      </c>
      <c r="F33" s="79">
        <v>2</v>
      </c>
      <c r="G33" s="269" t="s">
        <v>693</v>
      </c>
      <c r="H33" s="269" t="s">
        <v>694</v>
      </c>
      <c r="I33" s="269" t="s">
        <v>695</v>
      </c>
      <c r="J33" s="269" t="s">
        <v>696</v>
      </c>
      <c r="K33" s="271" t="s">
        <v>531</v>
      </c>
      <c r="L33" s="269" t="s">
        <v>532</v>
      </c>
      <c r="M33" s="269" t="s">
        <v>697</v>
      </c>
      <c r="N33" s="269" t="s">
        <v>698</v>
      </c>
    </row>
    <row r="34" spans="1:14" ht="56">
      <c r="A34" s="268" t="str">
        <f t="shared" si="0"/>
        <v>Achievement Drive|Unit Head/Specialist|3</v>
      </c>
      <c r="B34" s="223" t="s">
        <v>495</v>
      </c>
      <c r="C34" s="79" t="s">
        <v>13</v>
      </c>
      <c r="D34" s="79">
        <v>3</v>
      </c>
      <c r="E34" s="79" t="s">
        <v>563</v>
      </c>
      <c r="F34" s="79">
        <v>3</v>
      </c>
      <c r="G34" s="269" t="s">
        <v>699</v>
      </c>
      <c r="H34" s="269" t="s">
        <v>700</v>
      </c>
      <c r="I34" s="269" t="s">
        <v>701</v>
      </c>
      <c r="J34" s="269" t="s">
        <v>578</v>
      </c>
      <c r="K34" s="271" t="s">
        <v>531</v>
      </c>
      <c r="L34" s="269" t="s">
        <v>532</v>
      </c>
      <c r="M34" s="269" t="s">
        <v>702</v>
      </c>
      <c r="N34" s="269" t="s">
        <v>580</v>
      </c>
    </row>
    <row r="35" spans="1:14" ht="42">
      <c r="A35" s="268" t="str">
        <f t="shared" si="0"/>
        <v>Achievement Drive|Unit Head/Specialist|4</v>
      </c>
      <c r="B35" s="223" t="s">
        <v>495</v>
      </c>
      <c r="C35" s="79" t="s">
        <v>13</v>
      </c>
      <c r="D35" s="79">
        <v>4</v>
      </c>
      <c r="E35" s="79" t="s">
        <v>581</v>
      </c>
      <c r="F35" s="79">
        <v>1</v>
      </c>
      <c r="G35" s="269" t="s">
        <v>703</v>
      </c>
      <c r="H35" s="269" t="s">
        <v>704</v>
      </c>
      <c r="I35" s="269" t="s">
        <v>705</v>
      </c>
      <c r="J35" s="269" t="s">
        <v>706</v>
      </c>
      <c r="K35" s="271" t="s">
        <v>531</v>
      </c>
      <c r="L35" s="269" t="s">
        <v>532</v>
      </c>
      <c r="M35" s="269" t="s">
        <v>707</v>
      </c>
      <c r="N35" s="269" t="s">
        <v>562</v>
      </c>
    </row>
    <row r="36" spans="1:14" ht="42">
      <c r="A36" s="268" t="str">
        <f t="shared" si="0"/>
        <v>Achievement Drive|Unit Head/Specialist|4</v>
      </c>
      <c r="B36" s="223" t="s">
        <v>495</v>
      </c>
      <c r="C36" s="79" t="s">
        <v>13</v>
      </c>
      <c r="D36" s="79">
        <v>4</v>
      </c>
      <c r="E36" s="79" t="s">
        <v>581</v>
      </c>
      <c r="F36" s="79">
        <v>2</v>
      </c>
      <c r="G36" s="269" t="s">
        <v>708</v>
      </c>
      <c r="H36" s="269" t="s">
        <v>709</v>
      </c>
      <c r="I36" s="269" t="s">
        <v>710</v>
      </c>
      <c r="J36" s="269" t="s">
        <v>711</v>
      </c>
      <c r="K36" s="271" t="s">
        <v>531</v>
      </c>
      <c r="L36" s="269" t="s">
        <v>532</v>
      </c>
      <c r="M36" s="269" t="s">
        <v>712</v>
      </c>
      <c r="N36" s="269" t="s">
        <v>713</v>
      </c>
    </row>
    <row r="37" spans="1:14" ht="42">
      <c r="A37" s="268" t="str">
        <f t="shared" si="0"/>
        <v>Achievement Drive|Unit Head/Specialist|4</v>
      </c>
      <c r="B37" s="223" t="s">
        <v>495</v>
      </c>
      <c r="C37" s="79" t="s">
        <v>13</v>
      </c>
      <c r="D37" s="79">
        <v>4</v>
      </c>
      <c r="E37" s="79" t="s">
        <v>581</v>
      </c>
      <c r="F37" s="79">
        <v>3</v>
      </c>
      <c r="G37" s="269" t="s">
        <v>714</v>
      </c>
      <c r="H37" s="269" t="s">
        <v>715</v>
      </c>
      <c r="I37" s="269" t="s">
        <v>716</v>
      </c>
      <c r="J37" s="269" t="s">
        <v>717</v>
      </c>
      <c r="K37" s="271" t="s">
        <v>531</v>
      </c>
      <c r="L37" s="269" t="s">
        <v>532</v>
      </c>
      <c r="M37" s="269" t="s">
        <v>718</v>
      </c>
      <c r="N37" s="269" t="s">
        <v>713</v>
      </c>
    </row>
    <row r="38" spans="1:14" ht="56">
      <c r="A38" s="268" t="str">
        <f t="shared" si="0"/>
        <v>Achievement Drive|Department Head|1</v>
      </c>
      <c r="B38" s="223" t="s">
        <v>495</v>
      </c>
      <c r="C38" s="79" t="s">
        <v>719</v>
      </c>
      <c r="D38" s="197">
        <v>1</v>
      </c>
      <c r="E38" s="79" t="s">
        <v>526</v>
      </c>
      <c r="F38" s="79">
        <v>1</v>
      </c>
      <c r="G38" s="269" t="s">
        <v>720</v>
      </c>
      <c r="H38" s="269" t="s">
        <v>721</v>
      </c>
      <c r="I38" s="269" t="s">
        <v>722</v>
      </c>
      <c r="J38" s="269" t="s">
        <v>723</v>
      </c>
      <c r="K38" s="271" t="s">
        <v>531</v>
      </c>
      <c r="L38" s="269" t="s">
        <v>532</v>
      </c>
      <c r="M38" s="269" t="s">
        <v>724</v>
      </c>
      <c r="N38" s="269" t="s">
        <v>534</v>
      </c>
    </row>
    <row r="39" spans="1:14" ht="42">
      <c r="A39" s="268" t="str">
        <f t="shared" si="0"/>
        <v>Achievement Drive|Department Head|1</v>
      </c>
      <c r="B39" s="223" t="s">
        <v>495</v>
      </c>
      <c r="C39" s="79" t="s">
        <v>719</v>
      </c>
      <c r="D39" s="197">
        <v>1</v>
      </c>
      <c r="E39" s="79" t="s">
        <v>526</v>
      </c>
      <c r="F39" s="79">
        <v>2</v>
      </c>
      <c r="G39" s="269" t="s">
        <v>725</v>
      </c>
      <c r="H39" s="269" t="s">
        <v>726</v>
      </c>
      <c r="I39" s="269" t="s">
        <v>727</v>
      </c>
      <c r="J39" s="269" t="s">
        <v>728</v>
      </c>
      <c r="K39" s="271" t="s">
        <v>531</v>
      </c>
      <c r="L39" s="269" t="s">
        <v>532</v>
      </c>
      <c r="M39" s="269" t="s">
        <v>729</v>
      </c>
      <c r="N39" s="269" t="s">
        <v>534</v>
      </c>
    </row>
    <row r="40" spans="1:14" ht="42">
      <c r="A40" s="268" t="str">
        <f t="shared" si="0"/>
        <v>Achievement Drive|Department Head|1</v>
      </c>
      <c r="B40" s="223" t="s">
        <v>495</v>
      </c>
      <c r="C40" s="79" t="s">
        <v>719</v>
      </c>
      <c r="D40" s="197">
        <v>1</v>
      </c>
      <c r="E40" s="79" t="s">
        <v>526</v>
      </c>
      <c r="F40" s="79">
        <v>3</v>
      </c>
      <c r="G40" s="269" t="s">
        <v>730</v>
      </c>
      <c r="H40" s="274" t="s">
        <v>731</v>
      </c>
      <c r="I40" s="269" t="s">
        <v>732</v>
      </c>
      <c r="J40" s="269" t="s">
        <v>611</v>
      </c>
      <c r="K40" s="271" t="s">
        <v>531</v>
      </c>
      <c r="L40" s="269" t="s">
        <v>532</v>
      </c>
      <c r="M40" s="269" t="s">
        <v>733</v>
      </c>
      <c r="N40" s="269" t="s">
        <v>534</v>
      </c>
    </row>
    <row r="41" spans="1:14" ht="42">
      <c r="A41" s="268" t="str">
        <f t="shared" si="0"/>
        <v>Achievement Drive|Department Head|2</v>
      </c>
      <c r="B41" s="223" t="s">
        <v>495</v>
      </c>
      <c r="C41" s="79" t="s">
        <v>719</v>
      </c>
      <c r="D41" s="79">
        <v>2</v>
      </c>
      <c r="E41" s="79" t="s">
        <v>545</v>
      </c>
      <c r="F41" s="79">
        <v>1</v>
      </c>
      <c r="G41" s="269" t="s">
        <v>734</v>
      </c>
      <c r="H41" s="269" t="s">
        <v>735</v>
      </c>
      <c r="I41" s="269" t="s">
        <v>736</v>
      </c>
      <c r="J41" s="269" t="s">
        <v>737</v>
      </c>
      <c r="K41" s="271" t="s">
        <v>531</v>
      </c>
      <c r="L41" s="269" t="s">
        <v>532</v>
      </c>
      <c r="M41" s="269" t="s">
        <v>738</v>
      </c>
      <c r="N41" s="269" t="s">
        <v>551</v>
      </c>
    </row>
    <row r="42" spans="1:14" ht="42">
      <c r="A42" s="268" t="str">
        <f t="shared" si="0"/>
        <v>Achievement Drive|Department Head|2</v>
      </c>
      <c r="B42" s="223" t="s">
        <v>495</v>
      </c>
      <c r="C42" s="79" t="s">
        <v>719</v>
      </c>
      <c r="D42" s="79">
        <v>2</v>
      </c>
      <c r="E42" s="79" t="s">
        <v>545</v>
      </c>
      <c r="F42" s="79">
        <v>2</v>
      </c>
      <c r="G42" s="269" t="s">
        <v>739</v>
      </c>
      <c r="H42" s="269" t="s">
        <v>740</v>
      </c>
      <c r="I42" s="269" t="s">
        <v>741</v>
      </c>
      <c r="J42" s="269" t="s">
        <v>742</v>
      </c>
      <c r="K42" s="271" t="s">
        <v>531</v>
      </c>
      <c r="L42" s="269" t="s">
        <v>532</v>
      </c>
      <c r="M42" s="269" t="s">
        <v>743</v>
      </c>
      <c r="N42" s="269" t="s">
        <v>562</v>
      </c>
    </row>
    <row r="43" spans="1:14" ht="42">
      <c r="A43" s="268" t="str">
        <f t="shared" si="0"/>
        <v>Achievement Drive|Department Head|2</v>
      </c>
      <c r="B43" s="223" t="s">
        <v>495</v>
      </c>
      <c r="C43" s="79" t="s">
        <v>719</v>
      </c>
      <c r="D43" s="79">
        <v>2</v>
      </c>
      <c r="E43" s="79" t="s">
        <v>545</v>
      </c>
      <c r="F43" s="79">
        <v>3</v>
      </c>
      <c r="G43" s="269" t="s">
        <v>744</v>
      </c>
      <c r="H43" s="269" t="s">
        <v>745</v>
      </c>
      <c r="I43" s="269" t="s">
        <v>746</v>
      </c>
      <c r="J43" s="269" t="s">
        <v>747</v>
      </c>
      <c r="K43" s="271" t="s">
        <v>531</v>
      </c>
      <c r="L43" s="269" t="s">
        <v>532</v>
      </c>
      <c r="M43" s="269" t="s">
        <v>748</v>
      </c>
      <c r="N43" s="269" t="s">
        <v>562</v>
      </c>
    </row>
    <row r="44" spans="1:14" ht="56">
      <c r="A44" s="268" t="str">
        <f t="shared" si="0"/>
        <v>Achievement Drive|Department Head|3</v>
      </c>
      <c r="B44" s="223" t="s">
        <v>495</v>
      </c>
      <c r="C44" s="79" t="s">
        <v>719</v>
      </c>
      <c r="D44" s="79">
        <v>3</v>
      </c>
      <c r="E44" s="79" t="s">
        <v>563</v>
      </c>
      <c r="F44" s="79">
        <v>1</v>
      </c>
      <c r="G44" s="269" t="s">
        <v>749</v>
      </c>
      <c r="H44" s="269" t="s">
        <v>750</v>
      </c>
      <c r="I44" s="269" t="s">
        <v>751</v>
      </c>
      <c r="J44" s="269" t="s">
        <v>752</v>
      </c>
      <c r="K44" s="271" t="s">
        <v>531</v>
      </c>
      <c r="L44" s="269" t="s">
        <v>532</v>
      </c>
      <c r="M44" s="269" t="s">
        <v>753</v>
      </c>
      <c r="N44" s="269" t="s">
        <v>534</v>
      </c>
    </row>
    <row r="45" spans="1:14" ht="42">
      <c r="A45" s="268" t="str">
        <f t="shared" si="0"/>
        <v>Achievement Drive|Department Head|3</v>
      </c>
      <c r="B45" s="223" t="s">
        <v>495</v>
      </c>
      <c r="C45" s="79" t="s">
        <v>719</v>
      </c>
      <c r="D45" s="79">
        <v>3</v>
      </c>
      <c r="E45" s="79" t="s">
        <v>563</v>
      </c>
      <c r="F45" s="79">
        <v>2</v>
      </c>
      <c r="G45" s="269" t="s">
        <v>754</v>
      </c>
      <c r="H45" s="269" t="s">
        <v>755</v>
      </c>
      <c r="I45" s="269" t="s">
        <v>756</v>
      </c>
      <c r="J45" s="269" t="s">
        <v>757</v>
      </c>
      <c r="K45" s="271" t="s">
        <v>531</v>
      </c>
      <c r="L45" s="269" t="s">
        <v>532</v>
      </c>
      <c r="M45" s="269" t="s">
        <v>758</v>
      </c>
      <c r="N45" s="269" t="s">
        <v>562</v>
      </c>
    </row>
    <row r="46" spans="1:14" ht="56">
      <c r="A46" s="268" t="str">
        <f t="shared" si="0"/>
        <v>Achievement Drive|Department Head|3</v>
      </c>
      <c r="B46" s="223" t="s">
        <v>495</v>
      </c>
      <c r="C46" s="79" t="s">
        <v>719</v>
      </c>
      <c r="D46" s="79">
        <v>3</v>
      </c>
      <c r="E46" s="79" t="s">
        <v>563</v>
      </c>
      <c r="F46" s="79">
        <v>3</v>
      </c>
      <c r="G46" s="269" t="s">
        <v>759</v>
      </c>
      <c r="H46" s="269" t="s">
        <v>760</v>
      </c>
      <c r="I46" s="269" t="s">
        <v>761</v>
      </c>
      <c r="J46" s="269" t="s">
        <v>578</v>
      </c>
      <c r="K46" s="271" t="s">
        <v>531</v>
      </c>
      <c r="L46" s="269" t="s">
        <v>532</v>
      </c>
      <c r="M46" s="269" t="s">
        <v>762</v>
      </c>
      <c r="N46" s="269" t="s">
        <v>580</v>
      </c>
    </row>
    <row r="47" spans="1:14" ht="42">
      <c r="A47" s="268" t="str">
        <f t="shared" si="0"/>
        <v>Achievement Drive|Department Head|4</v>
      </c>
      <c r="B47" s="223" t="s">
        <v>495</v>
      </c>
      <c r="C47" s="79" t="s">
        <v>719</v>
      </c>
      <c r="D47" s="79">
        <v>4</v>
      </c>
      <c r="E47" s="79" t="s">
        <v>581</v>
      </c>
      <c r="F47" s="79">
        <v>1</v>
      </c>
      <c r="G47" s="275" t="s">
        <v>763</v>
      </c>
      <c r="H47" s="269" t="s">
        <v>764</v>
      </c>
      <c r="I47" s="269" t="s">
        <v>765</v>
      </c>
      <c r="J47" s="269" t="s">
        <v>766</v>
      </c>
      <c r="K47" s="271" t="s">
        <v>531</v>
      </c>
      <c r="L47" s="269" t="s">
        <v>532</v>
      </c>
      <c r="M47" s="269" t="s">
        <v>767</v>
      </c>
      <c r="N47" s="269" t="s">
        <v>562</v>
      </c>
    </row>
    <row r="48" spans="1:14" ht="42">
      <c r="A48" s="268" t="str">
        <f t="shared" si="0"/>
        <v>Achievement Drive|Department Head|4</v>
      </c>
      <c r="B48" s="223" t="s">
        <v>495</v>
      </c>
      <c r="C48" s="79" t="s">
        <v>719</v>
      </c>
      <c r="D48" s="79">
        <v>4</v>
      </c>
      <c r="E48" s="79" t="s">
        <v>581</v>
      </c>
      <c r="F48" s="79">
        <v>2</v>
      </c>
      <c r="G48" s="275" t="s">
        <v>768</v>
      </c>
      <c r="H48" s="269" t="s">
        <v>769</v>
      </c>
      <c r="I48" s="269" t="s">
        <v>770</v>
      </c>
      <c r="J48" s="269" t="s">
        <v>771</v>
      </c>
      <c r="K48" s="271" t="s">
        <v>531</v>
      </c>
      <c r="L48" s="269" t="s">
        <v>532</v>
      </c>
      <c r="M48" s="269" t="s">
        <v>772</v>
      </c>
      <c r="N48" s="269" t="s">
        <v>562</v>
      </c>
    </row>
    <row r="49" spans="1:14" ht="42">
      <c r="A49" s="268" t="str">
        <f t="shared" si="0"/>
        <v>Achievement Drive|Department Head|4</v>
      </c>
      <c r="B49" s="223" t="s">
        <v>495</v>
      </c>
      <c r="C49" s="79" t="s">
        <v>719</v>
      </c>
      <c r="D49" s="79">
        <v>4</v>
      </c>
      <c r="E49" s="79" t="s">
        <v>581</v>
      </c>
      <c r="F49" s="79">
        <v>3</v>
      </c>
      <c r="G49" s="275" t="s">
        <v>773</v>
      </c>
      <c r="H49" s="269" t="s">
        <v>774</v>
      </c>
      <c r="I49" s="269" t="s">
        <v>775</v>
      </c>
      <c r="J49" s="269" t="s">
        <v>776</v>
      </c>
      <c r="K49" s="271" t="s">
        <v>531</v>
      </c>
      <c r="L49" s="269" t="s">
        <v>532</v>
      </c>
      <c r="M49" s="269" t="s">
        <v>777</v>
      </c>
      <c r="N49" s="269" t="s">
        <v>713</v>
      </c>
    </row>
    <row r="50" spans="1:14" ht="56">
      <c r="A50" s="268" t="str">
        <f t="shared" si="0"/>
        <v>Achievement Drive|Division Head|1</v>
      </c>
      <c r="B50" s="223" t="s">
        <v>495</v>
      </c>
      <c r="C50" s="79" t="s">
        <v>778</v>
      </c>
      <c r="D50" s="197">
        <v>1</v>
      </c>
      <c r="E50" s="79" t="s">
        <v>526</v>
      </c>
      <c r="F50" s="79">
        <v>1</v>
      </c>
      <c r="G50" s="269" t="s">
        <v>779</v>
      </c>
      <c r="H50" s="269" t="s">
        <v>780</v>
      </c>
      <c r="I50" s="269" t="s">
        <v>781</v>
      </c>
      <c r="J50" s="269" t="s">
        <v>782</v>
      </c>
      <c r="K50" s="271" t="s">
        <v>531</v>
      </c>
      <c r="L50" s="269" t="s">
        <v>532</v>
      </c>
      <c r="M50" s="269" t="s">
        <v>783</v>
      </c>
      <c r="N50" s="269" t="s">
        <v>534</v>
      </c>
    </row>
    <row r="51" spans="1:14" ht="42">
      <c r="A51" s="268" t="str">
        <f t="shared" si="0"/>
        <v>Achievement Drive|Division Head|1</v>
      </c>
      <c r="B51" s="223" t="s">
        <v>495</v>
      </c>
      <c r="C51" s="79" t="s">
        <v>778</v>
      </c>
      <c r="D51" s="197">
        <v>1</v>
      </c>
      <c r="E51" s="79" t="s">
        <v>526</v>
      </c>
      <c r="F51" s="79">
        <v>2</v>
      </c>
      <c r="G51" s="269" t="s">
        <v>784</v>
      </c>
      <c r="H51" s="269" t="s">
        <v>785</v>
      </c>
      <c r="I51" s="269" t="s">
        <v>786</v>
      </c>
      <c r="J51" s="269" t="s">
        <v>787</v>
      </c>
      <c r="K51" s="271" t="s">
        <v>531</v>
      </c>
      <c r="L51" s="269" t="s">
        <v>532</v>
      </c>
      <c r="M51" s="269" t="s">
        <v>788</v>
      </c>
      <c r="N51" s="269" t="s">
        <v>562</v>
      </c>
    </row>
    <row r="52" spans="1:14" ht="42">
      <c r="A52" s="268" t="str">
        <f t="shared" si="0"/>
        <v>Achievement Drive|Division Head|1</v>
      </c>
      <c r="B52" s="223" t="s">
        <v>495</v>
      </c>
      <c r="C52" s="79" t="s">
        <v>778</v>
      </c>
      <c r="D52" s="197">
        <v>1</v>
      </c>
      <c r="E52" s="79" t="s">
        <v>526</v>
      </c>
      <c r="F52" s="79">
        <v>3</v>
      </c>
      <c r="G52" s="269" t="s">
        <v>789</v>
      </c>
      <c r="H52" s="274" t="s">
        <v>790</v>
      </c>
      <c r="I52" s="269" t="s">
        <v>791</v>
      </c>
      <c r="J52" s="269" t="s">
        <v>792</v>
      </c>
      <c r="K52" s="271" t="s">
        <v>531</v>
      </c>
      <c r="L52" s="269" t="s">
        <v>532</v>
      </c>
      <c r="M52" s="269" t="s">
        <v>793</v>
      </c>
      <c r="N52" s="269" t="s">
        <v>562</v>
      </c>
    </row>
    <row r="53" spans="1:14" ht="42">
      <c r="A53" s="268" t="str">
        <f t="shared" si="0"/>
        <v>Achievement Drive|Division Head|2</v>
      </c>
      <c r="B53" s="223" t="s">
        <v>495</v>
      </c>
      <c r="C53" s="79" t="s">
        <v>778</v>
      </c>
      <c r="D53" s="79">
        <v>2</v>
      </c>
      <c r="E53" s="79" t="s">
        <v>545</v>
      </c>
      <c r="F53" s="79">
        <v>1</v>
      </c>
      <c r="G53" s="269" t="s">
        <v>794</v>
      </c>
      <c r="H53" s="269" t="s">
        <v>795</v>
      </c>
      <c r="I53" s="269" t="s">
        <v>796</v>
      </c>
      <c r="J53" s="269" t="s">
        <v>797</v>
      </c>
      <c r="K53" s="271" t="s">
        <v>531</v>
      </c>
      <c r="L53" s="269" t="s">
        <v>532</v>
      </c>
      <c r="M53" s="269" t="s">
        <v>798</v>
      </c>
      <c r="N53" s="269" t="s">
        <v>551</v>
      </c>
    </row>
    <row r="54" spans="1:14" ht="28">
      <c r="A54" s="268" t="str">
        <f t="shared" si="0"/>
        <v>Achievement Drive|Division Head|2</v>
      </c>
      <c r="B54" s="223" t="s">
        <v>495</v>
      </c>
      <c r="C54" s="79" t="s">
        <v>778</v>
      </c>
      <c r="D54" s="79">
        <v>2</v>
      </c>
      <c r="E54" s="79" t="s">
        <v>545</v>
      </c>
      <c r="F54" s="79">
        <v>2</v>
      </c>
      <c r="G54" s="269" t="s">
        <v>799</v>
      </c>
      <c r="H54" s="269" t="s">
        <v>800</v>
      </c>
      <c r="I54" s="269" t="s">
        <v>801</v>
      </c>
      <c r="J54" s="269" t="s">
        <v>802</v>
      </c>
      <c r="K54" s="271" t="s">
        <v>531</v>
      </c>
      <c r="L54" s="269" t="s">
        <v>532</v>
      </c>
      <c r="M54" s="269" t="s">
        <v>803</v>
      </c>
      <c r="N54" s="269" t="s">
        <v>562</v>
      </c>
    </row>
    <row r="55" spans="1:14" ht="42">
      <c r="A55" s="268" t="str">
        <f t="shared" si="0"/>
        <v>Achievement Drive|Division Head|2</v>
      </c>
      <c r="B55" s="223" t="s">
        <v>495</v>
      </c>
      <c r="C55" s="79" t="s">
        <v>778</v>
      </c>
      <c r="D55" s="79">
        <v>2</v>
      </c>
      <c r="E55" s="79" t="s">
        <v>545</v>
      </c>
      <c r="F55" s="79">
        <v>3</v>
      </c>
      <c r="G55" s="269" t="s">
        <v>804</v>
      </c>
      <c r="H55" s="269" t="s">
        <v>805</v>
      </c>
      <c r="I55" s="269" t="s">
        <v>806</v>
      </c>
      <c r="J55" s="269" t="s">
        <v>807</v>
      </c>
      <c r="K55" s="271" t="s">
        <v>531</v>
      </c>
      <c r="L55" s="269" t="s">
        <v>532</v>
      </c>
      <c r="M55" s="269" t="s">
        <v>808</v>
      </c>
      <c r="N55" s="269" t="s">
        <v>534</v>
      </c>
    </row>
    <row r="56" spans="1:14" ht="56">
      <c r="A56" s="268" t="str">
        <f t="shared" si="0"/>
        <v>Achievement Drive|Division Head|3</v>
      </c>
      <c r="B56" s="223" t="s">
        <v>495</v>
      </c>
      <c r="C56" s="79" t="s">
        <v>778</v>
      </c>
      <c r="D56" s="79">
        <v>3</v>
      </c>
      <c r="E56" s="79" t="s">
        <v>563</v>
      </c>
      <c r="F56" s="79">
        <v>1</v>
      </c>
      <c r="G56" s="269" t="s">
        <v>809</v>
      </c>
      <c r="H56" s="269" t="s">
        <v>810</v>
      </c>
      <c r="I56" s="269" t="s">
        <v>811</v>
      </c>
      <c r="J56" s="269" t="s">
        <v>812</v>
      </c>
      <c r="K56" s="271" t="s">
        <v>531</v>
      </c>
      <c r="L56" s="269" t="s">
        <v>532</v>
      </c>
      <c r="M56" s="269" t="s">
        <v>813</v>
      </c>
      <c r="N56" s="269" t="s">
        <v>534</v>
      </c>
    </row>
    <row r="57" spans="1:14" ht="42">
      <c r="A57" s="268" t="str">
        <f t="shared" si="0"/>
        <v>Achievement Drive|Division Head|3</v>
      </c>
      <c r="B57" s="223" t="s">
        <v>495</v>
      </c>
      <c r="C57" s="79" t="s">
        <v>778</v>
      </c>
      <c r="D57" s="79">
        <v>3</v>
      </c>
      <c r="E57" s="79" t="s">
        <v>563</v>
      </c>
      <c r="F57" s="79">
        <v>2</v>
      </c>
      <c r="G57" s="269" t="s">
        <v>814</v>
      </c>
      <c r="H57" s="269" t="s">
        <v>815</v>
      </c>
      <c r="I57" s="269" t="s">
        <v>816</v>
      </c>
      <c r="J57" s="269" t="s">
        <v>817</v>
      </c>
      <c r="K57" s="271" t="s">
        <v>531</v>
      </c>
      <c r="L57" s="269" t="s">
        <v>532</v>
      </c>
      <c r="M57" s="269" t="s">
        <v>818</v>
      </c>
      <c r="N57" s="269" t="s">
        <v>562</v>
      </c>
    </row>
    <row r="58" spans="1:14" ht="56">
      <c r="A58" s="268" t="str">
        <f t="shared" si="0"/>
        <v>Achievement Drive|Division Head|3</v>
      </c>
      <c r="B58" s="223" t="s">
        <v>495</v>
      </c>
      <c r="C58" s="79" t="s">
        <v>778</v>
      </c>
      <c r="D58" s="79">
        <v>3</v>
      </c>
      <c r="E58" s="79" t="s">
        <v>563</v>
      </c>
      <c r="F58" s="79">
        <v>3</v>
      </c>
      <c r="G58" s="269" t="s">
        <v>819</v>
      </c>
      <c r="H58" s="269" t="s">
        <v>820</v>
      </c>
      <c r="I58" s="269" t="s">
        <v>821</v>
      </c>
      <c r="J58" s="269" t="s">
        <v>578</v>
      </c>
      <c r="K58" s="271" t="s">
        <v>531</v>
      </c>
      <c r="L58" s="269" t="s">
        <v>532</v>
      </c>
      <c r="M58" s="269" t="s">
        <v>822</v>
      </c>
      <c r="N58" s="269" t="s">
        <v>580</v>
      </c>
    </row>
    <row r="59" spans="1:14" ht="42">
      <c r="A59" s="268" t="str">
        <f t="shared" si="0"/>
        <v>Achievement Drive|Division Head|4</v>
      </c>
      <c r="B59" s="223" t="s">
        <v>495</v>
      </c>
      <c r="C59" s="79" t="s">
        <v>778</v>
      </c>
      <c r="D59" s="79">
        <v>4</v>
      </c>
      <c r="E59" s="79" t="s">
        <v>581</v>
      </c>
      <c r="F59" s="79">
        <v>1</v>
      </c>
      <c r="G59" s="269" t="s">
        <v>823</v>
      </c>
      <c r="H59" s="269" t="s">
        <v>824</v>
      </c>
      <c r="I59" s="269" t="s">
        <v>825</v>
      </c>
      <c r="J59" s="269" t="s">
        <v>826</v>
      </c>
      <c r="K59" s="271" t="s">
        <v>531</v>
      </c>
      <c r="L59" s="269" t="s">
        <v>532</v>
      </c>
      <c r="M59" s="269" t="s">
        <v>827</v>
      </c>
      <c r="N59" s="269" t="s">
        <v>562</v>
      </c>
    </row>
    <row r="60" spans="1:14" ht="42">
      <c r="A60" s="268" t="str">
        <f t="shared" si="0"/>
        <v>Achievement Drive|Division Head|4</v>
      </c>
      <c r="B60" s="223" t="s">
        <v>495</v>
      </c>
      <c r="C60" s="79" t="s">
        <v>778</v>
      </c>
      <c r="D60" s="79">
        <v>4</v>
      </c>
      <c r="E60" s="79" t="s">
        <v>581</v>
      </c>
      <c r="F60" s="79">
        <v>2</v>
      </c>
      <c r="G60" s="269" t="s">
        <v>828</v>
      </c>
      <c r="H60" s="269" t="s">
        <v>829</v>
      </c>
      <c r="I60" s="269" t="s">
        <v>830</v>
      </c>
      <c r="J60" s="269" t="s">
        <v>831</v>
      </c>
      <c r="K60" s="271" t="s">
        <v>531</v>
      </c>
      <c r="L60" s="269" t="s">
        <v>532</v>
      </c>
      <c r="M60" s="269" t="s">
        <v>832</v>
      </c>
      <c r="N60" s="269" t="s">
        <v>562</v>
      </c>
    </row>
    <row r="61" spans="1:14" ht="42">
      <c r="A61" s="268" t="str">
        <f t="shared" si="0"/>
        <v>Achievement Drive|Division Head|4</v>
      </c>
      <c r="B61" s="223" t="s">
        <v>495</v>
      </c>
      <c r="C61" s="79" t="s">
        <v>778</v>
      </c>
      <c r="D61" s="79">
        <v>4</v>
      </c>
      <c r="E61" s="79" t="s">
        <v>581</v>
      </c>
      <c r="F61" s="79">
        <v>3</v>
      </c>
      <c r="G61" s="269" t="s">
        <v>833</v>
      </c>
      <c r="H61" s="269" t="s">
        <v>834</v>
      </c>
      <c r="I61" s="269" t="s">
        <v>835</v>
      </c>
      <c r="J61" s="269" t="s">
        <v>836</v>
      </c>
      <c r="K61" s="271" t="s">
        <v>531</v>
      </c>
      <c r="L61" s="269" t="s">
        <v>532</v>
      </c>
      <c r="M61" s="269" t="s">
        <v>837</v>
      </c>
      <c r="N61" s="269" t="s">
        <v>562</v>
      </c>
    </row>
    <row r="62" spans="1:14" ht="42">
      <c r="A62" s="268" t="str">
        <f t="shared" si="0"/>
        <v>Achievement Drive|Director|1</v>
      </c>
      <c r="B62" s="223" t="s">
        <v>495</v>
      </c>
      <c r="C62" s="79" t="s">
        <v>838</v>
      </c>
      <c r="D62" s="197">
        <v>1</v>
      </c>
      <c r="E62" s="79" t="s">
        <v>526</v>
      </c>
      <c r="F62" s="79">
        <v>1</v>
      </c>
      <c r="G62" s="269" t="s">
        <v>839</v>
      </c>
      <c r="H62" s="269" t="s">
        <v>840</v>
      </c>
      <c r="I62" s="269" t="s">
        <v>841</v>
      </c>
      <c r="J62" s="269" t="s">
        <v>842</v>
      </c>
      <c r="K62" s="271" t="s">
        <v>531</v>
      </c>
      <c r="L62" s="269" t="s">
        <v>532</v>
      </c>
      <c r="M62" s="269" t="s">
        <v>843</v>
      </c>
      <c r="N62" s="269" t="s">
        <v>844</v>
      </c>
    </row>
    <row r="63" spans="1:14" ht="42">
      <c r="A63" s="268" t="str">
        <f t="shared" si="0"/>
        <v>Achievement Drive|Director|1</v>
      </c>
      <c r="B63" s="223" t="s">
        <v>495</v>
      </c>
      <c r="C63" s="79" t="s">
        <v>838</v>
      </c>
      <c r="D63" s="197">
        <v>1</v>
      </c>
      <c r="E63" s="79" t="s">
        <v>526</v>
      </c>
      <c r="F63" s="79">
        <v>2</v>
      </c>
      <c r="G63" s="269" t="s">
        <v>845</v>
      </c>
      <c r="H63" s="269" t="s">
        <v>846</v>
      </c>
      <c r="I63" s="269" t="s">
        <v>847</v>
      </c>
      <c r="J63" s="269" t="s">
        <v>848</v>
      </c>
      <c r="K63" s="271" t="s">
        <v>531</v>
      </c>
      <c r="L63" s="269" t="s">
        <v>532</v>
      </c>
      <c r="M63" s="269" t="s">
        <v>849</v>
      </c>
      <c r="N63" s="269" t="s">
        <v>850</v>
      </c>
    </row>
    <row r="64" spans="1:14" ht="28">
      <c r="A64" s="268" t="str">
        <f t="shared" si="0"/>
        <v>Achievement Drive|Director|1</v>
      </c>
      <c r="B64" s="223" t="s">
        <v>495</v>
      </c>
      <c r="C64" s="79" t="s">
        <v>838</v>
      </c>
      <c r="D64" s="197">
        <v>1</v>
      </c>
      <c r="E64" s="79" t="s">
        <v>526</v>
      </c>
      <c r="F64" s="79">
        <v>3</v>
      </c>
      <c r="G64" s="269" t="s">
        <v>851</v>
      </c>
      <c r="H64" s="274" t="s">
        <v>852</v>
      </c>
      <c r="I64" s="269" t="s">
        <v>853</v>
      </c>
      <c r="J64" s="269" t="s">
        <v>854</v>
      </c>
      <c r="K64" s="271" t="s">
        <v>531</v>
      </c>
      <c r="L64" s="269" t="s">
        <v>532</v>
      </c>
      <c r="M64" s="269" t="s">
        <v>855</v>
      </c>
      <c r="N64" s="269" t="s">
        <v>856</v>
      </c>
    </row>
    <row r="65" spans="1:14" ht="42">
      <c r="A65" s="268" t="str">
        <f t="shared" si="0"/>
        <v>Achievement Drive|Director|2</v>
      </c>
      <c r="B65" s="223" t="s">
        <v>495</v>
      </c>
      <c r="C65" s="79" t="s">
        <v>838</v>
      </c>
      <c r="D65" s="79">
        <v>2</v>
      </c>
      <c r="E65" s="79" t="s">
        <v>545</v>
      </c>
      <c r="F65" s="79">
        <v>1</v>
      </c>
      <c r="G65" s="269" t="s">
        <v>857</v>
      </c>
      <c r="H65" s="269" t="s">
        <v>858</v>
      </c>
      <c r="I65" s="269" t="s">
        <v>859</v>
      </c>
      <c r="J65" s="269" t="s">
        <v>860</v>
      </c>
      <c r="K65" s="271" t="s">
        <v>531</v>
      </c>
      <c r="L65" s="269" t="s">
        <v>532</v>
      </c>
      <c r="M65" s="269" t="s">
        <v>861</v>
      </c>
      <c r="N65" s="269" t="s">
        <v>862</v>
      </c>
    </row>
    <row r="66" spans="1:14" ht="42">
      <c r="A66" s="268" t="str">
        <f t="shared" si="0"/>
        <v>Achievement Drive|Director|2</v>
      </c>
      <c r="B66" s="223" t="s">
        <v>495</v>
      </c>
      <c r="C66" s="79" t="s">
        <v>838</v>
      </c>
      <c r="D66" s="79">
        <v>2</v>
      </c>
      <c r="E66" s="79" t="s">
        <v>545</v>
      </c>
      <c r="F66" s="79">
        <v>2</v>
      </c>
      <c r="G66" s="269" t="s">
        <v>863</v>
      </c>
      <c r="H66" s="269" t="s">
        <v>864</v>
      </c>
      <c r="I66" s="269" t="s">
        <v>865</v>
      </c>
      <c r="J66" s="269" t="s">
        <v>866</v>
      </c>
      <c r="K66" s="271" t="s">
        <v>531</v>
      </c>
      <c r="L66" s="269" t="s">
        <v>532</v>
      </c>
      <c r="M66" s="269" t="s">
        <v>867</v>
      </c>
      <c r="N66" s="269" t="s">
        <v>856</v>
      </c>
    </row>
    <row r="67" spans="1:14" ht="42">
      <c r="A67" s="268" t="str">
        <f t="shared" ref="A67:A130" si="1">B67 &amp; "|" &amp; C67 &amp; "|" &amp; D67</f>
        <v>Achievement Drive|Director|2</v>
      </c>
      <c r="B67" s="223" t="s">
        <v>495</v>
      </c>
      <c r="C67" s="79" t="s">
        <v>838</v>
      </c>
      <c r="D67" s="79">
        <v>2</v>
      </c>
      <c r="E67" s="79" t="s">
        <v>545</v>
      </c>
      <c r="F67" s="79">
        <v>3</v>
      </c>
      <c r="G67" s="269" t="s">
        <v>868</v>
      </c>
      <c r="H67" s="269" t="s">
        <v>869</v>
      </c>
      <c r="I67" s="269" t="s">
        <v>870</v>
      </c>
      <c r="J67" s="269" t="s">
        <v>871</v>
      </c>
      <c r="K67" s="271" t="s">
        <v>531</v>
      </c>
      <c r="L67" s="269" t="s">
        <v>532</v>
      </c>
      <c r="M67" s="269" t="s">
        <v>872</v>
      </c>
      <c r="N67" s="269" t="s">
        <v>856</v>
      </c>
    </row>
    <row r="68" spans="1:14" ht="42">
      <c r="A68" s="268" t="str">
        <f t="shared" si="1"/>
        <v>Achievement Drive|Director|3</v>
      </c>
      <c r="B68" s="223" t="s">
        <v>495</v>
      </c>
      <c r="C68" s="79" t="s">
        <v>838</v>
      </c>
      <c r="D68" s="79">
        <v>3</v>
      </c>
      <c r="E68" s="79" t="s">
        <v>563</v>
      </c>
      <c r="F68" s="79">
        <v>1</v>
      </c>
      <c r="G68" s="269" t="s">
        <v>873</v>
      </c>
      <c r="H68" s="269" t="s">
        <v>874</v>
      </c>
      <c r="I68" s="269" t="s">
        <v>875</v>
      </c>
      <c r="J68" s="269" t="s">
        <v>876</v>
      </c>
      <c r="K68" s="271" t="s">
        <v>531</v>
      </c>
      <c r="L68" s="269" t="s">
        <v>532</v>
      </c>
      <c r="M68" s="269" t="s">
        <v>813</v>
      </c>
      <c r="N68" s="269" t="s">
        <v>534</v>
      </c>
    </row>
    <row r="69" spans="1:14" ht="42">
      <c r="A69" s="268" t="str">
        <f t="shared" si="1"/>
        <v>Achievement Drive|Director|3</v>
      </c>
      <c r="B69" s="223" t="s">
        <v>495</v>
      </c>
      <c r="C69" s="79" t="s">
        <v>838</v>
      </c>
      <c r="D69" s="79">
        <v>3</v>
      </c>
      <c r="E69" s="79" t="s">
        <v>563</v>
      </c>
      <c r="F69" s="79">
        <v>2</v>
      </c>
      <c r="G69" s="269" t="s">
        <v>877</v>
      </c>
      <c r="H69" s="269" t="s">
        <v>878</v>
      </c>
      <c r="I69" s="269" t="s">
        <v>879</v>
      </c>
      <c r="J69" s="269" t="s">
        <v>880</v>
      </c>
      <c r="K69" s="271" t="s">
        <v>531</v>
      </c>
      <c r="L69" s="269" t="s">
        <v>532</v>
      </c>
      <c r="M69" s="269" t="s">
        <v>881</v>
      </c>
      <c r="N69" s="269" t="s">
        <v>882</v>
      </c>
    </row>
    <row r="70" spans="1:14" ht="56">
      <c r="A70" s="268" t="str">
        <f t="shared" si="1"/>
        <v>Achievement Drive|Director|3</v>
      </c>
      <c r="B70" s="223" t="s">
        <v>495</v>
      </c>
      <c r="C70" s="79" t="s">
        <v>838</v>
      </c>
      <c r="D70" s="79">
        <v>3</v>
      </c>
      <c r="E70" s="79" t="s">
        <v>563</v>
      </c>
      <c r="F70" s="79">
        <v>3</v>
      </c>
      <c r="G70" s="269" t="s">
        <v>883</v>
      </c>
      <c r="H70" s="269" t="s">
        <v>884</v>
      </c>
      <c r="I70" s="269" t="s">
        <v>885</v>
      </c>
      <c r="J70" s="269" t="s">
        <v>578</v>
      </c>
      <c r="K70" s="271" t="s">
        <v>531</v>
      </c>
      <c r="L70" s="269" t="s">
        <v>532</v>
      </c>
      <c r="M70" s="269" t="s">
        <v>886</v>
      </c>
      <c r="N70" s="269" t="s">
        <v>580</v>
      </c>
    </row>
    <row r="71" spans="1:14" ht="56">
      <c r="A71" s="268" t="str">
        <f t="shared" si="1"/>
        <v>Achievement Drive|Director|4</v>
      </c>
      <c r="B71" s="223" t="s">
        <v>495</v>
      </c>
      <c r="C71" s="79" t="s">
        <v>838</v>
      </c>
      <c r="D71" s="79">
        <v>4</v>
      </c>
      <c r="E71" s="79" t="s">
        <v>581</v>
      </c>
      <c r="F71" s="79">
        <v>1</v>
      </c>
      <c r="G71" s="269" t="s">
        <v>887</v>
      </c>
      <c r="H71" s="269" t="s">
        <v>888</v>
      </c>
      <c r="I71" s="269" t="s">
        <v>889</v>
      </c>
      <c r="J71" s="269" t="s">
        <v>890</v>
      </c>
      <c r="K71" s="271" t="s">
        <v>531</v>
      </c>
      <c r="L71" s="269" t="s">
        <v>532</v>
      </c>
      <c r="M71" s="269" t="s">
        <v>891</v>
      </c>
      <c r="N71" s="269" t="s">
        <v>892</v>
      </c>
    </row>
    <row r="72" spans="1:14" ht="42">
      <c r="A72" s="268" t="str">
        <f t="shared" si="1"/>
        <v>Achievement Drive|Director|4</v>
      </c>
      <c r="B72" s="223" t="s">
        <v>495</v>
      </c>
      <c r="C72" s="79" t="s">
        <v>838</v>
      </c>
      <c r="D72" s="79">
        <v>4</v>
      </c>
      <c r="E72" s="79" t="s">
        <v>581</v>
      </c>
      <c r="F72" s="79">
        <v>2</v>
      </c>
      <c r="G72" s="269" t="s">
        <v>893</v>
      </c>
      <c r="H72" s="269" t="s">
        <v>894</v>
      </c>
      <c r="I72" s="269" t="s">
        <v>895</v>
      </c>
      <c r="J72" s="269" t="s">
        <v>896</v>
      </c>
      <c r="K72" s="271" t="s">
        <v>531</v>
      </c>
      <c r="L72" s="269" t="s">
        <v>532</v>
      </c>
      <c r="M72" s="269" t="s">
        <v>897</v>
      </c>
      <c r="N72" s="269" t="s">
        <v>856</v>
      </c>
    </row>
    <row r="73" spans="1:14" ht="42">
      <c r="A73" s="268" t="str">
        <f t="shared" si="1"/>
        <v>Achievement Drive|Director|4</v>
      </c>
      <c r="B73" s="223" t="s">
        <v>495</v>
      </c>
      <c r="C73" s="79" t="s">
        <v>838</v>
      </c>
      <c r="D73" s="79">
        <v>4</v>
      </c>
      <c r="E73" s="79" t="s">
        <v>581</v>
      </c>
      <c r="F73" s="79">
        <v>3</v>
      </c>
      <c r="G73" s="269" t="s">
        <v>898</v>
      </c>
      <c r="H73" s="269" t="s">
        <v>899</v>
      </c>
      <c r="I73" s="269" t="s">
        <v>900</v>
      </c>
      <c r="J73" s="269" t="s">
        <v>901</v>
      </c>
      <c r="K73" s="271" t="s">
        <v>531</v>
      </c>
      <c r="L73" s="269" t="s">
        <v>532</v>
      </c>
      <c r="M73" s="269" t="s">
        <v>902</v>
      </c>
      <c r="N73" s="269" t="s">
        <v>856</v>
      </c>
    </row>
    <row r="74" spans="1:14" ht="66">
      <c r="A74" s="268" t="str">
        <f t="shared" si="1"/>
        <v>Analytical Thinking|Officer|1</v>
      </c>
      <c r="B74" s="223" t="s">
        <v>500</v>
      </c>
      <c r="C74" s="226" t="s">
        <v>4</v>
      </c>
      <c r="D74" s="226">
        <v>1</v>
      </c>
      <c r="E74" s="227" t="s">
        <v>526</v>
      </c>
      <c r="F74" s="227">
        <v>1</v>
      </c>
      <c r="G74" s="276" t="s">
        <v>903</v>
      </c>
      <c r="H74" s="276" t="s">
        <v>904</v>
      </c>
      <c r="I74" s="276" t="s">
        <v>905</v>
      </c>
      <c r="J74" s="276" t="s">
        <v>906</v>
      </c>
      <c r="K74" s="276" t="s">
        <v>531</v>
      </c>
      <c r="L74" s="276" t="s">
        <v>532</v>
      </c>
      <c r="M74" s="276" t="s">
        <v>907</v>
      </c>
      <c r="N74" s="276" t="s">
        <v>534</v>
      </c>
    </row>
    <row r="75" spans="1:14" ht="66">
      <c r="A75" s="268" t="str">
        <f t="shared" si="1"/>
        <v>Analytical Thinking|Officer|1</v>
      </c>
      <c r="B75" s="223" t="s">
        <v>500</v>
      </c>
      <c r="C75" s="226" t="s">
        <v>4</v>
      </c>
      <c r="D75" s="226">
        <v>1</v>
      </c>
      <c r="E75" s="227" t="s">
        <v>526</v>
      </c>
      <c r="F75" s="227">
        <v>2</v>
      </c>
      <c r="G75" s="276" t="s">
        <v>908</v>
      </c>
      <c r="H75" s="276" t="s">
        <v>909</v>
      </c>
      <c r="I75" s="276" t="s">
        <v>910</v>
      </c>
      <c r="J75" s="276" t="s">
        <v>911</v>
      </c>
      <c r="K75" s="276" t="s">
        <v>531</v>
      </c>
      <c r="L75" s="276" t="s">
        <v>532</v>
      </c>
      <c r="M75" s="276" t="s">
        <v>912</v>
      </c>
      <c r="N75" s="276" t="s">
        <v>913</v>
      </c>
    </row>
    <row r="76" spans="1:14" ht="66">
      <c r="A76" s="268" t="str">
        <f t="shared" si="1"/>
        <v>Analytical Thinking|Officer|1</v>
      </c>
      <c r="B76" s="223" t="s">
        <v>500</v>
      </c>
      <c r="C76" s="226" t="s">
        <v>4</v>
      </c>
      <c r="D76" s="226">
        <v>1</v>
      </c>
      <c r="E76" s="227" t="s">
        <v>526</v>
      </c>
      <c r="F76" s="227">
        <v>3</v>
      </c>
      <c r="G76" s="276" t="s">
        <v>914</v>
      </c>
      <c r="H76" s="276" t="s">
        <v>915</v>
      </c>
      <c r="I76" s="276" t="s">
        <v>916</v>
      </c>
      <c r="J76" s="276" t="s">
        <v>917</v>
      </c>
      <c r="K76" s="276" t="s">
        <v>531</v>
      </c>
      <c r="L76" s="276" t="s">
        <v>532</v>
      </c>
      <c r="M76" s="276" t="s">
        <v>918</v>
      </c>
      <c r="N76" s="276" t="s">
        <v>534</v>
      </c>
    </row>
    <row r="77" spans="1:14" ht="66">
      <c r="A77" s="268" t="str">
        <f t="shared" si="1"/>
        <v>Analytical Thinking|Officer|2</v>
      </c>
      <c r="B77" s="223" t="s">
        <v>500</v>
      </c>
      <c r="C77" s="226" t="s">
        <v>4</v>
      </c>
      <c r="D77" s="227">
        <v>2</v>
      </c>
      <c r="E77" s="227" t="s">
        <v>545</v>
      </c>
      <c r="F77" s="227">
        <v>1</v>
      </c>
      <c r="G77" s="276" t="s">
        <v>919</v>
      </c>
      <c r="H77" s="276" t="s">
        <v>920</v>
      </c>
      <c r="I77" s="276" t="s">
        <v>921</v>
      </c>
      <c r="J77" s="276" t="s">
        <v>922</v>
      </c>
      <c r="K77" s="276" t="s">
        <v>531</v>
      </c>
      <c r="L77" s="276" t="s">
        <v>532</v>
      </c>
      <c r="M77" s="276" t="s">
        <v>923</v>
      </c>
      <c r="N77" s="276" t="s">
        <v>924</v>
      </c>
    </row>
    <row r="78" spans="1:14" ht="66">
      <c r="A78" s="268" t="str">
        <f t="shared" si="1"/>
        <v>Analytical Thinking|Officer|2</v>
      </c>
      <c r="B78" s="223" t="s">
        <v>500</v>
      </c>
      <c r="C78" s="226" t="s">
        <v>4</v>
      </c>
      <c r="D78" s="227">
        <v>2</v>
      </c>
      <c r="E78" s="227" t="s">
        <v>545</v>
      </c>
      <c r="F78" s="227">
        <v>2</v>
      </c>
      <c r="G78" s="276" t="s">
        <v>925</v>
      </c>
      <c r="H78" s="276" t="s">
        <v>926</v>
      </c>
      <c r="I78" s="276" t="s">
        <v>927</v>
      </c>
      <c r="J78" s="276" t="s">
        <v>928</v>
      </c>
      <c r="K78" s="276" t="s">
        <v>531</v>
      </c>
      <c r="L78" s="276" t="s">
        <v>532</v>
      </c>
      <c r="M78" s="276" t="s">
        <v>929</v>
      </c>
      <c r="N78" s="276" t="s">
        <v>562</v>
      </c>
    </row>
    <row r="79" spans="1:14" ht="49.5">
      <c r="A79" s="268" t="str">
        <f t="shared" si="1"/>
        <v>Analytical Thinking|Officer|2</v>
      </c>
      <c r="B79" s="223" t="s">
        <v>500</v>
      </c>
      <c r="C79" s="226" t="s">
        <v>4</v>
      </c>
      <c r="D79" s="227">
        <v>2</v>
      </c>
      <c r="E79" s="227" t="s">
        <v>545</v>
      </c>
      <c r="F79" s="227">
        <v>3</v>
      </c>
      <c r="G79" s="276" t="s">
        <v>930</v>
      </c>
      <c r="H79" s="276" t="s">
        <v>931</v>
      </c>
      <c r="I79" s="276" t="s">
        <v>932</v>
      </c>
      <c r="J79" s="276" t="s">
        <v>933</v>
      </c>
      <c r="K79" s="276" t="s">
        <v>531</v>
      </c>
      <c r="L79" s="276" t="s">
        <v>532</v>
      </c>
      <c r="M79" s="276" t="s">
        <v>934</v>
      </c>
      <c r="N79" s="276" t="s">
        <v>534</v>
      </c>
    </row>
    <row r="80" spans="1:14" ht="66">
      <c r="A80" s="268" t="str">
        <f t="shared" si="1"/>
        <v>Analytical Thinking|Officer|3</v>
      </c>
      <c r="B80" s="223" t="s">
        <v>500</v>
      </c>
      <c r="C80" s="226" t="s">
        <v>4</v>
      </c>
      <c r="D80" s="227">
        <v>3</v>
      </c>
      <c r="E80" s="227" t="s">
        <v>563</v>
      </c>
      <c r="F80" s="227">
        <v>1</v>
      </c>
      <c r="G80" s="276" t="s">
        <v>935</v>
      </c>
      <c r="H80" s="276" t="s">
        <v>936</v>
      </c>
      <c r="I80" s="276" t="s">
        <v>937</v>
      </c>
      <c r="J80" s="276" t="s">
        <v>938</v>
      </c>
      <c r="K80" s="276" t="s">
        <v>531</v>
      </c>
      <c r="L80" s="276" t="s">
        <v>532</v>
      </c>
      <c r="M80" s="276" t="s">
        <v>939</v>
      </c>
      <c r="N80" s="276" t="s">
        <v>562</v>
      </c>
    </row>
    <row r="81" spans="1:14" ht="66">
      <c r="A81" s="268" t="str">
        <f t="shared" si="1"/>
        <v>Analytical Thinking|Officer|3</v>
      </c>
      <c r="B81" s="223" t="s">
        <v>500</v>
      </c>
      <c r="C81" s="226" t="s">
        <v>4</v>
      </c>
      <c r="D81" s="227">
        <v>3</v>
      </c>
      <c r="E81" s="227" t="s">
        <v>563</v>
      </c>
      <c r="F81" s="227">
        <v>2</v>
      </c>
      <c r="G81" s="276" t="s">
        <v>940</v>
      </c>
      <c r="H81" s="276" t="s">
        <v>941</v>
      </c>
      <c r="I81" s="276" t="s">
        <v>942</v>
      </c>
      <c r="J81" s="276" t="s">
        <v>943</v>
      </c>
      <c r="K81" s="276" t="s">
        <v>531</v>
      </c>
      <c r="L81" s="276" t="s">
        <v>532</v>
      </c>
      <c r="M81" s="276" t="s">
        <v>944</v>
      </c>
      <c r="N81" s="276" t="s">
        <v>534</v>
      </c>
    </row>
    <row r="82" spans="1:14" ht="99">
      <c r="A82" s="268" t="str">
        <f t="shared" si="1"/>
        <v>Analytical Thinking|Officer|3</v>
      </c>
      <c r="B82" s="223" t="s">
        <v>500</v>
      </c>
      <c r="C82" s="226" t="s">
        <v>4</v>
      </c>
      <c r="D82" s="227">
        <v>3</v>
      </c>
      <c r="E82" s="227" t="s">
        <v>563</v>
      </c>
      <c r="F82" s="227">
        <v>3</v>
      </c>
      <c r="G82" s="276" t="s">
        <v>945</v>
      </c>
      <c r="H82" s="276" t="s">
        <v>946</v>
      </c>
      <c r="I82" s="276" t="s">
        <v>947</v>
      </c>
      <c r="J82" s="276" t="s">
        <v>948</v>
      </c>
      <c r="K82" s="276" t="s">
        <v>531</v>
      </c>
      <c r="L82" s="276" t="s">
        <v>532</v>
      </c>
      <c r="M82" s="276" t="s">
        <v>949</v>
      </c>
      <c r="N82" s="276" t="s">
        <v>580</v>
      </c>
    </row>
    <row r="83" spans="1:14" ht="66">
      <c r="A83" s="268" t="str">
        <f t="shared" si="1"/>
        <v>Analytical Thinking|Officer|4</v>
      </c>
      <c r="B83" s="223" t="s">
        <v>500</v>
      </c>
      <c r="C83" s="226" t="s">
        <v>4</v>
      </c>
      <c r="D83" s="227">
        <v>4</v>
      </c>
      <c r="E83" s="227" t="s">
        <v>581</v>
      </c>
      <c r="F83" s="227">
        <v>1</v>
      </c>
      <c r="G83" s="276" t="s">
        <v>950</v>
      </c>
      <c r="H83" s="276" t="s">
        <v>951</v>
      </c>
      <c r="I83" s="276" t="s">
        <v>952</v>
      </c>
      <c r="J83" s="276" t="s">
        <v>953</v>
      </c>
      <c r="K83" s="276" t="s">
        <v>531</v>
      </c>
      <c r="L83" s="276" t="s">
        <v>532</v>
      </c>
      <c r="M83" s="276" t="s">
        <v>954</v>
      </c>
      <c r="N83" s="276" t="s">
        <v>562</v>
      </c>
    </row>
    <row r="84" spans="1:14" ht="66">
      <c r="A84" s="268" t="str">
        <f t="shared" si="1"/>
        <v>Analytical Thinking|Officer|4</v>
      </c>
      <c r="B84" s="223" t="s">
        <v>500</v>
      </c>
      <c r="C84" s="226" t="s">
        <v>4</v>
      </c>
      <c r="D84" s="227">
        <v>4</v>
      </c>
      <c r="E84" s="227" t="s">
        <v>581</v>
      </c>
      <c r="F84" s="227">
        <v>2</v>
      </c>
      <c r="G84" s="276" t="s">
        <v>955</v>
      </c>
      <c r="H84" s="276" t="s">
        <v>956</v>
      </c>
      <c r="I84" s="276" t="s">
        <v>957</v>
      </c>
      <c r="J84" s="276" t="s">
        <v>958</v>
      </c>
      <c r="K84" s="276" t="s">
        <v>531</v>
      </c>
      <c r="L84" s="276" t="s">
        <v>532</v>
      </c>
      <c r="M84" s="276" t="s">
        <v>959</v>
      </c>
      <c r="N84" s="276" t="s">
        <v>562</v>
      </c>
    </row>
    <row r="85" spans="1:14" ht="66">
      <c r="A85" s="268" t="str">
        <f t="shared" si="1"/>
        <v>Analytical Thinking|Officer|4</v>
      </c>
      <c r="B85" s="223" t="s">
        <v>500</v>
      </c>
      <c r="C85" s="226" t="s">
        <v>4</v>
      </c>
      <c r="D85" s="227">
        <v>4</v>
      </c>
      <c r="E85" s="227" t="s">
        <v>581</v>
      </c>
      <c r="F85" s="227">
        <v>3</v>
      </c>
      <c r="G85" s="276" t="s">
        <v>960</v>
      </c>
      <c r="H85" s="276" t="s">
        <v>961</v>
      </c>
      <c r="I85" s="276" t="s">
        <v>962</v>
      </c>
      <c r="J85" s="276" t="s">
        <v>963</v>
      </c>
      <c r="K85" s="276" t="s">
        <v>531</v>
      </c>
      <c r="L85" s="276" t="s">
        <v>532</v>
      </c>
      <c r="M85" s="276" t="s">
        <v>964</v>
      </c>
      <c r="N85" s="276" t="s">
        <v>965</v>
      </c>
    </row>
    <row r="86" spans="1:14" ht="66">
      <c r="A86" s="268" t="str">
        <f t="shared" si="1"/>
        <v>Analytical Thinking|Analyst|1</v>
      </c>
      <c r="B86" s="223" t="s">
        <v>500</v>
      </c>
      <c r="C86" s="226" t="s">
        <v>6</v>
      </c>
      <c r="D86" s="226">
        <v>1</v>
      </c>
      <c r="E86" s="227" t="s">
        <v>526</v>
      </c>
      <c r="F86" s="227">
        <v>1</v>
      </c>
      <c r="G86" s="276" t="s">
        <v>966</v>
      </c>
      <c r="H86" s="276" t="s">
        <v>967</v>
      </c>
      <c r="I86" s="276" t="s">
        <v>968</v>
      </c>
      <c r="J86" s="276" t="s">
        <v>969</v>
      </c>
      <c r="K86" s="276" t="s">
        <v>531</v>
      </c>
      <c r="L86" s="276" t="s">
        <v>532</v>
      </c>
      <c r="M86" s="276" t="s">
        <v>970</v>
      </c>
      <c r="N86" s="276" t="s">
        <v>534</v>
      </c>
    </row>
    <row r="87" spans="1:14" ht="82.5">
      <c r="A87" s="268" t="str">
        <f t="shared" si="1"/>
        <v>Analytical Thinking|Analyst|1</v>
      </c>
      <c r="B87" s="223" t="s">
        <v>500</v>
      </c>
      <c r="C87" s="226" t="s">
        <v>6</v>
      </c>
      <c r="D87" s="226">
        <v>1</v>
      </c>
      <c r="E87" s="227" t="s">
        <v>526</v>
      </c>
      <c r="F87" s="227">
        <v>2</v>
      </c>
      <c r="G87" s="276" t="s">
        <v>971</v>
      </c>
      <c r="H87" s="276" t="s">
        <v>972</v>
      </c>
      <c r="I87" s="276" t="s">
        <v>973</v>
      </c>
      <c r="J87" s="276" t="s">
        <v>974</v>
      </c>
      <c r="K87" s="276" t="s">
        <v>531</v>
      </c>
      <c r="L87" s="276" t="s">
        <v>532</v>
      </c>
      <c r="M87" s="276" t="s">
        <v>975</v>
      </c>
      <c r="N87" s="276" t="s">
        <v>534</v>
      </c>
    </row>
    <row r="88" spans="1:14" ht="49.5">
      <c r="A88" s="268" t="str">
        <f t="shared" si="1"/>
        <v>Analytical Thinking|Analyst|1</v>
      </c>
      <c r="B88" s="223" t="s">
        <v>500</v>
      </c>
      <c r="C88" s="226" t="s">
        <v>6</v>
      </c>
      <c r="D88" s="226">
        <v>1</v>
      </c>
      <c r="E88" s="227" t="s">
        <v>526</v>
      </c>
      <c r="F88" s="227">
        <v>3</v>
      </c>
      <c r="G88" s="276" t="s">
        <v>976</v>
      </c>
      <c r="H88" s="276" t="s">
        <v>977</v>
      </c>
      <c r="I88" s="276" t="s">
        <v>978</v>
      </c>
      <c r="J88" s="276" t="s">
        <v>979</v>
      </c>
      <c r="K88" s="276" t="s">
        <v>531</v>
      </c>
      <c r="L88" s="276" t="s">
        <v>532</v>
      </c>
      <c r="M88" s="276" t="s">
        <v>980</v>
      </c>
      <c r="N88" s="276" t="s">
        <v>534</v>
      </c>
    </row>
    <row r="89" spans="1:14" ht="82.5">
      <c r="A89" s="268" t="str">
        <f t="shared" si="1"/>
        <v>Analytical Thinking|Analyst|2</v>
      </c>
      <c r="B89" s="223" t="s">
        <v>500</v>
      </c>
      <c r="C89" s="226" t="s">
        <v>6</v>
      </c>
      <c r="D89" s="227">
        <v>2</v>
      </c>
      <c r="E89" s="227" t="s">
        <v>545</v>
      </c>
      <c r="F89" s="227">
        <v>1</v>
      </c>
      <c r="G89" s="276" t="s">
        <v>981</v>
      </c>
      <c r="H89" s="276" t="s">
        <v>982</v>
      </c>
      <c r="I89" s="276" t="s">
        <v>983</v>
      </c>
      <c r="J89" s="276" t="s">
        <v>984</v>
      </c>
      <c r="K89" s="276" t="s">
        <v>531</v>
      </c>
      <c r="L89" s="276" t="s">
        <v>532</v>
      </c>
      <c r="M89" s="276" t="s">
        <v>985</v>
      </c>
      <c r="N89" s="276" t="s">
        <v>551</v>
      </c>
    </row>
    <row r="90" spans="1:14" ht="66">
      <c r="A90" s="268" t="str">
        <f t="shared" si="1"/>
        <v>Analytical Thinking|Analyst|2</v>
      </c>
      <c r="B90" s="223" t="s">
        <v>500</v>
      </c>
      <c r="C90" s="226" t="s">
        <v>6</v>
      </c>
      <c r="D90" s="227">
        <v>2</v>
      </c>
      <c r="E90" s="227" t="s">
        <v>545</v>
      </c>
      <c r="F90" s="227">
        <v>2</v>
      </c>
      <c r="G90" s="276" t="s">
        <v>986</v>
      </c>
      <c r="H90" s="276" t="s">
        <v>987</v>
      </c>
      <c r="I90" s="276" t="s">
        <v>988</v>
      </c>
      <c r="J90" s="276" t="s">
        <v>989</v>
      </c>
      <c r="K90" s="276" t="s">
        <v>531</v>
      </c>
      <c r="L90" s="276" t="s">
        <v>532</v>
      </c>
      <c r="M90" s="276" t="s">
        <v>990</v>
      </c>
      <c r="N90" s="276" t="s">
        <v>562</v>
      </c>
    </row>
    <row r="91" spans="1:14" ht="66">
      <c r="A91" s="268" t="str">
        <f t="shared" si="1"/>
        <v>Analytical Thinking|Analyst|2</v>
      </c>
      <c r="B91" s="223" t="s">
        <v>500</v>
      </c>
      <c r="C91" s="226" t="s">
        <v>6</v>
      </c>
      <c r="D91" s="227">
        <v>2</v>
      </c>
      <c r="E91" s="227" t="s">
        <v>545</v>
      </c>
      <c r="F91" s="227">
        <v>3</v>
      </c>
      <c r="G91" s="276" t="s">
        <v>991</v>
      </c>
      <c r="H91" s="276" t="s">
        <v>992</v>
      </c>
      <c r="I91" s="276" t="s">
        <v>993</v>
      </c>
      <c r="J91" s="276" t="s">
        <v>994</v>
      </c>
      <c r="K91" s="276" t="s">
        <v>531</v>
      </c>
      <c r="L91" s="276" t="s">
        <v>532</v>
      </c>
      <c r="M91" s="276" t="s">
        <v>995</v>
      </c>
      <c r="N91" s="276" t="s">
        <v>562</v>
      </c>
    </row>
    <row r="92" spans="1:14" ht="66">
      <c r="A92" s="268" t="str">
        <f t="shared" si="1"/>
        <v>Analytical Thinking|Analyst|3</v>
      </c>
      <c r="B92" s="223" t="s">
        <v>500</v>
      </c>
      <c r="C92" s="226" t="s">
        <v>6</v>
      </c>
      <c r="D92" s="227">
        <v>3</v>
      </c>
      <c r="E92" s="227" t="s">
        <v>563</v>
      </c>
      <c r="F92" s="227">
        <v>1</v>
      </c>
      <c r="G92" s="276" t="s">
        <v>996</v>
      </c>
      <c r="H92" s="276" t="s">
        <v>997</v>
      </c>
      <c r="I92" s="276" t="s">
        <v>998</v>
      </c>
      <c r="J92" s="276" t="s">
        <v>999</v>
      </c>
      <c r="K92" s="276" t="s">
        <v>531</v>
      </c>
      <c r="L92" s="276" t="s">
        <v>532</v>
      </c>
      <c r="M92" s="276" t="s">
        <v>1000</v>
      </c>
      <c r="N92" s="276" t="s">
        <v>534</v>
      </c>
    </row>
    <row r="93" spans="1:14" ht="82.5">
      <c r="A93" s="268" t="str">
        <f t="shared" si="1"/>
        <v>Analytical Thinking|Analyst|3</v>
      </c>
      <c r="B93" s="223" t="s">
        <v>500</v>
      </c>
      <c r="C93" s="226" t="s">
        <v>6</v>
      </c>
      <c r="D93" s="227">
        <v>3</v>
      </c>
      <c r="E93" s="227" t="s">
        <v>563</v>
      </c>
      <c r="F93" s="227">
        <v>2</v>
      </c>
      <c r="G93" s="276" t="s">
        <v>1001</v>
      </c>
      <c r="H93" s="276" t="s">
        <v>1002</v>
      </c>
      <c r="I93" s="276" t="s">
        <v>1003</v>
      </c>
      <c r="J93" s="276" t="s">
        <v>1004</v>
      </c>
      <c r="K93" s="276" t="s">
        <v>531</v>
      </c>
      <c r="L93" s="276" t="s">
        <v>532</v>
      </c>
      <c r="M93" s="276" t="s">
        <v>1005</v>
      </c>
      <c r="N93" s="276" t="s">
        <v>562</v>
      </c>
    </row>
    <row r="94" spans="1:14" ht="99">
      <c r="A94" s="268" t="str">
        <f t="shared" si="1"/>
        <v>Analytical Thinking|Analyst|3</v>
      </c>
      <c r="B94" s="223" t="s">
        <v>500</v>
      </c>
      <c r="C94" s="226" t="s">
        <v>6</v>
      </c>
      <c r="D94" s="227">
        <v>3</v>
      </c>
      <c r="E94" s="227" t="s">
        <v>563</v>
      </c>
      <c r="F94" s="227">
        <v>3</v>
      </c>
      <c r="G94" s="276" t="s">
        <v>1006</v>
      </c>
      <c r="H94" s="276" t="s">
        <v>1007</v>
      </c>
      <c r="I94" s="276" t="s">
        <v>1008</v>
      </c>
      <c r="J94" s="276" t="s">
        <v>948</v>
      </c>
      <c r="K94" s="276" t="s">
        <v>531</v>
      </c>
      <c r="L94" s="276" t="s">
        <v>532</v>
      </c>
      <c r="M94" s="276" t="s">
        <v>1009</v>
      </c>
      <c r="N94" s="276" t="s">
        <v>580</v>
      </c>
    </row>
    <row r="95" spans="1:14" ht="66">
      <c r="A95" s="268" t="str">
        <f t="shared" si="1"/>
        <v>Analytical Thinking|Analyst|4</v>
      </c>
      <c r="B95" s="223" t="s">
        <v>500</v>
      </c>
      <c r="C95" s="226" t="s">
        <v>6</v>
      </c>
      <c r="D95" s="227">
        <v>4</v>
      </c>
      <c r="E95" s="227" t="s">
        <v>581</v>
      </c>
      <c r="F95" s="227">
        <v>1</v>
      </c>
      <c r="G95" s="276" t="s">
        <v>1010</v>
      </c>
      <c r="H95" s="276" t="s">
        <v>1011</v>
      </c>
      <c r="I95" s="276" t="s">
        <v>1012</v>
      </c>
      <c r="J95" s="276" t="s">
        <v>1013</v>
      </c>
      <c r="K95" s="276" t="s">
        <v>531</v>
      </c>
      <c r="L95" s="276" t="s">
        <v>532</v>
      </c>
      <c r="M95" s="276" t="s">
        <v>1014</v>
      </c>
      <c r="N95" s="276" t="s">
        <v>562</v>
      </c>
    </row>
    <row r="96" spans="1:14" ht="82.5">
      <c r="A96" s="268" t="str">
        <f t="shared" si="1"/>
        <v>Analytical Thinking|Analyst|4</v>
      </c>
      <c r="B96" s="223" t="s">
        <v>500</v>
      </c>
      <c r="C96" s="226" t="s">
        <v>6</v>
      </c>
      <c r="D96" s="227">
        <v>4</v>
      </c>
      <c r="E96" s="227" t="s">
        <v>581</v>
      </c>
      <c r="F96" s="227">
        <v>2</v>
      </c>
      <c r="G96" s="276" t="s">
        <v>1015</v>
      </c>
      <c r="H96" s="276" t="s">
        <v>1016</v>
      </c>
      <c r="I96" s="276" t="s">
        <v>1017</v>
      </c>
      <c r="J96" s="276" t="s">
        <v>1018</v>
      </c>
      <c r="K96" s="276" t="s">
        <v>531</v>
      </c>
      <c r="L96" s="276" t="s">
        <v>532</v>
      </c>
      <c r="M96" s="276" t="s">
        <v>1019</v>
      </c>
      <c r="N96" s="276" t="s">
        <v>562</v>
      </c>
    </row>
    <row r="97" spans="1:14" ht="82.5">
      <c r="A97" s="268" t="str">
        <f t="shared" si="1"/>
        <v>Analytical Thinking|Analyst|4</v>
      </c>
      <c r="B97" s="223" t="s">
        <v>500</v>
      </c>
      <c r="C97" s="226" t="s">
        <v>6</v>
      </c>
      <c r="D97" s="227">
        <v>4</v>
      </c>
      <c r="E97" s="227" t="s">
        <v>581</v>
      </c>
      <c r="F97" s="227">
        <v>3</v>
      </c>
      <c r="G97" s="276" t="s">
        <v>1020</v>
      </c>
      <c r="H97" s="276" t="s">
        <v>1021</v>
      </c>
      <c r="I97" s="276" t="s">
        <v>1022</v>
      </c>
      <c r="J97" s="276" t="s">
        <v>1023</v>
      </c>
      <c r="K97" s="276" t="s">
        <v>531</v>
      </c>
      <c r="L97" s="276" t="s">
        <v>532</v>
      </c>
      <c r="M97" s="276" t="s">
        <v>1024</v>
      </c>
      <c r="N97" s="276" t="s">
        <v>562</v>
      </c>
    </row>
    <row r="98" spans="1:14" ht="82.5">
      <c r="A98" s="268" t="str">
        <f t="shared" si="1"/>
        <v>Analytical Thinking|Unit Head/Specialist|1</v>
      </c>
      <c r="B98" s="223" t="s">
        <v>500</v>
      </c>
      <c r="C98" s="227" t="s">
        <v>13</v>
      </c>
      <c r="D98" s="226">
        <v>1</v>
      </c>
      <c r="E98" s="227" t="s">
        <v>526</v>
      </c>
      <c r="F98" s="227">
        <v>1</v>
      </c>
      <c r="G98" s="276" t="s">
        <v>1025</v>
      </c>
      <c r="H98" s="276" t="s">
        <v>1026</v>
      </c>
      <c r="I98" s="276" t="s">
        <v>1027</v>
      </c>
      <c r="J98" s="276" t="s">
        <v>1028</v>
      </c>
      <c r="K98" s="276" t="s">
        <v>531</v>
      </c>
      <c r="L98" s="276" t="s">
        <v>532</v>
      </c>
      <c r="M98" s="276" t="s">
        <v>1029</v>
      </c>
      <c r="N98" s="276" t="s">
        <v>534</v>
      </c>
    </row>
    <row r="99" spans="1:14" ht="66">
      <c r="A99" s="268" t="str">
        <f t="shared" si="1"/>
        <v>Analytical Thinking|Unit Head/Specialist|1</v>
      </c>
      <c r="B99" s="223" t="s">
        <v>500</v>
      </c>
      <c r="C99" s="227" t="s">
        <v>13</v>
      </c>
      <c r="D99" s="226">
        <v>1</v>
      </c>
      <c r="E99" s="227" t="s">
        <v>526</v>
      </c>
      <c r="F99" s="227">
        <v>2</v>
      </c>
      <c r="G99" s="276" t="s">
        <v>1030</v>
      </c>
      <c r="H99" s="276" t="s">
        <v>1031</v>
      </c>
      <c r="I99" s="276" t="s">
        <v>1032</v>
      </c>
      <c r="J99" s="276" t="s">
        <v>1033</v>
      </c>
      <c r="K99" s="276" t="s">
        <v>531</v>
      </c>
      <c r="L99" s="276" t="s">
        <v>532</v>
      </c>
      <c r="M99" s="276" t="s">
        <v>1034</v>
      </c>
      <c r="N99" s="276" t="s">
        <v>534</v>
      </c>
    </row>
    <row r="100" spans="1:14" ht="82.5">
      <c r="A100" s="268" t="str">
        <f t="shared" si="1"/>
        <v>Analytical Thinking|Unit Head/Specialist|1</v>
      </c>
      <c r="B100" s="223" t="s">
        <v>500</v>
      </c>
      <c r="C100" s="227" t="s">
        <v>13</v>
      </c>
      <c r="D100" s="226">
        <v>1</v>
      </c>
      <c r="E100" s="227" t="s">
        <v>526</v>
      </c>
      <c r="F100" s="227">
        <v>3</v>
      </c>
      <c r="G100" s="276" t="s">
        <v>1035</v>
      </c>
      <c r="H100" s="276" t="s">
        <v>1036</v>
      </c>
      <c r="I100" s="276" t="s">
        <v>1037</v>
      </c>
      <c r="J100" s="276" t="s">
        <v>1038</v>
      </c>
      <c r="K100" s="276" t="s">
        <v>531</v>
      </c>
      <c r="L100" s="276" t="s">
        <v>532</v>
      </c>
      <c r="M100" s="276" t="s">
        <v>1039</v>
      </c>
      <c r="N100" s="276" t="s">
        <v>534</v>
      </c>
    </row>
    <row r="101" spans="1:14" ht="82.5">
      <c r="A101" s="268" t="str">
        <f t="shared" si="1"/>
        <v>Analytical Thinking|Unit Head/Specialist|2</v>
      </c>
      <c r="B101" s="223" t="s">
        <v>500</v>
      </c>
      <c r="C101" s="227" t="s">
        <v>13</v>
      </c>
      <c r="D101" s="227">
        <v>2</v>
      </c>
      <c r="E101" s="227" t="s">
        <v>545</v>
      </c>
      <c r="F101" s="227">
        <v>1</v>
      </c>
      <c r="G101" s="276" t="s">
        <v>1040</v>
      </c>
      <c r="H101" s="276" t="s">
        <v>1041</v>
      </c>
      <c r="I101" s="276" t="s">
        <v>1042</v>
      </c>
      <c r="J101" s="276" t="s">
        <v>1043</v>
      </c>
      <c r="K101" s="276" t="s">
        <v>531</v>
      </c>
      <c r="L101" s="276" t="s">
        <v>532</v>
      </c>
      <c r="M101" s="276" t="s">
        <v>1044</v>
      </c>
      <c r="N101" s="276" t="s">
        <v>551</v>
      </c>
    </row>
    <row r="102" spans="1:14" ht="66">
      <c r="A102" s="268" t="str">
        <f t="shared" si="1"/>
        <v>Analytical Thinking|Unit Head/Specialist|2</v>
      </c>
      <c r="B102" s="223" t="s">
        <v>500</v>
      </c>
      <c r="C102" s="227" t="s">
        <v>13</v>
      </c>
      <c r="D102" s="227">
        <v>2</v>
      </c>
      <c r="E102" s="227" t="s">
        <v>545</v>
      </c>
      <c r="F102" s="227">
        <v>2</v>
      </c>
      <c r="G102" s="276" t="s">
        <v>1045</v>
      </c>
      <c r="H102" s="276" t="s">
        <v>1046</v>
      </c>
      <c r="I102" s="276" t="s">
        <v>1047</v>
      </c>
      <c r="J102" s="276" t="s">
        <v>1048</v>
      </c>
      <c r="K102" s="276" t="s">
        <v>531</v>
      </c>
      <c r="L102" s="276" t="s">
        <v>532</v>
      </c>
      <c r="M102" s="276" t="s">
        <v>1049</v>
      </c>
      <c r="N102" s="276" t="s">
        <v>1050</v>
      </c>
    </row>
    <row r="103" spans="1:14" ht="82.5">
      <c r="A103" s="268" t="str">
        <f t="shared" si="1"/>
        <v>Analytical Thinking|Unit Head/Specialist|2</v>
      </c>
      <c r="B103" s="223" t="s">
        <v>500</v>
      </c>
      <c r="C103" s="227" t="s">
        <v>13</v>
      </c>
      <c r="D103" s="227">
        <v>2</v>
      </c>
      <c r="E103" s="227" t="s">
        <v>545</v>
      </c>
      <c r="F103" s="227">
        <v>3</v>
      </c>
      <c r="G103" s="276" t="s">
        <v>1051</v>
      </c>
      <c r="H103" s="276" t="s">
        <v>1052</v>
      </c>
      <c r="I103" s="276" t="s">
        <v>1053</v>
      </c>
      <c r="J103" s="276" t="s">
        <v>1054</v>
      </c>
      <c r="K103" s="276" t="s">
        <v>531</v>
      </c>
      <c r="L103" s="276" t="s">
        <v>532</v>
      </c>
      <c r="M103" s="276" t="s">
        <v>1055</v>
      </c>
      <c r="N103" s="276" t="s">
        <v>534</v>
      </c>
    </row>
    <row r="104" spans="1:14" ht="82.5">
      <c r="A104" s="268" t="str">
        <f t="shared" si="1"/>
        <v>Analytical Thinking|Unit Head/Specialist|3</v>
      </c>
      <c r="B104" s="223" t="s">
        <v>500</v>
      </c>
      <c r="C104" s="227" t="s">
        <v>13</v>
      </c>
      <c r="D104" s="227">
        <v>3</v>
      </c>
      <c r="E104" s="227" t="s">
        <v>563</v>
      </c>
      <c r="F104" s="227">
        <v>1</v>
      </c>
      <c r="G104" s="276" t="s">
        <v>1056</v>
      </c>
      <c r="H104" s="276" t="s">
        <v>1057</v>
      </c>
      <c r="I104" s="276" t="s">
        <v>1058</v>
      </c>
      <c r="J104" s="276" t="s">
        <v>1059</v>
      </c>
      <c r="K104" s="276" t="s">
        <v>531</v>
      </c>
      <c r="L104" s="276" t="s">
        <v>532</v>
      </c>
      <c r="M104" s="276" t="s">
        <v>1060</v>
      </c>
      <c r="N104" s="276" t="s">
        <v>534</v>
      </c>
    </row>
    <row r="105" spans="1:14" ht="99">
      <c r="A105" s="268" t="str">
        <f t="shared" si="1"/>
        <v>Analytical Thinking|Unit Head/Specialist|3</v>
      </c>
      <c r="B105" s="223" t="s">
        <v>500</v>
      </c>
      <c r="C105" s="227" t="s">
        <v>13</v>
      </c>
      <c r="D105" s="227">
        <v>3</v>
      </c>
      <c r="E105" s="227" t="s">
        <v>563</v>
      </c>
      <c r="F105" s="227">
        <v>2</v>
      </c>
      <c r="G105" s="276" t="s">
        <v>1061</v>
      </c>
      <c r="H105" s="276" t="s">
        <v>1062</v>
      </c>
      <c r="I105" s="276" t="s">
        <v>1063</v>
      </c>
      <c r="J105" s="276" t="s">
        <v>1064</v>
      </c>
      <c r="K105" s="276" t="s">
        <v>531</v>
      </c>
      <c r="L105" s="276" t="s">
        <v>532</v>
      </c>
      <c r="M105" s="276" t="s">
        <v>1065</v>
      </c>
      <c r="N105" s="276" t="s">
        <v>562</v>
      </c>
    </row>
    <row r="106" spans="1:14" ht="115.5">
      <c r="A106" s="268" t="str">
        <f t="shared" si="1"/>
        <v>Analytical Thinking|Unit Head/Specialist|3</v>
      </c>
      <c r="B106" s="223" t="s">
        <v>500</v>
      </c>
      <c r="C106" s="227" t="s">
        <v>13</v>
      </c>
      <c r="D106" s="227">
        <v>3</v>
      </c>
      <c r="E106" s="227" t="s">
        <v>563</v>
      </c>
      <c r="F106" s="227">
        <v>3</v>
      </c>
      <c r="G106" s="276" t="s">
        <v>1066</v>
      </c>
      <c r="H106" s="276" t="s">
        <v>1067</v>
      </c>
      <c r="I106" s="276" t="s">
        <v>1068</v>
      </c>
      <c r="J106" s="276" t="s">
        <v>948</v>
      </c>
      <c r="K106" s="276" t="s">
        <v>531</v>
      </c>
      <c r="L106" s="276" t="s">
        <v>532</v>
      </c>
      <c r="M106" s="276" t="s">
        <v>1069</v>
      </c>
      <c r="N106" s="276" t="s">
        <v>580</v>
      </c>
    </row>
    <row r="107" spans="1:14" ht="99">
      <c r="A107" s="268" t="str">
        <f t="shared" si="1"/>
        <v>Analytical Thinking|Unit Head/Specialist|4</v>
      </c>
      <c r="B107" s="223" t="s">
        <v>500</v>
      </c>
      <c r="C107" s="227" t="s">
        <v>13</v>
      </c>
      <c r="D107" s="227">
        <v>4</v>
      </c>
      <c r="E107" s="227" t="s">
        <v>581</v>
      </c>
      <c r="F107" s="227">
        <v>1</v>
      </c>
      <c r="G107" s="276" t="s">
        <v>1070</v>
      </c>
      <c r="H107" s="276" t="s">
        <v>1071</v>
      </c>
      <c r="I107" s="276" t="s">
        <v>1072</v>
      </c>
      <c r="J107" s="276" t="s">
        <v>1073</v>
      </c>
      <c r="K107" s="276" t="s">
        <v>531</v>
      </c>
      <c r="L107" s="276" t="s">
        <v>532</v>
      </c>
      <c r="M107" s="276" t="s">
        <v>1074</v>
      </c>
      <c r="N107" s="276" t="s">
        <v>562</v>
      </c>
    </row>
    <row r="108" spans="1:14" ht="82.5">
      <c r="A108" s="268" t="str">
        <f t="shared" si="1"/>
        <v>Analytical Thinking|Unit Head/Specialist|4</v>
      </c>
      <c r="B108" s="223" t="s">
        <v>500</v>
      </c>
      <c r="C108" s="227" t="s">
        <v>13</v>
      </c>
      <c r="D108" s="227">
        <v>4</v>
      </c>
      <c r="E108" s="227" t="s">
        <v>581</v>
      </c>
      <c r="F108" s="227">
        <v>2</v>
      </c>
      <c r="G108" s="276" t="s">
        <v>1075</v>
      </c>
      <c r="H108" s="276" t="s">
        <v>1076</v>
      </c>
      <c r="I108" s="276" t="s">
        <v>1077</v>
      </c>
      <c r="J108" s="276" t="s">
        <v>1078</v>
      </c>
      <c r="K108" s="276" t="s">
        <v>531</v>
      </c>
      <c r="L108" s="276" t="s">
        <v>532</v>
      </c>
      <c r="M108" s="276" t="s">
        <v>1079</v>
      </c>
      <c r="N108" s="276" t="s">
        <v>1050</v>
      </c>
    </row>
    <row r="109" spans="1:14" ht="66">
      <c r="A109" s="268" t="str">
        <f t="shared" si="1"/>
        <v>Analytical Thinking|Unit Head/Specialist|4</v>
      </c>
      <c r="B109" s="223" t="s">
        <v>500</v>
      </c>
      <c r="C109" s="227" t="s">
        <v>13</v>
      </c>
      <c r="D109" s="227">
        <v>4</v>
      </c>
      <c r="E109" s="227" t="s">
        <v>581</v>
      </c>
      <c r="F109" s="227">
        <v>3</v>
      </c>
      <c r="G109" s="276" t="s">
        <v>1080</v>
      </c>
      <c r="H109" s="276" t="s">
        <v>1081</v>
      </c>
      <c r="I109" s="276" t="s">
        <v>1082</v>
      </c>
      <c r="J109" s="276" t="s">
        <v>1083</v>
      </c>
      <c r="K109" s="276" t="s">
        <v>531</v>
      </c>
      <c r="L109" s="276" t="s">
        <v>532</v>
      </c>
      <c r="M109" s="276" t="s">
        <v>1084</v>
      </c>
      <c r="N109" s="276" t="s">
        <v>1085</v>
      </c>
    </row>
    <row r="110" spans="1:14" ht="66">
      <c r="A110" s="268" t="str">
        <f t="shared" si="1"/>
        <v>Analytical Thinking|Department Head|1</v>
      </c>
      <c r="B110" s="223" t="s">
        <v>500</v>
      </c>
      <c r="C110" s="227" t="s">
        <v>719</v>
      </c>
      <c r="D110" s="226">
        <v>1</v>
      </c>
      <c r="E110" s="227" t="s">
        <v>526</v>
      </c>
      <c r="F110" s="227">
        <v>1</v>
      </c>
      <c r="G110" s="276" t="s">
        <v>1086</v>
      </c>
      <c r="H110" s="276" t="s">
        <v>1087</v>
      </c>
      <c r="I110" s="276" t="s">
        <v>1088</v>
      </c>
      <c r="J110" s="276" t="s">
        <v>1089</v>
      </c>
      <c r="K110" s="276" t="s">
        <v>531</v>
      </c>
      <c r="L110" s="276" t="s">
        <v>532</v>
      </c>
      <c r="M110" s="276" t="s">
        <v>1090</v>
      </c>
      <c r="N110" s="276" t="s">
        <v>534</v>
      </c>
    </row>
    <row r="111" spans="1:14" ht="66">
      <c r="A111" s="268" t="str">
        <f t="shared" si="1"/>
        <v>Analytical Thinking|Department Head|1</v>
      </c>
      <c r="B111" s="223" t="s">
        <v>500</v>
      </c>
      <c r="C111" s="227" t="s">
        <v>719</v>
      </c>
      <c r="D111" s="226">
        <v>1</v>
      </c>
      <c r="E111" s="227" t="s">
        <v>526</v>
      </c>
      <c r="F111" s="227">
        <v>2</v>
      </c>
      <c r="G111" s="276" t="s">
        <v>1091</v>
      </c>
      <c r="H111" s="276" t="s">
        <v>1092</v>
      </c>
      <c r="I111" s="276" t="s">
        <v>1093</v>
      </c>
      <c r="J111" s="276" t="s">
        <v>1094</v>
      </c>
      <c r="K111" s="276" t="s">
        <v>531</v>
      </c>
      <c r="L111" s="276" t="s">
        <v>532</v>
      </c>
      <c r="M111" s="276" t="s">
        <v>1095</v>
      </c>
      <c r="N111" s="276" t="s">
        <v>534</v>
      </c>
    </row>
    <row r="112" spans="1:14" ht="82.5">
      <c r="A112" s="268" t="str">
        <f t="shared" si="1"/>
        <v>Analytical Thinking|Department Head|1</v>
      </c>
      <c r="B112" s="223" t="s">
        <v>500</v>
      </c>
      <c r="C112" s="227" t="s">
        <v>719</v>
      </c>
      <c r="D112" s="226">
        <v>1</v>
      </c>
      <c r="E112" s="227" t="s">
        <v>526</v>
      </c>
      <c r="F112" s="227">
        <v>3</v>
      </c>
      <c r="G112" s="276" t="s">
        <v>1096</v>
      </c>
      <c r="H112" s="276" t="s">
        <v>1097</v>
      </c>
      <c r="I112" s="276" t="s">
        <v>1098</v>
      </c>
      <c r="J112" s="276" t="s">
        <v>1099</v>
      </c>
      <c r="K112" s="276" t="s">
        <v>531</v>
      </c>
      <c r="L112" s="276" t="s">
        <v>532</v>
      </c>
      <c r="M112" s="276" t="s">
        <v>1100</v>
      </c>
      <c r="N112" s="276" t="s">
        <v>562</v>
      </c>
    </row>
    <row r="113" spans="1:14" ht="82.5">
      <c r="A113" s="268" t="str">
        <f t="shared" si="1"/>
        <v>Analytical Thinking|Department Head|2</v>
      </c>
      <c r="B113" s="223" t="s">
        <v>500</v>
      </c>
      <c r="C113" s="227" t="s">
        <v>719</v>
      </c>
      <c r="D113" s="227">
        <v>2</v>
      </c>
      <c r="E113" s="227" t="s">
        <v>545</v>
      </c>
      <c r="F113" s="227">
        <v>1</v>
      </c>
      <c r="G113" s="276" t="s">
        <v>1101</v>
      </c>
      <c r="H113" s="276" t="s">
        <v>1102</v>
      </c>
      <c r="I113" s="276" t="s">
        <v>1103</v>
      </c>
      <c r="J113" s="276" t="s">
        <v>1104</v>
      </c>
      <c r="K113" s="276" t="s">
        <v>531</v>
      </c>
      <c r="L113" s="276" t="s">
        <v>532</v>
      </c>
      <c r="M113" s="276" t="s">
        <v>1105</v>
      </c>
      <c r="N113" s="276" t="s">
        <v>551</v>
      </c>
    </row>
    <row r="114" spans="1:14" ht="66">
      <c r="A114" s="268" t="str">
        <f t="shared" si="1"/>
        <v>Analytical Thinking|Department Head|2</v>
      </c>
      <c r="B114" s="223" t="s">
        <v>500</v>
      </c>
      <c r="C114" s="227" t="s">
        <v>719</v>
      </c>
      <c r="D114" s="227">
        <v>2</v>
      </c>
      <c r="E114" s="227" t="s">
        <v>545</v>
      </c>
      <c r="F114" s="227">
        <v>2</v>
      </c>
      <c r="G114" s="276" t="s">
        <v>1106</v>
      </c>
      <c r="H114" s="276" t="s">
        <v>1107</v>
      </c>
      <c r="I114" s="276" t="s">
        <v>1108</v>
      </c>
      <c r="J114" s="276" t="s">
        <v>1109</v>
      </c>
      <c r="K114" s="276" t="s">
        <v>531</v>
      </c>
      <c r="L114" s="276" t="s">
        <v>532</v>
      </c>
      <c r="M114" s="276" t="s">
        <v>1110</v>
      </c>
      <c r="N114" s="276" t="s">
        <v>562</v>
      </c>
    </row>
    <row r="115" spans="1:14" ht="49.5">
      <c r="A115" s="268" t="str">
        <f t="shared" si="1"/>
        <v>Analytical Thinking|Department Head|2</v>
      </c>
      <c r="B115" s="223" t="s">
        <v>500</v>
      </c>
      <c r="C115" s="227" t="s">
        <v>719</v>
      </c>
      <c r="D115" s="227">
        <v>2</v>
      </c>
      <c r="E115" s="227" t="s">
        <v>545</v>
      </c>
      <c r="F115" s="227">
        <v>3</v>
      </c>
      <c r="G115" s="276" t="s">
        <v>1111</v>
      </c>
      <c r="H115" s="276" t="s">
        <v>1112</v>
      </c>
      <c r="I115" s="276" t="s">
        <v>1113</v>
      </c>
      <c r="J115" s="276" t="s">
        <v>1114</v>
      </c>
      <c r="K115" s="276" t="s">
        <v>531</v>
      </c>
      <c r="L115" s="276" t="s">
        <v>532</v>
      </c>
      <c r="M115" s="276" t="s">
        <v>1115</v>
      </c>
      <c r="N115" s="276" t="s">
        <v>534</v>
      </c>
    </row>
    <row r="116" spans="1:14" ht="82.5">
      <c r="A116" s="268" t="str">
        <f t="shared" si="1"/>
        <v>Analytical Thinking|Department Head|3</v>
      </c>
      <c r="B116" s="223" t="s">
        <v>500</v>
      </c>
      <c r="C116" s="227" t="s">
        <v>719</v>
      </c>
      <c r="D116" s="227">
        <v>3</v>
      </c>
      <c r="E116" s="227" t="s">
        <v>563</v>
      </c>
      <c r="F116" s="227">
        <v>1</v>
      </c>
      <c r="G116" s="276" t="s">
        <v>1116</v>
      </c>
      <c r="H116" s="276" t="s">
        <v>1117</v>
      </c>
      <c r="I116" s="276" t="s">
        <v>1118</v>
      </c>
      <c r="J116" s="276" t="s">
        <v>1119</v>
      </c>
      <c r="K116" s="276" t="s">
        <v>531</v>
      </c>
      <c r="L116" s="276" t="s">
        <v>532</v>
      </c>
      <c r="M116" s="276" t="s">
        <v>1120</v>
      </c>
      <c r="N116" s="276" t="s">
        <v>534</v>
      </c>
    </row>
    <row r="117" spans="1:14" ht="82.5">
      <c r="A117" s="268" t="str">
        <f t="shared" si="1"/>
        <v>Analytical Thinking|Department Head|3</v>
      </c>
      <c r="B117" s="223" t="s">
        <v>500</v>
      </c>
      <c r="C117" s="227" t="s">
        <v>719</v>
      </c>
      <c r="D117" s="227">
        <v>3</v>
      </c>
      <c r="E117" s="227" t="s">
        <v>563</v>
      </c>
      <c r="F117" s="227">
        <v>2</v>
      </c>
      <c r="G117" s="276" t="s">
        <v>1121</v>
      </c>
      <c r="H117" s="276" t="s">
        <v>1122</v>
      </c>
      <c r="I117" s="276" t="s">
        <v>1123</v>
      </c>
      <c r="J117" s="276" t="s">
        <v>757</v>
      </c>
      <c r="K117" s="276" t="s">
        <v>531</v>
      </c>
      <c r="L117" s="276" t="s">
        <v>532</v>
      </c>
      <c r="M117" s="276" t="s">
        <v>1124</v>
      </c>
      <c r="N117" s="276" t="s">
        <v>562</v>
      </c>
    </row>
    <row r="118" spans="1:14" ht="99">
      <c r="A118" s="268" t="str">
        <f t="shared" si="1"/>
        <v>Analytical Thinking|Department Head|3</v>
      </c>
      <c r="B118" s="223" t="s">
        <v>500</v>
      </c>
      <c r="C118" s="227" t="s">
        <v>719</v>
      </c>
      <c r="D118" s="227">
        <v>3</v>
      </c>
      <c r="E118" s="227" t="s">
        <v>563</v>
      </c>
      <c r="F118" s="227">
        <v>3</v>
      </c>
      <c r="G118" s="276" t="s">
        <v>1125</v>
      </c>
      <c r="H118" s="276" t="s">
        <v>1126</v>
      </c>
      <c r="I118" s="276" t="s">
        <v>1127</v>
      </c>
      <c r="J118" s="276" t="s">
        <v>948</v>
      </c>
      <c r="K118" s="276" t="s">
        <v>531</v>
      </c>
      <c r="L118" s="276" t="s">
        <v>532</v>
      </c>
      <c r="M118" s="276" t="s">
        <v>1128</v>
      </c>
      <c r="N118" s="276" t="s">
        <v>580</v>
      </c>
    </row>
    <row r="119" spans="1:14" ht="82.5">
      <c r="A119" s="268" t="str">
        <f t="shared" si="1"/>
        <v>Analytical Thinking|Department Head|4</v>
      </c>
      <c r="B119" s="223" t="s">
        <v>500</v>
      </c>
      <c r="C119" s="227" t="s">
        <v>719</v>
      </c>
      <c r="D119" s="227">
        <v>4</v>
      </c>
      <c r="E119" s="227" t="s">
        <v>581</v>
      </c>
      <c r="F119" s="227">
        <v>1</v>
      </c>
      <c r="G119" s="276" t="s">
        <v>1129</v>
      </c>
      <c r="H119" s="276" t="s">
        <v>1130</v>
      </c>
      <c r="I119" s="276" t="s">
        <v>1131</v>
      </c>
      <c r="J119" s="276" t="s">
        <v>1132</v>
      </c>
      <c r="K119" s="276" t="s">
        <v>531</v>
      </c>
      <c r="L119" s="276" t="s">
        <v>532</v>
      </c>
      <c r="M119" s="276" t="s">
        <v>1133</v>
      </c>
      <c r="N119" s="276" t="s">
        <v>562</v>
      </c>
    </row>
    <row r="120" spans="1:14" ht="66">
      <c r="A120" s="268" t="str">
        <f t="shared" si="1"/>
        <v>Analytical Thinking|Department Head|4</v>
      </c>
      <c r="B120" s="223" t="s">
        <v>500</v>
      </c>
      <c r="C120" s="227" t="s">
        <v>719</v>
      </c>
      <c r="D120" s="227">
        <v>4</v>
      </c>
      <c r="E120" s="227" t="s">
        <v>581</v>
      </c>
      <c r="F120" s="227">
        <v>2</v>
      </c>
      <c r="G120" s="276" t="s">
        <v>1134</v>
      </c>
      <c r="H120" s="276" t="s">
        <v>1135</v>
      </c>
      <c r="I120" s="276" t="s">
        <v>1136</v>
      </c>
      <c r="J120" s="276" t="s">
        <v>1137</v>
      </c>
      <c r="K120" s="276" t="s">
        <v>531</v>
      </c>
      <c r="L120" s="276" t="s">
        <v>532</v>
      </c>
      <c r="M120" s="276" t="s">
        <v>1138</v>
      </c>
      <c r="N120" s="276" t="s">
        <v>562</v>
      </c>
    </row>
    <row r="121" spans="1:14" ht="66">
      <c r="A121" s="268" t="str">
        <f t="shared" si="1"/>
        <v>Analytical Thinking|Department Head|4</v>
      </c>
      <c r="B121" s="223" t="s">
        <v>500</v>
      </c>
      <c r="C121" s="227" t="s">
        <v>719</v>
      </c>
      <c r="D121" s="227">
        <v>4</v>
      </c>
      <c r="E121" s="227" t="s">
        <v>581</v>
      </c>
      <c r="F121" s="227">
        <v>3</v>
      </c>
      <c r="G121" s="276" t="s">
        <v>1139</v>
      </c>
      <c r="H121" s="276" t="s">
        <v>1140</v>
      </c>
      <c r="I121" s="276" t="s">
        <v>1141</v>
      </c>
      <c r="J121" s="276" t="s">
        <v>1142</v>
      </c>
      <c r="K121" s="276" t="s">
        <v>531</v>
      </c>
      <c r="L121" s="276" t="s">
        <v>532</v>
      </c>
      <c r="M121" s="276" t="s">
        <v>1143</v>
      </c>
      <c r="N121" s="276" t="s">
        <v>562</v>
      </c>
    </row>
    <row r="122" spans="1:14" ht="82.5">
      <c r="A122" s="268" t="str">
        <f t="shared" si="1"/>
        <v>Analytical Thinking|Division Head|1</v>
      </c>
      <c r="B122" s="223" t="s">
        <v>500</v>
      </c>
      <c r="C122" s="227" t="s">
        <v>778</v>
      </c>
      <c r="D122" s="226">
        <v>1</v>
      </c>
      <c r="E122" s="227" t="s">
        <v>526</v>
      </c>
      <c r="F122" s="227">
        <v>1</v>
      </c>
      <c r="G122" s="276" t="s">
        <v>1144</v>
      </c>
      <c r="H122" s="276" t="s">
        <v>1145</v>
      </c>
      <c r="I122" s="276" t="s">
        <v>1146</v>
      </c>
      <c r="J122" s="276" t="s">
        <v>1147</v>
      </c>
      <c r="K122" s="276" t="s">
        <v>531</v>
      </c>
      <c r="L122" s="276" t="s">
        <v>532</v>
      </c>
      <c r="M122" s="276" t="s">
        <v>1148</v>
      </c>
      <c r="N122" s="276" t="s">
        <v>534</v>
      </c>
    </row>
    <row r="123" spans="1:14" ht="82.5">
      <c r="A123" s="268" t="str">
        <f t="shared" si="1"/>
        <v>Analytical Thinking|Division Head|1</v>
      </c>
      <c r="B123" s="223" t="s">
        <v>500</v>
      </c>
      <c r="C123" s="227" t="s">
        <v>778</v>
      </c>
      <c r="D123" s="226">
        <v>1</v>
      </c>
      <c r="E123" s="227" t="s">
        <v>526</v>
      </c>
      <c r="F123" s="227">
        <v>2</v>
      </c>
      <c r="G123" s="276" t="s">
        <v>1149</v>
      </c>
      <c r="H123" s="276" t="s">
        <v>1150</v>
      </c>
      <c r="I123" s="276" t="s">
        <v>1151</v>
      </c>
      <c r="J123" s="276" t="s">
        <v>1152</v>
      </c>
      <c r="K123" s="276" t="s">
        <v>531</v>
      </c>
      <c r="L123" s="276" t="s">
        <v>532</v>
      </c>
      <c r="M123" s="276" t="s">
        <v>1153</v>
      </c>
      <c r="N123" s="276" t="s">
        <v>534</v>
      </c>
    </row>
    <row r="124" spans="1:14" ht="82.5">
      <c r="A124" s="268" t="str">
        <f t="shared" si="1"/>
        <v>Analytical Thinking|Division Head|1</v>
      </c>
      <c r="B124" s="223" t="s">
        <v>500</v>
      </c>
      <c r="C124" s="227" t="s">
        <v>778</v>
      </c>
      <c r="D124" s="226">
        <v>1</v>
      </c>
      <c r="E124" s="227" t="s">
        <v>526</v>
      </c>
      <c r="F124" s="227">
        <v>3</v>
      </c>
      <c r="G124" s="276" t="s">
        <v>1154</v>
      </c>
      <c r="H124" s="276" t="s">
        <v>1155</v>
      </c>
      <c r="I124" s="276" t="s">
        <v>1156</v>
      </c>
      <c r="J124" s="276" t="s">
        <v>1157</v>
      </c>
      <c r="K124" s="276" t="s">
        <v>531</v>
      </c>
      <c r="L124" s="276" t="s">
        <v>532</v>
      </c>
      <c r="M124" s="276" t="s">
        <v>1158</v>
      </c>
      <c r="N124" s="276" t="s">
        <v>856</v>
      </c>
    </row>
    <row r="125" spans="1:14" ht="66">
      <c r="A125" s="268" t="str">
        <f t="shared" si="1"/>
        <v>Analytical Thinking|Division Head|2</v>
      </c>
      <c r="B125" s="223" t="s">
        <v>500</v>
      </c>
      <c r="C125" s="227" t="s">
        <v>778</v>
      </c>
      <c r="D125" s="227">
        <v>2</v>
      </c>
      <c r="E125" s="227" t="s">
        <v>545</v>
      </c>
      <c r="F125" s="227">
        <v>1</v>
      </c>
      <c r="G125" s="276" t="s">
        <v>1159</v>
      </c>
      <c r="H125" s="276" t="s">
        <v>1160</v>
      </c>
      <c r="I125" s="276" t="s">
        <v>1161</v>
      </c>
      <c r="J125" s="276" t="s">
        <v>1162</v>
      </c>
      <c r="K125" s="276" t="s">
        <v>531</v>
      </c>
      <c r="L125" s="276" t="s">
        <v>532</v>
      </c>
      <c r="M125" s="276" t="s">
        <v>1163</v>
      </c>
      <c r="N125" s="276" t="s">
        <v>862</v>
      </c>
    </row>
    <row r="126" spans="1:14" ht="66">
      <c r="A126" s="268" t="str">
        <f t="shared" si="1"/>
        <v>Analytical Thinking|Division Head|2</v>
      </c>
      <c r="B126" s="223" t="s">
        <v>500</v>
      </c>
      <c r="C126" s="227" t="s">
        <v>778</v>
      </c>
      <c r="D126" s="227">
        <v>2</v>
      </c>
      <c r="E126" s="227" t="s">
        <v>545</v>
      </c>
      <c r="F126" s="227">
        <v>2</v>
      </c>
      <c r="G126" s="276" t="s">
        <v>1164</v>
      </c>
      <c r="H126" s="276" t="s">
        <v>1165</v>
      </c>
      <c r="I126" s="276" t="s">
        <v>1166</v>
      </c>
      <c r="J126" s="276" t="s">
        <v>1167</v>
      </c>
      <c r="K126" s="276" t="s">
        <v>531</v>
      </c>
      <c r="L126" s="276" t="s">
        <v>532</v>
      </c>
      <c r="M126" s="276" t="s">
        <v>1168</v>
      </c>
      <c r="N126" s="276" t="s">
        <v>1169</v>
      </c>
    </row>
    <row r="127" spans="1:14" ht="66">
      <c r="A127" s="268" t="str">
        <f t="shared" si="1"/>
        <v>Analytical Thinking|Division Head|2</v>
      </c>
      <c r="B127" s="223" t="s">
        <v>500</v>
      </c>
      <c r="C127" s="227" t="s">
        <v>778</v>
      </c>
      <c r="D127" s="227">
        <v>2</v>
      </c>
      <c r="E127" s="227" t="s">
        <v>545</v>
      </c>
      <c r="F127" s="227">
        <v>3</v>
      </c>
      <c r="G127" s="276" t="s">
        <v>1170</v>
      </c>
      <c r="H127" s="276" t="s">
        <v>1171</v>
      </c>
      <c r="I127" s="276" t="s">
        <v>1172</v>
      </c>
      <c r="J127" s="276" t="s">
        <v>1173</v>
      </c>
      <c r="K127" s="276" t="s">
        <v>531</v>
      </c>
      <c r="L127" s="276" t="s">
        <v>532</v>
      </c>
      <c r="M127" s="276" t="s">
        <v>1174</v>
      </c>
      <c r="N127" s="276" t="s">
        <v>856</v>
      </c>
    </row>
    <row r="128" spans="1:14" ht="99">
      <c r="A128" s="268" t="str">
        <f t="shared" si="1"/>
        <v>Analytical Thinking|Division Head|3</v>
      </c>
      <c r="B128" s="223" t="s">
        <v>500</v>
      </c>
      <c r="C128" s="227" t="s">
        <v>778</v>
      </c>
      <c r="D128" s="227">
        <v>3</v>
      </c>
      <c r="E128" s="227" t="s">
        <v>563</v>
      </c>
      <c r="F128" s="227">
        <v>1</v>
      </c>
      <c r="G128" s="276" t="s">
        <v>1175</v>
      </c>
      <c r="H128" s="276" t="s">
        <v>1176</v>
      </c>
      <c r="I128" s="276" t="s">
        <v>1177</v>
      </c>
      <c r="J128" s="276" t="s">
        <v>1178</v>
      </c>
      <c r="K128" s="276" t="s">
        <v>531</v>
      </c>
      <c r="L128" s="276" t="s">
        <v>532</v>
      </c>
      <c r="M128" s="276" t="s">
        <v>1179</v>
      </c>
      <c r="N128" s="276" t="s">
        <v>534</v>
      </c>
    </row>
    <row r="129" spans="1:14" ht="82.5">
      <c r="A129" s="268" t="str">
        <f t="shared" si="1"/>
        <v>Analytical Thinking|Division Head|3</v>
      </c>
      <c r="B129" s="223" t="s">
        <v>500</v>
      </c>
      <c r="C129" s="227" t="s">
        <v>778</v>
      </c>
      <c r="D129" s="227">
        <v>3</v>
      </c>
      <c r="E129" s="227" t="s">
        <v>563</v>
      </c>
      <c r="F129" s="227">
        <v>2</v>
      </c>
      <c r="G129" s="276" t="s">
        <v>1180</v>
      </c>
      <c r="H129" s="276" t="s">
        <v>1181</v>
      </c>
      <c r="I129" s="276" t="s">
        <v>1182</v>
      </c>
      <c r="J129" s="276" t="s">
        <v>1183</v>
      </c>
      <c r="K129" s="276" t="s">
        <v>531</v>
      </c>
      <c r="L129" s="276" t="s">
        <v>532</v>
      </c>
      <c r="M129" s="276" t="s">
        <v>1184</v>
      </c>
      <c r="N129" s="276" t="s">
        <v>1185</v>
      </c>
    </row>
    <row r="130" spans="1:14" ht="115.5">
      <c r="A130" s="268" t="str">
        <f t="shared" si="1"/>
        <v>Analytical Thinking|Division Head|3</v>
      </c>
      <c r="B130" s="223" t="s">
        <v>500</v>
      </c>
      <c r="C130" s="227" t="s">
        <v>778</v>
      </c>
      <c r="D130" s="227">
        <v>3</v>
      </c>
      <c r="E130" s="227" t="s">
        <v>563</v>
      </c>
      <c r="F130" s="227">
        <v>3</v>
      </c>
      <c r="G130" s="276" t="s">
        <v>1186</v>
      </c>
      <c r="H130" s="276" t="s">
        <v>1187</v>
      </c>
      <c r="I130" s="276" t="s">
        <v>1188</v>
      </c>
      <c r="J130" s="276" t="s">
        <v>1189</v>
      </c>
      <c r="K130" s="276" t="s">
        <v>531</v>
      </c>
      <c r="L130" s="276" t="s">
        <v>532</v>
      </c>
      <c r="M130" s="276" t="s">
        <v>1190</v>
      </c>
      <c r="N130" s="276" t="s">
        <v>580</v>
      </c>
    </row>
    <row r="131" spans="1:14" ht="82.5">
      <c r="A131" s="268" t="str">
        <f t="shared" ref="A131:A194" si="2">B131 &amp; "|" &amp; C131 &amp; "|" &amp; D131</f>
        <v>Analytical Thinking|Division Head|4</v>
      </c>
      <c r="B131" s="223" t="s">
        <v>500</v>
      </c>
      <c r="C131" s="227" t="s">
        <v>778</v>
      </c>
      <c r="D131" s="227">
        <v>4</v>
      </c>
      <c r="E131" s="227" t="s">
        <v>581</v>
      </c>
      <c r="F131" s="227">
        <v>1</v>
      </c>
      <c r="G131" s="276" t="s">
        <v>1191</v>
      </c>
      <c r="H131" s="276" t="s">
        <v>1192</v>
      </c>
      <c r="I131" s="276" t="s">
        <v>1193</v>
      </c>
      <c r="J131" s="276" t="s">
        <v>1194</v>
      </c>
      <c r="K131" s="276" t="s">
        <v>531</v>
      </c>
      <c r="L131" s="276" t="s">
        <v>532</v>
      </c>
      <c r="M131" s="276" t="s">
        <v>1195</v>
      </c>
      <c r="N131" s="276" t="s">
        <v>1196</v>
      </c>
    </row>
    <row r="132" spans="1:14" ht="82.5">
      <c r="A132" s="268" t="str">
        <f t="shared" si="2"/>
        <v>Analytical Thinking|Division Head|4</v>
      </c>
      <c r="B132" s="223" t="s">
        <v>500</v>
      </c>
      <c r="C132" s="227" t="s">
        <v>778</v>
      </c>
      <c r="D132" s="227">
        <v>4</v>
      </c>
      <c r="E132" s="227" t="s">
        <v>581</v>
      </c>
      <c r="F132" s="227">
        <v>2</v>
      </c>
      <c r="G132" s="276" t="s">
        <v>1197</v>
      </c>
      <c r="H132" s="276" t="s">
        <v>1198</v>
      </c>
      <c r="I132" s="276" t="s">
        <v>1199</v>
      </c>
      <c r="J132" s="276" t="s">
        <v>1200</v>
      </c>
      <c r="K132" s="276" t="s">
        <v>531</v>
      </c>
      <c r="L132" s="276" t="s">
        <v>532</v>
      </c>
      <c r="M132" s="276" t="s">
        <v>1201</v>
      </c>
      <c r="N132" s="276" t="s">
        <v>1169</v>
      </c>
    </row>
    <row r="133" spans="1:14" ht="82.5">
      <c r="A133" s="268" t="str">
        <f t="shared" si="2"/>
        <v>Analytical Thinking|Division Head|4</v>
      </c>
      <c r="B133" s="223" t="s">
        <v>500</v>
      </c>
      <c r="C133" s="227" t="s">
        <v>778</v>
      </c>
      <c r="D133" s="227">
        <v>4</v>
      </c>
      <c r="E133" s="227" t="s">
        <v>581</v>
      </c>
      <c r="F133" s="227">
        <v>3</v>
      </c>
      <c r="G133" s="276" t="s">
        <v>1202</v>
      </c>
      <c r="H133" s="276" t="s">
        <v>1203</v>
      </c>
      <c r="I133" s="276" t="s">
        <v>1204</v>
      </c>
      <c r="J133" s="276" t="s">
        <v>1205</v>
      </c>
      <c r="K133" s="276" t="s">
        <v>531</v>
      </c>
      <c r="L133" s="276" t="s">
        <v>532</v>
      </c>
      <c r="M133" s="276" t="s">
        <v>1206</v>
      </c>
      <c r="N133" s="276" t="s">
        <v>856</v>
      </c>
    </row>
    <row r="134" spans="1:14" ht="82.5">
      <c r="A134" s="268" t="str">
        <f t="shared" si="2"/>
        <v>Analytical Thinking|Director|1</v>
      </c>
      <c r="B134" s="223" t="s">
        <v>500</v>
      </c>
      <c r="C134" s="227" t="s">
        <v>838</v>
      </c>
      <c r="D134" s="226">
        <v>1</v>
      </c>
      <c r="E134" s="227" t="s">
        <v>526</v>
      </c>
      <c r="F134" s="227">
        <v>1</v>
      </c>
      <c r="G134" s="276" t="s">
        <v>1144</v>
      </c>
      <c r="H134" s="276" t="s">
        <v>1145</v>
      </c>
      <c r="I134" s="276" t="s">
        <v>1146</v>
      </c>
      <c r="J134" s="276" t="s">
        <v>1147</v>
      </c>
      <c r="K134" s="276" t="s">
        <v>531</v>
      </c>
      <c r="L134" s="276" t="s">
        <v>532</v>
      </c>
      <c r="M134" s="276" t="s">
        <v>1148</v>
      </c>
      <c r="N134" s="276" t="s">
        <v>534</v>
      </c>
    </row>
    <row r="135" spans="1:14" ht="82.5">
      <c r="A135" s="268" t="str">
        <f t="shared" si="2"/>
        <v>Analytical Thinking|Director|1</v>
      </c>
      <c r="B135" s="223" t="s">
        <v>500</v>
      </c>
      <c r="C135" s="227" t="s">
        <v>838</v>
      </c>
      <c r="D135" s="226">
        <v>1</v>
      </c>
      <c r="E135" s="227" t="s">
        <v>526</v>
      </c>
      <c r="F135" s="227">
        <v>2</v>
      </c>
      <c r="G135" s="276" t="s">
        <v>1149</v>
      </c>
      <c r="H135" s="276" t="s">
        <v>1150</v>
      </c>
      <c r="I135" s="276" t="s">
        <v>1151</v>
      </c>
      <c r="J135" s="276" t="s">
        <v>1152</v>
      </c>
      <c r="K135" s="276" t="s">
        <v>531</v>
      </c>
      <c r="L135" s="276" t="s">
        <v>532</v>
      </c>
      <c r="M135" s="276" t="s">
        <v>1153</v>
      </c>
      <c r="N135" s="276" t="s">
        <v>534</v>
      </c>
    </row>
    <row r="136" spans="1:14" ht="82.5">
      <c r="A136" s="268" t="str">
        <f t="shared" si="2"/>
        <v>Analytical Thinking|Director|1</v>
      </c>
      <c r="B136" s="223" t="s">
        <v>500</v>
      </c>
      <c r="C136" s="227" t="s">
        <v>838</v>
      </c>
      <c r="D136" s="226">
        <v>1</v>
      </c>
      <c r="E136" s="227" t="s">
        <v>526</v>
      </c>
      <c r="F136" s="227">
        <v>3</v>
      </c>
      <c r="G136" s="276" t="s">
        <v>1154</v>
      </c>
      <c r="H136" s="276" t="s">
        <v>1155</v>
      </c>
      <c r="I136" s="276" t="s">
        <v>1156</v>
      </c>
      <c r="J136" s="276" t="s">
        <v>1157</v>
      </c>
      <c r="K136" s="276" t="s">
        <v>531</v>
      </c>
      <c r="L136" s="276" t="s">
        <v>532</v>
      </c>
      <c r="M136" s="276" t="s">
        <v>1158</v>
      </c>
      <c r="N136" s="276" t="s">
        <v>856</v>
      </c>
    </row>
    <row r="137" spans="1:14" ht="66">
      <c r="A137" s="268" t="str">
        <f t="shared" si="2"/>
        <v>Analytical Thinking|Director|2</v>
      </c>
      <c r="B137" s="223" t="s">
        <v>500</v>
      </c>
      <c r="C137" s="227" t="s">
        <v>838</v>
      </c>
      <c r="D137" s="227">
        <v>2</v>
      </c>
      <c r="E137" s="227" t="s">
        <v>545</v>
      </c>
      <c r="F137" s="227">
        <v>1</v>
      </c>
      <c r="G137" s="276" t="s">
        <v>1207</v>
      </c>
      <c r="H137" s="276" t="s">
        <v>1160</v>
      </c>
      <c r="I137" s="276" t="s">
        <v>1161</v>
      </c>
      <c r="J137" s="276" t="s">
        <v>1162</v>
      </c>
      <c r="K137" s="276" t="s">
        <v>531</v>
      </c>
      <c r="L137" s="276" t="s">
        <v>532</v>
      </c>
      <c r="M137" s="276" t="s">
        <v>1163</v>
      </c>
      <c r="N137" s="276" t="s">
        <v>862</v>
      </c>
    </row>
    <row r="138" spans="1:14" ht="66">
      <c r="A138" s="268" t="str">
        <f t="shared" si="2"/>
        <v>Analytical Thinking|Director|2</v>
      </c>
      <c r="B138" s="223" t="s">
        <v>500</v>
      </c>
      <c r="C138" s="227" t="s">
        <v>838</v>
      </c>
      <c r="D138" s="227">
        <v>2</v>
      </c>
      <c r="E138" s="227" t="s">
        <v>545</v>
      </c>
      <c r="F138" s="227">
        <v>2</v>
      </c>
      <c r="G138" s="276" t="s">
        <v>1208</v>
      </c>
      <c r="H138" s="276" t="s">
        <v>1165</v>
      </c>
      <c r="I138" s="276" t="s">
        <v>1166</v>
      </c>
      <c r="J138" s="276" t="s">
        <v>1167</v>
      </c>
      <c r="K138" s="276" t="s">
        <v>531</v>
      </c>
      <c r="L138" s="276" t="s">
        <v>532</v>
      </c>
      <c r="M138" s="276" t="s">
        <v>1168</v>
      </c>
      <c r="N138" s="276" t="s">
        <v>1169</v>
      </c>
    </row>
    <row r="139" spans="1:14" ht="66">
      <c r="A139" s="268" t="str">
        <f t="shared" si="2"/>
        <v>Analytical Thinking|Director|2</v>
      </c>
      <c r="B139" s="223" t="s">
        <v>500</v>
      </c>
      <c r="C139" s="227" t="s">
        <v>838</v>
      </c>
      <c r="D139" s="227">
        <v>2</v>
      </c>
      <c r="E139" s="227" t="s">
        <v>545</v>
      </c>
      <c r="F139" s="227">
        <v>3</v>
      </c>
      <c r="G139" s="276" t="s">
        <v>1209</v>
      </c>
      <c r="H139" s="276" t="s">
        <v>1171</v>
      </c>
      <c r="I139" s="276" t="s">
        <v>1172</v>
      </c>
      <c r="J139" s="276" t="s">
        <v>1173</v>
      </c>
      <c r="K139" s="276" t="s">
        <v>531</v>
      </c>
      <c r="L139" s="276" t="s">
        <v>532</v>
      </c>
      <c r="M139" s="276" t="s">
        <v>1174</v>
      </c>
      <c r="N139" s="276" t="s">
        <v>856</v>
      </c>
    </row>
    <row r="140" spans="1:14" ht="99">
      <c r="A140" s="268" t="str">
        <f t="shared" si="2"/>
        <v>Analytical Thinking|Director|3</v>
      </c>
      <c r="B140" s="223" t="s">
        <v>500</v>
      </c>
      <c r="C140" s="227" t="s">
        <v>838</v>
      </c>
      <c r="D140" s="227">
        <v>3</v>
      </c>
      <c r="E140" s="227" t="s">
        <v>563</v>
      </c>
      <c r="F140" s="227">
        <v>1</v>
      </c>
      <c r="G140" s="276" t="s">
        <v>1175</v>
      </c>
      <c r="H140" s="276" t="s">
        <v>1176</v>
      </c>
      <c r="I140" s="276" t="s">
        <v>1177</v>
      </c>
      <c r="J140" s="276" t="s">
        <v>1178</v>
      </c>
      <c r="K140" s="276" t="s">
        <v>531</v>
      </c>
      <c r="L140" s="276" t="s">
        <v>532</v>
      </c>
      <c r="M140" s="276" t="s">
        <v>1179</v>
      </c>
      <c r="N140" s="276" t="s">
        <v>534</v>
      </c>
    </row>
    <row r="141" spans="1:14" ht="82.5">
      <c r="A141" s="268" t="str">
        <f t="shared" si="2"/>
        <v>Analytical Thinking|Director|3</v>
      </c>
      <c r="B141" s="223" t="s">
        <v>500</v>
      </c>
      <c r="C141" s="227" t="s">
        <v>838</v>
      </c>
      <c r="D141" s="227">
        <v>3</v>
      </c>
      <c r="E141" s="227" t="s">
        <v>563</v>
      </c>
      <c r="F141" s="227">
        <v>2</v>
      </c>
      <c r="G141" s="276" t="s">
        <v>1180</v>
      </c>
      <c r="H141" s="276" t="s">
        <v>1181</v>
      </c>
      <c r="I141" s="276" t="s">
        <v>1182</v>
      </c>
      <c r="J141" s="276" t="s">
        <v>1183</v>
      </c>
      <c r="K141" s="276" t="s">
        <v>531</v>
      </c>
      <c r="L141" s="276" t="s">
        <v>532</v>
      </c>
      <c r="M141" s="276" t="s">
        <v>1184</v>
      </c>
      <c r="N141" s="276" t="s">
        <v>1185</v>
      </c>
    </row>
    <row r="142" spans="1:14" ht="115.5">
      <c r="A142" s="268" t="str">
        <f t="shared" si="2"/>
        <v>Analytical Thinking|Director|3</v>
      </c>
      <c r="B142" s="223" t="s">
        <v>500</v>
      </c>
      <c r="C142" s="227" t="s">
        <v>838</v>
      </c>
      <c r="D142" s="227">
        <v>3</v>
      </c>
      <c r="E142" s="227" t="s">
        <v>563</v>
      </c>
      <c r="F142" s="227">
        <v>3</v>
      </c>
      <c r="G142" s="276" t="s">
        <v>1186</v>
      </c>
      <c r="H142" s="276" t="s">
        <v>1187</v>
      </c>
      <c r="I142" s="276" t="s">
        <v>1188</v>
      </c>
      <c r="J142" s="276" t="s">
        <v>1189</v>
      </c>
      <c r="K142" s="276" t="s">
        <v>531</v>
      </c>
      <c r="L142" s="276" t="s">
        <v>532</v>
      </c>
      <c r="M142" s="276" t="s">
        <v>1190</v>
      </c>
      <c r="N142" s="276" t="s">
        <v>580</v>
      </c>
    </row>
    <row r="143" spans="1:14" ht="82.5">
      <c r="A143" s="268" t="str">
        <f t="shared" si="2"/>
        <v>Analytical Thinking|Director|4</v>
      </c>
      <c r="B143" s="223" t="s">
        <v>500</v>
      </c>
      <c r="C143" s="227" t="s">
        <v>838</v>
      </c>
      <c r="D143" s="227">
        <v>4</v>
      </c>
      <c r="E143" s="227" t="s">
        <v>581</v>
      </c>
      <c r="F143" s="227">
        <v>1</v>
      </c>
      <c r="G143" s="276" t="s">
        <v>1191</v>
      </c>
      <c r="H143" s="276" t="s">
        <v>1192</v>
      </c>
      <c r="I143" s="276" t="s">
        <v>1193</v>
      </c>
      <c r="J143" s="276" t="s">
        <v>1194</v>
      </c>
      <c r="K143" s="276" t="s">
        <v>531</v>
      </c>
      <c r="L143" s="276" t="s">
        <v>532</v>
      </c>
      <c r="M143" s="276" t="s">
        <v>1195</v>
      </c>
      <c r="N143" s="276" t="s">
        <v>1196</v>
      </c>
    </row>
    <row r="144" spans="1:14" ht="82.5">
      <c r="A144" s="268" t="str">
        <f t="shared" si="2"/>
        <v>Analytical Thinking|Director|4</v>
      </c>
      <c r="B144" s="223" t="s">
        <v>500</v>
      </c>
      <c r="C144" s="227" t="s">
        <v>838</v>
      </c>
      <c r="D144" s="227">
        <v>4</v>
      </c>
      <c r="E144" s="227" t="s">
        <v>581</v>
      </c>
      <c r="F144" s="227">
        <v>2</v>
      </c>
      <c r="G144" s="276" t="s">
        <v>1197</v>
      </c>
      <c r="H144" s="276" t="s">
        <v>1198</v>
      </c>
      <c r="I144" s="276" t="s">
        <v>1199</v>
      </c>
      <c r="J144" s="276" t="s">
        <v>1200</v>
      </c>
      <c r="K144" s="276" t="s">
        <v>531</v>
      </c>
      <c r="L144" s="276" t="s">
        <v>532</v>
      </c>
      <c r="M144" s="276" t="s">
        <v>1201</v>
      </c>
      <c r="N144" s="276" t="s">
        <v>1169</v>
      </c>
    </row>
    <row r="145" spans="1:14" ht="82.5">
      <c r="A145" s="268" t="str">
        <f t="shared" si="2"/>
        <v>Analytical Thinking|Director|4</v>
      </c>
      <c r="B145" s="223" t="s">
        <v>500</v>
      </c>
      <c r="C145" s="227" t="s">
        <v>838</v>
      </c>
      <c r="D145" s="227">
        <v>4</v>
      </c>
      <c r="E145" s="227" t="s">
        <v>581</v>
      </c>
      <c r="F145" s="227">
        <v>3</v>
      </c>
      <c r="G145" s="276" t="s">
        <v>1202</v>
      </c>
      <c r="H145" s="276" t="s">
        <v>1203</v>
      </c>
      <c r="I145" s="276" t="s">
        <v>1204</v>
      </c>
      <c r="J145" s="276" t="s">
        <v>1205</v>
      </c>
      <c r="K145" s="276" t="s">
        <v>531</v>
      </c>
      <c r="L145" s="276" t="s">
        <v>532</v>
      </c>
      <c r="M145" s="276" t="s">
        <v>1206</v>
      </c>
      <c r="N145" s="276" t="s">
        <v>856</v>
      </c>
    </row>
    <row r="146" spans="1:14" ht="56">
      <c r="A146" s="268" t="str">
        <f t="shared" si="2"/>
        <v>Communication &amp; Deal with Others|Officer|1</v>
      </c>
      <c r="B146" s="223" t="s">
        <v>507</v>
      </c>
      <c r="C146" s="197" t="s">
        <v>4</v>
      </c>
      <c r="D146" s="197">
        <v>1</v>
      </c>
      <c r="E146" s="79" t="s">
        <v>526</v>
      </c>
      <c r="F146" s="79">
        <v>1</v>
      </c>
      <c r="G146" s="277" t="s">
        <v>1210</v>
      </c>
      <c r="H146" s="277" t="s">
        <v>1211</v>
      </c>
      <c r="I146" s="277" t="s">
        <v>1212</v>
      </c>
      <c r="J146" s="277" t="s">
        <v>1213</v>
      </c>
      <c r="K146" s="277" t="s">
        <v>531</v>
      </c>
      <c r="L146" s="277" t="s">
        <v>532</v>
      </c>
      <c r="M146" s="277" t="s">
        <v>1214</v>
      </c>
      <c r="N146" s="277" t="s">
        <v>534</v>
      </c>
    </row>
    <row r="147" spans="1:14" ht="56">
      <c r="A147" s="268" t="str">
        <f t="shared" si="2"/>
        <v>Communication &amp; Deal with Others|Officer|1</v>
      </c>
      <c r="B147" s="223" t="s">
        <v>507</v>
      </c>
      <c r="C147" s="197" t="s">
        <v>4</v>
      </c>
      <c r="D147" s="197">
        <v>1</v>
      </c>
      <c r="E147" s="79" t="s">
        <v>526</v>
      </c>
      <c r="F147" s="79">
        <v>2</v>
      </c>
      <c r="G147" s="277" t="s">
        <v>1215</v>
      </c>
      <c r="H147" s="277" t="s">
        <v>1216</v>
      </c>
      <c r="I147" s="277" t="s">
        <v>1217</v>
      </c>
      <c r="J147" s="277" t="s">
        <v>1218</v>
      </c>
      <c r="K147" s="277" t="s">
        <v>531</v>
      </c>
      <c r="L147" s="277" t="s">
        <v>532</v>
      </c>
      <c r="M147" s="277" t="s">
        <v>1219</v>
      </c>
      <c r="N147" s="277" t="s">
        <v>534</v>
      </c>
    </row>
    <row r="148" spans="1:14" ht="42">
      <c r="A148" s="268" t="str">
        <f t="shared" si="2"/>
        <v>Communication &amp; Deal with Others|Officer|1</v>
      </c>
      <c r="B148" s="223" t="s">
        <v>507</v>
      </c>
      <c r="C148" s="197" t="s">
        <v>4</v>
      </c>
      <c r="D148" s="197">
        <v>1</v>
      </c>
      <c r="E148" s="79" t="s">
        <v>526</v>
      </c>
      <c r="F148" s="79">
        <v>3</v>
      </c>
      <c r="G148" s="277" t="s">
        <v>1220</v>
      </c>
      <c r="H148" s="277" t="s">
        <v>1221</v>
      </c>
      <c r="I148" s="277" t="s">
        <v>1222</v>
      </c>
      <c r="J148" s="277" t="s">
        <v>1223</v>
      </c>
      <c r="K148" s="277" t="s">
        <v>531</v>
      </c>
      <c r="L148" s="277" t="s">
        <v>532</v>
      </c>
      <c r="M148" s="277" t="s">
        <v>1224</v>
      </c>
      <c r="N148" s="277" t="s">
        <v>562</v>
      </c>
    </row>
    <row r="149" spans="1:14" ht="56">
      <c r="A149" s="268" t="str">
        <f t="shared" si="2"/>
        <v>Communication &amp; Deal with Others|Officer|2</v>
      </c>
      <c r="B149" s="223" t="s">
        <v>507</v>
      </c>
      <c r="C149" s="197" t="s">
        <v>4</v>
      </c>
      <c r="D149" s="79">
        <v>2</v>
      </c>
      <c r="E149" s="79" t="s">
        <v>545</v>
      </c>
      <c r="F149" s="79">
        <v>1</v>
      </c>
      <c r="G149" s="277" t="s">
        <v>1225</v>
      </c>
      <c r="H149" s="277" t="s">
        <v>1226</v>
      </c>
      <c r="I149" s="277" t="s">
        <v>1227</v>
      </c>
      <c r="J149" s="277" t="s">
        <v>1228</v>
      </c>
      <c r="K149" s="277" t="s">
        <v>531</v>
      </c>
      <c r="L149" s="277" t="s">
        <v>532</v>
      </c>
      <c r="M149" s="277" t="s">
        <v>1229</v>
      </c>
      <c r="N149" s="277" t="s">
        <v>551</v>
      </c>
    </row>
    <row r="150" spans="1:14" ht="56">
      <c r="A150" s="268" t="str">
        <f t="shared" si="2"/>
        <v>Communication &amp; Deal with Others|Officer|2</v>
      </c>
      <c r="B150" s="223" t="s">
        <v>507</v>
      </c>
      <c r="C150" s="197" t="s">
        <v>4</v>
      </c>
      <c r="D150" s="79">
        <v>2</v>
      </c>
      <c r="E150" s="79" t="s">
        <v>545</v>
      </c>
      <c r="F150" s="79">
        <v>2</v>
      </c>
      <c r="G150" s="277" t="s">
        <v>1230</v>
      </c>
      <c r="H150" s="277" t="s">
        <v>1231</v>
      </c>
      <c r="I150" s="277" t="s">
        <v>1232</v>
      </c>
      <c r="J150" s="277" t="s">
        <v>1233</v>
      </c>
      <c r="K150" s="277" t="s">
        <v>531</v>
      </c>
      <c r="L150" s="277" t="s">
        <v>532</v>
      </c>
      <c r="M150" s="277" t="s">
        <v>1234</v>
      </c>
      <c r="N150" s="277" t="s">
        <v>534</v>
      </c>
    </row>
    <row r="151" spans="1:14" ht="42">
      <c r="A151" s="268" t="str">
        <f t="shared" si="2"/>
        <v>Communication &amp; Deal with Others|Officer|2</v>
      </c>
      <c r="B151" s="223" t="s">
        <v>507</v>
      </c>
      <c r="C151" s="197" t="s">
        <v>4</v>
      </c>
      <c r="D151" s="79">
        <v>2</v>
      </c>
      <c r="E151" s="79" t="s">
        <v>545</v>
      </c>
      <c r="F151" s="79">
        <v>3</v>
      </c>
      <c r="G151" s="277" t="s">
        <v>1235</v>
      </c>
      <c r="H151" s="277" t="s">
        <v>1236</v>
      </c>
      <c r="I151" s="277" t="s">
        <v>1237</v>
      </c>
      <c r="J151" s="277" t="s">
        <v>1238</v>
      </c>
      <c r="K151" s="277" t="s">
        <v>531</v>
      </c>
      <c r="L151" s="277" t="s">
        <v>532</v>
      </c>
      <c r="M151" s="277" t="s">
        <v>1239</v>
      </c>
      <c r="N151" s="277" t="s">
        <v>562</v>
      </c>
    </row>
    <row r="152" spans="1:14" ht="84">
      <c r="A152" s="268" t="str">
        <f t="shared" si="2"/>
        <v>Communication &amp; Deal with Others|Officer|3</v>
      </c>
      <c r="B152" s="223" t="s">
        <v>507</v>
      </c>
      <c r="C152" s="197" t="s">
        <v>4</v>
      </c>
      <c r="D152" s="79">
        <v>3</v>
      </c>
      <c r="E152" s="79" t="s">
        <v>563</v>
      </c>
      <c r="F152" s="79">
        <v>1</v>
      </c>
      <c r="G152" s="277" t="s">
        <v>1240</v>
      </c>
      <c r="H152" s="277" t="s">
        <v>1241</v>
      </c>
      <c r="I152" s="277" t="s">
        <v>1242</v>
      </c>
      <c r="J152" s="277" t="s">
        <v>1243</v>
      </c>
      <c r="K152" s="277" t="s">
        <v>531</v>
      </c>
      <c r="L152" s="277" t="s">
        <v>532</v>
      </c>
      <c r="M152" s="277" t="s">
        <v>1244</v>
      </c>
      <c r="N152" s="277" t="s">
        <v>534</v>
      </c>
    </row>
    <row r="153" spans="1:14" ht="42">
      <c r="A153" s="268" t="str">
        <f t="shared" si="2"/>
        <v>Communication &amp; Deal with Others|Officer|3</v>
      </c>
      <c r="B153" s="223" t="s">
        <v>507</v>
      </c>
      <c r="C153" s="197" t="s">
        <v>4</v>
      </c>
      <c r="D153" s="79">
        <v>3</v>
      </c>
      <c r="E153" s="79" t="s">
        <v>563</v>
      </c>
      <c r="F153" s="79">
        <v>2</v>
      </c>
      <c r="G153" s="277" t="s">
        <v>1245</v>
      </c>
      <c r="H153" s="277" t="s">
        <v>1246</v>
      </c>
      <c r="I153" s="277" t="s">
        <v>1247</v>
      </c>
      <c r="J153" s="277" t="s">
        <v>1248</v>
      </c>
      <c r="K153" s="277" t="s">
        <v>531</v>
      </c>
      <c r="L153" s="277" t="s">
        <v>532</v>
      </c>
      <c r="M153" s="277" t="s">
        <v>1249</v>
      </c>
      <c r="N153" s="277" t="s">
        <v>562</v>
      </c>
    </row>
    <row r="154" spans="1:14" ht="70">
      <c r="A154" s="268" t="str">
        <f t="shared" si="2"/>
        <v>Communication &amp; Deal with Others|Officer|3</v>
      </c>
      <c r="B154" s="223" t="s">
        <v>507</v>
      </c>
      <c r="C154" s="197" t="s">
        <v>4</v>
      </c>
      <c r="D154" s="79">
        <v>3</v>
      </c>
      <c r="E154" s="79" t="s">
        <v>563</v>
      </c>
      <c r="F154" s="79">
        <v>3</v>
      </c>
      <c r="G154" s="277" t="s">
        <v>1250</v>
      </c>
      <c r="H154" s="277" t="s">
        <v>1251</v>
      </c>
      <c r="I154" s="277" t="s">
        <v>1252</v>
      </c>
      <c r="J154" s="277" t="s">
        <v>948</v>
      </c>
      <c r="K154" s="277" t="s">
        <v>531</v>
      </c>
      <c r="L154" s="277" t="s">
        <v>532</v>
      </c>
      <c r="M154" s="277" t="s">
        <v>1253</v>
      </c>
      <c r="N154" s="277" t="s">
        <v>580</v>
      </c>
    </row>
    <row r="155" spans="1:14" ht="42">
      <c r="A155" s="268" t="str">
        <f t="shared" si="2"/>
        <v>Communication &amp; Deal with Others|Officer|4</v>
      </c>
      <c r="B155" s="223" t="s">
        <v>507</v>
      </c>
      <c r="C155" s="197" t="s">
        <v>4</v>
      </c>
      <c r="D155" s="79">
        <v>4</v>
      </c>
      <c r="E155" s="79" t="s">
        <v>581</v>
      </c>
      <c r="F155" s="79">
        <v>1</v>
      </c>
      <c r="G155" s="277" t="s">
        <v>1254</v>
      </c>
      <c r="H155" s="277" t="s">
        <v>1255</v>
      </c>
      <c r="I155" s="277" t="s">
        <v>1256</v>
      </c>
      <c r="J155" s="277" t="s">
        <v>1257</v>
      </c>
      <c r="K155" s="277" t="s">
        <v>531</v>
      </c>
      <c r="L155" s="277" t="s">
        <v>532</v>
      </c>
      <c r="M155" s="277" t="s">
        <v>1258</v>
      </c>
      <c r="N155" s="277" t="s">
        <v>562</v>
      </c>
    </row>
    <row r="156" spans="1:14" ht="70">
      <c r="A156" s="268" t="str">
        <f t="shared" si="2"/>
        <v>Communication &amp; Deal with Others|Officer|4</v>
      </c>
      <c r="B156" s="223" t="s">
        <v>507</v>
      </c>
      <c r="C156" s="197" t="s">
        <v>4</v>
      </c>
      <c r="D156" s="79">
        <v>4</v>
      </c>
      <c r="E156" s="79" t="s">
        <v>581</v>
      </c>
      <c r="F156" s="79">
        <v>2</v>
      </c>
      <c r="G156" s="277" t="s">
        <v>1259</v>
      </c>
      <c r="H156" s="277" t="s">
        <v>1260</v>
      </c>
      <c r="I156" s="277" t="s">
        <v>1261</v>
      </c>
      <c r="J156" s="277" t="s">
        <v>1262</v>
      </c>
      <c r="K156" s="277" t="s">
        <v>531</v>
      </c>
      <c r="L156" s="277" t="s">
        <v>532</v>
      </c>
      <c r="M156" s="277" t="s">
        <v>1263</v>
      </c>
      <c r="N156" s="277" t="s">
        <v>562</v>
      </c>
    </row>
    <row r="157" spans="1:14" ht="56">
      <c r="A157" s="268" t="str">
        <f t="shared" si="2"/>
        <v>Communication &amp; Deal with Others|Officer|4</v>
      </c>
      <c r="B157" s="223" t="s">
        <v>507</v>
      </c>
      <c r="C157" s="197" t="s">
        <v>4</v>
      </c>
      <c r="D157" s="79">
        <v>4</v>
      </c>
      <c r="E157" s="79" t="s">
        <v>581</v>
      </c>
      <c r="F157" s="79">
        <v>3</v>
      </c>
      <c r="G157" s="277" t="s">
        <v>1264</v>
      </c>
      <c r="H157" s="277" t="s">
        <v>1265</v>
      </c>
      <c r="I157" s="277" t="s">
        <v>1266</v>
      </c>
      <c r="J157" s="277" t="s">
        <v>1267</v>
      </c>
      <c r="K157" s="277" t="s">
        <v>531</v>
      </c>
      <c r="L157" s="277" t="s">
        <v>532</v>
      </c>
      <c r="M157" s="277" t="s">
        <v>1268</v>
      </c>
      <c r="N157" s="277" t="s">
        <v>562</v>
      </c>
    </row>
    <row r="158" spans="1:14" ht="99">
      <c r="A158" s="268" t="str">
        <f t="shared" si="2"/>
        <v>Communication &amp; Deal with Others|Analyst|1</v>
      </c>
      <c r="B158" s="223" t="s">
        <v>507</v>
      </c>
      <c r="C158" s="197" t="s">
        <v>6</v>
      </c>
      <c r="D158" s="197">
        <v>1</v>
      </c>
      <c r="E158" s="79" t="s">
        <v>526</v>
      </c>
      <c r="F158" s="79">
        <v>1</v>
      </c>
      <c r="G158" s="276" t="s">
        <v>1269</v>
      </c>
      <c r="H158" s="276" t="s">
        <v>1270</v>
      </c>
      <c r="I158" s="276" t="s">
        <v>1271</v>
      </c>
      <c r="J158" s="276" t="s">
        <v>1272</v>
      </c>
      <c r="K158" s="276" t="s">
        <v>531</v>
      </c>
      <c r="L158" s="276" t="s">
        <v>532</v>
      </c>
      <c r="M158" s="276" t="s">
        <v>1273</v>
      </c>
      <c r="N158" s="276" t="s">
        <v>534</v>
      </c>
    </row>
    <row r="159" spans="1:14" ht="82.5">
      <c r="A159" s="268" t="str">
        <f t="shared" si="2"/>
        <v>Communication &amp; Deal with Others|Analyst|1</v>
      </c>
      <c r="B159" s="223" t="s">
        <v>507</v>
      </c>
      <c r="C159" s="197" t="s">
        <v>6</v>
      </c>
      <c r="D159" s="197">
        <v>1</v>
      </c>
      <c r="E159" s="79" t="s">
        <v>526</v>
      </c>
      <c r="F159" s="79">
        <v>2</v>
      </c>
      <c r="G159" s="276" t="s">
        <v>1274</v>
      </c>
      <c r="H159" s="276" t="s">
        <v>1275</v>
      </c>
      <c r="I159" s="276" t="s">
        <v>1276</v>
      </c>
      <c r="J159" s="276" t="s">
        <v>1277</v>
      </c>
      <c r="K159" s="276" t="s">
        <v>531</v>
      </c>
      <c r="L159" s="276" t="s">
        <v>532</v>
      </c>
      <c r="M159" s="276" t="s">
        <v>1278</v>
      </c>
      <c r="N159" s="276" t="s">
        <v>534</v>
      </c>
    </row>
    <row r="160" spans="1:14" ht="82.5">
      <c r="A160" s="268" t="str">
        <f t="shared" si="2"/>
        <v>Communication &amp; Deal with Others|Analyst|1</v>
      </c>
      <c r="B160" s="223" t="s">
        <v>507</v>
      </c>
      <c r="C160" s="197" t="s">
        <v>6</v>
      </c>
      <c r="D160" s="197">
        <v>1</v>
      </c>
      <c r="E160" s="79" t="s">
        <v>526</v>
      </c>
      <c r="F160" s="79">
        <v>3</v>
      </c>
      <c r="G160" s="276" t="s">
        <v>1279</v>
      </c>
      <c r="H160" s="276" t="s">
        <v>1280</v>
      </c>
      <c r="I160" s="276" t="s">
        <v>1281</v>
      </c>
      <c r="J160" s="276" t="s">
        <v>1282</v>
      </c>
      <c r="K160" s="276" t="s">
        <v>531</v>
      </c>
      <c r="L160" s="276" t="s">
        <v>532</v>
      </c>
      <c r="M160" s="276" t="s">
        <v>1283</v>
      </c>
      <c r="N160" s="276" t="s">
        <v>534</v>
      </c>
    </row>
    <row r="161" spans="1:14" ht="82.5">
      <c r="A161" s="268" t="str">
        <f t="shared" si="2"/>
        <v>Communication &amp; Deal with Others|Analyst|2</v>
      </c>
      <c r="B161" s="223" t="s">
        <v>507</v>
      </c>
      <c r="C161" s="197" t="s">
        <v>6</v>
      </c>
      <c r="D161" s="79">
        <v>2</v>
      </c>
      <c r="E161" s="79" t="s">
        <v>545</v>
      </c>
      <c r="F161" s="79">
        <v>1</v>
      </c>
      <c r="G161" s="276" t="s">
        <v>1284</v>
      </c>
      <c r="H161" s="276" t="s">
        <v>1285</v>
      </c>
      <c r="I161" s="276" t="s">
        <v>1286</v>
      </c>
      <c r="J161" s="276" t="s">
        <v>1287</v>
      </c>
      <c r="K161" s="276" t="s">
        <v>531</v>
      </c>
      <c r="L161" s="276" t="s">
        <v>532</v>
      </c>
      <c r="M161" s="276" t="s">
        <v>1288</v>
      </c>
      <c r="N161" s="276" t="s">
        <v>551</v>
      </c>
    </row>
    <row r="162" spans="1:14" ht="49.5">
      <c r="A162" s="268" t="str">
        <f t="shared" si="2"/>
        <v>Communication &amp; Deal with Others|Analyst|2</v>
      </c>
      <c r="B162" s="223" t="s">
        <v>507</v>
      </c>
      <c r="C162" s="197" t="s">
        <v>6</v>
      </c>
      <c r="D162" s="79">
        <v>2</v>
      </c>
      <c r="E162" s="79" t="s">
        <v>545</v>
      </c>
      <c r="F162" s="79">
        <v>2</v>
      </c>
      <c r="G162" s="276" t="s">
        <v>1289</v>
      </c>
      <c r="H162" s="276" t="s">
        <v>1290</v>
      </c>
      <c r="I162" s="276" t="s">
        <v>1291</v>
      </c>
      <c r="J162" s="276" t="s">
        <v>1292</v>
      </c>
      <c r="K162" s="276" t="s">
        <v>531</v>
      </c>
      <c r="L162" s="276" t="s">
        <v>532</v>
      </c>
      <c r="M162" s="276" t="s">
        <v>1293</v>
      </c>
      <c r="N162" s="276" t="s">
        <v>562</v>
      </c>
    </row>
    <row r="163" spans="1:14" ht="66">
      <c r="A163" s="268" t="str">
        <f t="shared" si="2"/>
        <v>Communication &amp; Deal with Others|Analyst|2</v>
      </c>
      <c r="B163" s="223" t="s">
        <v>507</v>
      </c>
      <c r="C163" s="197" t="s">
        <v>6</v>
      </c>
      <c r="D163" s="79">
        <v>2</v>
      </c>
      <c r="E163" s="79" t="s">
        <v>545</v>
      </c>
      <c r="F163" s="79">
        <v>3</v>
      </c>
      <c r="G163" s="276" t="s">
        <v>1294</v>
      </c>
      <c r="H163" s="276" t="s">
        <v>1295</v>
      </c>
      <c r="I163" s="276" t="s">
        <v>1296</v>
      </c>
      <c r="J163" s="276" t="s">
        <v>1297</v>
      </c>
      <c r="K163" s="276" t="s">
        <v>531</v>
      </c>
      <c r="L163" s="276" t="s">
        <v>532</v>
      </c>
      <c r="M163" s="276" t="s">
        <v>1298</v>
      </c>
      <c r="N163" s="276" t="s">
        <v>1299</v>
      </c>
    </row>
    <row r="164" spans="1:14" ht="99">
      <c r="A164" s="268" t="str">
        <f t="shared" si="2"/>
        <v>Communication &amp; Deal with Others|Analyst|3</v>
      </c>
      <c r="B164" s="223" t="s">
        <v>507</v>
      </c>
      <c r="C164" s="197" t="s">
        <v>6</v>
      </c>
      <c r="D164" s="79">
        <v>3</v>
      </c>
      <c r="E164" s="79" t="s">
        <v>563</v>
      </c>
      <c r="F164" s="79">
        <v>1</v>
      </c>
      <c r="G164" s="276" t="s">
        <v>1300</v>
      </c>
      <c r="H164" s="276" t="s">
        <v>1301</v>
      </c>
      <c r="I164" s="276" t="s">
        <v>1302</v>
      </c>
      <c r="J164" s="276" t="s">
        <v>1303</v>
      </c>
      <c r="K164" s="276" t="s">
        <v>531</v>
      </c>
      <c r="L164" s="276" t="s">
        <v>532</v>
      </c>
      <c r="M164" s="276" t="s">
        <v>1304</v>
      </c>
      <c r="N164" s="276" t="s">
        <v>534</v>
      </c>
    </row>
    <row r="165" spans="1:14" ht="82.5">
      <c r="A165" s="268" t="str">
        <f t="shared" si="2"/>
        <v>Communication &amp; Deal with Others|Analyst|3</v>
      </c>
      <c r="B165" s="223" t="s">
        <v>507</v>
      </c>
      <c r="C165" s="197" t="s">
        <v>6</v>
      </c>
      <c r="D165" s="79">
        <v>3</v>
      </c>
      <c r="E165" s="79" t="s">
        <v>563</v>
      </c>
      <c r="F165" s="79">
        <v>2</v>
      </c>
      <c r="G165" s="276" t="s">
        <v>1305</v>
      </c>
      <c r="H165" s="276" t="s">
        <v>1306</v>
      </c>
      <c r="I165" s="276" t="s">
        <v>1307</v>
      </c>
      <c r="J165" s="276" t="s">
        <v>1308</v>
      </c>
      <c r="K165" s="276" t="s">
        <v>531</v>
      </c>
      <c r="L165" s="276" t="s">
        <v>532</v>
      </c>
      <c r="M165" s="276" t="s">
        <v>1309</v>
      </c>
      <c r="N165" s="276" t="s">
        <v>562</v>
      </c>
    </row>
    <row r="166" spans="1:14" ht="99">
      <c r="A166" s="268" t="str">
        <f t="shared" si="2"/>
        <v>Communication &amp; Deal with Others|Analyst|3</v>
      </c>
      <c r="B166" s="223" t="s">
        <v>507</v>
      </c>
      <c r="C166" s="197" t="s">
        <v>6</v>
      </c>
      <c r="D166" s="79">
        <v>3</v>
      </c>
      <c r="E166" s="79" t="s">
        <v>563</v>
      </c>
      <c r="F166" s="79">
        <v>3</v>
      </c>
      <c r="G166" s="276" t="s">
        <v>1310</v>
      </c>
      <c r="H166" s="276" t="s">
        <v>1311</v>
      </c>
      <c r="I166" s="276" t="s">
        <v>1312</v>
      </c>
      <c r="J166" s="276" t="s">
        <v>948</v>
      </c>
      <c r="K166" s="276" t="s">
        <v>531</v>
      </c>
      <c r="L166" s="276" t="s">
        <v>532</v>
      </c>
      <c r="M166" s="276" t="s">
        <v>1313</v>
      </c>
      <c r="N166" s="276" t="s">
        <v>580</v>
      </c>
    </row>
    <row r="167" spans="1:14" ht="99">
      <c r="A167" s="268" t="str">
        <f t="shared" si="2"/>
        <v>Communication &amp; Deal with Others|Analyst|4</v>
      </c>
      <c r="B167" s="223" t="s">
        <v>507</v>
      </c>
      <c r="C167" s="197" t="s">
        <v>6</v>
      </c>
      <c r="D167" s="79">
        <v>4</v>
      </c>
      <c r="E167" s="79" t="s">
        <v>581</v>
      </c>
      <c r="F167" s="79">
        <v>1</v>
      </c>
      <c r="G167" s="276" t="s">
        <v>1314</v>
      </c>
      <c r="H167" s="276" t="s">
        <v>1315</v>
      </c>
      <c r="I167" s="276" t="s">
        <v>1316</v>
      </c>
      <c r="J167" s="276" t="s">
        <v>1317</v>
      </c>
      <c r="K167" s="276" t="s">
        <v>531</v>
      </c>
      <c r="L167" s="276" t="s">
        <v>532</v>
      </c>
      <c r="M167" s="276" t="s">
        <v>1318</v>
      </c>
      <c r="N167" s="276" t="s">
        <v>562</v>
      </c>
    </row>
    <row r="168" spans="1:14" ht="99">
      <c r="A168" s="268" t="str">
        <f t="shared" si="2"/>
        <v>Communication &amp; Deal with Others|Analyst|4</v>
      </c>
      <c r="B168" s="223" t="s">
        <v>507</v>
      </c>
      <c r="C168" s="197" t="s">
        <v>6</v>
      </c>
      <c r="D168" s="79">
        <v>4</v>
      </c>
      <c r="E168" s="79" t="s">
        <v>581</v>
      </c>
      <c r="F168" s="79">
        <v>2</v>
      </c>
      <c r="G168" s="276" t="s">
        <v>1319</v>
      </c>
      <c r="H168" s="276" t="s">
        <v>1320</v>
      </c>
      <c r="I168" s="276" t="s">
        <v>1321</v>
      </c>
      <c r="J168" s="276" t="s">
        <v>1322</v>
      </c>
      <c r="K168" s="276" t="s">
        <v>531</v>
      </c>
      <c r="L168" s="276" t="s">
        <v>532</v>
      </c>
      <c r="M168" s="276" t="s">
        <v>1323</v>
      </c>
      <c r="N168" s="276" t="s">
        <v>562</v>
      </c>
    </row>
    <row r="169" spans="1:14" ht="99">
      <c r="A169" s="268" t="str">
        <f t="shared" si="2"/>
        <v>Communication &amp; Deal with Others|Analyst|4</v>
      </c>
      <c r="B169" s="223" t="s">
        <v>507</v>
      </c>
      <c r="C169" s="197" t="s">
        <v>6</v>
      </c>
      <c r="D169" s="79">
        <v>4</v>
      </c>
      <c r="E169" s="79" t="s">
        <v>581</v>
      </c>
      <c r="F169" s="79">
        <v>3</v>
      </c>
      <c r="G169" s="276" t="s">
        <v>1324</v>
      </c>
      <c r="H169" s="276" t="s">
        <v>1325</v>
      </c>
      <c r="I169" s="276" t="s">
        <v>1326</v>
      </c>
      <c r="J169" s="276" t="s">
        <v>1327</v>
      </c>
      <c r="K169" s="276" t="s">
        <v>531</v>
      </c>
      <c r="L169" s="276" t="s">
        <v>532</v>
      </c>
      <c r="M169" s="276" t="s">
        <v>1328</v>
      </c>
      <c r="N169" s="276" t="s">
        <v>562</v>
      </c>
    </row>
    <row r="170" spans="1:14" ht="99">
      <c r="A170" s="268" t="str">
        <f t="shared" si="2"/>
        <v>Communication &amp; Deal with Others|Unit Head/Specialist|1</v>
      </c>
      <c r="B170" s="223" t="s">
        <v>507</v>
      </c>
      <c r="C170" s="79" t="s">
        <v>13</v>
      </c>
      <c r="D170" s="197">
        <v>1</v>
      </c>
      <c r="E170" s="79" t="s">
        <v>526</v>
      </c>
      <c r="F170" s="79">
        <v>1</v>
      </c>
      <c r="G170" s="276" t="s">
        <v>1329</v>
      </c>
      <c r="H170" s="276" t="s">
        <v>1330</v>
      </c>
      <c r="I170" s="276" t="s">
        <v>1331</v>
      </c>
      <c r="J170" s="276" t="s">
        <v>1332</v>
      </c>
      <c r="K170" s="276" t="s">
        <v>531</v>
      </c>
      <c r="L170" s="276" t="s">
        <v>532</v>
      </c>
      <c r="M170" s="276" t="s">
        <v>1333</v>
      </c>
      <c r="N170" s="276" t="s">
        <v>534</v>
      </c>
    </row>
    <row r="171" spans="1:14" ht="82.5">
      <c r="A171" s="268" t="str">
        <f t="shared" si="2"/>
        <v>Communication &amp; Deal with Others|Unit Head/Specialist|1</v>
      </c>
      <c r="B171" s="223" t="s">
        <v>507</v>
      </c>
      <c r="C171" s="79" t="s">
        <v>13</v>
      </c>
      <c r="D171" s="197">
        <v>1</v>
      </c>
      <c r="E171" s="79" t="s">
        <v>526</v>
      </c>
      <c r="F171" s="79">
        <v>2</v>
      </c>
      <c r="G171" s="276" t="s">
        <v>1334</v>
      </c>
      <c r="H171" s="276" t="s">
        <v>1335</v>
      </c>
      <c r="I171" s="276" t="s">
        <v>1336</v>
      </c>
      <c r="J171" s="276" t="s">
        <v>1337</v>
      </c>
      <c r="K171" s="276" t="s">
        <v>531</v>
      </c>
      <c r="L171" s="276" t="s">
        <v>532</v>
      </c>
      <c r="M171" s="276" t="s">
        <v>1338</v>
      </c>
      <c r="N171" s="276" t="s">
        <v>534</v>
      </c>
    </row>
    <row r="172" spans="1:14" ht="82.5">
      <c r="A172" s="268" t="str">
        <f t="shared" si="2"/>
        <v>Communication &amp; Deal with Others|Unit Head/Specialist|1</v>
      </c>
      <c r="B172" s="223" t="s">
        <v>507</v>
      </c>
      <c r="C172" s="79" t="s">
        <v>13</v>
      </c>
      <c r="D172" s="197">
        <v>1</v>
      </c>
      <c r="E172" s="79" t="s">
        <v>526</v>
      </c>
      <c r="F172" s="79">
        <v>3</v>
      </c>
      <c r="G172" s="276" t="s">
        <v>1339</v>
      </c>
      <c r="H172" s="276" t="s">
        <v>1340</v>
      </c>
      <c r="I172" s="276" t="s">
        <v>1341</v>
      </c>
      <c r="J172" s="276" t="s">
        <v>1342</v>
      </c>
      <c r="K172" s="276" t="s">
        <v>531</v>
      </c>
      <c r="L172" s="276" t="s">
        <v>532</v>
      </c>
      <c r="M172" s="276" t="s">
        <v>1343</v>
      </c>
      <c r="N172" s="276" t="s">
        <v>534</v>
      </c>
    </row>
    <row r="173" spans="1:14" ht="82.5">
      <c r="A173" s="268" t="str">
        <f t="shared" si="2"/>
        <v>Communication &amp; Deal with Others|Unit Head/Specialist|2</v>
      </c>
      <c r="B173" s="223" t="s">
        <v>507</v>
      </c>
      <c r="C173" s="79" t="s">
        <v>13</v>
      </c>
      <c r="D173" s="79">
        <v>2</v>
      </c>
      <c r="E173" s="79" t="s">
        <v>545</v>
      </c>
      <c r="F173" s="79">
        <v>1</v>
      </c>
      <c r="G173" s="276" t="s">
        <v>1344</v>
      </c>
      <c r="H173" s="276" t="s">
        <v>1345</v>
      </c>
      <c r="I173" s="276" t="s">
        <v>1346</v>
      </c>
      <c r="J173" s="276" t="s">
        <v>1347</v>
      </c>
      <c r="K173" s="276" t="s">
        <v>531</v>
      </c>
      <c r="L173" s="276" t="s">
        <v>532</v>
      </c>
      <c r="M173" s="276" t="s">
        <v>1348</v>
      </c>
      <c r="N173" s="276" t="s">
        <v>551</v>
      </c>
    </row>
    <row r="174" spans="1:14" ht="66">
      <c r="A174" s="268" t="str">
        <f t="shared" si="2"/>
        <v>Communication &amp; Deal with Others|Unit Head/Specialist|2</v>
      </c>
      <c r="B174" s="223" t="s">
        <v>507</v>
      </c>
      <c r="C174" s="79" t="s">
        <v>13</v>
      </c>
      <c r="D174" s="79">
        <v>2</v>
      </c>
      <c r="E174" s="79" t="s">
        <v>545</v>
      </c>
      <c r="F174" s="79">
        <v>2</v>
      </c>
      <c r="G174" s="276" t="s">
        <v>1349</v>
      </c>
      <c r="H174" s="276" t="s">
        <v>1350</v>
      </c>
      <c r="I174" s="276" t="s">
        <v>1351</v>
      </c>
      <c r="J174" s="276" t="s">
        <v>1352</v>
      </c>
      <c r="K174" s="276" t="s">
        <v>531</v>
      </c>
      <c r="L174" s="276" t="s">
        <v>532</v>
      </c>
      <c r="M174" s="276" t="s">
        <v>1353</v>
      </c>
      <c r="N174" s="276" t="s">
        <v>534</v>
      </c>
    </row>
    <row r="175" spans="1:14" ht="82.5">
      <c r="A175" s="268" t="str">
        <f t="shared" si="2"/>
        <v>Communication &amp; Deal with Others|Unit Head/Specialist|2</v>
      </c>
      <c r="B175" s="223" t="s">
        <v>507</v>
      </c>
      <c r="C175" s="79" t="s">
        <v>13</v>
      </c>
      <c r="D175" s="79">
        <v>2</v>
      </c>
      <c r="E175" s="79" t="s">
        <v>545</v>
      </c>
      <c r="F175" s="79">
        <v>3</v>
      </c>
      <c r="G175" s="276" t="s">
        <v>1354</v>
      </c>
      <c r="H175" s="276" t="s">
        <v>1355</v>
      </c>
      <c r="I175" s="276" t="s">
        <v>1356</v>
      </c>
      <c r="J175" s="276" t="s">
        <v>1357</v>
      </c>
      <c r="K175" s="276" t="s">
        <v>531</v>
      </c>
      <c r="L175" s="276" t="s">
        <v>532</v>
      </c>
      <c r="M175" s="276" t="s">
        <v>1358</v>
      </c>
      <c r="N175" s="276" t="s">
        <v>562</v>
      </c>
    </row>
    <row r="176" spans="1:14" ht="82.5">
      <c r="A176" s="268" t="str">
        <f t="shared" si="2"/>
        <v>Communication &amp; Deal with Others|Unit Head/Specialist|3</v>
      </c>
      <c r="B176" s="223" t="s">
        <v>507</v>
      </c>
      <c r="C176" s="79" t="s">
        <v>13</v>
      </c>
      <c r="D176" s="79">
        <v>3</v>
      </c>
      <c r="E176" s="79" t="s">
        <v>563</v>
      </c>
      <c r="F176" s="79">
        <v>1</v>
      </c>
      <c r="G176" s="276" t="s">
        <v>1359</v>
      </c>
      <c r="H176" s="276" t="s">
        <v>1360</v>
      </c>
      <c r="I176" s="276" t="s">
        <v>1361</v>
      </c>
      <c r="J176" s="276" t="s">
        <v>1362</v>
      </c>
      <c r="K176" s="276" t="s">
        <v>531</v>
      </c>
      <c r="L176" s="276" t="s">
        <v>532</v>
      </c>
      <c r="M176" s="276" t="s">
        <v>1363</v>
      </c>
      <c r="N176" s="276" t="s">
        <v>534</v>
      </c>
    </row>
    <row r="177" spans="1:14" ht="99">
      <c r="A177" s="268" t="str">
        <f t="shared" si="2"/>
        <v>Communication &amp; Deal with Others|Unit Head/Specialist|3</v>
      </c>
      <c r="B177" s="223" t="s">
        <v>507</v>
      </c>
      <c r="C177" s="79" t="s">
        <v>13</v>
      </c>
      <c r="D177" s="79">
        <v>3</v>
      </c>
      <c r="E177" s="79" t="s">
        <v>563</v>
      </c>
      <c r="F177" s="79">
        <v>2</v>
      </c>
      <c r="G177" s="276" t="s">
        <v>1364</v>
      </c>
      <c r="H177" s="276" t="s">
        <v>1365</v>
      </c>
      <c r="I177" s="276" t="s">
        <v>1366</v>
      </c>
      <c r="J177" s="276" t="s">
        <v>1367</v>
      </c>
      <c r="K177" s="276" t="s">
        <v>531</v>
      </c>
      <c r="L177" s="276" t="s">
        <v>532</v>
      </c>
      <c r="M177" s="276" t="s">
        <v>1368</v>
      </c>
      <c r="N177" s="276" t="s">
        <v>562</v>
      </c>
    </row>
    <row r="178" spans="1:14" ht="115.5">
      <c r="A178" s="268" t="str">
        <f t="shared" si="2"/>
        <v>Communication &amp; Deal with Others|Unit Head/Specialist|3</v>
      </c>
      <c r="B178" s="223" t="s">
        <v>507</v>
      </c>
      <c r="C178" s="79" t="s">
        <v>13</v>
      </c>
      <c r="D178" s="79">
        <v>3</v>
      </c>
      <c r="E178" s="79" t="s">
        <v>563</v>
      </c>
      <c r="F178" s="79">
        <v>3</v>
      </c>
      <c r="G178" s="276" t="s">
        <v>1369</v>
      </c>
      <c r="H178" s="276" t="s">
        <v>1370</v>
      </c>
      <c r="I178" s="276" t="s">
        <v>1371</v>
      </c>
      <c r="J178" s="276" t="s">
        <v>948</v>
      </c>
      <c r="K178" s="276" t="s">
        <v>531</v>
      </c>
      <c r="L178" s="276" t="s">
        <v>532</v>
      </c>
      <c r="M178" s="276" t="s">
        <v>1372</v>
      </c>
      <c r="N178" s="276" t="s">
        <v>580</v>
      </c>
    </row>
    <row r="179" spans="1:14" ht="99">
      <c r="A179" s="268" t="str">
        <f t="shared" si="2"/>
        <v>Communication &amp; Deal with Others|Unit Head/Specialist|4</v>
      </c>
      <c r="B179" s="223" t="s">
        <v>507</v>
      </c>
      <c r="C179" s="79" t="s">
        <v>13</v>
      </c>
      <c r="D179" s="79">
        <v>4</v>
      </c>
      <c r="E179" s="79" t="s">
        <v>581</v>
      </c>
      <c r="F179" s="79">
        <v>1</v>
      </c>
      <c r="G179" s="276" t="s">
        <v>1373</v>
      </c>
      <c r="H179" s="276" t="s">
        <v>1374</v>
      </c>
      <c r="I179" s="276" t="s">
        <v>1375</v>
      </c>
      <c r="J179" s="276" t="s">
        <v>1376</v>
      </c>
      <c r="K179" s="276" t="s">
        <v>531</v>
      </c>
      <c r="L179" s="276" t="s">
        <v>532</v>
      </c>
      <c r="M179" s="276" t="s">
        <v>1377</v>
      </c>
      <c r="N179" s="276" t="s">
        <v>562</v>
      </c>
    </row>
    <row r="180" spans="1:14" ht="82.5">
      <c r="A180" s="268" t="str">
        <f t="shared" si="2"/>
        <v>Communication &amp; Deal with Others|Unit Head/Specialist|4</v>
      </c>
      <c r="B180" s="223" t="s">
        <v>507</v>
      </c>
      <c r="C180" s="79" t="s">
        <v>13</v>
      </c>
      <c r="D180" s="79">
        <v>4</v>
      </c>
      <c r="E180" s="79" t="s">
        <v>581</v>
      </c>
      <c r="F180" s="79">
        <v>2</v>
      </c>
      <c r="G180" s="276" t="s">
        <v>1378</v>
      </c>
      <c r="H180" s="276" t="s">
        <v>1379</v>
      </c>
      <c r="I180" s="276" t="s">
        <v>1380</v>
      </c>
      <c r="J180" s="276" t="s">
        <v>1381</v>
      </c>
      <c r="K180" s="276" t="s">
        <v>531</v>
      </c>
      <c r="L180" s="276" t="s">
        <v>532</v>
      </c>
      <c r="M180" s="276" t="s">
        <v>1382</v>
      </c>
      <c r="N180" s="276" t="s">
        <v>562</v>
      </c>
    </row>
    <row r="181" spans="1:14" ht="99">
      <c r="A181" s="268" t="str">
        <f t="shared" si="2"/>
        <v>Communication &amp; Deal with Others|Unit Head/Specialist|4</v>
      </c>
      <c r="B181" s="223" t="s">
        <v>507</v>
      </c>
      <c r="C181" s="79" t="s">
        <v>13</v>
      </c>
      <c r="D181" s="79">
        <v>4</v>
      </c>
      <c r="E181" s="79" t="s">
        <v>581</v>
      </c>
      <c r="F181" s="79">
        <v>3</v>
      </c>
      <c r="G181" s="276" t="s">
        <v>1383</v>
      </c>
      <c r="H181" s="276" t="s">
        <v>1384</v>
      </c>
      <c r="I181" s="276" t="s">
        <v>1385</v>
      </c>
      <c r="J181" s="276" t="s">
        <v>1386</v>
      </c>
      <c r="K181" s="276" t="s">
        <v>531</v>
      </c>
      <c r="L181" s="276" t="s">
        <v>532</v>
      </c>
      <c r="M181" s="276" t="s">
        <v>1387</v>
      </c>
      <c r="N181" s="276" t="s">
        <v>562</v>
      </c>
    </row>
    <row r="182" spans="1:14" ht="70">
      <c r="A182" s="268" t="str">
        <f t="shared" si="2"/>
        <v>Communication &amp; Deal with Others|Department Head|1</v>
      </c>
      <c r="B182" s="223" t="s">
        <v>507</v>
      </c>
      <c r="C182" s="79" t="s">
        <v>719</v>
      </c>
      <c r="D182" s="197">
        <v>1</v>
      </c>
      <c r="E182" s="79" t="s">
        <v>526</v>
      </c>
      <c r="F182" s="79">
        <v>1</v>
      </c>
      <c r="G182" s="128" t="s">
        <v>1388</v>
      </c>
      <c r="H182" s="128" t="s">
        <v>1389</v>
      </c>
      <c r="I182" s="128" t="s">
        <v>1390</v>
      </c>
      <c r="J182" s="128" t="s">
        <v>1391</v>
      </c>
      <c r="K182" s="128" t="s">
        <v>531</v>
      </c>
      <c r="L182" s="128" t="s">
        <v>532</v>
      </c>
      <c r="M182" s="128" t="s">
        <v>1392</v>
      </c>
      <c r="N182" s="128" t="s">
        <v>534</v>
      </c>
    </row>
    <row r="183" spans="1:14" ht="70">
      <c r="A183" s="268" t="str">
        <f t="shared" si="2"/>
        <v>Communication &amp; Deal with Others|Department Head|1</v>
      </c>
      <c r="B183" s="223" t="s">
        <v>507</v>
      </c>
      <c r="C183" s="79" t="s">
        <v>719</v>
      </c>
      <c r="D183" s="197">
        <v>1</v>
      </c>
      <c r="E183" s="79" t="s">
        <v>526</v>
      </c>
      <c r="F183" s="79">
        <v>2</v>
      </c>
      <c r="G183" s="128" t="s">
        <v>1393</v>
      </c>
      <c r="H183" s="128" t="s">
        <v>1394</v>
      </c>
      <c r="I183" s="128" t="s">
        <v>1395</v>
      </c>
      <c r="J183" s="128" t="s">
        <v>1396</v>
      </c>
      <c r="K183" s="128" t="s">
        <v>531</v>
      </c>
      <c r="L183" s="128" t="s">
        <v>532</v>
      </c>
      <c r="M183" s="128" t="s">
        <v>1397</v>
      </c>
      <c r="N183" s="128" t="s">
        <v>534</v>
      </c>
    </row>
    <row r="184" spans="1:14" ht="70">
      <c r="A184" s="268" t="str">
        <f t="shared" si="2"/>
        <v>Communication &amp; Deal with Others|Department Head|1</v>
      </c>
      <c r="B184" s="223" t="s">
        <v>507</v>
      </c>
      <c r="C184" s="79" t="s">
        <v>719</v>
      </c>
      <c r="D184" s="197">
        <v>1</v>
      </c>
      <c r="E184" s="79" t="s">
        <v>526</v>
      </c>
      <c r="F184" s="79">
        <v>3</v>
      </c>
      <c r="G184" s="128" t="s">
        <v>1398</v>
      </c>
      <c r="H184" s="128" t="s">
        <v>1399</v>
      </c>
      <c r="I184" s="128" t="s">
        <v>1400</v>
      </c>
      <c r="J184" s="128" t="s">
        <v>1401</v>
      </c>
      <c r="K184" s="128" t="s">
        <v>531</v>
      </c>
      <c r="L184" s="128" t="s">
        <v>532</v>
      </c>
      <c r="M184" s="128" t="s">
        <v>1402</v>
      </c>
      <c r="N184" s="128" t="s">
        <v>562</v>
      </c>
    </row>
    <row r="185" spans="1:14" ht="70">
      <c r="A185" s="268" t="str">
        <f t="shared" si="2"/>
        <v>Communication &amp; Deal with Others|Department Head|2</v>
      </c>
      <c r="B185" s="223" t="s">
        <v>507</v>
      </c>
      <c r="C185" s="79" t="s">
        <v>719</v>
      </c>
      <c r="D185" s="79">
        <v>2</v>
      </c>
      <c r="E185" s="79" t="s">
        <v>545</v>
      </c>
      <c r="F185" s="79">
        <v>1</v>
      </c>
      <c r="G185" s="128" t="s">
        <v>1403</v>
      </c>
      <c r="H185" s="128" t="s">
        <v>1404</v>
      </c>
      <c r="I185" s="128" t="s">
        <v>1405</v>
      </c>
      <c r="J185" s="128" t="s">
        <v>1406</v>
      </c>
      <c r="K185" s="128" t="s">
        <v>531</v>
      </c>
      <c r="L185" s="128" t="s">
        <v>532</v>
      </c>
      <c r="M185" s="128" t="s">
        <v>1407</v>
      </c>
      <c r="N185" s="128" t="s">
        <v>551</v>
      </c>
    </row>
    <row r="186" spans="1:14" ht="42">
      <c r="A186" s="268" t="str">
        <f t="shared" si="2"/>
        <v>Communication &amp; Deal with Others|Department Head|2</v>
      </c>
      <c r="B186" s="223" t="s">
        <v>507</v>
      </c>
      <c r="C186" s="79" t="s">
        <v>719</v>
      </c>
      <c r="D186" s="79">
        <v>2</v>
      </c>
      <c r="E186" s="79" t="s">
        <v>545</v>
      </c>
      <c r="F186" s="79">
        <v>2</v>
      </c>
      <c r="G186" s="128" t="s">
        <v>1408</v>
      </c>
      <c r="H186" s="128" t="s">
        <v>1409</v>
      </c>
      <c r="I186" s="128" t="s">
        <v>1410</v>
      </c>
      <c r="J186" s="128" t="s">
        <v>1411</v>
      </c>
      <c r="K186" s="128" t="s">
        <v>531</v>
      </c>
      <c r="L186" s="128" t="s">
        <v>532</v>
      </c>
      <c r="M186" s="128" t="s">
        <v>1412</v>
      </c>
      <c r="N186" s="128" t="s">
        <v>534</v>
      </c>
    </row>
    <row r="187" spans="1:14" ht="42">
      <c r="A187" s="268" t="str">
        <f t="shared" si="2"/>
        <v>Communication &amp; Deal with Others|Department Head|2</v>
      </c>
      <c r="B187" s="223" t="s">
        <v>507</v>
      </c>
      <c r="C187" s="79" t="s">
        <v>719</v>
      </c>
      <c r="D187" s="79">
        <v>2</v>
      </c>
      <c r="E187" s="79" t="s">
        <v>545</v>
      </c>
      <c r="F187" s="79">
        <v>3</v>
      </c>
      <c r="G187" s="128" t="s">
        <v>1413</v>
      </c>
      <c r="H187" s="128" t="s">
        <v>1414</v>
      </c>
      <c r="I187" s="128" t="s">
        <v>1415</v>
      </c>
      <c r="J187" s="128" t="s">
        <v>1416</v>
      </c>
      <c r="K187" s="128" t="s">
        <v>531</v>
      </c>
      <c r="L187" s="128" t="s">
        <v>532</v>
      </c>
      <c r="M187" s="128" t="s">
        <v>1417</v>
      </c>
      <c r="N187" s="128" t="s">
        <v>562</v>
      </c>
    </row>
    <row r="188" spans="1:14" ht="70">
      <c r="A188" s="268" t="str">
        <f t="shared" si="2"/>
        <v>Communication &amp; Deal with Others|Department Head|3</v>
      </c>
      <c r="B188" s="223" t="s">
        <v>507</v>
      </c>
      <c r="C188" s="79" t="s">
        <v>719</v>
      </c>
      <c r="D188" s="79">
        <v>3</v>
      </c>
      <c r="E188" s="79" t="s">
        <v>563</v>
      </c>
      <c r="F188" s="79">
        <v>1</v>
      </c>
      <c r="G188" s="128" t="s">
        <v>1418</v>
      </c>
      <c r="H188" s="128" t="s">
        <v>1419</v>
      </c>
      <c r="I188" s="128" t="s">
        <v>1420</v>
      </c>
      <c r="J188" s="128" t="s">
        <v>1421</v>
      </c>
      <c r="K188" s="128" t="s">
        <v>531</v>
      </c>
      <c r="L188" s="128" t="s">
        <v>532</v>
      </c>
      <c r="M188" s="128" t="s">
        <v>1422</v>
      </c>
      <c r="N188" s="128" t="s">
        <v>534</v>
      </c>
    </row>
    <row r="189" spans="1:14" ht="70">
      <c r="A189" s="268" t="str">
        <f t="shared" si="2"/>
        <v>Communication &amp; Deal with Others|Department Head|3</v>
      </c>
      <c r="B189" s="223" t="s">
        <v>507</v>
      </c>
      <c r="C189" s="79" t="s">
        <v>719</v>
      </c>
      <c r="D189" s="79">
        <v>3</v>
      </c>
      <c r="E189" s="79" t="s">
        <v>563</v>
      </c>
      <c r="F189" s="79">
        <v>2</v>
      </c>
      <c r="G189" s="128" t="s">
        <v>1423</v>
      </c>
      <c r="H189" s="128" t="s">
        <v>1424</v>
      </c>
      <c r="I189" s="128" t="s">
        <v>1425</v>
      </c>
      <c r="J189" s="128" t="s">
        <v>1426</v>
      </c>
      <c r="K189" s="128" t="s">
        <v>531</v>
      </c>
      <c r="L189" s="128" t="s">
        <v>532</v>
      </c>
      <c r="M189" s="128" t="s">
        <v>1427</v>
      </c>
      <c r="N189" s="128" t="s">
        <v>562</v>
      </c>
    </row>
    <row r="190" spans="1:14" ht="84">
      <c r="A190" s="268" t="str">
        <f t="shared" si="2"/>
        <v>Communication &amp; Deal with Others|Department Head|3</v>
      </c>
      <c r="B190" s="223" t="s">
        <v>507</v>
      </c>
      <c r="C190" s="79" t="s">
        <v>719</v>
      </c>
      <c r="D190" s="79">
        <v>3</v>
      </c>
      <c r="E190" s="79" t="s">
        <v>563</v>
      </c>
      <c r="F190" s="79">
        <v>3</v>
      </c>
      <c r="G190" s="128" t="s">
        <v>1428</v>
      </c>
      <c r="H190" s="128" t="s">
        <v>1429</v>
      </c>
      <c r="I190" s="128" t="s">
        <v>1430</v>
      </c>
      <c r="J190" s="128" t="s">
        <v>948</v>
      </c>
      <c r="K190" s="128" t="s">
        <v>531</v>
      </c>
      <c r="L190" s="128" t="s">
        <v>532</v>
      </c>
      <c r="M190" s="128" t="s">
        <v>1431</v>
      </c>
      <c r="N190" s="128" t="s">
        <v>580</v>
      </c>
    </row>
    <row r="191" spans="1:14" ht="84">
      <c r="A191" s="268" t="str">
        <f t="shared" si="2"/>
        <v>Communication &amp; Deal with Others|Department Head|4</v>
      </c>
      <c r="B191" s="223" t="s">
        <v>507</v>
      </c>
      <c r="C191" s="79" t="s">
        <v>719</v>
      </c>
      <c r="D191" s="79">
        <v>4</v>
      </c>
      <c r="E191" s="79" t="s">
        <v>581</v>
      </c>
      <c r="F191" s="79">
        <v>1</v>
      </c>
      <c r="G191" s="128" t="s">
        <v>1432</v>
      </c>
      <c r="H191" s="128" t="s">
        <v>1433</v>
      </c>
      <c r="I191" s="128" t="s">
        <v>1434</v>
      </c>
      <c r="J191" s="128" t="s">
        <v>1435</v>
      </c>
      <c r="K191" s="128" t="s">
        <v>531</v>
      </c>
      <c r="L191" s="128" t="s">
        <v>532</v>
      </c>
      <c r="M191" s="128" t="s">
        <v>1436</v>
      </c>
      <c r="N191" s="128" t="s">
        <v>562</v>
      </c>
    </row>
    <row r="192" spans="1:14" ht="70">
      <c r="A192" s="268" t="str">
        <f t="shared" si="2"/>
        <v>Communication &amp; Deal with Others|Department Head|4</v>
      </c>
      <c r="B192" s="223" t="s">
        <v>507</v>
      </c>
      <c r="C192" s="79" t="s">
        <v>719</v>
      </c>
      <c r="D192" s="79">
        <v>4</v>
      </c>
      <c r="E192" s="79" t="s">
        <v>581</v>
      </c>
      <c r="F192" s="79">
        <v>2</v>
      </c>
      <c r="G192" s="128" t="s">
        <v>1437</v>
      </c>
      <c r="H192" s="128" t="s">
        <v>1438</v>
      </c>
      <c r="I192" s="128" t="s">
        <v>1439</v>
      </c>
      <c r="J192" s="128" t="s">
        <v>1440</v>
      </c>
      <c r="K192" s="128" t="s">
        <v>531</v>
      </c>
      <c r="L192" s="128" t="s">
        <v>532</v>
      </c>
      <c r="M192" s="128" t="s">
        <v>1441</v>
      </c>
      <c r="N192" s="128" t="s">
        <v>562</v>
      </c>
    </row>
    <row r="193" spans="1:14" ht="98">
      <c r="A193" s="268" t="str">
        <f t="shared" si="2"/>
        <v>Communication &amp; Deal with Others|Department Head|4</v>
      </c>
      <c r="B193" s="223" t="s">
        <v>507</v>
      </c>
      <c r="C193" s="79" t="s">
        <v>719</v>
      </c>
      <c r="D193" s="79">
        <v>4</v>
      </c>
      <c r="E193" s="79" t="s">
        <v>581</v>
      </c>
      <c r="F193" s="79">
        <v>3</v>
      </c>
      <c r="G193" s="128" t="s">
        <v>1442</v>
      </c>
      <c r="H193" s="128" t="s">
        <v>1443</v>
      </c>
      <c r="I193" s="128" t="s">
        <v>1444</v>
      </c>
      <c r="J193" s="128" t="s">
        <v>1445</v>
      </c>
      <c r="K193" s="128" t="s">
        <v>531</v>
      </c>
      <c r="L193" s="128" t="s">
        <v>532</v>
      </c>
      <c r="M193" s="128" t="s">
        <v>1446</v>
      </c>
      <c r="N193" s="128" t="s">
        <v>562</v>
      </c>
    </row>
    <row r="194" spans="1:14" ht="84">
      <c r="A194" s="268" t="str">
        <f t="shared" si="2"/>
        <v>Communication &amp; Deal with Others|Division Head|1</v>
      </c>
      <c r="B194" s="223" t="s">
        <v>507</v>
      </c>
      <c r="C194" s="79" t="s">
        <v>778</v>
      </c>
      <c r="D194" s="197">
        <v>1</v>
      </c>
      <c r="E194" s="79" t="s">
        <v>526</v>
      </c>
      <c r="F194" s="79">
        <v>1</v>
      </c>
      <c r="G194" s="277" t="s">
        <v>1447</v>
      </c>
      <c r="H194" s="277" t="s">
        <v>1448</v>
      </c>
      <c r="I194" s="277" t="s">
        <v>1449</v>
      </c>
      <c r="J194" s="277" t="s">
        <v>1450</v>
      </c>
      <c r="K194" s="277" t="s">
        <v>531</v>
      </c>
      <c r="L194" s="277" t="s">
        <v>532</v>
      </c>
      <c r="M194" s="277" t="s">
        <v>1451</v>
      </c>
      <c r="N194" s="277" t="s">
        <v>534</v>
      </c>
    </row>
    <row r="195" spans="1:14" ht="56">
      <c r="A195" s="268" t="str">
        <f t="shared" ref="A195:A258" si="3">B195 &amp; "|" &amp; C195 &amp; "|" &amp; D195</f>
        <v>Communication &amp; Deal with Others|Division Head|1</v>
      </c>
      <c r="B195" s="223" t="s">
        <v>507</v>
      </c>
      <c r="C195" s="79" t="s">
        <v>778</v>
      </c>
      <c r="D195" s="197">
        <v>1</v>
      </c>
      <c r="E195" s="79" t="s">
        <v>526</v>
      </c>
      <c r="F195" s="79">
        <v>2</v>
      </c>
      <c r="G195" s="277" t="s">
        <v>1452</v>
      </c>
      <c r="H195" s="277" t="s">
        <v>1453</v>
      </c>
      <c r="I195" s="277" t="s">
        <v>1454</v>
      </c>
      <c r="J195" s="277" t="s">
        <v>1455</v>
      </c>
      <c r="K195" s="277" t="s">
        <v>531</v>
      </c>
      <c r="L195" s="277" t="s">
        <v>532</v>
      </c>
      <c r="M195" s="277" t="s">
        <v>1456</v>
      </c>
      <c r="N195" s="277" t="s">
        <v>534</v>
      </c>
    </row>
    <row r="196" spans="1:14" ht="56">
      <c r="A196" s="268" t="str">
        <f t="shared" si="3"/>
        <v>Communication &amp; Deal with Others|Division Head|1</v>
      </c>
      <c r="B196" s="223" t="s">
        <v>507</v>
      </c>
      <c r="C196" s="79" t="s">
        <v>778</v>
      </c>
      <c r="D196" s="197">
        <v>1</v>
      </c>
      <c r="E196" s="79" t="s">
        <v>526</v>
      </c>
      <c r="F196" s="79">
        <v>3</v>
      </c>
      <c r="G196" s="277" t="s">
        <v>1457</v>
      </c>
      <c r="H196" s="277" t="s">
        <v>1458</v>
      </c>
      <c r="I196" s="277" t="s">
        <v>1459</v>
      </c>
      <c r="J196" s="277" t="s">
        <v>1460</v>
      </c>
      <c r="K196" s="277" t="s">
        <v>531</v>
      </c>
      <c r="L196" s="277" t="s">
        <v>532</v>
      </c>
      <c r="M196" s="277" t="s">
        <v>1461</v>
      </c>
      <c r="N196" s="277" t="s">
        <v>534</v>
      </c>
    </row>
    <row r="197" spans="1:14" ht="70">
      <c r="A197" s="268" t="str">
        <f t="shared" si="3"/>
        <v>Communication &amp; Deal with Others|Division Head|2</v>
      </c>
      <c r="B197" s="223" t="s">
        <v>507</v>
      </c>
      <c r="C197" s="79" t="s">
        <v>778</v>
      </c>
      <c r="D197" s="79">
        <v>2</v>
      </c>
      <c r="E197" s="79" t="s">
        <v>545</v>
      </c>
      <c r="F197" s="79">
        <v>1</v>
      </c>
      <c r="G197" s="277" t="s">
        <v>1462</v>
      </c>
      <c r="H197" s="277" t="s">
        <v>1463</v>
      </c>
      <c r="I197" s="277" t="s">
        <v>1464</v>
      </c>
      <c r="J197" s="277" t="s">
        <v>1465</v>
      </c>
      <c r="K197" s="277" t="s">
        <v>531</v>
      </c>
      <c r="L197" s="277" t="s">
        <v>532</v>
      </c>
      <c r="M197" s="277" t="s">
        <v>1466</v>
      </c>
      <c r="N197" s="277" t="s">
        <v>551</v>
      </c>
    </row>
    <row r="198" spans="1:14" ht="56">
      <c r="A198" s="268" t="str">
        <f t="shared" si="3"/>
        <v>Communication &amp; Deal with Others|Division Head|2</v>
      </c>
      <c r="B198" s="223" t="s">
        <v>507</v>
      </c>
      <c r="C198" s="79" t="s">
        <v>778</v>
      </c>
      <c r="D198" s="79">
        <v>2</v>
      </c>
      <c r="E198" s="79" t="s">
        <v>545</v>
      </c>
      <c r="F198" s="79">
        <v>2</v>
      </c>
      <c r="G198" s="277" t="s">
        <v>1467</v>
      </c>
      <c r="H198" s="277" t="s">
        <v>1468</v>
      </c>
      <c r="I198" s="277" t="s">
        <v>1469</v>
      </c>
      <c r="J198" s="277" t="s">
        <v>1470</v>
      </c>
      <c r="K198" s="277" t="s">
        <v>531</v>
      </c>
      <c r="L198" s="277" t="s">
        <v>532</v>
      </c>
      <c r="M198" s="277" t="s">
        <v>1471</v>
      </c>
      <c r="N198" s="277" t="s">
        <v>1472</v>
      </c>
    </row>
    <row r="199" spans="1:14" ht="42">
      <c r="A199" s="268" t="str">
        <f t="shared" si="3"/>
        <v>Communication &amp; Deal with Others|Division Head|2</v>
      </c>
      <c r="B199" s="223" t="s">
        <v>507</v>
      </c>
      <c r="C199" s="79" t="s">
        <v>778</v>
      </c>
      <c r="D199" s="79">
        <v>2</v>
      </c>
      <c r="E199" s="79" t="s">
        <v>545</v>
      </c>
      <c r="F199" s="79">
        <v>3</v>
      </c>
      <c r="G199" s="277" t="s">
        <v>1473</v>
      </c>
      <c r="H199" s="277" t="s">
        <v>1474</v>
      </c>
      <c r="I199" s="277" t="s">
        <v>1475</v>
      </c>
      <c r="J199" s="277" t="s">
        <v>1476</v>
      </c>
      <c r="K199" s="277" t="s">
        <v>531</v>
      </c>
      <c r="L199" s="277" t="s">
        <v>532</v>
      </c>
      <c r="M199" s="277" t="s">
        <v>1477</v>
      </c>
      <c r="N199" s="277" t="s">
        <v>534</v>
      </c>
    </row>
    <row r="200" spans="1:14" ht="70">
      <c r="A200" s="268" t="str">
        <f t="shared" si="3"/>
        <v>Communication &amp; Deal with Others|Division Head|3</v>
      </c>
      <c r="B200" s="223" t="s">
        <v>507</v>
      </c>
      <c r="C200" s="79" t="s">
        <v>778</v>
      </c>
      <c r="D200" s="79">
        <v>3</v>
      </c>
      <c r="E200" s="79" t="s">
        <v>563</v>
      </c>
      <c r="F200" s="79">
        <v>1</v>
      </c>
      <c r="G200" s="277" t="s">
        <v>1478</v>
      </c>
      <c r="H200" s="277" t="s">
        <v>1479</v>
      </c>
      <c r="I200" s="277" t="s">
        <v>1480</v>
      </c>
      <c r="J200" s="277" t="s">
        <v>1481</v>
      </c>
      <c r="K200" s="277" t="s">
        <v>531</v>
      </c>
      <c r="L200" s="277" t="s">
        <v>532</v>
      </c>
      <c r="M200" s="277" t="s">
        <v>1482</v>
      </c>
      <c r="N200" s="277" t="s">
        <v>534</v>
      </c>
    </row>
    <row r="201" spans="1:14" ht="70">
      <c r="A201" s="268" t="str">
        <f t="shared" si="3"/>
        <v>Communication &amp; Deal with Others|Division Head|3</v>
      </c>
      <c r="B201" s="223" t="s">
        <v>507</v>
      </c>
      <c r="C201" s="79" t="s">
        <v>778</v>
      </c>
      <c r="D201" s="79">
        <v>3</v>
      </c>
      <c r="E201" s="79" t="s">
        <v>563</v>
      </c>
      <c r="F201" s="79">
        <v>2</v>
      </c>
      <c r="G201" s="277" t="s">
        <v>1483</v>
      </c>
      <c r="H201" s="277" t="s">
        <v>1484</v>
      </c>
      <c r="I201" s="277" t="s">
        <v>1485</v>
      </c>
      <c r="J201" s="277" t="s">
        <v>1486</v>
      </c>
      <c r="K201" s="277" t="s">
        <v>531</v>
      </c>
      <c r="L201" s="277" t="s">
        <v>532</v>
      </c>
      <c r="M201" s="277" t="s">
        <v>1487</v>
      </c>
      <c r="N201" s="277" t="s">
        <v>562</v>
      </c>
    </row>
    <row r="202" spans="1:14" ht="84">
      <c r="A202" s="268" t="str">
        <f t="shared" si="3"/>
        <v>Communication &amp; Deal with Others|Division Head|3</v>
      </c>
      <c r="B202" s="223" t="s">
        <v>507</v>
      </c>
      <c r="C202" s="79" t="s">
        <v>778</v>
      </c>
      <c r="D202" s="79">
        <v>3</v>
      </c>
      <c r="E202" s="79" t="s">
        <v>563</v>
      </c>
      <c r="F202" s="79">
        <v>3</v>
      </c>
      <c r="G202" s="277" t="s">
        <v>1488</v>
      </c>
      <c r="H202" s="277" t="s">
        <v>1489</v>
      </c>
      <c r="I202" s="277" t="s">
        <v>1490</v>
      </c>
      <c r="J202" s="277" t="s">
        <v>1491</v>
      </c>
      <c r="K202" s="277" t="s">
        <v>531</v>
      </c>
      <c r="L202" s="277" t="s">
        <v>532</v>
      </c>
      <c r="M202" s="277" t="s">
        <v>1492</v>
      </c>
      <c r="N202" s="277" t="s">
        <v>580</v>
      </c>
    </row>
    <row r="203" spans="1:14" ht="70">
      <c r="A203" s="268" t="str">
        <f t="shared" si="3"/>
        <v>Communication &amp; Deal with Others|Division Head|4</v>
      </c>
      <c r="B203" s="223" t="s">
        <v>507</v>
      </c>
      <c r="C203" s="79" t="s">
        <v>778</v>
      </c>
      <c r="D203" s="79">
        <v>4</v>
      </c>
      <c r="E203" s="79" t="s">
        <v>581</v>
      </c>
      <c r="F203" s="79">
        <v>1</v>
      </c>
      <c r="G203" s="277" t="s">
        <v>1493</v>
      </c>
      <c r="H203" s="277" t="s">
        <v>1494</v>
      </c>
      <c r="I203" s="277" t="s">
        <v>1495</v>
      </c>
      <c r="J203" s="277" t="s">
        <v>1496</v>
      </c>
      <c r="K203" s="277" t="s">
        <v>531</v>
      </c>
      <c r="L203" s="277" t="s">
        <v>532</v>
      </c>
      <c r="M203" s="277" t="s">
        <v>1497</v>
      </c>
      <c r="N203" s="277" t="s">
        <v>562</v>
      </c>
    </row>
    <row r="204" spans="1:14" ht="84">
      <c r="A204" s="268" t="str">
        <f t="shared" si="3"/>
        <v>Communication &amp; Deal with Others|Division Head|4</v>
      </c>
      <c r="B204" s="223" t="s">
        <v>507</v>
      </c>
      <c r="C204" s="79" t="s">
        <v>778</v>
      </c>
      <c r="D204" s="79">
        <v>4</v>
      </c>
      <c r="E204" s="79" t="s">
        <v>581</v>
      </c>
      <c r="F204" s="79">
        <v>2</v>
      </c>
      <c r="G204" s="277" t="s">
        <v>1498</v>
      </c>
      <c r="H204" s="277" t="s">
        <v>1499</v>
      </c>
      <c r="I204" s="277" t="s">
        <v>1500</v>
      </c>
      <c r="J204" s="277" t="s">
        <v>1501</v>
      </c>
      <c r="K204" s="277" t="s">
        <v>531</v>
      </c>
      <c r="L204" s="277" t="s">
        <v>532</v>
      </c>
      <c r="M204" s="277" t="s">
        <v>1502</v>
      </c>
      <c r="N204" s="277" t="s">
        <v>562</v>
      </c>
    </row>
    <row r="205" spans="1:14" ht="70">
      <c r="A205" s="268" t="str">
        <f t="shared" si="3"/>
        <v>Communication &amp; Deal with Others|Division Head|4</v>
      </c>
      <c r="B205" s="223" t="s">
        <v>507</v>
      </c>
      <c r="C205" s="79" t="s">
        <v>778</v>
      </c>
      <c r="D205" s="79">
        <v>4</v>
      </c>
      <c r="E205" s="79" t="s">
        <v>581</v>
      </c>
      <c r="F205" s="79">
        <v>3</v>
      </c>
      <c r="G205" s="277" t="s">
        <v>1503</v>
      </c>
      <c r="H205" s="277" t="s">
        <v>1504</v>
      </c>
      <c r="I205" s="277" t="s">
        <v>1505</v>
      </c>
      <c r="J205" s="277" t="s">
        <v>1506</v>
      </c>
      <c r="K205" s="277" t="s">
        <v>531</v>
      </c>
      <c r="L205" s="277" t="s">
        <v>532</v>
      </c>
      <c r="M205" s="277" t="s">
        <v>1507</v>
      </c>
      <c r="N205" s="277" t="s">
        <v>1508</v>
      </c>
    </row>
    <row r="206" spans="1:14" ht="99">
      <c r="A206" s="268" t="str">
        <f t="shared" si="3"/>
        <v>Communication &amp; Deal with Others|Director|1</v>
      </c>
      <c r="B206" s="223" t="s">
        <v>507</v>
      </c>
      <c r="C206" s="79" t="s">
        <v>838</v>
      </c>
      <c r="D206" s="197">
        <v>1</v>
      </c>
      <c r="E206" s="79" t="s">
        <v>526</v>
      </c>
      <c r="F206" s="79">
        <v>1</v>
      </c>
      <c r="G206" s="276" t="s">
        <v>1509</v>
      </c>
      <c r="H206" s="276" t="s">
        <v>1510</v>
      </c>
      <c r="I206" s="276" t="s">
        <v>1511</v>
      </c>
      <c r="J206" s="276" t="s">
        <v>1512</v>
      </c>
      <c r="K206" s="276" t="s">
        <v>531</v>
      </c>
      <c r="L206" s="276" t="s">
        <v>532</v>
      </c>
      <c r="M206" s="276" t="s">
        <v>1513</v>
      </c>
      <c r="N206" s="276" t="s">
        <v>534</v>
      </c>
    </row>
    <row r="207" spans="1:14" ht="82.5">
      <c r="A207" s="268" t="str">
        <f t="shared" si="3"/>
        <v>Communication &amp; Deal with Others|Director|1</v>
      </c>
      <c r="B207" s="223" t="s">
        <v>507</v>
      </c>
      <c r="C207" s="79" t="s">
        <v>838</v>
      </c>
      <c r="D207" s="197">
        <v>1</v>
      </c>
      <c r="E207" s="79" t="s">
        <v>526</v>
      </c>
      <c r="F207" s="79">
        <v>2</v>
      </c>
      <c r="G207" s="276" t="s">
        <v>1514</v>
      </c>
      <c r="H207" s="276" t="s">
        <v>1515</v>
      </c>
      <c r="I207" s="276" t="s">
        <v>1516</v>
      </c>
      <c r="J207" s="276" t="s">
        <v>1517</v>
      </c>
      <c r="K207" s="276" t="s">
        <v>531</v>
      </c>
      <c r="L207" s="276" t="s">
        <v>532</v>
      </c>
      <c r="M207" s="276" t="s">
        <v>1518</v>
      </c>
      <c r="N207" s="276" t="s">
        <v>534</v>
      </c>
    </row>
    <row r="208" spans="1:14" ht="99">
      <c r="A208" s="268" t="str">
        <f t="shared" si="3"/>
        <v>Communication &amp; Deal with Others|Director|1</v>
      </c>
      <c r="B208" s="223" t="s">
        <v>507</v>
      </c>
      <c r="C208" s="79" t="s">
        <v>838</v>
      </c>
      <c r="D208" s="197">
        <v>1</v>
      </c>
      <c r="E208" s="79" t="s">
        <v>526</v>
      </c>
      <c r="F208" s="79">
        <v>3</v>
      </c>
      <c r="G208" s="276" t="s">
        <v>1519</v>
      </c>
      <c r="H208" s="276" t="s">
        <v>1520</v>
      </c>
      <c r="I208" s="276" t="s">
        <v>1521</v>
      </c>
      <c r="J208" s="276" t="s">
        <v>1522</v>
      </c>
      <c r="K208" s="276" t="s">
        <v>531</v>
      </c>
      <c r="L208" s="276" t="s">
        <v>532</v>
      </c>
      <c r="M208" s="276" t="s">
        <v>1523</v>
      </c>
      <c r="N208" s="276" t="s">
        <v>562</v>
      </c>
    </row>
    <row r="209" spans="1:14" ht="99">
      <c r="A209" s="268" t="str">
        <f t="shared" si="3"/>
        <v>Communication &amp; Deal with Others|Director|2</v>
      </c>
      <c r="B209" s="223" t="s">
        <v>507</v>
      </c>
      <c r="C209" s="79" t="s">
        <v>838</v>
      </c>
      <c r="D209" s="79">
        <v>2</v>
      </c>
      <c r="E209" s="79" t="s">
        <v>545</v>
      </c>
      <c r="F209" s="79">
        <v>1</v>
      </c>
      <c r="G209" s="276" t="s">
        <v>1524</v>
      </c>
      <c r="H209" s="276" t="s">
        <v>1525</v>
      </c>
      <c r="I209" s="276" t="s">
        <v>1526</v>
      </c>
      <c r="J209" s="276" t="s">
        <v>1527</v>
      </c>
      <c r="K209" s="276" t="s">
        <v>531</v>
      </c>
      <c r="L209" s="276" t="s">
        <v>532</v>
      </c>
      <c r="M209" s="276" t="s">
        <v>1528</v>
      </c>
      <c r="N209" s="276" t="s">
        <v>1529</v>
      </c>
    </row>
    <row r="210" spans="1:14" ht="82.5">
      <c r="A210" s="268" t="str">
        <f t="shared" si="3"/>
        <v>Communication &amp; Deal with Others|Director|2</v>
      </c>
      <c r="B210" s="223" t="s">
        <v>507</v>
      </c>
      <c r="C210" s="79" t="s">
        <v>838</v>
      </c>
      <c r="D210" s="79">
        <v>2</v>
      </c>
      <c r="E210" s="79" t="s">
        <v>545</v>
      </c>
      <c r="F210" s="79">
        <v>2</v>
      </c>
      <c r="G210" s="276" t="s">
        <v>1530</v>
      </c>
      <c r="H210" s="276" t="s">
        <v>1531</v>
      </c>
      <c r="I210" s="276" t="s">
        <v>1532</v>
      </c>
      <c r="J210" s="276" t="s">
        <v>1533</v>
      </c>
      <c r="K210" s="276" t="s">
        <v>531</v>
      </c>
      <c r="L210" s="276" t="s">
        <v>532</v>
      </c>
      <c r="M210" s="276" t="s">
        <v>1534</v>
      </c>
      <c r="N210" s="276" t="s">
        <v>1535</v>
      </c>
    </row>
    <row r="211" spans="1:14" ht="66">
      <c r="A211" s="268" t="str">
        <f t="shared" si="3"/>
        <v>Communication &amp; Deal with Others|Director|2</v>
      </c>
      <c r="B211" s="223" t="s">
        <v>507</v>
      </c>
      <c r="C211" s="79" t="s">
        <v>838</v>
      </c>
      <c r="D211" s="79">
        <v>2</v>
      </c>
      <c r="E211" s="79" t="s">
        <v>545</v>
      </c>
      <c r="F211" s="79">
        <v>3</v>
      </c>
      <c r="G211" s="276" t="s">
        <v>1536</v>
      </c>
      <c r="H211" s="276" t="s">
        <v>1537</v>
      </c>
      <c r="I211" s="276" t="s">
        <v>1538</v>
      </c>
      <c r="J211" s="276" t="s">
        <v>1539</v>
      </c>
      <c r="K211" s="276" t="s">
        <v>531</v>
      </c>
      <c r="L211" s="276" t="s">
        <v>532</v>
      </c>
      <c r="M211" s="276" t="s">
        <v>1540</v>
      </c>
      <c r="N211" s="276" t="s">
        <v>562</v>
      </c>
    </row>
    <row r="212" spans="1:14" ht="82.5">
      <c r="A212" s="268" t="str">
        <f t="shared" si="3"/>
        <v>Communication &amp; Deal with Others|Director|3</v>
      </c>
      <c r="B212" s="223" t="s">
        <v>507</v>
      </c>
      <c r="C212" s="79" t="s">
        <v>838</v>
      </c>
      <c r="D212" s="79">
        <v>3</v>
      </c>
      <c r="E212" s="79" t="s">
        <v>563</v>
      </c>
      <c r="F212" s="79">
        <v>1</v>
      </c>
      <c r="G212" s="276" t="s">
        <v>1541</v>
      </c>
      <c r="H212" s="276" t="s">
        <v>1542</v>
      </c>
      <c r="I212" s="276" t="s">
        <v>1543</v>
      </c>
      <c r="J212" s="276" t="s">
        <v>1544</v>
      </c>
      <c r="K212" s="276" t="s">
        <v>531</v>
      </c>
      <c r="L212" s="276" t="s">
        <v>532</v>
      </c>
      <c r="M212" s="276" t="s">
        <v>1545</v>
      </c>
      <c r="N212" s="276" t="s">
        <v>534</v>
      </c>
    </row>
    <row r="213" spans="1:14" ht="115.5">
      <c r="A213" s="268" t="str">
        <f t="shared" si="3"/>
        <v>Communication &amp; Deal with Others|Director|3</v>
      </c>
      <c r="B213" s="223" t="s">
        <v>507</v>
      </c>
      <c r="C213" s="79" t="s">
        <v>838</v>
      </c>
      <c r="D213" s="79">
        <v>3</v>
      </c>
      <c r="E213" s="79" t="s">
        <v>563</v>
      </c>
      <c r="F213" s="79">
        <v>2</v>
      </c>
      <c r="G213" s="276" t="s">
        <v>1546</v>
      </c>
      <c r="H213" s="276" t="s">
        <v>1547</v>
      </c>
      <c r="I213" s="276" t="s">
        <v>1548</v>
      </c>
      <c r="J213" s="276" t="s">
        <v>1549</v>
      </c>
      <c r="K213" s="276" t="s">
        <v>531</v>
      </c>
      <c r="L213" s="276" t="s">
        <v>532</v>
      </c>
      <c r="M213" s="276" t="s">
        <v>1550</v>
      </c>
      <c r="N213" s="276" t="s">
        <v>534</v>
      </c>
    </row>
    <row r="214" spans="1:14" ht="132">
      <c r="A214" s="268" t="str">
        <f t="shared" si="3"/>
        <v>Communication &amp; Deal with Others|Director|3</v>
      </c>
      <c r="B214" s="223" t="s">
        <v>507</v>
      </c>
      <c r="C214" s="79" t="s">
        <v>838</v>
      </c>
      <c r="D214" s="79">
        <v>3</v>
      </c>
      <c r="E214" s="79" t="s">
        <v>563</v>
      </c>
      <c r="F214" s="79">
        <v>3</v>
      </c>
      <c r="G214" s="276" t="s">
        <v>1551</v>
      </c>
      <c r="H214" s="276" t="s">
        <v>1552</v>
      </c>
      <c r="I214" s="276" t="s">
        <v>1553</v>
      </c>
      <c r="J214" s="276" t="s">
        <v>1554</v>
      </c>
      <c r="K214" s="276" t="s">
        <v>531</v>
      </c>
      <c r="L214" s="276" t="s">
        <v>532</v>
      </c>
      <c r="M214" s="276" t="s">
        <v>1555</v>
      </c>
      <c r="N214" s="276" t="s">
        <v>580</v>
      </c>
    </row>
    <row r="215" spans="1:14" ht="82.5">
      <c r="A215" s="268" t="str">
        <f t="shared" si="3"/>
        <v>Communication &amp; Deal with Others|Director|4</v>
      </c>
      <c r="B215" s="223" t="s">
        <v>507</v>
      </c>
      <c r="C215" s="79" t="s">
        <v>838</v>
      </c>
      <c r="D215" s="79">
        <v>4</v>
      </c>
      <c r="E215" s="79" t="s">
        <v>581</v>
      </c>
      <c r="F215" s="79">
        <v>1</v>
      </c>
      <c r="G215" s="276" t="s">
        <v>1556</v>
      </c>
      <c r="H215" s="276" t="s">
        <v>1557</v>
      </c>
      <c r="I215" s="276" t="s">
        <v>1558</v>
      </c>
      <c r="J215" s="276" t="s">
        <v>1559</v>
      </c>
      <c r="K215" s="276" t="s">
        <v>531</v>
      </c>
      <c r="L215" s="276" t="s">
        <v>532</v>
      </c>
      <c r="M215" s="276" t="s">
        <v>1560</v>
      </c>
      <c r="N215" s="276" t="s">
        <v>1561</v>
      </c>
    </row>
    <row r="216" spans="1:14" ht="99">
      <c r="A216" s="268" t="str">
        <f t="shared" si="3"/>
        <v>Communication &amp; Deal with Others|Director|4</v>
      </c>
      <c r="B216" s="223" t="s">
        <v>507</v>
      </c>
      <c r="C216" s="79" t="s">
        <v>838</v>
      </c>
      <c r="D216" s="79">
        <v>4</v>
      </c>
      <c r="E216" s="79" t="s">
        <v>581</v>
      </c>
      <c r="F216" s="79">
        <v>2</v>
      </c>
      <c r="G216" s="276" t="s">
        <v>1562</v>
      </c>
      <c r="H216" s="276" t="s">
        <v>1563</v>
      </c>
      <c r="I216" s="276" t="s">
        <v>1564</v>
      </c>
      <c r="J216" s="276" t="s">
        <v>1565</v>
      </c>
      <c r="K216" s="276" t="s">
        <v>531</v>
      </c>
      <c r="L216" s="276" t="s">
        <v>532</v>
      </c>
      <c r="M216" s="276" t="s">
        <v>1566</v>
      </c>
      <c r="N216" s="276" t="s">
        <v>856</v>
      </c>
    </row>
    <row r="217" spans="1:14" ht="82.5">
      <c r="A217" s="268" t="str">
        <f t="shared" si="3"/>
        <v>Communication &amp; Deal with Others|Director|4</v>
      </c>
      <c r="B217" s="223" t="s">
        <v>507</v>
      </c>
      <c r="C217" s="79" t="s">
        <v>838</v>
      </c>
      <c r="D217" s="79">
        <v>4</v>
      </c>
      <c r="E217" s="79" t="s">
        <v>581</v>
      </c>
      <c r="F217" s="79">
        <v>3</v>
      </c>
      <c r="G217" s="276" t="s">
        <v>1567</v>
      </c>
      <c r="H217" s="276" t="s">
        <v>1568</v>
      </c>
      <c r="I217" s="276" t="s">
        <v>1569</v>
      </c>
      <c r="J217" s="276" t="s">
        <v>1570</v>
      </c>
      <c r="K217" s="276" t="s">
        <v>531</v>
      </c>
      <c r="L217" s="276" t="s">
        <v>532</v>
      </c>
      <c r="M217" s="276" t="s">
        <v>1571</v>
      </c>
      <c r="N217" s="276" t="s">
        <v>1572</v>
      </c>
    </row>
    <row r="218" spans="1:14" ht="66">
      <c r="A218" s="268" t="str">
        <f t="shared" si="3"/>
        <v>Conceptual Thinking|Officer|1</v>
      </c>
      <c r="B218" s="223" t="s">
        <v>503</v>
      </c>
      <c r="C218" s="226" t="s">
        <v>4</v>
      </c>
      <c r="D218" s="226">
        <v>1</v>
      </c>
      <c r="E218" s="227" t="s">
        <v>526</v>
      </c>
      <c r="F218" s="227">
        <v>1</v>
      </c>
      <c r="G218" s="276" t="s">
        <v>1573</v>
      </c>
      <c r="H218" s="276" t="s">
        <v>1574</v>
      </c>
      <c r="I218" s="276" t="s">
        <v>1575</v>
      </c>
      <c r="J218" s="276" t="s">
        <v>1576</v>
      </c>
      <c r="K218" s="276" t="s">
        <v>531</v>
      </c>
      <c r="L218" s="276" t="s">
        <v>532</v>
      </c>
      <c r="M218" s="276" t="s">
        <v>1577</v>
      </c>
      <c r="N218" s="276" t="s">
        <v>1578</v>
      </c>
    </row>
    <row r="219" spans="1:14" ht="66">
      <c r="A219" s="268" t="str">
        <f t="shared" si="3"/>
        <v>Conceptual Thinking|Officer|1</v>
      </c>
      <c r="B219" s="223" t="s">
        <v>503</v>
      </c>
      <c r="C219" s="226" t="s">
        <v>4</v>
      </c>
      <c r="D219" s="226">
        <v>1</v>
      </c>
      <c r="E219" s="227" t="s">
        <v>526</v>
      </c>
      <c r="F219" s="227">
        <v>2</v>
      </c>
      <c r="G219" s="276" t="s">
        <v>1579</v>
      </c>
      <c r="H219" s="276" t="s">
        <v>1580</v>
      </c>
      <c r="I219" s="276" t="s">
        <v>1581</v>
      </c>
      <c r="J219" s="276" t="s">
        <v>1582</v>
      </c>
      <c r="K219" s="276" t="s">
        <v>531</v>
      </c>
      <c r="L219" s="276" t="s">
        <v>532</v>
      </c>
      <c r="M219" s="276" t="s">
        <v>1583</v>
      </c>
      <c r="N219" s="276" t="s">
        <v>534</v>
      </c>
    </row>
    <row r="220" spans="1:14" ht="49.5">
      <c r="A220" s="268" t="str">
        <f t="shared" si="3"/>
        <v>Conceptual Thinking|Officer|1</v>
      </c>
      <c r="B220" s="223" t="s">
        <v>503</v>
      </c>
      <c r="C220" s="226" t="s">
        <v>4</v>
      </c>
      <c r="D220" s="226">
        <v>1</v>
      </c>
      <c r="E220" s="227" t="s">
        <v>526</v>
      </c>
      <c r="F220" s="227">
        <v>3</v>
      </c>
      <c r="G220" s="276" t="s">
        <v>1584</v>
      </c>
      <c r="H220" s="276" t="s">
        <v>1585</v>
      </c>
      <c r="I220" s="276" t="s">
        <v>1586</v>
      </c>
      <c r="J220" s="276" t="s">
        <v>1587</v>
      </c>
      <c r="K220" s="276" t="s">
        <v>531</v>
      </c>
      <c r="L220" s="276" t="s">
        <v>532</v>
      </c>
      <c r="M220" s="276" t="s">
        <v>1588</v>
      </c>
      <c r="N220" s="276" t="s">
        <v>534</v>
      </c>
    </row>
    <row r="221" spans="1:14" ht="33">
      <c r="A221" s="268" t="str">
        <f t="shared" si="3"/>
        <v>Conceptual Thinking|Officer|2</v>
      </c>
      <c r="B221" s="223" t="s">
        <v>503</v>
      </c>
      <c r="C221" s="226" t="s">
        <v>4</v>
      </c>
      <c r="D221" s="227">
        <v>2</v>
      </c>
      <c r="E221" s="227" t="s">
        <v>545</v>
      </c>
      <c r="F221" s="227">
        <v>1</v>
      </c>
      <c r="G221" s="276" t="s">
        <v>1589</v>
      </c>
      <c r="H221" s="276" t="s">
        <v>1590</v>
      </c>
      <c r="I221" s="276" t="s">
        <v>1591</v>
      </c>
      <c r="J221" s="276" t="s">
        <v>1592</v>
      </c>
      <c r="K221" s="276" t="s">
        <v>531</v>
      </c>
      <c r="L221" s="276" t="s">
        <v>532</v>
      </c>
      <c r="M221" s="276" t="s">
        <v>1593</v>
      </c>
      <c r="N221" s="276" t="s">
        <v>551</v>
      </c>
    </row>
    <row r="222" spans="1:14" ht="49.5">
      <c r="A222" s="268" t="str">
        <f t="shared" si="3"/>
        <v>Conceptual Thinking|Officer|2</v>
      </c>
      <c r="B222" s="223" t="s">
        <v>503</v>
      </c>
      <c r="C222" s="226" t="s">
        <v>4</v>
      </c>
      <c r="D222" s="227">
        <v>2</v>
      </c>
      <c r="E222" s="227" t="s">
        <v>545</v>
      </c>
      <c r="F222" s="227">
        <v>2</v>
      </c>
      <c r="G222" s="276" t="s">
        <v>1594</v>
      </c>
      <c r="H222" s="276" t="s">
        <v>1595</v>
      </c>
      <c r="I222" s="276" t="s">
        <v>1596</v>
      </c>
      <c r="J222" s="276" t="s">
        <v>1597</v>
      </c>
      <c r="K222" s="276" t="s">
        <v>531</v>
      </c>
      <c r="L222" s="276" t="s">
        <v>532</v>
      </c>
      <c r="M222" s="276" t="s">
        <v>1598</v>
      </c>
      <c r="N222" s="276" t="s">
        <v>677</v>
      </c>
    </row>
    <row r="223" spans="1:14" ht="33">
      <c r="A223" s="268" t="str">
        <f t="shared" si="3"/>
        <v>Conceptual Thinking|Officer|2</v>
      </c>
      <c r="B223" s="223" t="s">
        <v>503</v>
      </c>
      <c r="C223" s="226" t="s">
        <v>4</v>
      </c>
      <c r="D223" s="227">
        <v>2</v>
      </c>
      <c r="E223" s="227" t="s">
        <v>545</v>
      </c>
      <c r="F223" s="227">
        <v>3</v>
      </c>
      <c r="G223" s="276" t="s">
        <v>1599</v>
      </c>
      <c r="H223" s="276" t="s">
        <v>1600</v>
      </c>
      <c r="I223" s="276" t="s">
        <v>1601</v>
      </c>
      <c r="J223" s="276" t="s">
        <v>1602</v>
      </c>
      <c r="K223" s="276" t="s">
        <v>531</v>
      </c>
      <c r="L223" s="276" t="s">
        <v>532</v>
      </c>
      <c r="M223" s="276" t="s">
        <v>1603</v>
      </c>
      <c r="N223" s="276" t="s">
        <v>677</v>
      </c>
    </row>
    <row r="224" spans="1:14" ht="49.5">
      <c r="A224" s="268" t="str">
        <f t="shared" si="3"/>
        <v>Conceptual Thinking|Officer|3</v>
      </c>
      <c r="B224" s="223" t="s">
        <v>503</v>
      </c>
      <c r="C224" s="226" t="s">
        <v>4</v>
      </c>
      <c r="D224" s="227">
        <v>3</v>
      </c>
      <c r="E224" s="227" t="s">
        <v>563</v>
      </c>
      <c r="F224" s="227">
        <v>1</v>
      </c>
      <c r="G224" s="276" t="s">
        <v>1604</v>
      </c>
      <c r="H224" s="276" t="s">
        <v>1605</v>
      </c>
      <c r="I224" s="276" t="s">
        <v>1606</v>
      </c>
      <c r="J224" s="276" t="s">
        <v>1607</v>
      </c>
      <c r="K224" s="276" t="s">
        <v>531</v>
      </c>
      <c r="L224" s="276" t="s">
        <v>532</v>
      </c>
      <c r="M224" s="276" t="s">
        <v>1608</v>
      </c>
      <c r="N224" s="276" t="s">
        <v>1609</v>
      </c>
    </row>
    <row r="225" spans="1:14" ht="49.5">
      <c r="A225" s="268" t="str">
        <f t="shared" si="3"/>
        <v>Conceptual Thinking|Officer|3</v>
      </c>
      <c r="B225" s="223" t="s">
        <v>503</v>
      </c>
      <c r="C225" s="226" t="s">
        <v>4</v>
      </c>
      <c r="D225" s="227">
        <v>3</v>
      </c>
      <c r="E225" s="227" t="s">
        <v>563</v>
      </c>
      <c r="F225" s="227">
        <v>2</v>
      </c>
      <c r="G225" s="276" t="s">
        <v>1610</v>
      </c>
      <c r="H225" s="276" t="s">
        <v>1611</v>
      </c>
      <c r="I225" s="276" t="s">
        <v>1612</v>
      </c>
      <c r="J225" s="276" t="s">
        <v>1613</v>
      </c>
      <c r="K225" s="276" t="s">
        <v>531</v>
      </c>
      <c r="L225" s="276" t="s">
        <v>532</v>
      </c>
      <c r="M225" s="276" t="s">
        <v>1614</v>
      </c>
      <c r="N225" s="276" t="s">
        <v>562</v>
      </c>
    </row>
    <row r="226" spans="1:14" ht="49.5">
      <c r="A226" s="268" t="str">
        <f t="shared" si="3"/>
        <v>Conceptual Thinking|Officer|3</v>
      </c>
      <c r="B226" s="223" t="s">
        <v>503</v>
      </c>
      <c r="C226" s="226" t="s">
        <v>4</v>
      </c>
      <c r="D226" s="227">
        <v>3</v>
      </c>
      <c r="E226" s="227" t="s">
        <v>563</v>
      </c>
      <c r="F226" s="227">
        <v>3</v>
      </c>
      <c r="G226" s="276" t="s">
        <v>1615</v>
      </c>
      <c r="H226" s="276" t="s">
        <v>1616</v>
      </c>
      <c r="I226" s="276" t="s">
        <v>1617</v>
      </c>
      <c r="J226" s="276" t="s">
        <v>578</v>
      </c>
      <c r="K226" s="276" t="s">
        <v>531</v>
      </c>
      <c r="L226" s="276" t="s">
        <v>532</v>
      </c>
      <c r="M226" s="276" t="s">
        <v>822</v>
      </c>
      <c r="N226" s="276" t="s">
        <v>580</v>
      </c>
    </row>
    <row r="227" spans="1:14" ht="49.5">
      <c r="A227" s="268" t="str">
        <f t="shared" si="3"/>
        <v>Conceptual Thinking|Officer|4</v>
      </c>
      <c r="B227" s="223" t="s">
        <v>503</v>
      </c>
      <c r="C227" s="226" t="s">
        <v>4</v>
      </c>
      <c r="D227" s="227">
        <v>4</v>
      </c>
      <c r="E227" s="227" t="s">
        <v>581</v>
      </c>
      <c r="F227" s="227">
        <v>1</v>
      </c>
      <c r="G227" s="276" t="s">
        <v>1618</v>
      </c>
      <c r="H227" s="276" t="s">
        <v>1619</v>
      </c>
      <c r="I227" s="276" t="s">
        <v>1620</v>
      </c>
      <c r="J227" s="276" t="s">
        <v>1621</v>
      </c>
      <c r="K227" s="276" t="s">
        <v>531</v>
      </c>
      <c r="L227" s="276" t="s">
        <v>532</v>
      </c>
      <c r="M227" s="276" t="s">
        <v>1622</v>
      </c>
      <c r="N227" s="276" t="s">
        <v>562</v>
      </c>
    </row>
    <row r="228" spans="1:14" ht="49.5">
      <c r="A228" s="268" t="str">
        <f t="shared" si="3"/>
        <v>Conceptual Thinking|Officer|4</v>
      </c>
      <c r="B228" s="223" t="s">
        <v>503</v>
      </c>
      <c r="C228" s="226" t="s">
        <v>4</v>
      </c>
      <c r="D228" s="227">
        <v>4</v>
      </c>
      <c r="E228" s="227" t="s">
        <v>581</v>
      </c>
      <c r="F228" s="227">
        <v>2</v>
      </c>
      <c r="G228" s="276" t="s">
        <v>1623</v>
      </c>
      <c r="H228" s="276" t="s">
        <v>1624</v>
      </c>
      <c r="I228" s="276" t="s">
        <v>1625</v>
      </c>
      <c r="J228" s="276" t="s">
        <v>1626</v>
      </c>
      <c r="K228" s="276" t="s">
        <v>531</v>
      </c>
      <c r="L228" s="276" t="s">
        <v>532</v>
      </c>
      <c r="M228" s="276" t="s">
        <v>1627</v>
      </c>
      <c r="N228" s="276" t="s">
        <v>562</v>
      </c>
    </row>
    <row r="229" spans="1:14" ht="66">
      <c r="A229" s="268" t="str">
        <f t="shared" si="3"/>
        <v>Conceptual Thinking|Officer|4</v>
      </c>
      <c r="B229" s="223" t="s">
        <v>503</v>
      </c>
      <c r="C229" s="226" t="s">
        <v>4</v>
      </c>
      <c r="D229" s="227">
        <v>4</v>
      </c>
      <c r="E229" s="227" t="s">
        <v>581</v>
      </c>
      <c r="F229" s="227">
        <v>3</v>
      </c>
      <c r="G229" s="276" t="s">
        <v>1628</v>
      </c>
      <c r="H229" s="276" t="s">
        <v>1629</v>
      </c>
      <c r="I229" s="276" t="s">
        <v>1630</v>
      </c>
      <c r="J229" s="276" t="s">
        <v>1631</v>
      </c>
      <c r="K229" s="276" t="s">
        <v>531</v>
      </c>
      <c r="L229" s="276" t="s">
        <v>532</v>
      </c>
      <c r="M229" s="276" t="s">
        <v>1632</v>
      </c>
      <c r="N229" s="276" t="s">
        <v>562</v>
      </c>
    </row>
    <row r="230" spans="1:14" ht="42">
      <c r="A230" s="268" t="str">
        <f t="shared" si="3"/>
        <v>Conceptual Thinking|Analyst|1</v>
      </c>
      <c r="B230" s="223" t="s">
        <v>503</v>
      </c>
      <c r="C230" s="226" t="s">
        <v>6</v>
      </c>
      <c r="D230" s="226">
        <v>1</v>
      </c>
      <c r="E230" s="227" t="s">
        <v>526</v>
      </c>
      <c r="F230" s="227">
        <v>1</v>
      </c>
      <c r="G230" s="277" t="s">
        <v>1633</v>
      </c>
      <c r="H230" s="277" t="s">
        <v>1634</v>
      </c>
      <c r="I230" s="277" t="s">
        <v>1635</v>
      </c>
      <c r="J230" s="277" t="s">
        <v>1636</v>
      </c>
      <c r="K230" s="277" t="s">
        <v>531</v>
      </c>
      <c r="L230" s="277" t="s">
        <v>532</v>
      </c>
      <c r="M230" s="277" t="s">
        <v>1637</v>
      </c>
      <c r="N230" s="277" t="s">
        <v>534</v>
      </c>
    </row>
    <row r="231" spans="1:14" ht="28">
      <c r="A231" s="268" t="str">
        <f t="shared" si="3"/>
        <v>Conceptual Thinking|Analyst|1</v>
      </c>
      <c r="B231" s="223" t="s">
        <v>503</v>
      </c>
      <c r="C231" s="226" t="s">
        <v>6</v>
      </c>
      <c r="D231" s="226">
        <v>1</v>
      </c>
      <c r="E231" s="227" t="s">
        <v>526</v>
      </c>
      <c r="F231" s="227">
        <v>2</v>
      </c>
      <c r="G231" s="277" t="s">
        <v>1638</v>
      </c>
      <c r="H231" s="277" t="s">
        <v>1639</v>
      </c>
      <c r="I231" s="277" t="s">
        <v>1640</v>
      </c>
      <c r="J231" s="277" t="s">
        <v>1641</v>
      </c>
      <c r="K231" s="277" t="s">
        <v>531</v>
      </c>
      <c r="L231" s="277" t="s">
        <v>532</v>
      </c>
      <c r="M231" s="277" t="s">
        <v>1642</v>
      </c>
      <c r="N231" s="277" t="s">
        <v>534</v>
      </c>
    </row>
    <row r="232" spans="1:14" ht="28">
      <c r="A232" s="268" t="str">
        <f t="shared" si="3"/>
        <v>Conceptual Thinking|Analyst|1</v>
      </c>
      <c r="B232" s="223" t="s">
        <v>503</v>
      </c>
      <c r="C232" s="226" t="s">
        <v>6</v>
      </c>
      <c r="D232" s="226">
        <v>1</v>
      </c>
      <c r="E232" s="227" t="s">
        <v>526</v>
      </c>
      <c r="F232" s="227">
        <v>3</v>
      </c>
      <c r="G232" s="277" t="s">
        <v>1643</v>
      </c>
      <c r="H232" s="277" t="s">
        <v>1644</v>
      </c>
      <c r="I232" s="277" t="s">
        <v>1645</v>
      </c>
      <c r="J232" s="277" t="s">
        <v>1646</v>
      </c>
      <c r="K232" s="277" t="s">
        <v>531</v>
      </c>
      <c r="L232" s="277" t="s">
        <v>532</v>
      </c>
      <c r="M232" s="277" t="s">
        <v>1647</v>
      </c>
      <c r="N232" s="277" t="s">
        <v>1648</v>
      </c>
    </row>
    <row r="233" spans="1:14" ht="28">
      <c r="A233" s="268" t="str">
        <f t="shared" si="3"/>
        <v>Conceptual Thinking|Analyst|2</v>
      </c>
      <c r="B233" s="223" t="s">
        <v>503</v>
      </c>
      <c r="C233" s="226" t="s">
        <v>6</v>
      </c>
      <c r="D233" s="227">
        <v>2</v>
      </c>
      <c r="E233" s="227" t="s">
        <v>545</v>
      </c>
      <c r="F233" s="227">
        <v>1</v>
      </c>
      <c r="G233" s="277" t="s">
        <v>1649</v>
      </c>
      <c r="H233" s="277" t="s">
        <v>1650</v>
      </c>
      <c r="I233" s="277" t="s">
        <v>1651</v>
      </c>
      <c r="J233" s="277" t="s">
        <v>1652</v>
      </c>
      <c r="K233" s="277" t="s">
        <v>531</v>
      </c>
      <c r="L233" s="277" t="s">
        <v>532</v>
      </c>
      <c r="M233" s="277" t="s">
        <v>1653</v>
      </c>
      <c r="N233" s="277" t="s">
        <v>677</v>
      </c>
    </row>
    <row r="234" spans="1:14" ht="28">
      <c r="A234" s="268" t="str">
        <f t="shared" si="3"/>
        <v>Conceptual Thinking|Analyst|2</v>
      </c>
      <c r="B234" s="223" t="s">
        <v>503</v>
      </c>
      <c r="C234" s="226" t="s">
        <v>6</v>
      </c>
      <c r="D234" s="227">
        <v>2</v>
      </c>
      <c r="E234" s="227" t="s">
        <v>545</v>
      </c>
      <c r="F234" s="227">
        <v>2</v>
      </c>
      <c r="G234" s="277" t="s">
        <v>1654</v>
      </c>
      <c r="H234" s="277" t="s">
        <v>1655</v>
      </c>
      <c r="I234" s="277" t="s">
        <v>1656</v>
      </c>
      <c r="J234" s="277" t="s">
        <v>1657</v>
      </c>
      <c r="K234" s="277" t="s">
        <v>531</v>
      </c>
      <c r="L234" s="277" t="s">
        <v>532</v>
      </c>
      <c r="M234" s="277" t="s">
        <v>1658</v>
      </c>
      <c r="N234" s="277" t="s">
        <v>677</v>
      </c>
    </row>
    <row r="235" spans="1:14" ht="28">
      <c r="A235" s="268" t="str">
        <f t="shared" si="3"/>
        <v>Conceptual Thinking|Analyst|2</v>
      </c>
      <c r="B235" s="223" t="s">
        <v>503</v>
      </c>
      <c r="C235" s="226" t="s">
        <v>6</v>
      </c>
      <c r="D235" s="227">
        <v>2</v>
      </c>
      <c r="E235" s="227" t="s">
        <v>545</v>
      </c>
      <c r="F235" s="227">
        <v>3</v>
      </c>
      <c r="G235" s="277" t="s">
        <v>1659</v>
      </c>
      <c r="H235" s="277" t="s">
        <v>1660</v>
      </c>
      <c r="I235" s="277" t="s">
        <v>1661</v>
      </c>
      <c r="J235" s="277" t="s">
        <v>1662</v>
      </c>
      <c r="K235" s="277" t="s">
        <v>531</v>
      </c>
      <c r="L235" s="277" t="s">
        <v>532</v>
      </c>
      <c r="M235" s="277" t="s">
        <v>1663</v>
      </c>
      <c r="N235" s="277" t="s">
        <v>1664</v>
      </c>
    </row>
    <row r="236" spans="1:14" ht="28">
      <c r="A236" s="268" t="str">
        <f t="shared" si="3"/>
        <v>Conceptual Thinking|Analyst|3</v>
      </c>
      <c r="B236" s="223" t="s">
        <v>503</v>
      </c>
      <c r="C236" s="226" t="s">
        <v>6</v>
      </c>
      <c r="D236" s="227">
        <v>3</v>
      </c>
      <c r="E236" s="227" t="s">
        <v>563</v>
      </c>
      <c r="F236" s="227">
        <v>1</v>
      </c>
      <c r="G236" s="277" t="s">
        <v>1665</v>
      </c>
      <c r="H236" s="277" t="s">
        <v>1666</v>
      </c>
      <c r="I236" s="277" t="s">
        <v>1667</v>
      </c>
      <c r="J236" s="277" t="s">
        <v>1607</v>
      </c>
      <c r="K236" s="277" t="s">
        <v>531</v>
      </c>
      <c r="L236" s="277" t="s">
        <v>532</v>
      </c>
      <c r="M236" s="277" t="s">
        <v>1668</v>
      </c>
      <c r="N236" s="277" t="s">
        <v>1609</v>
      </c>
    </row>
    <row r="237" spans="1:14" ht="28">
      <c r="A237" s="268" t="str">
        <f t="shared" si="3"/>
        <v>Conceptual Thinking|Analyst|3</v>
      </c>
      <c r="B237" s="223" t="s">
        <v>503</v>
      </c>
      <c r="C237" s="226" t="s">
        <v>6</v>
      </c>
      <c r="D237" s="227">
        <v>3</v>
      </c>
      <c r="E237" s="227" t="s">
        <v>563</v>
      </c>
      <c r="F237" s="227">
        <v>2</v>
      </c>
      <c r="G237" s="277" t="s">
        <v>1669</v>
      </c>
      <c r="H237" s="277" t="s">
        <v>1670</v>
      </c>
      <c r="I237" s="277" t="s">
        <v>1671</v>
      </c>
      <c r="J237" s="277" t="s">
        <v>1613</v>
      </c>
      <c r="K237" s="277" t="s">
        <v>531</v>
      </c>
      <c r="L237" s="277" t="s">
        <v>532</v>
      </c>
      <c r="M237" s="277" t="s">
        <v>1672</v>
      </c>
      <c r="N237" s="277" t="s">
        <v>1673</v>
      </c>
    </row>
    <row r="238" spans="1:14" ht="28">
      <c r="A238" s="268" t="str">
        <f t="shared" si="3"/>
        <v>Conceptual Thinking|Analyst|3</v>
      </c>
      <c r="B238" s="223" t="s">
        <v>503</v>
      </c>
      <c r="C238" s="226" t="s">
        <v>6</v>
      </c>
      <c r="D238" s="227">
        <v>3</v>
      </c>
      <c r="E238" s="227" t="s">
        <v>563</v>
      </c>
      <c r="F238" s="227">
        <v>3</v>
      </c>
      <c r="G238" s="277" t="s">
        <v>1674</v>
      </c>
      <c r="H238" s="277" t="s">
        <v>1675</v>
      </c>
      <c r="I238" s="277" t="s">
        <v>1676</v>
      </c>
      <c r="J238" s="277" t="s">
        <v>1677</v>
      </c>
      <c r="K238" s="277" t="s">
        <v>531</v>
      </c>
      <c r="L238" s="277" t="s">
        <v>532</v>
      </c>
      <c r="M238" s="277" t="s">
        <v>1678</v>
      </c>
      <c r="N238" s="277" t="s">
        <v>1679</v>
      </c>
    </row>
    <row r="239" spans="1:14" ht="42">
      <c r="A239" s="268" t="str">
        <f t="shared" si="3"/>
        <v>Conceptual Thinking|Analyst|4</v>
      </c>
      <c r="B239" s="223" t="s">
        <v>503</v>
      </c>
      <c r="C239" s="226" t="s">
        <v>6</v>
      </c>
      <c r="D239" s="227">
        <v>4</v>
      </c>
      <c r="E239" s="227" t="s">
        <v>581</v>
      </c>
      <c r="F239" s="227">
        <v>1</v>
      </c>
      <c r="G239" s="277" t="s">
        <v>1680</v>
      </c>
      <c r="H239" s="277" t="s">
        <v>1681</v>
      </c>
      <c r="I239" s="277" t="s">
        <v>1682</v>
      </c>
      <c r="J239" s="277" t="s">
        <v>1683</v>
      </c>
      <c r="K239" s="277" t="s">
        <v>531</v>
      </c>
      <c r="L239" s="277" t="s">
        <v>532</v>
      </c>
      <c r="M239" s="277" t="s">
        <v>1684</v>
      </c>
      <c r="N239" s="277" t="s">
        <v>562</v>
      </c>
    </row>
    <row r="240" spans="1:14" ht="28">
      <c r="A240" s="268" t="str">
        <f t="shared" si="3"/>
        <v>Conceptual Thinking|Analyst|4</v>
      </c>
      <c r="B240" s="223" t="s">
        <v>503</v>
      </c>
      <c r="C240" s="226" t="s">
        <v>6</v>
      </c>
      <c r="D240" s="227">
        <v>4</v>
      </c>
      <c r="E240" s="227" t="s">
        <v>581</v>
      </c>
      <c r="F240" s="227">
        <v>2</v>
      </c>
      <c r="G240" s="277" t="s">
        <v>1685</v>
      </c>
      <c r="H240" s="277" t="s">
        <v>1686</v>
      </c>
      <c r="I240" s="277" t="s">
        <v>1687</v>
      </c>
      <c r="J240" s="277" t="s">
        <v>1688</v>
      </c>
      <c r="K240" s="277" t="s">
        <v>531</v>
      </c>
      <c r="L240" s="277" t="s">
        <v>532</v>
      </c>
      <c r="M240" s="277" t="s">
        <v>1689</v>
      </c>
      <c r="N240" s="277" t="s">
        <v>1690</v>
      </c>
    </row>
    <row r="241" spans="1:14" ht="28">
      <c r="A241" s="268" t="str">
        <f t="shared" si="3"/>
        <v>Conceptual Thinking|Analyst|4</v>
      </c>
      <c r="B241" s="223" t="s">
        <v>503</v>
      </c>
      <c r="C241" s="226" t="s">
        <v>6</v>
      </c>
      <c r="D241" s="227">
        <v>4</v>
      </c>
      <c r="E241" s="227" t="s">
        <v>581</v>
      </c>
      <c r="F241" s="227">
        <v>3</v>
      </c>
      <c r="G241" s="277" t="s">
        <v>1691</v>
      </c>
      <c r="H241" s="277" t="s">
        <v>1692</v>
      </c>
      <c r="I241" s="277" t="s">
        <v>1693</v>
      </c>
      <c r="J241" s="277" t="s">
        <v>1694</v>
      </c>
      <c r="K241" s="277" t="s">
        <v>531</v>
      </c>
      <c r="L241" s="277" t="s">
        <v>532</v>
      </c>
      <c r="M241" s="277" t="s">
        <v>1695</v>
      </c>
      <c r="N241" s="277" t="s">
        <v>1696</v>
      </c>
    </row>
    <row r="242" spans="1:14" ht="66">
      <c r="A242" s="268" t="str">
        <f t="shared" si="3"/>
        <v>Conceptual Thinking|Unit Head/Specialist|1</v>
      </c>
      <c r="B242" s="223" t="s">
        <v>503</v>
      </c>
      <c r="C242" s="227" t="s">
        <v>13</v>
      </c>
      <c r="D242" s="226">
        <v>1</v>
      </c>
      <c r="E242" s="227" t="s">
        <v>526</v>
      </c>
      <c r="F242" s="227">
        <v>1</v>
      </c>
      <c r="G242" s="276" t="s">
        <v>1697</v>
      </c>
      <c r="H242" s="276" t="s">
        <v>1698</v>
      </c>
      <c r="I242" s="276" t="s">
        <v>1699</v>
      </c>
      <c r="J242" s="276" t="s">
        <v>1700</v>
      </c>
      <c r="K242" s="276" t="s">
        <v>531</v>
      </c>
      <c r="L242" s="276" t="s">
        <v>532</v>
      </c>
      <c r="M242" s="276" t="s">
        <v>1701</v>
      </c>
      <c r="N242" s="276" t="s">
        <v>562</v>
      </c>
    </row>
    <row r="243" spans="1:14" ht="49.5">
      <c r="A243" s="268" t="str">
        <f t="shared" si="3"/>
        <v>Conceptual Thinking|Unit Head/Specialist|1</v>
      </c>
      <c r="B243" s="223" t="s">
        <v>503</v>
      </c>
      <c r="C243" s="227" t="s">
        <v>13</v>
      </c>
      <c r="D243" s="226">
        <v>1</v>
      </c>
      <c r="E243" s="227" t="s">
        <v>526</v>
      </c>
      <c r="F243" s="227">
        <v>2</v>
      </c>
      <c r="G243" s="276" t="s">
        <v>1702</v>
      </c>
      <c r="H243" s="276" t="s">
        <v>1703</v>
      </c>
      <c r="I243" s="276" t="s">
        <v>1704</v>
      </c>
      <c r="J243" s="276" t="s">
        <v>1705</v>
      </c>
      <c r="K243" s="276" t="s">
        <v>531</v>
      </c>
      <c r="L243" s="276" t="s">
        <v>532</v>
      </c>
      <c r="M243" s="276" t="s">
        <v>1706</v>
      </c>
      <c r="N243" s="276" t="s">
        <v>534</v>
      </c>
    </row>
    <row r="244" spans="1:14" ht="33">
      <c r="A244" s="268" t="str">
        <f t="shared" si="3"/>
        <v>Conceptual Thinking|Unit Head/Specialist|1</v>
      </c>
      <c r="B244" s="223" t="s">
        <v>503</v>
      </c>
      <c r="C244" s="227" t="s">
        <v>13</v>
      </c>
      <c r="D244" s="226">
        <v>1</v>
      </c>
      <c r="E244" s="227" t="s">
        <v>526</v>
      </c>
      <c r="F244" s="227">
        <v>3</v>
      </c>
      <c r="G244" s="276" t="s">
        <v>1707</v>
      </c>
      <c r="H244" s="276" t="s">
        <v>1708</v>
      </c>
      <c r="I244" s="276" t="s">
        <v>1709</v>
      </c>
      <c r="J244" s="276" t="s">
        <v>1710</v>
      </c>
      <c r="K244" s="276" t="s">
        <v>531</v>
      </c>
      <c r="L244" s="276" t="s">
        <v>532</v>
      </c>
      <c r="M244" s="276" t="s">
        <v>1711</v>
      </c>
      <c r="N244" s="276" t="s">
        <v>562</v>
      </c>
    </row>
    <row r="245" spans="1:14" ht="33">
      <c r="A245" s="268" t="str">
        <f t="shared" si="3"/>
        <v>Conceptual Thinking|Unit Head/Specialist|2</v>
      </c>
      <c r="B245" s="223" t="s">
        <v>503</v>
      </c>
      <c r="C245" s="227" t="s">
        <v>13</v>
      </c>
      <c r="D245" s="227">
        <v>2</v>
      </c>
      <c r="E245" s="227" t="s">
        <v>545</v>
      </c>
      <c r="F245" s="227">
        <v>1</v>
      </c>
      <c r="G245" s="276" t="s">
        <v>1712</v>
      </c>
      <c r="H245" s="276" t="s">
        <v>1713</v>
      </c>
      <c r="I245" s="276" t="s">
        <v>1714</v>
      </c>
      <c r="J245" s="276" t="s">
        <v>1652</v>
      </c>
      <c r="K245" s="276" t="s">
        <v>531</v>
      </c>
      <c r="L245" s="276" t="s">
        <v>532</v>
      </c>
      <c r="M245" s="276" t="s">
        <v>1715</v>
      </c>
      <c r="N245" s="276" t="s">
        <v>677</v>
      </c>
    </row>
    <row r="246" spans="1:14" ht="33">
      <c r="A246" s="268" t="str">
        <f t="shared" si="3"/>
        <v>Conceptual Thinking|Unit Head/Specialist|2</v>
      </c>
      <c r="B246" s="223" t="s">
        <v>503</v>
      </c>
      <c r="C246" s="227" t="s">
        <v>13</v>
      </c>
      <c r="D246" s="227">
        <v>2</v>
      </c>
      <c r="E246" s="227" t="s">
        <v>545</v>
      </c>
      <c r="F246" s="227">
        <v>2</v>
      </c>
      <c r="G246" s="276" t="s">
        <v>1716</v>
      </c>
      <c r="H246" s="276" t="s">
        <v>1717</v>
      </c>
      <c r="I246" s="276" t="s">
        <v>1718</v>
      </c>
      <c r="J246" s="276" t="s">
        <v>1719</v>
      </c>
      <c r="K246" s="276" t="s">
        <v>531</v>
      </c>
      <c r="L246" s="276" t="s">
        <v>532</v>
      </c>
      <c r="M246" s="276" t="s">
        <v>1720</v>
      </c>
      <c r="N246" s="276" t="s">
        <v>677</v>
      </c>
    </row>
    <row r="247" spans="1:14" ht="33">
      <c r="A247" s="268" t="str">
        <f t="shared" si="3"/>
        <v>Conceptual Thinking|Unit Head/Specialist|2</v>
      </c>
      <c r="B247" s="223" t="s">
        <v>503</v>
      </c>
      <c r="C247" s="227" t="s">
        <v>13</v>
      </c>
      <c r="D247" s="227">
        <v>2</v>
      </c>
      <c r="E247" s="227" t="s">
        <v>545</v>
      </c>
      <c r="F247" s="227">
        <v>3</v>
      </c>
      <c r="G247" s="276" t="s">
        <v>1721</v>
      </c>
      <c r="H247" s="276" t="s">
        <v>1722</v>
      </c>
      <c r="I247" s="276" t="s">
        <v>1723</v>
      </c>
      <c r="J247" s="276" t="s">
        <v>1724</v>
      </c>
      <c r="K247" s="276" t="s">
        <v>531</v>
      </c>
      <c r="L247" s="276" t="s">
        <v>532</v>
      </c>
      <c r="M247" s="276" t="s">
        <v>1725</v>
      </c>
      <c r="N247" s="276" t="s">
        <v>551</v>
      </c>
    </row>
    <row r="248" spans="1:14" ht="49.5">
      <c r="A248" s="268" t="str">
        <f t="shared" si="3"/>
        <v>Conceptual Thinking|Unit Head/Specialist|3</v>
      </c>
      <c r="B248" s="223" t="s">
        <v>503</v>
      </c>
      <c r="C248" s="227" t="s">
        <v>13</v>
      </c>
      <c r="D248" s="227">
        <v>3</v>
      </c>
      <c r="E248" s="227" t="s">
        <v>563</v>
      </c>
      <c r="F248" s="227">
        <v>1</v>
      </c>
      <c r="G248" s="276" t="s">
        <v>1726</v>
      </c>
      <c r="H248" s="276" t="s">
        <v>1727</v>
      </c>
      <c r="I248" s="276" t="s">
        <v>1728</v>
      </c>
      <c r="J248" s="276" t="s">
        <v>1729</v>
      </c>
      <c r="K248" s="276" t="s">
        <v>531</v>
      </c>
      <c r="L248" s="276" t="s">
        <v>532</v>
      </c>
      <c r="M248" s="276" t="s">
        <v>1730</v>
      </c>
      <c r="N248" s="276" t="s">
        <v>1731</v>
      </c>
    </row>
    <row r="249" spans="1:14" ht="49.5">
      <c r="A249" s="268" t="str">
        <f t="shared" si="3"/>
        <v>Conceptual Thinking|Unit Head/Specialist|3</v>
      </c>
      <c r="B249" s="223" t="s">
        <v>503</v>
      </c>
      <c r="C249" s="227" t="s">
        <v>13</v>
      </c>
      <c r="D249" s="227">
        <v>3</v>
      </c>
      <c r="E249" s="227" t="s">
        <v>563</v>
      </c>
      <c r="F249" s="227">
        <v>2</v>
      </c>
      <c r="G249" s="276" t="s">
        <v>1732</v>
      </c>
      <c r="H249" s="276" t="s">
        <v>1733</v>
      </c>
      <c r="I249" s="276" t="s">
        <v>1734</v>
      </c>
      <c r="J249" s="276" t="s">
        <v>1735</v>
      </c>
      <c r="K249" s="276" t="s">
        <v>531</v>
      </c>
      <c r="L249" s="276" t="s">
        <v>532</v>
      </c>
      <c r="M249" s="276" t="s">
        <v>1736</v>
      </c>
      <c r="N249" s="276" t="s">
        <v>534</v>
      </c>
    </row>
    <row r="250" spans="1:14" ht="33">
      <c r="A250" s="268" t="str">
        <f t="shared" si="3"/>
        <v>Conceptual Thinking|Unit Head/Specialist|3</v>
      </c>
      <c r="B250" s="223" t="s">
        <v>503</v>
      </c>
      <c r="C250" s="227" t="s">
        <v>13</v>
      </c>
      <c r="D250" s="227">
        <v>3</v>
      </c>
      <c r="E250" s="227" t="s">
        <v>563</v>
      </c>
      <c r="F250" s="227">
        <v>3</v>
      </c>
      <c r="G250" s="276" t="s">
        <v>1737</v>
      </c>
      <c r="H250" s="276" t="s">
        <v>1738</v>
      </c>
      <c r="I250" s="276" t="s">
        <v>1739</v>
      </c>
      <c r="J250" s="276" t="s">
        <v>1740</v>
      </c>
      <c r="K250" s="276" t="s">
        <v>531</v>
      </c>
      <c r="L250" s="276" t="s">
        <v>532</v>
      </c>
      <c r="M250" s="276" t="s">
        <v>1741</v>
      </c>
      <c r="N250" s="276" t="s">
        <v>1742</v>
      </c>
    </row>
    <row r="251" spans="1:14" ht="49.5">
      <c r="A251" s="268" t="str">
        <f t="shared" si="3"/>
        <v>Conceptual Thinking|Unit Head/Specialist|4</v>
      </c>
      <c r="B251" s="223" t="s">
        <v>503</v>
      </c>
      <c r="C251" s="227" t="s">
        <v>13</v>
      </c>
      <c r="D251" s="227">
        <v>4</v>
      </c>
      <c r="E251" s="227" t="s">
        <v>581</v>
      </c>
      <c r="F251" s="227">
        <v>1</v>
      </c>
      <c r="G251" s="276" t="s">
        <v>1743</v>
      </c>
      <c r="H251" s="276" t="s">
        <v>1744</v>
      </c>
      <c r="I251" s="276" t="s">
        <v>1745</v>
      </c>
      <c r="J251" s="276" t="s">
        <v>1746</v>
      </c>
      <c r="K251" s="276" t="s">
        <v>531</v>
      </c>
      <c r="L251" s="276" t="s">
        <v>532</v>
      </c>
      <c r="M251" s="276" t="s">
        <v>1747</v>
      </c>
      <c r="N251" s="276" t="s">
        <v>562</v>
      </c>
    </row>
    <row r="252" spans="1:14" ht="49.5">
      <c r="A252" s="268" t="str">
        <f t="shared" si="3"/>
        <v>Conceptual Thinking|Unit Head/Specialist|4</v>
      </c>
      <c r="B252" s="223" t="s">
        <v>503</v>
      </c>
      <c r="C252" s="227" t="s">
        <v>13</v>
      </c>
      <c r="D252" s="227">
        <v>4</v>
      </c>
      <c r="E252" s="227" t="s">
        <v>581</v>
      </c>
      <c r="F252" s="227">
        <v>2</v>
      </c>
      <c r="G252" s="276" t="s">
        <v>1748</v>
      </c>
      <c r="H252" s="276" t="s">
        <v>1749</v>
      </c>
      <c r="I252" s="276" t="s">
        <v>1750</v>
      </c>
      <c r="J252" s="276" t="s">
        <v>1751</v>
      </c>
      <c r="K252" s="276" t="s">
        <v>531</v>
      </c>
      <c r="L252" s="276" t="s">
        <v>532</v>
      </c>
      <c r="M252" s="276" t="s">
        <v>1752</v>
      </c>
      <c r="N252" s="276" t="s">
        <v>562</v>
      </c>
    </row>
    <row r="253" spans="1:14" ht="49.5">
      <c r="A253" s="268" t="str">
        <f t="shared" si="3"/>
        <v>Conceptual Thinking|Unit Head/Specialist|4</v>
      </c>
      <c r="B253" s="223" t="s">
        <v>503</v>
      </c>
      <c r="C253" s="227" t="s">
        <v>13</v>
      </c>
      <c r="D253" s="227">
        <v>4</v>
      </c>
      <c r="E253" s="227" t="s">
        <v>581</v>
      </c>
      <c r="F253" s="227">
        <v>3</v>
      </c>
      <c r="G253" s="276" t="s">
        <v>1753</v>
      </c>
      <c r="H253" s="276" t="s">
        <v>1754</v>
      </c>
      <c r="I253" s="276" t="s">
        <v>1755</v>
      </c>
      <c r="J253" s="276" t="s">
        <v>1756</v>
      </c>
      <c r="K253" s="276" t="s">
        <v>531</v>
      </c>
      <c r="L253" s="276" t="s">
        <v>532</v>
      </c>
      <c r="M253" s="276" t="s">
        <v>1757</v>
      </c>
      <c r="N253" s="276" t="s">
        <v>562</v>
      </c>
    </row>
    <row r="254" spans="1:14" ht="49.5">
      <c r="A254" s="268" t="str">
        <f t="shared" si="3"/>
        <v>Conceptual Thinking|Department Head|1</v>
      </c>
      <c r="B254" s="223" t="s">
        <v>503</v>
      </c>
      <c r="C254" s="227" t="s">
        <v>719</v>
      </c>
      <c r="D254" s="226">
        <v>1</v>
      </c>
      <c r="E254" s="227" t="s">
        <v>526</v>
      </c>
      <c r="F254" s="227">
        <v>1</v>
      </c>
      <c r="G254" s="276" t="s">
        <v>1758</v>
      </c>
      <c r="H254" s="276" t="s">
        <v>1759</v>
      </c>
      <c r="I254" s="276" t="s">
        <v>1760</v>
      </c>
      <c r="J254" s="276" t="s">
        <v>1761</v>
      </c>
      <c r="K254" s="276" t="s">
        <v>531</v>
      </c>
      <c r="L254" s="276" t="s">
        <v>532</v>
      </c>
      <c r="M254" s="276" t="s">
        <v>1762</v>
      </c>
      <c r="N254" s="276" t="s">
        <v>534</v>
      </c>
    </row>
    <row r="255" spans="1:14" ht="49.5">
      <c r="A255" s="268" t="str">
        <f t="shared" si="3"/>
        <v>Conceptual Thinking|Department Head|1</v>
      </c>
      <c r="B255" s="223" t="s">
        <v>503</v>
      </c>
      <c r="C255" s="227" t="s">
        <v>719</v>
      </c>
      <c r="D255" s="226">
        <v>1</v>
      </c>
      <c r="E255" s="227" t="s">
        <v>526</v>
      </c>
      <c r="F255" s="227">
        <v>2</v>
      </c>
      <c r="G255" s="276" t="s">
        <v>1763</v>
      </c>
      <c r="H255" s="276" t="s">
        <v>1764</v>
      </c>
      <c r="I255" s="276" t="s">
        <v>1765</v>
      </c>
      <c r="J255" s="276" t="s">
        <v>1766</v>
      </c>
      <c r="K255" s="276" t="s">
        <v>531</v>
      </c>
      <c r="L255" s="276" t="s">
        <v>532</v>
      </c>
      <c r="M255" s="276" t="s">
        <v>1767</v>
      </c>
      <c r="N255" s="276" t="s">
        <v>534</v>
      </c>
    </row>
    <row r="256" spans="1:14" ht="49.5">
      <c r="A256" s="268" t="str">
        <f t="shared" si="3"/>
        <v>Conceptual Thinking|Department Head|1</v>
      </c>
      <c r="B256" s="223" t="s">
        <v>503</v>
      </c>
      <c r="C256" s="227" t="s">
        <v>719</v>
      </c>
      <c r="D256" s="226">
        <v>1</v>
      </c>
      <c r="E256" s="227" t="s">
        <v>526</v>
      </c>
      <c r="F256" s="227">
        <v>3</v>
      </c>
      <c r="G256" s="276" t="s">
        <v>1768</v>
      </c>
      <c r="H256" s="276" t="s">
        <v>1769</v>
      </c>
      <c r="I256" s="276" t="s">
        <v>1770</v>
      </c>
      <c r="J256" s="276" t="s">
        <v>1771</v>
      </c>
      <c r="K256" s="276" t="s">
        <v>531</v>
      </c>
      <c r="L256" s="276" t="s">
        <v>532</v>
      </c>
      <c r="M256" s="276" t="s">
        <v>1772</v>
      </c>
      <c r="N256" s="276" t="s">
        <v>534</v>
      </c>
    </row>
    <row r="257" spans="1:14" ht="33">
      <c r="A257" s="268" t="str">
        <f t="shared" si="3"/>
        <v>Conceptual Thinking|Department Head|2</v>
      </c>
      <c r="B257" s="223" t="s">
        <v>503</v>
      </c>
      <c r="C257" s="227" t="s">
        <v>719</v>
      </c>
      <c r="D257" s="227">
        <v>2</v>
      </c>
      <c r="E257" s="227" t="s">
        <v>545</v>
      </c>
      <c r="F257" s="227">
        <v>1</v>
      </c>
      <c r="G257" s="276" t="s">
        <v>1773</v>
      </c>
      <c r="H257" s="276" t="s">
        <v>1774</v>
      </c>
      <c r="I257" s="276" t="s">
        <v>1775</v>
      </c>
      <c r="J257" s="276" t="s">
        <v>1776</v>
      </c>
      <c r="K257" s="276" t="s">
        <v>531</v>
      </c>
      <c r="L257" s="276" t="s">
        <v>532</v>
      </c>
      <c r="M257" s="276" t="s">
        <v>1777</v>
      </c>
      <c r="N257" s="276" t="s">
        <v>677</v>
      </c>
    </row>
    <row r="258" spans="1:14" ht="33">
      <c r="A258" s="268" t="str">
        <f t="shared" si="3"/>
        <v>Conceptual Thinking|Department Head|2</v>
      </c>
      <c r="B258" s="223" t="s">
        <v>503</v>
      </c>
      <c r="C258" s="227" t="s">
        <v>719</v>
      </c>
      <c r="D258" s="227">
        <v>2</v>
      </c>
      <c r="E258" s="227" t="s">
        <v>545</v>
      </c>
      <c r="F258" s="227">
        <v>2</v>
      </c>
      <c r="G258" s="276" t="s">
        <v>1778</v>
      </c>
      <c r="H258" s="276" t="s">
        <v>1779</v>
      </c>
      <c r="I258" s="276" t="s">
        <v>1780</v>
      </c>
      <c r="J258" s="276" t="s">
        <v>1781</v>
      </c>
      <c r="K258" s="276" t="s">
        <v>531</v>
      </c>
      <c r="L258" s="276" t="s">
        <v>532</v>
      </c>
      <c r="M258" s="276" t="s">
        <v>1782</v>
      </c>
      <c r="N258" s="276" t="s">
        <v>677</v>
      </c>
    </row>
    <row r="259" spans="1:14" ht="33">
      <c r="A259" s="268" t="str">
        <f t="shared" ref="A259:A322" si="4">B259 &amp; "|" &amp; C259 &amp; "|" &amp; D259</f>
        <v>Conceptual Thinking|Department Head|2</v>
      </c>
      <c r="B259" s="223" t="s">
        <v>503</v>
      </c>
      <c r="C259" s="227" t="s">
        <v>719</v>
      </c>
      <c r="D259" s="227">
        <v>2</v>
      </c>
      <c r="E259" s="227" t="s">
        <v>545</v>
      </c>
      <c r="F259" s="227">
        <v>3</v>
      </c>
      <c r="G259" s="276" t="s">
        <v>1783</v>
      </c>
      <c r="H259" s="276" t="s">
        <v>1784</v>
      </c>
      <c r="I259" s="276" t="s">
        <v>1785</v>
      </c>
      <c r="J259" s="276" t="s">
        <v>1786</v>
      </c>
      <c r="K259" s="276" t="s">
        <v>531</v>
      </c>
      <c r="L259" s="276" t="s">
        <v>532</v>
      </c>
      <c r="M259" s="276" t="s">
        <v>1787</v>
      </c>
      <c r="N259" s="276" t="s">
        <v>677</v>
      </c>
    </row>
    <row r="260" spans="1:14" ht="49.5">
      <c r="A260" s="268" t="str">
        <f t="shared" si="4"/>
        <v>Conceptual Thinking|Department Head|3</v>
      </c>
      <c r="B260" s="223" t="s">
        <v>503</v>
      </c>
      <c r="C260" s="227" t="s">
        <v>719</v>
      </c>
      <c r="D260" s="227">
        <v>3</v>
      </c>
      <c r="E260" s="227" t="s">
        <v>563</v>
      </c>
      <c r="F260" s="227">
        <v>1</v>
      </c>
      <c r="G260" s="276" t="s">
        <v>1788</v>
      </c>
      <c r="H260" s="276" t="s">
        <v>1789</v>
      </c>
      <c r="I260" s="276" t="s">
        <v>1790</v>
      </c>
      <c r="J260" s="276" t="s">
        <v>1791</v>
      </c>
      <c r="K260" s="276" t="s">
        <v>531</v>
      </c>
      <c r="L260" s="276" t="s">
        <v>532</v>
      </c>
      <c r="M260" s="276" t="s">
        <v>1792</v>
      </c>
      <c r="N260" s="276" t="s">
        <v>1793</v>
      </c>
    </row>
    <row r="261" spans="1:14" ht="49.5">
      <c r="A261" s="268" t="str">
        <f t="shared" si="4"/>
        <v>Conceptual Thinking|Department Head|3</v>
      </c>
      <c r="B261" s="223" t="s">
        <v>503</v>
      </c>
      <c r="C261" s="227" t="s">
        <v>719</v>
      </c>
      <c r="D261" s="227">
        <v>3</v>
      </c>
      <c r="E261" s="227" t="s">
        <v>563</v>
      </c>
      <c r="F261" s="227">
        <v>2</v>
      </c>
      <c r="G261" s="276" t="s">
        <v>1794</v>
      </c>
      <c r="H261" s="276" t="s">
        <v>1795</v>
      </c>
      <c r="I261" s="276" t="s">
        <v>1796</v>
      </c>
      <c r="J261" s="276" t="s">
        <v>1797</v>
      </c>
      <c r="K261" s="276" t="s">
        <v>531</v>
      </c>
      <c r="L261" s="276" t="s">
        <v>532</v>
      </c>
      <c r="M261" s="276" t="s">
        <v>1798</v>
      </c>
      <c r="N261" s="276" t="s">
        <v>1799</v>
      </c>
    </row>
    <row r="262" spans="1:14" ht="33">
      <c r="A262" s="268" t="str">
        <f t="shared" si="4"/>
        <v>Conceptual Thinking|Department Head|3</v>
      </c>
      <c r="B262" s="223" t="s">
        <v>503</v>
      </c>
      <c r="C262" s="227" t="s">
        <v>719</v>
      </c>
      <c r="D262" s="227">
        <v>3</v>
      </c>
      <c r="E262" s="227" t="s">
        <v>563</v>
      </c>
      <c r="F262" s="227">
        <v>3</v>
      </c>
      <c r="G262" s="276" t="s">
        <v>1800</v>
      </c>
      <c r="H262" s="276" t="s">
        <v>1801</v>
      </c>
      <c r="I262" s="276" t="s">
        <v>1802</v>
      </c>
      <c r="J262" s="276" t="s">
        <v>1803</v>
      </c>
      <c r="K262" s="276" t="s">
        <v>531</v>
      </c>
      <c r="L262" s="276" t="s">
        <v>532</v>
      </c>
      <c r="M262" s="276" t="s">
        <v>1804</v>
      </c>
      <c r="N262" s="276" t="s">
        <v>1731</v>
      </c>
    </row>
    <row r="263" spans="1:14" ht="49.5">
      <c r="A263" s="268" t="str">
        <f t="shared" si="4"/>
        <v>Conceptual Thinking|Department Head|4</v>
      </c>
      <c r="B263" s="223" t="s">
        <v>503</v>
      </c>
      <c r="C263" s="227" t="s">
        <v>719</v>
      </c>
      <c r="D263" s="227">
        <v>4</v>
      </c>
      <c r="E263" s="227" t="s">
        <v>581</v>
      </c>
      <c r="F263" s="227">
        <v>1</v>
      </c>
      <c r="G263" s="276" t="s">
        <v>1805</v>
      </c>
      <c r="H263" s="276" t="s">
        <v>1806</v>
      </c>
      <c r="I263" s="276" t="s">
        <v>1807</v>
      </c>
      <c r="J263" s="276" t="s">
        <v>1808</v>
      </c>
      <c r="K263" s="276" t="s">
        <v>531</v>
      </c>
      <c r="L263" s="276" t="s">
        <v>532</v>
      </c>
      <c r="M263" s="276" t="s">
        <v>1809</v>
      </c>
      <c r="N263" s="276" t="s">
        <v>562</v>
      </c>
    </row>
    <row r="264" spans="1:14" ht="33">
      <c r="A264" s="268" t="str">
        <f t="shared" si="4"/>
        <v>Conceptual Thinking|Department Head|4</v>
      </c>
      <c r="B264" s="223" t="s">
        <v>503</v>
      </c>
      <c r="C264" s="227" t="s">
        <v>719</v>
      </c>
      <c r="D264" s="227">
        <v>4</v>
      </c>
      <c r="E264" s="227" t="s">
        <v>581</v>
      </c>
      <c r="F264" s="227">
        <v>2</v>
      </c>
      <c r="G264" s="276" t="s">
        <v>1810</v>
      </c>
      <c r="H264" s="276" t="s">
        <v>1811</v>
      </c>
      <c r="I264" s="276" t="s">
        <v>1812</v>
      </c>
      <c r="J264" s="276" t="s">
        <v>1813</v>
      </c>
      <c r="K264" s="276" t="s">
        <v>531</v>
      </c>
      <c r="L264" s="276" t="s">
        <v>532</v>
      </c>
      <c r="M264" s="276" t="s">
        <v>1814</v>
      </c>
      <c r="N264" s="276" t="s">
        <v>562</v>
      </c>
    </row>
    <row r="265" spans="1:14" ht="49.5">
      <c r="A265" s="268" t="str">
        <f t="shared" si="4"/>
        <v>Conceptual Thinking|Department Head|4</v>
      </c>
      <c r="B265" s="223" t="s">
        <v>503</v>
      </c>
      <c r="C265" s="227" t="s">
        <v>719</v>
      </c>
      <c r="D265" s="227">
        <v>4</v>
      </c>
      <c r="E265" s="227" t="s">
        <v>581</v>
      </c>
      <c r="F265" s="227">
        <v>3</v>
      </c>
      <c r="G265" s="276" t="s">
        <v>1815</v>
      </c>
      <c r="H265" s="276" t="s">
        <v>1816</v>
      </c>
      <c r="I265" s="276" t="s">
        <v>1817</v>
      </c>
      <c r="J265" s="276" t="s">
        <v>1818</v>
      </c>
      <c r="K265" s="276" t="s">
        <v>531</v>
      </c>
      <c r="L265" s="276" t="s">
        <v>532</v>
      </c>
      <c r="M265" s="276" t="s">
        <v>1819</v>
      </c>
      <c r="N265" s="276" t="s">
        <v>1820</v>
      </c>
    </row>
    <row r="266" spans="1:14" ht="66">
      <c r="A266" s="268" t="str">
        <f t="shared" si="4"/>
        <v>Conceptual Thinking|Division Head|1</v>
      </c>
      <c r="B266" s="223" t="s">
        <v>503</v>
      </c>
      <c r="C266" s="227" t="s">
        <v>778</v>
      </c>
      <c r="D266" s="226">
        <v>1</v>
      </c>
      <c r="E266" s="227" t="s">
        <v>526</v>
      </c>
      <c r="F266" s="227">
        <v>1</v>
      </c>
      <c r="G266" s="276" t="s">
        <v>1821</v>
      </c>
      <c r="H266" s="276" t="s">
        <v>1822</v>
      </c>
      <c r="I266" s="276" t="s">
        <v>1823</v>
      </c>
      <c r="J266" s="276" t="s">
        <v>1824</v>
      </c>
      <c r="K266" s="276" t="s">
        <v>531</v>
      </c>
      <c r="L266" s="276" t="s">
        <v>532</v>
      </c>
      <c r="M266" s="276" t="s">
        <v>1825</v>
      </c>
      <c r="N266" s="276" t="s">
        <v>534</v>
      </c>
    </row>
    <row r="267" spans="1:14" ht="49.5">
      <c r="A267" s="268" t="str">
        <f t="shared" si="4"/>
        <v>Conceptual Thinking|Division Head|1</v>
      </c>
      <c r="B267" s="223" t="s">
        <v>503</v>
      </c>
      <c r="C267" s="227" t="s">
        <v>778</v>
      </c>
      <c r="D267" s="226">
        <v>1</v>
      </c>
      <c r="E267" s="227" t="s">
        <v>526</v>
      </c>
      <c r="F267" s="227">
        <v>2</v>
      </c>
      <c r="G267" s="276" t="s">
        <v>1826</v>
      </c>
      <c r="H267" s="276" t="s">
        <v>1827</v>
      </c>
      <c r="I267" s="276" t="s">
        <v>1828</v>
      </c>
      <c r="J267" s="276" t="s">
        <v>1829</v>
      </c>
      <c r="K267" s="276" t="s">
        <v>531</v>
      </c>
      <c r="L267" s="276" t="s">
        <v>532</v>
      </c>
      <c r="M267" s="276" t="s">
        <v>1830</v>
      </c>
      <c r="N267" s="276" t="s">
        <v>534</v>
      </c>
    </row>
    <row r="268" spans="1:14" ht="49.5">
      <c r="A268" s="268" t="str">
        <f t="shared" si="4"/>
        <v>Conceptual Thinking|Division Head|1</v>
      </c>
      <c r="B268" s="223" t="s">
        <v>503</v>
      </c>
      <c r="C268" s="227" t="s">
        <v>778</v>
      </c>
      <c r="D268" s="226">
        <v>1</v>
      </c>
      <c r="E268" s="227" t="s">
        <v>526</v>
      </c>
      <c r="F268" s="227">
        <v>3</v>
      </c>
      <c r="G268" s="276" t="s">
        <v>1831</v>
      </c>
      <c r="H268" s="276" t="s">
        <v>1832</v>
      </c>
      <c r="I268" s="276" t="s">
        <v>1833</v>
      </c>
      <c r="J268" s="276" t="s">
        <v>1834</v>
      </c>
      <c r="K268" s="276" t="s">
        <v>531</v>
      </c>
      <c r="L268" s="276" t="s">
        <v>532</v>
      </c>
      <c r="M268" s="276" t="s">
        <v>1835</v>
      </c>
      <c r="N268" s="276" t="s">
        <v>534</v>
      </c>
    </row>
    <row r="269" spans="1:14" ht="49.5">
      <c r="A269" s="268" t="str">
        <f t="shared" si="4"/>
        <v>Conceptual Thinking|Division Head|2</v>
      </c>
      <c r="B269" s="223" t="s">
        <v>503</v>
      </c>
      <c r="C269" s="227" t="s">
        <v>778</v>
      </c>
      <c r="D269" s="227">
        <v>2</v>
      </c>
      <c r="E269" s="227" t="s">
        <v>545</v>
      </c>
      <c r="F269" s="227">
        <v>1</v>
      </c>
      <c r="G269" s="276" t="s">
        <v>1836</v>
      </c>
      <c r="H269" s="276" t="s">
        <v>1837</v>
      </c>
      <c r="I269" s="276" t="s">
        <v>1838</v>
      </c>
      <c r="J269" s="276" t="s">
        <v>1839</v>
      </c>
      <c r="K269" s="276" t="s">
        <v>531</v>
      </c>
      <c r="L269" s="276" t="s">
        <v>532</v>
      </c>
      <c r="M269" s="276" t="s">
        <v>1840</v>
      </c>
      <c r="N269" s="276" t="s">
        <v>551</v>
      </c>
    </row>
    <row r="270" spans="1:14" ht="49.5">
      <c r="A270" s="268" t="str">
        <f t="shared" si="4"/>
        <v>Conceptual Thinking|Division Head|2</v>
      </c>
      <c r="B270" s="223" t="s">
        <v>503</v>
      </c>
      <c r="C270" s="227" t="s">
        <v>778</v>
      </c>
      <c r="D270" s="227">
        <v>2</v>
      </c>
      <c r="E270" s="227" t="s">
        <v>545</v>
      </c>
      <c r="F270" s="227">
        <v>2</v>
      </c>
      <c r="G270" s="276" t="s">
        <v>1841</v>
      </c>
      <c r="H270" s="276" t="s">
        <v>1842</v>
      </c>
      <c r="I270" s="276" t="s">
        <v>1843</v>
      </c>
      <c r="J270" s="276" t="s">
        <v>1844</v>
      </c>
      <c r="K270" s="276" t="s">
        <v>531</v>
      </c>
      <c r="L270" s="276" t="s">
        <v>532</v>
      </c>
      <c r="M270" s="276" t="s">
        <v>1845</v>
      </c>
      <c r="N270" s="276" t="s">
        <v>562</v>
      </c>
    </row>
    <row r="271" spans="1:14" ht="49.5">
      <c r="A271" s="268" t="str">
        <f t="shared" si="4"/>
        <v>Conceptual Thinking|Division Head|2</v>
      </c>
      <c r="B271" s="223" t="s">
        <v>503</v>
      </c>
      <c r="C271" s="227" t="s">
        <v>778</v>
      </c>
      <c r="D271" s="227">
        <v>2</v>
      </c>
      <c r="E271" s="227" t="s">
        <v>545</v>
      </c>
      <c r="F271" s="227">
        <v>3</v>
      </c>
      <c r="G271" s="276" t="s">
        <v>1846</v>
      </c>
      <c r="H271" s="276" t="s">
        <v>1847</v>
      </c>
      <c r="I271" s="276" t="s">
        <v>1848</v>
      </c>
      <c r="J271" s="276" t="s">
        <v>1849</v>
      </c>
      <c r="K271" s="276" t="s">
        <v>531</v>
      </c>
      <c r="L271" s="276" t="s">
        <v>532</v>
      </c>
      <c r="M271" s="276" t="s">
        <v>1603</v>
      </c>
      <c r="N271" s="276" t="s">
        <v>677</v>
      </c>
    </row>
    <row r="272" spans="1:14" ht="66">
      <c r="A272" s="268" t="str">
        <f t="shared" si="4"/>
        <v>Conceptual Thinking|Division Head|3</v>
      </c>
      <c r="B272" s="223" t="s">
        <v>503</v>
      </c>
      <c r="C272" s="227" t="s">
        <v>778</v>
      </c>
      <c r="D272" s="227">
        <v>3</v>
      </c>
      <c r="E272" s="227" t="s">
        <v>563</v>
      </c>
      <c r="F272" s="227">
        <v>1</v>
      </c>
      <c r="G272" s="276" t="s">
        <v>1850</v>
      </c>
      <c r="H272" s="276" t="s">
        <v>1851</v>
      </c>
      <c r="I272" s="276" t="s">
        <v>1852</v>
      </c>
      <c r="J272" s="276" t="s">
        <v>876</v>
      </c>
      <c r="K272" s="276" t="s">
        <v>531</v>
      </c>
      <c r="L272" s="276" t="s">
        <v>532</v>
      </c>
      <c r="M272" s="276" t="s">
        <v>813</v>
      </c>
      <c r="N272" s="276" t="s">
        <v>534</v>
      </c>
    </row>
    <row r="273" spans="1:14" ht="33">
      <c r="A273" s="268" t="str">
        <f t="shared" si="4"/>
        <v>Conceptual Thinking|Division Head|3</v>
      </c>
      <c r="B273" s="223" t="s">
        <v>503</v>
      </c>
      <c r="C273" s="227" t="s">
        <v>778</v>
      </c>
      <c r="D273" s="227">
        <v>3</v>
      </c>
      <c r="E273" s="227" t="s">
        <v>563</v>
      </c>
      <c r="F273" s="227">
        <v>2</v>
      </c>
      <c r="G273" s="276" t="s">
        <v>1853</v>
      </c>
      <c r="H273" s="276" t="s">
        <v>1854</v>
      </c>
      <c r="I273" s="276" t="s">
        <v>1855</v>
      </c>
      <c r="J273" s="276" t="s">
        <v>1856</v>
      </c>
      <c r="K273" s="276" t="s">
        <v>531</v>
      </c>
      <c r="L273" s="276" t="s">
        <v>532</v>
      </c>
      <c r="M273" s="276" t="s">
        <v>1857</v>
      </c>
      <c r="N273" s="276" t="s">
        <v>1858</v>
      </c>
    </row>
    <row r="274" spans="1:14" ht="66">
      <c r="A274" s="268" t="str">
        <f t="shared" si="4"/>
        <v>Conceptual Thinking|Division Head|3</v>
      </c>
      <c r="B274" s="223" t="s">
        <v>503</v>
      </c>
      <c r="C274" s="227" t="s">
        <v>778</v>
      </c>
      <c r="D274" s="227">
        <v>3</v>
      </c>
      <c r="E274" s="227" t="s">
        <v>563</v>
      </c>
      <c r="F274" s="227">
        <v>3</v>
      </c>
      <c r="G274" s="276" t="s">
        <v>1859</v>
      </c>
      <c r="H274" s="276" t="s">
        <v>1860</v>
      </c>
      <c r="I274" s="276" t="s">
        <v>1861</v>
      </c>
      <c r="J274" s="276" t="s">
        <v>578</v>
      </c>
      <c r="K274" s="276" t="s">
        <v>531</v>
      </c>
      <c r="L274" s="276" t="s">
        <v>532</v>
      </c>
      <c r="M274" s="276" t="s">
        <v>1862</v>
      </c>
      <c r="N274" s="276" t="s">
        <v>580</v>
      </c>
    </row>
    <row r="275" spans="1:14" ht="49.5">
      <c r="A275" s="268" t="str">
        <f t="shared" si="4"/>
        <v>Conceptual Thinking|Division Head|4</v>
      </c>
      <c r="B275" s="223" t="s">
        <v>503</v>
      </c>
      <c r="C275" s="227" t="s">
        <v>778</v>
      </c>
      <c r="D275" s="227">
        <v>4</v>
      </c>
      <c r="E275" s="227" t="s">
        <v>581</v>
      </c>
      <c r="F275" s="227">
        <v>1</v>
      </c>
      <c r="G275" s="276" t="s">
        <v>1863</v>
      </c>
      <c r="H275" s="276" t="s">
        <v>1864</v>
      </c>
      <c r="I275" s="276" t="s">
        <v>1865</v>
      </c>
      <c r="J275" s="276" t="s">
        <v>1866</v>
      </c>
      <c r="K275" s="276" t="s">
        <v>531</v>
      </c>
      <c r="L275" s="276" t="s">
        <v>532</v>
      </c>
      <c r="M275" s="276" t="s">
        <v>1867</v>
      </c>
      <c r="N275" s="276" t="s">
        <v>1868</v>
      </c>
    </row>
    <row r="276" spans="1:14" ht="49.5">
      <c r="A276" s="268" t="str">
        <f t="shared" si="4"/>
        <v>Conceptual Thinking|Division Head|4</v>
      </c>
      <c r="B276" s="223" t="s">
        <v>503</v>
      </c>
      <c r="C276" s="227" t="s">
        <v>778</v>
      </c>
      <c r="D276" s="227">
        <v>4</v>
      </c>
      <c r="E276" s="227" t="s">
        <v>581</v>
      </c>
      <c r="F276" s="227">
        <v>2</v>
      </c>
      <c r="G276" s="276" t="s">
        <v>1869</v>
      </c>
      <c r="H276" s="276" t="s">
        <v>1870</v>
      </c>
      <c r="I276" s="276" t="s">
        <v>1871</v>
      </c>
      <c r="J276" s="276" t="s">
        <v>1872</v>
      </c>
      <c r="K276" s="276" t="s">
        <v>531</v>
      </c>
      <c r="L276" s="276" t="s">
        <v>532</v>
      </c>
      <c r="M276" s="276" t="s">
        <v>1873</v>
      </c>
      <c r="N276" s="276" t="s">
        <v>562</v>
      </c>
    </row>
    <row r="277" spans="1:14" ht="49.5">
      <c r="A277" s="268" t="str">
        <f t="shared" si="4"/>
        <v>Conceptual Thinking|Division Head|4</v>
      </c>
      <c r="B277" s="223" t="s">
        <v>503</v>
      </c>
      <c r="C277" s="227" t="s">
        <v>778</v>
      </c>
      <c r="D277" s="227">
        <v>4</v>
      </c>
      <c r="E277" s="227" t="s">
        <v>581</v>
      </c>
      <c r="F277" s="227">
        <v>3</v>
      </c>
      <c r="G277" s="276" t="s">
        <v>1874</v>
      </c>
      <c r="H277" s="276" t="s">
        <v>1875</v>
      </c>
      <c r="I277" s="276" t="s">
        <v>1876</v>
      </c>
      <c r="J277" s="276" t="s">
        <v>1877</v>
      </c>
      <c r="K277" s="276" t="s">
        <v>531</v>
      </c>
      <c r="L277" s="276" t="s">
        <v>532</v>
      </c>
      <c r="M277" s="276" t="s">
        <v>1878</v>
      </c>
      <c r="N277" s="276" t="s">
        <v>562</v>
      </c>
    </row>
    <row r="278" spans="1:14" ht="70">
      <c r="A278" s="268" t="str">
        <f t="shared" si="4"/>
        <v>Conceptual Thinking|Director|1</v>
      </c>
      <c r="B278" s="223" t="s">
        <v>503</v>
      </c>
      <c r="C278" s="227" t="s">
        <v>838</v>
      </c>
      <c r="D278" s="226">
        <v>1</v>
      </c>
      <c r="E278" s="227" t="s">
        <v>526</v>
      </c>
      <c r="F278" s="227">
        <v>1</v>
      </c>
      <c r="G278" s="277" t="s">
        <v>1509</v>
      </c>
      <c r="H278" s="277" t="s">
        <v>1510</v>
      </c>
      <c r="I278" s="277" t="s">
        <v>1511</v>
      </c>
      <c r="J278" s="277" t="s">
        <v>1512</v>
      </c>
      <c r="K278" s="277" t="s">
        <v>531</v>
      </c>
      <c r="L278" s="277" t="s">
        <v>532</v>
      </c>
      <c r="M278" s="277" t="s">
        <v>1513</v>
      </c>
      <c r="N278" s="277" t="s">
        <v>534</v>
      </c>
    </row>
    <row r="279" spans="1:14" ht="56">
      <c r="A279" s="268" t="str">
        <f t="shared" si="4"/>
        <v>Conceptual Thinking|Director|1</v>
      </c>
      <c r="B279" s="223" t="s">
        <v>503</v>
      </c>
      <c r="C279" s="227" t="s">
        <v>838</v>
      </c>
      <c r="D279" s="226">
        <v>1</v>
      </c>
      <c r="E279" s="227" t="s">
        <v>526</v>
      </c>
      <c r="F279" s="227">
        <v>2</v>
      </c>
      <c r="G279" s="277" t="s">
        <v>1514</v>
      </c>
      <c r="H279" s="277" t="s">
        <v>1515</v>
      </c>
      <c r="I279" s="277" t="s">
        <v>1516</v>
      </c>
      <c r="J279" s="277" t="s">
        <v>1517</v>
      </c>
      <c r="K279" s="277" t="s">
        <v>531</v>
      </c>
      <c r="L279" s="277" t="s">
        <v>532</v>
      </c>
      <c r="M279" s="277" t="s">
        <v>1518</v>
      </c>
      <c r="N279" s="277" t="s">
        <v>534</v>
      </c>
    </row>
    <row r="280" spans="1:14" ht="70">
      <c r="A280" s="268" t="str">
        <f t="shared" si="4"/>
        <v>Conceptual Thinking|Director|1</v>
      </c>
      <c r="B280" s="223" t="s">
        <v>503</v>
      </c>
      <c r="C280" s="227" t="s">
        <v>838</v>
      </c>
      <c r="D280" s="226">
        <v>1</v>
      </c>
      <c r="E280" s="227" t="s">
        <v>526</v>
      </c>
      <c r="F280" s="227">
        <v>3</v>
      </c>
      <c r="G280" s="277" t="s">
        <v>1519</v>
      </c>
      <c r="H280" s="277" t="s">
        <v>1520</v>
      </c>
      <c r="I280" s="277" t="s">
        <v>1521</v>
      </c>
      <c r="J280" s="277" t="s">
        <v>1522</v>
      </c>
      <c r="K280" s="277" t="s">
        <v>531</v>
      </c>
      <c r="L280" s="277" t="s">
        <v>532</v>
      </c>
      <c r="M280" s="277" t="s">
        <v>1523</v>
      </c>
      <c r="N280" s="277" t="s">
        <v>562</v>
      </c>
    </row>
    <row r="281" spans="1:14" ht="70">
      <c r="A281" s="268" t="str">
        <f t="shared" si="4"/>
        <v>Conceptual Thinking|Director|2</v>
      </c>
      <c r="B281" s="223" t="s">
        <v>503</v>
      </c>
      <c r="C281" s="227" t="s">
        <v>838</v>
      </c>
      <c r="D281" s="227">
        <v>2</v>
      </c>
      <c r="E281" s="227" t="s">
        <v>545</v>
      </c>
      <c r="F281" s="227">
        <v>1</v>
      </c>
      <c r="G281" s="277" t="s">
        <v>1524</v>
      </c>
      <c r="H281" s="277" t="s">
        <v>1525</v>
      </c>
      <c r="I281" s="277" t="s">
        <v>1526</v>
      </c>
      <c r="J281" s="277" t="s">
        <v>1527</v>
      </c>
      <c r="K281" s="277" t="s">
        <v>531</v>
      </c>
      <c r="L281" s="277" t="s">
        <v>532</v>
      </c>
      <c r="M281" s="277" t="s">
        <v>1528</v>
      </c>
      <c r="N281" s="277" t="s">
        <v>1529</v>
      </c>
    </row>
    <row r="282" spans="1:14" ht="56">
      <c r="A282" s="268" t="str">
        <f t="shared" si="4"/>
        <v>Conceptual Thinking|Director|2</v>
      </c>
      <c r="B282" s="223" t="s">
        <v>503</v>
      </c>
      <c r="C282" s="227" t="s">
        <v>838</v>
      </c>
      <c r="D282" s="227">
        <v>2</v>
      </c>
      <c r="E282" s="227" t="s">
        <v>545</v>
      </c>
      <c r="F282" s="227">
        <v>2</v>
      </c>
      <c r="G282" s="277" t="s">
        <v>1530</v>
      </c>
      <c r="H282" s="277" t="s">
        <v>1531</v>
      </c>
      <c r="I282" s="277" t="s">
        <v>1532</v>
      </c>
      <c r="J282" s="277" t="s">
        <v>1533</v>
      </c>
      <c r="K282" s="277" t="s">
        <v>531</v>
      </c>
      <c r="L282" s="277" t="s">
        <v>532</v>
      </c>
      <c r="M282" s="277" t="s">
        <v>1534</v>
      </c>
      <c r="N282" s="277" t="s">
        <v>1535</v>
      </c>
    </row>
    <row r="283" spans="1:14" ht="56">
      <c r="A283" s="268" t="str">
        <f t="shared" si="4"/>
        <v>Conceptual Thinking|Director|2</v>
      </c>
      <c r="B283" s="223" t="s">
        <v>503</v>
      </c>
      <c r="C283" s="227" t="s">
        <v>838</v>
      </c>
      <c r="D283" s="227">
        <v>2</v>
      </c>
      <c r="E283" s="227" t="s">
        <v>545</v>
      </c>
      <c r="F283" s="227">
        <v>3</v>
      </c>
      <c r="G283" s="277" t="s">
        <v>1536</v>
      </c>
      <c r="H283" s="277" t="s">
        <v>1537</v>
      </c>
      <c r="I283" s="277" t="s">
        <v>1538</v>
      </c>
      <c r="J283" s="277" t="s">
        <v>1539</v>
      </c>
      <c r="K283" s="277" t="s">
        <v>531</v>
      </c>
      <c r="L283" s="277" t="s">
        <v>532</v>
      </c>
      <c r="M283" s="277" t="s">
        <v>1540</v>
      </c>
      <c r="N283" s="277" t="s">
        <v>562</v>
      </c>
    </row>
    <row r="284" spans="1:14" ht="70">
      <c r="A284" s="268" t="str">
        <f t="shared" si="4"/>
        <v>Conceptual Thinking|Director|3</v>
      </c>
      <c r="B284" s="223" t="s">
        <v>503</v>
      </c>
      <c r="C284" s="227" t="s">
        <v>838</v>
      </c>
      <c r="D284" s="227">
        <v>3</v>
      </c>
      <c r="E284" s="227" t="s">
        <v>563</v>
      </c>
      <c r="F284" s="227">
        <v>1</v>
      </c>
      <c r="G284" s="277" t="s">
        <v>1541</v>
      </c>
      <c r="H284" s="277" t="s">
        <v>1542</v>
      </c>
      <c r="I284" s="277" t="s">
        <v>1543</v>
      </c>
      <c r="J284" s="277" t="s">
        <v>1544</v>
      </c>
      <c r="K284" s="277" t="s">
        <v>531</v>
      </c>
      <c r="L284" s="277" t="s">
        <v>532</v>
      </c>
      <c r="M284" s="277" t="s">
        <v>1545</v>
      </c>
      <c r="N284" s="277" t="s">
        <v>534</v>
      </c>
    </row>
    <row r="285" spans="1:14" ht="84">
      <c r="A285" s="268" t="str">
        <f t="shared" si="4"/>
        <v>Conceptual Thinking|Director|3</v>
      </c>
      <c r="B285" s="223" t="s">
        <v>503</v>
      </c>
      <c r="C285" s="227" t="s">
        <v>838</v>
      </c>
      <c r="D285" s="227">
        <v>3</v>
      </c>
      <c r="E285" s="227" t="s">
        <v>563</v>
      </c>
      <c r="F285" s="227">
        <v>2</v>
      </c>
      <c r="G285" s="277" t="s">
        <v>1546</v>
      </c>
      <c r="H285" s="277" t="s">
        <v>1547</v>
      </c>
      <c r="I285" s="277" t="s">
        <v>1548</v>
      </c>
      <c r="J285" s="277" t="s">
        <v>1549</v>
      </c>
      <c r="K285" s="277" t="s">
        <v>531</v>
      </c>
      <c r="L285" s="277" t="s">
        <v>532</v>
      </c>
      <c r="M285" s="277" t="s">
        <v>1550</v>
      </c>
      <c r="N285" s="277" t="s">
        <v>534</v>
      </c>
    </row>
    <row r="286" spans="1:14" ht="84">
      <c r="A286" s="268" t="str">
        <f t="shared" si="4"/>
        <v>Conceptual Thinking|Director|3</v>
      </c>
      <c r="B286" s="223" t="s">
        <v>503</v>
      </c>
      <c r="C286" s="227" t="s">
        <v>838</v>
      </c>
      <c r="D286" s="227">
        <v>3</v>
      </c>
      <c r="E286" s="227" t="s">
        <v>563</v>
      </c>
      <c r="F286" s="227">
        <v>3</v>
      </c>
      <c r="G286" s="277" t="s">
        <v>1551</v>
      </c>
      <c r="H286" s="277" t="s">
        <v>1552</v>
      </c>
      <c r="I286" s="277" t="s">
        <v>1553</v>
      </c>
      <c r="J286" s="277" t="s">
        <v>1554</v>
      </c>
      <c r="K286" s="277" t="s">
        <v>531</v>
      </c>
      <c r="L286" s="277" t="s">
        <v>532</v>
      </c>
      <c r="M286" s="277" t="s">
        <v>1555</v>
      </c>
      <c r="N286" s="277" t="s">
        <v>580</v>
      </c>
    </row>
    <row r="287" spans="1:14" ht="56">
      <c r="A287" s="268" t="str">
        <f t="shared" si="4"/>
        <v>Conceptual Thinking|Director|4</v>
      </c>
      <c r="B287" s="223" t="s">
        <v>503</v>
      </c>
      <c r="C287" s="227" t="s">
        <v>838</v>
      </c>
      <c r="D287" s="227">
        <v>4</v>
      </c>
      <c r="E287" s="227" t="s">
        <v>581</v>
      </c>
      <c r="F287" s="227">
        <v>1</v>
      </c>
      <c r="G287" s="277" t="s">
        <v>1556</v>
      </c>
      <c r="H287" s="277" t="s">
        <v>1557</v>
      </c>
      <c r="I287" s="277" t="s">
        <v>1558</v>
      </c>
      <c r="J287" s="277" t="s">
        <v>1559</v>
      </c>
      <c r="K287" s="277" t="s">
        <v>531</v>
      </c>
      <c r="L287" s="277" t="s">
        <v>532</v>
      </c>
      <c r="M287" s="277" t="s">
        <v>1560</v>
      </c>
      <c r="N287" s="277" t="s">
        <v>1561</v>
      </c>
    </row>
    <row r="288" spans="1:14" ht="70">
      <c r="A288" s="268" t="str">
        <f t="shared" si="4"/>
        <v>Conceptual Thinking|Director|4</v>
      </c>
      <c r="B288" s="223" t="s">
        <v>503</v>
      </c>
      <c r="C288" s="227" t="s">
        <v>838</v>
      </c>
      <c r="D288" s="227">
        <v>4</v>
      </c>
      <c r="E288" s="227" t="s">
        <v>581</v>
      </c>
      <c r="F288" s="227">
        <v>2</v>
      </c>
      <c r="G288" s="277" t="s">
        <v>1562</v>
      </c>
      <c r="H288" s="277" t="s">
        <v>1563</v>
      </c>
      <c r="I288" s="277" t="s">
        <v>1564</v>
      </c>
      <c r="J288" s="277" t="s">
        <v>1565</v>
      </c>
      <c r="K288" s="277" t="s">
        <v>531</v>
      </c>
      <c r="L288" s="277" t="s">
        <v>532</v>
      </c>
      <c r="M288" s="277" t="s">
        <v>1566</v>
      </c>
      <c r="N288" s="277" t="s">
        <v>856</v>
      </c>
    </row>
    <row r="289" spans="1:14" ht="56">
      <c r="A289" s="268" t="str">
        <f t="shared" si="4"/>
        <v>Conceptual Thinking|Director|4</v>
      </c>
      <c r="B289" s="223" t="s">
        <v>503</v>
      </c>
      <c r="C289" s="227" t="s">
        <v>838</v>
      </c>
      <c r="D289" s="227">
        <v>4</v>
      </c>
      <c r="E289" s="227" t="s">
        <v>581</v>
      </c>
      <c r="F289" s="227">
        <v>3</v>
      </c>
      <c r="G289" s="277" t="s">
        <v>1567</v>
      </c>
      <c r="H289" s="277" t="s">
        <v>1568</v>
      </c>
      <c r="I289" s="277" t="s">
        <v>1569</v>
      </c>
      <c r="J289" s="277" t="s">
        <v>1570</v>
      </c>
      <c r="K289" s="277" t="s">
        <v>531</v>
      </c>
      <c r="L289" s="277" t="s">
        <v>532</v>
      </c>
      <c r="M289" s="277" t="s">
        <v>1571</v>
      </c>
      <c r="N289" s="277" t="s">
        <v>1572</v>
      </c>
    </row>
    <row r="290" spans="1:14" ht="82.5">
      <c r="A290" s="268" t="str">
        <f t="shared" si="4"/>
        <v>Controlling &amp; Corrective Action|Officer|1</v>
      </c>
      <c r="B290" s="223" t="s">
        <v>499</v>
      </c>
      <c r="C290" s="197" t="s">
        <v>4</v>
      </c>
      <c r="D290" s="197">
        <v>1</v>
      </c>
      <c r="E290" s="79" t="s">
        <v>526</v>
      </c>
      <c r="F290" s="79">
        <v>1</v>
      </c>
      <c r="G290" s="276" t="s">
        <v>1879</v>
      </c>
      <c r="H290" s="276" t="s">
        <v>1880</v>
      </c>
      <c r="I290" s="276" t="s">
        <v>1881</v>
      </c>
      <c r="J290" s="276" t="s">
        <v>1882</v>
      </c>
      <c r="K290" s="276" t="s">
        <v>531</v>
      </c>
      <c r="L290" s="276" t="s">
        <v>532</v>
      </c>
      <c r="M290" s="276" t="s">
        <v>1883</v>
      </c>
      <c r="N290" s="276" t="s">
        <v>534</v>
      </c>
    </row>
    <row r="291" spans="1:14" ht="49.5">
      <c r="A291" s="268" t="str">
        <f t="shared" si="4"/>
        <v>Controlling &amp; Corrective Action|Officer|1</v>
      </c>
      <c r="B291" s="223" t="s">
        <v>499</v>
      </c>
      <c r="C291" s="197" t="s">
        <v>4</v>
      </c>
      <c r="D291" s="197">
        <v>1</v>
      </c>
      <c r="E291" s="79" t="s">
        <v>526</v>
      </c>
      <c r="F291" s="79">
        <v>2</v>
      </c>
      <c r="G291" s="276" t="s">
        <v>1884</v>
      </c>
      <c r="H291" s="276" t="s">
        <v>1885</v>
      </c>
      <c r="I291" s="276" t="s">
        <v>1886</v>
      </c>
      <c r="J291" s="276" t="s">
        <v>1887</v>
      </c>
      <c r="K291" s="276" t="s">
        <v>531</v>
      </c>
      <c r="L291" s="276" t="s">
        <v>532</v>
      </c>
      <c r="M291" s="276" t="s">
        <v>1888</v>
      </c>
      <c r="N291" s="276" t="s">
        <v>562</v>
      </c>
    </row>
    <row r="292" spans="1:14" ht="49.5">
      <c r="A292" s="268" t="str">
        <f t="shared" si="4"/>
        <v>Controlling &amp; Corrective Action|Officer|1</v>
      </c>
      <c r="B292" s="223" t="s">
        <v>499</v>
      </c>
      <c r="C292" s="197" t="s">
        <v>4</v>
      </c>
      <c r="D292" s="197">
        <v>1</v>
      </c>
      <c r="E292" s="79" t="s">
        <v>526</v>
      </c>
      <c r="F292" s="79">
        <v>3</v>
      </c>
      <c r="G292" s="276" t="s">
        <v>1889</v>
      </c>
      <c r="H292" s="276" t="s">
        <v>1890</v>
      </c>
      <c r="I292" s="276" t="s">
        <v>1891</v>
      </c>
      <c r="J292" s="276" t="s">
        <v>1892</v>
      </c>
      <c r="K292" s="276" t="s">
        <v>531</v>
      </c>
      <c r="L292" s="276" t="s">
        <v>532</v>
      </c>
      <c r="M292" s="276" t="s">
        <v>1893</v>
      </c>
      <c r="N292" s="276" t="s">
        <v>534</v>
      </c>
    </row>
    <row r="293" spans="1:14" ht="49.5">
      <c r="A293" s="268" t="str">
        <f t="shared" si="4"/>
        <v>Controlling &amp; Corrective Action|Officer|2</v>
      </c>
      <c r="B293" s="223" t="s">
        <v>499</v>
      </c>
      <c r="C293" s="197" t="s">
        <v>4</v>
      </c>
      <c r="D293" s="79">
        <v>2</v>
      </c>
      <c r="E293" s="79" t="s">
        <v>545</v>
      </c>
      <c r="F293" s="79">
        <v>1</v>
      </c>
      <c r="G293" s="276" t="s">
        <v>1894</v>
      </c>
      <c r="H293" s="276" t="s">
        <v>1895</v>
      </c>
      <c r="I293" s="276" t="s">
        <v>1896</v>
      </c>
      <c r="J293" s="276" t="s">
        <v>1897</v>
      </c>
      <c r="K293" s="276" t="s">
        <v>531</v>
      </c>
      <c r="L293" s="276" t="s">
        <v>532</v>
      </c>
      <c r="M293" s="276" t="s">
        <v>1898</v>
      </c>
      <c r="N293" s="276" t="s">
        <v>551</v>
      </c>
    </row>
    <row r="294" spans="1:14" ht="49.5">
      <c r="A294" s="268" t="str">
        <f t="shared" si="4"/>
        <v>Controlling &amp; Corrective Action|Officer|2</v>
      </c>
      <c r="B294" s="223" t="s">
        <v>499</v>
      </c>
      <c r="C294" s="197" t="s">
        <v>4</v>
      </c>
      <c r="D294" s="79">
        <v>2</v>
      </c>
      <c r="E294" s="79" t="s">
        <v>545</v>
      </c>
      <c r="F294" s="79">
        <v>2</v>
      </c>
      <c r="G294" s="276" t="s">
        <v>1899</v>
      </c>
      <c r="H294" s="276" t="s">
        <v>1900</v>
      </c>
      <c r="I294" s="276" t="s">
        <v>1901</v>
      </c>
      <c r="J294" s="276" t="s">
        <v>1902</v>
      </c>
      <c r="K294" s="276" t="s">
        <v>531</v>
      </c>
      <c r="L294" s="276" t="s">
        <v>532</v>
      </c>
      <c r="M294" s="276" t="s">
        <v>1903</v>
      </c>
      <c r="N294" s="276" t="s">
        <v>534</v>
      </c>
    </row>
    <row r="295" spans="1:14" ht="49.5">
      <c r="A295" s="268" t="str">
        <f t="shared" si="4"/>
        <v>Controlling &amp; Corrective Action|Officer|2</v>
      </c>
      <c r="B295" s="223" t="s">
        <v>499</v>
      </c>
      <c r="C295" s="197" t="s">
        <v>4</v>
      </c>
      <c r="D295" s="79">
        <v>2</v>
      </c>
      <c r="E295" s="79" t="s">
        <v>545</v>
      </c>
      <c r="F295" s="79">
        <v>3</v>
      </c>
      <c r="G295" s="276" t="s">
        <v>1904</v>
      </c>
      <c r="H295" s="276" t="s">
        <v>1905</v>
      </c>
      <c r="I295" s="276" t="s">
        <v>1906</v>
      </c>
      <c r="J295" s="276" t="s">
        <v>1907</v>
      </c>
      <c r="K295" s="276" t="s">
        <v>531</v>
      </c>
      <c r="L295" s="276" t="s">
        <v>532</v>
      </c>
      <c r="M295" s="276" t="s">
        <v>1908</v>
      </c>
      <c r="N295" s="276" t="s">
        <v>562</v>
      </c>
    </row>
    <row r="296" spans="1:14" ht="66">
      <c r="A296" s="268" t="str">
        <f t="shared" si="4"/>
        <v>Controlling &amp; Corrective Action|Officer|3</v>
      </c>
      <c r="B296" s="223" t="s">
        <v>499</v>
      </c>
      <c r="C296" s="197" t="s">
        <v>4</v>
      </c>
      <c r="D296" s="79">
        <v>3</v>
      </c>
      <c r="E296" s="79" t="s">
        <v>563</v>
      </c>
      <c r="F296" s="79">
        <v>1</v>
      </c>
      <c r="G296" s="276" t="s">
        <v>1909</v>
      </c>
      <c r="H296" s="276" t="s">
        <v>1910</v>
      </c>
      <c r="I296" s="276" t="s">
        <v>1911</v>
      </c>
      <c r="J296" s="276" t="s">
        <v>1912</v>
      </c>
      <c r="K296" s="276" t="s">
        <v>531</v>
      </c>
      <c r="L296" s="276" t="s">
        <v>532</v>
      </c>
      <c r="M296" s="276" t="s">
        <v>1913</v>
      </c>
      <c r="N296" s="276" t="s">
        <v>1914</v>
      </c>
    </row>
    <row r="297" spans="1:14" ht="49.5">
      <c r="A297" s="268" t="str">
        <f t="shared" si="4"/>
        <v>Controlling &amp; Corrective Action|Officer|3</v>
      </c>
      <c r="B297" s="223" t="s">
        <v>499</v>
      </c>
      <c r="C297" s="197" t="s">
        <v>4</v>
      </c>
      <c r="D297" s="79">
        <v>3</v>
      </c>
      <c r="E297" s="79" t="s">
        <v>563</v>
      </c>
      <c r="F297" s="79">
        <v>2</v>
      </c>
      <c r="G297" s="276" t="s">
        <v>1915</v>
      </c>
      <c r="H297" s="276" t="s">
        <v>1916</v>
      </c>
      <c r="I297" s="276" t="s">
        <v>1917</v>
      </c>
      <c r="J297" s="276" t="s">
        <v>1918</v>
      </c>
      <c r="K297" s="276" t="s">
        <v>531</v>
      </c>
      <c r="L297" s="276" t="s">
        <v>532</v>
      </c>
      <c r="M297" s="276" t="s">
        <v>1919</v>
      </c>
      <c r="N297" s="276" t="s">
        <v>562</v>
      </c>
    </row>
    <row r="298" spans="1:14" ht="82.5">
      <c r="A298" s="268" t="str">
        <f t="shared" si="4"/>
        <v>Controlling &amp; Corrective Action|Officer|3</v>
      </c>
      <c r="B298" s="223" t="s">
        <v>499</v>
      </c>
      <c r="C298" s="197" t="s">
        <v>4</v>
      </c>
      <c r="D298" s="79">
        <v>3</v>
      </c>
      <c r="E298" s="79" t="s">
        <v>563</v>
      </c>
      <c r="F298" s="79">
        <v>3</v>
      </c>
      <c r="G298" s="276" t="s">
        <v>1920</v>
      </c>
      <c r="H298" s="276" t="s">
        <v>1921</v>
      </c>
      <c r="I298" s="276" t="s">
        <v>1922</v>
      </c>
      <c r="J298" s="276" t="s">
        <v>948</v>
      </c>
      <c r="K298" s="276" t="s">
        <v>531</v>
      </c>
      <c r="L298" s="276" t="s">
        <v>532</v>
      </c>
      <c r="M298" s="276" t="s">
        <v>1923</v>
      </c>
      <c r="N298" s="276" t="s">
        <v>580</v>
      </c>
    </row>
    <row r="299" spans="1:14" ht="66">
      <c r="A299" s="268" t="str">
        <f t="shared" si="4"/>
        <v>Controlling &amp; Corrective Action|Officer|4</v>
      </c>
      <c r="B299" s="223" t="s">
        <v>499</v>
      </c>
      <c r="C299" s="197" t="s">
        <v>4</v>
      </c>
      <c r="D299" s="79">
        <v>4</v>
      </c>
      <c r="E299" s="79" t="s">
        <v>581</v>
      </c>
      <c r="F299" s="79">
        <v>1</v>
      </c>
      <c r="G299" s="276" t="s">
        <v>1924</v>
      </c>
      <c r="H299" s="276" t="s">
        <v>1925</v>
      </c>
      <c r="I299" s="276" t="s">
        <v>1926</v>
      </c>
      <c r="J299" s="276" t="s">
        <v>1927</v>
      </c>
      <c r="K299" s="276" t="s">
        <v>531</v>
      </c>
      <c r="L299" s="276" t="s">
        <v>532</v>
      </c>
      <c r="M299" s="276" t="s">
        <v>1928</v>
      </c>
      <c r="N299" s="276" t="s">
        <v>562</v>
      </c>
    </row>
    <row r="300" spans="1:14" ht="49.5">
      <c r="A300" s="268" t="str">
        <f t="shared" si="4"/>
        <v>Controlling &amp; Corrective Action|Officer|4</v>
      </c>
      <c r="B300" s="223" t="s">
        <v>499</v>
      </c>
      <c r="C300" s="197" t="s">
        <v>4</v>
      </c>
      <c r="D300" s="79">
        <v>4</v>
      </c>
      <c r="E300" s="79" t="s">
        <v>581</v>
      </c>
      <c r="F300" s="79">
        <v>2</v>
      </c>
      <c r="G300" s="276" t="s">
        <v>1929</v>
      </c>
      <c r="H300" s="276" t="s">
        <v>1930</v>
      </c>
      <c r="I300" s="276" t="s">
        <v>1931</v>
      </c>
      <c r="J300" s="276" t="s">
        <v>1932</v>
      </c>
      <c r="K300" s="276" t="s">
        <v>531</v>
      </c>
      <c r="L300" s="276" t="s">
        <v>532</v>
      </c>
      <c r="M300" s="276" t="s">
        <v>1933</v>
      </c>
      <c r="N300" s="276" t="s">
        <v>1914</v>
      </c>
    </row>
    <row r="301" spans="1:14" ht="66">
      <c r="A301" s="268" t="str">
        <f t="shared" si="4"/>
        <v>Controlling &amp; Corrective Action|Officer|4</v>
      </c>
      <c r="B301" s="223" t="s">
        <v>499</v>
      </c>
      <c r="C301" s="197" t="s">
        <v>4</v>
      </c>
      <c r="D301" s="79">
        <v>4</v>
      </c>
      <c r="E301" s="79" t="s">
        <v>581</v>
      </c>
      <c r="F301" s="79">
        <v>3</v>
      </c>
      <c r="G301" s="276" t="s">
        <v>1934</v>
      </c>
      <c r="H301" s="276" t="s">
        <v>1935</v>
      </c>
      <c r="I301" s="276" t="s">
        <v>1936</v>
      </c>
      <c r="J301" s="276" t="s">
        <v>1937</v>
      </c>
      <c r="K301" s="276" t="s">
        <v>531</v>
      </c>
      <c r="L301" s="276" t="s">
        <v>532</v>
      </c>
      <c r="M301" s="276" t="s">
        <v>1938</v>
      </c>
      <c r="N301" s="276" t="s">
        <v>1914</v>
      </c>
    </row>
    <row r="302" spans="1:14" ht="66">
      <c r="A302" s="268" t="str">
        <f t="shared" si="4"/>
        <v>Controlling &amp; Corrective Action|Analyst|1</v>
      </c>
      <c r="B302" s="223" t="s">
        <v>499</v>
      </c>
      <c r="C302" s="197" t="s">
        <v>6</v>
      </c>
      <c r="D302" s="197">
        <v>1</v>
      </c>
      <c r="E302" s="79" t="s">
        <v>526</v>
      </c>
      <c r="F302" s="79">
        <v>1</v>
      </c>
      <c r="G302" s="276" t="s">
        <v>1939</v>
      </c>
      <c r="H302" s="276" t="s">
        <v>1940</v>
      </c>
      <c r="I302" s="276" t="s">
        <v>1941</v>
      </c>
      <c r="J302" s="276" t="s">
        <v>1942</v>
      </c>
      <c r="K302" s="276" t="s">
        <v>531</v>
      </c>
      <c r="L302" s="276" t="s">
        <v>532</v>
      </c>
      <c r="M302" s="276" t="s">
        <v>1943</v>
      </c>
      <c r="N302" s="276" t="s">
        <v>534</v>
      </c>
    </row>
    <row r="303" spans="1:14" ht="66">
      <c r="A303" s="268" t="str">
        <f t="shared" si="4"/>
        <v>Controlling &amp; Corrective Action|Analyst|1</v>
      </c>
      <c r="B303" s="223" t="s">
        <v>499</v>
      </c>
      <c r="C303" s="197" t="s">
        <v>6</v>
      </c>
      <c r="D303" s="197">
        <v>1</v>
      </c>
      <c r="E303" s="79" t="s">
        <v>526</v>
      </c>
      <c r="F303" s="79">
        <v>2</v>
      </c>
      <c r="G303" s="276" t="s">
        <v>1944</v>
      </c>
      <c r="H303" s="276" t="s">
        <v>1945</v>
      </c>
      <c r="I303" s="276" t="s">
        <v>1946</v>
      </c>
      <c r="J303" s="276" t="s">
        <v>1947</v>
      </c>
      <c r="K303" s="276" t="s">
        <v>531</v>
      </c>
      <c r="L303" s="276" t="s">
        <v>532</v>
      </c>
      <c r="M303" s="276" t="s">
        <v>1948</v>
      </c>
      <c r="N303" s="276" t="s">
        <v>562</v>
      </c>
    </row>
    <row r="304" spans="1:14" ht="49.5">
      <c r="A304" s="268" t="str">
        <f t="shared" si="4"/>
        <v>Controlling &amp; Corrective Action|Analyst|1</v>
      </c>
      <c r="B304" s="223" t="s">
        <v>499</v>
      </c>
      <c r="C304" s="197" t="s">
        <v>6</v>
      </c>
      <c r="D304" s="197">
        <v>1</v>
      </c>
      <c r="E304" s="79" t="s">
        <v>526</v>
      </c>
      <c r="F304" s="79">
        <v>3</v>
      </c>
      <c r="G304" s="276" t="s">
        <v>1949</v>
      </c>
      <c r="H304" s="276" t="s">
        <v>1950</v>
      </c>
      <c r="I304" s="276" t="s">
        <v>1951</v>
      </c>
      <c r="J304" s="276" t="s">
        <v>1952</v>
      </c>
      <c r="K304" s="276" t="s">
        <v>531</v>
      </c>
      <c r="L304" s="276" t="s">
        <v>532</v>
      </c>
      <c r="M304" s="276" t="s">
        <v>1953</v>
      </c>
      <c r="N304" s="276" t="s">
        <v>562</v>
      </c>
    </row>
    <row r="305" spans="1:14" ht="66">
      <c r="A305" s="268" t="str">
        <f t="shared" si="4"/>
        <v>Controlling &amp; Corrective Action|Analyst|2</v>
      </c>
      <c r="B305" s="223" t="s">
        <v>499</v>
      </c>
      <c r="C305" s="197" t="s">
        <v>6</v>
      </c>
      <c r="D305" s="79">
        <v>2</v>
      </c>
      <c r="E305" s="79" t="s">
        <v>545</v>
      </c>
      <c r="F305" s="79">
        <v>1</v>
      </c>
      <c r="G305" s="276" t="s">
        <v>1954</v>
      </c>
      <c r="H305" s="276" t="s">
        <v>1955</v>
      </c>
      <c r="I305" s="276" t="s">
        <v>1956</v>
      </c>
      <c r="J305" s="276" t="s">
        <v>1957</v>
      </c>
      <c r="K305" s="276" t="s">
        <v>531</v>
      </c>
      <c r="L305" s="276" t="s">
        <v>532</v>
      </c>
      <c r="M305" s="276" t="s">
        <v>1958</v>
      </c>
      <c r="N305" s="276" t="s">
        <v>551</v>
      </c>
    </row>
    <row r="306" spans="1:14" ht="49.5">
      <c r="A306" s="268" t="str">
        <f t="shared" si="4"/>
        <v>Controlling &amp; Corrective Action|Analyst|2</v>
      </c>
      <c r="B306" s="223" t="s">
        <v>499</v>
      </c>
      <c r="C306" s="197" t="s">
        <v>6</v>
      </c>
      <c r="D306" s="79">
        <v>2</v>
      </c>
      <c r="E306" s="79" t="s">
        <v>545</v>
      </c>
      <c r="F306" s="79">
        <v>2</v>
      </c>
      <c r="G306" s="276" t="s">
        <v>1959</v>
      </c>
      <c r="H306" s="276" t="s">
        <v>1960</v>
      </c>
      <c r="I306" s="276" t="s">
        <v>1961</v>
      </c>
      <c r="J306" s="276" t="s">
        <v>1962</v>
      </c>
      <c r="K306" s="276" t="s">
        <v>531</v>
      </c>
      <c r="L306" s="276" t="s">
        <v>532</v>
      </c>
      <c r="M306" s="276" t="s">
        <v>1963</v>
      </c>
      <c r="N306" s="276" t="s">
        <v>562</v>
      </c>
    </row>
    <row r="307" spans="1:14" ht="49.5">
      <c r="A307" s="268" t="str">
        <f t="shared" si="4"/>
        <v>Controlling &amp; Corrective Action|Analyst|2</v>
      </c>
      <c r="B307" s="223" t="s">
        <v>499</v>
      </c>
      <c r="C307" s="197" t="s">
        <v>6</v>
      </c>
      <c r="D307" s="79">
        <v>2</v>
      </c>
      <c r="E307" s="79" t="s">
        <v>545</v>
      </c>
      <c r="F307" s="79">
        <v>3</v>
      </c>
      <c r="G307" s="276" t="s">
        <v>1964</v>
      </c>
      <c r="H307" s="276" t="s">
        <v>1965</v>
      </c>
      <c r="I307" s="276" t="s">
        <v>1966</v>
      </c>
      <c r="J307" s="276" t="s">
        <v>1967</v>
      </c>
      <c r="K307" s="276" t="s">
        <v>531</v>
      </c>
      <c r="L307" s="276" t="s">
        <v>532</v>
      </c>
      <c r="M307" s="276" t="s">
        <v>1968</v>
      </c>
      <c r="N307" s="276" t="s">
        <v>534</v>
      </c>
    </row>
    <row r="308" spans="1:14" ht="66">
      <c r="A308" s="268" t="str">
        <f t="shared" si="4"/>
        <v>Controlling &amp; Corrective Action|Analyst|3</v>
      </c>
      <c r="B308" s="223" t="s">
        <v>499</v>
      </c>
      <c r="C308" s="197" t="s">
        <v>6</v>
      </c>
      <c r="D308" s="79">
        <v>3</v>
      </c>
      <c r="E308" s="79" t="s">
        <v>563</v>
      </c>
      <c r="F308" s="79">
        <v>1</v>
      </c>
      <c r="G308" s="276" t="s">
        <v>1969</v>
      </c>
      <c r="H308" s="276" t="s">
        <v>1970</v>
      </c>
      <c r="I308" s="276" t="s">
        <v>1971</v>
      </c>
      <c r="J308" s="276" t="s">
        <v>1972</v>
      </c>
      <c r="K308" s="276" t="s">
        <v>531</v>
      </c>
      <c r="L308" s="276" t="s">
        <v>532</v>
      </c>
      <c r="M308" s="276" t="s">
        <v>1973</v>
      </c>
      <c r="N308" s="276" t="s">
        <v>534</v>
      </c>
    </row>
    <row r="309" spans="1:14" ht="49.5">
      <c r="A309" s="268" t="str">
        <f t="shared" si="4"/>
        <v>Controlling &amp; Corrective Action|Analyst|3</v>
      </c>
      <c r="B309" s="223" t="s">
        <v>499</v>
      </c>
      <c r="C309" s="197" t="s">
        <v>6</v>
      </c>
      <c r="D309" s="79">
        <v>3</v>
      </c>
      <c r="E309" s="79" t="s">
        <v>563</v>
      </c>
      <c r="F309" s="79">
        <v>2</v>
      </c>
      <c r="G309" s="276" t="s">
        <v>1974</v>
      </c>
      <c r="H309" s="276" t="s">
        <v>1975</v>
      </c>
      <c r="I309" s="276" t="s">
        <v>1976</v>
      </c>
      <c r="J309" s="276" t="s">
        <v>1977</v>
      </c>
      <c r="K309" s="276" t="s">
        <v>531</v>
      </c>
      <c r="L309" s="276" t="s">
        <v>532</v>
      </c>
      <c r="M309" s="276" t="s">
        <v>1978</v>
      </c>
      <c r="N309" s="276" t="s">
        <v>562</v>
      </c>
    </row>
    <row r="310" spans="1:14" ht="82.5">
      <c r="A310" s="268" t="str">
        <f t="shared" si="4"/>
        <v>Controlling &amp; Corrective Action|Analyst|3</v>
      </c>
      <c r="B310" s="223" t="s">
        <v>499</v>
      </c>
      <c r="C310" s="197" t="s">
        <v>6</v>
      </c>
      <c r="D310" s="79">
        <v>3</v>
      </c>
      <c r="E310" s="79" t="s">
        <v>563</v>
      </c>
      <c r="F310" s="79">
        <v>3</v>
      </c>
      <c r="G310" s="276" t="s">
        <v>1979</v>
      </c>
      <c r="H310" s="276" t="s">
        <v>1980</v>
      </c>
      <c r="I310" s="276" t="s">
        <v>1981</v>
      </c>
      <c r="J310" s="276" t="s">
        <v>948</v>
      </c>
      <c r="K310" s="276" t="s">
        <v>531</v>
      </c>
      <c r="L310" s="276" t="s">
        <v>532</v>
      </c>
      <c r="M310" s="276" t="s">
        <v>1982</v>
      </c>
      <c r="N310" s="276" t="s">
        <v>580</v>
      </c>
    </row>
    <row r="311" spans="1:14" ht="66">
      <c r="A311" s="268" t="str">
        <f t="shared" si="4"/>
        <v>Controlling &amp; Corrective Action|Analyst|4</v>
      </c>
      <c r="B311" s="223" t="s">
        <v>499</v>
      </c>
      <c r="C311" s="197" t="s">
        <v>6</v>
      </c>
      <c r="D311" s="79">
        <v>4</v>
      </c>
      <c r="E311" s="79" t="s">
        <v>581</v>
      </c>
      <c r="F311" s="79">
        <v>1</v>
      </c>
      <c r="G311" s="276" t="s">
        <v>1983</v>
      </c>
      <c r="H311" s="276" t="s">
        <v>1984</v>
      </c>
      <c r="I311" s="276" t="s">
        <v>1985</v>
      </c>
      <c r="J311" s="276" t="s">
        <v>1986</v>
      </c>
      <c r="K311" s="276" t="s">
        <v>531</v>
      </c>
      <c r="L311" s="276" t="s">
        <v>532</v>
      </c>
      <c r="M311" s="276" t="s">
        <v>1987</v>
      </c>
      <c r="N311" s="276" t="s">
        <v>562</v>
      </c>
    </row>
    <row r="312" spans="1:14" ht="49.5">
      <c r="A312" s="268" t="str">
        <f t="shared" si="4"/>
        <v>Controlling &amp; Corrective Action|Analyst|4</v>
      </c>
      <c r="B312" s="223" t="s">
        <v>499</v>
      </c>
      <c r="C312" s="197" t="s">
        <v>6</v>
      </c>
      <c r="D312" s="79">
        <v>4</v>
      </c>
      <c r="E312" s="79" t="s">
        <v>581</v>
      </c>
      <c r="F312" s="79">
        <v>2</v>
      </c>
      <c r="G312" s="276" t="s">
        <v>1988</v>
      </c>
      <c r="H312" s="276" t="s">
        <v>1989</v>
      </c>
      <c r="I312" s="276" t="s">
        <v>1990</v>
      </c>
      <c r="J312" s="276" t="s">
        <v>1991</v>
      </c>
      <c r="K312" s="276" t="s">
        <v>531</v>
      </c>
      <c r="L312" s="276" t="s">
        <v>532</v>
      </c>
      <c r="M312" s="276" t="s">
        <v>1992</v>
      </c>
      <c r="N312" s="276" t="s">
        <v>1993</v>
      </c>
    </row>
    <row r="313" spans="1:14" ht="66">
      <c r="A313" s="268" t="str">
        <f t="shared" si="4"/>
        <v>Controlling &amp; Corrective Action|Analyst|4</v>
      </c>
      <c r="B313" s="223" t="s">
        <v>499</v>
      </c>
      <c r="C313" s="197" t="s">
        <v>6</v>
      </c>
      <c r="D313" s="79">
        <v>4</v>
      </c>
      <c r="E313" s="79" t="s">
        <v>581</v>
      </c>
      <c r="F313" s="79">
        <v>3</v>
      </c>
      <c r="G313" s="276" t="s">
        <v>1994</v>
      </c>
      <c r="H313" s="276" t="s">
        <v>1995</v>
      </c>
      <c r="I313" s="276" t="s">
        <v>1996</v>
      </c>
      <c r="J313" s="276" t="s">
        <v>1997</v>
      </c>
      <c r="K313" s="276" t="s">
        <v>531</v>
      </c>
      <c r="L313" s="276" t="s">
        <v>532</v>
      </c>
      <c r="M313" s="276" t="s">
        <v>1998</v>
      </c>
      <c r="N313" s="276" t="s">
        <v>562</v>
      </c>
    </row>
    <row r="314" spans="1:14" ht="82.5">
      <c r="A314" s="268" t="str">
        <f t="shared" si="4"/>
        <v>Controlling &amp; Corrective Action|Unit Head/Specialist|1</v>
      </c>
      <c r="B314" s="223" t="s">
        <v>499</v>
      </c>
      <c r="C314" s="79" t="s">
        <v>13</v>
      </c>
      <c r="D314" s="197">
        <v>1</v>
      </c>
      <c r="E314" s="79" t="s">
        <v>526</v>
      </c>
      <c r="F314" s="79">
        <v>1</v>
      </c>
      <c r="G314" s="276" t="s">
        <v>1999</v>
      </c>
      <c r="H314" s="276" t="s">
        <v>2000</v>
      </c>
      <c r="I314" s="276" t="s">
        <v>2001</v>
      </c>
      <c r="J314" s="276" t="s">
        <v>2002</v>
      </c>
      <c r="K314" s="276" t="s">
        <v>531</v>
      </c>
      <c r="L314" s="276" t="s">
        <v>532</v>
      </c>
      <c r="M314" s="276" t="s">
        <v>2003</v>
      </c>
      <c r="N314" s="276" t="s">
        <v>534</v>
      </c>
    </row>
    <row r="315" spans="1:14" ht="49.5">
      <c r="A315" s="268" t="str">
        <f t="shared" si="4"/>
        <v>Controlling &amp; Corrective Action|Unit Head/Specialist|1</v>
      </c>
      <c r="B315" s="223" t="s">
        <v>499</v>
      </c>
      <c r="C315" s="79" t="s">
        <v>13</v>
      </c>
      <c r="D315" s="197">
        <v>1</v>
      </c>
      <c r="E315" s="79" t="s">
        <v>526</v>
      </c>
      <c r="F315" s="79">
        <v>2</v>
      </c>
      <c r="G315" s="276" t="s">
        <v>2004</v>
      </c>
      <c r="H315" s="276" t="s">
        <v>2005</v>
      </c>
      <c r="I315" s="276" t="s">
        <v>2006</v>
      </c>
      <c r="J315" s="276" t="s">
        <v>2007</v>
      </c>
      <c r="K315" s="276" t="s">
        <v>531</v>
      </c>
      <c r="L315" s="276" t="s">
        <v>532</v>
      </c>
      <c r="M315" s="276" t="s">
        <v>2008</v>
      </c>
      <c r="N315" s="276" t="s">
        <v>534</v>
      </c>
    </row>
    <row r="316" spans="1:14" ht="49.5">
      <c r="A316" s="268" t="str">
        <f t="shared" si="4"/>
        <v>Controlling &amp; Corrective Action|Unit Head/Specialist|1</v>
      </c>
      <c r="B316" s="223" t="s">
        <v>499</v>
      </c>
      <c r="C316" s="79" t="s">
        <v>13</v>
      </c>
      <c r="D316" s="197">
        <v>1</v>
      </c>
      <c r="E316" s="79" t="s">
        <v>526</v>
      </c>
      <c r="F316" s="79">
        <v>3</v>
      </c>
      <c r="G316" s="276" t="s">
        <v>2009</v>
      </c>
      <c r="H316" s="276" t="s">
        <v>2010</v>
      </c>
      <c r="I316" s="276" t="s">
        <v>2011</v>
      </c>
      <c r="J316" s="276" t="s">
        <v>2012</v>
      </c>
      <c r="K316" s="276" t="s">
        <v>531</v>
      </c>
      <c r="L316" s="276" t="s">
        <v>532</v>
      </c>
      <c r="M316" s="276" t="s">
        <v>2013</v>
      </c>
      <c r="N316" s="276" t="s">
        <v>562</v>
      </c>
    </row>
    <row r="317" spans="1:14" ht="66">
      <c r="A317" s="268" t="str">
        <f t="shared" si="4"/>
        <v>Controlling &amp; Corrective Action|Unit Head/Specialist|2</v>
      </c>
      <c r="B317" s="223" t="s">
        <v>499</v>
      </c>
      <c r="C317" s="79" t="s">
        <v>13</v>
      </c>
      <c r="D317" s="79">
        <v>2</v>
      </c>
      <c r="E317" s="79" t="s">
        <v>545</v>
      </c>
      <c r="F317" s="79">
        <v>1</v>
      </c>
      <c r="G317" s="276" t="s">
        <v>2014</v>
      </c>
      <c r="H317" s="276" t="s">
        <v>2015</v>
      </c>
      <c r="I317" s="276" t="s">
        <v>2016</v>
      </c>
      <c r="J317" s="276" t="s">
        <v>2017</v>
      </c>
      <c r="K317" s="276" t="s">
        <v>531</v>
      </c>
      <c r="L317" s="276" t="s">
        <v>532</v>
      </c>
      <c r="M317" s="276" t="s">
        <v>2018</v>
      </c>
      <c r="N317" s="276" t="s">
        <v>551</v>
      </c>
    </row>
    <row r="318" spans="1:14" ht="66">
      <c r="A318" s="268" t="str">
        <f t="shared" si="4"/>
        <v>Controlling &amp; Corrective Action|Unit Head/Specialist|2</v>
      </c>
      <c r="B318" s="223" t="s">
        <v>499</v>
      </c>
      <c r="C318" s="79" t="s">
        <v>13</v>
      </c>
      <c r="D318" s="79">
        <v>2</v>
      </c>
      <c r="E318" s="79" t="s">
        <v>545</v>
      </c>
      <c r="F318" s="79">
        <v>2</v>
      </c>
      <c r="G318" s="276" t="s">
        <v>678</v>
      </c>
      <c r="H318" s="276" t="s">
        <v>2019</v>
      </c>
      <c r="I318" s="276" t="s">
        <v>2020</v>
      </c>
      <c r="J318" s="276" t="s">
        <v>2021</v>
      </c>
      <c r="K318" s="276" t="s">
        <v>531</v>
      </c>
      <c r="L318" s="276" t="s">
        <v>532</v>
      </c>
      <c r="M318" s="276" t="s">
        <v>2022</v>
      </c>
      <c r="N318" s="276" t="s">
        <v>562</v>
      </c>
    </row>
    <row r="319" spans="1:14" ht="66">
      <c r="A319" s="268" t="str">
        <f t="shared" si="4"/>
        <v>Controlling &amp; Corrective Action|Unit Head/Specialist|2</v>
      </c>
      <c r="B319" s="223" t="s">
        <v>499</v>
      </c>
      <c r="C319" s="79" t="s">
        <v>13</v>
      </c>
      <c r="D319" s="79">
        <v>2</v>
      </c>
      <c r="E319" s="79" t="s">
        <v>545</v>
      </c>
      <c r="F319" s="79">
        <v>3</v>
      </c>
      <c r="G319" s="276" t="s">
        <v>2023</v>
      </c>
      <c r="H319" s="276" t="s">
        <v>684</v>
      </c>
      <c r="I319" s="276" t="s">
        <v>2024</v>
      </c>
      <c r="J319" s="276" t="s">
        <v>2025</v>
      </c>
      <c r="K319" s="276" t="s">
        <v>531</v>
      </c>
      <c r="L319" s="276" t="s">
        <v>532</v>
      </c>
      <c r="M319" s="276" t="s">
        <v>2026</v>
      </c>
      <c r="N319" s="276" t="s">
        <v>534</v>
      </c>
    </row>
    <row r="320" spans="1:14" ht="49.5">
      <c r="A320" s="268" t="str">
        <f t="shared" si="4"/>
        <v>Controlling &amp; Corrective Action|Unit Head/Specialist|3</v>
      </c>
      <c r="B320" s="223" t="s">
        <v>499</v>
      </c>
      <c r="C320" s="79" t="s">
        <v>13</v>
      </c>
      <c r="D320" s="79">
        <v>3</v>
      </c>
      <c r="E320" s="79" t="s">
        <v>563</v>
      </c>
      <c r="F320" s="79">
        <v>1</v>
      </c>
      <c r="G320" s="276" t="s">
        <v>2027</v>
      </c>
      <c r="H320" s="276" t="s">
        <v>2028</v>
      </c>
      <c r="I320" s="276" t="s">
        <v>2029</v>
      </c>
      <c r="J320" s="276" t="s">
        <v>2030</v>
      </c>
      <c r="K320" s="276" t="s">
        <v>531</v>
      </c>
      <c r="L320" s="276" t="s">
        <v>532</v>
      </c>
      <c r="M320" s="276" t="s">
        <v>2031</v>
      </c>
      <c r="N320" s="276" t="s">
        <v>562</v>
      </c>
    </row>
    <row r="321" spans="1:14" ht="49.5">
      <c r="A321" s="268" t="str">
        <f t="shared" si="4"/>
        <v>Controlling &amp; Corrective Action|Unit Head/Specialist|3</v>
      </c>
      <c r="B321" s="223" t="s">
        <v>499</v>
      </c>
      <c r="C321" s="79" t="s">
        <v>13</v>
      </c>
      <c r="D321" s="79">
        <v>3</v>
      </c>
      <c r="E321" s="79" t="s">
        <v>563</v>
      </c>
      <c r="F321" s="79">
        <v>2</v>
      </c>
      <c r="G321" s="276" t="s">
        <v>2032</v>
      </c>
      <c r="H321" s="276" t="s">
        <v>2033</v>
      </c>
      <c r="I321" s="276" t="s">
        <v>2034</v>
      </c>
      <c r="J321" s="276" t="s">
        <v>2035</v>
      </c>
      <c r="K321" s="276" t="s">
        <v>531</v>
      </c>
      <c r="L321" s="276" t="s">
        <v>532</v>
      </c>
      <c r="M321" s="276" t="s">
        <v>2036</v>
      </c>
      <c r="N321" s="276" t="s">
        <v>534</v>
      </c>
    </row>
    <row r="322" spans="1:14" ht="99">
      <c r="A322" s="268" t="str">
        <f t="shared" si="4"/>
        <v>Controlling &amp; Corrective Action|Unit Head/Specialist|3</v>
      </c>
      <c r="B322" s="223" t="s">
        <v>499</v>
      </c>
      <c r="C322" s="79" t="s">
        <v>13</v>
      </c>
      <c r="D322" s="79">
        <v>3</v>
      </c>
      <c r="E322" s="79" t="s">
        <v>563</v>
      </c>
      <c r="F322" s="79">
        <v>3</v>
      </c>
      <c r="G322" s="276" t="s">
        <v>2037</v>
      </c>
      <c r="H322" s="276" t="s">
        <v>2038</v>
      </c>
      <c r="I322" s="276" t="s">
        <v>2039</v>
      </c>
      <c r="J322" s="276" t="s">
        <v>948</v>
      </c>
      <c r="K322" s="276" t="s">
        <v>531</v>
      </c>
      <c r="L322" s="276" t="s">
        <v>532</v>
      </c>
      <c r="M322" s="276" t="s">
        <v>2040</v>
      </c>
      <c r="N322" s="276" t="s">
        <v>580</v>
      </c>
    </row>
    <row r="323" spans="1:14" ht="66">
      <c r="A323" s="268" t="str">
        <f t="shared" ref="A323:A386" si="5">B323 &amp; "|" &amp; C323 &amp; "|" &amp; D323</f>
        <v>Controlling &amp; Corrective Action|Unit Head/Specialist|4</v>
      </c>
      <c r="B323" s="223" t="s">
        <v>499</v>
      </c>
      <c r="C323" s="79" t="s">
        <v>13</v>
      </c>
      <c r="D323" s="79">
        <v>4</v>
      </c>
      <c r="E323" s="79" t="s">
        <v>581</v>
      </c>
      <c r="F323" s="79">
        <v>1</v>
      </c>
      <c r="G323" s="276" t="s">
        <v>2041</v>
      </c>
      <c r="H323" s="276" t="s">
        <v>2042</v>
      </c>
      <c r="I323" s="276" t="s">
        <v>2043</v>
      </c>
      <c r="J323" s="276" t="s">
        <v>2044</v>
      </c>
      <c r="K323" s="276" t="s">
        <v>531</v>
      </c>
      <c r="L323" s="276" t="s">
        <v>532</v>
      </c>
      <c r="M323" s="276" t="s">
        <v>2045</v>
      </c>
      <c r="N323" s="276" t="s">
        <v>562</v>
      </c>
    </row>
    <row r="324" spans="1:14" ht="66">
      <c r="A324" s="268" t="str">
        <f t="shared" si="5"/>
        <v>Controlling &amp; Corrective Action|Unit Head/Specialist|4</v>
      </c>
      <c r="B324" s="223" t="s">
        <v>499</v>
      </c>
      <c r="C324" s="79" t="s">
        <v>13</v>
      </c>
      <c r="D324" s="79">
        <v>4</v>
      </c>
      <c r="E324" s="79" t="s">
        <v>581</v>
      </c>
      <c r="F324" s="79">
        <v>2</v>
      </c>
      <c r="G324" s="276" t="s">
        <v>2046</v>
      </c>
      <c r="H324" s="276" t="s">
        <v>2047</v>
      </c>
      <c r="I324" s="276" t="s">
        <v>2048</v>
      </c>
      <c r="J324" s="276" t="s">
        <v>2049</v>
      </c>
      <c r="K324" s="276" t="s">
        <v>531</v>
      </c>
      <c r="L324" s="276" t="s">
        <v>532</v>
      </c>
      <c r="M324" s="276" t="s">
        <v>2050</v>
      </c>
      <c r="N324" s="276" t="s">
        <v>1868</v>
      </c>
    </row>
    <row r="325" spans="1:14" ht="66">
      <c r="A325" s="268" t="str">
        <f t="shared" si="5"/>
        <v>Controlling &amp; Corrective Action|Unit Head/Specialist|4</v>
      </c>
      <c r="B325" s="223" t="s">
        <v>499</v>
      </c>
      <c r="C325" s="79" t="s">
        <v>13</v>
      </c>
      <c r="D325" s="79">
        <v>4</v>
      </c>
      <c r="E325" s="79" t="s">
        <v>581</v>
      </c>
      <c r="F325" s="79">
        <v>3</v>
      </c>
      <c r="G325" s="276" t="s">
        <v>2051</v>
      </c>
      <c r="H325" s="276" t="s">
        <v>2052</v>
      </c>
      <c r="I325" s="276" t="s">
        <v>2053</v>
      </c>
      <c r="J325" s="276" t="s">
        <v>2054</v>
      </c>
      <c r="K325" s="276" t="s">
        <v>531</v>
      </c>
      <c r="L325" s="276" t="s">
        <v>532</v>
      </c>
      <c r="M325" s="276" t="s">
        <v>2055</v>
      </c>
      <c r="N325" s="276" t="s">
        <v>1868</v>
      </c>
    </row>
    <row r="326" spans="1:14" ht="82.5">
      <c r="A326" s="268" t="str">
        <f t="shared" si="5"/>
        <v>Controlling &amp; Corrective Action|Department Head|1</v>
      </c>
      <c r="B326" s="223" t="s">
        <v>499</v>
      </c>
      <c r="C326" s="79" t="s">
        <v>719</v>
      </c>
      <c r="D326" s="197">
        <v>1</v>
      </c>
      <c r="E326" s="79" t="s">
        <v>526</v>
      </c>
      <c r="F326" s="79">
        <v>1</v>
      </c>
      <c r="G326" s="276" t="s">
        <v>2056</v>
      </c>
      <c r="H326" s="276" t="s">
        <v>2057</v>
      </c>
      <c r="I326" s="276" t="s">
        <v>2058</v>
      </c>
      <c r="J326" s="276" t="s">
        <v>2059</v>
      </c>
      <c r="K326" s="276" t="s">
        <v>531</v>
      </c>
      <c r="L326" s="276" t="s">
        <v>532</v>
      </c>
      <c r="M326" s="276" t="s">
        <v>2060</v>
      </c>
      <c r="N326" s="276" t="s">
        <v>534</v>
      </c>
    </row>
    <row r="327" spans="1:14" ht="82.5">
      <c r="A327" s="268" t="str">
        <f t="shared" si="5"/>
        <v>Controlling &amp; Corrective Action|Department Head|1</v>
      </c>
      <c r="B327" s="223" t="s">
        <v>499</v>
      </c>
      <c r="C327" s="79" t="s">
        <v>719</v>
      </c>
      <c r="D327" s="197">
        <v>1</v>
      </c>
      <c r="E327" s="79" t="s">
        <v>526</v>
      </c>
      <c r="F327" s="79">
        <v>2</v>
      </c>
      <c r="G327" s="276" t="s">
        <v>2061</v>
      </c>
      <c r="H327" s="276" t="s">
        <v>2062</v>
      </c>
      <c r="I327" s="276" t="s">
        <v>2063</v>
      </c>
      <c r="J327" s="276" t="s">
        <v>2064</v>
      </c>
      <c r="K327" s="276" t="s">
        <v>531</v>
      </c>
      <c r="L327" s="276" t="s">
        <v>532</v>
      </c>
      <c r="M327" s="276" t="s">
        <v>2065</v>
      </c>
      <c r="N327" s="276" t="s">
        <v>534</v>
      </c>
    </row>
    <row r="328" spans="1:14" ht="66">
      <c r="A328" s="268" t="str">
        <f t="shared" si="5"/>
        <v>Controlling &amp; Corrective Action|Department Head|1</v>
      </c>
      <c r="B328" s="223" t="s">
        <v>499</v>
      </c>
      <c r="C328" s="79" t="s">
        <v>719</v>
      </c>
      <c r="D328" s="197">
        <v>1</v>
      </c>
      <c r="E328" s="79" t="s">
        <v>526</v>
      </c>
      <c r="F328" s="79">
        <v>3</v>
      </c>
      <c r="G328" s="276" t="s">
        <v>2066</v>
      </c>
      <c r="H328" s="276" t="s">
        <v>2067</v>
      </c>
      <c r="I328" s="276" t="s">
        <v>2068</v>
      </c>
      <c r="J328" s="276" t="s">
        <v>2069</v>
      </c>
      <c r="K328" s="276" t="s">
        <v>531</v>
      </c>
      <c r="L328" s="276" t="s">
        <v>532</v>
      </c>
      <c r="M328" s="276" t="s">
        <v>2070</v>
      </c>
      <c r="N328" s="276" t="s">
        <v>562</v>
      </c>
    </row>
    <row r="329" spans="1:14" ht="66">
      <c r="A329" s="268" t="str">
        <f t="shared" si="5"/>
        <v>Controlling &amp; Corrective Action|Department Head|2</v>
      </c>
      <c r="B329" s="223" t="s">
        <v>499</v>
      </c>
      <c r="C329" s="79" t="s">
        <v>719</v>
      </c>
      <c r="D329" s="79">
        <v>2</v>
      </c>
      <c r="E329" s="79" t="s">
        <v>545</v>
      </c>
      <c r="F329" s="79">
        <v>1</v>
      </c>
      <c r="G329" s="276" t="s">
        <v>2071</v>
      </c>
      <c r="H329" s="276" t="s">
        <v>2072</v>
      </c>
      <c r="I329" s="276" t="s">
        <v>2073</v>
      </c>
      <c r="J329" s="276" t="s">
        <v>2074</v>
      </c>
      <c r="K329" s="276" t="s">
        <v>531</v>
      </c>
      <c r="L329" s="276" t="s">
        <v>532</v>
      </c>
      <c r="M329" s="276" t="s">
        <v>2075</v>
      </c>
      <c r="N329" s="276" t="s">
        <v>551</v>
      </c>
    </row>
    <row r="330" spans="1:14" ht="49.5">
      <c r="A330" s="268" t="str">
        <f t="shared" si="5"/>
        <v>Controlling &amp; Corrective Action|Department Head|2</v>
      </c>
      <c r="B330" s="223" t="s">
        <v>499</v>
      </c>
      <c r="C330" s="79" t="s">
        <v>719</v>
      </c>
      <c r="D330" s="79">
        <v>2</v>
      </c>
      <c r="E330" s="79" t="s">
        <v>545</v>
      </c>
      <c r="F330" s="79">
        <v>2</v>
      </c>
      <c r="G330" s="276" t="s">
        <v>2076</v>
      </c>
      <c r="H330" s="276" t="s">
        <v>2077</v>
      </c>
      <c r="I330" s="276" t="s">
        <v>2078</v>
      </c>
      <c r="J330" s="276" t="s">
        <v>2079</v>
      </c>
      <c r="K330" s="276" t="s">
        <v>531</v>
      </c>
      <c r="L330" s="276" t="s">
        <v>532</v>
      </c>
      <c r="M330" s="276" t="s">
        <v>2080</v>
      </c>
      <c r="N330" s="276" t="s">
        <v>562</v>
      </c>
    </row>
    <row r="331" spans="1:14" ht="66">
      <c r="A331" s="268" t="str">
        <f t="shared" si="5"/>
        <v>Controlling &amp; Corrective Action|Department Head|2</v>
      </c>
      <c r="B331" s="223" t="s">
        <v>499</v>
      </c>
      <c r="C331" s="79" t="s">
        <v>719</v>
      </c>
      <c r="D331" s="79">
        <v>2</v>
      </c>
      <c r="E331" s="79" t="s">
        <v>545</v>
      </c>
      <c r="F331" s="79">
        <v>3</v>
      </c>
      <c r="G331" s="276" t="s">
        <v>2081</v>
      </c>
      <c r="H331" s="276" t="s">
        <v>2082</v>
      </c>
      <c r="I331" s="276" t="s">
        <v>2083</v>
      </c>
      <c r="J331" s="276" t="s">
        <v>2084</v>
      </c>
      <c r="K331" s="276" t="s">
        <v>531</v>
      </c>
      <c r="L331" s="276" t="s">
        <v>532</v>
      </c>
      <c r="M331" s="276" t="s">
        <v>2085</v>
      </c>
      <c r="N331" s="276" t="s">
        <v>534</v>
      </c>
    </row>
    <row r="332" spans="1:14" ht="66">
      <c r="A332" s="268" t="str">
        <f t="shared" si="5"/>
        <v>Controlling &amp; Corrective Action|Department Head|3</v>
      </c>
      <c r="B332" s="223" t="s">
        <v>499</v>
      </c>
      <c r="C332" s="79" t="s">
        <v>719</v>
      </c>
      <c r="D332" s="79">
        <v>3</v>
      </c>
      <c r="E332" s="79" t="s">
        <v>563</v>
      </c>
      <c r="F332" s="79">
        <v>1</v>
      </c>
      <c r="G332" s="276" t="s">
        <v>2086</v>
      </c>
      <c r="H332" s="276" t="s">
        <v>2087</v>
      </c>
      <c r="I332" s="276" t="s">
        <v>2088</v>
      </c>
      <c r="J332" s="276" t="s">
        <v>2089</v>
      </c>
      <c r="K332" s="276" t="s">
        <v>531</v>
      </c>
      <c r="L332" s="276" t="s">
        <v>532</v>
      </c>
      <c r="M332" s="276" t="s">
        <v>2090</v>
      </c>
      <c r="N332" s="276" t="s">
        <v>534</v>
      </c>
    </row>
    <row r="333" spans="1:14" ht="82.5">
      <c r="A333" s="268" t="str">
        <f t="shared" si="5"/>
        <v>Controlling &amp; Corrective Action|Department Head|3</v>
      </c>
      <c r="B333" s="223" t="s">
        <v>499</v>
      </c>
      <c r="C333" s="79" t="s">
        <v>719</v>
      </c>
      <c r="D333" s="79">
        <v>3</v>
      </c>
      <c r="E333" s="79" t="s">
        <v>563</v>
      </c>
      <c r="F333" s="79">
        <v>2</v>
      </c>
      <c r="G333" s="276" t="s">
        <v>2091</v>
      </c>
      <c r="H333" s="276" t="s">
        <v>2092</v>
      </c>
      <c r="I333" s="276" t="s">
        <v>2093</v>
      </c>
      <c r="J333" s="276" t="s">
        <v>757</v>
      </c>
      <c r="K333" s="276" t="s">
        <v>531</v>
      </c>
      <c r="L333" s="276" t="s">
        <v>532</v>
      </c>
      <c r="M333" s="276" t="s">
        <v>2094</v>
      </c>
      <c r="N333" s="276" t="s">
        <v>562</v>
      </c>
    </row>
    <row r="334" spans="1:14" ht="82.5">
      <c r="A334" s="268" t="str">
        <f t="shared" si="5"/>
        <v>Controlling &amp; Corrective Action|Department Head|3</v>
      </c>
      <c r="B334" s="223" t="s">
        <v>499</v>
      </c>
      <c r="C334" s="79" t="s">
        <v>719</v>
      </c>
      <c r="D334" s="79">
        <v>3</v>
      </c>
      <c r="E334" s="79" t="s">
        <v>563</v>
      </c>
      <c r="F334" s="79">
        <v>3</v>
      </c>
      <c r="G334" s="276" t="s">
        <v>2095</v>
      </c>
      <c r="H334" s="276" t="s">
        <v>2096</v>
      </c>
      <c r="I334" s="276" t="s">
        <v>2097</v>
      </c>
      <c r="J334" s="276" t="s">
        <v>948</v>
      </c>
      <c r="K334" s="276" t="s">
        <v>531</v>
      </c>
      <c r="L334" s="276" t="s">
        <v>532</v>
      </c>
      <c r="M334" s="276" t="s">
        <v>2098</v>
      </c>
      <c r="N334" s="276" t="s">
        <v>580</v>
      </c>
    </row>
    <row r="335" spans="1:14" ht="82.5">
      <c r="A335" s="268" t="str">
        <f t="shared" si="5"/>
        <v>Controlling &amp; Corrective Action|Department Head|4</v>
      </c>
      <c r="B335" s="223" t="s">
        <v>499</v>
      </c>
      <c r="C335" s="79" t="s">
        <v>719</v>
      </c>
      <c r="D335" s="79">
        <v>4</v>
      </c>
      <c r="E335" s="79" t="s">
        <v>581</v>
      </c>
      <c r="F335" s="79">
        <v>1</v>
      </c>
      <c r="G335" s="276" t="s">
        <v>2099</v>
      </c>
      <c r="H335" s="276" t="s">
        <v>2100</v>
      </c>
      <c r="I335" s="276" t="s">
        <v>2101</v>
      </c>
      <c r="J335" s="276" t="s">
        <v>2102</v>
      </c>
      <c r="K335" s="276" t="s">
        <v>531</v>
      </c>
      <c r="L335" s="276" t="s">
        <v>532</v>
      </c>
      <c r="M335" s="276" t="s">
        <v>2103</v>
      </c>
      <c r="N335" s="276" t="s">
        <v>562</v>
      </c>
    </row>
    <row r="336" spans="1:14" ht="66">
      <c r="A336" s="268" t="str">
        <f t="shared" si="5"/>
        <v>Controlling &amp; Corrective Action|Department Head|4</v>
      </c>
      <c r="B336" s="223" t="s">
        <v>499</v>
      </c>
      <c r="C336" s="79" t="s">
        <v>719</v>
      </c>
      <c r="D336" s="79">
        <v>4</v>
      </c>
      <c r="E336" s="79" t="s">
        <v>581</v>
      </c>
      <c r="F336" s="79">
        <v>2</v>
      </c>
      <c r="G336" s="276" t="s">
        <v>2104</v>
      </c>
      <c r="H336" s="276" t="s">
        <v>2105</v>
      </c>
      <c r="I336" s="276" t="s">
        <v>2106</v>
      </c>
      <c r="J336" s="276" t="s">
        <v>2107</v>
      </c>
      <c r="K336" s="276" t="s">
        <v>531</v>
      </c>
      <c r="L336" s="276" t="s">
        <v>532</v>
      </c>
      <c r="M336" s="276" t="s">
        <v>2108</v>
      </c>
      <c r="N336" s="276" t="s">
        <v>562</v>
      </c>
    </row>
    <row r="337" spans="1:14" ht="66">
      <c r="A337" s="268" t="str">
        <f t="shared" si="5"/>
        <v>Controlling &amp; Corrective Action|Department Head|4</v>
      </c>
      <c r="B337" s="223" t="s">
        <v>499</v>
      </c>
      <c r="C337" s="79" t="s">
        <v>719</v>
      </c>
      <c r="D337" s="79">
        <v>4</v>
      </c>
      <c r="E337" s="79" t="s">
        <v>581</v>
      </c>
      <c r="F337" s="79">
        <v>3</v>
      </c>
      <c r="G337" s="276" t="s">
        <v>2109</v>
      </c>
      <c r="H337" s="276" t="s">
        <v>2110</v>
      </c>
      <c r="I337" s="276" t="s">
        <v>2111</v>
      </c>
      <c r="J337" s="276" t="s">
        <v>2112</v>
      </c>
      <c r="K337" s="276" t="s">
        <v>531</v>
      </c>
      <c r="L337" s="276" t="s">
        <v>532</v>
      </c>
      <c r="M337" s="276" t="s">
        <v>2113</v>
      </c>
      <c r="N337" s="276" t="s">
        <v>1868</v>
      </c>
    </row>
    <row r="338" spans="1:14" ht="82.5">
      <c r="A338" s="268" t="str">
        <f t="shared" si="5"/>
        <v>Controlling &amp; Corrective Action|Division Head|1</v>
      </c>
      <c r="B338" s="223" t="s">
        <v>499</v>
      </c>
      <c r="C338" s="79" t="s">
        <v>778</v>
      </c>
      <c r="D338" s="197">
        <v>1</v>
      </c>
      <c r="E338" s="79" t="s">
        <v>526</v>
      </c>
      <c r="F338" s="79">
        <v>1</v>
      </c>
      <c r="G338" s="276" t="s">
        <v>779</v>
      </c>
      <c r="H338" s="276" t="s">
        <v>780</v>
      </c>
      <c r="I338" s="276" t="s">
        <v>2114</v>
      </c>
      <c r="J338" s="276" t="s">
        <v>2115</v>
      </c>
      <c r="K338" s="276" t="s">
        <v>531</v>
      </c>
      <c r="L338" s="276" t="s">
        <v>532</v>
      </c>
      <c r="M338" s="276" t="s">
        <v>2116</v>
      </c>
      <c r="N338" s="276" t="s">
        <v>534</v>
      </c>
    </row>
    <row r="339" spans="1:14" ht="66">
      <c r="A339" s="268" t="str">
        <f t="shared" si="5"/>
        <v>Controlling &amp; Corrective Action|Division Head|1</v>
      </c>
      <c r="B339" s="223" t="s">
        <v>499</v>
      </c>
      <c r="C339" s="79" t="s">
        <v>778</v>
      </c>
      <c r="D339" s="197">
        <v>1</v>
      </c>
      <c r="E339" s="79" t="s">
        <v>526</v>
      </c>
      <c r="F339" s="79">
        <v>2</v>
      </c>
      <c r="G339" s="276" t="s">
        <v>2117</v>
      </c>
      <c r="H339" s="276" t="s">
        <v>2118</v>
      </c>
      <c r="I339" s="276" t="s">
        <v>2119</v>
      </c>
      <c r="J339" s="276" t="s">
        <v>2120</v>
      </c>
      <c r="K339" s="276" t="s">
        <v>531</v>
      </c>
      <c r="L339" s="276" t="s">
        <v>532</v>
      </c>
      <c r="M339" s="276" t="s">
        <v>2121</v>
      </c>
      <c r="N339" s="276" t="s">
        <v>562</v>
      </c>
    </row>
    <row r="340" spans="1:14" ht="49.5">
      <c r="A340" s="268" t="str">
        <f t="shared" si="5"/>
        <v>Controlling &amp; Corrective Action|Division Head|1</v>
      </c>
      <c r="B340" s="223" t="s">
        <v>499</v>
      </c>
      <c r="C340" s="79" t="s">
        <v>778</v>
      </c>
      <c r="D340" s="197">
        <v>1</v>
      </c>
      <c r="E340" s="79" t="s">
        <v>526</v>
      </c>
      <c r="F340" s="79">
        <v>3</v>
      </c>
      <c r="G340" s="276" t="s">
        <v>789</v>
      </c>
      <c r="H340" s="276" t="s">
        <v>2122</v>
      </c>
      <c r="I340" s="276" t="s">
        <v>2123</v>
      </c>
      <c r="J340" s="276" t="s">
        <v>2124</v>
      </c>
      <c r="K340" s="276" t="s">
        <v>531</v>
      </c>
      <c r="L340" s="276" t="s">
        <v>532</v>
      </c>
      <c r="M340" s="276" t="s">
        <v>2125</v>
      </c>
      <c r="N340" s="276" t="s">
        <v>562</v>
      </c>
    </row>
    <row r="341" spans="1:14" ht="66">
      <c r="A341" s="268" t="str">
        <f t="shared" si="5"/>
        <v>Controlling &amp; Corrective Action|Division Head|2</v>
      </c>
      <c r="B341" s="223" t="s">
        <v>499</v>
      </c>
      <c r="C341" s="79" t="s">
        <v>778</v>
      </c>
      <c r="D341" s="79">
        <v>2</v>
      </c>
      <c r="E341" s="79" t="s">
        <v>545</v>
      </c>
      <c r="F341" s="79">
        <v>1</v>
      </c>
      <c r="G341" s="276" t="s">
        <v>2126</v>
      </c>
      <c r="H341" s="276" t="s">
        <v>2127</v>
      </c>
      <c r="I341" s="276" t="s">
        <v>2128</v>
      </c>
      <c r="J341" s="276" t="s">
        <v>2129</v>
      </c>
      <c r="K341" s="276" t="s">
        <v>531</v>
      </c>
      <c r="L341" s="276" t="s">
        <v>532</v>
      </c>
      <c r="M341" s="276" t="s">
        <v>2130</v>
      </c>
      <c r="N341" s="276" t="s">
        <v>551</v>
      </c>
    </row>
    <row r="342" spans="1:14" ht="49.5">
      <c r="A342" s="268" t="str">
        <f t="shared" si="5"/>
        <v>Controlling &amp; Corrective Action|Division Head|2</v>
      </c>
      <c r="B342" s="223" t="s">
        <v>499</v>
      </c>
      <c r="C342" s="79" t="s">
        <v>778</v>
      </c>
      <c r="D342" s="79">
        <v>2</v>
      </c>
      <c r="E342" s="79" t="s">
        <v>545</v>
      </c>
      <c r="F342" s="79">
        <v>2</v>
      </c>
      <c r="G342" s="276" t="s">
        <v>799</v>
      </c>
      <c r="H342" s="276" t="s">
        <v>2131</v>
      </c>
      <c r="I342" s="276" t="s">
        <v>2132</v>
      </c>
      <c r="J342" s="276" t="s">
        <v>2133</v>
      </c>
      <c r="K342" s="276" t="s">
        <v>531</v>
      </c>
      <c r="L342" s="276" t="s">
        <v>532</v>
      </c>
      <c r="M342" s="276" t="s">
        <v>2134</v>
      </c>
      <c r="N342" s="276" t="s">
        <v>562</v>
      </c>
    </row>
    <row r="343" spans="1:14" ht="66">
      <c r="A343" s="268" t="str">
        <f t="shared" si="5"/>
        <v>Controlling &amp; Corrective Action|Division Head|2</v>
      </c>
      <c r="B343" s="223" t="s">
        <v>499</v>
      </c>
      <c r="C343" s="79" t="s">
        <v>778</v>
      </c>
      <c r="D343" s="79">
        <v>2</v>
      </c>
      <c r="E343" s="79" t="s">
        <v>545</v>
      </c>
      <c r="F343" s="79">
        <v>3</v>
      </c>
      <c r="G343" s="276" t="s">
        <v>804</v>
      </c>
      <c r="H343" s="276" t="s">
        <v>2135</v>
      </c>
      <c r="I343" s="276" t="s">
        <v>2136</v>
      </c>
      <c r="J343" s="276" t="s">
        <v>2137</v>
      </c>
      <c r="K343" s="276" t="s">
        <v>531</v>
      </c>
      <c r="L343" s="276" t="s">
        <v>532</v>
      </c>
      <c r="M343" s="276" t="s">
        <v>808</v>
      </c>
      <c r="N343" s="276" t="s">
        <v>534</v>
      </c>
    </row>
    <row r="344" spans="1:14" ht="66">
      <c r="A344" s="268" t="str">
        <f t="shared" si="5"/>
        <v>Controlling &amp; Corrective Action|Division Head|3</v>
      </c>
      <c r="B344" s="223" t="s">
        <v>499</v>
      </c>
      <c r="C344" s="79" t="s">
        <v>778</v>
      </c>
      <c r="D344" s="79">
        <v>3</v>
      </c>
      <c r="E344" s="79" t="s">
        <v>563</v>
      </c>
      <c r="F344" s="79">
        <v>1</v>
      </c>
      <c r="G344" s="276" t="s">
        <v>2138</v>
      </c>
      <c r="H344" s="276" t="s">
        <v>810</v>
      </c>
      <c r="I344" s="276" t="s">
        <v>2139</v>
      </c>
      <c r="J344" s="276" t="s">
        <v>2140</v>
      </c>
      <c r="K344" s="276" t="s">
        <v>531</v>
      </c>
      <c r="L344" s="276" t="s">
        <v>532</v>
      </c>
      <c r="M344" s="276" t="s">
        <v>2141</v>
      </c>
      <c r="N344" s="276" t="s">
        <v>534</v>
      </c>
    </row>
    <row r="345" spans="1:14" ht="82.5">
      <c r="A345" s="268" t="str">
        <f t="shared" si="5"/>
        <v>Controlling &amp; Corrective Action|Division Head|3</v>
      </c>
      <c r="B345" s="223" t="s">
        <v>499</v>
      </c>
      <c r="C345" s="79" t="s">
        <v>778</v>
      </c>
      <c r="D345" s="79">
        <v>3</v>
      </c>
      <c r="E345" s="79" t="s">
        <v>563</v>
      </c>
      <c r="F345" s="79">
        <v>2</v>
      </c>
      <c r="G345" s="276" t="s">
        <v>2142</v>
      </c>
      <c r="H345" s="276" t="s">
        <v>2143</v>
      </c>
      <c r="I345" s="276" t="s">
        <v>2144</v>
      </c>
      <c r="J345" s="276" t="s">
        <v>1426</v>
      </c>
      <c r="K345" s="276" t="s">
        <v>531</v>
      </c>
      <c r="L345" s="276" t="s">
        <v>532</v>
      </c>
      <c r="M345" s="276" t="s">
        <v>2145</v>
      </c>
      <c r="N345" s="276" t="s">
        <v>562</v>
      </c>
    </row>
    <row r="346" spans="1:14" ht="99">
      <c r="A346" s="268" t="str">
        <f t="shared" si="5"/>
        <v>Controlling &amp; Corrective Action|Division Head|3</v>
      </c>
      <c r="B346" s="223" t="s">
        <v>499</v>
      </c>
      <c r="C346" s="79" t="s">
        <v>778</v>
      </c>
      <c r="D346" s="79">
        <v>3</v>
      </c>
      <c r="E346" s="79" t="s">
        <v>563</v>
      </c>
      <c r="F346" s="79">
        <v>3</v>
      </c>
      <c r="G346" s="276" t="s">
        <v>2146</v>
      </c>
      <c r="H346" s="276" t="s">
        <v>820</v>
      </c>
      <c r="I346" s="276" t="s">
        <v>2147</v>
      </c>
      <c r="J346" s="276" t="s">
        <v>948</v>
      </c>
      <c r="K346" s="276" t="s">
        <v>531</v>
      </c>
      <c r="L346" s="276" t="s">
        <v>532</v>
      </c>
      <c r="M346" s="276" t="s">
        <v>2148</v>
      </c>
      <c r="N346" s="276" t="s">
        <v>580</v>
      </c>
    </row>
    <row r="347" spans="1:14" ht="82.5">
      <c r="A347" s="268" t="str">
        <f t="shared" si="5"/>
        <v>Controlling &amp; Corrective Action|Division Head|4</v>
      </c>
      <c r="B347" s="223" t="s">
        <v>499</v>
      </c>
      <c r="C347" s="79" t="s">
        <v>778</v>
      </c>
      <c r="D347" s="79">
        <v>4</v>
      </c>
      <c r="E347" s="79" t="s">
        <v>581</v>
      </c>
      <c r="F347" s="79">
        <v>1</v>
      </c>
      <c r="G347" s="276" t="s">
        <v>2149</v>
      </c>
      <c r="H347" s="276" t="s">
        <v>2150</v>
      </c>
      <c r="I347" s="276" t="s">
        <v>2151</v>
      </c>
      <c r="J347" s="276" t="s">
        <v>2152</v>
      </c>
      <c r="K347" s="276" t="s">
        <v>531</v>
      </c>
      <c r="L347" s="276" t="s">
        <v>532</v>
      </c>
      <c r="M347" s="276" t="s">
        <v>2153</v>
      </c>
      <c r="N347" s="276" t="s">
        <v>562</v>
      </c>
    </row>
    <row r="348" spans="1:14" ht="66">
      <c r="A348" s="268" t="str">
        <f t="shared" si="5"/>
        <v>Controlling &amp; Corrective Action|Division Head|4</v>
      </c>
      <c r="B348" s="223" t="s">
        <v>499</v>
      </c>
      <c r="C348" s="79" t="s">
        <v>778</v>
      </c>
      <c r="D348" s="79">
        <v>4</v>
      </c>
      <c r="E348" s="79" t="s">
        <v>581</v>
      </c>
      <c r="F348" s="79">
        <v>2</v>
      </c>
      <c r="G348" s="276" t="s">
        <v>2154</v>
      </c>
      <c r="H348" s="276" t="s">
        <v>2155</v>
      </c>
      <c r="I348" s="276" t="s">
        <v>2156</v>
      </c>
      <c r="J348" s="276" t="s">
        <v>2157</v>
      </c>
      <c r="K348" s="276" t="s">
        <v>531</v>
      </c>
      <c r="L348" s="276" t="s">
        <v>532</v>
      </c>
      <c r="M348" s="276" t="s">
        <v>2158</v>
      </c>
      <c r="N348" s="276" t="s">
        <v>562</v>
      </c>
    </row>
    <row r="349" spans="1:14" ht="66">
      <c r="A349" s="268" t="str">
        <f t="shared" si="5"/>
        <v>Controlling &amp; Corrective Action|Division Head|4</v>
      </c>
      <c r="B349" s="223" t="s">
        <v>499</v>
      </c>
      <c r="C349" s="79" t="s">
        <v>778</v>
      </c>
      <c r="D349" s="79">
        <v>4</v>
      </c>
      <c r="E349" s="79" t="s">
        <v>581</v>
      </c>
      <c r="F349" s="79">
        <v>3</v>
      </c>
      <c r="G349" s="276" t="s">
        <v>2159</v>
      </c>
      <c r="H349" s="276" t="s">
        <v>2160</v>
      </c>
      <c r="I349" s="276" t="s">
        <v>2161</v>
      </c>
      <c r="J349" s="276" t="s">
        <v>2162</v>
      </c>
      <c r="K349" s="276" t="s">
        <v>531</v>
      </c>
      <c r="L349" s="276" t="s">
        <v>532</v>
      </c>
      <c r="M349" s="276" t="s">
        <v>2163</v>
      </c>
      <c r="N349" s="276" t="s">
        <v>1050</v>
      </c>
    </row>
    <row r="350" spans="1:14" ht="82.5">
      <c r="A350" s="268" t="str">
        <f t="shared" si="5"/>
        <v>Controlling &amp; Corrective Action|Director|1</v>
      </c>
      <c r="B350" s="223" t="s">
        <v>499</v>
      </c>
      <c r="C350" s="79" t="s">
        <v>838</v>
      </c>
      <c r="D350" s="197">
        <v>1</v>
      </c>
      <c r="E350" s="79" t="s">
        <v>526</v>
      </c>
      <c r="F350" s="79">
        <v>1</v>
      </c>
      <c r="G350" s="276" t="s">
        <v>2164</v>
      </c>
      <c r="H350" s="276" t="s">
        <v>2165</v>
      </c>
      <c r="I350" s="276" t="s">
        <v>2166</v>
      </c>
      <c r="J350" s="276" t="s">
        <v>2167</v>
      </c>
      <c r="K350" s="276" t="s">
        <v>531</v>
      </c>
      <c r="L350" s="276" t="s">
        <v>532</v>
      </c>
      <c r="M350" s="276" t="s">
        <v>2168</v>
      </c>
      <c r="N350" s="276" t="s">
        <v>2169</v>
      </c>
    </row>
    <row r="351" spans="1:14" ht="82.5">
      <c r="A351" s="268" t="str">
        <f t="shared" si="5"/>
        <v>Controlling &amp; Corrective Action|Director|1</v>
      </c>
      <c r="B351" s="223" t="s">
        <v>499</v>
      </c>
      <c r="C351" s="79" t="s">
        <v>838</v>
      </c>
      <c r="D351" s="197">
        <v>1</v>
      </c>
      <c r="E351" s="79" t="s">
        <v>526</v>
      </c>
      <c r="F351" s="79">
        <v>2</v>
      </c>
      <c r="G351" s="276" t="s">
        <v>2170</v>
      </c>
      <c r="H351" s="276" t="s">
        <v>2171</v>
      </c>
      <c r="I351" s="276" t="s">
        <v>2172</v>
      </c>
      <c r="J351" s="276" t="s">
        <v>2173</v>
      </c>
      <c r="K351" s="276" t="s">
        <v>531</v>
      </c>
      <c r="L351" s="276" t="s">
        <v>532</v>
      </c>
      <c r="M351" s="276" t="s">
        <v>2174</v>
      </c>
      <c r="N351" s="276" t="s">
        <v>2175</v>
      </c>
    </row>
    <row r="352" spans="1:14" ht="66">
      <c r="A352" s="268" t="str">
        <f t="shared" si="5"/>
        <v>Controlling &amp; Corrective Action|Director|1</v>
      </c>
      <c r="B352" s="223" t="s">
        <v>499</v>
      </c>
      <c r="C352" s="79" t="s">
        <v>838</v>
      </c>
      <c r="D352" s="197">
        <v>1</v>
      </c>
      <c r="E352" s="79" t="s">
        <v>526</v>
      </c>
      <c r="F352" s="79">
        <v>3</v>
      </c>
      <c r="G352" s="276" t="s">
        <v>2176</v>
      </c>
      <c r="H352" s="276" t="s">
        <v>2177</v>
      </c>
      <c r="I352" s="276" t="s">
        <v>2178</v>
      </c>
      <c r="J352" s="276" t="s">
        <v>2179</v>
      </c>
      <c r="K352" s="276" t="s">
        <v>531</v>
      </c>
      <c r="L352" s="276" t="s">
        <v>532</v>
      </c>
      <c r="M352" s="276" t="s">
        <v>2180</v>
      </c>
      <c r="N352" s="276" t="s">
        <v>856</v>
      </c>
    </row>
    <row r="353" spans="1:14" ht="82.5">
      <c r="A353" s="268" t="str">
        <f t="shared" si="5"/>
        <v>Controlling &amp; Corrective Action|Director|2</v>
      </c>
      <c r="B353" s="223" t="s">
        <v>499</v>
      </c>
      <c r="C353" s="79" t="s">
        <v>838</v>
      </c>
      <c r="D353" s="79">
        <v>2</v>
      </c>
      <c r="E353" s="79" t="s">
        <v>545</v>
      </c>
      <c r="F353" s="79">
        <v>1</v>
      </c>
      <c r="G353" s="276" t="s">
        <v>2181</v>
      </c>
      <c r="H353" s="276" t="s">
        <v>2182</v>
      </c>
      <c r="I353" s="276" t="s">
        <v>2183</v>
      </c>
      <c r="J353" s="276" t="s">
        <v>2184</v>
      </c>
      <c r="K353" s="276" t="s">
        <v>531</v>
      </c>
      <c r="L353" s="276" t="s">
        <v>532</v>
      </c>
      <c r="M353" s="276" t="s">
        <v>2185</v>
      </c>
      <c r="N353" s="276" t="s">
        <v>862</v>
      </c>
    </row>
    <row r="354" spans="1:14" ht="49.5">
      <c r="A354" s="268" t="str">
        <f t="shared" si="5"/>
        <v>Controlling &amp; Corrective Action|Director|2</v>
      </c>
      <c r="B354" s="223" t="s">
        <v>499</v>
      </c>
      <c r="C354" s="79" t="s">
        <v>838</v>
      </c>
      <c r="D354" s="79">
        <v>2</v>
      </c>
      <c r="E354" s="79" t="s">
        <v>545</v>
      </c>
      <c r="F354" s="79">
        <v>2</v>
      </c>
      <c r="G354" s="276" t="s">
        <v>2186</v>
      </c>
      <c r="H354" s="276" t="s">
        <v>2187</v>
      </c>
      <c r="I354" s="276" t="s">
        <v>2188</v>
      </c>
      <c r="J354" s="276" t="s">
        <v>2189</v>
      </c>
      <c r="K354" s="276" t="s">
        <v>531</v>
      </c>
      <c r="L354" s="276" t="s">
        <v>532</v>
      </c>
      <c r="M354" s="276" t="s">
        <v>2190</v>
      </c>
      <c r="N354" s="276" t="s">
        <v>856</v>
      </c>
    </row>
    <row r="355" spans="1:14" ht="66">
      <c r="A355" s="268" t="str">
        <f t="shared" si="5"/>
        <v>Controlling &amp; Corrective Action|Director|2</v>
      </c>
      <c r="B355" s="223" t="s">
        <v>499</v>
      </c>
      <c r="C355" s="79" t="s">
        <v>838</v>
      </c>
      <c r="D355" s="79">
        <v>2</v>
      </c>
      <c r="E355" s="79" t="s">
        <v>545</v>
      </c>
      <c r="F355" s="79">
        <v>3</v>
      </c>
      <c r="G355" s="276" t="s">
        <v>2191</v>
      </c>
      <c r="H355" s="276" t="s">
        <v>2192</v>
      </c>
      <c r="I355" s="276" t="s">
        <v>2193</v>
      </c>
      <c r="J355" s="276" t="s">
        <v>2194</v>
      </c>
      <c r="K355" s="276" t="s">
        <v>531</v>
      </c>
      <c r="L355" s="276" t="s">
        <v>532</v>
      </c>
      <c r="M355" s="276" t="s">
        <v>2195</v>
      </c>
      <c r="N355" s="276" t="s">
        <v>856</v>
      </c>
    </row>
    <row r="356" spans="1:14" ht="82.5">
      <c r="A356" s="268" t="str">
        <f t="shared" si="5"/>
        <v>Controlling &amp; Corrective Action|Director|3</v>
      </c>
      <c r="B356" s="223" t="s">
        <v>499</v>
      </c>
      <c r="C356" s="79" t="s">
        <v>838</v>
      </c>
      <c r="D356" s="79">
        <v>3</v>
      </c>
      <c r="E356" s="79" t="s">
        <v>563</v>
      </c>
      <c r="F356" s="79">
        <v>1</v>
      </c>
      <c r="G356" s="276" t="s">
        <v>2196</v>
      </c>
      <c r="H356" s="276" t="s">
        <v>2197</v>
      </c>
      <c r="I356" s="276" t="s">
        <v>2198</v>
      </c>
      <c r="J356" s="276" t="s">
        <v>2199</v>
      </c>
      <c r="K356" s="276" t="s">
        <v>531</v>
      </c>
      <c r="L356" s="276" t="s">
        <v>532</v>
      </c>
      <c r="M356" s="276" t="s">
        <v>2200</v>
      </c>
      <c r="N356" s="276" t="s">
        <v>534</v>
      </c>
    </row>
    <row r="357" spans="1:14" ht="66">
      <c r="A357" s="268" t="str">
        <f t="shared" si="5"/>
        <v>Controlling &amp; Corrective Action|Director|3</v>
      </c>
      <c r="B357" s="223" t="s">
        <v>499</v>
      </c>
      <c r="C357" s="79" t="s">
        <v>838</v>
      </c>
      <c r="D357" s="79">
        <v>3</v>
      </c>
      <c r="E357" s="79" t="s">
        <v>563</v>
      </c>
      <c r="F357" s="79">
        <v>2</v>
      </c>
      <c r="G357" s="276" t="s">
        <v>2201</v>
      </c>
      <c r="H357" s="276" t="s">
        <v>2202</v>
      </c>
      <c r="I357" s="276" t="s">
        <v>2203</v>
      </c>
      <c r="J357" s="276" t="s">
        <v>757</v>
      </c>
      <c r="K357" s="276" t="s">
        <v>531</v>
      </c>
      <c r="L357" s="276" t="s">
        <v>532</v>
      </c>
      <c r="M357" s="276" t="s">
        <v>2204</v>
      </c>
      <c r="N357" s="276" t="s">
        <v>856</v>
      </c>
    </row>
    <row r="358" spans="1:14" ht="99">
      <c r="A358" s="268" t="str">
        <f t="shared" si="5"/>
        <v>Controlling &amp; Corrective Action|Director|3</v>
      </c>
      <c r="B358" s="223" t="s">
        <v>499</v>
      </c>
      <c r="C358" s="79" t="s">
        <v>838</v>
      </c>
      <c r="D358" s="79">
        <v>3</v>
      </c>
      <c r="E358" s="79" t="s">
        <v>563</v>
      </c>
      <c r="F358" s="79">
        <v>3</v>
      </c>
      <c r="G358" s="276" t="s">
        <v>2205</v>
      </c>
      <c r="H358" s="276" t="s">
        <v>2206</v>
      </c>
      <c r="I358" s="276" t="s">
        <v>2207</v>
      </c>
      <c r="J358" s="276" t="s">
        <v>948</v>
      </c>
      <c r="K358" s="276" t="s">
        <v>531</v>
      </c>
      <c r="L358" s="276" t="s">
        <v>532</v>
      </c>
      <c r="M358" s="276" t="s">
        <v>2208</v>
      </c>
      <c r="N358" s="276" t="s">
        <v>580</v>
      </c>
    </row>
    <row r="359" spans="1:14" ht="82.5">
      <c r="A359" s="268" t="str">
        <f t="shared" si="5"/>
        <v>Controlling &amp; Corrective Action|Director|4</v>
      </c>
      <c r="B359" s="223" t="s">
        <v>499</v>
      </c>
      <c r="C359" s="79" t="s">
        <v>838</v>
      </c>
      <c r="D359" s="79">
        <v>4</v>
      </c>
      <c r="E359" s="79" t="s">
        <v>581</v>
      </c>
      <c r="F359" s="79">
        <v>1</v>
      </c>
      <c r="G359" s="276" t="s">
        <v>2209</v>
      </c>
      <c r="H359" s="276" t="s">
        <v>2210</v>
      </c>
      <c r="I359" s="276" t="s">
        <v>2211</v>
      </c>
      <c r="J359" s="276" t="s">
        <v>2212</v>
      </c>
      <c r="K359" s="276" t="s">
        <v>531</v>
      </c>
      <c r="L359" s="276" t="s">
        <v>532</v>
      </c>
      <c r="M359" s="276" t="s">
        <v>2213</v>
      </c>
      <c r="N359" s="276" t="s">
        <v>856</v>
      </c>
    </row>
    <row r="360" spans="1:14" ht="82.5">
      <c r="A360" s="268" t="str">
        <f t="shared" si="5"/>
        <v>Controlling &amp; Corrective Action|Director|4</v>
      </c>
      <c r="B360" s="223" t="s">
        <v>499</v>
      </c>
      <c r="C360" s="79" t="s">
        <v>838</v>
      </c>
      <c r="D360" s="79">
        <v>4</v>
      </c>
      <c r="E360" s="79" t="s">
        <v>581</v>
      </c>
      <c r="F360" s="79">
        <v>2</v>
      </c>
      <c r="G360" s="276" t="s">
        <v>2214</v>
      </c>
      <c r="H360" s="276" t="s">
        <v>2215</v>
      </c>
      <c r="I360" s="276" t="s">
        <v>2216</v>
      </c>
      <c r="J360" s="276" t="s">
        <v>2217</v>
      </c>
      <c r="K360" s="276" t="s">
        <v>531</v>
      </c>
      <c r="L360" s="276" t="s">
        <v>532</v>
      </c>
      <c r="M360" s="276" t="s">
        <v>2218</v>
      </c>
      <c r="N360" s="276" t="s">
        <v>2219</v>
      </c>
    </row>
    <row r="361" spans="1:14" ht="82.5">
      <c r="A361" s="268" t="str">
        <f t="shared" si="5"/>
        <v>Controlling &amp; Corrective Action|Director|4</v>
      </c>
      <c r="B361" s="223" t="s">
        <v>499</v>
      </c>
      <c r="C361" s="79" t="s">
        <v>838</v>
      </c>
      <c r="D361" s="79">
        <v>4</v>
      </c>
      <c r="E361" s="79" t="s">
        <v>581</v>
      </c>
      <c r="F361" s="79">
        <v>3</v>
      </c>
      <c r="G361" s="276" t="s">
        <v>2220</v>
      </c>
      <c r="H361" s="276" t="s">
        <v>2221</v>
      </c>
      <c r="I361" s="276" t="s">
        <v>2222</v>
      </c>
      <c r="J361" s="276" t="s">
        <v>2223</v>
      </c>
      <c r="K361" s="276" t="s">
        <v>531</v>
      </c>
      <c r="L361" s="276" t="s">
        <v>532</v>
      </c>
      <c r="M361" s="276" t="s">
        <v>2224</v>
      </c>
      <c r="N361" s="276" t="s">
        <v>856</v>
      </c>
    </row>
    <row r="362" spans="1:14" ht="82.5">
      <c r="A362" s="268" t="str">
        <f>B362 &amp; "|" &amp; C362 &amp; "|" &amp; D362</f>
        <v>Customer Focus|Officer|1</v>
      </c>
      <c r="B362" s="223" t="s">
        <v>508</v>
      </c>
      <c r="C362" s="226" t="s">
        <v>4</v>
      </c>
      <c r="D362" s="226">
        <v>1</v>
      </c>
      <c r="E362" s="227" t="s">
        <v>526</v>
      </c>
      <c r="F362" s="227">
        <v>1</v>
      </c>
      <c r="G362" s="276" t="s">
        <v>2225</v>
      </c>
      <c r="H362" s="276" t="s">
        <v>2226</v>
      </c>
      <c r="I362" s="276" t="s">
        <v>2227</v>
      </c>
      <c r="J362" s="276" t="s">
        <v>2228</v>
      </c>
      <c r="K362" s="276" t="s">
        <v>531</v>
      </c>
      <c r="L362" s="276" t="s">
        <v>532</v>
      </c>
      <c r="M362" s="276" t="s">
        <v>2229</v>
      </c>
      <c r="N362" s="276" t="s">
        <v>534</v>
      </c>
    </row>
    <row r="363" spans="1:14" ht="82.5">
      <c r="A363" s="268" t="str">
        <f t="shared" si="5"/>
        <v>Customer Focus|Officer|1</v>
      </c>
      <c r="B363" s="223" t="s">
        <v>508</v>
      </c>
      <c r="C363" s="226" t="s">
        <v>4</v>
      </c>
      <c r="D363" s="226">
        <v>1</v>
      </c>
      <c r="E363" s="227" t="s">
        <v>526</v>
      </c>
      <c r="F363" s="227">
        <v>2</v>
      </c>
      <c r="G363" s="276" t="s">
        <v>2230</v>
      </c>
      <c r="H363" s="276" t="s">
        <v>2231</v>
      </c>
      <c r="I363" s="276" t="s">
        <v>2232</v>
      </c>
      <c r="J363" s="276" t="s">
        <v>2233</v>
      </c>
      <c r="K363" s="276" t="s">
        <v>531</v>
      </c>
      <c r="L363" s="276" t="s">
        <v>532</v>
      </c>
      <c r="M363" s="276" t="s">
        <v>2234</v>
      </c>
      <c r="N363" s="276" t="s">
        <v>534</v>
      </c>
    </row>
    <row r="364" spans="1:14" ht="82.5">
      <c r="A364" s="268" t="str">
        <f t="shared" si="5"/>
        <v>Customer Focus|Officer|1</v>
      </c>
      <c r="B364" s="223" t="s">
        <v>508</v>
      </c>
      <c r="C364" s="226" t="s">
        <v>4</v>
      </c>
      <c r="D364" s="226">
        <v>1</v>
      </c>
      <c r="E364" s="227" t="s">
        <v>526</v>
      </c>
      <c r="F364" s="227">
        <v>3</v>
      </c>
      <c r="G364" s="276" t="s">
        <v>2235</v>
      </c>
      <c r="H364" s="276" t="s">
        <v>2236</v>
      </c>
      <c r="I364" s="276" t="s">
        <v>2237</v>
      </c>
      <c r="J364" s="276" t="s">
        <v>2238</v>
      </c>
      <c r="K364" s="276" t="s">
        <v>531</v>
      </c>
      <c r="L364" s="276" t="s">
        <v>532</v>
      </c>
      <c r="M364" s="276" t="s">
        <v>2239</v>
      </c>
      <c r="N364" s="276" t="s">
        <v>534</v>
      </c>
    </row>
    <row r="365" spans="1:14" ht="66">
      <c r="A365" s="268" t="str">
        <f t="shared" si="5"/>
        <v>Customer Focus|Officer|2</v>
      </c>
      <c r="B365" s="223" t="s">
        <v>508</v>
      </c>
      <c r="C365" s="226" t="s">
        <v>4</v>
      </c>
      <c r="D365" s="227">
        <v>2</v>
      </c>
      <c r="E365" s="227" t="s">
        <v>545</v>
      </c>
      <c r="F365" s="227">
        <v>1</v>
      </c>
      <c r="G365" s="276" t="s">
        <v>1894</v>
      </c>
      <c r="H365" s="276" t="s">
        <v>1895</v>
      </c>
      <c r="I365" s="276" t="s">
        <v>2240</v>
      </c>
      <c r="J365" s="276" t="s">
        <v>1897</v>
      </c>
      <c r="K365" s="276" t="s">
        <v>531</v>
      </c>
      <c r="L365" s="276" t="s">
        <v>532</v>
      </c>
      <c r="M365" s="276" t="s">
        <v>2241</v>
      </c>
      <c r="N365" s="276" t="s">
        <v>551</v>
      </c>
    </row>
    <row r="366" spans="1:14" ht="66">
      <c r="A366" s="268" t="str">
        <f t="shared" si="5"/>
        <v>Customer Focus|Officer|2</v>
      </c>
      <c r="B366" s="223" t="s">
        <v>508</v>
      </c>
      <c r="C366" s="226" t="s">
        <v>4</v>
      </c>
      <c r="D366" s="227">
        <v>2</v>
      </c>
      <c r="E366" s="227" t="s">
        <v>545</v>
      </c>
      <c r="F366" s="227">
        <v>2</v>
      </c>
      <c r="G366" s="276" t="s">
        <v>1899</v>
      </c>
      <c r="H366" s="276" t="s">
        <v>1900</v>
      </c>
      <c r="I366" s="276" t="s">
        <v>2242</v>
      </c>
      <c r="J366" s="276" t="s">
        <v>2243</v>
      </c>
      <c r="K366" s="276" t="s">
        <v>531</v>
      </c>
      <c r="L366" s="276" t="s">
        <v>532</v>
      </c>
      <c r="M366" s="276" t="s">
        <v>2244</v>
      </c>
      <c r="N366" s="276" t="s">
        <v>534</v>
      </c>
    </row>
    <row r="367" spans="1:14" ht="49.5">
      <c r="A367" s="268" t="str">
        <f t="shared" si="5"/>
        <v>Customer Focus|Officer|2</v>
      </c>
      <c r="B367" s="223" t="s">
        <v>508</v>
      </c>
      <c r="C367" s="226" t="s">
        <v>4</v>
      </c>
      <c r="D367" s="227">
        <v>2</v>
      </c>
      <c r="E367" s="227" t="s">
        <v>545</v>
      </c>
      <c r="F367" s="227">
        <v>3</v>
      </c>
      <c r="G367" s="276" t="s">
        <v>2245</v>
      </c>
      <c r="H367" s="276" t="s">
        <v>2246</v>
      </c>
      <c r="I367" s="276" t="s">
        <v>2247</v>
      </c>
      <c r="J367" s="276" t="s">
        <v>2248</v>
      </c>
      <c r="K367" s="276" t="s">
        <v>531</v>
      </c>
      <c r="L367" s="276" t="s">
        <v>532</v>
      </c>
      <c r="M367" s="276" t="s">
        <v>2249</v>
      </c>
      <c r="N367" s="276" t="s">
        <v>562</v>
      </c>
    </row>
    <row r="368" spans="1:14" ht="115.5">
      <c r="A368" s="268" t="str">
        <f t="shared" si="5"/>
        <v>Customer Focus|Officer|3</v>
      </c>
      <c r="B368" s="223" t="s">
        <v>508</v>
      </c>
      <c r="C368" s="226" t="s">
        <v>4</v>
      </c>
      <c r="D368" s="227">
        <v>3</v>
      </c>
      <c r="E368" s="227" t="s">
        <v>563</v>
      </c>
      <c r="F368" s="227">
        <v>1</v>
      </c>
      <c r="G368" s="276" t="s">
        <v>1909</v>
      </c>
      <c r="H368" s="276" t="s">
        <v>2250</v>
      </c>
      <c r="I368" s="276" t="s">
        <v>2251</v>
      </c>
      <c r="J368" s="276" t="s">
        <v>1912</v>
      </c>
      <c r="K368" s="276" t="s">
        <v>531</v>
      </c>
      <c r="L368" s="276" t="s">
        <v>532</v>
      </c>
      <c r="M368" s="276" t="s">
        <v>2252</v>
      </c>
      <c r="N368" s="276" t="s">
        <v>1914</v>
      </c>
    </row>
    <row r="369" spans="1:14" ht="99">
      <c r="A369" s="268" t="str">
        <f t="shared" si="5"/>
        <v>Customer Focus|Officer|3</v>
      </c>
      <c r="B369" s="223" t="s">
        <v>508</v>
      </c>
      <c r="C369" s="226" t="s">
        <v>4</v>
      </c>
      <c r="D369" s="227">
        <v>3</v>
      </c>
      <c r="E369" s="227" t="s">
        <v>563</v>
      </c>
      <c r="F369" s="227">
        <v>2</v>
      </c>
      <c r="G369" s="276" t="s">
        <v>2253</v>
      </c>
      <c r="H369" s="276" t="s">
        <v>1916</v>
      </c>
      <c r="I369" s="276" t="s">
        <v>2254</v>
      </c>
      <c r="J369" s="276" t="s">
        <v>1918</v>
      </c>
      <c r="K369" s="276" t="s">
        <v>531</v>
      </c>
      <c r="L369" s="276" t="s">
        <v>532</v>
      </c>
      <c r="M369" s="276" t="s">
        <v>2255</v>
      </c>
      <c r="N369" s="276" t="s">
        <v>562</v>
      </c>
    </row>
    <row r="370" spans="1:14" ht="99">
      <c r="A370" s="268" t="str">
        <f t="shared" si="5"/>
        <v>Customer Focus|Officer|3</v>
      </c>
      <c r="B370" s="223" t="s">
        <v>508</v>
      </c>
      <c r="C370" s="226" t="s">
        <v>4</v>
      </c>
      <c r="D370" s="227">
        <v>3</v>
      </c>
      <c r="E370" s="227" t="s">
        <v>563</v>
      </c>
      <c r="F370" s="227">
        <v>3</v>
      </c>
      <c r="G370" s="276" t="s">
        <v>1920</v>
      </c>
      <c r="H370" s="276" t="s">
        <v>1921</v>
      </c>
      <c r="I370" s="276" t="s">
        <v>2256</v>
      </c>
      <c r="J370" s="276" t="s">
        <v>948</v>
      </c>
      <c r="K370" s="276" t="s">
        <v>531</v>
      </c>
      <c r="L370" s="276" t="s">
        <v>532</v>
      </c>
      <c r="M370" s="276" t="s">
        <v>2257</v>
      </c>
      <c r="N370" s="276" t="s">
        <v>580</v>
      </c>
    </row>
    <row r="371" spans="1:14" ht="82.5">
      <c r="A371" s="268" t="str">
        <f t="shared" si="5"/>
        <v>Customer Focus|Officer|4</v>
      </c>
      <c r="B371" s="223" t="s">
        <v>508</v>
      </c>
      <c r="C371" s="226" t="s">
        <v>4</v>
      </c>
      <c r="D371" s="227">
        <v>4</v>
      </c>
      <c r="E371" s="227" t="s">
        <v>581</v>
      </c>
      <c r="F371" s="227">
        <v>1</v>
      </c>
      <c r="G371" s="276" t="s">
        <v>1924</v>
      </c>
      <c r="H371" s="276" t="s">
        <v>2258</v>
      </c>
      <c r="I371" s="276" t="s">
        <v>2259</v>
      </c>
      <c r="J371" s="276" t="s">
        <v>2260</v>
      </c>
      <c r="K371" s="276" t="s">
        <v>531</v>
      </c>
      <c r="L371" s="276" t="s">
        <v>532</v>
      </c>
      <c r="M371" s="276" t="s">
        <v>2261</v>
      </c>
      <c r="N371" s="276" t="s">
        <v>562</v>
      </c>
    </row>
    <row r="372" spans="1:14" ht="82.5">
      <c r="A372" s="268" t="str">
        <f t="shared" si="5"/>
        <v>Customer Focus|Officer|4</v>
      </c>
      <c r="B372" s="223" t="s">
        <v>508</v>
      </c>
      <c r="C372" s="226" t="s">
        <v>4</v>
      </c>
      <c r="D372" s="227">
        <v>4</v>
      </c>
      <c r="E372" s="227" t="s">
        <v>581</v>
      </c>
      <c r="F372" s="227">
        <v>2</v>
      </c>
      <c r="G372" s="276" t="s">
        <v>1929</v>
      </c>
      <c r="H372" s="276" t="s">
        <v>1930</v>
      </c>
      <c r="I372" s="276" t="s">
        <v>2262</v>
      </c>
      <c r="J372" s="276" t="s">
        <v>2263</v>
      </c>
      <c r="K372" s="276" t="s">
        <v>531</v>
      </c>
      <c r="L372" s="276" t="s">
        <v>532</v>
      </c>
      <c r="M372" s="276" t="s">
        <v>2264</v>
      </c>
      <c r="N372" s="276" t="s">
        <v>1914</v>
      </c>
    </row>
    <row r="373" spans="1:14" ht="99">
      <c r="A373" s="268" t="str">
        <f t="shared" si="5"/>
        <v>Customer Focus|Officer|4</v>
      </c>
      <c r="B373" s="223" t="s">
        <v>508</v>
      </c>
      <c r="C373" s="226" t="s">
        <v>4</v>
      </c>
      <c r="D373" s="227">
        <v>4</v>
      </c>
      <c r="E373" s="227" t="s">
        <v>581</v>
      </c>
      <c r="F373" s="227">
        <v>3</v>
      </c>
      <c r="G373" s="276" t="s">
        <v>1934</v>
      </c>
      <c r="H373" s="276" t="s">
        <v>1935</v>
      </c>
      <c r="I373" s="276" t="s">
        <v>2265</v>
      </c>
      <c r="J373" s="276" t="s">
        <v>2266</v>
      </c>
      <c r="K373" s="276" t="s">
        <v>531</v>
      </c>
      <c r="L373" s="276" t="s">
        <v>532</v>
      </c>
      <c r="M373" s="276" t="s">
        <v>2267</v>
      </c>
      <c r="N373" s="276" t="s">
        <v>562</v>
      </c>
    </row>
    <row r="374" spans="1:14" ht="99">
      <c r="A374" s="268" t="str">
        <f t="shared" si="5"/>
        <v>Customer Focus|Analyst|1</v>
      </c>
      <c r="B374" s="223" t="s">
        <v>508</v>
      </c>
      <c r="C374" s="226" t="s">
        <v>6</v>
      </c>
      <c r="D374" s="226">
        <v>1</v>
      </c>
      <c r="E374" s="227" t="s">
        <v>526</v>
      </c>
      <c r="F374" s="227">
        <v>1</v>
      </c>
      <c r="G374" s="276" t="s">
        <v>2268</v>
      </c>
      <c r="H374" s="276" t="s">
        <v>2269</v>
      </c>
      <c r="I374" s="276" t="s">
        <v>2270</v>
      </c>
      <c r="J374" s="276" t="s">
        <v>2271</v>
      </c>
      <c r="K374" s="276" t="s">
        <v>531</v>
      </c>
      <c r="L374" s="276" t="s">
        <v>532</v>
      </c>
      <c r="M374" s="276" t="s">
        <v>2272</v>
      </c>
      <c r="N374" s="276" t="s">
        <v>534</v>
      </c>
    </row>
    <row r="375" spans="1:14" ht="99">
      <c r="A375" s="268" t="str">
        <f t="shared" si="5"/>
        <v>Customer Focus|Analyst|1</v>
      </c>
      <c r="B375" s="223" t="s">
        <v>508</v>
      </c>
      <c r="C375" s="226" t="s">
        <v>6</v>
      </c>
      <c r="D375" s="226">
        <v>1</v>
      </c>
      <c r="E375" s="227" t="s">
        <v>526</v>
      </c>
      <c r="F375" s="227">
        <v>2</v>
      </c>
      <c r="G375" s="276" t="s">
        <v>2273</v>
      </c>
      <c r="H375" s="276" t="s">
        <v>2274</v>
      </c>
      <c r="I375" s="276" t="s">
        <v>2275</v>
      </c>
      <c r="J375" s="276" t="s">
        <v>2276</v>
      </c>
      <c r="K375" s="276" t="s">
        <v>531</v>
      </c>
      <c r="L375" s="276" t="s">
        <v>532</v>
      </c>
      <c r="M375" s="276" t="s">
        <v>2277</v>
      </c>
      <c r="N375" s="276" t="s">
        <v>534</v>
      </c>
    </row>
    <row r="376" spans="1:14" ht="82.5">
      <c r="A376" s="268" t="str">
        <f t="shared" si="5"/>
        <v>Customer Focus|Analyst|1</v>
      </c>
      <c r="B376" s="223" t="s">
        <v>508</v>
      </c>
      <c r="C376" s="226" t="s">
        <v>6</v>
      </c>
      <c r="D376" s="226">
        <v>1</v>
      </c>
      <c r="E376" s="227" t="s">
        <v>526</v>
      </c>
      <c r="F376" s="227">
        <v>3</v>
      </c>
      <c r="G376" s="276" t="s">
        <v>2278</v>
      </c>
      <c r="H376" s="276" t="s">
        <v>2279</v>
      </c>
      <c r="I376" s="276" t="s">
        <v>2280</v>
      </c>
      <c r="J376" s="276" t="s">
        <v>2281</v>
      </c>
      <c r="K376" s="276" t="s">
        <v>531</v>
      </c>
      <c r="L376" s="276" t="s">
        <v>532</v>
      </c>
      <c r="M376" s="276" t="s">
        <v>2282</v>
      </c>
      <c r="N376" s="276" t="s">
        <v>534</v>
      </c>
    </row>
    <row r="377" spans="1:14" ht="82.5">
      <c r="A377" s="268" t="str">
        <f t="shared" si="5"/>
        <v>Customer Focus|Analyst|2</v>
      </c>
      <c r="B377" s="223" t="s">
        <v>508</v>
      </c>
      <c r="C377" s="226" t="s">
        <v>6</v>
      </c>
      <c r="D377" s="227">
        <v>2</v>
      </c>
      <c r="E377" s="227" t="s">
        <v>545</v>
      </c>
      <c r="F377" s="227">
        <v>1</v>
      </c>
      <c r="G377" s="276" t="s">
        <v>2283</v>
      </c>
      <c r="H377" s="276" t="s">
        <v>2284</v>
      </c>
      <c r="I377" s="276" t="s">
        <v>2285</v>
      </c>
      <c r="J377" s="276" t="s">
        <v>2286</v>
      </c>
      <c r="K377" s="276" t="s">
        <v>531</v>
      </c>
      <c r="L377" s="276" t="s">
        <v>532</v>
      </c>
      <c r="M377" s="276" t="s">
        <v>2287</v>
      </c>
      <c r="N377" s="276" t="s">
        <v>2288</v>
      </c>
    </row>
    <row r="378" spans="1:14" ht="66">
      <c r="A378" s="268" t="str">
        <f t="shared" si="5"/>
        <v>Customer Focus|Analyst|2</v>
      </c>
      <c r="B378" s="223" t="s">
        <v>508</v>
      </c>
      <c r="C378" s="226" t="s">
        <v>6</v>
      </c>
      <c r="D378" s="227">
        <v>2</v>
      </c>
      <c r="E378" s="227" t="s">
        <v>545</v>
      </c>
      <c r="F378" s="227">
        <v>2</v>
      </c>
      <c r="G378" s="276" t="s">
        <v>2289</v>
      </c>
      <c r="H378" s="276" t="s">
        <v>2290</v>
      </c>
      <c r="I378" s="276" t="s">
        <v>2291</v>
      </c>
      <c r="J378" s="276" t="s">
        <v>2292</v>
      </c>
      <c r="K378" s="276" t="s">
        <v>531</v>
      </c>
      <c r="L378" s="276" t="s">
        <v>532</v>
      </c>
      <c r="M378" s="276" t="s">
        <v>2293</v>
      </c>
      <c r="N378" s="276" t="s">
        <v>2294</v>
      </c>
    </row>
    <row r="379" spans="1:14" ht="66">
      <c r="A379" s="268" t="str">
        <f t="shared" si="5"/>
        <v>Customer Focus|Analyst|2</v>
      </c>
      <c r="B379" s="223" t="s">
        <v>508</v>
      </c>
      <c r="C379" s="226" t="s">
        <v>6</v>
      </c>
      <c r="D379" s="227">
        <v>2</v>
      </c>
      <c r="E379" s="227" t="s">
        <v>545</v>
      </c>
      <c r="F379" s="227">
        <v>3</v>
      </c>
      <c r="G379" s="276" t="s">
        <v>2295</v>
      </c>
      <c r="H379" s="276" t="s">
        <v>2296</v>
      </c>
      <c r="I379" s="276" t="s">
        <v>2297</v>
      </c>
      <c r="J379" s="276" t="s">
        <v>2298</v>
      </c>
      <c r="K379" s="276" t="s">
        <v>531</v>
      </c>
      <c r="L379" s="276" t="s">
        <v>532</v>
      </c>
      <c r="M379" s="276" t="s">
        <v>2299</v>
      </c>
      <c r="N379" s="276" t="s">
        <v>2294</v>
      </c>
    </row>
    <row r="380" spans="1:14" ht="82.5">
      <c r="A380" s="268" t="str">
        <f t="shared" si="5"/>
        <v>Customer Focus|Analyst|3</v>
      </c>
      <c r="B380" s="223" t="s">
        <v>508</v>
      </c>
      <c r="C380" s="226" t="s">
        <v>6</v>
      </c>
      <c r="D380" s="227">
        <v>3</v>
      </c>
      <c r="E380" s="227" t="s">
        <v>563</v>
      </c>
      <c r="F380" s="227">
        <v>1</v>
      </c>
      <c r="G380" s="276" t="s">
        <v>2300</v>
      </c>
      <c r="H380" s="276" t="s">
        <v>2301</v>
      </c>
      <c r="I380" s="276" t="s">
        <v>2302</v>
      </c>
      <c r="J380" s="276" t="s">
        <v>2303</v>
      </c>
      <c r="K380" s="276" t="s">
        <v>531</v>
      </c>
      <c r="L380" s="276" t="s">
        <v>532</v>
      </c>
      <c r="M380" s="276" t="s">
        <v>2304</v>
      </c>
      <c r="N380" s="276" t="s">
        <v>534</v>
      </c>
    </row>
    <row r="381" spans="1:14" ht="82.5">
      <c r="A381" s="268" t="str">
        <f t="shared" si="5"/>
        <v>Customer Focus|Analyst|3</v>
      </c>
      <c r="B381" s="223" t="s">
        <v>508</v>
      </c>
      <c r="C381" s="226" t="s">
        <v>6</v>
      </c>
      <c r="D381" s="227">
        <v>3</v>
      </c>
      <c r="E381" s="227" t="s">
        <v>563</v>
      </c>
      <c r="F381" s="227">
        <v>2</v>
      </c>
      <c r="G381" s="276" t="s">
        <v>2305</v>
      </c>
      <c r="H381" s="276" t="s">
        <v>2306</v>
      </c>
      <c r="I381" s="276" t="s">
        <v>2307</v>
      </c>
      <c r="J381" s="276" t="s">
        <v>2308</v>
      </c>
      <c r="K381" s="276" t="s">
        <v>531</v>
      </c>
      <c r="L381" s="276" t="s">
        <v>532</v>
      </c>
      <c r="M381" s="276" t="s">
        <v>2309</v>
      </c>
      <c r="N381" s="276" t="s">
        <v>562</v>
      </c>
    </row>
    <row r="382" spans="1:14" ht="115.5">
      <c r="A382" s="268" t="str">
        <f t="shared" si="5"/>
        <v>Customer Focus|Analyst|3</v>
      </c>
      <c r="B382" s="223" t="s">
        <v>508</v>
      </c>
      <c r="C382" s="226" t="s">
        <v>6</v>
      </c>
      <c r="D382" s="227">
        <v>3</v>
      </c>
      <c r="E382" s="227" t="s">
        <v>563</v>
      </c>
      <c r="F382" s="227">
        <v>3</v>
      </c>
      <c r="G382" s="276" t="s">
        <v>2310</v>
      </c>
      <c r="H382" s="276" t="s">
        <v>2311</v>
      </c>
      <c r="I382" s="276" t="s">
        <v>2312</v>
      </c>
      <c r="J382" s="276" t="s">
        <v>2313</v>
      </c>
      <c r="K382" s="276" t="s">
        <v>531</v>
      </c>
      <c r="L382" s="276" t="s">
        <v>532</v>
      </c>
      <c r="M382" s="276" t="s">
        <v>2314</v>
      </c>
      <c r="N382" s="276" t="s">
        <v>580</v>
      </c>
    </row>
    <row r="383" spans="1:14" ht="115.5">
      <c r="A383" s="268" t="str">
        <f t="shared" si="5"/>
        <v>Customer Focus|Analyst|4</v>
      </c>
      <c r="B383" s="223" t="s">
        <v>508</v>
      </c>
      <c r="C383" s="226" t="s">
        <v>6</v>
      </c>
      <c r="D383" s="227">
        <v>4</v>
      </c>
      <c r="E383" s="227" t="s">
        <v>581</v>
      </c>
      <c r="F383" s="227">
        <v>1</v>
      </c>
      <c r="G383" s="276" t="s">
        <v>2315</v>
      </c>
      <c r="H383" s="276" t="s">
        <v>2316</v>
      </c>
      <c r="I383" s="276" t="s">
        <v>2317</v>
      </c>
      <c r="J383" s="276" t="s">
        <v>2318</v>
      </c>
      <c r="K383" s="276" t="s">
        <v>531</v>
      </c>
      <c r="L383" s="276" t="s">
        <v>532</v>
      </c>
      <c r="M383" s="276" t="s">
        <v>2319</v>
      </c>
      <c r="N383" s="276" t="s">
        <v>562</v>
      </c>
    </row>
    <row r="384" spans="1:14" ht="82.5">
      <c r="A384" s="268" t="str">
        <f t="shared" si="5"/>
        <v>Customer Focus|Analyst|4</v>
      </c>
      <c r="B384" s="223" t="s">
        <v>508</v>
      </c>
      <c r="C384" s="226" t="s">
        <v>6</v>
      </c>
      <c r="D384" s="227">
        <v>4</v>
      </c>
      <c r="E384" s="227" t="s">
        <v>581</v>
      </c>
      <c r="F384" s="227">
        <v>2</v>
      </c>
      <c r="G384" s="276" t="s">
        <v>2320</v>
      </c>
      <c r="H384" s="276" t="s">
        <v>2321</v>
      </c>
      <c r="I384" s="276" t="s">
        <v>2322</v>
      </c>
      <c r="J384" s="276" t="s">
        <v>2323</v>
      </c>
      <c r="K384" s="276" t="s">
        <v>531</v>
      </c>
      <c r="L384" s="276" t="s">
        <v>532</v>
      </c>
      <c r="M384" s="276" t="s">
        <v>2324</v>
      </c>
      <c r="N384" s="276" t="s">
        <v>562</v>
      </c>
    </row>
    <row r="385" spans="1:14" ht="99">
      <c r="A385" s="268" t="str">
        <f t="shared" si="5"/>
        <v>Customer Focus|Analyst|4</v>
      </c>
      <c r="B385" s="223" t="s">
        <v>508</v>
      </c>
      <c r="C385" s="226" t="s">
        <v>6</v>
      </c>
      <c r="D385" s="227">
        <v>4</v>
      </c>
      <c r="E385" s="227" t="s">
        <v>581</v>
      </c>
      <c r="F385" s="227">
        <v>3</v>
      </c>
      <c r="G385" s="276" t="s">
        <v>2325</v>
      </c>
      <c r="H385" s="276" t="s">
        <v>2326</v>
      </c>
      <c r="I385" s="276" t="s">
        <v>2327</v>
      </c>
      <c r="J385" s="276" t="s">
        <v>2328</v>
      </c>
      <c r="K385" s="276" t="s">
        <v>531</v>
      </c>
      <c r="L385" s="276" t="s">
        <v>532</v>
      </c>
      <c r="M385" s="276" t="s">
        <v>2329</v>
      </c>
      <c r="N385" s="276" t="s">
        <v>1508</v>
      </c>
    </row>
    <row r="386" spans="1:14" ht="115.5">
      <c r="A386" s="268" t="str">
        <f t="shared" si="5"/>
        <v>Customer Focus|Unit Head/Specialist|1</v>
      </c>
      <c r="B386" s="223" t="s">
        <v>508</v>
      </c>
      <c r="C386" s="227" t="s">
        <v>13</v>
      </c>
      <c r="D386" s="226">
        <v>1</v>
      </c>
      <c r="E386" s="227" t="s">
        <v>526</v>
      </c>
      <c r="F386" s="227">
        <v>1</v>
      </c>
      <c r="G386" s="276" t="s">
        <v>2330</v>
      </c>
      <c r="H386" s="276" t="s">
        <v>2331</v>
      </c>
      <c r="I386" s="276" t="s">
        <v>2332</v>
      </c>
      <c r="J386" s="276" t="s">
        <v>2333</v>
      </c>
      <c r="K386" s="276" t="s">
        <v>531</v>
      </c>
      <c r="L386" s="276" t="s">
        <v>532</v>
      </c>
      <c r="M386" s="276" t="s">
        <v>2334</v>
      </c>
      <c r="N386" s="276" t="s">
        <v>534</v>
      </c>
    </row>
    <row r="387" spans="1:14" ht="99">
      <c r="A387" s="268" t="str">
        <f t="shared" ref="A387:A450" si="6">B387 &amp; "|" &amp; C387 &amp; "|" &amp; D387</f>
        <v>Customer Focus|Unit Head/Specialist|1</v>
      </c>
      <c r="B387" s="223" t="s">
        <v>508</v>
      </c>
      <c r="C387" s="227" t="s">
        <v>13</v>
      </c>
      <c r="D387" s="226">
        <v>1</v>
      </c>
      <c r="E387" s="227" t="s">
        <v>526</v>
      </c>
      <c r="F387" s="227">
        <v>2</v>
      </c>
      <c r="G387" s="276" t="s">
        <v>2335</v>
      </c>
      <c r="H387" s="276" t="s">
        <v>2336</v>
      </c>
      <c r="I387" s="276" t="s">
        <v>2337</v>
      </c>
      <c r="J387" s="276" t="s">
        <v>2338</v>
      </c>
      <c r="K387" s="276" t="s">
        <v>531</v>
      </c>
      <c r="L387" s="276" t="s">
        <v>532</v>
      </c>
      <c r="M387" s="276" t="s">
        <v>2339</v>
      </c>
      <c r="N387" s="276" t="s">
        <v>1508</v>
      </c>
    </row>
    <row r="388" spans="1:14" ht="82.5">
      <c r="A388" s="268" t="str">
        <f t="shared" si="6"/>
        <v>Customer Focus|Unit Head/Specialist|1</v>
      </c>
      <c r="B388" s="223" t="s">
        <v>508</v>
      </c>
      <c r="C388" s="227" t="s">
        <v>13</v>
      </c>
      <c r="D388" s="226">
        <v>1</v>
      </c>
      <c r="E388" s="227" t="s">
        <v>526</v>
      </c>
      <c r="F388" s="227">
        <v>3</v>
      </c>
      <c r="G388" s="276" t="s">
        <v>2340</v>
      </c>
      <c r="H388" s="276" t="s">
        <v>2341</v>
      </c>
      <c r="I388" s="276" t="s">
        <v>2342</v>
      </c>
      <c r="J388" s="276" t="s">
        <v>2343</v>
      </c>
      <c r="K388" s="276" t="s">
        <v>531</v>
      </c>
      <c r="L388" s="276" t="s">
        <v>532</v>
      </c>
      <c r="M388" s="276" t="s">
        <v>2344</v>
      </c>
      <c r="N388" s="276" t="s">
        <v>534</v>
      </c>
    </row>
    <row r="389" spans="1:14" ht="66">
      <c r="A389" s="268" t="str">
        <f t="shared" si="6"/>
        <v>Customer Focus|Unit Head/Specialist|2</v>
      </c>
      <c r="B389" s="223" t="s">
        <v>508</v>
      </c>
      <c r="C389" s="227" t="s">
        <v>13</v>
      </c>
      <c r="D389" s="227">
        <v>2</v>
      </c>
      <c r="E389" s="227" t="s">
        <v>545</v>
      </c>
      <c r="F389" s="227">
        <v>1</v>
      </c>
      <c r="G389" s="276" t="s">
        <v>2345</v>
      </c>
      <c r="H389" s="276" t="s">
        <v>2346</v>
      </c>
      <c r="I389" s="276" t="s">
        <v>2347</v>
      </c>
      <c r="J389" s="276" t="s">
        <v>2348</v>
      </c>
      <c r="K389" s="276" t="s">
        <v>531</v>
      </c>
      <c r="L389" s="276" t="s">
        <v>532</v>
      </c>
      <c r="M389" s="276" t="s">
        <v>2349</v>
      </c>
      <c r="N389" s="276" t="s">
        <v>551</v>
      </c>
    </row>
    <row r="390" spans="1:14" ht="66">
      <c r="A390" s="268" t="str">
        <f t="shared" si="6"/>
        <v>Customer Focus|Unit Head/Specialist|2</v>
      </c>
      <c r="B390" s="223" t="s">
        <v>508</v>
      </c>
      <c r="C390" s="227" t="s">
        <v>13</v>
      </c>
      <c r="D390" s="227">
        <v>2</v>
      </c>
      <c r="E390" s="227" t="s">
        <v>545</v>
      </c>
      <c r="F390" s="227">
        <v>2</v>
      </c>
      <c r="G390" s="276" t="s">
        <v>2350</v>
      </c>
      <c r="H390" s="276" t="s">
        <v>2351</v>
      </c>
      <c r="I390" s="276" t="s">
        <v>2352</v>
      </c>
      <c r="J390" s="276" t="s">
        <v>2353</v>
      </c>
      <c r="K390" s="276" t="s">
        <v>531</v>
      </c>
      <c r="L390" s="276" t="s">
        <v>532</v>
      </c>
      <c r="M390" s="276" t="s">
        <v>2354</v>
      </c>
      <c r="N390" s="276" t="s">
        <v>2294</v>
      </c>
    </row>
    <row r="391" spans="1:14" ht="49.5">
      <c r="A391" s="268" t="str">
        <f t="shared" si="6"/>
        <v>Customer Focus|Unit Head/Specialist|2</v>
      </c>
      <c r="B391" s="223" t="s">
        <v>508</v>
      </c>
      <c r="C391" s="227" t="s">
        <v>13</v>
      </c>
      <c r="D391" s="227">
        <v>2</v>
      </c>
      <c r="E391" s="227" t="s">
        <v>545</v>
      </c>
      <c r="F391" s="227">
        <v>3</v>
      </c>
      <c r="G391" s="276" t="s">
        <v>2355</v>
      </c>
      <c r="H391" s="276" t="s">
        <v>2356</v>
      </c>
      <c r="I391" s="276" t="s">
        <v>2357</v>
      </c>
      <c r="J391" s="276" t="s">
        <v>2358</v>
      </c>
      <c r="K391" s="276" t="s">
        <v>531</v>
      </c>
      <c r="L391" s="276" t="s">
        <v>532</v>
      </c>
      <c r="M391" s="276" t="s">
        <v>2359</v>
      </c>
      <c r="N391" s="276" t="s">
        <v>562</v>
      </c>
    </row>
    <row r="392" spans="1:14" ht="82.5">
      <c r="A392" s="268" t="str">
        <f t="shared" si="6"/>
        <v>Customer Focus|Unit Head/Specialist|3</v>
      </c>
      <c r="B392" s="223" t="s">
        <v>508</v>
      </c>
      <c r="C392" s="227" t="s">
        <v>13</v>
      </c>
      <c r="D392" s="227">
        <v>3</v>
      </c>
      <c r="E392" s="227" t="s">
        <v>563</v>
      </c>
      <c r="F392" s="227">
        <v>1</v>
      </c>
      <c r="G392" s="276" t="s">
        <v>2360</v>
      </c>
      <c r="H392" s="276" t="s">
        <v>2361</v>
      </c>
      <c r="I392" s="276" t="s">
        <v>2362</v>
      </c>
      <c r="J392" s="276" t="s">
        <v>2363</v>
      </c>
      <c r="K392" s="276" t="s">
        <v>531</v>
      </c>
      <c r="L392" s="276" t="s">
        <v>532</v>
      </c>
      <c r="M392" s="276" t="s">
        <v>2364</v>
      </c>
      <c r="N392" s="276" t="s">
        <v>534</v>
      </c>
    </row>
    <row r="393" spans="1:14" ht="82.5">
      <c r="A393" s="268" t="str">
        <f t="shared" si="6"/>
        <v>Customer Focus|Unit Head/Specialist|3</v>
      </c>
      <c r="B393" s="223" t="s">
        <v>508</v>
      </c>
      <c r="C393" s="227" t="s">
        <v>13</v>
      </c>
      <c r="D393" s="227">
        <v>3</v>
      </c>
      <c r="E393" s="227" t="s">
        <v>563</v>
      </c>
      <c r="F393" s="227">
        <v>2</v>
      </c>
      <c r="G393" s="276" t="s">
        <v>2365</v>
      </c>
      <c r="H393" s="276" t="s">
        <v>2366</v>
      </c>
      <c r="I393" s="276" t="s">
        <v>2367</v>
      </c>
      <c r="J393" s="276" t="s">
        <v>2368</v>
      </c>
      <c r="K393" s="276" t="s">
        <v>531</v>
      </c>
      <c r="L393" s="276" t="s">
        <v>532</v>
      </c>
      <c r="M393" s="276" t="s">
        <v>2369</v>
      </c>
      <c r="N393" s="276" t="s">
        <v>562</v>
      </c>
    </row>
    <row r="394" spans="1:14" ht="132">
      <c r="A394" s="268" t="str">
        <f t="shared" si="6"/>
        <v>Customer Focus|Unit Head/Specialist|3</v>
      </c>
      <c r="B394" s="223" t="s">
        <v>508</v>
      </c>
      <c r="C394" s="227" t="s">
        <v>13</v>
      </c>
      <c r="D394" s="227">
        <v>3</v>
      </c>
      <c r="E394" s="227" t="s">
        <v>563</v>
      </c>
      <c r="F394" s="227">
        <v>3</v>
      </c>
      <c r="G394" s="276" t="s">
        <v>2370</v>
      </c>
      <c r="H394" s="276" t="s">
        <v>2371</v>
      </c>
      <c r="I394" s="276" t="s">
        <v>2372</v>
      </c>
      <c r="J394" s="276" t="s">
        <v>2373</v>
      </c>
      <c r="K394" s="276" t="s">
        <v>531</v>
      </c>
      <c r="L394" s="276" t="s">
        <v>532</v>
      </c>
      <c r="M394" s="276" t="s">
        <v>2374</v>
      </c>
      <c r="N394" s="276" t="s">
        <v>580</v>
      </c>
    </row>
    <row r="395" spans="1:14" ht="99">
      <c r="A395" s="268" t="str">
        <f t="shared" si="6"/>
        <v>Customer Focus|Unit Head/Specialist|4</v>
      </c>
      <c r="B395" s="223" t="s">
        <v>508</v>
      </c>
      <c r="C395" s="227" t="s">
        <v>13</v>
      </c>
      <c r="D395" s="227">
        <v>4</v>
      </c>
      <c r="E395" s="227" t="s">
        <v>581</v>
      </c>
      <c r="F395" s="227">
        <v>1</v>
      </c>
      <c r="G395" s="276" t="s">
        <v>2375</v>
      </c>
      <c r="H395" s="276" t="s">
        <v>2376</v>
      </c>
      <c r="I395" s="276" t="s">
        <v>2377</v>
      </c>
      <c r="J395" s="276" t="s">
        <v>2378</v>
      </c>
      <c r="K395" s="276" t="s">
        <v>531</v>
      </c>
      <c r="L395" s="276" t="s">
        <v>532</v>
      </c>
      <c r="M395" s="276" t="s">
        <v>2379</v>
      </c>
      <c r="N395" s="276" t="s">
        <v>562</v>
      </c>
    </row>
    <row r="396" spans="1:14" ht="82.5">
      <c r="A396" s="268" t="str">
        <f t="shared" si="6"/>
        <v>Customer Focus|Unit Head/Specialist|4</v>
      </c>
      <c r="B396" s="223" t="s">
        <v>508</v>
      </c>
      <c r="C396" s="227" t="s">
        <v>13</v>
      </c>
      <c r="D396" s="227">
        <v>4</v>
      </c>
      <c r="E396" s="227" t="s">
        <v>581</v>
      </c>
      <c r="F396" s="227">
        <v>2</v>
      </c>
      <c r="G396" s="276" t="s">
        <v>2380</v>
      </c>
      <c r="H396" s="276" t="s">
        <v>2381</v>
      </c>
      <c r="I396" s="276" t="s">
        <v>2382</v>
      </c>
      <c r="J396" s="276" t="s">
        <v>2383</v>
      </c>
      <c r="K396" s="276" t="s">
        <v>531</v>
      </c>
      <c r="L396" s="276" t="s">
        <v>532</v>
      </c>
      <c r="M396" s="276" t="s">
        <v>2384</v>
      </c>
      <c r="N396" s="276" t="s">
        <v>562</v>
      </c>
    </row>
    <row r="397" spans="1:14" ht="115.5">
      <c r="A397" s="268" t="str">
        <f t="shared" si="6"/>
        <v>Customer Focus|Unit Head/Specialist|4</v>
      </c>
      <c r="B397" s="223" t="s">
        <v>508</v>
      </c>
      <c r="C397" s="227" t="s">
        <v>13</v>
      </c>
      <c r="D397" s="227">
        <v>4</v>
      </c>
      <c r="E397" s="227" t="s">
        <v>581</v>
      </c>
      <c r="F397" s="227">
        <v>3</v>
      </c>
      <c r="G397" s="276" t="s">
        <v>2385</v>
      </c>
      <c r="H397" s="276" t="s">
        <v>2386</v>
      </c>
      <c r="I397" s="276" t="s">
        <v>2387</v>
      </c>
      <c r="J397" s="276" t="s">
        <v>2388</v>
      </c>
      <c r="K397" s="276" t="s">
        <v>531</v>
      </c>
      <c r="L397" s="276" t="s">
        <v>532</v>
      </c>
      <c r="M397" s="276" t="s">
        <v>2389</v>
      </c>
      <c r="N397" s="276" t="s">
        <v>562</v>
      </c>
    </row>
    <row r="398" spans="1:14" ht="82.5">
      <c r="A398" s="268" t="str">
        <f t="shared" si="6"/>
        <v>Customer Focus|Department Head|1</v>
      </c>
      <c r="B398" s="223" t="s">
        <v>508</v>
      </c>
      <c r="C398" s="227" t="s">
        <v>719</v>
      </c>
      <c r="D398" s="226">
        <v>1</v>
      </c>
      <c r="E398" s="227" t="s">
        <v>526</v>
      </c>
      <c r="F398" s="227">
        <v>1</v>
      </c>
      <c r="G398" s="276" t="s">
        <v>2390</v>
      </c>
      <c r="H398" s="276" t="s">
        <v>2391</v>
      </c>
      <c r="I398" s="276" t="s">
        <v>2392</v>
      </c>
      <c r="J398" s="276" t="s">
        <v>2393</v>
      </c>
      <c r="K398" s="276" t="s">
        <v>531</v>
      </c>
      <c r="L398" s="276" t="s">
        <v>532</v>
      </c>
      <c r="M398" s="276" t="s">
        <v>2394</v>
      </c>
      <c r="N398" s="276" t="s">
        <v>534</v>
      </c>
    </row>
    <row r="399" spans="1:14" ht="99">
      <c r="A399" s="268" t="str">
        <f t="shared" si="6"/>
        <v>Customer Focus|Department Head|1</v>
      </c>
      <c r="B399" s="223" t="s">
        <v>508</v>
      </c>
      <c r="C399" s="227" t="s">
        <v>719</v>
      </c>
      <c r="D399" s="226">
        <v>1</v>
      </c>
      <c r="E399" s="227" t="s">
        <v>526</v>
      </c>
      <c r="F399" s="227">
        <v>2</v>
      </c>
      <c r="G399" s="276" t="s">
        <v>2395</v>
      </c>
      <c r="H399" s="276" t="s">
        <v>2396</v>
      </c>
      <c r="I399" s="276" t="s">
        <v>2397</v>
      </c>
      <c r="J399" s="276" t="s">
        <v>2398</v>
      </c>
      <c r="K399" s="276" t="s">
        <v>531</v>
      </c>
      <c r="L399" s="276" t="s">
        <v>532</v>
      </c>
      <c r="M399" s="276" t="s">
        <v>2399</v>
      </c>
      <c r="N399" s="276" t="s">
        <v>534</v>
      </c>
    </row>
    <row r="400" spans="1:14" ht="99">
      <c r="A400" s="268" t="str">
        <f t="shared" si="6"/>
        <v>Customer Focus|Department Head|1</v>
      </c>
      <c r="B400" s="223" t="s">
        <v>508</v>
      </c>
      <c r="C400" s="227" t="s">
        <v>719</v>
      </c>
      <c r="D400" s="226">
        <v>1</v>
      </c>
      <c r="E400" s="227" t="s">
        <v>526</v>
      </c>
      <c r="F400" s="227">
        <v>3</v>
      </c>
      <c r="G400" s="276" t="s">
        <v>2400</v>
      </c>
      <c r="H400" s="276" t="s">
        <v>2401</v>
      </c>
      <c r="I400" s="276" t="s">
        <v>2402</v>
      </c>
      <c r="J400" s="276" t="s">
        <v>2403</v>
      </c>
      <c r="K400" s="276" t="s">
        <v>531</v>
      </c>
      <c r="L400" s="276" t="s">
        <v>532</v>
      </c>
      <c r="M400" s="276" t="s">
        <v>2404</v>
      </c>
      <c r="N400" s="276" t="s">
        <v>534</v>
      </c>
    </row>
    <row r="401" spans="1:14" ht="99">
      <c r="A401" s="268" t="str">
        <f t="shared" si="6"/>
        <v>Customer Focus|Department Head|2</v>
      </c>
      <c r="B401" s="223" t="s">
        <v>508</v>
      </c>
      <c r="C401" s="227" t="s">
        <v>719</v>
      </c>
      <c r="D401" s="227">
        <v>2</v>
      </c>
      <c r="E401" s="227" t="s">
        <v>545</v>
      </c>
      <c r="F401" s="227">
        <v>1</v>
      </c>
      <c r="G401" s="276" t="s">
        <v>2405</v>
      </c>
      <c r="H401" s="276" t="s">
        <v>2406</v>
      </c>
      <c r="I401" s="276" t="s">
        <v>2407</v>
      </c>
      <c r="J401" s="276" t="s">
        <v>2408</v>
      </c>
      <c r="K401" s="276" t="s">
        <v>531</v>
      </c>
      <c r="L401" s="276" t="s">
        <v>532</v>
      </c>
      <c r="M401" s="276" t="s">
        <v>2409</v>
      </c>
      <c r="N401" s="276" t="s">
        <v>2410</v>
      </c>
    </row>
    <row r="402" spans="1:14" ht="99">
      <c r="A402" s="268" t="str">
        <f t="shared" si="6"/>
        <v>Customer Focus|Department Head|2</v>
      </c>
      <c r="B402" s="223" t="s">
        <v>508</v>
      </c>
      <c r="C402" s="227" t="s">
        <v>719</v>
      </c>
      <c r="D402" s="227">
        <v>2</v>
      </c>
      <c r="E402" s="227" t="s">
        <v>545</v>
      </c>
      <c r="F402" s="227">
        <v>2</v>
      </c>
      <c r="G402" s="276" t="s">
        <v>2411</v>
      </c>
      <c r="H402" s="276" t="s">
        <v>2412</v>
      </c>
      <c r="I402" s="276" t="s">
        <v>2413</v>
      </c>
      <c r="J402" s="276" t="s">
        <v>2414</v>
      </c>
      <c r="K402" s="276" t="s">
        <v>531</v>
      </c>
      <c r="L402" s="276" t="s">
        <v>532</v>
      </c>
      <c r="M402" s="276" t="s">
        <v>2415</v>
      </c>
      <c r="N402" s="276" t="s">
        <v>2294</v>
      </c>
    </row>
    <row r="403" spans="1:14" ht="82.5">
      <c r="A403" s="268" t="str">
        <f t="shared" si="6"/>
        <v>Customer Focus|Department Head|2</v>
      </c>
      <c r="B403" s="223" t="s">
        <v>508</v>
      </c>
      <c r="C403" s="227" t="s">
        <v>719</v>
      </c>
      <c r="D403" s="227">
        <v>2</v>
      </c>
      <c r="E403" s="227" t="s">
        <v>545</v>
      </c>
      <c r="F403" s="227">
        <v>3</v>
      </c>
      <c r="G403" s="276" t="s">
        <v>2416</v>
      </c>
      <c r="H403" s="276" t="s">
        <v>2417</v>
      </c>
      <c r="I403" s="276" t="s">
        <v>2418</v>
      </c>
      <c r="J403" s="276" t="s">
        <v>2419</v>
      </c>
      <c r="K403" s="276" t="s">
        <v>531</v>
      </c>
      <c r="L403" s="276" t="s">
        <v>532</v>
      </c>
      <c r="M403" s="276" t="s">
        <v>2420</v>
      </c>
      <c r="N403" s="276" t="s">
        <v>2294</v>
      </c>
    </row>
    <row r="404" spans="1:14" ht="99">
      <c r="A404" s="268" t="str">
        <f t="shared" si="6"/>
        <v>Customer Focus|Department Head|3</v>
      </c>
      <c r="B404" s="223" t="s">
        <v>508</v>
      </c>
      <c r="C404" s="227" t="s">
        <v>719</v>
      </c>
      <c r="D404" s="227">
        <v>3</v>
      </c>
      <c r="E404" s="227" t="s">
        <v>563</v>
      </c>
      <c r="F404" s="227">
        <v>1</v>
      </c>
      <c r="G404" s="276" t="s">
        <v>2421</v>
      </c>
      <c r="H404" s="276" t="s">
        <v>2422</v>
      </c>
      <c r="I404" s="276" t="s">
        <v>2423</v>
      </c>
      <c r="J404" s="276" t="s">
        <v>2424</v>
      </c>
      <c r="K404" s="276" t="s">
        <v>531</v>
      </c>
      <c r="L404" s="276" t="s">
        <v>532</v>
      </c>
      <c r="M404" s="276" t="s">
        <v>2425</v>
      </c>
      <c r="N404" s="276" t="s">
        <v>534</v>
      </c>
    </row>
    <row r="405" spans="1:14" ht="115.5">
      <c r="A405" s="268" t="str">
        <f t="shared" si="6"/>
        <v>Customer Focus|Department Head|3</v>
      </c>
      <c r="B405" s="223" t="s">
        <v>508</v>
      </c>
      <c r="C405" s="227" t="s">
        <v>719</v>
      </c>
      <c r="D405" s="227">
        <v>3</v>
      </c>
      <c r="E405" s="227" t="s">
        <v>563</v>
      </c>
      <c r="F405" s="227">
        <v>2</v>
      </c>
      <c r="G405" s="276" t="s">
        <v>2426</v>
      </c>
      <c r="H405" s="276" t="s">
        <v>2427</v>
      </c>
      <c r="I405" s="276" t="s">
        <v>2428</v>
      </c>
      <c r="J405" s="276" t="s">
        <v>2429</v>
      </c>
      <c r="K405" s="276" t="s">
        <v>531</v>
      </c>
      <c r="L405" s="276" t="s">
        <v>532</v>
      </c>
      <c r="M405" s="276" t="s">
        <v>2430</v>
      </c>
      <c r="N405" s="276" t="s">
        <v>562</v>
      </c>
    </row>
    <row r="406" spans="1:14" ht="148.5">
      <c r="A406" s="268" t="str">
        <f t="shared" si="6"/>
        <v>Customer Focus|Department Head|3</v>
      </c>
      <c r="B406" s="223" t="s">
        <v>508</v>
      </c>
      <c r="C406" s="227" t="s">
        <v>719</v>
      </c>
      <c r="D406" s="227">
        <v>3</v>
      </c>
      <c r="E406" s="227" t="s">
        <v>563</v>
      </c>
      <c r="F406" s="227">
        <v>3</v>
      </c>
      <c r="G406" s="276" t="s">
        <v>2431</v>
      </c>
      <c r="H406" s="276" t="s">
        <v>2432</v>
      </c>
      <c r="I406" s="276" t="s">
        <v>2433</v>
      </c>
      <c r="J406" s="276" t="s">
        <v>2373</v>
      </c>
      <c r="K406" s="276" t="s">
        <v>531</v>
      </c>
      <c r="L406" s="276" t="s">
        <v>532</v>
      </c>
      <c r="M406" s="276" t="s">
        <v>2434</v>
      </c>
      <c r="N406" s="276" t="s">
        <v>580</v>
      </c>
    </row>
    <row r="407" spans="1:14" ht="99">
      <c r="A407" s="268" t="str">
        <f t="shared" si="6"/>
        <v>Customer Focus|Department Head|4</v>
      </c>
      <c r="B407" s="223" t="s">
        <v>508</v>
      </c>
      <c r="C407" s="227" t="s">
        <v>719</v>
      </c>
      <c r="D407" s="227">
        <v>4</v>
      </c>
      <c r="E407" s="227" t="s">
        <v>581</v>
      </c>
      <c r="F407" s="227">
        <v>1</v>
      </c>
      <c r="G407" s="276" t="s">
        <v>2435</v>
      </c>
      <c r="H407" s="276" t="s">
        <v>2436</v>
      </c>
      <c r="I407" s="276" t="s">
        <v>2437</v>
      </c>
      <c r="J407" s="276" t="s">
        <v>2438</v>
      </c>
      <c r="K407" s="276" t="s">
        <v>531</v>
      </c>
      <c r="L407" s="276" t="s">
        <v>532</v>
      </c>
      <c r="M407" s="276" t="s">
        <v>2439</v>
      </c>
      <c r="N407" s="276" t="s">
        <v>562</v>
      </c>
    </row>
    <row r="408" spans="1:14" ht="99">
      <c r="A408" s="268" t="str">
        <f t="shared" si="6"/>
        <v>Customer Focus|Department Head|4</v>
      </c>
      <c r="B408" s="223" t="s">
        <v>508</v>
      </c>
      <c r="C408" s="227" t="s">
        <v>719</v>
      </c>
      <c r="D408" s="227">
        <v>4</v>
      </c>
      <c r="E408" s="227" t="s">
        <v>581</v>
      </c>
      <c r="F408" s="227">
        <v>2</v>
      </c>
      <c r="G408" s="276" t="s">
        <v>2440</v>
      </c>
      <c r="H408" s="276" t="s">
        <v>2441</v>
      </c>
      <c r="I408" s="276" t="s">
        <v>2442</v>
      </c>
      <c r="J408" s="276" t="s">
        <v>2443</v>
      </c>
      <c r="K408" s="276" t="s">
        <v>531</v>
      </c>
      <c r="L408" s="276" t="s">
        <v>532</v>
      </c>
      <c r="M408" s="276" t="s">
        <v>2444</v>
      </c>
      <c r="N408" s="276" t="s">
        <v>2294</v>
      </c>
    </row>
    <row r="409" spans="1:14" ht="82.5">
      <c r="A409" s="268" t="str">
        <f t="shared" si="6"/>
        <v>Customer Focus|Department Head|4</v>
      </c>
      <c r="B409" s="223" t="s">
        <v>508</v>
      </c>
      <c r="C409" s="227" t="s">
        <v>719</v>
      </c>
      <c r="D409" s="227">
        <v>4</v>
      </c>
      <c r="E409" s="227" t="s">
        <v>581</v>
      </c>
      <c r="F409" s="227">
        <v>3</v>
      </c>
      <c r="G409" s="276" t="s">
        <v>2445</v>
      </c>
      <c r="H409" s="276" t="s">
        <v>2446</v>
      </c>
      <c r="I409" s="276" t="s">
        <v>2447</v>
      </c>
      <c r="J409" s="276" t="s">
        <v>2448</v>
      </c>
      <c r="K409" s="276" t="s">
        <v>531</v>
      </c>
      <c r="L409" s="276" t="s">
        <v>532</v>
      </c>
      <c r="M409" s="276" t="s">
        <v>2449</v>
      </c>
      <c r="N409" s="276" t="s">
        <v>2450</v>
      </c>
    </row>
    <row r="410" spans="1:14" ht="115.5">
      <c r="A410" s="268" t="str">
        <f t="shared" si="6"/>
        <v>Customer Focus|Division Head|1</v>
      </c>
      <c r="B410" s="223" t="s">
        <v>508</v>
      </c>
      <c r="C410" s="227" t="s">
        <v>778</v>
      </c>
      <c r="D410" s="226">
        <v>1</v>
      </c>
      <c r="E410" s="227" t="s">
        <v>526</v>
      </c>
      <c r="F410" s="227">
        <v>1</v>
      </c>
      <c r="G410" s="276" t="s">
        <v>2451</v>
      </c>
      <c r="H410" s="276" t="s">
        <v>1448</v>
      </c>
      <c r="I410" s="276" t="s">
        <v>2452</v>
      </c>
      <c r="J410" s="276" t="s">
        <v>2453</v>
      </c>
      <c r="K410" s="276" t="s">
        <v>531</v>
      </c>
      <c r="L410" s="276" t="s">
        <v>532</v>
      </c>
      <c r="M410" s="276" t="s">
        <v>2454</v>
      </c>
      <c r="N410" s="276" t="s">
        <v>534</v>
      </c>
    </row>
    <row r="411" spans="1:14" ht="99">
      <c r="A411" s="268" t="str">
        <f t="shared" si="6"/>
        <v>Customer Focus|Division Head|1</v>
      </c>
      <c r="B411" s="223" t="s">
        <v>508</v>
      </c>
      <c r="C411" s="227" t="s">
        <v>778</v>
      </c>
      <c r="D411" s="226">
        <v>1</v>
      </c>
      <c r="E411" s="227" t="s">
        <v>526</v>
      </c>
      <c r="F411" s="227">
        <v>2</v>
      </c>
      <c r="G411" s="276" t="s">
        <v>2455</v>
      </c>
      <c r="H411" s="276" t="s">
        <v>2456</v>
      </c>
      <c r="I411" s="276" t="s">
        <v>2457</v>
      </c>
      <c r="J411" s="276" t="s">
        <v>2458</v>
      </c>
      <c r="K411" s="276" t="s">
        <v>531</v>
      </c>
      <c r="L411" s="276" t="s">
        <v>532</v>
      </c>
      <c r="M411" s="276" t="s">
        <v>2459</v>
      </c>
      <c r="N411" s="276" t="s">
        <v>534</v>
      </c>
    </row>
    <row r="412" spans="1:14" ht="82.5">
      <c r="A412" s="268" t="str">
        <f t="shared" si="6"/>
        <v>Customer Focus|Division Head|1</v>
      </c>
      <c r="B412" s="223" t="s">
        <v>508</v>
      </c>
      <c r="C412" s="227" t="s">
        <v>778</v>
      </c>
      <c r="D412" s="226">
        <v>1</v>
      </c>
      <c r="E412" s="227" t="s">
        <v>526</v>
      </c>
      <c r="F412" s="227">
        <v>3</v>
      </c>
      <c r="G412" s="276" t="s">
        <v>2460</v>
      </c>
      <c r="H412" s="276" t="s">
        <v>2461</v>
      </c>
      <c r="I412" s="276" t="s">
        <v>2462</v>
      </c>
      <c r="J412" s="276" t="s">
        <v>2463</v>
      </c>
      <c r="K412" s="276" t="s">
        <v>531</v>
      </c>
      <c r="L412" s="276" t="s">
        <v>532</v>
      </c>
      <c r="M412" s="276" t="s">
        <v>2464</v>
      </c>
      <c r="N412" s="276" t="s">
        <v>534</v>
      </c>
    </row>
    <row r="413" spans="1:14" ht="99">
      <c r="A413" s="268" t="str">
        <f t="shared" si="6"/>
        <v>Customer Focus|Division Head|2</v>
      </c>
      <c r="B413" s="223" t="s">
        <v>508</v>
      </c>
      <c r="C413" s="227" t="s">
        <v>778</v>
      </c>
      <c r="D413" s="227">
        <v>2</v>
      </c>
      <c r="E413" s="227" t="s">
        <v>545</v>
      </c>
      <c r="F413" s="227">
        <v>1</v>
      </c>
      <c r="G413" s="276" t="s">
        <v>2465</v>
      </c>
      <c r="H413" s="276" t="s">
        <v>2466</v>
      </c>
      <c r="I413" s="276" t="s">
        <v>2467</v>
      </c>
      <c r="J413" s="276" t="s">
        <v>2468</v>
      </c>
      <c r="K413" s="276" t="s">
        <v>531</v>
      </c>
      <c r="L413" s="276" t="s">
        <v>532</v>
      </c>
      <c r="M413" s="276" t="s">
        <v>2469</v>
      </c>
      <c r="N413" s="276" t="s">
        <v>551</v>
      </c>
    </row>
    <row r="414" spans="1:14" ht="66">
      <c r="A414" s="268" t="str">
        <f t="shared" si="6"/>
        <v>Customer Focus|Division Head|2</v>
      </c>
      <c r="B414" s="223" t="s">
        <v>508</v>
      </c>
      <c r="C414" s="227" t="s">
        <v>778</v>
      </c>
      <c r="D414" s="227">
        <v>2</v>
      </c>
      <c r="E414" s="227" t="s">
        <v>545</v>
      </c>
      <c r="F414" s="227">
        <v>2</v>
      </c>
      <c r="G414" s="276" t="s">
        <v>2470</v>
      </c>
      <c r="H414" s="276" t="s">
        <v>2471</v>
      </c>
      <c r="I414" s="276" t="s">
        <v>2472</v>
      </c>
      <c r="J414" s="276" t="s">
        <v>2473</v>
      </c>
      <c r="K414" s="276" t="s">
        <v>531</v>
      </c>
      <c r="L414" s="276" t="s">
        <v>532</v>
      </c>
      <c r="M414" s="276" t="s">
        <v>2474</v>
      </c>
      <c r="N414" s="276" t="s">
        <v>2294</v>
      </c>
    </row>
    <row r="415" spans="1:14" ht="82.5">
      <c r="A415" s="268" t="str">
        <f t="shared" si="6"/>
        <v>Customer Focus|Division Head|2</v>
      </c>
      <c r="B415" s="223" t="s">
        <v>508</v>
      </c>
      <c r="C415" s="227" t="s">
        <v>778</v>
      </c>
      <c r="D415" s="227">
        <v>2</v>
      </c>
      <c r="E415" s="227" t="s">
        <v>545</v>
      </c>
      <c r="F415" s="227">
        <v>3</v>
      </c>
      <c r="G415" s="276" t="s">
        <v>2475</v>
      </c>
      <c r="H415" s="276" t="s">
        <v>2476</v>
      </c>
      <c r="I415" s="276" t="s">
        <v>2477</v>
      </c>
      <c r="J415" s="276" t="s">
        <v>2478</v>
      </c>
      <c r="K415" s="276" t="s">
        <v>531</v>
      </c>
      <c r="L415" s="276" t="s">
        <v>532</v>
      </c>
      <c r="M415" s="276" t="s">
        <v>2479</v>
      </c>
      <c r="N415" s="276" t="s">
        <v>534</v>
      </c>
    </row>
    <row r="416" spans="1:14" ht="82.5">
      <c r="A416" s="268" t="str">
        <f t="shared" si="6"/>
        <v>Customer Focus|Division Head|3</v>
      </c>
      <c r="B416" s="223" t="s">
        <v>508</v>
      </c>
      <c r="C416" s="227" t="s">
        <v>778</v>
      </c>
      <c r="D416" s="227">
        <v>3</v>
      </c>
      <c r="E416" s="227" t="s">
        <v>563</v>
      </c>
      <c r="F416" s="227">
        <v>1</v>
      </c>
      <c r="G416" s="276" t="s">
        <v>2480</v>
      </c>
      <c r="H416" s="276" t="s">
        <v>2481</v>
      </c>
      <c r="I416" s="276" t="s">
        <v>2482</v>
      </c>
      <c r="J416" s="276" t="s">
        <v>1481</v>
      </c>
      <c r="K416" s="276" t="s">
        <v>531</v>
      </c>
      <c r="L416" s="276" t="s">
        <v>532</v>
      </c>
      <c r="M416" s="276" t="s">
        <v>2483</v>
      </c>
      <c r="N416" s="276" t="s">
        <v>534</v>
      </c>
    </row>
    <row r="417" spans="1:14" ht="99">
      <c r="A417" s="268" t="str">
        <f t="shared" si="6"/>
        <v>Customer Focus|Division Head|3</v>
      </c>
      <c r="B417" s="223" t="s">
        <v>508</v>
      </c>
      <c r="C417" s="227" t="s">
        <v>778</v>
      </c>
      <c r="D417" s="227">
        <v>3</v>
      </c>
      <c r="E417" s="227" t="s">
        <v>563</v>
      </c>
      <c r="F417" s="227">
        <v>2</v>
      </c>
      <c r="G417" s="276" t="s">
        <v>2484</v>
      </c>
      <c r="H417" s="276" t="s">
        <v>2485</v>
      </c>
      <c r="I417" s="276" t="s">
        <v>2486</v>
      </c>
      <c r="J417" s="276" t="s">
        <v>1486</v>
      </c>
      <c r="K417" s="276" t="s">
        <v>531</v>
      </c>
      <c r="L417" s="276" t="s">
        <v>532</v>
      </c>
      <c r="M417" s="276" t="s">
        <v>2487</v>
      </c>
      <c r="N417" s="276" t="s">
        <v>562</v>
      </c>
    </row>
    <row r="418" spans="1:14" ht="132">
      <c r="A418" s="268" t="str">
        <f t="shared" si="6"/>
        <v>Customer Focus|Division Head|3</v>
      </c>
      <c r="B418" s="223" t="s">
        <v>508</v>
      </c>
      <c r="C418" s="227" t="s">
        <v>778</v>
      </c>
      <c r="D418" s="227">
        <v>3</v>
      </c>
      <c r="E418" s="227" t="s">
        <v>563</v>
      </c>
      <c r="F418" s="227">
        <v>3</v>
      </c>
      <c r="G418" s="276" t="s">
        <v>2488</v>
      </c>
      <c r="H418" s="276" t="s">
        <v>2489</v>
      </c>
      <c r="I418" s="276" t="s">
        <v>2490</v>
      </c>
      <c r="J418" s="276" t="s">
        <v>2491</v>
      </c>
      <c r="K418" s="276" t="s">
        <v>531</v>
      </c>
      <c r="L418" s="276" t="s">
        <v>532</v>
      </c>
      <c r="M418" s="276" t="s">
        <v>2492</v>
      </c>
      <c r="N418" s="276" t="s">
        <v>580</v>
      </c>
    </row>
    <row r="419" spans="1:14" ht="115.5">
      <c r="A419" s="268" t="str">
        <f t="shared" si="6"/>
        <v>Customer Focus|Division Head|4</v>
      </c>
      <c r="B419" s="223" t="s">
        <v>508</v>
      </c>
      <c r="C419" s="227" t="s">
        <v>778</v>
      </c>
      <c r="D419" s="227">
        <v>4</v>
      </c>
      <c r="E419" s="227" t="s">
        <v>581</v>
      </c>
      <c r="F419" s="227">
        <v>1</v>
      </c>
      <c r="G419" s="276" t="s">
        <v>2493</v>
      </c>
      <c r="H419" s="276" t="s">
        <v>2494</v>
      </c>
      <c r="I419" s="276" t="s">
        <v>2495</v>
      </c>
      <c r="J419" s="276" t="s">
        <v>2496</v>
      </c>
      <c r="K419" s="276" t="s">
        <v>531</v>
      </c>
      <c r="L419" s="276" t="s">
        <v>532</v>
      </c>
      <c r="M419" s="276" t="s">
        <v>2497</v>
      </c>
      <c r="N419" s="276" t="s">
        <v>562</v>
      </c>
    </row>
    <row r="420" spans="1:14" ht="99">
      <c r="A420" s="268" t="str">
        <f t="shared" si="6"/>
        <v>Customer Focus|Division Head|4</v>
      </c>
      <c r="B420" s="223" t="s">
        <v>508</v>
      </c>
      <c r="C420" s="227" t="s">
        <v>778</v>
      </c>
      <c r="D420" s="227">
        <v>4</v>
      </c>
      <c r="E420" s="227" t="s">
        <v>581</v>
      </c>
      <c r="F420" s="227">
        <v>2</v>
      </c>
      <c r="G420" s="276" t="s">
        <v>2498</v>
      </c>
      <c r="H420" s="276" t="s">
        <v>2499</v>
      </c>
      <c r="I420" s="276" t="s">
        <v>2500</v>
      </c>
      <c r="J420" s="276" t="s">
        <v>2501</v>
      </c>
      <c r="K420" s="276" t="s">
        <v>531</v>
      </c>
      <c r="L420" s="276" t="s">
        <v>532</v>
      </c>
      <c r="M420" s="276" t="s">
        <v>2502</v>
      </c>
      <c r="N420" s="276" t="s">
        <v>2294</v>
      </c>
    </row>
    <row r="421" spans="1:14" ht="99">
      <c r="A421" s="268" t="str">
        <f t="shared" si="6"/>
        <v>Customer Focus|Division Head|4</v>
      </c>
      <c r="B421" s="223" t="s">
        <v>508</v>
      </c>
      <c r="C421" s="227" t="s">
        <v>778</v>
      </c>
      <c r="D421" s="227">
        <v>4</v>
      </c>
      <c r="E421" s="227" t="s">
        <v>581</v>
      </c>
      <c r="F421" s="227">
        <v>3</v>
      </c>
      <c r="G421" s="276" t="s">
        <v>2503</v>
      </c>
      <c r="H421" s="276" t="s">
        <v>2504</v>
      </c>
      <c r="I421" s="276" t="s">
        <v>2505</v>
      </c>
      <c r="J421" s="276" t="s">
        <v>1501</v>
      </c>
      <c r="K421" s="276" t="s">
        <v>531</v>
      </c>
      <c r="L421" s="276" t="s">
        <v>532</v>
      </c>
      <c r="M421" s="276" t="s">
        <v>2506</v>
      </c>
      <c r="N421" s="276" t="s">
        <v>562</v>
      </c>
    </row>
    <row r="422" spans="1:14" ht="99">
      <c r="A422" s="268" t="str">
        <f t="shared" si="6"/>
        <v>Customer Focus|Director|1</v>
      </c>
      <c r="B422" s="223" t="s">
        <v>508</v>
      </c>
      <c r="C422" s="227" t="s">
        <v>838</v>
      </c>
      <c r="D422" s="226">
        <v>1</v>
      </c>
      <c r="E422" s="227" t="s">
        <v>526</v>
      </c>
      <c r="F422" s="227">
        <v>1</v>
      </c>
      <c r="G422" s="276" t="s">
        <v>2507</v>
      </c>
      <c r="H422" s="276" t="s">
        <v>2508</v>
      </c>
      <c r="I422" s="276" t="s">
        <v>2509</v>
      </c>
      <c r="J422" s="276" t="s">
        <v>2510</v>
      </c>
      <c r="K422" s="276" t="s">
        <v>531</v>
      </c>
      <c r="L422" s="276" t="s">
        <v>532</v>
      </c>
      <c r="M422" s="276" t="s">
        <v>2511</v>
      </c>
      <c r="N422" s="276" t="s">
        <v>2169</v>
      </c>
    </row>
    <row r="423" spans="1:14" ht="82.5">
      <c r="A423" s="268" t="str">
        <f t="shared" si="6"/>
        <v>Customer Focus|Director|1</v>
      </c>
      <c r="B423" s="223" t="s">
        <v>508</v>
      </c>
      <c r="C423" s="227" t="s">
        <v>838</v>
      </c>
      <c r="D423" s="226">
        <v>1</v>
      </c>
      <c r="E423" s="227" t="s">
        <v>526</v>
      </c>
      <c r="F423" s="227">
        <v>2</v>
      </c>
      <c r="G423" s="276" t="s">
        <v>2512</v>
      </c>
      <c r="H423" s="276" t="s">
        <v>2513</v>
      </c>
      <c r="I423" s="276" t="s">
        <v>2514</v>
      </c>
      <c r="J423" s="276" t="s">
        <v>2173</v>
      </c>
      <c r="K423" s="276" t="s">
        <v>531</v>
      </c>
      <c r="L423" s="276" t="s">
        <v>532</v>
      </c>
      <c r="M423" s="276" t="s">
        <v>2515</v>
      </c>
      <c r="N423" s="276" t="s">
        <v>2175</v>
      </c>
    </row>
    <row r="424" spans="1:14" ht="82.5">
      <c r="A424" s="268" t="str">
        <f t="shared" si="6"/>
        <v>Customer Focus|Director|1</v>
      </c>
      <c r="B424" s="223" t="s">
        <v>508</v>
      </c>
      <c r="C424" s="227" t="s">
        <v>838</v>
      </c>
      <c r="D424" s="226">
        <v>1</v>
      </c>
      <c r="E424" s="227" t="s">
        <v>526</v>
      </c>
      <c r="F424" s="227">
        <v>3</v>
      </c>
      <c r="G424" s="276" t="s">
        <v>851</v>
      </c>
      <c r="H424" s="276" t="s">
        <v>2516</v>
      </c>
      <c r="I424" s="276" t="s">
        <v>2517</v>
      </c>
      <c r="J424" s="276" t="s">
        <v>2518</v>
      </c>
      <c r="K424" s="276" t="s">
        <v>531</v>
      </c>
      <c r="L424" s="276" t="s">
        <v>532</v>
      </c>
      <c r="M424" s="276" t="s">
        <v>2519</v>
      </c>
      <c r="N424" s="276" t="s">
        <v>856</v>
      </c>
    </row>
    <row r="425" spans="1:14" ht="82.5">
      <c r="A425" s="268" t="str">
        <f t="shared" si="6"/>
        <v>Customer Focus|Director|2</v>
      </c>
      <c r="B425" s="223" t="s">
        <v>508</v>
      </c>
      <c r="C425" s="227" t="s">
        <v>838</v>
      </c>
      <c r="D425" s="227">
        <v>2</v>
      </c>
      <c r="E425" s="227" t="s">
        <v>545</v>
      </c>
      <c r="F425" s="227">
        <v>1</v>
      </c>
      <c r="G425" s="276" t="s">
        <v>2520</v>
      </c>
      <c r="H425" s="276" t="s">
        <v>2521</v>
      </c>
      <c r="I425" s="276" t="s">
        <v>2522</v>
      </c>
      <c r="J425" s="276" t="s">
        <v>2523</v>
      </c>
      <c r="K425" s="276" t="s">
        <v>531</v>
      </c>
      <c r="L425" s="276" t="s">
        <v>532</v>
      </c>
      <c r="M425" s="276" t="s">
        <v>2524</v>
      </c>
      <c r="N425" s="276" t="s">
        <v>862</v>
      </c>
    </row>
    <row r="426" spans="1:14" ht="82.5">
      <c r="A426" s="268" t="str">
        <f t="shared" si="6"/>
        <v>Customer Focus|Director|2</v>
      </c>
      <c r="B426" s="223" t="s">
        <v>508</v>
      </c>
      <c r="C426" s="227" t="s">
        <v>838</v>
      </c>
      <c r="D426" s="227">
        <v>2</v>
      </c>
      <c r="E426" s="227" t="s">
        <v>545</v>
      </c>
      <c r="F426" s="227">
        <v>2</v>
      </c>
      <c r="G426" s="276" t="s">
        <v>2525</v>
      </c>
      <c r="H426" s="276" t="s">
        <v>2526</v>
      </c>
      <c r="I426" s="276" t="s">
        <v>2527</v>
      </c>
      <c r="J426" s="276" t="s">
        <v>2528</v>
      </c>
      <c r="K426" s="276" t="s">
        <v>531</v>
      </c>
      <c r="L426" s="276" t="s">
        <v>532</v>
      </c>
      <c r="M426" s="276" t="s">
        <v>2529</v>
      </c>
      <c r="N426" s="276" t="s">
        <v>856</v>
      </c>
    </row>
    <row r="427" spans="1:14" ht="82.5">
      <c r="A427" s="268" t="str">
        <f t="shared" si="6"/>
        <v>Customer Focus|Director|2</v>
      </c>
      <c r="B427" s="223" t="s">
        <v>508</v>
      </c>
      <c r="C427" s="227" t="s">
        <v>838</v>
      </c>
      <c r="D427" s="227">
        <v>2</v>
      </c>
      <c r="E427" s="227" t="s">
        <v>545</v>
      </c>
      <c r="F427" s="227">
        <v>3</v>
      </c>
      <c r="G427" s="276" t="s">
        <v>2530</v>
      </c>
      <c r="H427" s="276" t="s">
        <v>2531</v>
      </c>
      <c r="I427" s="276" t="s">
        <v>2532</v>
      </c>
      <c r="J427" s="276" t="s">
        <v>2533</v>
      </c>
      <c r="K427" s="276" t="s">
        <v>531</v>
      </c>
      <c r="L427" s="276" t="s">
        <v>532</v>
      </c>
      <c r="M427" s="276" t="s">
        <v>2534</v>
      </c>
      <c r="N427" s="276" t="s">
        <v>856</v>
      </c>
    </row>
    <row r="428" spans="1:14" ht="99">
      <c r="A428" s="268" t="str">
        <f t="shared" si="6"/>
        <v>Customer Focus|Director|3</v>
      </c>
      <c r="B428" s="223" t="s">
        <v>508</v>
      </c>
      <c r="C428" s="227" t="s">
        <v>838</v>
      </c>
      <c r="D428" s="227">
        <v>3</v>
      </c>
      <c r="E428" s="227" t="s">
        <v>563</v>
      </c>
      <c r="F428" s="227">
        <v>1</v>
      </c>
      <c r="G428" s="276" t="s">
        <v>2535</v>
      </c>
      <c r="H428" s="276" t="s">
        <v>2536</v>
      </c>
      <c r="I428" s="276" t="s">
        <v>2537</v>
      </c>
      <c r="J428" s="276" t="s">
        <v>2538</v>
      </c>
      <c r="K428" s="276" t="s">
        <v>531</v>
      </c>
      <c r="L428" s="276" t="s">
        <v>532</v>
      </c>
      <c r="M428" s="276" t="s">
        <v>2539</v>
      </c>
      <c r="N428" s="276" t="s">
        <v>534</v>
      </c>
    </row>
    <row r="429" spans="1:14" ht="82.5">
      <c r="A429" s="268" t="str">
        <f t="shared" si="6"/>
        <v>Customer Focus|Director|3</v>
      </c>
      <c r="B429" s="223" t="s">
        <v>508</v>
      </c>
      <c r="C429" s="227" t="s">
        <v>838</v>
      </c>
      <c r="D429" s="227">
        <v>3</v>
      </c>
      <c r="E429" s="227" t="s">
        <v>563</v>
      </c>
      <c r="F429" s="227">
        <v>2</v>
      </c>
      <c r="G429" s="276" t="s">
        <v>2540</v>
      </c>
      <c r="H429" s="276" t="s">
        <v>2541</v>
      </c>
      <c r="I429" s="276" t="s">
        <v>2542</v>
      </c>
      <c r="J429" s="276" t="s">
        <v>757</v>
      </c>
      <c r="K429" s="276" t="s">
        <v>531</v>
      </c>
      <c r="L429" s="276" t="s">
        <v>532</v>
      </c>
      <c r="M429" s="276" t="s">
        <v>2543</v>
      </c>
      <c r="N429" s="276" t="s">
        <v>856</v>
      </c>
    </row>
    <row r="430" spans="1:14" ht="132">
      <c r="A430" s="268" t="str">
        <f t="shared" si="6"/>
        <v>Customer Focus|Director|3</v>
      </c>
      <c r="B430" s="223" t="s">
        <v>508</v>
      </c>
      <c r="C430" s="227" t="s">
        <v>838</v>
      </c>
      <c r="D430" s="227">
        <v>3</v>
      </c>
      <c r="E430" s="227" t="s">
        <v>563</v>
      </c>
      <c r="F430" s="227">
        <v>3</v>
      </c>
      <c r="G430" s="276" t="s">
        <v>2544</v>
      </c>
      <c r="H430" s="276" t="s">
        <v>2545</v>
      </c>
      <c r="I430" s="276" t="s">
        <v>2546</v>
      </c>
      <c r="J430" s="276" t="s">
        <v>2547</v>
      </c>
      <c r="K430" s="276" t="s">
        <v>531</v>
      </c>
      <c r="L430" s="276" t="s">
        <v>532</v>
      </c>
      <c r="M430" s="276" t="s">
        <v>2548</v>
      </c>
      <c r="N430" s="276" t="s">
        <v>580</v>
      </c>
    </row>
    <row r="431" spans="1:14" ht="99">
      <c r="A431" s="268" t="str">
        <f t="shared" si="6"/>
        <v>Customer Focus|Director|4</v>
      </c>
      <c r="B431" s="223" t="s">
        <v>508</v>
      </c>
      <c r="C431" s="227" t="s">
        <v>838</v>
      </c>
      <c r="D431" s="227">
        <v>4</v>
      </c>
      <c r="E431" s="227" t="s">
        <v>581</v>
      </c>
      <c r="F431" s="227">
        <v>1</v>
      </c>
      <c r="G431" s="276" t="s">
        <v>2549</v>
      </c>
      <c r="H431" s="276" t="s">
        <v>2550</v>
      </c>
      <c r="I431" s="276" t="s">
        <v>2551</v>
      </c>
      <c r="J431" s="276" t="s">
        <v>2552</v>
      </c>
      <c r="K431" s="276" t="s">
        <v>531</v>
      </c>
      <c r="L431" s="276" t="s">
        <v>532</v>
      </c>
      <c r="M431" s="276" t="s">
        <v>2553</v>
      </c>
      <c r="N431" s="276" t="s">
        <v>856</v>
      </c>
    </row>
    <row r="432" spans="1:14" ht="99">
      <c r="A432" s="268" t="str">
        <f t="shared" si="6"/>
        <v>Customer Focus|Director|4</v>
      </c>
      <c r="B432" s="223" t="s">
        <v>508</v>
      </c>
      <c r="C432" s="227" t="s">
        <v>838</v>
      </c>
      <c r="D432" s="227">
        <v>4</v>
      </c>
      <c r="E432" s="227" t="s">
        <v>581</v>
      </c>
      <c r="F432" s="227">
        <v>2</v>
      </c>
      <c r="G432" s="276" t="s">
        <v>2554</v>
      </c>
      <c r="H432" s="276" t="s">
        <v>2555</v>
      </c>
      <c r="I432" s="276" t="s">
        <v>2556</v>
      </c>
      <c r="J432" s="276" t="s">
        <v>2557</v>
      </c>
      <c r="K432" s="276" t="s">
        <v>531</v>
      </c>
      <c r="L432" s="276" t="s">
        <v>532</v>
      </c>
      <c r="M432" s="276" t="s">
        <v>2558</v>
      </c>
      <c r="N432" s="276" t="s">
        <v>2559</v>
      </c>
    </row>
    <row r="433" spans="1:14" ht="99">
      <c r="A433" s="268" t="str">
        <f t="shared" si="6"/>
        <v>Customer Focus|Director|4</v>
      </c>
      <c r="B433" s="223" t="s">
        <v>508</v>
      </c>
      <c r="C433" s="227" t="s">
        <v>838</v>
      </c>
      <c r="D433" s="227">
        <v>4</v>
      </c>
      <c r="E433" s="227" t="s">
        <v>581</v>
      </c>
      <c r="F433" s="227">
        <v>3</v>
      </c>
      <c r="G433" s="276" t="s">
        <v>2560</v>
      </c>
      <c r="H433" s="276" t="s">
        <v>2561</v>
      </c>
      <c r="I433" s="276" t="s">
        <v>2562</v>
      </c>
      <c r="J433" s="276" t="s">
        <v>2563</v>
      </c>
      <c r="K433" s="276" t="s">
        <v>531</v>
      </c>
      <c r="L433" s="276" t="s">
        <v>532</v>
      </c>
      <c r="M433" s="276" t="s">
        <v>2564</v>
      </c>
      <c r="N433" s="276" t="s">
        <v>856</v>
      </c>
    </row>
    <row r="434" spans="1:14" ht="66">
      <c r="A434" s="268" t="str">
        <f t="shared" si="6"/>
        <v>Developing Others|Officer|1</v>
      </c>
      <c r="B434" s="223" t="s">
        <v>505</v>
      </c>
      <c r="C434" s="197" t="s">
        <v>4</v>
      </c>
      <c r="D434" s="197">
        <v>1</v>
      </c>
      <c r="E434" s="79" t="s">
        <v>526</v>
      </c>
      <c r="F434" s="79">
        <v>1</v>
      </c>
      <c r="G434" s="276" t="s">
        <v>2565</v>
      </c>
      <c r="H434" s="276" t="s">
        <v>2566</v>
      </c>
      <c r="I434" s="276" t="s">
        <v>2567</v>
      </c>
      <c r="J434" s="276" t="s">
        <v>2568</v>
      </c>
      <c r="K434" s="276" t="s">
        <v>531</v>
      </c>
      <c r="L434" s="276" t="s">
        <v>532</v>
      </c>
      <c r="M434" s="276" t="s">
        <v>2569</v>
      </c>
      <c r="N434" s="276" t="s">
        <v>534</v>
      </c>
    </row>
    <row r="435" spans="1:14" ht="66">
      <c r="A435" s="268" t="str">
        <f t="shared" si="6"/>
        <v>Developing Others|Officer|1</v>
      </c>
      <c r="B435" s="223" t="s">
        <v>505</v>
      </c>
      <c r="C435" s="197" t="s">
        <v>4</v>
      </c>
      <c r="D435" s="197">
        <v>1</v>
      </c>
      <c r="E435" s="79" t="s">
        <v>526</v>
      </c>
      <c r="F435" s="79">
        <v>2</v>
      </c>
      <c r="G435" s="276" t="s">
        <v>2570</v>
      </c>
      <c r="H435" s="276" t="s">
        <v>2571</v>
      </c>
      <c r="I435" s="276" t="s">
        <v>2572</v>
      </c>
      <c r="J435" s="276" t="s">
        <v>2573</v>
      </c>
      <c r="K435" s="276" t="s">
        <v>531</v>
      </c>
      <c r="L435" s="276" t="s">
        <v>532</v>
      </c>
      <c r="M435" s="276" t="s">
        <v>2574</v>
      </c>
      <c r="N435" s="276" t="s">
        <v>534</v>
      </c>
    </row>
    <row r="436" spans="1:14" ht="49.5">
      <c r="A436" s="268" t="str">
        <f t="shared" si="6"/>
        <v>Developing Others|Officer|1</v>
      </c>
      <c r="B436" s="223" t="s">
        <v>505</v>
      </c>
      <c r="C436" s="197" t="s">
        <v>4</v>
      </c>
      <c r="D436" s="197">
        <v>1</v>
      </c>
      <c r="E436" s="79" t="s">
        <v>526</v>
      </c>
      <c r="F436" s="79">
        <v>3</v>
      </c>
      <c r="G436" s="276" t="s">
        <v>2575</v>
      </c>
      <c r="H436" s="276" t="s">
        <v>2576</v>
      </c>
      <c r="I436" s="276" t="s">
        <v>2577</v>
      </c>
      <c r="J436" s="276" t="s">
        <v>2578</v>
      </c>
      <c r="K436" s="276" t="s">
        <v>531</v>
      </c>
      <c r="L436" s="276" t="s">
        <v>532</v>
      </c>
      <c r="M436" s="276" t="s">
        <v>2579</v>
      </c>
      <c r="N436" s="276" t="s">
        <v>534</v>
      </c>
    </row>
    <row r="437" spans="1:14" ht="33">
      <c r="A437" s="268" t="str">
        <f t="shared" si="6"/>
        <v>Developing Others|Officer|2</v>
      </c>
      <c r="B437" s="223" t="s">
        <v>505</v>
      </c>
      <c r="C437" s="197" t="s">
        <v>4</v>
      </c>
      <c r="D437" s="79">
        <v>2</v>
      </c>
      <c r="E437" s="79" t="s">
        <v>545</v>
      </c>
      <c r="F437" s="79">
        <v>1</v>
      </c>
      <c r="G437" s="276" t="s">
        <v>2580</v>
      </c>
      <c r="H437" s="276" t="s">
        <v>2581</v>
      </c>
      <c r="I437" s="276" t="s">
        <v>2582</v>
      </c>
      <c r="J437" s="276" t="s">
        <v>2583</v>
      </c>
      <c r="K437" s="276" t="s">
        <v>531</v>
      </c>
      <c r="L437" s="276" t="s">
        <v>532</v>
      </c>
      <c r="M437" s="276" t="s">
        <v>2584</v>
      </c>
      <c r="N437" s="276" t="s">
        <v>2585</v>
      </c>
    </row>
    <row r="438" spans="1:14" ht="33">
      <c r="A438" s="268" t="str">
        <f t="shared" si="6"/>
        <v>Developing Others|Officer|2</v>
      </c>
      <c r="B438" s="223" t="s">
        <v>505</v>
      </c>
      <c r="C438" s="197" t="s">
        <v>4</v>
      </c>
      <c r="D438" s="79">
        <v>2</v>
      </c>
      <c r="E438" s="79" t="s">
        <v>545</v>
      </c>
      <c r="F438" s="79">
        <v>2</v>
      </c>
      <c r="G438" s="276" t="s">
        <v>2586</v>
      </c>
      <c r="H438" s="276" t="s">
        <v>2587</v>
      </c>
      <c r="I438" s="276" t="s">
        <v>2588</v>
      </c>
      <c r="J438" s="276" t="s">
        <v>2589</v>
      </c>
      <c r="K438" s="276" t="s">
        <v>531</v>
      </c>
      <c r="L438" s="276" t="s">
        <v>532</v>
      </c>
      <c r="M438" s="276" t="s">
        <v>2590</v>
      </c>
      <c r="N438" s="276" t="s">
        <v>551</v>
      </c>
    </row>
    <row r="439" spans="1:14" ht="33">
      <c r="A439" s="268" t="str">
        <f t="shared" si="6"/>
        <v>Developing Others|Officer|2</v>
      </c>
      <c r="B439" s="223" t="s">
        <v>505</v>
      </c>
      <c r="C439" s="197" t="s">
        <v>4</v>
      </c>
      <c r="D439" s="79">
        <v>2</v>
      </c>
      <c r="E439" s="79" t="s">
        <v>545</v>
      </c>
      <c r="F439" s="79">
        <v>3</v>
      </c>
      <c r="G439" s="276" t="s">
        <v>2591</v>
      </c>
      <c r="H439" s="276" t="s">
        <v>2592</v>
      </c>
      <c r="I439" s="276" t="s">
        <v>2593</v>
      </c>
      <c r="J439" s="276" t="s">
        <v>2594</v>
      </c>
      <c r="K439" s="276" t="s">
        <v>531</v>
      </c>
      <c r="L439" s="276" t="s">
        <v>532</v>
      </c>
      <c r="M439" s="276" t="s">
        <v>2595</v>
      </c>
      <c r="N439" s="276" t="s">
        <v>551</v>
      </c>
    </row>
    <row r="440" spans="1:14" ht="49.5">
      <c r="A440" s="268" t="str">
        <f t="shared" si="6"/>
        <v>Developing Others|Officer|3</v>
      </c>
      <c r="B440" s="223" t="s">
        <v>505</v>
      </c>
      <c r="C440" s="197" t="s">
        <v>4</v>
      </c>
      <c r="D440" s="79">
        <v>3</v>
      </c>
      <c r="E440" s="79" t="s">
        <v>563</v>
      </c>
      <c r="F440" s="79">
        <v>1</v>
      </c>
      <c r="G440" s="276" t="s">
        <v>2596</v>
      </c>
      <c r="H440" s="276" t="s">
        <v>2597</v>
      </c>
      <c r="I440" s="276" t="s">
        <v>2598</v>
      </c>
      <c r="J440" s="276" t="s">
        <v>2599</v>
      </c>
      <c r="K440" s="276" t="s">
        <v>531</v>
      </c>
      <c r="L440" s="276" t="s">
        <v>532</v>
      </c>
      <c r="M440" s="276" t="s">
        <v>2600</v>
      </c>
      <c r="N440" s="276" t="s">
        <v>2601</v>
      </c>
    </row>
    <row r="441" spans="1:14" ht="49.5">
      <c r="A441" s="268" t="str">
        <f t="shared" si="6"/>
        <v>Developing Others|Officer|3</v>
      </c>
      <c r="B441" s="223" t="s">
        <v>505</v>
      </c>
      <c r="C441" s="197" t="s">
        <v>4</v>
      </c>
      <c r="D441" s="79">
        <v>3</v>
      </c>
      <c r="E441" s="79" t="s">
        <v>563</v>
      </c>
      <c r="F441" s="79">
        <v>2</v>
      </c>
      <c r="G441" s="276" t="s">
        <v>2602</v>
      </c>
      <c r="H441" s="276" t="s">
        <v>2603</v>
      </c>
      <c r="I441" s="276" t="s">
        <v>2604</v>
      </c>
      <c r="J441" s="276" t="s">
        <v>2605</v>
      </c>
      <c r="K441" s="276" t="s">
        <v>531</v>
      </c>
      <c r="L441" s="276" t="s">
        <v>532</v>
      </c>
      <c r="M441" s="276" t="s">
        <v>2606</v>
      </c>
      <c r="N441" s="276" t="s">
        <v>2607</v>
      </c>
    </row>
    <row r="442" spans="1:14" ht="66">
      <c r="A442" s="268" t="str">
        <f t="shared" si="6"/>
        <v>Developing Others|Officer|3</v>
      </c>
      <c r="B442" s="223" t="s">
        <v>505</v>
      </c>
      <c r="C442" s="197" t="s">
        <v>4</v>
      </c>
      <c r="D442" s="79">
        <v>3</v>
      </c>
      <c r="E442" s="79" t="s">
        <v>563</v>
      </c>
      <c r="F442" s="79">
        <v>3</v>
      </c>
      <c r="G442" s="276" t="s">
        <v>2608</v>
      </c>
      <c r="H442" s="276" t="s">
        <v>2609</v>
      </c>
      <c r="I442" s="276" t="s">
        <v>2610</v>
      </c>
      <c r="J442" s="276" t="s">
        <v>578</v>
      </c>
      <c r="K442" s="276" t="s">
        <v>531</v>
      </c>
      <c r="L442" s="276" t="s">
        <v>532</v>
      </c>
      <c r="M442" s="276" t="s">
        <v>2611</v>
      </c>
      <c r="N442" s="276" t="s">
        <v>580</v>
      </c>
    </row>
    <row r="443" spans="1:14" ht="66">
      <c r="A443" s="268" t="str">
        <f t="shared" si="6"/>
        <v>Developing Others|Officer|4</v>
      </c>
      <c r="B443" s="223" t="s">
        <v>505</v>
      </c>
      <c r="C443" s="197" t="s">
        <v>4</v>
      </c>
      <c r="D443" s="79">
        <v>4</v>
      </c>
      <c r="E443" s="79" t="s">
        <v>581</v>
      </c>
      <c r="F443" s="79">
        <v>1</v>
      </c>
      <c r="G443" s="276" t="s">
        <v>2612</v>
      </c>
      <c r="H443" s="276" t="s">
        <v>2613</v>
      </c>
      <c r="I443" s="276" t="s">
        <v>2614</v>
      </c>
      <c r="J443" s="276" t="s">
        <v>2615</v>
      </c>
      <c r="K443" s="276" t="s">
        <v>531</v>
      </c>
      <c r="L443" s="276" t="s">
        <v>532</v>
      </c>
      <c r="M443" s="276" t="s">
        <v>2616</v>
      </c>
      <c r="N443" s="276" t="s">
        <v>562</v>
      </c>
    </row>
    <row r="444" spans="1:14" ht="49.5">
      <c r="A444" s="268" t="str">
        <f t="shared" si="6"/>
        <v>Developing Others|Officer|4</v>
      </c>
      <c r="B444" s="223" t="s">
        <v>505</v>
      </c>
      <c r="C444" s="197" t="s">
        <v>4</v>
      </c>
      <c r="D444" s="79">
        <v>4</v>
      </c>
      <c r="E444" s="79" t="s">
        <v>581</v>
      </c>
      <c r="F444" s="79">
        <v>2</v>
      </c>
      <c r="G444" s="276" t="s">
        <v>2617</v>
      </c>
      <c r="H444" s="276" t="s">
        <v>2618</v>
      </c>
      <c r="I444" s="276" t="s">
        <v>2619</v>
      </c>
      <c r="J444" s="276" t="s">
        <v>2620</v>
      </c>
      <c r="K444" s="276" t="s">
        <v>531</v>
      </c>
      <c r="L444" s="276" t="s">
        <v>532</v>
      </c>
      <c r="M444" s="276" t="s">
        <v>2621</v>
      </c>
      <c r="N444" s="276" t="s">
        <v>1742</v>
      </c>
    </row>
    <row r="445" spans="1:14" ht="49.5">
      <c r="A445" s="268" t="str">
        <f t="shared" si="6"/>
        <v>Developing Others|Officer|4</v>
      </c>
      <c r="B445" s="223" t="s">
        <v>505</v>
      </c>
      <c r="C445" s="197" t="s">
        <v>4</v>
      </c>
      <c r="D445" s="79">
        <v>4</v>
      </c>
      <c r="E445" s="79" t="s">
        <v>581</v>
      </c>
      <c r="F445" s="79">
        <v>3</v>
      </c>
      <c r="G445" s="276" t="s">
        <v>2622</v>
      </c>
      <c r="H445" s="276" t="s">
        <v>2623</v>
      </c>
      <c r="I445" s="276" t="s">
        <v>2624</v>
      </c>
      <c r="J445" s="276" t="s">
        <v>2625</v>
      </c>
      <c r="K445" s="276" t="s">
        <v>531</v>
      </c>
      <c r="L445" s="276" t="s">
        <v>532</v>
      </c>
      <c r="M445" s="276" t="s">
        <v>2626</v>
      </c>
      <c r="N445" s="276" t="s">
        <v>1868</v>
      </c>
    </row>
    <row r="446" spans="1:14" ht="66">
      <c r="A446" s="268" t="str">
        <f t="shared" si="6"/>
        <v>Developing Others|Analyst|1</v>
      </c>
      <c r="B446" s="223" t="s">
        <v>505</v>
      </c>
      <c r="C446" s="197" t="s">
        <v>6</v>
      </c>
      <c r="D446" s="197">
        <v>1</v>
      </c>
      <c r="E446" s="79" t="s">
        <v>526</v>
      </c>
      <c r="F446" s="79">
        <v>1</v>
      </c>
      <c r="G446" s="276" t="s">
        <v>2627</v>
      </c>
      <c r="H446" s="276" t="s">
        <v>2628</v>
      </c>
      <c r="I446" s="276" t="s">
        <v>2629</v>
      </c>
      <c r="J446" s="276" t="s">
        <v>2630</v>
      </c>
      <c r="K446" s="276" t="s">
        <v>531</v>
      </c>
      <c r="L446" s="276" t="s">
        <v>532</v>
      </c>
      <c r="M446" s="276" t="s">
        <v>2631</v>
      </c>
      <c r="N446" s="276" t="s">
        <v>534</v>
      </c>
    </row>
    <row r="447" spans="1:14" ht="49.5">
      <c r="A447" s="268" t="str">
        <f t="shared" si="6"/>
        <v>Developing Others|Analyst|1</v>
      </c>
      <c r="B447" s="223" t="s">
        <v>505</v>
      </c>
      <c r="C447" s="197" t="s">
        <v>6</v>
      </c>
      <c r="D447" s="197">
        <v>1</v>
      </c>
      <c r="E447" s="79" t="s">
        <v>526</v>
      </c>
      <c r="F447" s="79">
        <v>2</v>
      </c>
      <c r="G447" s="276" t="s">
        <v>2632</v>
      </c>
      <c r="H447" s="276" t="s">
        <v>2633</v>
      </c>
      <c r="I447" s="276" t="s">
        <v>2634</v>
      </c>
      <c r="J447" s="276" t="s">
        <v>2635</v>
      </c>
      <c r="K447" s="276" t="s">
        <v>531</v>
      </c>
      <c r="L447" s="276" t="s">
        <v>532</v>
      </c>
      <c r="M447" s="276" t="s">
        <v>2636</v>
      </c>
      <c r="N447" s="276" t="s">
        <v>534</v>
      </c>
    </row>
    <row r="448" spans="1:14" ht="49.5">
      <c r="A448" s="268" t="str">
        <f t="shared" si="6"/>
        <v>Developing Others|Analyst|1</v>
      </c>
      <c r="B448" s="223" t="s">
        <v>505</v>
      </c>
      <c r="C448" s="197" t="s">
        <v>6</v>
      </c>
      <c r="D448" s="197">
        <v>1</v>
      </c>
      <c r="E448" s="79" t="s">
        <v>526</v>
      </c>
      <c r="F448" s="79">
        <v>3</v>
      </c>
      <c r="G448" s="276" t="s">
        <v>2637</v>
      </c>
      <c r="H448" s="276" t="s">
        <v>2638</v>
      </c>
      <c r="I448" s="276" t="s">
        <v>2639</v>
      </c>
      <c r="J448" s="276" t="s">
        <v>1582</v>
      </c>
      <c r="K448" s="276" t="s">
        <v>531</v>
      </c>
      <c r="L448" s="276" t="s">
        <v>532</v>
      </c>
      <c r="M448" s="276" t="s">
        <v>2640</v>
      </c>
      <c r="N448" s="276" t="s">
        <v>534</v>
      </c>
    </row>
    <row r="449" spans="1:14" ht="49.5">
      <c r="A449" s="268" t="str">
        <f t="shared" si="6"/>
        <v>Developing Others|Analyst|2</v>
      </c>
      <c r="B449" s="223" t="s">
        <v>505</v>
      </c>
      <c r="C449" s="197" t="s">
        <v>6</v>
      </c>
      <c r="D449" s="79">
        <v>2</v>
      </c>
      <c r="E449" s="79" t="s">
        <v>545</v>
      </c>
      <c r="F449" s="79">
        <v>1</v>
      </c>
      <c r="G449" s="276" t="s">
        <v>2641</v>
      </c>
      <c r="H449" s="276" t="s">
        <v>2642</v>
      </c>
      <c r="I449" s="276" t="s">
        <v>2643</v>
      </c>
      <c r="J449" s="276" t="s">
        <v>2644</v>
      </c>
      <c r="K449" s="276" t="s">
        <v>531</v>
      </c>
      <c r="L449" s="276" t="s">
        <v>532</v>
      </c>
      <c r="M449" s="276" t="s">
        <v>2645</v>
      </c>
      <c r="N449" s="276" t="s">
        <v>677</v>
      </c>
    </row>
    <row r="450" spans="1:14" ht="49.5">
      <c r="A450" s="268" t="str">
        <f t="shared" si="6"/>
        <v>Developing Others|Analyst|2</v>
      </c>
      <c r="B450" s="223" t="s">
        <v>505</v>
      </c>
      <c r="C450" s="197" t="s">
        <v>6</v>
      </c>
      <c r="D450" s="79">
        <v>2</v>
      </c>
      <c r="E450" s="79" t="s">
        <v>545</v>
      </c>
      <c r="F450" s="79">
        <v>2</v>
      </c>
      <c r="G450" s="276" t="s">
        <v>2646</v>
      </c>
      <c r="H450" s="276" t="s">
        <v>2647</v>
      </c>
      <c r="I450" s="276" t="s">
        <v>2648</v>
      </c>
      <c r="J450" s="276" t="s">
        <v>2649</v>
      </c>
      <c r="K450" s="276" t="s">
        <v>531</v>
      </c>
      <c r="L450" s="276" t="s">
        <v>532</v>
      </c>
      <c r="M450" s="276" t="s">
        <v>2650</v>
      </c>
      <c r="N450" s="276" t="s">
        <v>534</v>
      </c>
    </row>
    <row r="451" spans="1:14" ht="66">
      <c r="A451" s="268" t="str">
        <f t="shared" ref="A451:A514" si="7">B451 &amp; "|" &amp; C451 &amp; "|" &amp; D451</f>
        <v>Developing Others|Analyst|2</v>
      </c>
      <c r="B451" s="223" t="s">
        <v>505</v>
      </c>
      <c r="C451" s="197" t="s">
        <v>6</v>
      </c>
      <c r="D451" s="79">
        <v>2</v>
      </c>
      <c r="E451" s="79" t="s">
        <v>545</v>
      </c>
      <c r="F451" s="79">
        <v>3</v>
      </c>
      <c r="G451" s="276" t="s">
        <v>2651</v>
      </c>
      <c r="H451" s="276" t="s">
        <v>2652</v>
      </c>
      <c r="I451" s="276" t="s">
        <v>2653</v>
      </c>
      <c r="J451" s="276" t="s">
        <v>2654</v>
      </c>
      <c r="K451" s="276" t="s">
        <v>531</v>
      </c>
      <c r="L451" s="276" t="s">
        <v>532</v>
      </c>
      <c r="M451" s="276" t="s">
        <v>2655</v>
      </c>
      <c r="N451" s="276" t="s">
        <v>534</v>
      </c>
    </row>
    <row r="452" spans="1:14" ht="49.5">
      <c r="A452" s="268" t="str">
        <f t="shared" si="7"/>
        <v>Developing Others|Analyst|3</v>
      </c>
      <c r="B452" s="223" t="s">
        <v>505</v>
      </c>
      <c r="C452" s="197" t="s">
        <v>6</v>
      </c>
      <c r="D452" s="79">
        <v>3</v>
      </c>
      <c r="E452" s="79" t="s">
        <v>563</v>
      </c>
      <c r="F452" s="79">
        <v>1</v>
      </c>
      <c r="G452" s="276" t="s">
        <v>2656</v>
      </c>
      <c r="H452" s="276" t="s">
        <v>2657</v>
      </c>
      <c r="I452" s="276" t="s">
        <v>2658</v>
      </c>
      <c r="J452" s="276" t="s">
        <v>2659</v>
      </c>
      <c r="K452" s="276" t="s">
        <v>531</v>
      </c>
      <c r="L452" s="276" t="s">
        <v>532</v>
      </c>
      <c r="M452" s="276" t="s">
        <v>2660</v>
      </c>
      <c r="N452" s="276" t="s">
        <v>2661</v>
      </c>
    </row>
    <row r="453" spans="1:14" ht="49.5">
      <c r="A453" s="268" t="str">
        <f t="shared" si="7"/>
        <v>Developing Others|Analyst|3</v>
      </c>
      <c r="B453" s="223" t="s">
        <v>505</v>
      </c>
      <c r="C453" s="197" t="s">
        <v>6</v>
      </c>
      <c r="D453" s="79">
        <v>3</v>
      </c>
      <c r="E453" s="79" t="s">
        <v>563</v>
      </c>
      <c r="F453" s="79">
        <v>2</v>
      </c>
      <c r="G453" s="276" t="s">
        <v>2662</v>
      </c>
      <c r="H453" s="276" t="s">
        <v>2663</v>
      </c>
      <c r="I453" s="276" t="s">
        <v>2664</v>
      </c>
      <c r="J453" s="276" t="s">
        <v>2665</v>
      </c>
      <c r="K453" s="276" t="s">
        <v>531</v>
      </c>
      <c r="L453" s="276" t="s">
        <v>532</v>
      </c>
      <c r="M453" s="276" t="s">
        <v>2666</v>
      </c>
      <c r="N453" s="276" t="s">
        <v>534</v>
      </c>
    </row>
    <row r="454" spans="1:14" ht="66">
      <c r="A454" s="268" t="str">
        <f t="shared" si="7"/>
        <v>Developing Others|Analyst|3</v>
      </c>
      <c r="B454" s="223" t="s">
        <v>505</v>
      </c>
      <c r="C454" s="197" t="s">
        <v>6</v>
      </c>
      <c r="D454" s="79">
        <v>3</v>
      </c>
      <c r="E454" s="79" t="s">
        <v>563</v>
      </c>
      <c r="F454" s="79">
        <v>3</v>
      </c>
      <c r="G454" s="276" t="s">
        <v>2667</v>
      </c>
      <c r="H454" s="276" t="s">
        <v>2668</v>
      </c>
      <c r="I454" s="276" t="s">
        <v>2669</v>
      </c>
      <c r="J454" s="276" t="s">
        <v>578</v>
      </c>
      <c r="K454" s="276" t="s">
        <v>531</v>
      </c>
      <c r="L454" s="276" t="s">
        <v>532</v>
      </c>
      <c r="M454" s="276" t="s">
        <v>2670</v>
      </c>
      <c r="N454" s="276" t="s">
        <v>580</v>
      </c>
    </row>
    <row r="455" spans="1:14" ht="49.5">
      <c r="A455" s="268" t="str">
        <f t="shared" si="7"/>
        <v>Developing Others|Analyst|4</v>
      </c>
      <c r="B455" s="223" t="s">
        <v>505</v>
      </c>
      <c r="C455" s="197" t="s">
        <v>6</v>
      </c>
      <c r="D455" s="79">
        <v>4</v>
      </c>
      <c r="E455" s="79" t="s">
        <v>581</v>
      </c>
      <c r="F455" s="79">
        <v>1</v>
      </c>
      <c r="G455" s="276" t="s">
        <v>2671</v>
      </c>
      <c r="H455" s="276" t="s">
        <v>2672</v>
      </c>
      <c r="I455" s="276" t="s">
        <v>2673</v>
      </c>
      <c r="J455" s="276" t="s">
        <v>2674</v>
      </c>
      <c r="K455" s="276" t="s">
        <v>531</v>
      </c>
      <c r="L455" s="276" t="s">
        <v>532</v>
      </c>
      <c r="M455" s="276" t="s">
        <v>2675</v>
      </c>
      <c r="N455" s="276" t="s">
        <v>562</v>
      </c>
    </row>
    <row r="456" spans="1:14" ht="66">
      <c r="A456" s="268" t="str">
        <f t="shared" si="7"/>
        <v>Developing Others|Analyst|4</v>
      </c>
      <c r="B456" s="223" t="s">
        <v>505</v>
      </c>
      <c r="C456" s="197" t="s">
        <v>6</v>
      </c>
      <c r="D456" s="79">
        <v>4</v>
      </c>
      <c r="E456" s="79" t="s">
        <v>581</v>
      </c>
      <c r="F456" s="79">
        <v>2</v>
      </c>
      <c r="G456" s="276" t="s">
        <v>2676</v>
      </c>
      <c r="H456" s="276" t="s">
        <v>2677</v>
      </c>
      <c r="I456" s="276" t="s">
        <v>2678</v>
      </c>
      <c r="J456" s="276" t="s">
        <v>2679</v>
      </c>
      <c r="K456" s="276" t="s">
        <v>531</v>
      </c>
      <c r="L456" s="276" t="s">
        <v>532</v>
      </c>
      <c r="M456" s="276" t="s">
        <v>2680</v>
      </c>
      <c r="N456" s="276" t="s">
        <v>2661</v>
      </c>
    </row>
    <row r="457" spans="1:14" ht="49.5">
      <c r="A457" s="268" t="str">
        <f t="shared" si="7"/>
        <v>Developing Others|Analyst|4</v>
      </c>
      <c r="B457" s="223" t="s">
        <v>505</v>
      </c>
      <c r="C457" s="197" t="s">
        <v>6</v>
      </c>
      <c r="D457" s="79">
        <v>4</v>
      </c>
      <c r="E457" s="79" t="s">
        <v>581</v>
      </c>
      <c r="F457" s="79">
        <v>3</v>
      </c>
      <c r="G457" s="276" t="s">
        <v>2681</v>
      </c>
      <c r="H457" s="276" t="s">
        <v>2682</v>
      </c>
      <c r="I457" s="276" t="s">
        <v>2683</v>
      </c>
      <c r="J457" s="276" t="s">
        <v>2684</v>
      </c>
      <c r="K457" s="276" t="s">
        <v>531</v>
      </c>
      <c r="L457" s="276" t="s">
        <v>532</v>
      </c>
      <c r="M457" s="276" t="s">
        <v>2685</v>
      </c>
      <c r="N457" s="276" t="s">
        <v>2661</v>
      </c>
    </row>
    <row r="458" spans="1:14" ht="49.5">
      <c r="A458" s="268" t="str">
        <f t="shared" si="7"/>
        <v>Developing Others|Unit Head/Specialist|1</v>
      </c>
      <c r="B458" s="223" t="s">
        <v>505</v>
      </c>
      <c r="C458" s="79" t="s">
        <v>13</v>
      </c>
      <c r="D458" s="197">
        <v>1</v>
      </c>
      <c r="E458" s="79" t="s">
        <v>526</v>
      </c>
      <c r="F458" s="79">
        <v>1</v>
      </c>
      <c r="G458" s="276" t="s">
        <v>2686</v>
      </c>
      <c r="H458" s="276" t="s">
        <v>2687</v>
      </c>
      <c r="I458" s="276" t="s">
        <v>2688</v>
      </c>
      <c r="J458" s="276" t="s">
        <v>2689</v>
      </c>
      <c r="K458" s="276" t="s">
        <v>531</v>
      </c>
      <c r="L458" s="276" t="s">
        <v>532</v>
      </c>
      <c r="M458" s="276" t="s">
        <v>2690</v>
      </c>
      <c r="N458" s="276" t="s">
        <v>534</v>
      </c>
    </row>
    <row r="459" spans="1:14" ht="66">
      <c r="A459" s="268" t="str">
        <f t="shared" si="7"/>
        <v>Developing Others|Unit Head/Specialist|1</v>
      </c>
      <c r="B459" s="223" t="s">
        <v>505</v>
      </c>
      <c r="C459" s="79" t="s">
        <v>13</v>
      </c>
      <c r="D459" s="197">
        <v>1</v>
      </c>
      <c r="E459" s="79" t="s">
        <v>526</v>
      </c>
      <c r="F459" s="79">
        <v>2</v>
      </c>
      <c r="G459" s="276" t="s">
        <v>2691</v>
      </c>
      <c r="H459" s="276" t="s">
        <v>2692</v>
      </c>
      <c r="I459" s="276" t="s">
        <v>2693</v>
      </c>
      <c r="J459" s="276" t="s">
        <v>2694</v>
      </c>
      <c r="K459" s="276" t="s">
        <v>531</v>
      </c>
      <c r="L459" s="276" t="s">
        <v>532</v>
      </c>
      <c r="M459" s="276" t="s">
        <v>2695</v>
      </c>
      <c r="N459" s="276" t="s">
        <v>534</v>
      </c>
    </row>
    <row r="460" spans="1:14" ht="49.5">
      <c r="A460" s="268" t="str">
        <f t="shared" si="7"/>
        <v>Developing Others|Unit Head/Specialist|1</v>
      </c>
      <c r="B460" s="223" t="s">
        <v>505</v>
      </c>
      <c r="C460" s="79" t="s">
        <v>13</v>
      </c>
      <c r="D460" s="197">
        <v>1</v>
      </c>
      <c r="E460" s="79" t="s">
        <v>526</v>
      </c>
      <c r="F460" s="79">
        <v>3</v>
      </c>
      <c r="G460" s="276" t="s">
        <v>2696</v>
      </c>
      <c r="H460" s="276" t="s">
        <v>2697</v>
      </c>
      <c r="I460" s="276" t="s">
        <v>2698</v>
      </c>
      <c r="J460" s="276" t="s">
        <v>1582</v>
      </c>
      <c r="K460" s="276" t="s">
        <v>531</v>
      </c>
      <c r="L460" s="276" t="s">
        <v>532</v>
      </c>
      <c r="M460" s="276" t="s">
        <v>2699</v>
      </c>
      <c r="N460" s="276" t="s">
        <v>534</v>
      </c>
    </row>
    <row r="461" spans="1:14" ht="49.5">
      <c r="A461" s="268" t="str">
        <f t="shared" si="7"/>
        <v>Developing Others|Unit Head/Specialist|2</v>
      </c>
      <c r="B461" s="223" t="s">
        <v>505</v>
      </c>
      <c r="C461" s="79" t="s">
        <v>13</v>
      </c>
      <c r="D461" s="79">
        <v>2</v>
      </c>
      <c r="E461" s="79" t="s">
        <v>545</v>
      </c>
      <c r="F461" s="79">
        <v>1</v>
      </c>
      <c r="G461" s="276" t="s">
        <v>2700</v>
      </c>
      <c r="H461" s="276" t="s">
        <v>2701</v>
      </c>
      <c r="I461" s="276" t="s">
        <v>2702</v>
      </c>
      <c r="J461" s="276" t="s">
        <v>2703</v>
      </c>
      <c r="K461" s="276" t="s">
        <v>531</v>
      </c>
      <c r="L461" s="276" t="s">
        <v>532</v>
      </c>
      <c r="M461" s="276" t="s">
        <v>2704</v>
      </c>
      <c r="N461" s="276" t="s">
        <v>551</v>
      </c>
    </row>
    <row r="462" spans="1:14" ht="33">
      <c r="A462" s="268" t="str">
        <f t="shared" si="7"/>
        <v>Developing Others|Unit Head/Specialist|2</v>
      </c>
      <c r="B462" s="223" t="s">
        <v>505</v>
      </c>
      <c r="C462" s="79" t="s">
        <v>13</v>
      </c>
      <c r="D462" s="79">
        <v>2</v>
      </c>
      <c r="E462" s="79" t="s">
        <v>545</v>
      </c>
      <c r="F462" s="79">
        <v>2</v>
      </c>
      <c r="G462" s="276" t="s">
        <v>2705</v>
      </c>
      <c r="H462" s="276" t="s">
        <v>2706</v>
      </c>
      <c r="I462" s="276" t="s">
        <v>2707</v>
      </c>
      <c r="J462" s="276" t="s">
        <v>2708</v>
      </c>
      <c r="K462" s="276" t="s">
        <v>531</v>
      </c>
      <c r="L462" s="276" t="s">
        <v>532</v>
      </c>
      <c r="M462" s="276" t="s">
        <v>2709</v>
      </c>
      <c r="N462" s="276" t="s">
        <v>562</v>
      </c>
    </row>
    <row r="463" spans="1:14" ht="33">
      <c r="A463" s="268" t="str">
        <f t="shared" si="7"/>
        <v>Developing Others|Unit Head/Specialist|2</v>
      </c>
      <c r="B463" s="223" t="s">
        <v>505</v>
      </c>
      <c r="C463" s="79" t="s">
        <v>13</v>
      </c>
      <c r="D463" s="79">
        <v>2</v>
      </c>
      <c r="E463" s="79" t="s">
        <v>545</v>
      </c>
      <c r="F463" s="79">
        <v>3</v>
      </c>
      <c r="G463" s="276" t="s">
        <v>2710</v>
      </c>
      <c r="H463" s="276" t="s">
        <v>2711</v>
      </c>
      <c r="I463" s="276" t="s">
        <v>2712</v>
      </c>
      <c r="J463" s="276" t="s">
        <v>2713</v>
      </c>
      <c r="K463" s="276" t="s">
        <v>531</v>
      </c>
      <c r="L463" s="276" t="s">
        <v>532</v>
      </c>
      <c r="M463" s="276" t="s">
        <v>2714</v>
      </c>
      <c r="N463" s="276" t="s">
        <v>2715</v>
      </c>
    </row>
    <row r="464" spans="1:14" ht="49.5">
      <c r="A464" s="268" t="str">
        <f t="shared" si="7"/>
        <v>Developing Others|Unit Head/Specialist|3</v>
      </c>
      <c r="B464" s="223" t="s">
        <v>505</v>
      </c>
      <c r="C464" s="79" t="s">
        <v>13</v>
      </c>
      <c r="D464" s="79">
        <v>3</v>
      </c>
      <c r="E464" s="79" t="s">
        <v>563</v>
      </c>
      <c r="F464" s="79">
        <v>1</v>
      </c>
      <c r="G464" s="276" t="s">
        <v>2716</v>
      </c>
      <c r="H464" s="276" t="s">
        <v>2717</v>
      </c>
      <c r="I464" s="276" t="s">
        <v>2718</v>
      </c>
      <c r="J464" s="276" t="s">
        <v>876</v>
      </c>
      <c r="K464" s="276" t="s">
        <v>531</v>
      </c>
      <c r="L464" s="276" t="s">
        <v>532</v>
      </c>
      <c r="M464" s="276" t="s">
        <v>2719</v>
      </c>
      <c r="N464" s="276" t="s">
        <v>534</v>
      </c>
    </row>
    <row r="465" spans="1:14" ht="49.5">
      <c r="A465" s="268" t="str">
        <f t="shared" si="7"/>
        <v>Developing Others|Unit Head/Specialist|3</v>
      </c>
      <c r="B465" s="223" t="s">
        <v>505</v>
      </c>
      <c r="C465" s="79" t="s">
        <v>13</v>
      </c>
      <c r="D465" s="79">
        <v>3</v>
      </c>
      <c r="E465" s="79" t="s">
        <v>563</v>
      </c>
      <c r="F465" s="79">
        <v>2</v>
      </c>
      <c r="G465" s="276" t="s">
        <v>2720</v>
      </c>
      <c r="H465" s="276" t="s">
        <v>2721</v>
      </c>
      <c r="I465" s="276" t="s">
        <v>2722</v>
      </c>
      <c r="J465" s="276" t="s">
        <v>2723</v>
      </c>
      <c r="K465" s="276" t="s">
        <v>531</v>
      </c>
      <c r="L465" s="276" t="s">
        <v>532</v>
      </c>
      <c r="M465" s="276" t="s">
        <v>2724</v>
      </c>
      <c r="N465" s="276" t="s">
        <v>1820</v>
      </c>
    </row>
    <row r="466" spans="1:14" ht="66">
      <c r="A466" s="268" t="str">
        <f t="shared" si="7"/>
        <v>Developing Others|Unit Head/Specialist|3</v>
      </c>
      <c r="B466" s="223" t="s">
        <v>505</v>
      </c>
      <c r="C466" s="79" t="s">
        <v>13</v>
      </c>
      <c r="D466" s="79">
        <v>3</v>
      </c>
      <c r="E466" s="79" t="s">
        <v>563</v>
      </c>
      <c r="F466" s="79">
        <v>3</v>
      </c>
      <c r="G466" s="276" t="s">
        <v>2725</v>
      </c>
      <c r="H466" s="276" t="s">
        <v>2726</v>
      </c>
      <c r="I466" s="276" t="s">
        <v>2727</v>
      </c>
      <c r="J466" s="276" t="s">
        <v>578</v>
      </c>
      <c r="K466" s="276" t="s">
        <v>531</v>
      </c>
      <c r="L466" s="276" t="s">
        <v>532</v>
      </c>
      <c r="M466" s="276" t="s">
        <v>2728</v>
      </c>
      <c r="N466" s="276" t="s">
        <v>580</v>
      </c>
    </row>
    <row r="467" spans="1:14" ht="49.5">
      <c r="A467" s="268" t="str">
        <f t="shared" si="7"/>
        <v>Developing Others|Unit Head/Specialist|4</v>
      </c>
      <c r="B467" s="223" t="s">
        <v>505</v>
      </c>
      <c r="C467" s="79" t="s">
        <v>13</v>
      </c>
      <c r="D467" s="79">
        <v>4</v>
      </c>
      <c r="E467" s="79" t="s">
        <v>581</v>
      </c>
      <c r="F467" s="79">
        <v>1</v>
      </c>
      <c r="G467" s="276" t="s">
        <v>2729</v>
      </c>
      <c r="H467" s="276" t="s">
        <v>2730</v>
      </c>
      <c r="I467" s="276" t="s">
        <v>2731</v>
      </c>
      <c r="J467" s="276" t="s">
        <v>2732</v>
      </c>
      <c r="K467" s="276" t="s">
        <v>531</v>
      </c>
      <c r="L467" s="276" t="s">
        <v>532</v>
      </c>
      <c r="M467" s="276" t="s">
        <v>2733</v>
      </c>
      <c r="N467" s="276" t="s">
        <v>562</v>
      </c>
    </row>
    <row r="468" spans="1:14" ht="49.5">
      <c r="A468" s="268" t="str">
        <f t="shared" si="7"/>
        <v>Developing Others|Unit Head/Specialist|4</v>
      </c>
      <c r="B468" s="223" t="s">
        <v>505</v>
      </c>
      <c r="C468" s="79" t="s">
        <v>13</v>
      </c>
      <c r="D468" s="79">
        <v>4</v>
      </c>
      <c r="E468" s="79" t="s">
        <v>581</v>
      </c>
      <c r="F468" s="79">
        <v>2</v>
      </c>
      <c r="G468" s="276" t="s">
        <v>2734</v>
      </c>
      <c r="H468" s="276" t="s">
        <v>2735</v>
      </c>
      <c r="I468" s="276" t="s">
        <v>2736</v>
      </c>
      <c r="J468" s="276" t="s">
        <v>2737</v>
      </c>
      <c r="K468" s="276" t="s">
        <v>531</v>
      </c>
      <c r="L468" s="276" t="s">
        <v>532</v>
      </c>
      <c r="M468" s="276" t="s">
        <v>2738</v>
      </c>
      <c r="N468" s="276" t="s">
        <v>562</v>
      </c>
    </row>
    <row r="469" spans="1:14" ht="49.5">
      <c r="A469" s="268" t="str">
        <f t="shared" si="7"/>
        <v>Developing Others|Unit Head/Specialist|4</v>
      </c>
      <c r="B469" s="223" t="s">
        <v>505</v>
      </c>
      <c r="C469" s="79" t="s">
        <v>13</v>
      </c>
      <c r="D469" s="79">
        <v>4</v>
      </c>
      <c r="E469" s="79" t="s">
        <v>581</v>
      </c>
      <c r="F469" s="79">
        <v>3</v>
      </c>
      <c r="G469" s="276" t="s">
        <v>2739</v>
      </c>
      <c r="H469" s="276" t="s">
        <v>2740</v>
      </c>
      <c r="I469" s="276" t="s">
        <v>2741</v>
      </c>
      <c r="J469" s="276" t="s">
        <v>2742</v>
      </c>
      <c r="K469" s="276" t="s">
        <v>531</v>
      </c>
      <c r="L469" s="276" t="s">
        <v>532</v>
      </c>
      <c r="M469" s="276" t="s">
        <v>2743</v>
      </c>
      <c r="N469" s="276" t="s">
        <v>2744</v>
      </c>
    </row>
    <row r="470" spans="1:14" ht="66">
      <c r="A470" s="268" t="str">
        <f t="shared" si="7"/>
        <v>Developing Others|Department Head|1</v>
      </c>
      <c r="B470" s="223" t="s">
        <v>505</v>
      </c>
      <c r="C470" s="79" t="s">
        <v>719</v>
      </c>
      <c r="D470" s="197">
        <v>1</v>
      </c>
      <c r="E470" s="79" t="s">
        <v>526</v>
      </c>
      <c r="F470" s="79">
        <v>1</v>
      </c>
      <c r="G470" s="276" t="s">
        <v>2745</v>
      </c>
      <c r="H470" s="276" t="s">
        <v>2746</v>
      </c>
      <c r="I470" s="276" t="s">
        <v>2747</v>
      </c>
      <c r="J470" s="276" t="s">
        <v>2748</v>
      </c>
      <c r="K470" s="276" t="s">
        <v>531</v>
      </c>
      <c r="L470" s="276" t="s">
        <v>532</v>
      </c>
      <c r="M470" s="276" t="s">
        <v>2749</v>
      </c>
      <c r="N470" s="276" t="s">
        <v>534</v>
      </c>
    </row>
    <row r="471" spans="1:14" ht="49.5">
      <c r="A471" s="268" t="str">
        <f t="shared" si="7"/>
        <v>Developing Others|Department Head|1</v>
      </c>
      <c r="B471" s="223" t="s">
        <v>505</v>
      </c>
      <c r="C471" s="79" t="s">
        <v>719</v>
      </c>
      <c r="D471" s="197">
        <v>1</v>
      </c>
      <c r="E471" s="79" t="s">
        <v>526</v>
      </c>
      <c r="F471" s="79">
        <v>2</v>
      </c>
      <c r="G471" s="276" t="s">
        <v>2750</v>
      </c>
      <c r="H471" s="276" t="s">
        <v>2751</v>
      </c>
      <c r="I471" s="276" t="s">
        <v>2752</v>
      </c>
      <c r="J471" s="276" t="s">
        <v>2753</v>
      </c>
      <c r="K471" s="276" t="s">
        <v>531</v>
      </c>
      <c r="L471" s="276" t="s">
        <v>532</v>
      </c>
      <c r="M471" s="276" t="s">
        <v>2754</v>
      </c>
      <c r="N471" s="276" t="s">
        <v>534</v>
      </c>
    </row>
    <row r="472" spans="1:14" ht="66">
      <c r="A472" s="268" t="str">
        <f t="shared" si="7"/>
        <v>Developing Others|Department Head|1</v>
      </c>
      <c r="B472" s="223" t="s">
        <v>505</v>
      </c>
      <c r="C472" s="79" t="s">
        <v>719</v>
      </c>
      <c r="D472" s="197">
        <v>1</v>
      </c>
      <c r="E472" s="79" t="s">
        <v>526</v>
      </c>
      <c r="F472" s="79">
        <v>3</v>
      </c>
      <c r="G472" s="276" t="s">
        <v>2755</v>
      </c>
      <c r="H472" s="276" t="s">
        <v>2756</v>
      </c>
      <c r="I472" s="276" t="s">
        <v>2757</v>
      </c>
      <c r="J472" s="276" t="s">
        <v>2758</v>
      </c>
      <c r="K472" s="276" t="s">
        <v>531</v>
      </c>
      <c r="L472" s="276" t="s">
        <v>532</v>
      </c>
      <c r="M472" s="276" t="s">
        <v>2759</v>
      </c>
      <c r="N472" s="276" t="s">
        <v>534</v>
      </c>
    </row>
    <row r="473" spans="1:14" ht="49.5">
      <c r="A473" s="268" t="str">
        <f t="shared" si="7"/>
        <v>Developing Others|Department Head|2</v>
      </c>
      <c r="B473" s="223" t="s">
        <v>505</v>
      </c>
      <c r="C473" s="79" t="s">
        <v>719</v>
      </c>
      <c r="D473" s="79">
        <v>2</v>
      </c>
      <c r="E473" s="79" t="s">
        <v>545</v>
      </c>
      <c r="F473" s="79">
        <v>1</v>
      </c>
      <c r="G473" s="276" t="s">
        <v>2760</v>
      </c>
      <c r="H473" s="276" t="s">
        <v>2761</v>
      </c>
      <c r="I473" s="276" t="s">
        <v>2762</v>
      </c>
      <c r="J473" s="276" t="s">
        <v>2763</v>
      </c>
      <c r="K473" s="276" t="s">
        <v>531</v>
      </c>
      <c r="L473" s="276" t="s">
        <v>532</v>
      </c>
      <c r="M473" s="276" t="s">
        <v>2764</v>
      </c>
      <c r="N473" s="276" t="s">
        <v>551</v>
      </c>
    </row>
    <row r="474" spans="1:14" ht="49.5">
      <c r="A474" s="268" t="str">
        <f t="shared" si="7"/>
        <v>Developing Others|Department Head|2</v>
      </c>
      <c r="B474" s="223" t="s">
        <v>505</v>
      </c>
      <c r="C474" s="79" t="s">
        <v>719</v>
      </c>
      <c r="D474" s="79">
        <v>2</v>
      </c>
      <c r="E474" s="79" t="s">
        <v>545</v>
      </c>
      <c r="F474" s="79">
        <v>2</v>
      </c>
      <c r="G474" s="276" t="s">
        <v>2765</v>
      </c>
      <c r="H474" s="276" t="s">
        <v>2766</v>
      </c>
      <c r="I474" s="276" t="s">
        <v>2767</v>
      </c>
      <c r="J474" s="276" t="s">
        <v>2768</v>
      </c>
      <c r="K474" s="276" t="s">
        <v>531</v>
      </c>
      <c r="L474" s="276" t="s">
        <v>532</v>
      </c>
      <c r="M474" s="276" t="s">
        <v>2769</v>
      </c>
      <c r="N474" s="276" t="s">
        <v>534</v>
      </c>
    </row>
    <row r="475" spans="1:14" ht="49.5">
      <c r="A475" s="268" t="str">
        <f t="shared" si="7"/>
        <v>Developing Others|Department Head|2</v>
      </c>
      <c r="B475" s="223" t="s">
        <v>505</v>
      </c>
      <c r="C475" s="79" t="s">
        <v>719</v>
      </c>
      <c r="D475" s="79">
        <v>2</v>
      </c>
      <c r="E475" s="79" t="s">
        <v>545</v>
      </c>
      <c r="F475" s="79">
        <v>3</v>
      </c>
      <c r="G475" s="276" t="s">
        <v>2770</v>
      </c>
      <c r="H475" s="276" t="s">
        <v>2771</v>
      </c>
      <c r="I475" s="276" t="s">
        <v>2772</v>
      </c>
      <c r="J475" s="276" t="s">
        <v>2773</v>
      </c>
      <c r="K475" s="276" t="s">
        <v>531</v>
      </c>
      <c r="L475" s="276" t="s">
        <v>532</v>
      </c>
      <c r="M475" s="276" t="s">
        <v>2774</v>
      </c>
      <c r="N475" s="276" t="s">
        <v>534</v>
      </c>
    </row>
    <row r="476" spans="1:14" ht="66">
      <c r="A476" s="268" t="str">
        <f t="shared" si="7"/>
        <v>Developing Others|Department Head|3</v>
      </c>
      <c r="B476" s="223" t="s">
        <v>505</v>
      </c>
      <c r="C476" s="79" t="s">
        <v>719</v>
      </c>
      <c r="D476" s="79">
        <v>3</v>
      </c>
      <c r="E476" s="79" t="s">
        <v>563</v>
      </c>
      <c r="F476" s="79">
        <v>1</v>
      </c>
      <c r="G476" s="276" t="s">
        <v>2775</v>
      </c>
      <c r="H476" s="276" t="s">
        <v>2776</v>
      </c>
      <c r="I476" s="276" t="s">
        <v>2777</v>
      </c>
      <c r="J476" s="276" t="s">
        <v>2778</v>
      </c>
      <c r="K476" s="276" t="s">
        <v>531</v>
      </c>
      <c r="L476" s="276" t="s">
        <v>532</v>
      </c>
      <c r="M476" s="276" t="s">
        <v>2779</v>
      </c>
      <c r="N476" s="276" t="s">
        <v>534</v>
      </c>
    </row>
    <row r="477" spans="1:14" ht="49.5">
      <c r="A477" s="268" t="str">
        <f t="shared" si="7"/>
        <v>Developing Others|Department Head|3</v>
      </c>
      <c r="B477" s="223" t="s">
        <v>505</v>
      </c>
      <c r="C477" s="79" t="s">
        <v>719</v>
      </c>
      <c r="D477" s="79">
        <v>3</v>
      </c>
      <c r="E477" s="79" t="s">
        <v>563</v>
      </c>
      <c r="F477" s="79">
        <v>2</v>
      </c>
      <c r="G477" s="276" t="s">
        <v>2780</v>
      </c>
      <c r="H477" s="276" t="s">
        <v>2781</v>
      </c>
      <c r="I477" s="276" t="s">
        <v>2782</v>
      </c>
      <c r="J477" s="276" t="s">
        <v>817</v>
      </c>
      <c r="K477" s="276" t="s">
        <v>531</v>
      </c>
      <c r="L477" s="276" t="s">
        <v>532</v>
      </c>
      <c r="M477" s="276" t="s">
        <v>2783</v>
      </c>
      <c r="N477" s="276" t="s">
        <v>562</v>
      </c>
    </row>
    <row r="478" spans="1:14" ht="82.5">
      <c r="A478" s="268" t="str">
        <f t="shared" si="7"/>
        <v>Developing Others|Department Head|3</v>
      </c>
      <c r="B478" s="223" t="s">
        <v>505</v>
      </c>
      <c r="C478" s="79" t="s">
        <v>719</v>
      </c>
      <c r="D478" s="79">
        <v>3</v>
      </c>
      <c r="E478" s="79" t="s">
        <v>563</v>
      </c>
      <c r="F478" s="79">
        <v>3</v>
      </c>
      <c r="G478" s="276" t="s">
        <v>2784</v>
      </c>
      <c r="H478" s="276" t="s">
        <v>2785</v>
      </c>
      <c r="I478" s="276" t="s">
        <v>2786</v>
      </c>
      <c r="J478" s="276" t="s">
        <v>578</v>
      </c>
      <c r="K478" s="276" t="s">
        <v>531</v>
      </c>
      <c r="L478" s="276" t="s">
        <v>532</v>
      </c>
      <c r="M478" s="276" t="s">
        <v>2787</v>
      </c>
      <c r="N478" s="276" t="s">
        <v>580</v>
      </c>
    </row>
    <row r="479" spans="1:14" ht="49.5">
      <c r="A479" s="268" t="str">
        <f t="shared" si="7"/>
        <v>Developing Others|Department Head|4</v>
      </c>
      <c r="B479" s="223" t="s">
        <v>505</v>
      </c>
      <c r="C479" s="79" t="s">
        <v>719</v>
      </c>
      <c r="D479" s="79">
        <v>4</v>
      </c>
      <c r="E479" s="79" t="s">
        <v>581</v>
      </c>
      <c r="F479" s="79">
        <v>1</v>
      </c>
      <c r="G479" s="276" t="s">
        <v>2788</v>
      </c>
      <c r="H479" s="276" t="s">
        <v>2789</v>
      </c>
      <c r="I479" s="276" t="s">
        <v>2790</v>
      </c>
      <c r="J479" s="276" t="s">
        <v>2791</v>
      </c>
      <c r="K479" s="276" t="s">
        <v>531</v>
      </c>
      <c r="L479" s="276" t="s">
        <v>532</v>
      </c>
      <c r="M479" s="276" t="s">
        <v>2792</v>
      </c>
      <c r="N479" s="276" t="s">
        <v>562</v>
      </c>
    </row>
    <row r="480" spans="1:14" ht="66">
      <c r="A480" s="268" t="str">
        <f t="shared" si="7"/>
        <v>Developing Others|Department Head|4</v>
      </c>
      <c r="B480" s="223" t="s">
        <v>505</v>
      </c>
      <c r="C480" s="79" t="s">
        <v>719</v>
      </c>
      <c r="D480" s="79">
        <v>4</v>
      </c>
      <c r="E480" s="79" t="s">
        <v>581</v>
      </c>
      <c r="F480" s="79">
        <v>2</v>
      </c>
      <c r="G480" s="276" t="s">
        <v>2793</v>
      </c>
      <c r="H480" s="276" t="s">
        <v>2794</v>
      </c>
      <c r="I480" s="276" t="s">
        <v>2795</v>
      </c>
      <c r="J480" s="276" t="s">
        <v>2796</v>
      </c>
      <c r="K480" s="276" t="s">
        <v>531</v>
      </c>
      <c r="L480" s="276" t="s">
        <v>532</v>
      </c>
      <c r="M480" s="276" t="s">
        <v>2797</v>
      </c>
      <c r="N480" s="276" t="s">
        <v>2744</v>
      </c>
    </row>
    <row r="481" spans="1:14" ht="49.5">
      <c r="A481" s="268" t="str">
        <f t="shared" si="7"/>
        <v>Developing Others|Department Head|4</v>
      </c>
      <c r="B481" s="223" t="s">
        <v>505</v>
      </c>
      <c r="C481" s="79" t="s">
        <v>719</v>
      </c>
      <c r="D481" s="79">
        <v>4</v>
      </c>
      <c r="E481" s="79" t="s">
        <v>581</v>
      </c>
      <c r="F481" s="79">
        <v>3</v>
      </c>
      <c r="G481" s="276" t="s">
        <v>2798</v>
      </c>
      <c r="H481" s="276" t="s">
        <v>2799</v>
      </c>
      <c r="I481" s="276" t="s">
        <v>2800</v>
      </c>
      <c r="J481" s="276" t="s">
        <v>2801</v>
      </c>
      <c r="K481" s="276" t="s">
        <v>531</v>
      </c>
      <c r="L481" s="276" t="s">
        <v>532</v>
      </c>
      <c r="M481" s="276" t="s">
        <v>2802</v>
      </c>
      <c r="N481" s="276" t="s">
        <v>1868</v>
      </c>
    </row>
    <row r="482" spans="1:14" ht="66">
      <c r="A482" s="268" t="str">
        <f t="shared" si="7"/>
        <v>Developing Others|Division Head|1</v>
      </c>
      <c r="B482" s="223" t="s">
        <v>505</v>
      </c>
      <c r="C482" s="79" t="s">
        <v>778</v>
      </c>
      <c r="D482" s="197">
        <v>1</v>
      </c>
      <c r="E482" s="79" t="s">
        <v>526</v>
      </c>
      <c r="F482" s="79">
        <v>1</v>
      </c>
      <c r="G482" s="276" t="s">
        <v>2803</v>
      </c>
      <c r="H482" s="276" t="s">
        <v>2804</v>
      </c>
      <c r="I482" s="276" t="s">
        <v>2805</v>
      </c>
      <c r="J482" s="276" t="s">
        <v>2806</v>
      </c>
      <c r="K482" s="276" t="s">
        <v>531</v>
      </c>
      <c r="L482" s="276" t="s">
        <v>532</v>
      </c>
      <c r="M482" s="276" t="s">
        <v>2807</v>
      </c>
      <c r="N482" s="276" t="s">
        <v>534</v>
      </c>
    </row>
    <row r="483" spans="1:14" ht="66">
      <c r="A483" s="268" t="str">
        <f t="shared" si="7"/>
        <v>Developing Others|Division Head|1</v>
      </c>
      <c r="B483" s="223" t="s">
        <v>505</v>
      </c>
      <c r="C483" s="79" t="s">
        <v>778</v>
      </c>
      <c r="D483" s="197">
        <v>1</v>
      </c>
      <c r="E483" s="79" t="s">
        <v>526</v>
      </c>
      <c r="F483" s="79">
        <v>2</v>
      </c>
      <c r="G483" s="276" t="s">
        <v>2808</v>
      </c>
      <c r="H483" s="276" t="s">
        <v>2809</v>
      </c>
      <c r="I483" s="276" t="s">
        <v>2810</v>
      </c>
      <c r="J483" s="276" t="s">
        <v>2811</v>
      </c>
      <c r="K483" s="276" t="s">
        <v>531</v>
      </c>
      <c r="L483" s="276" t="s">
        <v>532</v>
      </c>
      <c r="M483" s="276" t="s">
        <v>2812</v>
      </c>
      <c r="N483" s="276" t="s">
        <v>534</v>
      </c>
    </row>
    <row r="484" spans="1:14" ht="49.5">
      <c r="A484" s="268" t="str">
        <f t="shared" si="7"/>
        <v>Developing Others|Division Head|1</v>
      </c>
      <c r="B484" s="223" t="s">
        <v>505</v>
      </c>
      <c r="C484" s="79" t="s">
        <v>778</v>
      </c>
      <c r="D484" s="197">
        <v>1</v>
      </c>
      <c r="E484" s="79" t="s">
        <v>526</v>
      </c>
      <c r="F484" s="79">
        <v>3</v>
      </c>
      <c r="G484" s="276" t="s">
        <v>2813</v>
      </c>
      <c r="H484" s="276" t="s">
        <v>2814</v>
      </c>
      <c r="I484" s="276" t="s">
        <v>2815</v>
      </c>
      <c r="J484" s="276" t="s">
        <v>2816</v>
      </c>
      <c r="K484" s="276" t="s">
        <v>531</v>
      </c>
      <c r="L484" s="276" t="s">
        <v>532</v>
      </c>
      <c r="M484" s="276" t="s">
        <v>2817</v>
      </c>
      <c r="N484" s="276" t="s">
        <v>562</v>
      </c>
    </row>
    <row r="485" spans="1:14" ht="66">
      <c r="A485" s="268" t="str">
        <f t="shared" si="7"/>
        <v>Developing Others|Division Head|2</v>
      </c>
      <c r="B485" s="223" t="s">
        <v>505</v>
      </c>
      <c r="C485" s="79" t="s">
        <v>778</v>
      </c>
      <c r="D485" s="79">
        <v>2</v>
      </c>
      <c r="E485" s="79" t="s">
        <v>545</v>
      </c>
      <c r="F485" s="79">
        <v>1</v>
      </c>
      <c r="G485" s="276" t="s">
        <v>2818</v>
      </c>
      <c r="H485" s="276" t="s">
        <v>2819</v>
      </c>
      <c r="I485" s="276" t="s">
        <v>2820</v>
      </c>
      <c r="J485" s="276" t="s">
        <v>2821</v>
      </c>
      <c r="K485" s="276" t="s">
        <v>531</v>
      </c>
      <c r="L485" s="276" t="s">
        <v>532</v>
      </c>
      <c r="M485" s="276" t="s">
        <v>2822</v>
      </c>
      <c r="N485" s="276" t="s">
        <v>551</v>
      </c>
    </row>
    <row r="486" spans="1:14" ht="49.5">
      <c r="A486" s="268" t="str">
        <f t="shared" si="7"/>
        <v>Developing Others|Division Head|2</v>
      </c>
      <c r="B486" s="223" t="s">
        <v>505</v>
      </c>
      <c r="C486" s="79" t="s">
        <v>778</v>
      </c>
      <c r="D486" s="79">
        <v>2</v>
      </c>
      <c r="E486" s="79" t="s">
        <v>545</v>
      </c>
      <c r="F486" s="79">
        <v>2</v>
      </c>
      <c r="G486" s="276" t="s">
        <v>2823</v>
      </c>
      <c r="H486" s="276" t="s">
        <v>2824</v>
      </c>
      <c r="I486" s="276" t="s">
        <v>2825</v>
      </c>
      <c r="J486" s="276" t="s">
        <v>2826</v>
      </c>
      <c r="K486" s="276" t="s">
        <v>531</v>
      </c>
      <c r="L486" s="276" t="s">
        <v>532</v>
      </c>
      <c r="M486" s="276" t="s">
        <v>2827</v>
      </c>
      <c r="N486" s="276" t="s">
        <v>562</v>
      </c>
    </row>
    <row r="487" spans="1:14" ht="49.5">
      <c r="A487" s="268" t="str">
        <f t="shared" si="7"/>
        <v>Developing Others|Division Head|2</v>
      </c>
      <c r="B487" s="223" t="s">
        <v>505</v>
      </c>
      <c r="C487" s="79" t="s">
        <v>778</v>
      </c>
      <c r="D487" s="79">
        <v>2</v>
      </c>
      <c r="E487" s="79" t="s">
        <v>545</v>
      </c>
      <c r="F487" s="79">
        <v>3</v>
      </c>
      <c r="G487" s="276" t="s">
        <v>2828</v>
      </c>
      <c r="H487" s="276" t="s">
        <v>2829</v>
      </c>
      <c r="I487" s="276" t="s">
        <v>2830</v>
      </c>
      <c r="J487" s="276" t="s">
        <v>2831</v>
      </c>
      <c r="K487" s="276" t="s">
        <v>531</v>
      </c>
      <c r="L487" s="276" t="s">
        <v>532</v>
      </c>
      <c r="M487" s="276" t="s">
        <v>2832</v>
      </c>
      <c r="N487" s="276" t="s">
        <v>534</v>
      </c>
    </row>
    <row r="488" spans="1:14" ht="66">
      <c r="A488" s="268" t="str">
        <f t="shared" si="7"/>
        <v>Developing Others|Division Head|3</v>
      </c>
      <c r="B488" s="223" t="s">
        <v>505</v>
      </c>
      <c r="C488" s="79" t="s">
        <v>778</v>
      </c>
      <c r="D488" s="79">
        <v>3</v>
      </c>
      <c r="E488" s="79" t="s">
        <v>563</v>
      </c>
      <c r="F488" s="79">
        <v>1</v>
      </c>
      <c r="G488" s="276" t="s">
        <v>2833</v>
      </c>
      <c r="H488" s="276" t="s">
        <v>2834</v>
      </c>
      <c r="I488" s="276" t="s">
        <v>2835</v>
      </c>
      <c r="J488" s="276" t="s">
        <v>752</v>
      </c>
      <c r="K488" s="276" t="s">
        <v>531</v>
      </c>
      <c r="L488" s="276" t="s">
        <v>532</v>
      </c>
      <c r="M488" s="276" t="s">
        <v>2779</v>
      </c>
      <c r="N488" s="276" t="s">
        <v>534</v>
      </c>
    </row>
    <row r="489" spans="1:14" ht="49.5">
      <c r="A489" s="268" t="str">
        <f t="shared" si="7"/>
        <v>Developing Others|Division Head|3</v>
      </c>
      <c r="B489" s="223" t="s">
        <v>505</v>
      </c>
      <c r="C489" s="79" t="s">
        <v>778</v>
      </c>
      <c r="D489" s="79">
        <v>3</v>
      </c>
      <c r="E489" s="79" t="s">
        <v>563</v>
      </c>
      <c r="F489" s="79">
        <v>2</v>
      </c>
      <c r="G489" s="276" t="s">
        <v>2836</v>
      </c>
      <c r="H489" s="276" t="s">
        <v>2837</v>
      </c>
      <c r="I489" s="276" t="s">
        <v>2838</v>
      </c>
      <c r="J489" s="276" t="s">
        <v>2839</v>
      </c>
      <c r="K489" s="276" t="s">
        <v>531</v>
      </c>
      <c r="L489" s="276" t="s">
        <v>532</v>
      </c>
      <c r="M489" s="276" t="s">
        <v>2840</v>
      </c>
      <c r="N489" s="276" t="s">
        <v>1820</v>
      </c>
    </row>
    <row r="490" spans="1:14" ht="82.5">
      <c r="A490" s="268" t="str">
        <f t="shared" si="7"/>
        <v>Developing Others|Division Head|3</v>
      </c>
      <c r="B490" s="223" t="s">
        <v>505</v>
      </c>
      <c r="C490" s="79" t="s">
        <v>778</v>
      </c>
      <c r="D490" s="79">
        <v>3</v>
      </c>
      <c r="E490" s="79" t="s">
        <v>563</v>
      </c>
      <c r="F490" s="79">
        <v>3</v>
      </c>
      <c r="G490" s="276" t="s">
        <v>2841</v>
      </c>
      <c r="H490" s="276" t="s">
        <v>2842</v>
      </c>
      <c r="I490" s="276" t="s">
        <v>2843</v>
      </c>
      <c r="J490" s="276" t="s">
        <v>578</v>
      </c>
      <c r="K490" s="276" t="s">
        <v>531</v>
      </c>
      <c r="L490" s="276" t="s">
        <v>532</v>
      </c>
      <c r="M490" s="276" t="s">
        <v>2844</v>
      </c>
      <c r="N490" s="276" t="s">
        <v>580</v>
      </c>
    </row>
    <row r="491" spans="1:14" ht="49.5">
      <c r="A491" s="268" t="str">
        <f t="shared" si="7"/>
        <v>Developing Others|Division Head|4</v>
      </c>
      <c r="B491" s="223" t="s">
        <v>505</v>
      </c>
      <c r="C491" s="79" t="s">
        <v>778</v>
      </c>
      <c r="D491" s="79">
        <v>4</v>
      </c>
      <c r="E491" s="79" t="s">
        <v>581</v>
      </c>
      <c r="F491" s="79">
        <v>1</v>
      </c>
      <c r="G491" s="276" t="s">
        <v>2845</v>
      </c>
      <c r="H491" s="276" t="s">
        <v>2846</v>
      </c>
      <c r="I491" s="276" t="s">
        <v>2847</v>
      </c>
      <c r="J491" s="276" t="s">
        <v>2848</v>
      </c>
      <c r="K491" s="276" t="s">
        <v>531</v>
      </c>
      <c r="L491" s="276" t="s">
        <v>532</v>
      </c>
      <c r="M491" s="276" t="s">
        <v>2849</v>
      </c>
      <c r="N491" s="276" t="s">
        <v>562</v>
      </c>
    </row>
    <row r="492" spans="1:14" ht="49.5">
      <c r="A492" s="268" t="str">
        <f t="shared" si="7"/>
        <v>Developing Others|Division Head|4</v>
      </c>
      <c r="B492" s="223" t="s">
        <v>505</v>
      </c>
      <c r="C492" s="79" t="s">
        <v>778</v>
      </c>
      <c r="D492" s="79">
        <v>4</v>
      </c>
      <c r="E492" s="79" t="s">
        <v>581</v>
      </c>
      <c r="F492" s="79">
        <v>2</v>
      </c>
      <c r="G492" s="276" t="s">
        <v>2850</v>
      </c>
      <c r="H492" s="276" t="s">
        <v>2851</v>
      </c>
      <c r="I492" s="276" t="s">
        <v>2852</v>
      </c>
      <c r="J492" s="276" t="s">
        <v>2853</v>
      </c>
      <c r="K492" s="276" t="s">
        <v>531</v>
      </c>
      <c r="L492" s="276" t="s">
        <v>532</v>
      </c>
      <c r="M492" s="276" t="s">
        <v>2854</v>
      </c>
      <c r="N492" s="276" t="s">
        <v>2855</v>
      </c>
    </row>
    <row r="493" spans="1:14" ht="49.5">
      <c r="A493" s="268" t="str">
        <f t="shared" si="7"/>
        <v>Developing Others|Division Head|4</v>
      </c>
      <c r="B493" s="223" t="s">
        <v>505</v>
      </c>
      <c r="C493" s="79" t="s">
        <v>778</v>
      </c>
      <c r="D493" s="79">
        <v>4</v>
      </c>
      <c r="E493" s="79" t="s">
        <v>581</v>
      </c>
      <c r="F493" s="79">
        <v>3</v>
      </c>
      <c r="G493" s="276" t="s">
        <v>2856</v>
      </c>
      <c r="H493" s="276" t="s">
        <v>2857</v>
      </c>
      <c r="I493" s="276" t="s">
        <v>2858</v>
      </c>
      <c r="J493" s="276" t="s">
        <v>2859</v>
      </c>
      <c r="K493" s="276" t="s">
        <v>531</v>
      </c>
      <c r="L493" s="276" t="s">
        <v>532</v>
      </c>
      <c r="M493" s="276" t="s">
        <v>2860</v>
      </c>
      <c r="N493" s="276" t="s">
        <v>2861</v>
      </c>
    </row>
    <row r="494" spans="1:14" ht="49.5">
      <c r="A494" s="268" t="str">
        <f t="shared" si="7"/>
        <v>Developing Others|Director|1</v>
      </c>
      <c r="B494" s="223" t="s">
        <v>505</v>
      </c>
      <c r="C494" s="79" t="s">
        <v>838</v>
      </c>
      <c r="D494" s="197">
        <v>1</v>
      </c>
      <c r="E494" s="79" t="s">
        <v>526</v>
      </c>
      <c r="F494" s="79">
        <v>1</v>
      </c>
      <c r="G494" s="276" t="s">
        <v>2862</v>
      </c>
      <c r="H494" s="276" t="s">
        <v>2863</v>
      </c>
      <c r="I494" s="276" t="s">
        <v>2864</v>
      </c>
      <c r="J494" s="276" t="s">
        <v>2865</v>
      </c>
      <c r="K494" s="276" t="s">
        <v>531</v>
      </c>
      <c r="L494" s="276" t="s">
        <v>532</v>
      </c>
      <c r="M494" s="276" t="s">
        <v>2866</v>
      </c>
      <c r="N494" s="276" t="s">
        <v>534</v>
      </c>
    </row>
    <row r="495" spans="1:14" ht="49.5">
      <c r="A495" s="268" t="str">
        <f t="shared" si="7"/>
        <v>Developing Others|Director|1</v>
      </c>
      <c r="B495" s="223" t="s">
        <v>505</v>
      </c>
      <c r="C495" s="79" t="s">
        <v>838</v>
      </c>
      <c r="D495" s="197">
        <v>1</v>
      </c>
      <c r="E495" s="79" t="s">
        <v>526</v>
      </c>
      <c r="F495" s="79">
        <v>2</v>
      </c>
      <c r="G495" s="276" t="s">
        <v>2867</v>
      </c>
      <c r="H495" s="276" t="s">
        <v>2868</v>
      </c>
      <c r="I495" s="276" t="s">
        <v>2869</v>
      </c>
      <c r="J495" s="276" t="s">
        <v>1582</v>
      </c>
      <c r="K495" s="276" t="s">
        <v>531</v>
      </c>
      <c r="L495" s="276" t="s">
        <v>532</v>
      </c>
      <c r="M495" s="276" t="s">
        <v>2870</v>
      </c>
      <c r="N495" s="276" t="s">
        <v>534</v>
      </c>
    </row>
    <row r="496" spans="1:14" ht="49.5">
      <c r="A496" s="268" t="str">
        <f t="shared" si="7"/>
        <v>Developing Others|Director|1</v>
      </c>
      <c r="B496" s="223" t="s">
        <v>505</v>
      </c>
      <c r="C496" s="79" t="s">
        <v>838</v>
      </c>
      <c r="D496" s="197">
        <v>1</v>
      </c>
      <c r="E496" s="79" t="s">
        <v>526</v>
      </c>
      <c r="F496" s="79">
        <v>3</v>
      </c>
      <c r="G496" s="276" t="s">
        <v>2871</v>
      </c>
      <c r="H496" s="276" t="s">
        <v>2872</v>
      </c>
      <c r="I496" s="276" t="s">
        <v>2873</v>
      </c>
      <c r="J496" s="276" t="s">
        <v>2874</v>
      </c>
      <c r="K496" s="276" t="s">
        <v>531</v>
      </c>
      <c r="L496" s="276" t="s">
        <v>532</v>
      </c>
      <c r="M496" s="276" t="s">
        <v>2875</v>
      </c>
      <c r="N496" s="276" t="s">
        <v>2876</v>
      </c>
    </row>
    <row r="497" spans="1:15" ht="49.5">
      <c r="A497" s="268" t="str">
        <f t="shared" si="7"/>
        <v>Developing Others|Director|2</v>
      </c>
      <c r="B497" s="223" t="s">
        <v>505</v>
      </c>
      <c r="C497" s="79" t="s">
        <v>838</v>
      </c>
      <c r="D497" s="79">
        <v>2</v>
      </c>
      <c r="E497" s="79" t="s">
        <v>545</v>
      </c>
      <c r="F497" s="79">
        <v>1</v>
      </c>
      <c r="G497" s="276" t="s">
        <v>2877</v>
      </c>
      <c r="H497" s="276" t="s">
        <v>2878</v>
      </c>
      <c r="I497" s="276" t="s">
        <v>2879</v>
      </c>
      <c r="J497" s="276" t="s">
        <v>2880</v>
      </c>
      <c r="K497" s="276" t="s">
        <v>531</v>
      </c>
      <c r="L497" s="276" t="s">
        <v>532</v>
      </c>
      <c r="M497" s="276" t="s">
        <v>2881</v>
      </c>
      <c r="N497" s="276" t="s">
        <v>677</v>
      </c>
    </row>
    <row r="498" spans="1:15" ht="49.5">
      <c r="A498" s="268" t="str">
        <f t="shared" si="7"/>
        <v>Developing Others|Director|2</v>
      </c>
      <c r="B498" s="223" t="s">
        <v>505</v>
      </c>
      <c r="C498" s="79" t="s">
        <v>838</v>
      </c>
      <c r="D498" s="79">
        <v>2</v>
      </c>
      <c r="E498" s="79" t="s">
        <v>545</v>
      </c>
      <c r="F498" s="79">
        <v>2</v>
      </c>
      <c r="G498" s="276" t="s">
        <v>2882</v>
      </c>
      <c r="H498" s="276" t="s">
        <v>2883</v>
      </c>
      <c r="I498" s="276" t="s">
        <v>2884</v>
      </c>
      <c r="J498" s="276" t="s">
        <v>2885</v>
      </c>
      <c r="K498" s="276" t="s">
        <v>531</v>
      </c>
      <c r="L498" s="276" t="s">
        <v>532</v>
      </c>
      <c r="M498" s="276" t="s">
        <v>2886</v>
      </c>
      <c r="N498" s="276" t="s">
        <v>677</v>
      </c>
    </row>
    <row r="499" spans="1:15" ht="33">
      <c r="A499" s="268" t="str">
        <f t="shared" si="7"/>
        <v>Developing Others|Director|2</v>
      </c>
      <c r="B499" s="223" t="s">
        <v>505</v>
      </c>
      <c r="C499" s="79" t="s">
        <v>838</v>
      </c>
      <c r="D499" s="79">
        <v>2</v>
      </c>
      <c r="E499" s="79" t="s">
        <v>545</v>
      </c>
      <c r="F499" s="79">
        <v>3</v>
      </c>
      <c r="G499" s="276" t="s">
        <v>2887</v>
      </c>
      <c r="H499" s="276" t="s">
        <v>2888</v>
      </c>
      <c r="I499" s="276" t="s">
        <v>2889</v>
      </c>
      <c r="J499" s="276" t="s">
        <v>2890</v>
      </c>
      <c r="K499" s="276" t="s">
        <v>531</v>
      </c>
      <c r="L499" s="276" t="s">
        <v>532</v>
      </c>
      <c r="M499" s="276" t="s">
        <v>2891</v>
      </c>
      <c r="N499" s="276" t="s">
        <v>677</v>
      </c>
    </row>
    <row r="500" spans="1:15" ht="49.5">
      <c r="A500" s="268" t="str">
        <f t="shared" si="7"/>
        <v>Developing Others|Director|3</v>
      </c>
      <c r="B500" s="223" t="s">
        <v>505</v>
      </c>
      <c r="C500" s="79" t="s">
        <v>838</v>
      </c>
      <c r="D500" s="79">
        <v>3</v>
      </c>
      <c r="E500" s="79" t="s">
        <v>563</v>
      </c>
      <c r="F500" s="79">
        <v>1</v>
      </c>
      <c r="G500" s="276" t="s">
        <v>2892</v>
      </c>
      <c r="H500" s="276" t="s">
        <v>2893</v>
      </c>
      <c r="I500" s="276" t="s">
        <v>2894</v>
      </c>
      <c r="J500" s="276" t="s">
        <v>876</v>
      </c>
      <c r="K500" s="276" t="s">
        <v>531</v>
      </c>
      <c r="L500" s="276" t="s">
        <v>532</v>
      </c>
      <c r="M500" s="276" t="s">
        <v>2895</v>
      </c>
      <c r="N500" s="276" t="s">
        <v>534</v>
      </c>
    </row>
    <row r="501" spans="1:15" ht="49.5">
      <c r="A501" s="268" t="str">
        <f t="shared" si="7"/>
        <v>Developing Others|Director|3</v>
      </c>
      <c r="B501" s="223" t="s">
        <v>505</v>
      </c>
      <c r="C501" s="79" t="s">
        <v>838</v>
      </c>
      <c r="D501" s="79">
        <v>3</v>
      </c>
      <c r="E501" s="79" t="s">
        <v>563</v>
      </c>
      <c r="F501" s="79">
        <v>2</v>
      </c>
      <c r="G501" s="276" t="s">
        <v>2896</v>
      </c>
      <c r="H501" s="276" t="s">
        <v>2897</v>
      </c>
      <c r="I501" s="276" t="s">
        <v>2898</v>
      </c>
      <c r="J501" s="276" t="s">
        <v>2899</v>
      </c>
      <c r="K501" s="276" t="s">
        <v>531</v>
      </c>
      <c r="L501" s="276" t="s">
        <v>532</v>
      </c>
      <c r="M501" s="276" t="s">
        <v>2900</v>
      </c>
      <c r="N501" s="276" t="s">
        <v>2901</v>
      </c>
    </row>
    <row r="502" spans="1:15" ht="66">
      <c r="A502" s="268" t="str">
        <f t="shared" si="7"/>
        <v>Developing Others|Director|3</v>
      </c>
      <c r="B502" s="223" t="s">
        <v>505</v>
      </c>
      <c r="C502" s="79" t="s">
        <v>838</v>
      </c>
      <c r="D502" s="79">
        <v>3</v>
      </c>
      <c r="E502" s="79" t="s">
        <v>563</v>
      </c>
      <c r="F502" s="79">
        <v>3</v>
      </c>
      <c r="G502" s="276" t="s">
        <v>2902</v>
      </c>
      <c r="H502" s="276" t="s">
        <v>2903</v>
      </c>
      <c r="I502" s="276" t="s">
        <v>2904</v>
      </c>
      <c r="J502" s="276" t="s">
        <v>578</v>
      </c>
      <c r="K502" s="276" t="s">
        <v>531</v>
      </c>
      <c r="L502" s="276" t="s">
        <v>532</v>
      </c>
      <c r="M502" s="276" t="s">
        <v>2905</v>
      </c>
      <c r="N502" s="276" t="s">
        <v>580</v>
      </c>
    </row>
    <row r="503" spans="1:15" ht="49.5">
      <c r="A503" s="268" t="str">
        <f t="shared" si="7"/>
        <v>Developing Others|Director|4</v>
      </c>
      <c r="B503" s="223" t="s">
        <v>505</v>
      </c>
      <c r="C503" s="79" t="s">
        <v>838</v>
      </c>
      <c r="D503" s="79">
        <v>4</v>
      </c>
      <c r="E503" s="79" t="s">
        <v>581</v>
      </c>
      <c r="F503" s="79">
        <v>1</v>
      </c>
      <c r="G503" s="276" t="s">
        <v>2906</v>
      </c>
      <c r="H503" s="276" t="s">
        <v>2907</v>
      </c>
      <c r="I503" s="276" t="s">
        <v>2908</v>
      </c>
      <c r="J503" s="276" t="s">
        <v>2909</v>
      </c>
      <c r="K503" s="276" t="s">
        <v>531</v>
      </c>
      <c r="L503" s="276" t="s">
        <v>532</v>
      </c>
      <c r="M503" s="276" t="s">
        <v>2910</v>
      </c>
      <c r="N503" s="276" t="s">
        <v>562</v>
      </c>
    </row>
    <row r="504" spans="1:15" ht="66">
      <c r="A504" s="268" t="str">
        <f t="shared" si="7"/>
        <v>Developing Others|Director|4</v>
      </c>
      <c r="B504" s="223" t="s">
        <v>505</v>
      </c>
      <c r="C504" s="79" t="s">
        <v>838</v>
      </c>
      <c r="D504" s="79">
        <v>4</v>
      </c>
      <c r="E504" s="79" t="s">
        <v>581</v>
      </c>
      <c r="F504" s="79">
        <v>2</v>
      </c>
      <c r="G504" s="276" t="s">
        <v>2911</v>
      </c>
      <c r="H504" s="276" t="s">
        <v>2912</v>
      </c>
      <c r="I504" s="276" t="s">
        <v>2913</v>
      </c>
      <c r="J504" s="276" t="s">
        <v>2914</v>
      </c>
      <c r="K504" s="276" t="s">
        <v>531</v>
      </c>
      <c r="L504" s="276" t="s">
        <v>532</v>
      </c>
      <c r="M504" s="276" t="s">
        <v>2915</v>
      </c>
      <c r="N504" s="276" t="s">
        <v>2916</v>
      </c>
    </row>
    <row r="505" spans="1:15" ht="49.5">
      <c r="A505" s="268" t="str">
        <f t="shared" si="7"/>
        <v>Developing Others|Director|4</v>
      </c>
      <c r="B505" s="223" t="s">
        <v>505</v>
      </c>
      <c r="C505" s="79" t="s">
        <v>838</v>
      </c>
      <c r="D505" s="79">
        <v>4</v>
      </c>
      <c r="E505" s="79" t="s">
        <v>581</v>
      </c>
      <c r="F505" s="79">
        <v>3</v>
      </c>
      <c r="G505" s="276" t="s">
        <v>2917</v>
      </c>
      <c r="H505" s="276" t="s">
        <v>2918</v>
      </c>
      <c r="I505" s="276" t="s">
        <v>2919</v>
      </c>
      <c r="J505" s="276" t="s">
        <v>2920</v>
      </c>
      <c r="K505" s="276" t="s">
        <v>531</v>
      </c>
      <c r="L505" s="276" t="s">
        <v>532</v>
      </c>
      <c r="M505" s="276" t="s">
        <v>2921</v>
      </c>
      <c r="N505" s="276" t="s">
        <v>856</v>
      </c>
    </row>
    <row r="506" spans="1:15" ht="42">
      <c r="A506" s="268" t="str">
        <f t="shared" si="7"/>
        <v>Developing Onself|Officer|1</v>
      </c>
      <c r="B506" s="223" t="s">
        <v>2922</v>
      </c>
      <c r="C506" s="226" t="s">
        <v>4</v>
      </c>
      <c r="D506" s="226">
        <v>1</v>
      </c>
      <c r="E506" s="227" t="s">
        <v>526</v>
      </c>
      <c r="F506" s="227">
        <v>1</v>
      </c>
      <c r="G506" s="128" t="s">
        <v>2923</v>
      </c>
      <c r="H506" s="128" t="s">
        <v>2924</v>
      </c>
      <c r="I506" s="128" t="s">
        <v>2925</v>
      </c>
      <c r="J506" s="128" t="s">
        <v>2926</v>
      </c>
      <c r="K506" s="128" t="s">
        <v>531</v>
      </c>
      <c r="L506" s="128" t="s">
        <v>532</v>
      </c>
      <c r="M506" s="128" t="s">
        <v>2927</v>
      </c>
      <c r="N506" s="128" t="s">
        <v>534</v>
      </c>
      <c r="O506" s="278"/>
    </row>
    <row r="507" spans="1:15" ht="42">
      <c r="A507" s="268" t="str">
        <f t="shared" si="7"/>
        <v>Developing Onself|Officer|1</v>
      </c>
      <c r="B507" s="223" t="s">
        <v>2922</v>
      </c>
      <c r="C507" s="226" t="s">
        <v>4</v>
      </c>
      <c r="D507" s="226">
        <v>1</v>
      </c>
      <c r="E507" s="227" t="s">
        <v>526</v>
      </c>
      <c r="F507" s="227">
        <v>2</v>
      </c>
      <c r="G507" s="128" t="s">
        <v>2928</v>
      </c>
      <c r="H507" s="128" t="s">
        <v>2929</v>
      </c>
      <c r="I507" s="128" t="s">
        <v>2930</v>
      </c>
      <c r="J507" s="128" t="s">
        <v>2931</v>
      </c>
      <c r="K507" s="128" t="s">
        <v>531</v>
      </c>
      <c r="L507" s="128" t="s">
        <v>532</v>
      </c>
      <c r="M507" s="128" t="s">
        <v>2932</v>
      </c>
      <c r="N507" s="128" t="s">
        <v>534</v>
      </c>
      <c r="O507" s="278"/>
    </row>
    <row r="508" spans="1:15" ht="42">
      <c r="A508" s="268" t="str">
        <f t="shared" si="7"/>
        <v>Developing Onself|Officer|1</v>
      </c>
      <c r="B508" s="223" t="s">
        <v>2922</v>
      </c>
      <c r="C508" s="226" t="s">
        <v>4</v>
      </c>
      <c r="D508" s="226">
        <v>1</v>
      </c>
      <c r="E508" s="227" t="s">
        <v>526</v>
      </c>
      <c r="F508" s="227">
        <v>3</v>
      </c>
      <c r="G508" s="128" t="s">
        <v>2933</v>
      </c>
      <c r="H508" s="128" t="s">
        <v>2934</v>
      </c>
      <c r="I508" s="128" t="s">
        <v>2935</v>
      </c>
      <c r="J508" s="128" t="s">
        <v>2936</v>
      </c>
      <c r="K508" s="128" t="s">
        <v>531</v>
      </c>
      <c r="L508" s="128" t="s">
        <v>532</v>
      </c>
      <c r="M508" s="128" t="s">
        <v>2937</v>
      </c>
      <c r="N508" s="128" t="s">
        <v>534</v>
      </c>
      <c r="O508" s="278"/>
    </row>
    <row r="509" spans="1:15" ht="28">
      <c r="A509" s="268" t="str">
        <f t="shared" si="7"/>
        <v>Developing Onself|Officer|2</v>
      </c>
      <c r="B509" s="223" t="s">
        <v>2922</v>
      </c>
      <c r="C509" s="226" t="s">
        <v>4</v>
      </c>
      <c r="D509" s="227">
        <v>2</v>
      </c>
      <c r="E509" s="227" t="s">
        <v>545</v>
      </c>
      <c r="F509" s="227">
        <v>1</v>
      </c>
      <c r="G509" s="128" t="s">
        <v>2938</v>
      </c>
      <c r="H509" s="128" t="s">
        <v>2939</v>
      </c>
      <c r="I509" s="128" t="s">
        <v>2940</v>
      </c>
      <c r="J509" s="128" t="s">
        <v>2941</v>
      </c>
      <c r="K509" s="128" t="s">
        <v>531</v>
      </c>
      <c r="L509" s="128" t="s">
        <v>532</v>
      </c>
      <c r="M509" s="128" t="s">
        <v>2942</v>
      </c>
      <c r="N509" s="128" t="s">
        <v>677</v>
      </c>
      <c r="O509" s="278"/>
    </row>
    <row r="510" spans="1:15" ht="42">
      <c r="A510" s="268" t="str">
        <f t="shared" si="7"/>
        <v>Developing Onself|Officer|2</v>
      </c>
      <c r="B510" s="223" t="s">
        <v>2922</v>
      </c>
      <c r="C510" s="226" t="s">
        <v>4</v>
      </c>
      <c r="D510" s="227">
        <v>2</v>
      </c>
      <c r="E510" s="227" t="s">
        <v>545</v>
      </c>
      <c r="F510" s="227">
        <v>2</v>
      </c>
      <c r="G510" s="128" t="s">
        <v>2943</v>
      </c>
      <c r="H510" s="128" t="s">
        <v>2944</v>
      </c>
      <c r="I510" s="128" t="s">
        <v>2945</v>
      </c>
      <c r="J510" s="128" t="s">
        <v>2946</v>
      </c>
      <c r="K510" s="128" t="s">
        <v>531</v>
      </c>
      <c r="L510" s="128" t="s">
        <v>532</v>
      </c>
      <c r="M510" s="128" t="s">
        <v>2947</v>
      </c>
      <c r="N510" s="128" t="s">
        <v>677</v>
      </c>
      <c r="O510" s="278"/>
    </row>
    <row r="511" spans="1:15" ht="28">
      <c r="A511" s="268" t="str">
        <f t="shared" si="7"/>
        <v>Developing Onself|Officer|2</v>
      </c>
      <c r="B511" s="223" t="s">
        <v>2922</v>
      </c>
      <c r="C511" s="226" t="s">
        <v>4</v>
      </c>
      <c r="D511" s="227">
        <v>2</v>
      </c>
      <c r="E511" s="227" t="s">
        <v>545</v>
      </c>
      <c r="F511" s="227">
        <v>3</v>
      </c>
      <c r="G511" s="128" t="s">
        <v>2948</v>
      </c>
      <c r="H511" s="128" t="s">
        <v>2949</v>
      </c>
      <c r="I511" s="128" t="s">
        <v>2950</v>
      </c>
      <c r="J511" s="128" t="s">
        <v>2951</v>
      </c>
      <c r="K511" s="128" t="s">
        <v>531</v>
      </c>
      <c r="L511" s="128" t="s">
        <v>532</v>
      </c>
      <c r="M511" s="128" t="s">
        <v>2952</v>
      </c>
      <c r="N511" s="128" t="s">
        <v>677</v>
      </c>
      <c r="O511" s="278"/>
    </row>
    <row r="512" spans="1:15" ht="42">
      <c r="A512" s="268" t="str">
        <f t="shared" si="7"/>
        <v>Developing Onself|Officer|3</v>
      </c>
      <c r="B512" s="223" t="s">
        <v>2922</v>
      </c>
      <c r="C512" s="226" t="s">
        <v>4</v>
      </c>
      <c r="D512" s="227">
        <v>3</v>
      </c>
      <c r="E512" s="227" t="s">
        <v>563</v>
      </c>
      <c r="F512" s="227">
        <v>1</v>
      </c>
      <c r="G512" s="128" t="s">
        <v>2953</v>
      </c>
      <c r="H512" s="128" t="s">
        <v>2954</v>
      </c>
      <c r="I512" s="128" t="s">
        <v>2955</v>
      </c>
      <c r="J512" s="128" t="s">
        <v>2956</v>
      </c>
      <c r="K512" s="128" t="s">
        <v>531</v>
      </c>
      <c r="L512" s="128" t="s">
        <v>532</v>
      </c>
      <c r="M512" s="128" t="s">
        <v>2957</v>
      </c>
      <c r="N512" s="128" t="s">
        <v>2958</v>
      </c>
      <c r="O512" s="278"/>
    </row>
    <row r="513" spans="1:15" ht="28">
      <c r="A513" s="268" t="str">
        <f t="shared" si="7"/>
        <v>Developing Onself|Officer|3</v>
      </c>
      <c r="B513" s="223" t="s">
        <v>2922</v>
      </c>
      <c r="C513" s="226" t="s">
        <v>4</v>
      </c>
      <c r="D513" s="227">
        <v>3</v>
      </c>
      <c r="E513" s="227" t="s">
        <v>563</v>
      </c>
      <c r="F513" s="227">
        <v>2</v>
      </c>
      <c r="G513" s="128" t="s">
        <v>2959</v>
      </c>
      <c r="H513" s="128" t="s">
        <v>2960</v>
      </c>
      <c r="I513" s="128" t="s">
        <v>2961</v>
      </c>
      <c r="J513" s="128" t="s">
        <v>2962</v>
      </c>
      <c r="K513" s="128" t="s">
        <v>531</v>
      </c>
      <c r="L513" s="128" t="s">
        <v>532</v>
      </c>
      <c r="M513" s="128" t="s">
        <v>2963</v>
      </c>
      <c r="N513" s="128" t="s">
        <v>2661</v>
      </c>
      <c r="O513" s="278"/>
    </row>
    <row r="514" spans="1:15" ht="42">
      <c r="A514" s="268" t="str">
        <f t="shared" si="7"/>
        <v>Developing Onself|Officer|3</v>
      </c>
      <c r="B514" s="223" t="s">
        <v>2922</v>
      </c>
      <c r="C514" s="226" t="s">
        <v>4</v>
      </c>
      <c r="D514" s="227">
        <v>3</v>
      </c>
      <c r="E514" s="227" t="s">
        <v>563</v>
      </c>
      <c r="F514" s="227">
        <v>3</v>
      </c>
      <c r="G514" s="128" t="s">
        <v>2964</v>
      </c>
      <c r="H514" s="128" t="s">
        <v>2965</v>
      </c>
      <c r="I514" s="128" t="s">
        <v>2966</v>
      </c>
      <c r="J514" s="128" t="s">
        <v>2967</v>
      </c>
      <c r="K514" s="128" t="s">
        <v>531</v>
      </c>
      <c r="L514" s="128" t="s">
        <v>532</v>
      </c>
      <c r="M514" s="128" t="s">
        <v>2968</v>
      </c>
      <c r="N514" s="128" t="s">
        <v>2969</v>
      </c>
      <c r="O514" s="278"/>
    </row>
    <row r="515" spans="1:15" ht="42">
      <c r="A515" s="268" t="str">
        <f t="shared" ref="A515:A578" si="8">B515 &amp; "|" &amp; C515 &amp; "|" &amp; D515</f>
        <v>Developing Onself|Officer|4</v>
      </c>
      <c r="B515" s="223" t="s">
        <v>2922</v>
      </c>
      <c r="C515" s="226" t="s">
        <v>4</v>
      </c>
      <c r="D515" s="227">
        <v>4</v>
      </c>
      <c r="E515" s="227" t="s">
        <v>581</v>
      </c>
      <c r="F515" s="227">
        <v>1</v>
      </c>
      <c r="G515" s="128" t="s">
        <v>2970</v>
      </c>
      <c r="H515" s="128" t="s">
        <v>2971</v>
      </c>
      <c r="I515" s="128" t="s">
        <v>2972</v>
      </c>
      <c r="J515" s="128" t="s">
        <v>2973</v>
      </c>
      <c r="K515" s="128" t="s">
        <v>531</v>
      </c>
      <c r="L515" s="128" t="s">
        <v>532</v>
      </c>
      <c r="M515" s="128" t="s">
        <v>2974</v>
      </c>
      <c r="N515" s="128" t="s">
        <v>562</v>
      </c>
      <c r="O515" s="278"/>
    </row>
    <row r="516" spans="1:15" ht="28">
      <c r="A516" s="268" t="str">
        <f t="shared" si="8"/>
        <v>Developing Onself|Officer|4</v>
      </c>
      <c r="B516" s="223" t="s">
        <v>2922</v>
      </c>
      <c r="C516" s="226" t="s">
        <v>4</v>
      </c>
      <c r="D516" s="227">
        <v>4</v>
      </c>
      <c r="E516" s="227" t="s">
        <v>581</v>
      </c>
      <c r="F516" s="227">
        <v>2</v>
      </c>
      <c r="G516" s="128" t="s">
        <v>2975</v>
      </c>
      <c r="H516" s="128" t="s">
        <v>2976</v>
      </c>
      <c r="I516" s="128" t="s">
        <v>2977</v>
      </c>
      <c r="J516" s="128" t="s">
        <v>2978</v>
      </c>
      <c r="K516" s="128" t="s">
        <v>531</v>
      </c>
      <c r="L516" s="128" t="s">
        <v>532</v>
      </c>
      <c r="M516" s="128" t="s">
        <v>2979</v>
      </c>
      <c r="N516" s="128" t="s">
        <v>1050</v>
      </c>
      <c r="O516" s="278"/>
    </row>
    <row r="517" spans="1:15" ht="42">
      <c r="A517" s="268" t="str">
        <f t="shared" si="8"/>
        <v>Developing Onself|Officer|4</v>
      </c>
      <c r="B517" s="223" t="s">
        <v>2922</v>
      </c>
      <c r="C517" s="226" t="s">
        <v>4</v>
      </c>
      <c r="D517" s="227">
        <v>4</v>
      </c>
      <c r="E517" s="227" t="s">
        <v>581</v>
      </c>
      <c r="F517" s="227">
        <v>3</v>
      </c>
      <c r="G517" s="128" t="s">
        <v>2980</v>
      </c>
      <c r="H517" s="128" t="s">
        <v>2981</v>
      </c>
      <c r="I517" s="128" t="s">
        <v>2982</v>
      </c>
      <c r="J517" s="128" t="s">
        <v>2983</v>
      </c>
      <c r="K517" s="128" t="s">
        <v>531</v>
      </c>
      <c r="L517" s="128" t="s">
        <v>532</v>
      </c>
      <c r="M517" s="128" t="s">
        <v>2984</v>
      </c>
      <c r="N517" s="128" t="s">
        <v>2985</v>
      </c>
      <c r="O517" s="278"/>
    </row>
    <row r="518" spans="1:15" ht="33">
      <c r="A518" s="268" t="str">
        <f t="shared" si="8"/>
        <v>Developing Onself|Analyst|1</v>
      </c>
      <c r="B518" s="223" t="s">
        <v>2922</v>
      </c>
      <c r="C518" s="226" t="s">
        <v>6</v>
      </c>
      <c r="D518" s="226">
        <v>1</v>
      </c>
      <c r="E518" s="227" t="s">
        <v>526</v>
      </c>
      <c r="F518" s="227">
        <v>1</v>
      </c>
      <c r="G518" s="276" t="s">
        <v>2986</v>
      </c>
      <c r="H518" s="276" t="s">
        <v>2987</v>
      </c>
      <c r="I518" s="276" t="s">
        <v>2988</v>
      </c>
      <c r="J518" s="276" t="s">
        <v>2989</v>
      </c>
      <c r="K518" s="276" t="s">
        <v>531</v>
      </c>
      <c r="L518" s="276" t="s">
        <v>532</v>
      </c>
      <c r="M518" s="276" t="s">
        <v>2990</v>
      </c>
      <c r="N518" s="276" t="s">
        <v>534</v>
      </c>
    </row>
    <row r="519" spans="1:15" ht="49.5">
      <c r="A519" s="268" t="str">
        <f t="shared" si="8"/>
        <v>Developing Onself|Analyst|1</v>
      </c>
      <c r="B519" s="223" t="s">
        <v>2922</v>
      </c>
      <c r="C519" s="226" t="s">
        <v>6</v>
      </c>
      <c r="D519" s="226">
        <v>1</v>
      </c>
      <c r="E519" s="227" t="s">
        <v>526</v>
      </c>
      <c r="F519" s="227">
        <v>2</v>
      </c>
      <c r="G519" s="276" t="s">
        <v>2991</v>
      </c>
      <c r="H519" s="276" t="s">
        <v>2992</v>
      </c>
      <c r="I519" s="276" t="s">
        <v>2993</v>
      </c>
      <c r="J519" s="276" t="s">
        <v>2994</v>
      </c>
      <c r="K519" s="276" t="s">
        <v>531</v>
      </c>
      <c r="L519" s="276" t="s">
        <v>532</v>
      </c>
      <c r="M519" s="276" t="s">
        <v>2995</v>
      </c>
      <c r="N519" s="276" t="s">
        <v>534</v>
      </c>
    </row>
    <row r="520" spans="1:15" ht="49.5">
      <c r="A520" s="268" t="str">
        <f t="shared" si="8"/>
        <v>Developing Onself|Analyst|1</v>
      </c>
      <c r="B520" s="223" t="s">
        <v>2922</v>
      </c>
      <c r="C520" s="226" t="s">
        <v>6</v>
      </c>
      <c r="D520" s="226">
        <v>1</v>
      </c>
      <c r="E520" s="227" t="s">
        <v>526</v>
      </c>
      <c r="F520" s="227">
        <v>3</v>
      </c>
      <c r="G520" s="276" t="s">
        <v>2996</v>
      </c>
      <c r="H520" s="276" t="s">
        <v>2997</v>
      </c>
      <c r="I520" s="276" t="s">
        <v>2998</v>
      </c>
      <c r="J520" s="276" t="s">
        <v>2999</v>
      </c>
      <c r="K520" s="276" t="s">
        <v>531</v>
      </c>
      <c r="L520" s="276" t="s">
        <v>532</v>
      </c>
      <c r="M520" s="276" t="s">
        <v>3000</v>
      </c>
      <c r="N520" s="276" t="s">
        <v>534</v>
      </c>
    </row>
    <row r="521" spans="1:15" ht="49.5">
      <c r="A521" s="268" t="str">
        <f t="shared" si="8"/>
        <v>Developing Onself|Analyst|2</v>
      </c>
      <c r="B521" s="223" t="s">
        <v>2922</v>
      </c>
      <c r="C521" s="226" t="s">
        <v>6</v>
      </c>
      <c r="D521" s="227">
        <v>2</v>
      </c>
      <c r="E521" s="227" t="s">
        <v>545</v>
      </c>
      <c r="F521" s="227">
        <v>1</v>
      </c>
      <c r="G521" s="276" t="s">
        <v>3001</v>
      </c>
      <c r="H521" s="276" t="s">
        <v>3002</v>
      </c>
      <c r="I521" s="276" t="s">
        <v>3003</v>
      </c>
      <c r="J521" s="276" t="s">
        <v>3004</v>
      </c>
      <c r="K521" s="276" t="s">
        <v>531</v>
      </c>
      <c r="L521" s="276" t="s">
        <v>532</v>
      </c>
      <c r="M521" s="276" t="s">
        <v>3005</v>
      </c>
      <c r="N521" s="276" t="s">
        <v>677</v>
      </c>
    </row>
    <row r="522" spans="1:15" ht="33">
      <c r="A522" s="268" t="str">
        <f t="shared" si="8"/>
        <v>Developing Onself|Analyst|2</v>
      </c>
      <c r="B522" s="223" t="s">
        <v>2922</v>
      </c>
      <c r="C522" s="226" t="s">
        <v>6</v>
      </c>
      <c r="D522" s="227">
        <v>2</v>
      </c>
      <c r="E522" s="227" t="s">
        <v>545</v>
      </c>
      <c r="F522" s="227">
        <v>2</v>
      </c>
      <c r="G522" s="276" t="s">
        <v>3006</v>
      </c>
      <c r="H522" s="276" t="s">
        <v>3007</v>
      </c>
      <c r="I522" s="276" t="s">
        <v>3008</v>
      </c>
      <c r="J522" s="276" t="s">
        <v>3009</v>
      </c>
      <c r="K522" s="276" t="s">
        <v>531</v>
      </c>
      <c r="L522" s="276" t="s">
        <v>532</v>
      </c>
      <c r="M522" s="276" t="s">
        <v>3010</v>
      </c>
      <c r="N522" s="276" t="s">
        <v>677</v>
      </c>
    </row>
    <row r="523" spans="1:15" ht="66">
      <c r="A523" s="268" t="str">
        <f t="shared" si="8"/>
        <v>Developing Onself|Analyst|2</v>
      </c>
      <c r="B523" s="223" t="s">
        <v>2922</v>
      </c>
      <c r="C523" s="226" t="s">
        <v>6</v>
      </c>
      <c r="D523" s="227">
        <v>2</v>
      </c>
      <c r="E523" s="227" t="s">
        <v>545</v>
      </c>
      <c r="F523" s="227">
        <v>3</v>
      </c>
      <c r="G523" s="276" t="s">
        <v>3011</v>
      </c>
      <c r="H523" s="276" t="s">
        <v>3012</v>
      </c>
      <c r="I523" s="276" t="s">
        <v>3013</v>
      </c>
      <c r="J523" s="276" t="s">
        <v>3014</v>
      </c>
      <c r="K523" s="276" t="s">
        <v>531</v>
      </c>
      <c r="L523" s="276" t="s">
        <v>532</v>
      </c>
      <c r="M523" s="276" t="s">
        <v>3015</v>
      </c>
      <c r="N523" s="276" t="s">
        <v>562</v>
      </c>
    </row>
    <row r="524" spans="1:15" ht="49.5">
      <c r="A524" s="268" t="str">
        <f t="shared" si="8"/>
        <v>Developing Onself|Analyst|3</v>
      </c>
      <c r="B524" s="223" t="s">
        <v>2922</v>
      </c>
      <c r="C524" s="226" t="s">
        <v>6</v>
      </c>
      <c r="D524" s="227">
        <v>3</v>
      </c>
      <c r="E524" s="227" t="s">
        <v>563</v>
      </c>
      <c r="F524" s="227">
        <v>1</v>
      </c>
      <c r="G524" s="276" t="s">
        <v>3016</v>
      </c>
      <c r="H524" s="276" t="s">
        <v>3017</v>
      </c>
      <c r="I524" s="276" t="s">
        <v>3018</v>
      </c>
      <c r="J524" s="276" t="s">
        <v>3019</v>
      </c>
      <c r="K524" s="276" t="s">
        <v>531</v>
      </c>
      <c r="L524" s="276" t="s">
        <v>532</v>
      </c>
      <c r="M524" s="276" t="s">
        <v>3020</v>
      </c>
      <c r="N524" s="276" t="s">
        <v>534</v>
      </c>
    </row>
    <row r="525" spans="1:15" ht="49.5">
      <c r="A525" s="268" t="str">
        <f t="shared" si="8"/>
        <v>Developing Onself|Analyst|3</v>
      </c>
      <c r="B525" s="223" t="s">
        <v>2922</v>
      </c>
      <c r="C525" s="226" t="s">
        <v>6</v>
      </c>
      <c r="D525" s="227">
        <v>3</v>
      </c>
      <c r="E525" s="227" t="s">
        <v>563</v>
      </c>
      <c r="F525" s="227">
        <v>2</v>
      </c>
      <c r="G525" s="276" t="s">
        <v>3021</v>
      </c>
      <c r="H525" s="276" t="s">
        <v>3022</v>
      </c>
      <c r="I525" s="276" t="s">
        <v>3023</v>
      </c>
      <c r="J525" s="276" t="s">
        <v>3024</v>
      </c>
      <c r="K525" s="276" t="s">
        <v>531</v>
      </c>
      <c r="L525" s="276" t="s">
        <v>532</v>
      </c>
      <c r="M525" s="276" t="s">
        <v>3025</v>
      </c>
      <c r="N525" s="276" t="s">
        <v>534</v>
      </c>
    </row>
    <row r="526" spans="1:15" ht="49.5">
      <c r="A526" s="268" t="str">
        <f t="shared" si="8"/>
        <v>Developing Onself|Analyst|3</v>
      </c>
      <c r="B526" s="223" t="s">
        <v>2922</v>
      </c>
      <c r="C526" s="226" t="s">
        <v>6</v>
      </c>
      <c r="D526" s="227">
        <v>3</v>
      </c>
      <c r="E526" s="227" t="s">
        <v>563</v>
      </c>
      <c r="F526" s="227">
        <v>3</v>
      </c>
      <c r="G526" s="276" t="s">
        <v>3026</v>
      </c>
      <c r="H526" s="276" t="s">
        <v>3027</v>
      </c>
      <c r="I526" s="276" t="s">
        <v>3028</v>
      </c>
      <c r="J526" s="276" t="s">
        <v>3029</v>
      </c>
      <c r="K526" s="276" t="s">
        <v>531</v>
      </c>
      <c r="L526" s="276" t="s">
        <v>532</v>
      </c>
      <c r="M526" s="276" t="s">
        <v>3030</v>
      </c>
      <c r="N526" s="276" t="s">
        <v>3031</v>
      </c>
    </row>
    <row r="527" spans="1:15" ht="49.5">
      <c r="A527" s="268" t="str">
        <f t="shared" si="8"/>
        <v>Developing Onself|Analyst|4</v>
      </c>
      <c r="B527" s="223" t="s">
        <v>2922</v>
      </c>
      <c r="C527" s="226" t="s">
        <v>6</v>
      </c>
      <c r="D527" s="227">
        <v>4</v>
      </c>
      <c r="E527" s="227" t="s">
        <v>581</v>
      </c>
      <c r="F527" s="227">
        <v>1</v>
      </c>
      <c r="G527" s="276" t="s">
        <v>3032</v>
      </c>
      <c r="H527" s="276" t="s">
        <v>3033</v>
      </c>
      <c r="I527" s="276" t="s">
        <v>3034</v>
      </c>
      <c r="J527" s="276" t="s">
        <v>3035</v>
      </c>
      <c r="K527" s="276" t="s">
        <v>531</v>
      </c>
      <c r="L527" s="276" t="s">
        <v>532</v>
      </c>
      <c r="M527" s="276" t="s">
        <v>3036</v>
      </c>
      <c r="N527" s="276" t="s">
        <v>562</v>
      </c>
    </row>
    <row r="528" spans="1:15" ht="49.5">
      <c r="A528" s="268" t="str">
        <f t="shared" si="8"/>
        <v>Developing Onself|Analyst|4</v>
      </c>
      <c r="B528" s="223" t="s">
        <v>2922</v>
      </c>
      <c r="C528" s="226" t="s">
        <v>6</v>
      </c>
      <c r="D528" s="227">
        <v>4</v>
      </c>
      <c r="E528" s="227" t="s">
        <v>581</v>
      </c>
      <c r="F528" s="227">
        <v>2</v>
      </c>
      <c r="G528" s="276" t="s">
        <v>3037</v>
      </c>
      <c r="H528" s="276" t="s">
        <v>3038</v>
      </c>
      <c r="I528" s="276" t="s">
        <v>3039</v>
      </c>
      <c r="J528" s="276" t="s">
        <v>3040</v>
      </c>
      <c r="K528" s="276" t="s">
        <v>531</v>
      </c>
      <c r="L528" s="276" t="s">
        <v>532</v>
      </c>
      <c r="M528" s="276" t="s">
        <v>3041</v>
      </c>
      <c r="N528" s="276" t="s">
        <v>562</v>
      </c>
    </row>
    <row r="529" spans="1:14" ht="49.5">
      <c r="A529" s="268" t="str">
        <f t="shared" si="8"/>
        <v>Developing Onself|Analyst|4</v>
      </c>
      <c r="B529" s="223" t="s">
        <v>2922</v>
      </c>
      <c r="C529" s="226" t="s">
        <v>6</v>
      </c>
      <c r="D529" s="227">
        <v>4</v>
      </c>
      <c r="E529" s="227" t="s">
        <v>581</v>
      </c>
      <c r="F529" s="227">
        <v>3</v>
      </c>
      <c r="G529" s="276" t="s">
        <v>3042</v>
      </c>
      <c r="H529" s="276" t="s">
        <v>3043</v>
      </c>
      <c r="I529" s="276" t="s">
        <v>3044</v>
      </c>
      <c r="J529" s="276" t="s">
        <v>3045</v>
      </c>
      <c r="K529" s="276" t="s">
        <v>531</v>
      </c>
      <c r="L529" s="276" t="s">
        <v>532</v>
      </c>
      <c r="M529" s="276" t="s">
        <v>3046</v>
      </c>
      <c r="N529" s="276" t="s">
        <v>3047</v>
      </c>
    </row>
    <row r="530" spans="1:14" ht="49.5">
      <c r="A530" s="268" t="str">
        <f t="shared" si="8"/>
        <v>Developing Onself|Unit Head/Specialist|1</v>
      </c>
      <c r="B530" s="223" t="s">
        <v>2922</v>
      </c>
      <c r="C530" s="227" t="s">
        <v>13</v>
      </c>
      <c r="D530" s="226">
        <v>1</v>
      </c>
      <c r="E530" s="227" t="s">
        <v>526</v>
      </c>
      <c r="F530" s="227">
        <v>1</v>
      </c>
      <c r="G530" s="279" t="s">
        <v>3048</v>
      </c>
      <c r="H530" s="279" t="s">
        <v>3049</v>
      </c>
      <c r="I530" s="279" t="s">
        <v>3050</v>
      </c>
      <c r="J530" s="279" t="s">
        <v>3051</v>
      </c>
      <c r="K530" s="279" t="s">
        <v>531</v>
      </c>
      <c r="L530" s="279" t="s">
        <v>532</v>
      </c>
      <c r="M530" s="279" t="s">
        <v>3052</v>
      </c>
      <c r="N530" s="279" t="s">
        <v>534</v>
      </c>
    </row>
    <row r="531" spans="1:14" ht="33">
      <c r="A531" s="268" t="str">
        <f t="shared" si="8"/>
        <v>Developing Onself|Unit Head/Specialist|1</v>
      </c>
      <c r="B531" s="223" t="s">
        <v>2922</v>
      </c>
      <c r="C531" s="227" t="s">
        <v>13</v>
      </c>
      <c r="D531" s="226">
        <v>1</v>
      </c>
      <c r="E531" s="227" t="s">
        <v>526</v>
      </c>
      <c r="F531" s="227">
        <v>2</v>
      </c>
      <c r="G531" s="279" t="s">
        <v>3053</v>
      </c>
      <c r="H531" s="279" t="s">
        <v>3054</v>
      </c>
      <c r="I531" s="279" t="s">
        <v>3055</v>
      </c>
      <c r="J531" s="279" t="s">
        <v>3056</v>
      </c>
      <c r="K531" s="279" t="s">
        <v>531</v>
      </c>
      <c r="L531" s="279" t="s">
        <v>532</v>
      </c>
      <c r="M531" s="279" t="s">
        <v>3057</v>
      </c>
      <c r="N531" s="279" t="s">
        <v>534</v>
      </c>
    </row>
    <row r="532" spans="1:14" ht="66">
      <c r="A532" s="268" t="str">
        <f t="shared" si="8"/>
        <v>Developing Onself|Unit Head/Specialist|1</v>
      </c>
      <c r="B532" s="223" t="s">
        <v>2922</v>
      </c>
      <c r="C532" s="227" t="s">
        <v>13</v>
      </c>
      <c r="D532" s="226">
        <v>1</v>
      </c>
      <c r="E532" s="227" t="s">
        <v>526</v>
      </c>
      <c r="F532" s="227">
        <v>3</v>
      </c>
      <c r="G532" s="279" t="s">
        <v>3058</v>
      </c>
      <c r="H532" s="279" t="s">
        <v>3059</v>
      </c>
      <c r="I532" s="279" t="s">
        <v>3060</v>
      </c>
      <c r="J532" s="279" t="s">
        <v>3061</v>
      </c>
      <c r="K532" s="279" t="s">
        <v>531</v>
      </c>
      <c r="L532" s="279" t="s">
        <v>532</v>
      </c>
      <c r="M532" s="279" t="s">
        <v>3062</v>
      </c>
      <c r="N532" s="279" t="s">
        <v>534</v>
      </c>
    </row>
    <row r="533" spans="1:14" ht="51" customHeight="1">
      <c r="A533" s="268" t="str">
        <f t="shared" si="8"/>
        <v>Developing Onself|Unit Head/Specialist|2</v>
      </c>
      <c r="B533" s="223" t="s">
        <v>2922</v>
      </c>
      <c r="C533" s="227" t="s">
        <v>13</v>
      </c>
      <c r="D533" s="227">
        <v>2</v>
      </c>
      <c r="E533" s="227" t="s">
        <v>545</v>
      </c>
      <c r="F533" s="227">
        <v>1</v>
      </c>
      <c r="G533" s="279" t="s">
        <v>3063</v>
      </c>
      <c r="H533" s="279" t="s">
        <v>3064</v>
      </c>
      <c r="I533" s="279" t="s">
        <v>3065</v>
      </c>
      <c r="J533" s="279" t="s">
        <v>3066</v>
      </c>
      <c r="K533" s="279" t="s">
        <v>531</v>
      </c>
      <c r="L533" s="279" t="s">
        <v>532</v>
      </c>
      <c r="M533" s="279" t="s">
        <v>3067</v>
      </c>
      <c r="N533" s="279" t="s">
        <v>677</v>
      </c>
    </row>
    <row r="534" spans="1:14" ht="49.9" customHeight="1">
      <c r="A534" s="268" t="str">
        <f t="shared" si="8"/>
        <v>Developing Onself|Unit Head/Specialist|2</v>
      </c>
      <c r="B534" s="223" t="s">
        <v>2922</v>
      </c>
      <c r="C534" s="227" t="s">
        <v>13</v>
      </c>
      <c r="D534" s="227">
        <v>2</v>
      </c>
      <c r="E534" s="227" t="s">
        <v>545</v>
      </c>
      <c r="F534" s="227">
        <v>2</v>
      </c>
      <c r="G534" s="279" t="s">
        <v>3068</v>
      </c>
      <c r="H534" s="279" t="s">
        <v>3069</v>
      </c>
      <c r="I534" s="279" t="s">
        <v>3070</v>
      </c>
      <c r="J534" s="279" t="s">
        <v>3071</v>
      </c>
      <c r="K534" s="279" t="s">
        <v>531</v>
      </c>
      <c r="L534" s="279" t="s">
        <v>532</v>
      </c>
      <c r="M534" s="279" t="s">
        <v>3072</v>
      </c>
      <c r="N534" s="279" t="s">
        <v>534</v>
      </c>
    </row>
    <row r="535" spans="1:14" ht="66">
      <c r="A535" s="268" t="str">
        <f t="shared" si="8"/>
        <v>Developing Onself|Unit Head/Specialist|2</v>
      </c>
      <c r="B535" s="223" t="s">
        <v>2922</v>
      </c>
      <c r="C535" s="227" t="s">
        <v>13</v>
      </c>
      <c r="D535" s="227">
        <v>2</v>
      </c>
      <c r="E535" s="227" t="s">
        <v>545</v>
      </c>
      <c r="F535" s="227">
        <v>3</v>
      </c>
      <c r="G535" s="279" t="s">
        <v>3073</v>
      </c>
      <c r="H535" s="279" t="s">
        <v>3074</v>
      </c>
      <c r="I535" s="279" t="s">
        <v>3075</v>
      </c>
      <c r="J535" s="279" t="s">
        <v>3076</v>
      </c>
      <c r="K535" s="279" t="s">
        <v>531</v>
      </c>
      <c r="L535" s="279" t="s">
        <v>532</v>
      </c>
      <c r="M535" s="279" t="s">
        <v>3077</v>
      </c>
      <c r="N535" s="279" t="s">
        <v>562</v>
      </c>
    </row>
    <row r="536" spans="1:14" ht="33">
      <c r="A536" s="268" t="str">
        <f t="shared" si="8"/>
        <v>Developing Onself|Unit Head/Specialist|3</v>
      </c>
      <c r="B536" s="223" t="s">
        <v>2922</v>
      </c>
      <c r="C536" s="227" t="s">
        <v>13</v>
      </c>
      <c r="D536" s="227">
        <v>3</v>
      </c>
      <c r="E536" s="227" t="s">
        <v>563</v>
      </c>
      <c r="F536" s="227">
        <v>1</v>
      </c>
      <c r="G536" s="279" t="s">
        <v>3078</v>
      </c>
      <c r="H536" s="279" t="s">
        <v>3079</v>
      </c>
      <c r="I536" s="279" t="s">
        <v>3080</v>
      </c>
      <c r="J536" s="279" t="s">
        <v>3081</v>
      </c>
      <c r="K536" s="279" t="s">
        <v>531</v>
      </c>
      <c r="L536" s="279" t="s">
        <v>532</v>
      </c>
      <c r="M536" s="279" t="s">
        <v>3082</v>
      </c>
      <c r="N536" s="279" t="s">
        <v>534</v>
      </c>
    </row>
    <row r="537" spans="1:14" ht="49.5">
      <c r="A537" s="268" t="str">
        <f t="shared" si="8"/>
        <v>Developing Onself|Unit Head/Specialist|3</v>
      </c>
      <c r="B537" s="223" t="s">
        <v>2922</v>
      </c>
      <c r="C537" s="227" t="s">
        <v>13</v>
      </c>
      <c r="D537" s="227">
        <v>3</v>
      </c>
      <c r="E537" s="227" t="s">
        <v>563</v>
      </c>
      <c r="F537" s="227">
        <v>2</v>
      </c>
      <c r="G537" s="279" t="s">
        <v>3083</v>
      </c>
      <c r="H537" s="279" t="s">
        <v>3084</v>
      </c>
      <c r="I537" s="279" t="s">
        <v>3085</v>
      </c>
      <c r="J537" s="279" t="s">
        <v>3086</v>
      </c>
      <c r="K537" s="279" t="s">
        <v>531</v>
      </c>
      <c r="L537" s="279" t="s">
        <v>532</v>
      </c>
      <c r="M537" s="279" t="s">
        <v>3087</v>
      </c>
      <c r="N537" s="279" t="s">
        <v>1799</v>
      </c>
    </row>
    <row r="538" spans="1:14" ht="33">
      <c r="A538" s="268" t="str">
        <f t="shared" si="8"/>
        <v>Developing Onself|Unit Head/Specialist|3</v>
      </c>
      <c r="B538" s="223" t="s">
        <v>2922</v>
      </c>
      <c r="C538" s="227" t="s">
        <v>13</v>
      </c>
      <c r="D538" s="227">
        <v>3</v>
      </c>
      <c r="E538" s="227" t="s">
        <v>563</v>
      </c>
      <c r="F538" s="227">
        <v>3</v>
      </c>
      <c r="G538" s="279" t="s">
        <v>3088</v>
      </c>
      <c r="H538" s="279" t="s">
        <v>3089</v>
      </c>
      <c r="I538" s="279" t="s">
        <v>3090</v>
      </c>
      <c r="J538" s="279" t="s">
        <v>3091</v>
      </c>
      <c r="K538" s="279" t="s">
        <v>531</v>
      </c>
      <c r="L538" s="279" t="s">
        <v>532</v>
      </c>
      <c r="M538" s="279" t="s">
        <v>3092</v>
      </c>
      <c r="N538" s="279" t="s">
        <v>3031</v>
      </c>
    </row>
    <row r="539" spans="1:14" ht="49.5">
      <c r="A539" s="268" t="str">
        <f t="shared" si="8"/>
        <v>Developing Onself|Unit Head/Specialist|4</v>
      </c>
      <c r="B539" s="223" t="s">
        <v>2922</v>
      </c>
      <c r="C539" s="227" t="s">
        <v>13</v>
      </c>
      <c r="D539" s="227">
        <v>4</v>
      </c>
      <c r="E539" s="227" t="s">
        <v>581</v>
      </c>
      <c r="F539" s="227">
        <v>1</v>
      </c>
      <c r="G539" s="279" t="s">
        <v>3093</v>
      </c>
      <c r="H539" s="279" t="s">
        <v>3094</v>
      </c>
      <c r="I539" s="279" t="s">
        <v>3095</v>
      </c>
      <c r="J539" s="279" t="s">
        <v>3096</v>
      </c>
      <c r="K539" s="279" t="s">
        <v>531</v>
      </c>
      <c r="L539" s="279" t="s">
        <v>532</v>
      </c>
      <c r="M539" s="279" t="s">
        <v>3097</v>
      </c>
      <c r="N539" s="279" t="s">
        <v>562</v>
      </c>
    </row>
    <row r="540" spans="1:14" ht="66">
      <c r="A540" s="268" t="str">
        <f t="shared" si="8"/>
        <v>Developing Onself|Unit Head/Specialist|4</v>
      </c>
      <c r="B540" s="223" t="s">
        <v>2922</v>
      </c>
      <c r="C540" s="227" t="s">
        <v>13</v>
      </c>
      <c r="D540" s="227">
        <v>4</v>
      </c>
      <c r="E540" s="227" t="s">
        <v>581</v>
      </c>
      <c r="F540" s="227">
        <v>2</v>
      </c>
      <c r="G540" s="279" t="s">
        <v>3098</v>
      </c>
      <c r="H540" s="279" t="s">
        <v>3099</v>
      </c>
      <c r="I540" s="279" t="s">
        <v>3100</v>
      </c>
      <c r="J540" s="279" t="s">
        <v>3101</v>
      </c>
      <c r="K540" s="279" t="s">
        <v>531</v>
      </c>
      <c r="L540" s="279" t="s">
        <v>532</v>
      </c>
      <c r="M540" s="279" t="s">
        <v>3102</v>
      </c>
      <c r="N540" s="279" t="s">
        <v>562</v>
      </c>
    </row>
    <row r="541" spans="1:14" ht="52.15" customHeight="1">
      <c r="A541" s="268" t="str">
        <f t="shared" si="8"/>
        <v>Developing Onself|Unit Head/Specialist|4</v>
      </c>
      <c r="B541" s="223" t="s">
        <v>2922</v>
      </c>
      <c r="C541" s="227" t="s">
        <v>13</v>
      </c>
      <c r="D541" s="227">
        <v>4</v>
      </c>
      <c r="E541" s="227" t="s">
        <v>581</v>
      </c>
      <c r="F541" s="227">
        <v>3</v>
      </c>
      <c r="G541" s="279" t="s">
        <v>3103</v>
      </c>
      <c r="H541" s="279" t="s">
        <v>3104</v>
      </c>
      <c r="I541" s="279" t="s">
        <v>3105</v>
      </c>
      <c r="J541" s="279" t="s">
        <v>3106</v>
      </c>
      <c r="K541" s="279" t="s">
        <v>531</v>
      </c>
      <c r="L541" s="279" t="s">
        <v>532</v>
      </c>
      <c r="M541" s="279" t="s">
        <v>3107</v>
      </c>
      <c r="N541" s="279" t="s">
        <v>562</v>
      </c>
    </row>
    <row r="542" spans="1:14" ht="49.5">
      <c r="A542" s="268" t="str">
        <f t="shared" si="8"/>
        <v>Developing Onself|Department Head|1</v>
      </c>
      <c r="B542" s="223" t="s">
        <v>2922</v>
      </c>
      <c r="C542" s="227" t="s">
        <v>719</v>
      </c>
      <c r="D542" s="226">
        <v>1</v>
      </c>
      <c r="E542" s="227" t="s">
        <v>526</v>
      </c>
      <c r="F542" s="227">
        <v>1</v>
      </c>
      <c r="G542" s="276" t="s">
        <v>3108</v>
      </c>
      <c r="H542" s="276" t="s">
        <v>3109</v>
      </c>
      <c r="I542" s="276" t="s">
        <v>3110</v>
      </c>
      <c r="J542" s="276" t="s">
        <v>3111</v>
      </c>
      <c r="K542" s="276" t="s">
        <v>531</v>
      </c>
      <c r="L542" s="276" t="s">
        <v>532</v>
      </c>
      <c r="M542" s="276" t="s">
        <v>3112</v>
      </c>
      <c r="N542" s="276" t="s">
        <v>534</v>
      </c>
    </row>
    <row r="543" spans="1:14" ht="49.5">
      <c r="A543" s="268" t="str">
        <f t="shared" si="8"/>
        <v>Developing Onself|Department Head|1</v>
      </c>
      <c r="B543" s="223" t="s">
        <v>2922</v>
      </c>
      <c r="C543" s="227" t="s">
        <v>719</v>
      </c>
      <c r="D543" s="226">
        <v>1</v>
      </c>
      <c r="E543" s="227" t="s">
        <v>526</v>
      </c>
      <c r="F543" s="227">
        <v>2</v>
      </c>
      <c r="G543" s="276" t="s">
        <v>3113</v>
      </c>
      <c r="H543" s="276" t="s">
        <v>3114</v>
      </c>
      <c r="I543" s="276" t="s">
        <v>3115</v>
      </c>
      <c r="J543" s="276" t="s">
        <v>3116</v>
      </c>
      <c r="K543" s="276" t="s">
        <v>531</v>
      </c>
      <c r="L543" s="276" t="s">
        <v>532</v>
      </c>
      <c r="M543" s="276" t="s">
        <v>3117</v>
      </c>
      <c r="N543" s="276" t="s">
        <v>534</v>
      </c>
    </row>
    <row r="544" spans="1:14" ht="49.5">
      <c r="A544" s="268" t="str">
        <f t="shared" si="8"/>
        <v>Developing Onself|Department Head|1</v>
      </c>
      <c r="B544" s="223" t="s">
        <v>2922</v>
      </c>
      <c r="C544" s="227" t="s">
        <v>719</v>
      </c>
      <c r="D544" s="226">
        <v>1</v>
      </c>
      <c r="E544" s="227" t="s">
        <v>526</v>
      </c>
      <c r="F544" s="227">
        <v>3</v>
      </c>
      <c r="G544" s="276" t="s">
        <v>3118</v>
      </c>
      <c r="H544" s="276" t="s">
        <v>3119</v>
      </c>
      <c r="I544" s="276" t="s">
        <v>3120</v>
      </c>
      <c r="J544" s="276" t="s">
        <v>3121</v>
      </c>
      <c r="K544" s="276" t="s">
        <v>531</v>
      </c>
      <c r="L544" s="276" t="s">
        <v>532</v>
      </c>
      <c r="M544" s="276" t="s">
        <v>3122</v>
      </c>
      <c r="N544" s="276" t="s">
        <v>534</v>
      </c>
    </row>
    <row r="545" spans="1:14" ht="49.5">
      <c r="A545" s="268" t="str">
        <f t="shared" si="8"/>
        <v>Developing Onself|Department Head|2</v>
      </c>
      <c r="B545" s="223" t="s">
        <v>2922</v>
      </c>
      <c r="C545" s="227" t="s">
        <v>719</v>
      </c>
      <c r="D545" s="227">
        <v>2</v>
      </c>
      <c r="E545" s="227" t="s">
        <v>545</v>
      </c>
      <c r="F545" s="227">
        <v>1</v>
      </c>
      <c r="G545" s="276" t="s">
        <v>3123</v>
      </c>
      <c r="H545" s="276" t="s">
        <v>3124</v>
      </c>
      <c r="I545" s="276" t="s">
        <v>3125</v>
      </c>
      <c r="J545" s="276" t="s">
        <v>3126</v>
      </c>
      <c r="K545" s="276" t="s">
        <v>531</v>
      </c>
      <c r="L545" s="276" t="s">
        <v>532</v>
      </c>
      <c r="M545" s="276" t="s">
        <v>3127</v>
      </c>
      <c r="N545" s="276" t="s">
        <v>551</v>
      </c>
    </row>
    <row r="546" spans="1:14" ht="33">
      <c r="A546" s="268" t="str">
        <f t="shared" si="8"/>
        <v>Developing Onself|Department Head|2</v>
      </c>
      <c r="B546" s="223" t="s">
        <v>2922</v>
      </c>
      <c r="C546" s="227" t="s">
        <v>719</v>
      </c>
      <c r="D546" s="227">
        <v>2</v>
      </c>
      <c r="E546" s="227" t="s">
        <v>545</v>
      </c>
      <c r="F546" s="227">
        <v>2</v>
      </c>
      <c r="G546" s="276" t="s">
        <v>3128</v>
      </c>
      <c r="H546" s="276" t="s">
        <v>3129</v>
      </c>
      <c r="I546" s="276" t="s">
        <v>3130</v>
      </c>
      <c r="J546" s="276" t="s">
        <v>3131</v>
      </c>
      <c r="K546" s="276" t="s">
        <v>531</v>
      </c>
      <c r="L546" s="276" t="s">
        <v>532</v>
      </c>
      <c r="M546" s="276" t="s">
        <v>3132</v>
      </c>
      <c r="N546" s="276" t="s">
        <v>677</v>
      </c>
    </row>
    <row r="547" spans="1:14" ht="49.5">
      <c r="A547" s="268" t="str">
        <f t="shared" si="8"/>
        <v>Developing Onself|Department Head|2</v>
      </c>
      <c r="B547" s="223" t="s">
        <v>2922</v>
      </c>
      <c r="C547" s="227" t="s">
        <v>719</v>
      </c>
      <c r="D547" s="227">
        <v>2</v>
      </c>
      <c r="E547" s="227" t="s">
        <v>545</v>
      </c>
      <c r="F547" s="227">
        <v>3</v>
      </c>
      <c r="G547" s="276" t="s">
        <v>3133</v>
      </c>
      <c r="H547" s="276" t="s">
        <v>3134</v>
      </c>
      <c r="I547" s="276" t="s">
        <v>3135</v>
      </c>
      <c r="J547" s="276" t="s">
        <v>3136</v>
      </c>
      <c r="K547" s="276" t="s">
        <v>531</v>
      </c>
      <c r="L547" s="276" t="s">
        <v>532</v>
      </c>
      <c r="M547" s="276" t="s">
        <v>3137</v>
      </c>
      <c r="N547" s="276" t="s">
        <v>677</v>
      </c>
    </row>
    <row r="548" spans="1:14" ht="49.5">
      <c r="A548" s="268" t="str">
        <f t="shared" si="8"/>
        <v>Developing Onself|Department Head|3</v>
      </c>
      <c r="B548" s="223" t="s">
        <v>2922</v>
      </c>
      <c r="C548" s="227" t="s">
        <v>719</v>
      </c>
      <c r="D548" s="227">
        <v>3</v>
      </c>
      <c r="E548" s="227" t="s">
        <v>563</v>
      </c>
      <c r="F548" s="227">
        <v>1</v>
      </c>
      <c r="G548" s="276" t="s">
        <v>3138</v>
      </c>
      <c r="H548" s="276" t="s">
        <v>3139</v>
      </c>
      <c r="I548" s="276" t="s">
        <v>3140</v>
      </c>
      <c r="J548" s="276" t="s">
        <v>3141</v>
      </c>
      <c r="K548" s="276" t="s">
        <v>531</v>
      </c>
      <c r="L548" s="276" t="s">
        <v>532</v>
      </c>
      <c r="M548" s="276" t="s">
        <v>3142</v>
      </c>
      <c r="N548" s="276" t="s">
        <v>3143</v>
      </c>
    </row>
    <row r="549" spans="1:14" ht="49.5">
      <c r="A549" s="268" t="str">
        <f t="shared" si="8"/>
        <v>Developing Onself|Department Head|3</v>
      </c>
      <c r="B549" s="223" t="s">
        <v>2922</v>
      </c>
      <c r="C549" s="227" t="s">
        <v>719</v>
      </c>
      <c r="D549" s="227">
        <v>3</v>
      </c>
      <c r="E549" s="227" t="s">
        <v>563</v>
      </c>
      <c r="F549" s="227">
        <v>2</v>
      </c>
      <c r="G549" s="276" t="s">
        <v>3144</v>
      </c>
      <c r="H549" s="276" t="s">
        <v>3145</v>
      </c>
      <c r="I549" s="276" t="s">
        <v>3146</v>
      </c>
      <c r="J549" s="276" t="s">
        <v>3147</v>
      </c>
      <c r="K549" s="276" t="s">
        <v>531</v>
      </c>
      <c r="L549" s="276" t="s">
        <v>532</v>
      </c>
      <c r="M549" s="276" t="s">
        <v>3148</v>
      </c>
      <c r="N549" s="276" t="s">
        <v>2661</v>
      </c>
    </row>
    <row r="550" spans="1:14" ht="49.5">
      <c r="A550" s="268" t="str">
        <f t="shared" si="8"/>
        <v>Developing Onself|Department Head|3</v>
      </c>
      <c r="B550" s="223" t="s">
        <v>2922</v>
      </c>
      <c r="C550" s="227" t="s">
        <v>719</v>
      </c>
      <c r="D550" s="227">
        <v>3</v>
      </c>
      <c r="E550" s="227" t="s">
        <v>563</v>
      </c>
      <c r="F550" s="227">
        <v>3</v>
      </c>
      <c r="G550" s="276" t="s">
        <v>3149</v>
      </c>
      <c r="H550" s="276" t="s">
        <v>3150</v>
      </c>
      <c r="I550" s="276" t="s">
        <v>3151</v>
      </c>
      <c r="J550" s="276" t="s">
        <v>3152</v>
      </c>
      <c r="K550" s="276" t="s">
        <v>531</v>
      </c>
      <c r="L550" s="276" t="s">
        <v>532</v>
      </c>
      <c r="M550" s="276" t="s">
        <v>3153</v>
      </c>
      <c r="N550" s="276" t="s">
        <v>3154</v>
      </c>
    </row>
    <row r="551" spans="1:14" ht="49.5">
      <c r="A551" s="268" t="str">
        <f t="shared" si="8"/>
        <v>Developing Onself|Department Head|4</v>
      </c>
      <c r="B551" s="223" t="s">
        <v>2922</v>
      </c>
      <c r="C551" s="227" t="s">
        <v>719</v>
      </c>
      <c r="D551" s="227">
        <v>4</v>
      </c>
      <c r="E551" s="227" t="s">
        <v>581</v>
      </c>
      <c r="F551" s="227">
        <v>1</v>
      </c>
      <c r="G551" s="276" t="s">
        <v>3155</v>
      </c>
      <c r="H551" s="276" t="s">
        <v>3156</v>
      </c>
      <c r="I551" s="276" t="s">
        <v>3157</v>
      </c>
      <c r="J551" s="276" t="s">
        <v>3158</v>
      </c>
      <c r="K551" s="276" t="s">
        <v>531</v>
      </c>
      <c r="L551" s="276" t="s">
        <v>532</v>
      </c>
      <c r="M551" s="276" t="s">
        <v>3159</v>
      </c>
      <c r="N551" s="276" t="s">
        <v>3160</v>
      </c>
    </row>
    <row r="552" spans="1:14" ht="49.5">
      <c r="A552" s="268" t="str">
        <f t="shared" si="8"/>
        <v>Developing Onself|Department Head|4</v>
      </c>
      <c r="B552" s="223" t="s">
        <v>2922</v>
      </c>
      <c r="C552" s="227" t="s">
        <v>719</v>
      </c>
      <c r="D552" s="227">
        <v>4</v>
      </c>
      <c r="E552" s="227" t="s">
        <v>581</v>
      </c>
      <c r="F552" s="227">
        <v>2</v>
      </c>
      <c r="G552" s="276" t="s">
        <v>3161</v>
      </c>
      <c r="H552" s="276" t="s">
        <v>3162</v>
      </c>
      <c r="I552" s="276" t="s">
        <v>3163</v>
      </c>
      <c r="J552" s="276" t="s">
        <v>3164</v>
      </c>
      <c r="K552" s="276" t="s">
        <v>531</v>
      </c>
      <c r="L552" s="276" t="s">
        <v>532</v>
      </c>
      <c r="M552" s="276" t="s">
        <v>3165</v>
      </c>
      <c r="N552" s="276" t="s">
        <v>562</v>
      </c>
    </row>
    <row r="553" spans="1:14" ht="49.5">
      <c r="A553" s="268" t="str">
        <f t="shared" si="8"/>
        <v>Developing Onself|Department Head|4</v>
      </c>
      <c r="B553" s="223" t="s">
        <v>2922</v>
      </c>
      <c r="C553" s="227" t="s">
        <v>719</v>
      </c>
      <c r="D553" s="227">
        <v>4</v>
      </c>
      <c r="E553" s="227" t="s">
        <v>581</v>
      </c>
      <c r="F553" s="227">
        <v>3</v>
      </c>
      <c r="G553" s="276" t="s">
        <v>3166</v>
      </c>
      <c r="H553" s="276" t="s">
        <v>3167</v>
      </c>
      <c r="I553" s="276" t="s">
        <v>3168</v>
      </c>
      <c r="J553" s="276" t="s">
        <v>3169</v>
      </c>
      <c r="K553" s="276" t="s">
        <v>531</v>
      </c>
      <c r="L553" s="276" t="s">
        <v>532</v>
      </c>
      <c r="M553" s="276" t="s">
        <v>3170</v>
      </c>
      <c r="N553" s="276" t="s">
        <v>3171</v>
      </c>
    </row>
    <row r="554" spans="1:14" ht="49.5">
      <c r="A554" s="268" t="str">
        <f t="shared" si="8"/>
        <v>Developing Onself|Division Head|1</v>
      </c>
      <c r="B554" s="223" t="s">
        <v>2922</v>
      </c>
      <c r="C554" s="227" t="s">
        <v>778</v>
      </c>
      <c r="D554" s="226">
        <v>1</v>
      </c>
      <c r="E554" s="227" t="s">
        <v>526</v>
      </c>
      <c r="F554" s="227">
        <v>1</v>
      </c>
      <c r="G554" s="276" t="s">
        <v>3172</v>
      </c>
      <c r="H554" s="276" t="s">
        <v>3173</v>
      </c>
      <c r="I554" s="276" t="s">
        <v>3174</v>
      </c>
      <c r="J554" s="276" t="s">
        <v>3175</v>
      </c>
      <c r="K554" s="276" t="s">
        <v>531</v>
      </c>
      <c r="L554" s="276" t="s">
        <v>532</v>
      </c>
      <c r="M554" s="276" t="s">
        <v>3176</v>
      </c>
      <c r="N554" s="276" t="s">
        <v>534</v>
      </c>
    </row>
    <row r="555" spans="1:14" ht="49.5">
      <c r="A555" s="268" t="str">
        <f t="shared" si="8"/>
        <v>Developing Onself|Division Head|1</v>
      </c>
      <c r="B555" s="223" t="s">
        <v>2922</v>
      </c>
      <c r="C555" s="227" t="s">
        <v>778</v>
      </c>
      <c r="D555" s="226">
        <v>1</v>
      </c>
      <c r="E555" s="227" t="s">
        <v>526</v>
      </c>
      <c r="F555" s="227">
        <v>2</v>
      </c>
      <c r="G555" s="276" t="s">
        <v>3177</v>
      </c>
      <c r="H555" s="276" t="s">
        <v>3178</v>
      </c>
      <c r="I555" s="276" t="s">
        <v>3179</v>
      </c>
      <c r="J555" s="276" t="s">
        <v>3180</v>
      </c>
      <c r="K555" s="276" t="s">
        <v>531</v>
      </c>
      <c r="L555" s="276" t="s">
        <v>532</v>
      </c>
      <c r="M555" s="276" t="s">
        <v>3181</v>
      </c>
      <c r="N555" s="276" t="s">
        <v>534</v>
      </c>
    </row>
    <row r="556" spans="1:14" ht="49.5">
      <c r="A556" s="268" t="str">
        <f t="shared" si="8"/>
        <v>Developing Onself|Division Head|1</v>
      </c>
      <c r="B556" s="223" t="s">
        <v>2922</v>
      </c>
      <c r="C556" s="227" t="s">
        <v>778</v>
      </c>
      <c r="D556" s="226">
        <v>1</v>
      </c>
      <c r="E556" s="227" t="s">
        <v>526</v>
      </c>
      <c r="F556" s="227">
        <v>3</v>
      </c>
      <c r="G556" s="276" t="s">
        <v>3182</v>
      </c>
      <c r="H556" s="276" t="s">
        <v>3183</v>
      </c>
      <c r="I556" s="276" t="s">
        <v>3184</v>
      </c>
      <c r="J556" s="276" t="s">
        <v>3185</v>
      </c>
      <c r="K556" s="276" t="s">
        <v>531</v>
      </c>
      <c r="L556" s="276" t="s">
        <v>532</v>
      </c>
      <c r="M556" s="276" t="s">
        <v>3186</v>
      </c>
      <c r="N556" s="276" t="s">
        <v>534</v>
      </c>
    </row>
    <row r="557" spans="1:14" ht="33">
      <c r="A557" s="268" t="str">
        <f t="shared" si="8"/>
        <v>Developing Onself|Division Head|2</v>
      </c>
      <c r="B557" s="223" t="s">
        <v>2922</v>
      </c>
      <c r="C557" s="227" t="s">
        <v>778</v>
      </c>
      <c r="D557" s="227">
        <v>2</v>
      </c>
      <c r="E557" s="227" t="s">
        <v>545</v>
      </c>
      <c r="F557" s="227">
        <v>1</v>
      </c>
      <c r="G557" s="276" t="s">
        <v>3187</v>
      </c>
      <c r="H557" s="276" t="s">
        <v>3188</v>
      </c>
      <c r="I557" s="276" t="s">
        <v>3189</v>
      </c>
      <c r="J557" s="276" t="s">
        <v>3190</v>
      </c>
      <c r="K557" s="276" t="s">
        <v>531</v>
      </c>
      <c r="L557" s="276" t="s">
        <v>532</v>
      </c>
      <c r="M557" s="276" t="s">
        <v>3191</v>
      </c>
      <c r="N557" s="276" t="s">
        <v>677</v>
      </c>
    </row>
    <row r="558" spans="1:14" ht="33">
      <c r="A558" s="268" t="str">
        <f t="shared" si="8"/>
        <v>Developing Onself|Division Head|2</v>
      </c>
      <c r="B558" s="223" t="s">
        <v>2922</v>
      </c>
      <c r="C558" s="227" t="s">
        <v>778</v>
      </c>
      <c r="D558" s="227">
        <v>2</v>
      </c>
      <c r="E558" s="227" t="s">
        <v>545</v>
      </c>
      <c r="F558" s="227">
        <v>2</v>
      </c>
      <c r="G558" s="276" t="s">
        <v>3192</v>
      </c>
      <c r="H558" s="276" t="s">
        <v>3193</v>
      </c>
      <c r="I558" s="276" t="s">
        <v>3194</v>
      </c>
      <c r="J558" s="276" t="s">
        <v>3195</v>
      </c>
      <c r="K558" s="276" t="s">
        <v>531</v>
      </c>
      <c r="L558" s="276" t="s">
        <v>532</v>
      </c>
      <c r="M558" s="276" t="s">
        <v>3196</v>
      </c>
      <c r="N558" s="276" t="s">
        <v>677</v>
      </c>
    </row>
    <row r="559" spans="1:14" ht="33">
      <c r="A559" s="268" t="str">
        <f t="shared" si="8"/>
        <v>Developing Onself|Division Head|2</v>
      </c>
      <c r="B559" s="223" t="s">
        <v>2922</v>
      </c>
      <c r="C559" s="227" t="s">
        <v>778</v>
      </c>
      <c r="D559" s="227">
        <v>2</v>
      </c>
      <c r="E559" s="227" t="s">
        <v>545</v>
      </c>
      <c r="F559" s="227">
        <v>3</v>
      </c>
      <c r="G559" s="276" t="s">
        <v>3197</v>
      </c>
      <c r="H559" s="276" t="s">
        <v>3198</v>
      </c>
      <c r="I559" s="276" t="s">
        <v>3199</v>
      </c>
      <c r="J559" s="276" t="s">
        <v>3200</v>
      </c>
      <c r="K559" s="276" t="s">
        <v>531</v>
      </c>
      <c r="L559" s="276" t="s">
        <v>532</v>
      </c>
      <c r="M559" s="276" t="s">
        <v>3201</v>
      </c>
      <c r="N559" s="276" t="s">
        <v>677</v>
      </c>
    </row>
    <row r="560" spans="1:14" ht="33">
      <c r="A560" s="268" t="str">
        <f t="shared" si="8"/>
        <v>Developing Onself|Division Head|3</v>
      </c>
      <c r="B560" s="223" t="s">
        <v>2922</v>
      </c>
      <c r="C560" s="227" t="s">
        <v>778</v>
      </c>
      <c r="D560" s="227">
        <v>3</v>
      </c>
      <c r="E560" s="227" t="s">
        <v>563</v>
      </c>
      <c r="F560" s="227">
        <v>1</v>
      </c>
      <c r="G560" s="276" t="s">
        <v>3202</v>
      </c>
      <c r="H560" s="276" t="s">
        <v>3203</v>
      </c>
      <c r="I560" s="276" t="s">
        <v>3204</v>
      </c>
      <c r="J560" s="276" t="s">
        <v>3205</v>
      </c>
      <c r="K560" s="276" t="s">
        <v>531</v>
      </c>
      <c r="L560" s="276" t="s">
        <v>532</v>
      </c>
      <c r="M560" s="276" t="s">
        <v>3206</v>
      </c>
      <c r="N560" s="276" t="s">
        <v>3207</v>
      </c>
    </row>
    <row r="561" spans="1:14" ht="49.5">
      <c r="A561" s="268" t="str">
        <f t="shared" si="8"/>
        <v>Developing Onself|Division Head|3</v>
      </c>
      <c r="B561" s="223" t="s">
        <v>2922</v>
      </c>
      <c r="C561" s="227" t="s">
        <v>778</v>
      </c>
      <c r="D561" s="227">
        <v>3</v>
      </c>
      <c r="E561" s="227" t="s">
        <v>563</v>
      </c>
      <c r="F561" s="227">
        <v>2</v>
      </c>
      <c r="G561" s="276" t="s">
        <v>3208</v>
      </c>
      <c r="H561" s="276" t="s">
        <v>3209</v>
      </c>
      <c r="I561" s="276" t="s">
        <v>3210</v>
      </c>
      <c r="J561" s="276" t="s">
        <v>3211</v>
      </c>
      <c r="K561" s="276" t="s">
        <v>531</v>
      </c>
      <c r="L561" s="276" t="s">
        <v>532</v>
      </c>
      <c r="M561" s="276" t="s">
        <v>3212</v>
      </c>
      <c r="N561" s="276" t="s">
        <v>534</v>
      </c>
    </row>
    <row r="562" spans="1:14" ht="33">
      <c r="A562" s="268" t="str">
        <f t="shared" si="8"/>
        <v>Developing Onself|Division Head|3</v>
      </c>
      <c r="B562" s="223" t="s">
        <v>2922</v>
      </c>
      <c r="C562" s="227" t="s">
        <v>778</v>
      </c>
      <c r="D562" s="227">
        <v>3</v>
      </c>
      <c r="E562" s="227" t="s">
        <v>563</v>
      </c>
      <c r="F562" s="227">
        <v>3</v>
      </c>
      <c r="G562" s="276" t="s">
        <v>3213</v>
      </c>
      <c r="H562" s="276" t="s">
        <v>3214</v>
      </c>
      <c r="I562" s="276" t="s">
        <v>3215</v>
      </c>
      <c r="J562" s="276" t="s">
        <v>3216</v>
      </c>
      <c r="K562" s="276" t="s">
        <v>531</v>
      </c>
      <c r="L562" s="276" t="s">
        <v>532</v>
      </c>
      <c r="M562" s="276" t="s">
        <v>3217</v>
      </c>
      <c r="N562" s="276" t="s">
        <v>3031</v>
      </c>
    </row>
    <row r="563" spans="1:14" ht="49.5">
      <c r="A563" s="268" t="str">
        <f t="shared" si="8"/>
        <v>Developing Onself|Division Head|4</v>
      </c>
      <c r="B563" s="223" t="s">
        <v>2922</v>
      </c>
      <c r="C563" s="227" t="s">
        <v>778</v>
      </c>
      <c r="D563" s="227">
        <v>4</v>
      </c>
      <c r="E563" s="227" t="s">
        <v>581</v>
      </c>
      <c r="F563" s="227">
        <v>1</v>
      </c>
      <c r="G563" s="276" t="s">
        <v>3218</v>
      </c>
      <c r="H563" s="276" t="s">
        <v>3219</v>
      </c>
      <c r="I563" s="276" t="s">
        <v>3220</v>
      </c>
      <c r="J563" s="276" t="s">
        <v>3221</v>
      </c>
      <c r="K563" s="276" t="s">
        <v>531</v>
      </c>
      <c r="L563" s="276" t="s">
        <v>532</v>
      </c>
      <c r="M563" s="276" t="s">
        <v>3222</v>
      </c>
      <c r="N563" s="276" t="s">
        <v>562</v>
      </c>
    </row>
    <row r="564" spans="1:14" ht="66">
      <c r="A564" s="268" t="str">
        <f t="shared" si="8"/>
        <v>Developing Onself|Division Head|4</v>
      </c>
      <c r="B564" s="223" t="s">
        <v>2922</v>
      </c>
      <c r="C564" s="227" t="s">
        <v>778</v>
      </c>
      <c r="D564" s="227">
        <v>4</v>
      </c>
      <c r="E564" s="227" t="s">
        <v>581</v>
      </c>
      <c r="F564" s="227">
        <v>2</v>
      </c>
      <c r="G564" s="276" t="s">
        <v>3223</v>
      </c>
      <c r="H564" s="276" t="s">
        <v>3224</v>
      </c>
      <c r="I564" s="276" t="s">
        <v>3225</v>
      </c>
      <c r="J564" s="276" t="s">
        <v>3226</v>
      </c>
      <c r="K564" s="276" t="s">
        <v>531</v>
      </c>
      <c r="L564" s="276" t="s">
        <v>532</v>
      </c>
      <c r="M564" s="276" t="s">
        <v>3227</v>
      </c>
      <c r="N564" s="276" t="s">
        <v>1050</v>
      </c>
    </row>
    <row r="565" spans="1:14" ht="49.5">
      <c r="A565" s="268" t="str">
        <f t="shared" si="8"/>
        <v>Developing Onself|Division Head|4</v>
      </c>
      <c r="B565" s="223" t="s">
        <v>2922</v>
      </c>
      <c r="C565" s="227" t="s">
        <v>778</v>
      </c>
      <c r="D565" s="227">
        <v>4</v>
      </c>
      <c r="E565" s="227" t="s">
        <v>581</v>
      </c>
      <c r="F565" s="227">
        <v>3</v>
      </c>
      <c r="G565" s="276" t="s">
        <v>3228</v>
      </c>
      <c r="H565" s="276" t="s">
        <v>3229</v>
      </c>
      <c r="I565" s="276" t="s">
        <v>3230</v>
      </c>
      <c r="J565" s="276" t="s">
        <v>3231</v>
      </c>
      <c r="K565" s="276" t="s">
        <v>531</v>
      </c>
      <c r="L565" s="276" t="s">
        <v>532</v>
      </c>
      <c r="M565" s="276" t="s">
        <v>3232</v>
      </c>
      <c r="N565" s="276" t="s">
        <v>1673</v>
      </c>
    </row>
    <row r="566" spans="1:14" ht="42">
      <c r="A566" s="268" t="str">
        <f t="shared" si="8"/>
        <v>Developing Onself|Director|1</v>
      </c>
      <c r="B566" s="223" t="s">
        <v>2922</v>
      </c>
      <c r="C566" s="227" t="s">
        <v>838</v>
      </c>
      <c r="D566" s="226">
        <v>1</v>
      </c>
      <c r="E566" s="227" t="s">
        <v>526</v>
      </c>
      <c r="F566" s="227">
        <v>1</v>
      </c>
      <c r="G566" s="128" t="s">
        <v>3233</v>
      </c>
      <c r="H566" s="128" t="s">
        <v>3234</v>
      </c>
      <c r="I566" s="128" t="s">
        <v>3235</v>
      </c>
      <c r="J566" s="128" t="s">
        <v>3236</v>
      </c>
      <c r="K566" s="128" t="s">
        <v>531</v>
      </c>
      <c r="L566" s="128" t="s">
        <v>532</v>
      </c>
      <c r="M566" s="128" t="s">
        <v>3237</v>
      </c>
      <c r="N566" s="128" t="s">
        <v>534</v>
      </c>
    </row>
    <row r="567" spans="1:14" ht="56">
      <c r="A567" s="268" t="str">
        <f t="shared" si="8"/>
        <v>Developing Onself|Director|1</v>
      </c>
      <c r="B567" s="223" t="s">
        <v>2922</v>
      </c>
      <c r="C567" s="227" t="s">
        <v>838</v>
      </c>
      <c r="D567" s="226">
        <v>1</v>
      </c>
      <c r="E567" s="227" t="s">
        <v>526</v>
      </c>
      <c r="F567" s="227">
        <v>2</v>
      </c>
      <c r="G567" s="128" t="s">
        <v>3238</v>
      </c>
      <c r="H567" s="128" t="s">
        <v>3239</v>
      </c>
      <c r="I567" s="128" t="s">
        <v>3240</v>
      </c>
      <c r="J567" s="128" t="s">
        <v>3241</v>
      </c>
      <c r="K567" s="128" t="s">
        <v>531</v>
      </c>
      <c r="L567" s="128" t="s">
        <v>532</v>
      </c>
      <c r="M567" s="128" t="s">
        <v>3242</v>
      </c>
      <c r="N567" s="128" t="s">
        <v>534</v>
      </c>
    </row>
    <row r="568" spans="1:14" ht="56">
      <c r="A568" s="268" t="str">
        <f t="shared" si="8"/>
        <v>Developing Onself|Director|1</v>
      </c>
      <c r="B568" s="223" t="s">
        <v>2922</v>
      </c>
      <c r="C568" s="227" t="s">
        <v>838</v>
      </c>
      <c r="D568" s="226">
        <v>1</v>
      </c>
      <c r="E568" s="227" t="s">
        <v>526</v>
      </c>
      <c r="F568" s="227">
        <v>3</v>
      </c>
      <c r="G568" s="128" t="s">
        <v>3243</v>
      </c>
      <c r="H568" s="128" t="s">
        <v>3244</v>
      </c>
      <c r="I568" s="128" t="s">
        <v>3245</v>
      </c>
      <c r="J568" s="128" t="s">
        <v>3246</v>
      </c>
      <c r="K568" s="128" t="s">
        <v>531</v>
      </c>
      <c r="L568" s="128" t="s">
        <v>532</v>
      </c>
      <c r="M568" s="128" t="s">
        <v>3247</v>
      </c>
      <c r="N568" s="128" t="s">
        <v>534</v>
      </c>
    </row>
    <row r="569" spans="1:14" ht="28">
      <c r="A569" s="268" t="str">
        <f t="shared" si="8"/>
        <v>Developing Onself|Director|2</v>
      </c>
      <c r="B569" s="223" t="s">
        <v>2922</v>
      </c>
      <c r="C569" s="227" t="s">
        <v>838</v>
      </c>
      <c r="D569" s="227">
        <v>2</v>
      </c>
      <c r="E569" s="227" t="s">
        <v>545</v>
      </c>
      <c r="F569" s="227">
        <v>1</v>
      </c>
      <c r="G569" s="128" t="s">
        <v>3248</v>
      </c>
      <c r="H569" s="128" t="s">
        <v>3249</v>
      </c>
      <c r="I569" s="128" t="s">
        <v>3250</v>
      </c>
      <c r="J569" s="128" t="s">
        <v>3251</v>
      </c>
      <c r="K569" s="128" t="s">
        <v>531</v>
      </c>
      <c r="L569" s="128" t="s">
        <v>532</v>
      </c>
      <c r="M569" s="128" t="s">
        <v>3252</v>
      </c>
      <c r="N569" s="128" t="s">
        <v>677</v>
      </c>
    </row>
    <row r="570" spans="1:14" ht="28">
      <c r="A570" s="268" t="str">
        <f t="shared" si="8"/>
        <v>Developing Onself|Director|2</v>
      </c>
      <c r="B570" s="223" t="s">
        <v>2922</v>
      </c>
      <c r="C570" s="227" t="s">
        <v>838</v>
      </c>
      <c r="D570" s="227">
        <v>2</v>
      </c>
      <c r="E570" s="227" t="s">
        <v>545</v>
      </c>
      <c r="F570" s="227">
        <v>2</v>
      </c>
      <c r="G570" s="128" t="s">
        <v>3253</v>
      </c>
      <c r="H570" s="128" t="s">
        <v>3254</v>
      </c>
      <c r="I570" s="128" t="s">
        <v>3255</v>
      </c>
      <c r="J570" s="128" t="s">
        <v>3256</v>
      </c>
      <c r="K570" s="128" t="s">
        <v>531</v>
      </c>
      <c r="L570" s="128" t="s">
        <v>532</v>
      </c>
      <c r="M570" s="128" t="s">
        <v>3257</v>
      </c>
      <c r="N570" s="128" t="s">
        <v>677</v>
      </c>
    </row>
    <row r="571" spans="1:14" ht="42">
      <c r="A571" s="268" t="str">
        <f t="shared" si="8"/>
        <v>Developing Onself|Director|2</v>
      </c>
      <c r="B571" s="223" t="s">
        <v>2922</v>
      </c>
      <c r="C571" s="227" t="s">
        <v>838</v>
      </c>
      <c r="D571" s="227">
        <v>2</v>
      </c>
      <c r="E571" s="227" t="s">
        <v>545</v>
      </c>
      <c r="F571" s="227">
        <v>3</v>
      </c>
      <c r="G571" s="128" t="s">
        <v>3258</v>
      </c>
      <c r="H571" s="128" t="s">
        <v>3259</v>
      </c>
      <c r="I571" s="128" t="s">
        <v>3260</v>
      </c>
      <c r="J571" s="128" t="s">
        <v>3261</v>
      </c>
      <c r="K571" s="128" t="s">
        <v>531</v>
      </c>
      <c r="L571" s="128" t="s">
        <v>532</v>
      </c>
      <c r="M571" s="128" t="s">
        <v>3262</v>
      </c>
      <c r="N571" s="128" t="s">
        <v>677</v>
      </c>
    </row>
    <row r="572" spans="1:14" ht="28">
      <c r="A572" s="268" t="str">
        <f t="shared" si="8"/>
        <v>Developing Onself|Director|3</v>
      </c>
      <c r="B572" s="223" t="s">
        <v>2922</v>
      </c>
      <c r="C572" s="227" t="s">
        <v>838</v>
      </c>
      <c r="D572" s="227">
        <v>3</v>
      </c>
      <c r="E572" s="227" t="s">
        <v>563</v>
      </c>
      <c r="F572" s="227">
        <v>1</v>
      </c>
      <c r="G572" s="128" t="s">
        <v>3263</v>
      </c>
      <c r="H572" s="128" t="s">
        <v>3264</v>
      </c>
      <c r="I572" s="128" t="s">
        <v>3265</v>
      </c>
      <c r="J572" s="128" t="s">
        <v>3266</v>
      </c>
      <c r="K572" s="128" t="s">
        <v>531</v>
      </c>
      <c r="L572" s="128" t="s">
        <v>532</v>
      </c>
      <c r="M572" s="128" t="s">
        <v>3267</v>
      </c>
      <c r="N572" s="128" t="s">
        <v>3268</v>
      </c>
    </row>
    <row r="573" spans="1:14" ht="28">
      <c r="A573" s="268" t="str">
        <f t="shared" si="8"/>
        <v>Developing Onself|Director|3</v>
      </c>
      <c r="B573" s="223" t="s">
        <v>2922</v>
      </c>
      <c r="C573" s="227" t="s">
        <v>838</v>
      </c>
      <c r="D573" s="227">
        <v>3</v>
      </c>
      <c r="E573" s="227" t="s">
        <v>563</v>
      </c>
      <c r="F573" s="227">
        <v>2</v>
      </c>
      <c r="G573" s="128" t="s">
        <v>3269</v>
      </c>
      <c r="H573" s="128" t="s">
        <v>3270</v>
      </c>
      <c r="I573" s="128" t="s">
        <v>3271</v>
      </c>
      <c r="J573" s="128" t="s">
        <v>3272</v>
      </c>
      <c r="K573" s="128" t="s">
        <v>531</v>
      </c>
      <c r="L573" s="128" t="s">
        <v>532</v>
      </c>
      <c r="M573" s="128" t="s">
        <v>3273</v>
      </c>
      <c r="N573" s="128" t="s">
        <v>3274</v>
      </c>
    </row>
    <row r="574" spans="1:14" ht="56">
      <c r="A574" s="268" t="str">
        <f t="shared" si="8"/>
        <v>Developing Onself|Director|3</v>
      </c>
      <c r="B574" s="223" t="s">
        <v>2922</v>
      </c>
      <c r="C574" s="227" t="s">
        <v>838</v>
      </c>
      <c r="D574" s="227">
        <v>3</v>
      </c>
      <c r="E574" s="227" t="s">
        <v>563</v>
      </c>
      <c r="F574" s="227">
        <v>3</v>
      </c>
      <c r="G574" s="128" t="s">
        <v>3275</v>
      </c>
      <c r="H574" s="128" t="s">
        <v>3276</v>
      </c>
      <c r="I574" s="128" t="s">
        <v>3277</v>
      </c>
      <c r="J574" s="128" t="s">
        <v>3278</v>
      </c>
      <c r="K574" s="128" t="s">
        <v>531</v>
      </c>
      <c r="L574" s="128" t="s">
        <v>532</v>
      </c>
      <c r="M574" s="128" t="s">
        <v>3279</v>
      </c>
      <c r="N574" s="128" t="s">
        <v>3280</v>
      </c>
    </row>
    <row r="575" spans="1:14" ht="42">
      <c r="A575" s="268" t="str">
        <f t="shared" si="8"/>
        <v>Developing Onself|Director|4</v>
      </c>
      <c r="B575" s="223" t="s">
        <v>2922</v>
      </c>
      <c r="C575" s="227" t="s">
        <v>838</v>
      </c>
      <c r="D575" s="227">
        <v>4</v>
      </c>
      <c r="E575" s="227" t="s">
        <v>581</v>
      </c>
      <c r="F575" s="227">
        <v>1</v>
      </c>
      <c r="G575" s="128" t="s">
        <v>3281</v>
      </c>
      <c r="H575" s="128" t="s">
        <v>3282</v>
      </c>
      <c r="I575" s="128" t="s">
        <v>3283</v>
      </c>
      <c r="J575" s="128" t="s">
        <v>3284</v>
      </c>
      <c r="K575" s="128" t="s">
        <v>531</v>
      </c>
      <c r="L575" s="128" t="s">
        <v>532</v>
      </c>
      <c r="M575" s="128" t="s">
        <v>3285</v>
      </c>
      <c r="N575" s="128" t="s">
        <v>1673</v>
      </c>
    </row>
    <row r="576" spans="1:14" ht="42">
      <c r="A576" s="268" t="str">
        <f t="shared" si="8"/>
        <v>Developing Onself|Director|4</v>
      </c>
      <c r="B576" s="223" t="s">
        <v>2922</v>
      </c>
      <c r="C576" s="227" t="s">
        <v>838</v>
      </c>
      <c r="D576" s="227">
        <v>4</v>
      </c>
      <c r="E576" s="227" t="s">
        <v>581</v>
      </c>
      <c r="F576" s="227">
        <v>2</v>
      </c>
      <c r="G576" s="128" t="s">
        <v>3286</v>
      </c>
      <c r="H576" s="128" t="s">
        <v>3287</v>
      </c>
      <c r="I576" s="128" t="s">
        <v>3288</v>
      </c>
      <c r="J576" s="128" t="s">
        <v>3289</v>
      </c>
      <c r="K576" s="128" t="s">
        <v>531</v>
      </c>
      <c r="L576" s="128" t="s">
        <v>532</v>
      </c>
      <c r="M576" s="128" t="s">
        <v>3290</v>
      </c>
      <c r="N576" s="128" t="s">
        <v>3291</v>
      </c>
    </row>
    <row r="577" spans="1:14" ht="56">
      <c r="A577" s="268" t="str">
        <f t="shared" si="8"/>
        <v>Developing Onself|Director|4</v>
      </c>
      <c r="B577" s="223" t="s">
        <v>2922</v>
      </c>
      <c r="C577" s="227" t="s">
        <v>838</v>
      </c>
      <c r="D577" s="227">
        <v>4</v>
      </c>
      <c r="E577" s="227" t="s">
        <v>581</v>
      </c>
      <c r="F577" s="227">
        <v>3</v>
      </c>
      <c r="G577" s="128" t="s">
        <v>3292</v>
      </c>
      <c r="H577" s="128" t="s">
        <v>3293</v>
      </c>
      <c r="I577" s="128" t="s">
        <v>3294</v>
      </c>
      <c r="J577" s="128" t="s">
        <v>3295</v>
      </c>
      <c r="K577" s="128" t="s">
        <v>531</v>
      </c>
      <c r="L577" s="128" t="s">
        <v>532</v>
      </c>
      <c r="M577" s="128" t="s">
        <v>3296</v>
      </c>
      <c r="N577" s="128" t="s">
        <v>562</v>
      </c>
    </row>
    <row r="578" spans="1:14" ht="66">
      <c r="A578" s="268" t="str">
        <f t="shared" si="8"/>
        <v>Leadership|Officer|1</v>
      </c>
      <c r="B578" s="223" t="s">
        <v>504</v>
      </c>
      <c r="C578" s="197" t="s">
        <v>4</v>
      </c>
      <c r="D578" s="197">
        <v>1</v>
      </c>
      <c r="E578" s="79" t="s">
        <v>526</v>
      </c>
      <c r="F578" s="79">
        <v>1</v>
      </c>
      <c r="G578" s="276" t="s">
        <v>3297</v>
      </c>
      <c r="H578" s="276" t="s">
        <v>3298</v>
      </c>
      <c r="I578" s="276" t="s">
        <v>3299</v>
      </c>
      <c r="J578" s="276" t="s">
        <v>3300</v>
      </c>
      <c r="K578" s="276" t="s">
        <v>531</v>
      </c>
      <c r="L578" s="276" t="s">
        <v>532</v>
      </c>
      <c r="M578" s="276" t="s">
        <v>3301</v>
      </c>
      <c r="N578" s="276" t="s">
        <v>534</v>
      </c>
    </row>
    <row r="579" spans="1:14" ht="49.5">
      <c r="A579" s="268" t="str">
        <f t="shared" ref="A579:A642" si="9">B579 &amp; "|" &amp; C579 &amp; "|" &amp; D579</f>
        <v>Leadership|Officer|1</v>
      </c>
      <c r="B579" s="223" t="s">
        <v>504</v>
      </c>
      <c r="C579" s="197" t="s">
        <v>4</v>
      </c>
      <c r="D579" s="197">
        <v>1</v>
      </c>
      <c r="E579" s="79" t="s">
        <v>526</v>
      </c>
      <c r="F579" s="79">
        <v>2</v>
      </c>
      <c r="G579" s="276" t="s">
        <v>3302</v>
      </c>
      <c r="H579" s="276" t="s">
        <v>3303</v>
      </c>
      <c r="I579" s="276" t="s">
        <v>3304</v>
      </c>
      <c r="J579" s="276" t="s">
        <v>3305</v>
      </c>
      <c r="K579" s="276" t="s">
        <v>531</v>
      </c>
      <c r="L579" s="276" t="s">
        <v>532</v>
      </c>
      <c r="M579" s="276" t="s">
        <v>3306</v>
      </c>
      <c r="N579" s="276" t="s">
        <v>534</v>
      </c>
    </row>
    <row r="580" spans="1:14" ht="49.5">
      <c r="A580" s="268" t="str">
        <f t="shared" si="9"/>
        <v>Leadership|Officer|1</v>
      </c>
      <c r="B580" s="223" t="s">
        <v>504</v>
      </c>
      <c r="C580" s="197" t="s">
        <v>4</v>
      </c>
      <c r="D580" s="197">
        <v>1</v>
      </c>
      <c r="E580" s="79" t="s">
        <v>526</v>
      </c>
      <c r="F580" s="79">
        <v>3</v>
      </c>
      <c r="G580" s="276" t="s">
        <v>3307</v>
      </c>
      <c r="H580" s="276" t="s">
        <v>3308</v>
      </c>
      <c r="I580" s="276" t="s">
        <v>3309</v>
      </c>
      <c r="J580" s="276" t="s">
        <v>1582</v>
      </c>
      <c r="K580" s="276" t="s">
        <v>531</v>
      </c>
      <c r="L580" s="276" t="s">
        <v>532</v>
      </c>
      <c r="M580" s="276" t="s">
        <v>3310</v>
      </c>
      <c r="N580" s="276" t="s">
        <v>534</v>
      </c>
    </row>
    <row r="581" spans="1:14" ht="49.5">
      <c r="A581" s="268" t="str">
        <f t="shared" si="9"/>
        <v>Leadership|Officer|2</v>
      </c>
      <c r="B581" s="223" t="s">
        <v>504</v>
      </c>
      <c r="C581" s="197" t="s">
        <v>4</v>
      </c>
      <c r="D581" s="79">
        <v>2</v>
      </c>
      <c r="E581" s="79" t="s">
        <v>545</v>
      </c>
      <c r="F581" s="79">
        <v>1</v>
      </c>
      <c r="G581" s="276" t="s">
        <v>3311</v>
      </c>
      <c r="H581" s="276" t="s">
        <v>3312</v>
      </c>
      <c r="I581" s="276" t="s">
        <v>3313</v>
      </c>
      <c r="J581" s="276" t="s">
        <v>3314</v>
      </c>
      <c r="K581" s="276" t="s">
        <v>531</v>
      </c>
      <c r="L581" s="276" t="s">
        <v>532</v>
      </c>
      <c r="M581" s="276" t="s">
        <v>3315</v>
      </c>
      <c r="N581" s="276" t="s">
        <v>551</v>
      </c>
    </row>
    <row r="582" spans="1:14" ht="49.5">
      <c r="A582" s="268" t="str">
        <f t="shared" si="9"/>
        <v>Leadership|Officer|2</v>
      </c>
      <c r="B582" s="223" t="s">
        <v>504</v>
      </c>
      <c r="C582" s="197" t="s">
        <v>4</v>
      </c>
      <c r="D582" s="79">
        <v>2</v>
      </c>
      <c r="E582" s="79" t="s">
        <v>545</v>
      </c>
      <c r="F582" s="79">
        <v>2</v>
      </c>
      <c r="G582" s="276" t="s">
        <v>3316</v>
      </c>
      <c r="H582" s="276" t="s">
        <v>3317</v>
      </c>
      <c r="I582" s="276" t="s">
        <v>3318</v>
      </c>
      <c r="J582" s="276" t="s">
        <v>3319</v>
      </c>
      <c r="K582" s="276" t="s">
        <v>531</v>
      </c>
      <c r="L582" s="276" t="s">
        <v>532</v>
      </c>
      <c r="M582" s="276" t="s">
        <v>3320</v>
      </c>
      <c r="N582" s="276" t="s">
        <v>1561</v>
      </c>
    </row>
    <row r="583" spans="1:14" ht="49.5">
      <c r="A583" s="268" t="str">
        <f t="shared" si="9"/>
        <v>Leadership|Officer|2</v>
      </c>
      <c r="B583" s="223" t="s">
        <v>504</v>
      </c>
      <c r="C583" s="197" t="s">
        <v>4</v>
      </c>
      <c r="D583" s="79">
        <v>2</v>
      </c>
      <c r="E583" s="79" t="s">
        <v>545</v>
      </c>
      <c r="F583" s="79">
        <v>3</v>
      </c>
      <c r="G583" s="276" t="s">
        <v>3321</v>
      </c>
      <c r="H583" s="276" t="s">
        <v>3322</v>
      </c>
      <c r="I583" s="276" t="s">
        <v>3323</v>
      </c>
      <c r="J583" s="276" t="s">
        <v>3324</v>
      </c>
      <c r="K583" s="276" t="s">
        <v>531</v>
      </c>
      <c r="L583" s="276" t="s">
        <v>532</v>
      </c>
      <c r="M583" s="276" t="s">
        <v>3325</v>
      </c>
      <c r="N583" s="276" t="s">
        <v>534</v>
      </c>
    </row>
    <row r="584" spans="1:14" ht="49.5">
      <c r="A584" s="268" t="str">
        <f t="shared" si="9"/>
        <v>Leadership|Officer|3</v>
      </c>
      <c r="B584" s="223" t="s">
        <v>504</v>
      </c>
      <c r="C584" s="197" t="s">
        <v>4</v>
      </c>
      <c r="D584" s="79">
        <v>3</v>
      </c>
      <c r="E584" s="79" t="s">
        <v>563</v>
      </c>
      <c r="F584" s="79">
        <v>1</v>
      </c>
      <c r="G584" s="276" t="s">
        <v>3326</v>
      </c>
      <c r="H584" s="276" t="s">
        <v>3327</v>
      </c>
      <c r="I584" s="276" t="s">
        <v>3328</v>
      </c>
      <c r="J584" s="276" t="s">
        <v>3329</v>
      </c>
      <c r="K584" s="276" t="s">
        <v>531</v>
      </c>
      <c r="L584" s="276" t="s">
        <v>532</v>
      </c>
      <c r="M584" s="276" t="s">
        <v>3330</v>
      </c>
      <c r="N584" s="276" t="s">
        <v>2607</v>
      </c>
    </row>
    <row r="585" spans="1:14" ht="33">
      <c r="A585" s="268" t="str">
        <f t="shared" si="9"/>
        <v>Leadership|Officer|3</v>
      </c>
      <c r="B585" s="223" t="s">
        <v>504</v>
      </c>
      <c r="C585" s="197" t="s">
        <v>4</v>
      </c>
      <c r="D585" s="79">
        <v>3</v>
      </c>
      <c r="E585" s="79" t="s">
        <v>563</v>
      </c>
      <c r="F585" s="79">
        <v>2</v>
      </c>
      <c r="G585" s="276" t="s">
        <v>3331</v>
      </c>
      <c r="H585" s="276" t="s">
        <v>3332</v>
      </c>
      <c r="I585" s="276" t="s">
        <v>3333</v>
      </c>
      <c r="J585" s="276" t="s">
        <v>3334</v>
      </c>
      <c r="K585" s="276" t="s">
        <v>531</v>
      </c>
      <c r="L585" s="276" t="s">
        <v>532</v>
      </c>
      <c r="M585" s="276" t="s">
        <v>3335</v>
      </c>
      <c r="N585" s="276" t="s">
        <v>2661</v>
      </c>
    </row>
    <row r="586" spans="1:14" ht="49.5">
      <c r="A586" s="268" t="str">
        <f t="shared" si="9"/>
        <v>Leadership|Officer|3</v>
      </c>
      <c r="B586" s="223" t="s">
        <v>504</v>
      </c>
      <c r="C586" s="197" t="s">
        <v>4</v>
      </c>
      <c r="D586" s="79">
        <v>3</v>
      </c>
      <c r="E586" s="79" t="s">
        <v>563</v>
      </c>
      <c r="F586" s="79">
        <v>3</v>
      </c>
      <c r="G586" s="276" t="s">
        <v>3336</v>
      </c>
      <c r="H586" s="276" t="s">
        <v>3337</v>
      </c>
      <c r="I586" s="276" t="s">
        <v>3338</v>
      </c>
      <c r="J586" s="276" t="s">
        <v>578</v>
      </c>
      <c r="K586" s="276" t="s">
        <v>531</v>
      </c>
      <c r="L586" s="276" t="s">
        <v>532</v>
      </c>
      <c r="M586" s="276" t="s">
        <v>3339</v>
      </c>
      <c r="N586" s="276" t="s">
        <v>580</v>
      </c>
    </row>
    <row r="587" spans="1:14" ht="66">
      <c r="A587" s="268" t="str">
        <f t="shared" si="9"/>
        <v>Leadership|Officer|4</v>
      </c>
      <c r="B587" s="223" t="s">
        <v>504</v>
      </c>
      <c r="C587" s="197" t="s">
        <v>4</v>
      </c>
      <c r="D587" s="79">
        <v>4</v>
      </c>
      <c r="E587" s="79" t="s">
        <v>581</v>
      </c>
      <c r="F587" s="79">
        <v>1</v>
      </c>
      <c r="G587" s="276" t="s">
        <v>3340</v>
      </c>
      <c r="H587" s="276" t="s">
        <v>3341</v>
      </c>
      <c r="I587" s="276" t="s">
        <v>3342</v>
      </c>
      <c r="J587" s="276" t="s">
        <v>3343</v>
      </c>
      <c r="K587" s="276" t="s">
        <v>531</v>
      </c>
      <c r="L587" s="276" t="s">
        <v>532</v>
      </c>
      <c r="M587" s="276" t="s">
        <v>3344</v>
      </c>
      <c r="N587" s="276" t="s">
        <v>562</v>
      </c>
    </row>
    <row r="588" spans="1:14" ht="49.5">
      <c r="A588" s="268" t="str">
        <f t="shared" si="9"/>
        <v>Leadership|Officer|4</v>
      </c>
      <c r="B588" s="223" t="s">
        <v>504</v>
      </c>
      <c r="C588" s="197" t="s">
        <v>4</v>
      </c>
      <c r="D588" s="79">
        <v>4</v>
      </c>
      <c r="E588" s="79" t="s">
        <v>581</v>
      </c>
      <c r="F588" s="79">
        <v>2</v>
      </c>
      <c r="G588" s="276" t="s">
        <v>3345</v>
      </c>
      <c r="H588" s="276" t="s">
        <v>3346</v>
      </c>
      <c r="I588" s="276" t="s">
        <v>3347</v>
      </c>
      <c r="J588" s="276" t="s">
        <v>3348</v>
      </c>
      <c r="K588" s="276" t="s">
        <v>531</v>
      </c>
      <c r="L588" s="276" t="s">
        <v>532</v>
      </c>
      <c r="M588" s="276" t="s">
        <v>3349</v>
      </c>
      <c r="N588" s="276" t="s">
        <v>562</v>
      </c>
    </row>
    <row r="589" spans="1:14" ht="33">
      <c r="A589" s="268" t="str">
        <f t="shared" si="9"/>
        <v>Leadership|Officer|4</v>
      </c>
      <c r="B589" s="223" t="s">
        <v>504</v>
      </c>
      <c r="C589" s="197" t="s">
        <v>4</v>
      </c>
      <c r="D589" s="79">
        <v>4</v>
      </c>
      <c r="E589" s="79" t="s">
        <v>581</v>
      </c>
      <c r="F589" s="79">
        <v>3</v>
      </c>
      <c r="G589" s="276" t="s">
        <v>3350</v>
      </c>
      <c r="H589" s="276" t="s">
        <v>3351</v>
      </c>
      <c r="I589" s="276" t="s">
        <v>3352</v>
      </c>
      <c r="J589" s="276" t="s">
        <v>3353</v>
      </c>
      <c r="K589" s="276" t="s">
        <v>531</v>
      </c>
      <c r="L589" s="276" t="s">
        <v>532</v>
      </c>
      <c r="M589" s="276" t="s">
        <v>3354</v>
      </c>
      <c r="N589" s="276" t="s">
        <v>3355</v>
      </c>
    </row>
    <row r="590" spans="1:14" ht="49.5">
      <c r="A590" s="268" t="str">
        <f t="shared" si="9"/>
        <v>Leadership|Analyst|1</v>
      </c>
      <c r="B590" s="223" t="s">
        <v>504</v>
      </c>
      <c r="C590" s="197" t="s">
        <v>6</v>
      </c>
      <c r="D590" s="197">
        <v>1</v>
      </c>
      <c r="E590" s="79" t="s">
        <v>526</v>
      </c>
      <c r="F590" s="79">
        <v>1</v>
      </c>
      <c r="G590" s="276" t="s">
        <v>3356</v>
      </c>
      <c r="H590" s="276" t="s">
        <v>3357</v>
      </c>
      <c r="I590" s="276" t="s">
        <v>3358</v>
      </c>
      <c r="J590" s="276" t="s">
        <v>3359</v>
      </c>
      <c r="K590" s="276" t="s">
        <v>531</v>
      </c>
      <c r="L590" s="276" t="s">
        <v>532</v>
      </c>
      <c r="M590" s="276" t="s">
        <v>3360</v>
      </c>
      <c r="N590" s="276" t="s">
        <v>534</v>
      </c>
    </row>
    <row r="591" spans="1:14" ht="49.5">
      <c r="A591" s="268" t="str">
        <f t="shared" si="9"/>
        <v>Leadership|Analyst|1</v>
      </c>
      <c r="B591" s="223" t="s">
        <v>504</v>
      </c>
      <c r="C591" s="197" t="s">
        <v>6</v>
      </c>
      <c r="D591" s="197">
        <v>1</v>
      </c>
      <c r="E591" s="79" t="s">
        <v>526</v>
      </c>
      <c r="F591" s="79">
        <v>2</v>
      </c>
      <c r="G591" s="276" t="s">
        <v>3361</v>
      </c>
      <c r="H591" s="276" t="s">
        <v>3362</v>
      </c>
      <c r="I591" s="276" t="s">
        <v>3363</v>
      </c>
      <c r="J591" s="276" t="s">
        <v>3364</v>
      </c>
      <c r="K591" s="276" t="s">
        <v>531</v>
      </c>
      <c r="L591" s="276" t="s">
        <v>532</v>
      </c>
      <c r="M591" s="276" t="s">
        <v>3365</v>
      </c>
      <c r="N591" s="276" t="s">
        <v>1820</v>
      </c>
    </row>
    <row r="592" spans="1:14" ht="33">
      <c r="A592" s="268" t="str">
        <f t="shared" si="9"/>
        <v>Leadership|Analyst|1</v>
      </c>
      <c r="B592" s="223" t="s">
        <v>504</v>
      </c>
      <c r="C592" s="197" t="s">
        <v>6</v>
      </c>
      <c r="D592" s="197">
        <v>1</v>
      </c>
      <c r="E592" s="79" t="s">
        <v>526</v>
      </c>
      <c r="F592" s="79">
        <v>3</v>
      </c>
      <c r="G592" s="276" t="s">
        <v>3366</v>
      </c>
      <c r="H592" s="276" t="s">
        <v>3367</v>
      </c>
      <c r="I592" s="276" t="s">
        <v>3368</v>
      </c>
      <c r="J592" s="276" t="s">
        <v>1582</v>
      </c>
      <c r="K592" s="276" t="s">
        <v>531</v>
      </c>
      <c r="L592" s="276" t="s">
        <v>532</v>
      </c>
      <c r="M592" s="276" t="s">
        <v>3369</v>
      </c>
      <c r="N592" s="276" t="s">
        <v>534</v>
      </c>
    </row>
    <row r="593" spans="1:14" ht="49.5">
      <c r="A593" s="268" t="str">
        <f t="shared" si="9"/>
        <v>Leadership|Analyst|2</v>
      </c>
      <c r="B593" s="223" t="s">
        <v>504</v>
      </c>
      <c r="C593" s="197" t="s">
        <v>6</v>
      </c>
      <c r="D593" s="79">
        <v>2</v>
      </c>
      <c r="E593" s="79" t="s">
        <v>545</v>
      </c>
      <c r="F593" s="79">
        <v>1</v>
      </c>
      <c r="G593" s="276" t="s">
        <v>3370</v>
      </c>
      <c r="H593" s="276" t="s">
        <v>3371</v>
      </c>
      <c r="I593" s="276" t="s">
        <v>3372</v>
      </c>
      <c r="J593" s="276" t="s">
        <v>3373</v>
      </c>
      <c r="K593" s="276" t="s">
        <v>531</v>
      </c>
      <c r="L593" s="276" t="s">
        <v>532</v>
      </c>
      <c r="M593" s="276" t="s">
        <v>3374</v>
      </c>
      <c r="N593" s="276" t="s">
        <v>551</v>
      </c>
    </row>
    <row r="594" spans="1:14" ht="33">
      <c r="A594" s="268" t="str">
        <f t="shared" si="9"/>
        <v>Leadership|Analyst|2</v>
      </c>
      <c r="B594" s="223" t="s">
        <v>504</v>
      </c>
      <c r="C594" s="197" t="s">
        <v>6</v>
      </c>
      <c r="D594" s="79">
        <v>2</v>
      </c>
      <c r="E594" s="79" t="s">
        <v>545</v>
      </c>
      <c r="F594" s="79">
        <v>2</v>
      </c>
      <c r="G594" s="276" t="s">
        <v>3375</v>
      </c>
      <c r="H594" s="276" t="s">
        <v>3376</v>
      </c>
      <c r="I594" s="276" t="s">
        <v>3377</v>
      </c>
      <c r="J594" s="276" t="s">
        <v>3378</v>
      </c>
      <c r="K594" s="276" t="s">
        <v>531</v>
      </c>
      <c r="L594" s="276" t="s">
        <v>532</v>
      </c>
      <c r="M594" s="276" t="s">
        <v>3379</v>
      </c>
      <c r="N594" s="276" t="s">
        <v>562</v>
      </c>
    </row>
    <row r="595" spans="1:14" ht="49.5">
      <c r="A595" s="268" t="str">
        <f t="shared" si="9"/>
        <v>Leadership|Analyst|2</v>
      </c>
      <c r="B595" s="223" t="s">
        <v>504</v>
      </c>
      <c r="C595" s="197" t="s">
        <v>6</v>
      </c>
      <c r="D595" s="79">
        <v>2</v>
      </c>
      <c r="E595" s="79" t="s">
        <v>545</v>
      </c>
      <c r="F595" s="79">
        <v>3</v>
      </c>
      <c r="G595" s="276" t="s">
        <v>3380</v>
      </c>
      <c r="H595" s="276" t="s">
        <v>3381</v>
      </c>
      <c r="I595" s="276" t="s">
        <v>3382</v>
      </c>
      <c r="J595" s="276" t="s">
        <v>3383</v>
      </c>
      <c r="K595" s="276" t="s">
        <v>531</v>
      </c>
      <c r="L595" s="276" t="s">
        <v>532</v>
      </c>
      <c r="M595" s="276" t="s">
        <v>3384</v>
      </c>
      <c r="N595" s="276" t="s">
        <v>562</v>
      </c>
    </row>
    <row r="596" spans="1:14" ht="33">
      <c r="A596" s="268" t="str">
        <f t="shared" si="9"/>
        <v>Leadership|Analyst|3</v>
      </c>
      <c r="B596" s="223" t="s">
        <v>504</v>
      </c>
      <c r="C596" s="197" t="s">
        <v>6</v>
      </c>
      <c r="D596" s="79">
        <v>3</v>
      </c>
      <c r="E596" s="79" t="s">
        <v>563</v>
      </c>
      <c r="F596" s="79">
        <v>1</v>
      </c>
      <c r="G596" s="276" t="s">
        <v>3385</v>
      </c>
      <c r="H596" s="276" t="s">
        <v>3386</v>
      </c>
      <c r="I596" s="276" t="s">
        <v>3387</v>
      </c>
      <c r="J596" s="276" t="s">
        <v>3388</v>
      </c>
      <c r="K596" s="276" t="s">
        <v>531</v>
      </c>
      <c r="L596" s="276" t="s">
        <v>532</v>
      </c>
      <c r="M596" s="276" t="s">
        <v>3389</v>
      </c>
      <c r="N596" s="276" t="s">
        <v>1609</v>
      </c>
    </row>
    <row r="597" spans="1:14" ht="33">
      <c r="A597" s="268" t="str">
        <f t="shared" si="9"/>
        <v>Leadership|Analyst|3</v>
      </c>
      <c r="B597" s="223" t="s">
        <v>504</v>
      </c>
      <c r="C597" s="197" t="s">
        <v>6</v>
      </c>
      <c r="D597" s="79">
        <v>3</v>
      </c>
      <c r="E597" s="79" t="s">
        <v>563</v>
      </c>
      <c r="F597" s="79">
        <v>2</v>
      </c>
      <c r="G597" s="276" t="s">
        <v>3390</v>
      </c>
      <c r="H597" s="276" t="s">
        <v>3391</v>
      </c>
      <c r="I597" s="276" t="s">
        <v>3392</v>
      </c>
      <c r="J597" s="276" t="s">
        <v>3393</v>
      </c>
      <c r="K597" s="276" t="s">
        <v>531</v>
      </c>
      <c r="L597" s="276" t="s">
        <v>532</v>
      </c>
      <c r="M597" s="276" t="s">
        <v>3394</v>
      </c>
      <c r="N597" s="276" t="s">
        <v>1820</v>
      </c>
    </row>
    <row r="598" spans="1:14" ht="66">
      <c r="A598" s="268" t="str">
        <f t="shared" si="9"/>
        <v>Leadership|Analyst|3</v>
      </c>
      <c r="B598" s="223" t="s">
        <v>504</v>
      </c>
      <c r="C598" s="197" t="s">
        <v>6</v>
      </c>
      <c r="D598" s="79">
        <v>3</v>
      </c>
      <c r="E598" s="79" t="s">
        <v>563</v>
      </c>
      <c r="F598" s="79">
        <v>3</v>
      </c>
      <c r="G598" s="276" t="s">
        <v>3395</v>
      </c>
      <c r="H598" s="276" t="s">
        <v>3396</v>
      </c>
      <c r="I598" s="276" t="s">
        <v>3397</v>
      </c>
      <c r="J598" s="276" t="s">
        <v>578</v>
      </c>
      <c r="K598" s="276" t="s">
        <v>531</v>
      </c>
      <c r="L598" s="276" t="s">
        <v>532</v>
      </c>
      <c r="M598" s="276" t="s">
        <v>3398</v>
      </c>
      <c r="N598" s="276" t="s">
        <v>580</v>
      </c>
    </row>
    <row r="599" spans="1:14" ht="49.5">
      <c r="A599" s="268" t="str">
        <f t="shared" si="9"/>
        <v>Leadership|Analyst|4</v>
      </c>
      <c r="B599" s="223" t="s">
        <v>504</v>
      </c>
      <c r="C599" s="197" t="s">
        <v>6</v>
      </c>
      <c r="D599" s="79">
        <v>4</v>
      </c>
      <c r="E599" s="79" t="s">
        <v>581</v>
      </c>
      <c r="F599" s="79">
        <v>1</v>
      </c>
      <c r="G599" s="276" t="s">
        <v>3399</v>
      </c>
      <c r="H599" s="276" t="s">
        <v>3400</v>
      </c>
      <c r="I599" s="276" t="s">
        <v>3401</v>
      </c>
      <c r="J599" s="276" t="s">
        <v>3402</v>
      </c>
      <c r="K599" s="276" t="s">
        <v>531</v>
      </c>
      <c r="L599" s="276" t="s">
        <v>532</v>
      </c>
      <c r="M599" s="276" t="s">
        <v>3403</v>
      </c>
      <c r="N599" s="276" t="s">
        <v>562</v>
      </c>
    </row>
    <row r="600" spans="1:14" ht="49.5">
      <c r="A600" s="268" t="str">
        <f t="shared" si="9"/>
        <v>Leadership|Analyst|4</v>
      </c>
      <c r="B600" s="223" t="s">
        <v>504</v>
      </c>
      <c r="C600" s="197" t="s">
        <v>6</v>
      </c>
      <c r="D600" s="79">
        <v>4</v>
      </c>
      <c r="E600" s="79" t="s">
        <v>581</v>
      </c>
      <c r="F600" s="79">
        <v>2</v>
      </c>
      <c r="G600" s="276" t="s">
        <v>3404</v>
      </c>
      <c r="H600" s="276" t="s">
        <v>3405</v>
      </c>
      <c r="I600" s="276" t="s">
        <v>3406</v>
      </c>
      <c r="J600" s="276" t="s">
        <v>3407</v>
      </c>
      <c r="K600" s="276" t="s">
        <v>531</v>
      </c>
      <c r="L600" s="276" t="s">
        <v>532</v>
      </c>
      <c r="M600" s="276" t="s">
        <v>3408</v>
      </c>
      <c r="N600" s="276" t="s">
        <v>2916</v>
      </c>
    </row>
    <row r="601" spans="1:14" ht="49.5">
      <c r="A601" s="268" t="str">
        <f t="shared" si="9"/>
        <v>Leadership|Analyst|4</v>
      </c>
      <c r="B601" s="223" t="s">
        <v>504</v>
      </c>
      <c r="C601" s="197" t="s">
        <v>6</v>
      </c>
      <c r="D601" s="79">
        <v>4</v>
      </c>
      <c r="E601" s="79" t="s">
        <v>581</v>
      </c>
      <c r="F601" s="79">
        <v>3</v>
      </c>
      <c r="G601" s="276" t="s">
        <v>3409</v>
      </c>
      <c r="H601" s="276" t="s">
        <v>3410</v>
      </c>
      <c r="I601" s="276" t="s">
        <v>3411</v>
      </c>
      <c r="J601" s="276" t="s">
        <v>3412</v>
      </c>
      <c r="K601" s="276" t="s">
        <v>531</v>
      </c>
      <c r="L601" s="276" t="s">
        <v>532</v>
      </c>
      <c r="M601" s="276" t="s">
        <v>3413</v>
      </c>
      <c r="N601" s="276" t="s">
        <v>562</v>
      </c>
    </row>
    <row r="602" spans="1:14" ht="33">
      <c r="A602" s="268" t="str">
        <f t="shared" si="9"/>
        <v>Leadership|Unit Head/Specialist|1</v>
      </c>
      <c r="B602" s="223" t="s">
        <v>504</v>
      </c>
      <c r="C602" s="79" t="s">
        <v>13</v>
      </c>
      <c r="D602" s="197">
        <v>1</v>
      </c>
      <c r="E602" s="79" t="s">
        <v>526</v>
      </c>
      <c r="F602" s="79">
        <v>1</v>
      </c>
      <c r="G602" s="279" t="s">
        <v>3414</v>
      </c>
      <c r="H602" s="279" t="s">
        <v>3415</v>
      </c>
      <c r="I602" s="279" t="s">
        <v>3416</v>
      </c>
      <c r="J602" s="279" t="s">
        <v>3417</v>
      </c>
      <c r="K602" s="279" t="s">
        <v>531</v>
      </c>
      <c r="L602" s="279" t="s">
        <v>532</v>
      </c>
      <c r="M602" s="279" t="s">
        <v>3418</v>
      </c>
      <c r="N602" s="279" t="s">
        <v>534</v>
      </c>
    </row>
    <row r="603" spans="1:14" ht="49.5">
      <c r="A603" s="268" t="str">
        <f t="shared" si="9"/>
        <v>Leadership|Unit Head/Specialist|1</v>
      </c>
      <c r="B603" s="223" t="s">
        <v>504</v>
      </c>
      <c r="C603" s="79" t="s">
        <v>13</v>
      </c>
      <c r="D603" s="197">
        <v>1</v>
      </c>
      <c r="E603" s="79" t="s">
        <v>526</v>
      </c>
      <c r="F603" s="79">
        <v>2</v>
      </c>
      <c r="G603" s="279" t="s">
        <v>3419</v>
      </c>
      <c r="H603" s="279" t="s">
        <v>3420</v>
      </c>
      <c r="I603" s="279" t="s">
        <v>3421</v>
      </c>
      <c r="J603" s="279" t="s">
        <v>3422</v>
      </c>
      <c r="K603" s="279" t="s">
        <v>531</v>
      </c>
      <c r="L603" s="279" t="s">
        <v>532</v>
      </c>
      <c r="M603" s="279" t="s">
        <v>3423</v>
      </c>
      <c r="N603" s="279" t="s">
        <v>534</v>
      </c>
    </row>
    <row r="604" spans="1:14" ht="33">
      <c r="A604" s="268" t="str">
        <f t="shared" si="9"/>
        <v>Leadership|Unit Head/Specialist|1</v>
      </c>
      <c r="B604" s="223" t="s">
        <v>504</v>
      </c>
      <c r="C604" s="79" t="s">
        <v>13</v>
      </c>
      <c r="D604" s="197">
        <v>1</v>
      </c>
      <c r="E604" s="79" t="s">
        <v>526</v>
      </c>
      <c r="F604" s="79">
        <v>3</v>
      </c>
      <c r="G604" s="279" t="s">
        <v>3424</v>
      </c>
      <c r="H604" s="279" t="s">
        <v>3425</v>
      </c>
      <c r="I604" s="279" t="s">
        <v>3426</v>
      </c>
      <c r="J604" s="279" t="s">
        <v>3427</v>
      </c>
      <c r="K604" s="279" t="s">
        <v>531</v>
      </c>
      <c r="L604" s="279" t="s">
        <v>532</v>
      </c>
      <c r="M604" s="279" t="s">
        <v>3428</v>
      </c>
      <c r="N604" s="279" t="s">
        <v>562</v>
      </c>
    </row>
    <row r="605" spans="1:14" ht="33">
      <c r="A605" s="268" t="str">
        <f t="shared" si="9"/>
        <v>Leadership|Unit Head/Specialist|2</v>
      </c>
      <c r="B605" s="223" t="s">
        <v>504</v>
      </c>
      <c r="C605" s="79" t="s">
        <v>13</v>
      </c>
      <c r="D605" s="79">
        <v>2</v>
      </c>
      <c r="E605" s="79" t="s">
        <v>545</v>
      </c>
      <c r="F605" s="79">
        <v>1</v>
      </c>
      <c r="G605" s="279" t="s">
        <v>3429</v>
      </c>
      <c r="H605" s="279" t="s">
        <v>3430</v>
      </c>
      <c r="I605" s="279" t="s">
        <v>3431</v>
      </c>
      <c r="J605" s="279" t="s">
        <v>3432</v>
      </c>
      <c r="K605" s="279" t="s">
        <v>531</v>
      </c>
      <c r="L605" s="279" t="s">
        <v>532</v>
      </c>
      <c r="M605" s="279" t="s">
        <v>3433</v>
      </c>
      <c r="N605" s="279" t="s">
        <v>677</v>
      </c>
    </row>
    <row r="606" spans="1:14" ht="49.5">
      <c r="A606" s="268" t="str">
        <f t="shared" si="9"/>
        <v>Leadership|Unit Head/Specialist|2</v>
      </c>
      <c r="B606" s="223" t="s">
        <v>504</v>
      </c>
      <c r="C606" s="79" t="s">
        <v>13</v>
      </c>
      <c r="D606" s="79">
        <v>2</v>
      </c>
      <c r="E606" s="79" t="s">
        <v>545</v>
      </c>
      <c r="F606" s="79">
        <v>2</v>
      </c>
      <c r="G606" s="279" t="s">
        <v>3434</v>
      </c>
      <c r="H606" s="279" t="s">
        <v>3435</v>
      </c>
      <c r="I606" s="279" t="s">
        <v>3436</v>
      </c>
      <c r="J606" s="279" t="s">
        <v>3437</v>
      </c>
      <c r="K606" s="279" t="s">
        <v>531</v>
      </c>
      <c r="L606" s="279" t="s">
        <v>532</v>
      </c>
      <c r="M606" s="279" t="s">
        <v>3438</v>
      </c>
      <c r="N606" s="279" t="s">
        <v>551</v>
      </c>
    </row>
    <row r="607" spans="1:14" ht="33">
      <c r="A607" s="268" t="str">
        <f t="shared" si="9"/>
        <v>Leadership|Unit Head/Specialist|2</v>
      </c>
      <c r="B607" s="223" t="s">
        <v>504</v>
      </c>
      <c r="C607" s="79" t="s">
        <v>13</v>
      </c>
      <c r="D607" s="79">
        <v>2</v>
      </c>
      <c r="E607" s="79" t="s">
        <v>545</v>
      </c>
      <c r="F607" s="79">
        <v>3</v>
      </c>
      <c r="G607" s="279" t="s">
        <v>3439</v>
      </c>
      <c r="H607" s="279" t="s">
        <v>3440</v>
      </c>
      <c r="I607" s="279" t="s">
        <v>3441</v>
      </c>
      <c r="J607" s="279" t="s">
        <v>3442</v>
      </c>
      <c r="K607" s="279" t="s">
        <v>531</v>
      </c>
      <c r="L607" s="279" t="s">
        <v>532</v>
      </c>
      <c r="M607" s="279" t="s">
        <v>3443</v>
      </c>
      <c r="N607" s="279" t="s">
        <v>562</v>
      </c>
    </row>
    <row r="608" spans="1:14" ht="33">
      <c r="A608" s="268" t="str">
        <f t="shared" si="9"/>
        <v>Leadership|Unit Head/Specialist|3</v>
      </c>
      <c r="B608" s="223" t="s">
        <v>504</v>
      </c>
      <c r="C608" s="79" t="s">
        <v>13</v>
      </c>
      <c r="D608" s="79">
        <v>3</v>
      </c>
      <c r="E608" s="79" t="s">
        <v>563</v>
      </c>
      <c r="F608" s="79">
        <v>1</v>
      </c>
      <c r="G608" s="279" t="s">
        <v>3444</v>
      </c>
      <c r="H608" s="279" t="s">
        <v>3445</v>
      </c>
      <c r="I608" s="279" t="s">
        <v>3446</v>
      </c>
      <c r="J608" s="279" t="s">
        <v>3447</v>
      </c>
      <c r="K608" s="279" t="s">
        <v>531</v>
      </c>
      <c r="L608" s="279" t="s">
        <v>532</v>
      </c>
      <c r="M608" s="279" t="s">
        <v>3448</v>
      </c>
      <c r="N608" s="279" t="s">
        <v>534</v>
      </c>
    </row>
    <row r="609" spans="1:14" ht="49.5">
      <c r="A609" s="268" t="str">
        <f t="shared" si="9"/>
        <v>Leadership|Unit Head/Specialist|3</v>
      </c>
      <c r="B609" s="223" t="s">
        <v>504</v>
      </c>
      <c r="C609" s="79" t="s">
        <v>13</v>
      </c>
      <c r="D609" s="79">
        <v>3</v>
      </c>
      <c r="E609" s="79" t="s">
        <v>563</v>
      </c>
      <c r="F609" s="79">
        <v>2</v>
      </c>
      <c r="G609" s="279" t="s">
        <v>3449</v>
      </c>
      <c r="H609" s="279" t="s">
        <v>3450</v>
      </c>
      <c r="I609" s="279" t="s">
        <v>3451</v>
      </c>
      <c r="J609" s="279" t="s">
        <v>3452</v>
      </c>
      <c r="K609" s="279" t="s">
        <v>531</v>
      </c>
      <c r="L609" s="279" t="s">
        <v>532</v>
      </c>
      <c r="M609" s="279" t="s">
        <v>3453</v>
      </c>
      <c r="N609" s="279" t="s">
        <v>1820</v>
      </c>
    </row>
    <row r="610" spans="1:14" ht="66">
      <c r="A610" s="268" t="str">
        <f t="shared" si="9"/>
        <v>Leadership|Unit Head/Specialist|3</v>
      </c>
      <c r="B610" s="223" t="s">
        <v>504</v>
      </c>
      <c r="C610" s="79" t="s">
        <v>13</v>
      </c>
      <c r="D610" s="79">
        <v>3</v>
      </c>
      <c r="E610" s="79" t="s">
        <v>563</v>
      </c>
      <c r="F610" s="79">
        <v>3</v>
      </c>
      <c r="G610" s="279" t="s">
        <v>3454</v>
      </c>
      <c r="H610" s="279" t="s">
        <v>3455</v>
      </c>
      <c r="I610" s="279" t="s">
        <v>3456</v>
      </c>
      <c r="J610" s="279" t="s">
        <v>578</v>
      </c>
      <c r="K610" s="279" t="s">
        <v>531</v>
      </c>
      <c r="L610" s="279" t="s">
        <v>532</v>
      </c>
      <c r="M610" s="279" t="s">
        <v>3457</v>
      </c>
      <c r="N610" s="279" t="s">
        <v>580</v>
      </c>
    </row>
    <row r="611" spans="1:14" ht="49.5">
      <c r="A611" s="268" t="str">
        <f t="shared" si="9"/>
        <v>Leadership|Unit Head/Specialist|4</v>
      </c>
      <c r="B611" s="223" t="s">
        <v>504</v>
      </c>
      <c r="C611" s="79" t="s">
        <v>13</v>
      </c>
      <c r="D611" s="79">
        <v>4</v>
      </c>
      <c r="E611" s="79" t="s">
        <v>581</v>
      </c>
      <c r="F611" s="79">
        <v>1</v>
      </c>
      <c r="G611" s="279" t="s">
        <v>3458</v>
      </c>
      <c r="H611" s="279" t="s">
        <v>3459</v>
      </c>
      <c r="I611" s="279" t="s">
        <v>3460</v>
      </c>
      <c r="J611" s="279" t="s">
        <v>3461</v>
      </c>
      <c r="K611" s="279" t="s">
        <v>531</v>
      </c>
      <c r="L611" s="279" t="s">
        <v>532</v>
      </c>
      <c r="M611" s="279" t="s">
        <v>3462</v>
      </c>
      <c r="N611" s="279" t="s">
        <v>562</v>
      </c>
    </row>
    <row r="612" spans="1:14" ht="49.5">
      <c r="A612" s="268" t="str">
        <f t="shared" si="9"/>
        <v>Leadership|Unit Head/Specialist|4</v>
      </c>
      <c r="B612" s="223" t="s">
        <v>504</v>
      </c>
      <c r="C612" s="79" t="s">
        <v>13</v>
      </c>
      <c r="D612" s="79">
        <v>4</v>
      </c>
      <c r="E612" s="79" t="s">
        <v>581</v>
      </c>
      <c r="F612" s="79">
        <v>2</v>
      </c>
      <c r="G612" s="279" t="s">
        <v>3463</v>
      </c>
      <c r="H612" s="279" t="s">
        <v>3464</v>
      </c>
      <c r="I612" s="279" t="s">
        <v>3465</v>
      </c>
      <c r="J612" s="279" t="s">
        <v>3466</v>
      </c>
      <c r="K612" s="279" t="s">
        <v>531</v>
      </c>
      <c r="L612" s="279" t="s">
        <v>532</v>
      </c>
      <c r="M612" s="279" t="s">
        <v>3467</v>
      </c>
      <c r="N612" s="279" t="s">
        <v>2861</v>
      </c>
    </row>
    <row r="613" spans="1:14" ht="33">
      <c r="A613" s="268" t="str">
        <f t="shared" si="9"/>
        <v>Leadership|Unit Head/Specialist|4</v>
      </c>
      <c r="B613" s="223" t="s">
        <v>504</v>
      </c>
      <c r="C613" s="79" t="s">
        <v>13</v>
      </c>
      <c r="D613" s="79">
        <v>4</v>
      </c>
      <c r="E613" s="79" t="s">
        <v>581</v>
      </c>
      <c r="F613" s="79">
        <v>3</v>
      </c>
      <c r="G613" s="279" t="s">
        <v>3468</v>
      </c>
      <c r="H613" s="279" t="s">
        <v>3469</v>
      </c>
      <c r="I613" s="279" t="s">
        <v>3470</v>
      </c>
      <c r="J613" s="279" t="s">
        <v>3471</v>
      </c>
      <c r="K613" s="279" t="s">
        <v>531</v>
      </c>
      <c r="L613" s="279" t="s">
        <v>532</v>
      </c>
      <c r="M613" s="279" t="s">
        <v>3472</v>
      </c>
      <c r="N613" s="279" t="s">
        <v>562</v>
      </c>
    </row>
    <row r="614" spans="1:14" ht="33">
      <c r="A614" s="268" t="str">
        <f t="shared" si="9"/>
        <v>Leadership|Department Head|1</v>
      </c>
      <c r="B614" s="223" t="s">
        <v>504</v>
      </c>
      <c r="C614" s="79" t="s">
        <v>719</v>
      </c>
      <c r="D614" s="197">
        <v>1</v>
      </c>
      <c r="E614" s="79" t="s">
        <v>526</v>
      </c>
      <c r="F614" s="79">
        <v>1</v>
      </c>
      <c r="G614" s="279" t="s">
        <v>3473</v>
      </c>
      <c r="H614" s="279" t="s">
        <v>3474</v>
      </c>
      <c r="I614" s="279" t="s">
        <v>3475</v>
      </c>
      <c r="J614" s="279" t="s">
        <v>3476</v>
      </c>
      <c r="K614" s="279" t="s">
        <v>531</v>
      </c>
      <c r="L614" s="279" t="s">
        <v>532</v>
      </c>
      <c r="M614" s="279" t="s">
        <v>3477</v>
      </c>
      <c r="N614" s="279" t="s">
        <v>534</v>
      </c>
    </row>
    <row r="615" spans="1:14" ht="66">
      <c r="A615" s="268" t="str">
        <f t="shared" si="9"/>
        <v>Leadership|Department Head|1</v>
      </c>
      <c r="B615" s="223" t="s">
        <v>504</v>
      </c>
      <c r="C615" s="79" t="s">
        <v>719</v>
      </c>
      <c r="D615" s="197">
        <v>1</v>
      </c>
      <c r="E615" s="79" t="s">
        <v>526</v>
      </c>
      <c r="F615" s="79">
        <v>2</v>
      </c>
      <c r="G615" s="279" t="s">
        <v>3478</v>
      </c>
      <c r="H615" s="279" t="s">
        <v>3479</v>
      </c>
      <c r="I615" s="279" t="s">
        <v>3480</v>
      </c>
      <c r="J615" s="279" t="s">
        <v>3481</v>
      </c>
      <c r="K615" s="279" t="s">
        <v>531</v>
      </c>
      <c r="L615" s="279" t="s">
        <v>532</v>
      </c>
      <c r="M615" s="279" t="s">
        <v>3482</v>
      </c>
      <c r="N615" s="279" t="s">
        <v>534</v>
      </c>
    </row>
    <row r="616" spans="1:14" ht="66">
      <c r="A616" s="268" t="str">
        <f t="shared" si="9"/>
        <v>Leadership|Department Head|1</v>
      </c>
      <c r="B616" s="223" t="s">
        <v>504</v>
      </c>
      <c r="C616" s="79" t="s">
        <v>719</v>
      </c>
      <c r="D616" s="197">
        <v>1</v>
      </c>
      <c r="E616" s="79" t="s">
        <v>526</v>
      </c>
      <c r="F616" s="79">
        <v>3</v>
      </c>
      <c r="G616" s="279" t="s">
        <v>3483</v>
      </c>
      <c r="H616" s="279" t="s">
        <v>3484</v>
      </c>
      <c r="I616" s="279" t="s">
        <v>3485</v>
      </c>
      <c r="J616" s="279" t="s">
        <v>3486</v>
      </c>
      <c r="K616" s="279" t="s">
        <v>531</v>
      </c>
      <c r="L616" s="279" t="s">
        <v>532</v>
      </c>
      <c r="M616" s="279" t="s">
        <v>3487</v>
      </c>
      <c r="N616" s="279" t="s">
        <v>534</v>
      </c>
    </row>
    <row r="617" spans="1:14" ht="49.5">
      <c r="A617" s="268" t="str">
        <f t="shared" si="9"/>
        <v>Leadership|Department Head|2</v>
      </c>
      <c r="B617" s="223" t="s">
        <v>504</v>
      </c>
      <c r="C617" s="79" t="s">
        <v>719</v>
      </c>
      <c r="D617" s="79">
        <v>2</v>
      </c>
      <c r="E617" s="79" t="s">
        <v>545</v>
      </c>
      <c r="F617" s="79">
        <v>1</v>
      </c>
      <c r="G617" s="279" t="s">
        <v>3488</v>
      </c>
      <c r="H617" s="279" t="s">
        <v>3489</v>
      </c>
      <c r="I617" s="279" t="s">
        <v>3490</v>
      </c>
      <c r="J617" s="279" t="s">
        <v>3491</v>
      </c>
      <c r="K617" s="279" t="s">
        <v>531</v>
      </c>
      <c r="L617" s="279" t="s">
        <v>532</v>
      </c>
      <c r="M617" s="279" t="s">
        <v>3492</v>
      </c>
      <c r="N617" s="279" t="s">
        <v>677</v>
      </c>
    </row>
    <row r="618" spans="1:14" ht="49.5">
      <c r="A618" s="268" t="str">
        <f t="shared" si="9"/>
        <v>Leadership|Department Head|2</v>
      </c>
      <c r="B618" s="223" t="s">
        <v>504</v>
      </c>
      <c r="C618" s="79" t="s">
        <v>719</v>
      </c>
      <c r="D618" s="79">
        <v>2</v>
      </c>
      <c r="E618" s="79" t="s">
        <v>545</v>
      </c>
      <c r="F618" s="79">
        <v>2</v>
      </c>
      <c r="G618" s="279" t="s">
        <v>3493</v>
      </c>
      <c r="H618" s="279" t="s">
        <v>3494</v>
      </c>
      <c r="I618" s="279" t="s">
        <v>3495</v>
      </c>
      <c r="J618" s="279" t="s">
        <v>3496</v>
      </c>
      <c r="K618" s="279" t="s">
        <v>531</v>
      </c>
      <c r="L618" s="279" t="s">
        <v>532</v>
      </c>
      <c r="M618" s="279" t="s">
        <v>3497</v>
      </c>
      <c r="N618" s="279" t="s">
        <v>534</v>
      </c>
    </row>
    <row r="619" spans="1:14" ht="33">
      <c r="A619" s="268" t="str">
        <f t="shared" si="9"/>
        <v>Leadership|Department Head|2</v>
      </c>
      <c r="B619" s="223" t="s">
        <v>504</v>
      </c>
      <c r="C619" s="79" t="s">
        <v>719</v>
      </c>
      <c r="D619" s="79">
        <v>2</v>
      </c>
      <c r="E619" s="79" t="s">
        <v>545</v>
      </c>
      <c r="F619" s="79">
        <v>3</v>
      </c>
      <c r="G619" s="279" t="s">
        <v>3498</v>
      </c>
      <c r="H619" s="279" t="s">
        <v>3499</v>
      </c>
      <c r="I619" s="279" t="s">
        <v>3500</v>
      </c>
      <c r="J619" s="279" t="s">
        <v>3501</v>
      </c>
      <c r="K619" s="279" t="s">
        <v>531</v>
      </c>
      <c r="L619" s="279" t="s">
        <v>532</v>
      </c>
      <c r="M619" s="279" t="s">
        <v>3502</v>
      </c>
      <c r="N619" s="279" t="s">
        <v>562</v>
      </c>
    </row>
    <row r="620" spans="1:14" ht="33">
      <c r="A620" s="268" t="str">
        <f t="shared" si="9"/>
        <v>Leadership|Department Head|3</v>
      </c>
      <c r="B620" s="223" t="s">
        <v>504</v>
      </c>
      <c r="C620" s="79" t="s">
        <v>719</v>
      </c>
      <c r="D620" s="79">
        <v>3</v>
      </c>
      <c r="E620" s="79" t="s">
        <v>563</v>
      </c>
      <c r="F620" s="79">
        <v>1</v>
      </c>
      <c r="G620" s="279" t="s">
        <v>3503</v>
      </c>
      <c r="H620" s="279" t="s">
        <v>3504</v>
      </c>
      <c r="I620" s="279" t="s">
        <v>3505</v>
      </c>
      <c r="J620" s="279" t="s">
        <v>3506</v>
      </c>
      <c r="K620" s="279" t="s">
        <v>531</v>
      </c>
      <c r="L620" s="279" t="s">
        <v>532</v>
      </c>
      <c r="M620" s="279" t="s">
        <v>3507</v>
      </c>
      <c r="N620" s="279" t="s">
        <v>1793</v>
      </c>
    </row>
    <row r="621" spans="1:14" ht="49.5">
      <c r="A621" s="268" t="str">
        <f t="shared" si="9"/>
        <v>Leadership|Department Head|3</v>
      </c>
      <c r="B621" s="223" t="s">
        <v>504</v>
      </c>
      <c r="C621" s="79" t="s">
        <v>719</v>
      </c>
      <c r="D621" s="79">
        <v>3</v>
      </c>
      <c r="E621" s="79" t="s">
        <v>563</v>
      </c>
      <c r="F621" s="79">
        <v>2</v>
      </c>
      <c r="G621" s="279" t="s">
        <v>3508</v>
      </c>
      <c r="H621" s="279" t="s">
        <v>3509</v>
      </c>
      <c r="I621" s="279" t="s">
        <v>3510</v>
      </c>
      <c r="J621" s="279" t="s">
        <v>3511</v>
      </c>
      <c r="K621" s="279" t="s">
        <v>531</v>
      </c>
      <c r="L621" s="279" t="s">
        <v>532</v>
      </c>
      <c r="M621" s="279" t="s">
        <v>3512</v>
      </c>
      <c r="N621" s="279" t="s">
        <v>1820</v>
      </c>
    </row>
    <row r="622" spans="1:14" ht="66">
      <c r="A622" s="268" t="str">
        <f t="shared" si="9"/>
        <v>Leadership|Department Head|3</v>
      </c>
      <c r="B622" s="223" t="s">
        <v>504</v>
      </c>
      <c r="C622" s="79" t="s">
        <v>719</v>
      </c>
      <c r="D622" s="79">
        <v>3</v>
      </c>
      <c r="E622" s="79" t="s">
        <v>563</v>
      </c>
      <c r="F622" s="79">
        <v>3</v>
      </c>
      <c r="G622" s="279" t="s">
        <v>3513</v>
      </c>
      <c r="H622" s="279" t="s">
        <v>3455</v>
      </c>
      <c r="I622" s="279" t="s">
        <v>3514</v>
      </c>
      <c r="J622" s="279" t="s">
        <v>3515</v>
      </c>
      <c r="K622" s="279" t="s">
        <v>531</v>
      </c>
      <c r="L622" s="279" t="s">
        <v>532</v>
      </c>
      <c r="M622" s="279" t="s">
        <v>3516</v>
      </c>
      <c r="N622" s="279" t="s">
        <v>580</v>
      </c>
    </row>
    <row r="623" spans="1:14" ht="33">
      <c r="A623" s="268" t="str">
        <f t="shared" si="9"/>
        <v>Leadership|Department Head|4</v>
      </c>
      <c r="B623" s="223" t="s">
        <v>504</v>
      </c>
      <c r="C623" s="79" t="s">
        <v>719</v>
      </c>
      <c r="D623" s="79">
        <v>4</v>
      </c>
      <c r="E623" s="79" t="s">
        <v>581</v>
      </c>
      <c r="F623" s="79">
        <v>1</v>
      </c>
      <c r="G623" s="279" t="s">
        <v>3517</v>
      </c>
      <c r="H623" s="279" t="s">
        <v>3518</v>
      </c>
      <c r="I623" s="279" t="s">
        <v>3519</v>
      </c>
      <c r="J623" s="279" t="s">
        <v>3520</v>
      </c>
      <c r="K623" s="279" t="s">
        <v>531</v>
      </c>
      <c r="L623" s="279" t="s">
        <v>532</v>
      </c>
      <c r="M623" s="279" t="s">
        <v>3521</v>
      </c>
      <c r="N623" s="279" t="s">
        <v>2861</v>
      </c>
    </row>
    <row r="624" spans="1:14" ht="49.5">
      <c r="A624" s="268" t="str">
        <f t="shared" si="9"/>
        <v>Leadership|Department Head|4</v>
      </c>
      <c r="B624" s="223" t="s">
        <v>504</v>
      </c>
      <c r="C624" s="79" t="s">
        <v>719</v>
      </c>
      <c r="D624" s="79">
        <v>4</v>
      </c>
      <c r="E624" s="79" t="s">
        <v>581</v>
      </c>
      <c r="F624" s="79">
        <v>2</v>
      </c>
      <c r="G624" s="279" t="s">
        <v>3522</v>
      </c>
      <c r="H624" s="279" t="s">
        <v>3523</v>
      </c>
      <c r="I624" s="279" t="s">
        <v>3524</v>
      </c>
      <c r="J624" s="279" t="s">
        <v>3525</v>
      </c>
      <c r="K624" s="279" t="s">
        <v>531</v>
      </c>
      <c r="L624" s="279" t="s">
        <v>532</v>
      </c>
      <c r="M624" s="279" t="s">
        <v>3526</v>
      </c>
      <c r="N624" s="279" t="s">
        <v>1820</v>
      </c>
    </row>
    <row r="625" spans="1:14" ht="49.5">
      <c r="A625" s="268" t="str">
        <f t="shared" si="9"/>
        <v>Leadership|Department Head|4</v>
      </c>
      <c r="B625" s="223" t="s">
        <v>504</v>
      </c>
      <c r="C625" s="79" t="s">
        <v>719</v>
      </c>
      <c r="D625" s="79">
        <v>4</v>
      </c>
      <c r="E625" s="79" t="s">
        <v>581</v>
      </c>
      <c r="F625" s="79">
        <v>3</v>
      </c>
      <c r="G625" s="279" t="s">
        <v>3527</v>
      </c>
      <c r="H625" s="279" t="s">
        <v>3528</v>
      </c>
      <c r="I625" s="279" t="s">
        <v>3529</v>
      </c>
      <c r="J625" s="279" t="s">
        <v>3530</v>
      </c>
      <c r="K625" s="279" t="s">
        <v>531</v>
      </c>
      <c r="L625" s="279" t="s">
        <v>532</v>
      </c>
      <c r="M625" s="279" t="s">
        <v>3531</v>
      </c>
      <c r="N625" s="279" t="s">
        <v>2861</v>
      </c>
    </row>
    <row r="626" spans="1:14" ht="66">
      <c r="A626" s="268" t="str">
        <f t="shared" si="9"/>
        <v>Leadership|Division Head|1</v>
      </c>
      <c r="B626" s="223" t="s">
        <v>504</v>
      </c>
      <c r="C626" s="79" t="s">
        <v>778</v>
      </c>
      <c r="D626" s="197">
        <v>1</v>
      </c>
      <c r="E626" s="79" t="s">
        <v>526</v>
      </c>
      <c r="F626" s="79">
        <v>1</v>
      </c>
      <c r="G626" s="279" t="s">
        <v>3532</v>
      </c>
      <c r="H626" s="279" t="s">
        <v>3533</v>
      </c>
      <c r="I626" s="279" t="s">
        <v>3534</v>
      </c>
      <c r="J626" s="279" t="s">
        <v>3535</v>
      </c>
      <c r="K626" s="279" t="s">
        <v>531</v>
      </c>
      <c r="L626" s="279" t="s">
        <v>532</v>
      </c>
      <c r="M626" s="279" t="s">
        <v>3536</v>
      </c>
      <c r="N626" s="279" t="s">
        <v>534</v>
      </c>
    </row>
    <row r="627" spans="1:14" ht="33">
      <c r="A627" s="268" t="str">
        <f t="shared" si="9"/>
        <v>Leadership|Division Head|1</v>
      </c>
      <c r="B627" s="223" t="s">
        <v>504</v>
      </c>
      <c r="C627" s="79" t="s">
        <v>778</v>
      </c>
      <c r="D627" s="197">
        <v>1</v>
      </c>
      <c r="E627" s="79" t="s">
        <v>526</v>
      </c>
      <c r="F627" s="79">
        <v>2</v>
      </c>
      <c r="G627" s="279" t="s">
        <v>3537</v>
      </c>
      <c r="H627" s="279" t="s">
        <v>3538</v>
      </c>
      <c r="I627" s="279" t="s">
        <v>3539</v>
      </c>
      <c r="J627" s="279" t="s">
        <v>2573</v>
      </c>
      <c r="K627" s="279" t="s">
        <v>531</v>
      </c>
      <c r="L627" s="279" t="s">
        <v>532</v>
      </c>
      <c r="M627" s="279" t="s">
        <v>3540</v>
      </c>
      <c r="N627" s="279" t="s">
        <v>534</v>
      </c>
    </row>
    <row r="628" spans="1:14" ht="49.5">
      <c r="A628" s="268" t="str">
        <f t="shared" si="9"/>
        <v>Leadership|Division Head|1</v>
      </c>
      <c r="B628" s="223" t="s">
        <v>504</v>
      </c>
      <c r="C628" s="79" t="s">
        <v>778</v>
      </c>
      <c r="D628" s="197">
        <v>1</v>
      </c>
      <c r="E628" s="79" t="s">
        <v>526</v>
      </c>
      <c r="F628" s="79">
        <v>3</v>
      </c>
      <c r="G628" s="279" t="s">
        <v>3541</v>
      </c>
      <c r="H628" s="279" t="s">
        <v>3542</v>
      </c>
      <c r="I628" s="279" t="s">
        <v>3543</v>
      </c>
      <c r="J628" s="279" t="s">
        <v>1582</v>
      </c>
      <c r="K628" s="279" t="s">
        <v>531</v>
      </c>
      <c r="L628" s="279" t="s">
        <v>532</v>
      </c>
      <c r="M628" s="279" t="s">
        <v>3544</v>
      </c>
      <c r="N628" s="279" t="s">
        <v>534</v>
      </c>
    </row>
    <row r="629" spans="1:14" ht="49.5">
      <c r="A629" s="268" t="str">
        <f t="shared" si="9"/>
        <v>Leadership|Division Head|2</v>
      </c>
      <c r="B629" s="223" t="s">
        <v>504</v>
      </c>
      <c r="C629" s="79" t="s">
        <v>778</v>
      </c>
      <c r="D629" s="79">
        <v>2</v>
      </c>
      <c r="E629" s="79" t="s">
        <v>545</v>
      </c>
      <c r="F629" s="79">
        <v>1</v>
      </c>
      <c r="G629" s="279" t="s">
        <v>3545</v>
      </c>
      <c r="H629" s="279" t="s">
        <v>3546</v>
      </c>
      <c r="I629" s="279" t="s">
        <v>3547</v>
      </c>
      <c r="J629" s="279" t="s">
        <v>3548</v>
      </c>
      <c r="K629" s="279" t="s">
        <v>531</v>
      </c>
      <c r="L629" s="279" t="s">
        <v>532</v>
      </c>
      <c r="M629" s="279" t="s">
        <v>3438</v>
      </c>
      <c r="N629" s="279" t="s">
        <v>551</v>
      </c>
    </row>
    <row r="630" spans="1:14" ht="33">
      <c r="A630" s="268" t="str">
        <f t="shared" si="9"/>
        <v>Leadership|Division Head|2</v>
      </c>
      <c r="B630" s="223" t="s">
        <v>504</v>
      </c>
      <c r="C630" s="79" t="s">
        <v>778</v>
      </c>
      <c r="D630" s="79">
        <v>2</v>
      </c>
      <c r="E630" s="79" t="s">
        <v>545</v>
      </c>
      <c r="F630" s="79">
        <v>2</v>
      </c>
      <c r="G630" s="279" t="s">
        <v>3549</v>
      </c>
      <c r="H630" s="279" t="s">
        <v>3550</v>
      </c>
      <c r="I630" s="279" t="s">
        <v>3551</v>
      </c>
      <c r="J630" s="279" t="s">
        <v>3552</v>
      </c>
      <c r="K630" s="279" t="s">
        <v>531</v>
      </c>
      <c r="L630" s="279" t="s">
        <v>532</v>
      </c>
      <c r="M630" s="279" t="s">
        <v>3553</v>
      </c>
      <c r="N630" s="279" t="s">
        <v>534</v>
      </c>
    </row>
    <row r="631" spans="1:14" ht="49.5">
      <c r="A631" s="268" t="str">
        <f t="shared" si="9"/>
        <v>Leadership|Division Head|2</v>
      </c>
      <c r="B631" s="223" t="s">
        <v>504</v>
      </c>
      <c r="C631" s="79" t="s">
        <v>778</v>
      </c>
      <c r="D631" s="79">
        <v>2</v>
      </c>
      <c r="E631" s="79" t="s">
        <v>545</v>
      </c>
      <c r="F631" s="79">
        <v>3</v>
      </c>
      <c r="G631" s="279" t="s">
        <v>3554</v>
      </c>
      <c r="H631" s="279" t="s">
        <v>3555</v>
      </c>
      <c r="I631" s="279" t="s">
        <v>3556</v>
      </c>
      <c r="J631" s="279" t="s">
        <v>3557</v>
      </c>
      <c r="K631" s="279" t="s">
        <v>531</v>
      </c>
      <c r="L631" s="279" t="s">
        <v>532</v>
      </c>
      <c r="M631" s="279" t="s">
        <v>3558</v>
      </c>
      <c r="N631" s="279" t="s">
        <v>562</v>
      </c>
    </row>
    <row r="632" spans="1:14" ht="49.5">
      <c r="A632" s="268" t="str">
        <f t="shared" si="9"/>
        <v>Leadership|Division Head|3</v>
      </c>
      <c r="B632" s="223" t="s">
        <v>504</v>
      </c>
      <c r="C632" s="79" t="s">
        <v>778</v>
      </c>
      <c r="D632" s="79">
        <v>3</v>
      </c>
      <c r="E632" s="79" t="s">
        <v>563</v>
      </c>
      <c r="F632" s="79">
        <v>1</v>
      </c>
      <c r="G632" s="279" t="s">
        <v>3559</v>
      </c>
      <c r="H632" s="279" t="s">
        <v>3560</v>
      </c>
      <c r="I632" s="279" t="s">
        <v>3561</v>
      </c>
      <c r="J632" s="279" t="s">
        <v>752</v>
      </c>
      <c r="K632" s="279" t="s">
        <v>531</v>
      </c>
      <c r="L632" s="279" t="s">
        <v>532</v>
      </c>
      <c r="M632" s="279" t="s">
        <v>2779</v>
      </c>
      <c r="N632" s="279" t="s">
        <v>534</v>
      </c>
    </row>
    <row r="633" spans="1:14" ht="33">
      <c r="A633" s="268" t="str">
        <f t="shared" si="9"/>
        <v>Leadership|Division Head|3</v>
      </c>
      <c r="B633" s="223" t="s">
        <v>504</v>
      </c>
      <c r="C633" s="79" t="s">
        <v>778</v>
      </c>
      <c r="D633" s="79">
        <v>3</v>
      </c>
      <c r="E633" s="79" t="s">
        <v>563</v>
      </c>
      <c r="F633" s="79">
        <v>2</v>
      </c>
      <c r="G633" s="279" t="s">
        <v>3562</v>
      </c>
      <c r="H633" s="279" t="s">
        <v>3563</v>
      </c>
      <c r="I633" s="279" t="s">
        <v>3564</v>
      </c>
      <c r="J633" s="279" t="s">
        <v>817</v>
      </c>
      <c r="K633" s="279" t="s">
        <v>531</v>
      </c>
      <c r="L633" s="279" t="s">
        <v>532</v>
      </c>
      <c r="M633" s="279" t="s">
        <v>3565</v>
      </c>
      <c r="N633" s="279" t="s">
        <v>562</v>
      </c>
    </row>
    <row r="634" spans="1:14" ht="66">
      <c r="A634" s="268" t="str">
        <f t="shared" si="9"/>
        <v>Leadership|Division Head|3</v>
      </c>
      <c r="B634" s="223" t="s">
        <v>504</v>
      </c>
      <c r="C634" s="79" t="s">
        <v>778</v>
      </c>
      <c r="D634" s="79">
        <v>3</v>
      </c>
      <c r="E634" s="79" t="s">
        <v>563</v>
      </c>
      <c r="F634" s="79">
        <v>3</v>
      </c>
      <c r="G634" s="279" t="s">
        <v>3566</v>
      </c>
      <c r="H634" s="279" t="s">
        <v>3455</v>
      </c>
      <c r="I634" s="279" t="s">
        <v>3567</v>
      </c>
      <c r="J634" s="279" t="s">
        <v>578</v>
      </c>
      <c r="K634" s="279" t="s">
        <v>531</v>
      </c>
      <c r="L634" s="279" t="s">
        <v>532</v>
      </c>
      <c r="M634" s="279" t="s">
        <v>3457</v>
      </c>
      <c r="N634" s="279" t="s">
        <v>580</v>
      </c>
    </row>
    <row r="635" spans="1:14" ht="66">
      <c r="A635" s="268" t="str">
        <f t="shared" si="9"/>
        <v>Leadership|Division Head|4</v>
      </c>
      <c r="B635" s="223" t="s">
        <v>504</v>
      </c>
      <c r="C635" s="79" t="s">
        <v>778</v>
      </c>
      <c r="D635" s="79">
        <v>4</v>
      </c>
      <c r="E635" s="79" t="s">
        <v>581</v>
      </c>
      <c r="F635" s="79">
        <v>1</v>
      </c>
      <c r="G635" s="279" t="s">
        <v>3568</v>
      </c>
      <c r="H635" s="279" t="s">
        <v>3569</v>
      </c>
      <c r="I635" s="279" t="s">
        <v>3570</v>
      </c>
      <c r="J635" s="279" t="s">
        <v>3571</v>
      </c>
      <c r="K635" s="279" t="s">
        <v>531</v>
      </c>
      <c r="L635" s="279" t="s">
        <v>532</v>
      </c>
      <c r="M635" s="279" t="s">
        <v>3572</v>
      </c>
      <c r="N635" s="279" t="s">
        <v>562</v>
      </c>
    </row>
    <row r="636" spans="1:14" ht="33">
      <c r="A636" s="268" t="str">
        <f t="shared" si="9"/>
        <v>Leadership|Division Head|4</v>
      </c>
      <c r="B636" s="223" t="s">
        <v>504</v>
      </c>
      <c r="C636" s="79" t="s">
        <v>778</v>
      </c>
      <c r="D636" s="79">
        <v>4</v>
      </c>
      <c r="E636" s="79" t="s">
        <v>581</v>
      </c>
      <c r="F636" s="79">
        <v>2</v>
      </c>
      <c r="G636" s="279" t="s">
        <v>3573</v>
      </c>
      <c r="H636" s="279" t="s">
        <v>3574</v>
      </c>
      <c r="I636" s="279" t="s">
        <v>3575</v>
      </c>
      <c r="J636" s="279" t="s">
        <v>3576</v>
      </c>
      <c r="K636" s="279" t="s">
        <v>531</v>
      </c>
      <c r="L636" s="279" t="s">
        <v>532</v>
      </c>
      <c r="M636" s="279" t="s">
        <v>3577</v>
      </c>
      <c r="N636" s="279" t="s">
        <v>562</v>
      </c>
    </row>
    <row r="637" spans="1:14" ht="49.5">
      <c r="A637" s="268" t="str">
        <f t="shared" si="9"/>
        <v>Leadership|Division Head|4</v>
      </c>
      <c r="B637" s="223" t="s">
        <v>504</v>
      </c>
      <c r="C637" s="79" t="s">
        <v>778</v>
      </c>
      <c r="D637" s="79">
        <v>4</v>
      </c>
      <c r="E637" s="79" t="s">
        <v>581</v>
      </c>
      <c r="F637" s="79">
        <v>3</v>
      </c>
      <c r="G637" s="279" t="s">
        <v>3578</v>
      </c>
      <c r="H637" s="279" t="s">
        <v>3579</v>
      </c>
      <c r="I637" s="279" t="s">
        <v>3580</v>
      </c>
      <c r="J637" s="279" t="s">
        <v>3581</v>
      </c>
      <c r="K637" s="279" t="s">
        <v>531</v>
      </c>
      <c r="L637" s="279" t="s">
        <v>532</v>
      </c>
      <c r="M637" s="279" t="s">
        <v>3582</v>
      </c>
      <c r="N637" s="279" t="s">
        <v>1820</v>
      </c>
    </row>
    <row r="638" spans="1:14" ht="49.5">
      <c r="A638" s="268" t="str">
        <f t="shared" si="9"/>
        <v>Leadership|Director|1</v>
      </c>
      <c r="B638" s="223" t="s">
        <v>504</v>
      </c>
      <c r="C638" s="79" t="s">
        <v>838</v>
      </c>
      <c r="D638" s="197">
        <v>1</v>
      </c>
      <c r="E638" s="79" t="s">
        <v>526</v>
      </c>
      <c r="F638" s="79">
        <v>1</v>
      </c>
      <c r="G638" s="279" t="s">
        <v>3583</v>
      </c>
      <c r="H638" s="279" t="s">
        <v>3584</v>
      </c>
      <c r="I638" s="279" t="s">
        <v>3585</v>
      </c>
      <c r="J638" s="279" t="s">
        <v>3586</v>
      </c>
      <c r="K638" s="279" t="s">
        <v>531</v>
      </c>
      <c r="L638" s="279" t="s">
        <v>532</v>
      </c>
      <c r="M638" s="279" t="s">
        <v>3587</v>
      </c>
      <c r="N638" s="279" t="s">
        <v>2169</v>
      </c>
    </row>
    <row r="639" spans="1:14" ht="49.5">
      <c r="A639" s="268" t="str">
        <f t="shared" si="9"/>
        <v>Leadership|Director|1</v>
      </c>
      <c r="B639" s="223" t="s">
        <v>504</v>
      </c>
      <c r="C639" s="79" t="s">
        <v>838</v>
      </c>
      <c r="D639" s="197">
        <v>1</v>
      </c>
      <c r="E639" s="79" t="s">
        <v>526</v>
      </c>
      <c r="F639" s="79">
        <v>2</v>
      </c>
      <c r="G639" s="279" t="s">
        <v>839</v>
      </c>
      <c r="H639" s="279" t="s">
        <v>840</v>
      </c>
      <c r="I639" s="279" t="s">
        <v>3588</v>
      </c>
      <c r="J639" s="279" t="s">
        <v>3589</v>
      </c>
      <c r="K639" s="279" t="s">
        <v>531</v>
      </c>
      <c r="L639" s="279" t="s">
        <v>532</v>
      </c>
      <c r="M639" s="279" t="s">
        <v>3590</v>
      </c>
      <c r="N639" s="279" t="s">
        <v>2169</v>
      </c>
    </row>
    <row r="640" spans="1:14" ht="33">
      <c r="A640" s="268" t="str">
        <f t="shared" si="9"/>
        <v>Leadership|Director|1</v>
      </c>
      <c r="B640" s="223" t="s">
        <v>504</v>
      </c>
      <c r="C640" s="79" t="s">
        <v>838</v>
      </c>
      <c r="D640" s="197">
        <v>1</v>
      </c>
      <c r="E640" s="79" t="s">
        <v>526</v>
      </c>
      <c r="F640" s="79">
        <v>3</v>
      </c>
      <c r="G640" s="279" t="s">
        <v>3591</v>
      </c>
      <c r="H640" s="279" t="s">
        <v>3592</v>
      </c>
      <c r="I640" s="279" t="s">
        <v>3593</v>
      </c>
      <c r="J640" s="279" t="s">
        <v>3594</v>
      </c>
      <c r="K640" s="279" t="s">
        <v>531</v>
      </c>
      <c r="L640" s="279" t="s">
        <v>532</v>
      </c>
      <c r="M640" s="279" t="s">
        <v>3595</v>
      </c>
      <c r="N640" s="279" t="s">
        <v>534</v>
      </c>
    </row>
    <row r="641" spans="1:14" ht="33">
      <c r="A641" s="268" t="str">
        <f t="shared" si="9"/>
        <v>Leadership|Director|2</v>
      </c>
      <c r="B641" s="223" t="s">
        <v>504</v>
      </c>
      <c r="C641" s="79" t="s">
        <v>838</v>
      </c>
      <c r="D641" s="79">
        <v>2</v>
      </c>
      <c r="E641" s="79" t="s">
        <v>545</v>
      </c>
      <c r="F641" s="79">
        <v>1</v>
      </c>
      <c r="G641" s="279" t="s">
        <v>3596</v>
      </c>
      <c r="H641" s="279" t="s">
        <v>3597</v>
      </c>
      <c r="I641" s="279" t="s">
        <v>3598</v>
      </c>
      <c r="J641" s="279" t="s">
        <v>3599</v>
      </c>
      <c r="K641" s="279" t="s">
        <v>531</v>
      </c>
      <c r="L641" s="279" t="s">
        <v>532</v>
      </c>
      <c r="M641" s="279" t="s">
        <v>3600</v>
      </c>
      <c r="N641" s="279" t="s">
        <v>677</v>
      </c>
    </row>
    <row r="642" spans="1:14" ht="49.5">
      <c r="A642" s="268" t="str">
        <f t="shared" si="9"/>
        <v>Leadership|Director|2</v>
      </c>
      <c r="B642" s="223" t="s">
        <v>504</v>
      </c>
      <c r="C642" s="79" t="s">
        <v>838</v>
      </c>
      <c r="D642" s="79">
        <v>2</v>
      </c>
      <c r="E642" s="79" t="s">
        <v>545</v>
      </c>
      <c r="F642" s="79">
        <v>2</v>
      </c>
      <c r="G642" s="279" t="s">
        <v>3601</v>
      </c>
      <c r="H642" s="279" t="s">
        <v>3602</v>
      </c>
      <c r="I642" s="279" t="s">
        <v>3603</v>
      </c>
      <c r="J642" s="279" t="s">
        <v>3604</v>
      </c>
      <c r="K642" s="279" t="s">
        <v>531</v>
      </c>
      <c r="L642" s="279" t="s">
        <v>532</v>
      </c>
      <c r="M642" s="279" t="s">
        <v>3605</v>
      </c>
      <c r="N642" s="279" t="s">
        <v>862</v>
      </c>
    </row>
    <row r="643" spans="1:14" ht="33">
      <c r="A643" s="268" t="str">
        <f t="shared" ref="A643:A706" si="10">B643 &amp; "|" &amp; C643 &amp; "|" &amp; D643</f>
        <v>Leadership|Director|2</v>
      </c>
      <c r="B643" s="223" t="s">
        <v>504</v>
      </c>
      <c r="C643" s="79" t="s">
        <v>838</v>
      </c>
      <c r="D643" s="79">
        <v>2</v>
      </c>
      <c r="E643" s="79" t="s">
        <v>545</v>
      </c>
      <c r="F643" s="79">
        <v>3</v>
      </c>
      <c r="G643" s="279" t="s">
        <v>3606</v>
      </c>
      <c r="H643" s="279" t="s">
        <v>3607</v>
      </c>
      <c r="I643" s="279" t="s">
        <v>3608</v>
      </c>
      <c r="J643" s="279" t="s">
        <v>3609</v>
      </c>
      <c r="K643" s="279" t="s">
        <v>531</v>
      </c>
      <c r="L643" s="279" t="s">
        <v>532</v>
      </c>
      <c r="M643" s="279" t="s">
        <v>3610</v>
      </c>
      <c r="N643" s="279" t="s">
        <v>856</v>
      </c>
    </row>
    <row r="644" spans="1:14" ht="33">
      <c r="A644" s="268" t="str">
        <f t="shared" si="10"/>
        <v>Leadership|Director|3</v>
      </c>
      <c r="B644" s="223" t="s">
        <v>504</v>
      </c>
      <c r="C644" s="79" t="s">
        <v>838</v>
      </c>
      <c r="D644" s="79">
        <v>3</v>
      </c>
      <c r="E644" s="79" t="s">
        <v>563</v>
      </c>
      <c r="F644" s="79">
        <v>1</v>
      </c>
      <c r="G644" s="279" t="s">
        <v>3611</v>
      </c>
      <c r="H644" s="279" t="s">
        <v>3612</v>
      </c>
      <c r="I644" s="279" t="s">
        <v>3613</v>
      </c>
      <c r="J644" s="279" t="s">
        <v>3614</v>
      </c>
      <c r="K644" s="279" t="s">
        <v>531</v>
      </c>
      <c r="L644" s="279" t="s">
        <v>532</v>
      </c>
      <c r="M644" s="279" t="s">
        <v>3615</v>
      </c>
      <c r="N644" s="279" t="s">
        <v>1609</v>
      </c>
    </row>
    <row r="645" spans="1:14" ht="49.5">
      <c r="A645" s="268" t="str">
        <f t="shared" si="10"/>
        <v>Leadership|Director|3</v>
      </c>
      <c r="B645" s="223" t="s">
        <v>504</v>
      </c>
      <c r="C645" s="79" t="s">
        <v>838</v>
      </c>
      <c r="D645" s="79">
        <v>3</v>
      </c>
      <c r="E645" s="79" t="s">
        <v>563</v>
      </c>
      <c r="F645" s="79">
        <v>2</v>
      </c>
      <c r="G645" s="279" t="s">
        <v>3616</v>
      </c>
      <c r="H645" s="279" t="s">
        <v>3617</v>
      </c>
      <c r="I645" s="279" t="s">
        <v>3618</v>
      </c>
      <c r="J645" s="279" t="s">
        <v>876</v>
      </c>
      <c r="K645" s="279" t="s">
        <v>531</v>
      </c>
      <c r="L645" s="279" t="s">
        <v>532</v>
      </c>
      <c r="M645" s="279" t="s">
        <v>3619</v>
      </c>
      <c r="N645" s="279" t="s">
        <v>534</v>
      </c>
    </row>
    <row r="646" spans="1:14" ht="82.5">
      <c r="A646" s="268" t="str">
        <f t="shared" si="10"/>
        <v>Leadership|Director|3</v>
      </c>
      <c r="B646" s="223" t="s">
        <v>504</v>
      </c>
      <c r="C646" s="79" t="s">
        <v>838</v>
      </c>
      <c r="D646" s="79">
        <v>3</v>
      </c>
      <c r="E646" s="79" t="s">
        <v>563</v>
      </c>
      <c r="F646" s="79">
        <v>3</v>
      </c>
      <c r="G646" s="279" t="s">
        <v>3620</v>
      </c>
      <c r="H646" s="279" t="s">
        <v>3621</v>
      </c>
      <c r="I646" s="279" t="s">
        <v>3622</v>
      </c>
      <c r="J646" s="279" t="s">
        <v>578</v>
      </c>
      <c r="K646" s="279" t="s">
        <v>531</v>
      </c>
      <c r="L646" s="279" t="s">
        <v>532</v>
      </c>
      <c r="M646" s="279" t="s">
        <v>3623</v>
      </c>
      <c r="N646" s="279" t="s">
        <v>580</v>
      </c>
    </row>
    <row r="647" spans="1:14" ht="33">
      <c r="A647" s="268" t="str">
        <f t="shared" si="10"/>
        <v>Leadership|Director|4</v>
      </c>
      <c r="B647" s="223" t="s">
        <v>504</v>
      </c>
      <c r="C647" s="79" t="s">
        <v>838</v>
      </c>
      <c r="D647" s="79">
        <v>4</v>
      </c>
      <c r="E647" s="79" t="s">
        <v>581</v>
      </c>
      <c r="F647" s="79">
        <v>1</v>
      </c>
      <c r="G647" s="279" t="s">
        <v>3624</v>
      </c>
      <c r="H647" s="279" t="s">
        <v>3625</v>
      </c>
      <c r="I647" s="279" t="s">
        <v>3626</v>
      </c>
      <c r="J647" s="279" t="s">
        <v>3627</v>
      </c>
      <c r="K647" s="279" t="s">
        <v>531</v>
      </c>
      <c r="L647" s="279" t="s">
        <v>532</v>
      </c>
      <c r="M647" s="279" t="s">
        <v>3628</v>
      </c>
      <c r="N647" s="279" t="s">
        <v>3629</v>
      </c>
    </row>
    <row r="648" spans="1:14" ht="49.5">
      <c r="A648" s="268" t="str">
        <f t="shared" si="10"/>
        <v>Leadership|Director|4</v>
      </c>
      <c r="B648" s="223" t="s">
        <v>504</v>
      </c>
      <c r="C648" s="79" t="s">
        <v>838</v>
      </c>
      <c r="D648" s="79">
        <v>4</v>
      </c>
      <c r="E648" s="79" t="s">
        <v>581</v>
      </c>
      <c r="F648" s="79">
        <v>2</v>
      </c>
      <c r="G648" s="279" t="s">
        <v>3630</v>
      </c>
      <c r="H648" s="279" t="s">
        <v>3631</v>
      </c>
      <c r="I648" s="279" t="s">
        <v>3632</v>
      </c>
      <c r="J648" s="279" t="s">
        <v>3633</v>
      </c>
      <c r="K648" s="279" t="s">
        <v>531</v>
      </c>
      <c r="L648" s="279" t="s">
        <v>532</v>
      </c>
      <c r="M648" s="279" t="s">
        <v>3634</v>
      </c>
      <c r="N648" s="279" t="s">
        <v>856</v>
      </c>
    </row>
    <row r="649" spans="1:14" ht="33">
      <c r="A649" s="268" t="str">
        <f t="shared" si="10"/>
        <v>Leadership|Director|4</v>
      </c>
      <c r="B649" s="223" t="s">
        <v>504</v>
      </c>
      <c r="C649" s="79" t="s">
        <v>838</v>
      </c>
      <c r="D649" s="79">
        <v>4</v>
      </c>
      <c r="E649" s="79" t="s">
        <v>581</v>
      </c>
      <c r="F649" s="79">
        <v>3</v>
      </c>
      <c r="G649" s="279" t="s">
        <v>3635</v>
      </c>
      <c r="H649" s="279" t="s">
        <v>3636</v>
      </c>
      <c r="I649" s="279" t="s">
        <v>3637</v>
      </c>
      <c r="J649" s="279" t="s">
        <v>3638</v>
      </c>
      <c r="K649" s="279" t="s">
        <v>531</v>
      </c>
      <c r="L649" s="279" t="s">
        <v>532</v>
      </c>
      <c r="M649" s="279" t="s">
        <v>3639</v>
      </c>
      <c r="N649" s="279" t="s">
        <v>856</v>
      </c>
    </row>
    <row r="650" spans="1:14" ht="82.5">
      <c r="A650" s="268" t="str">
        <f t="shared" si="10"/>
        <v>Managing Change|Officer|1</v>
      </c>
      <c r="B650" s="223" t="s">
        <v>501</v>
      </c>
      <c r="C650" s="226" t="s">
        <v>4</v>
      </c>
      <c r="D650" s="226">
        <v>1</v>
      </c>
      <c r="E650" s="227" t="s">
        <v>526</v>
      </c>
      <c r="F650" s="227">
        <v>1</v>
      </c>
      <c r="G650" s="276" t="s">
        <v>3640</v>
      </c>
      <c r="H650" s="276" t="s">
        <v>3641</v>
      </c>
      <c r="I650" s="276" t="s">
        <v>3642</v>
      </c>
      <c r="J650" s="276" t="s">
        <v>3643</v>
      </c>
      <c r="K650" s="276" t="s">
        <v>531</v>
      </c>
      <c r="L650" s="276" t="s">
        <v>532</v>
      </c>
      <c r="M650" s="276" t="s">
        <v>3644</v>
      </c>
      <c r="N650" s="276" t="s">
        <v>534</v>
      </c>
    </row>
    <row r="651" spans="1:14" ht="66">
      <c r="A651" s="268" t="str">
        <f t="shared" si="10"/>
        <v>Managing Change|Officer|1</v>
      </c>
      <c r="B651" s="223" t="s">
        <v>501</v>
      </c>
      <c r="C651" s="226" t="s">
        <v>4</v>
      </c>
      <c r="D651" s="226">
        <v>1</v>
      </c>
      <c r="E651" s="227" t="s">
        <v>526</v>
      </c>
      <c r="F651" s="227">
        <v>2</v>
      </c>
      <c r="G651" s="276" t="s">
        <v>3645</v>
      </c>
      <c r="H651" s="276" t="s">
        <v>3646</v>
      </c>
      <c r="I651" s="276" t="s">
        <v>3647</v>
      </c>
      <c r="J651" s="276" t="s">
        <v>3648</v>
      </c>
      <c r="K651" s="276" t="s">
        <v>531</v>
      </c>
      <c r="L651" s="276" t="s">
        <v>532</v>
      </c>
      <c r="M651" s="276" t="s">
        <v>3649</v>
      </c>
      <c r="N651" s="276" t="s">
        <v>534</v>
      </c>
    </row>
    <row r="652" spans="1:14" ht="82.5">
      <c r="A652" s="268" t="str">
        <f t="shared" si="10"/>
        <v>Managing Change|Officer|1</v>
      </c>
      <c r="B652" s="223" t="s">
        <v>501</v>
      </c>
      <c r="C652" s="226" t="s">
        <v>4</v>
      </c>
      <c r="D652" s="226">
        <v>1</v>
      </c>
      <c r="E652" s="227" t="s">
        <v>526</v>
      </c>
      <c r="F652" s="227">
        <v>3</v>
      </c>
      <c r="G652" s="276" t="s">
        <v>3650</v>
      </c>
      <c r="H652" s="276" t="s">
        <v>3651</v>
      </c>
      <c r="I652" s="276" t="s">
        <v>3652</v>
      </c>
      <c r="J652" s="276" t="s">
        <v>3653</v>
      </c>
      <c r="K652" s="276" t="s">
        <v>531</v>
      </c>
      <c r="L652" s="276" t="s">
        <v>532</v>
      </c>
      <c r="M652" s="276" t="s">
        <v>3654</v>
      </c>
      <c r="N652" s="276" t="s">
        <v>534</v>
      </c>
    </row>
    <row r="653" spans="1:14" ht="66">
      <c r="A653" s="268" t="str">
        <f t="shared" si="10"/>
        <v>Managing Change|Officer|2</v>
      </c>
      <c r="B653" s="223" t="s">
        <v>501</v>
      </c>
      <c r="C653" s="226" t="s">
        <v>4</v>
      </c>
      <c r="D653" s="227">
        <v>2</v>
      </c>
      <c r="E653" s="227" t="s">
        <v>545</v>
      </c>
      <c r="F653" s="227">
        <v>1</v>
      </c>
      <c r="G653" s="276" t="s">
        <v>3655</v>
      </c>
      <c r="H653" s="276" t="s">
        <v>3656</v>
      </c>
      <c r="I653" s="276" t="s">
        <v>3657</v>
      </c>
      <c r="J653" s="276" t="s">
        <v>3658</v>
      </c>
      <c r="K653" s="276" t="s">
        <v>531</v>
      </c>
      <c r="L653" s="276" t="s">
        <v>532</v>
      </c>
      <c r="M653" s="276" t="s">
        <v>3659</v>
      </c>
      <c r="N653" s="276" t="s">
        <v>551</v>
      </c>
    </row>
    <row r="654" spans="1:14" ht="66">
      <c r="A654" s="268" t="str">
        <f t="shared" si="10"/>
        <v>Managing Change|Officer|2</v>
      </c>
      <c r="B654" s="223" t="s">
        <v>501</v>
      </c>
      <c r="C654" s="226" t="s">
        <v>4</v>
      </c>
      <c r="D654" s="227">
        <v>2</v>
      </c>
      <c r="E654" s="227" t="s">
        <v>545</v>
      </c>
      <c r="F654" s="227">
        <v>2</v>
      </c>
      <c r="G654" s="276" t="s">
        <v>3660</v>
      </c>
      <c r="H654" s="276" t="s">
        <v>3661</v>
      </c>
      <c r="I654" s="276" t="s">
        <v>3662</v>
      </c>
      <c r="J654" s="276" t="s">
        <v>3663</v>
      </c>
      <c r="K654" s="276" t="s">
        <v>531</v>
      </c>
      <c r="L654" s="276" t="s">
        <v>532</v>
      </c>
      <c r="M654" s="276" t="s">
        <v>3664</v>
      </c>
      <c r="N654" s="276" t="s">
        <v>534</v>
      </c>
    </row>
    <row r="655" spans="1:14" ht="49.5">
      <c r="A655" s="268" t="str">
        <f t="shared" si="10"/>
        <v>Managing Change|Officer|2</v>
      </c>
      <c r="B655" s="223" t="s">
        <v>501</v>
      </c>
      <c r="C655" s="226" t="s">
        <v>4</v>
      </c>
      <c r="D655" s="227">
        <v>2</v>
      </c>
      <c r="E655" s="227" t="s">
        <v>545</v>
      </c>
      <c r="F655" s="227">
        <v>3</v>
      </c>
      <c r="G655" s="276" t="s">
        <v>3665</v>
      </c>
      <c r="H655" s="276" t="s">
        <v>3666</v>
      </c>
      <c r="I655" s="276" t="s">
        <v>3667</v>
      </c>
      <c r="J655" s="276" t="s">
        <v>3668</v>
      </c>
      <c r="K655" s="276" t="s">
        <v>531</v>
      </c>
      <c r="L655" s="276" t="s">
        <v>532</v>
      </c>
      <c r="M655" s="276" t="s">
        <v>3669</v>
      </c>
      <c r="N655" s="276" t="s">
        <v>534</v>
      </c>
    </row>
    <row r="656" spans="1:14" ht="66">
      <c r="A656" s="268" t="str">
        <f t="shared" si="10"/>
        <v>Managing Change|Officer|3</v>
      </c>
      <c r="B656" s="223" t="s">
        <v>501</v>
      </c>
      <c r="C656" s="226" t="s">
        <v>4</v>
      </c>
      <c r="D656" s="227">
        <v>3</v>
      </c>
      <c r="E656" s="227" t="s">
        <v>563</v>
      </c>
      <c r="F656" s="227">
        <v>1</v>
      </c>
      <c r="G656" s="276" t="s">
        <v>3670</v>
      </c>
      <c r="H656" s="276" t="s">
        <v>3671</v>
      </c>
      <c r="I656" s="276" t="s">
        <v>3672</v>
      </c>
      <c r="J656" s="276" t="s">
        <v>3673</v>
      </c>
      <c r="K656" s="276" t="s">
        <v>531</v>
      </c>
      <c r="L656" s="276" t="s">
        <v>532</v>
      </c>
      <c r="M656" s="276" t="s">
        <v>3674</v>
      </c>
      <c r="N656" s="276" t="s">
        <v>534</v>
      </c>
    </row>
    <row r="657" spans="1:14" ht="66">
      <c r="A657" s="268" t="str">
        <f t="shared" si="10"/>
        <v>Managing Change|Officer|3</v>
      </c>
      <c r="B657" s="223" t="s">
        <v>501</v>
      </c>
      <c r="C657" s="226" t="s">
        <v>4</v>
      </c>
      <c r="D657" s="227">
        <v>3</v>
      </c>
      <c r="E657" s="227" t="s">
        <v>563</v>
      </c>
      <c r="F657" s="227">
        <v>2</v>
      </c>
      <c r="G657" s="276" t="s">
        <v>3675</v>
      </c>
      <c r="H657" s="276" t="s">
        <v>3676</v>
      </c>
      <c r="I657" s="276" t="s">
        <v>3677</v>
      </c>
      <c r="J657" s="276" t="s">
        <v>3678</v>
      </c>
      <c r="K657" s="276" t="s">
        <v>531</v>
      </c>
      <c r="L657" s="276" t="s">
        <v>532</v>
      </c>
      <c r="M657" s="276" t="s">
        <v>3679</v>
      </c>
      <c r="N657" s="276" t="s">
        <v>534</v>
      </c>
    </row>
    <row r="658" spans="1:14" ht="99">
      <c r="A658" s="268" t="str">
        <f t="shared" si="10"/>
        <v>Managing Change|Officer|3</v>
      </c>
      <c r="B658" s="223" t="s">
        <v>501</v>
      </c>
      <c r="C658" s="226" t="s">
        <v>4</v>
      </c>
      <c r="D658" s="227">
        <v>3</v>
      </c>
      <c r="E658" s="227" t="s">
        <v>563</v>
      </c>
      <c r="F658" s="227">
        <v>3</v>
      </c>
      <c r="G658" s="276" t="s">
        <v>3680</v>
      </c>
      <c r="H658" s="276" t="s">
        <v>3681</v>
      </c>
      <c r="I658" s="276" t="s">
        <v>3682</v>
      </c>
      <c r="J658" s="276" t="s">
        <v>3683</v>
      </c>
      <c r="K658" s="276" t="s">
        <v>531</v>
      </c>
      <c r="L658" s="276" t="s">
        <v>532</v>
      </c>
      <c r="M658" s="276" t="s">
        <v>3684</v>
      </c>
      <c r="N658" s="276" t="s">
        <v>580</v>
      </c>
    </row>
    <row r="659" spans="1:14" ht="66">
      <c r="A659" s="268" t="str">
        <f t="shared" si="10"/>
        <v>Managing Change|Officer|4</v>
      </c>
      <c r="B659" s="223" t="s">
        <v>501</v>
      </c>
      <c r="C659" s="226" t="s">
        <v>4</v>
      </c>
      <c r="D659" s="227">
        <v>4</v>
      </c>
      <c r="E659" s="227" t="s">
        <v>581</v>
      </c>
      <c r="F659" s="227">
        <v>1</v>
      </c>
      <c r="G659" s="276" t="s">
        <v>3685</v>
      </c>
      <c r="H659" s="276" t="s">
        <v>3686</v>
      </c>
      <c r="I659" s="276" t="s">
        <v>3687</v>
      </c>
      <c r="J659" s="276" t="s">
        <v>3688</v>
      </c>
      <c r="K659" s="276" t="s">
        <v>531</v>
      </c>
      <c r="L659" s="276" t="s">
        <v>532</v>
      </c>
      <c r="M659" s="276" t="s">
        <v>3689</v>
      </c>
      <c r="N659" s="276" t="s">
        <v>562</v>
      </c>
    </row>
    <row r="660" spans="1:14" ht="66">
      <c r="A660" s="268" t="str">
        <f t="shared" si="10"/>
        <v>Managing Change|Officer|4</v>
      </c>
      <c r="B660" s="223" t="s">
        <v>501</v>
      </c>
      <c r="C660" s="226" t="s">
        <v>4</v>
      </c>
      <c r="D660" s="227">
        <v>4</v>
      </c>
      <c r="E660" s="227" t="s">
        <v>581</v>
      </c>
      <c r="F660" s="227">
        <v>2</v>
      </c>
      <c r="G660" s="276" t="s">
        <v>3690</v>
      </c>
      <c r="H660" s="276" t="s">
        <v>3691</v>
      </c>
      <c r="I660" s="276" t="s">
        <v>3692</v>
      </c>
      <c r="J660" s="276" t="s">
        <v>3693</v>
      </c>
      <c r="K660" s="276" t="s">
        <v>531</v>
      </c>
      <c r="L660" s="276" t="s">
        <v>532</v>
      </c>
      <c r="M660" s="276" t="s">
        <v>3694</v>
      </c>
      <c r="N660" s="276" t="s">
        <v>3695</v>
      </c>
    </row>
    <row r="661" spans="1:14" ht="66">
      <c r="A661" s="268" t="str">
        <f t="shared" si="10"/>
        <v>Managing Change|Officer|4</v>
      </c>
      <c r="B661" s="223" t="s">
        <v>501</v>
      </c>
      <c r="C661" s="226" t="s">
        <v>4</v>
      </c>
      <c r="D661" s="227">
        <v>4</v>
      </c>
      <c r="E661" s="227" t="s">
        <v>581</v>
      </c>
      <c r="F661" s="227">
        <v>3</v>
      </c>
      <c r="G661" s="276" t="s">
        <v>3696</v>
      </c>
      <c r="H661" s="276" t="s">
        <v>3697</v>
      </c>
      <c r="I661" s="276" t="s">
        <v>3698</v>
      </c>
      <c r="J661" s="276" t="s">
        <v>3699</v>
      </c>
      <c r="K661" s="276" t="s">
        <v>531</v>
      </c>
      <c r="L661" s="276" t="s">
        <v>532</v>
      </c>
      <c r="M661" s="276" t="s">
        <v>3700</v>
      </c>
      <c r="N661" s="276" t="s">
        <v>3701</v>
      </c>
    </row>
    <row r="662" spans="1:14" ht="82.5">
      <c r="A662" s="268" t="str">
        <f t="shared" si="10"/>
        <v>Managing Change|Analyst|1</v>
      </c>
      <c r="B662" s="223" t="s">
        <v>501</v>
      </c>
      <c r="C662" s="226" t="s">
        <v>6</v>
      </c>
      <c r="D662" s="226">
        <v>1</v>
      </c>
      <c r="E662" s="227" t="s">
        <v>526</v>
      </c>
      <c r="F662" s="227">
        <v>1</v>
      </c>
      <c r="G662" s="276" t="s">
        <v>3702</v>
      </c>
      <c r="H662" s="276" t="s">
        <v>3703</v>
      </c>
      <c r="I662" s="276" t="s">
        <v>3704</v>
      </c>
      <c r="J662" s="276" t="s">
        <v>3705</v>
      </c>
      <c r="K662" s="276" t="s">
        <v>531</v>
      </c>
      <c r="L662" s="276" t="s">
        <v>532</v>
      </c>
      <c r="M662" s="276" t="s">
        <v>3706</v>
      </c>
      <c r="N662" s="276" t="s">
        <v>534</v>
      </c>
    </row>
    <row r="663" spans="1:14" ht="82.5">
      <c r="A663" s="268" t="str">
        <f t="shared" si="10"/>
        <v>Managing Change|Analyst|1</v>
      </c>
      <c r="B663" s="223" t="s">
        <v>501</v>
      </c>
      <c r="C663" s="226" t="s">
        <v>6</v>
      </c>
      <c r="D663" s="226">
        <v>1</v>
      </c>
      <c r="E663" s="227" t="s">
        <v>526</v>
      </c>
      <c r="F663" s="227">
        <v>2</v>
      </c>
      <c r="G663" s="276" t="s">
        <v>3707</v>
      </c>
      <c r="H663" s="276" t="s">
        <v>3708</v>
      </c>
      <c r="I663" s="276" t="s">
        <v>3709</v>
      </c>
      <c r="J663" s="276" t="s">
        <v>3710</v>
      </c>
      <c r="K663" s="276" t="s">
        <v>531</v>
      </c>
      <c r="L663" s="276" t="s">
        <v>532</v>
      </c>
      <c r="M663" s="276" t="s">
        <v>3711</v>
      </c>
      <c r="N663" s="276" t="s">
        <v>534</v>
      </c>
    </row>
    <row r="664" spans="1:14" ht="82.5">
      <c r="A664" s="268" t="str">
        <f t="shared" si="10"/>
        <v>Managing Change|Analyst|1</v>
      </c>
      <c r="B664" s="223" t="s">
        <v>501</v>
      </c>
      <c r="C664" s="226" t="s">
        <v>6</v>
      </c>
      <c r="D664" s="226">
        <v>1</v>
      </c>
      <c r="E664" s="227" t="s">
        <v>526</v>
      </c>
      <c r="F664" s="227">
        <v>3</v>
      </c>
      <c r="G664" s="276" t="s">
        <v>3712</v>
      </c>
      <c r="H664" s="276" t="s">
        <v>3713</v>
      </c>
      <c r="I664" s="276" t="s">
        <v>3714</v>
      </c>
      <c r="J664" s="276" t="s">
        <v>3715</v>
      </c>
      <c r="K664" s="276" t="s">
        <v>531</v>
      </c>
      <c r="L664" s="276" t="s">
        <v>532</v>
      </c>
      <c r="M664" s="276" t="s">
        <v>3716</v>
      </c>
      <c r="N664" s="276" t="s">
        <v>534</v>
      </c>
    </row>
    <row r="665" spans="1:14" ht="66">
      <c r="A665" s="268" t="str">
        <f t="shared" si="10"/>
        <v>Managing Change|Analyst|2</v>
      </c>
      <c r="B665" s="223" t="s">
        <v>501</v>
      </c>
      <c r="C665" s="226" t="s">
        <v>6</v>
      </c>
      <c r="D665" s="227">
        <v>2</v>
      </c>
      <c r="E665" s="227" t="s">
        <v>545</v>
      </c>
      <c r="F665" s="227">
        <v>1</v>
      </c>
      <c r="G665" s="276" t="s">
        <v>3717</v>
      </c>
      <c r="H665" s="276" t="s">
        <v>3718</v>
      </c>
      <c r="I665" s="276" t="s">
        <v>3719</v>
      </c>
      <c r="J665" s="276" t="s">
        <v>3720</v>
      </c>
      <c r="K665" s="276" t="s">
        <v>531</v>
      </c>
      <c r="L665" s="276" t="s">
        <v>532</v>
      </c>
      <c r="M665" s="276" t="s">
        <v>3721</v>
      </c>
      <c r="N665" s="276" t="s">
        <v>2585</v>
      </c>
    </row>
    <row r="666" spans="1:14" ht="82.5">
      <c r="A666" s="268" t="str">
        <f t="shared" si="10"/>
        <v>Managing Change|Analyst|2</v>
      </c>
      <c r="B666" s="223" t="s">
        <v>501</v>
      </c>
      <c r="C666" s="226" t="s">
        <v>6</v>
      </c>
      <c r="D666" s="227">
        <v>2</v>
      </c>
      <c r="E666" s="227" t="s">
        <v>545</v>
      </c>
      <c r="F666" s="227">
        <v>2</v>
      </c>
      <c r="G666" s="276" t="s">
        <v>3722</v>
      </c>
      <c r="H666" s="276" t="s">
        <v>3723</v>
      </c>
      <c r="I666" s="276" t="s">
        <v>3724</v>
      </c>
      <c r="J666" s="276" t="s">
        <v>3725</v>
      </c>
      <c r="K666" s="276" t="s">
        <v>531</v>
      </c>
      <c r="L666" s="276" t="s">
        <v>532</v>
      </c>
      <c r="M666" s="276" t="s">
        <v>3726</v>
      </c>
      <c r="N666" s="276" t="s">
        <v>534</v>
      </c>
    </row>
    <row r="667" spans="1:14" ht="49.5">
      <c r="A667" s="268" t="str">
        <f t="shared" si="10"/>
        <v>Managing Change|Analyst|2</v>
      </c>
      <c r="B667" s="223" t="s">
        <v>501</v>
      </c>
      <c r="C667" s="226" t="s">
        <v>6</v>
      </c>
      <c r="D667" s="227">
        <v>2</v>
      </c>
      <c r="E667" s="227" t="s">
        <v>545</v>
      </c>
      <c r="F667" s="227">
        <v>3</v>
      </c>
      <c r="G667" s="276" t="s">
        <v>3727</v>
      </c>
      <c r="H667" s="276" t="s">
        <v>3728</v>
      </c>
      <c r="I667" s="276" t="s">
        <v>3729</v>
      </c>
      <c r="J667" s="276" t="s">
        <v>3730</v>
      </c>
      <c r="K667" s="276" t="s">
        <v>531</v>
      </c>
      <c r="L667" s="276" t="s">
        <v>532</v>
      </c>
      <c r="M667" s="276" t="s">
        <v>3731</v>
      </c>
      <c r="N667" s="276" t="s">
        <v>534</v>
      </c>
    </row>
    <row r="668" spans="1:14" ht="66">
      <c r="A668" s="268" t="str">
        <f t="shared" si="10"/>
        <v>Managing Change|Analyst|3</v>
      </c>
      <c r="B668" s="223" t="s">
        <v>501</v>
      </c>
      <c r="C668" s="226" t="s">
        <v>6</v>
      </c>
      <c r="D668" s="227">
        <v>3</v>
      </c>
      <c r="E668" s="227" t="s">
        <v>563</v>
      </c>
      <c r="F668" s="227">
        <v>1</v>
      </c>
      <c r="G668" s="276" t="s">
        <v>3732</v>
      </c>
      <c r="H668" s="276" t="s">
        <v>3733</v>
      </c>
      <c r="I668" s="276" t="s">
        <v>3734</v>
      </c>
      <c r="J668" s="276" t="s">
        <v>3735</v>
      </c>
      <c r="K668" s="276" t="s">
        <v>531</v>
      </c>
      <c r="L668" s="276" t="s">
        <v>532</v>
      </c>
      <c r="M668" s="276" t="s">
        <v>3736</v>
      </c>
      <c r="N668" s="276" t="s">
        <v>562</v>
      </c>
    </row>
    <row r="669" spans="1:14" ht="82.5">
      <c r="A669" s="268" t="str">
        <f t="shared" si="10"/>
        <v>Managing Change|Analyst|3</v>
      </c>
      <c r="B669" s="223" t="s">
        <v>501</v>
      </c>
      <c r="C669" s="226" t="s">
        <v>6</v>
      </c>
      <c r="D669" s="227">
        <v>3</v>
      </c>
      <c r="E669" s="227" t="s">
        <v>563</v>
      </c>
      <c r="F669" s="227">
        <v>2</v>
      </c>
      <c r="G669" s="276" t="s">
        <v>3737</v>
      </c>
      <c r="H669" s="276" t="s">
        <v>3738</v>
      </c>
      <c r="I669" s="276" t="s">
        <v>3739</v>
      </c>
      <c r="J669" s="276" t="s">
        <v>3740</v>
      </c>
      <c r="K669" s="276" t="s">
        <v>531</v>
      </c>
      <c r="L669" s="276" t="s">
        <v>532</v>
      </c>
      <c r="M669" s="276" t="s">
        <v>3741</v>
      </c>
      <c r="N669" s="276" t="s">
        <v>534</v>
      </c>
    </row>
    <row r="670" spans="1:14" ht="115.5">
      <c r="A670" s="268" t="str">
        <f t="shared" si="10"/>
        <v>Managing Change|Analyst|3</v>
      </c>
      <c r="B670" s="223" t="s">
        <v>501</v>
      </c>
      <c r="C670" s="226" t="s">
        <v>6</v>
      </c>
      <c r="D670" s="227">
        <v>3</v>
      </c>
      <c r="E670" s="227" t="s">
        <v>563</v>
      </c>
      <c r="F670" s="227">
        <v>3</v>
      </c>
      <c r="G670" s="276" t="s">
        <v>3742</v>
      </c>
      <c r="H670" s="276" t="s">
        <v>3681</v>
      </c>
      <c r="I670" s="276" t="s">
        <v>3743</v>
      </c>
      <c r="J670" s="276" t="s">
        <v>3683</v>
      </c>
      <c r="K670" s="276" t="s">
        <v>531</v>
      </c>
      <c r="L670" s="276" t="s">
        <v>532</v>
      </c>
      <c r="M670" s="276" t="s">
        <v>3744</v>
      </c>
      <c r="N670" s="276" t="s">
        <v>580</v>
      </c>
    </row>
    <row r="671" spans="1:14" ht="82.5">
      <c r="A671" s="268" t="str">
        <f t="shared" si="10"/>
        <v>Managing Change|Analyst|4</v>
      </c>
      <c r="B671" s="223" t="s">
        <v>501</v>
      </c>
      <c r="C671" s="226" t="s">
        <v>6</v>
      </c>
      <c r="D671" s="227">
        <v>4</v>
      </c>
      <c r="E671" s="227" t="s">
        <v>581</v>
      </c>
      <c r="F671" s="227">
        <v>1</v>
      </c>
      <c r="G671" s="276" t="s">
        <v>3745</v>
      </c>
      <c r="H671" s="276" t="s">
        <v>3746</v>
      </c>
      <c r="I671" s="276" t="s">
        <v>3747</v>
      </c>
      <c r="J671" s="276" t="s">
        <v>3748</v>
      </c>
      <c r="K671" s="276" t="s">
        <v>531</v>
      </c>
      <c r="L671" s="276" t="s">
        <v>532</v>
      </c>
      <c r="M671" s="276" t="s">
        <v>3749</v>
      </c>
      <c r="N671" s="276" t="s">
        <v>562</v>
      </c>
    </row>
    <row r="672" spans="1:14" ht="82.5">
      <c r="A672" s="268" t="str">
        <f t="shared" si="10"/>
        <v>Managing Change|Analyst|4</v>
      </c>
      <c r="B672" s="223" t="s">
        <v>501</v>
      </c>
      <c r="C672" s="226" t="s">
        <v>6</v>
      </c>
      <c r="D672" s="227">
        <v>4</v>
      </c>
      <c r="E672" s="227" t="s">
        <v>581</v>
      </c>
      <c r="F672" s="227">
        <v>2</v>
      </c>
      <c r="G672" s="276" t="s">
        <v>3750</v>
      </c>
      <c r="H672" s="276" t="s">
        <v>3751</v>
      </c>
      <c r="I672" s="276" t="s">
        <v>3752</v>
      </c>
      <c r="J672" s="276" t="s">
        <v>3753</v>
      </c>
      <c r="K672" s="276" t="s">
        <v>531</v>
      </c>
      <c r="L672" s="276" t="s">
        <v>532</v>
      </c>
      <c r="M672" s="276" t="s">
        <v>3754</v>
      </c>
      <c r="N672" s="276" t="s">
        <v>562</v>
      </c>
    </row>
    <row r="673" spans="1:14" ht="82.5">
      <c r="A673" s="268" t="str">
        <f t="shared" si="10"/>
        <v>Managing Change|Analyst|4</v>
      </c>
      <c r="B673" s="223" t="s">
        <v>501</v>
      </c>
      <c r="C673" s="226" t="s">
        <v>6</v>
      </c>
      <c r="D673" s="227">
        <v>4</v>
      </c>
      <c r="E673" s="227" t="s">
        <v>581</v>
      </c>
      <c r="F673" s="227">
        <v>3</v>
      </c>
      <c r="G673" s="276" t="s">
        <v>3755</v>
      </c>
      <c r="H673" s="276" t="s">
        <v>3756</v>
      </c>
      <c r="I673" s="276" t="s">
        <v>3757</v>
      </c>
      <c r="J673" s="276" t="s">
        <v>3758</v>
      </c>
      <c r="K673" s="276" t="s">
        <v>531</v>
      </c>
      <c r="L673" s="276" t="s">
        <v>532</v>
      </c>
      <c r="M673" s="276" t="s">
        <v>3759</v>
      </c>
      <c r="N673" s="276" t="s">
        <v>562</v>
      </c>
    </row>
    <row r="674" spans="1:14" ht="82.5">
      <c r="A674" s="268" t="str">
        <f t="shared" si="10"/>
        <v>Managing Change|Unit Head/Specialist|1</v>
      </c>
      <c r="B674" s="223" t="s">
        <v>501</v>
      </c>
      <c r="C674" s="227" t="s">
        <v>13</v>
      </c>
      <c r="D674" s="226">
        <v>1</v>
      </c>
      <c r="E674" s="227" t="s">
        <v>526</v>
      </c>
      <c r="F674" s="227">
        <v>1</v>
      </c>
      <c r="G674" s="279" t="s">
        <v>3760</v>
      </c>
      <c r="H674" s="279" t="s">
        <v>3761</v>
      </c>
      <c r="I674" s="279" t="s">
        <v>3762</v>
      </c>
      <c r="J674" s="279" t="s">
        <v>3763</v>
      </c>
      <c r="K674" s="279" t="s">
        <v>531</v>
      </c>
      <c r="L674" s="279" t="s">
        <v>532</v>
      </c>
      <c r="M674" s="279" t="s">
        <v>3764</v>
      </c>
      <c r="N674" s="279" t="s">
        <v>534</v>
      </c>
    </row>
    <row r="675" spans="1:14" ht="66">
      <c r="A675" s="268" t="str">
        <f t="shared" si="10"/>
        <v>Managing Change|Unit Head/Specialist|1</v>
      </c>
      <c r="B675" s="223" t="s">
        <v>501</v>
      </c>
      <c r="C675" s="227" t="s">
        <v>13</v>
      </c>
      <c r="D675" s="226">
        <v>1</v>
      </c>
      <c r="E675" s="227" t="s">
        <v>526</v>
      </c>
      <c r="F675" s="227">
        <v>2</v>
      </c>
      <c r="G675" s="279" t="s">
        <v>3765</v>
      </c>
      <c r="H675" s="279" t="s">
        <v>3766</v>
      </c>
      <c r="I675" s="279" t="s">
        <v>3767</v>
      </c>
      <c r="J675" s="279" t="s">
        <v>3768</v>
      </c>
      <c r="K675" s="279" t="s">
        <v>531</v>
      </c>
      <c r="L675" s="279" t="s">
        <v>532</v>
      </c>
      <c r="M675" s="279" t="s">
        <v>3769</v>
      </c>
      <c r="N675" s="279" t="s">
        <v>534</v>
      </c>
    </row>
    <row r="676" spans="1:14" ht="66">
      <c r="A676" s="268" t="str">
        <f t="shared" si="10"/>
        <v>Managing Change|Unit Head/Specialist|1</v>
      </c>
      <c r="B676" s="223" t="s">
        <v>501</v>
      </c>
      <c r="C676" s="227" t="s">
        <v>13</v>
      </c>
      <c r="D676" s="226">
        <v>1</v>
      </c>
      <c r="E676" s="227" t="s">
        <v>526</v>
      </c>
      <c r="F676" s="227">
        <v>3</v>
      </c>
      <c r="G676" s="279" t="s">
        <v>3770</v>
      </c>
      <c r="H676" s="279" t="s">
        <v>3771</v>
      </c>
      <c r="I676" s="279" t="s">
        <v>3772</v>
      </c>
      <c r="J676" s="279" t="s">
        <v>3773</v>
      </c>
      <c r="K676" s="279" t="s">
        <v>531</v>
      </c>
      <c r="L676" s="279" t="s">
        <v>532</v>
      </c>
      <c r="M676" s="279" t="s">
        <v>3774</v>
      </c>
      <c r="N676" s="279" t="s">
        <v>534</v>
      </c>
    </row>
    <row r="677" spans="1:14" ht="66">
      <c r="A677" s="268" t="str">
        <f t="shared" si="10"/>
        <v>Managing Change|Unit Head/Specialist|2</v>
      </c>
      <c r="B677" s="223" t="s">
        <v>501</v>
      </c>
      <c r="C677" s="227" t="s">
        <v>13</v>
      </c>
      <c r="D677" s="227">
        <v>2</v>
      </c>
      <c r="E677" s="227" t="s">
        <v>545</v>
      </c>
      <c r="F677" s="227">
        <v>1</v>
      </c>
      <c r="G677" s="279" t="s">
        <v>3775</v>
      </c>
      <c r="H677" s="279" t="s">
        <v>3776</v>
      </c>
      <c r="I677" s="279" t="s">
        <v>3777</v>
      </c>
      <c r="J677" s="279" t="s">
        <v>3778</v>
      </c>
      <c r="K677" s="279" t="s">
        <v>531</v>
      </c>
      <c r="L677" s="279" t="s">
        <v>532</v>
      </c>
      <c r="M677" s="279" t="s">
        <v>3779</v>
      </c>
      <c r="N677" s="279" t="s">
        <v>2585</v>
      </c>
    </row>
    <row r="678" spans="1:14" ht="66">
      <c r="A678" s="268" t="str">
        <f t="shared" si="10"/>
        <v>Managing Change|Unit Head/Specialist|2</v>
      </c>
      <c r="B678" s="223" t="s">
        <v>501</v>
      </c>
      <c r="C678" s="227" t="s">
        <v>13</v>
      </c>
      <c r="D678" s="227">
        <v>2</v>
      </c>
      <c r="E678" s="227" t="s">
        <v>545</v>
      </c>
      <c r="F678" s="227">
        <v>2</v>
      </c>
      <c r="G678" s="279" t="s">
        <v>3780</v>
      </c>
      <c r="H678" s="279" t="s">
        <v>3781</v>
      </c>
      <c r="I678" s="279" t="s">
        <v>3782</v>
      </c>
      <c r="J678" s="279" t="s">
        <v>3783</v>
      </c>
      <c r="K678" s="279" t="s">
        <v>531</v>
      </c>
      <c r="L678" s="279" t="s">
        <v>532</v>
      </c>
      <c r="M678" s="279" t="s">
        <v>3784</v>
      </c>
      <c r="N678" s="279" t="s">
        <v>534</v>
      </c>
    </row>
    <row r="679" spans="1:14" ht="66">
      <c r="A679" s="268" t="str">
        <f t="shared" si="10"/>
        <v>Managing Change|Unit Head/Specialist|2</v>
      </c>
      <c r="B679" s="223" t="s">
        <v>501</v>
      </c>
      <c r="C679" s="227" t="s">
        <v>13</v>
      </c>
      <c r="D679" s="227">
        <v>2</v>
      </c>
      <c r="E679" s="227" t="s">
        <v>545</v>
      </c>
      <c r="F679" s="227">
        <v>3</v>
      </c>
      <c r="G679" s="279" t="s">
        <v>3785</v>
      </c>
      <c r="H679" s="279" t="s">
        <v>3786</v>
      </c>
      <c r="I679" s="279" t="s">
        <v>3787</v>
      </c>
      <c r="J679" s="279" t="s">
        <v>3788</v>
      </c>
      <c r="K679" s="279" t="s">
        <v>531</v>
      </c>
      <c r="L679" s="279" t="s">
        <v>532</v>
      </c>
      <c r="M679" s="279" t="s">
        <v>3789</v>
      </c>
      <c r="N679" s="279" t="s">
        <v>534</v>
      </c>
    </row>
    <row r="680" spans="1:14" ht="82.5">
      <c r="A680" s="268" t="str">
        <f t="shared" si="10"/>
        <v>Managing Change|Unit Head/Specialist|3</v>
      </c>
      <c r="B680" s="223" t="s">
        <v>501</v>
      </c>
      <c r="C680" s="227" t="s">
        <v>13</v>
      </c>
      <c r="D680" s="227">
        <v>3</v>
      </c>
      <c r="E680" s="227" t="s">
        <v>563</v>
      </c>
      <c r="F680" s="227">
        <v>1</v>
      </c>
      <c r="G680" s="279" t="s">
        <v>3790</v>
      </c>
      <c r="H680" s="279" t="s">
        <v>3791</v>
      </c>
      <c r="I680" s="279" t="s">
        <v>3792</v>
      </c>
      <c r="J680" s="279" t="s">
        <v>3793</v>
      </c>
      <c r="K680" s="279" t="s">
        <v>531</v>
      </c>
      <c r="L680" s="279" t="s">
        <v>532</v>
      </c>
      <c r="M680" s="279" t="s">
        <v>3794</v>
      </c>
      <c r="N680" s="279" t="s">
        <v>534</v>
      </c>
    </row>
    <row r="681" spans="1:14" ht="82.5">
      <c r="A681" s="268" t="str">
        <f t="shared" si="10"/>
        <v>Managing Change|Unit Head/Specialist|3</v>
      </c>
      <c r="B681" s="223" t="s">
        <v>501</v>
      </c>
      <c r="C681" s="227" t="s">
        <v>13</v>
      </c>
      <c r="D681" s="227">
        <v>3</v>
      </c>
      <c r="E681" s="227" t="s">
        <v>563</v>
      </c>
      <c r="F681" s="227">
        <v>2</v>
      </c>
      <c r="G681" s="279" t="s">
        <v>3795</v>
      </c>
      <c r="H681" s="279" t="s">
        <v>3796</v>
      </c>
      <c r="I681" s="279" t="s">
        <v>3797</v>
      </c>
      <c r="J681" s="279" t="s">
        <v>757</v>
      </c>
      <c r="K681" s="279" t="s">
        <v>531</v>
      </c>
      <c r="L681" s="279" t="s">
        <v>532</v>
      </c>
      <c r="M681" s="279" t="s">
        <v>3798</v>
      </c>
      <c r="N681" s="279" t="s">
        <v>562</v>
      </c>
    </row>
    <row r="682" spans="1:14" ht="99">
      <c r="A682" s="268" t="str">
        <f t="shared" si="10"/>
        <v>Managing Change|Unit Head/Specialist|3</v>
      </c>
      <c r="B682" s="223" t="s">
        <v>501</v>
      </c>
      <c r="C682" s="227" t="s">
        <v>13</v>
      </c>
      <c r="D682" s="227">
        <v>3</v>
      </c>
      <c r="E682" s="227" t="s">
        <v>563</v>
      </c>
      <c r="F682" s="227">
        <v>3</v>
      </c>
      <c r="G682" s="279" t="s">
        <v>3799</v>
      </c>
      <c r="H682" s="279" t="s">
        <v>3800</v>
      </c>
      <c r="I682" s="279" t="s">
        <v>3801</v>
      </c>
      <c r="J682" s="279" t="s">
        <v>948</v>
      </c>
      <c r="K682" s="279" t="s">
        <v>531</v>
      </c>
      <c r="L682" s="279" t="s">
        <v>532</v>
      </c>
      <c r="M682" s="279" t="s">
        <v>3802</v>
      </c>
      <c r="N682" s="279" t="s">
        <v>580</v>
      </c>
    </row>
    <row r="683" spans="1:14" ht="82.5">
      <c r="A683" s="268" t="str">
        <f t="shared" si="10"/>
        <v>Managing Change|Unit Head/Specialist|4</v>
      </c>
      <c r="B683" s="223" t="s">
        <v>501</v>
      </c>
      <c r="C683" s="227" t="s">
        <v>13</v>
      </c>
      <c r="D683" s="227">
        <v>4</v>
      </c>
      <c r="E683" s="227" t="s">
        <v>581</v>
      </c>
      <c r="F683" s="227">
        <v>1</v>
      </c>
      <c r="G683" s="279" t="s">
        <v>3803</v>
      </c>
      <c r="H683" s="279" t="s">
        <v>3804</v>
      </c>
      <c r="I683" s="279" t="s">
        <v>3805</v>
      </c>
      <c r="J683" s="279" t="s">
        <v>3806</v>
      </c>
      <c r="K683" s="279" t="s">
        <v>531</v>
      </c>
      <c r="L683" s="279" t="s">
        <v>532</v>
      </c>
      <c r="M683" s="279" t="s">
        <v>3807</v>
      </c>
      <c r="N683" s="279" t="s">
        <v>562</v>
      </c>
    </row>
    <row r="684" spans="1:14" ht="66">
      <c r="A684" s="268" t="str">
        <f t="shared" si="10"/>
        <v>Managing Change|Unit Head/Specialist|4</v>
      </c>
      <c r="B684" s="223" t="s">
        <v>501</v>
      </c>
      <c r="C684" s="227" t="s">
        <v>13</v>
      </c>
      <c r="D684" s="227">
        <v>4</v>
      </c>
      <c r="E684" s="227" t="s">
        <v>581</v>
      </c>
      <c r="F684" s="227">
        <v>2</v>
      </c>
      <c r="G684" s="279" t="s">
        <v>3808</v>
      </c>
      <c r="H684" s="279" t="s">
        <v>3809</v>
      </c>
      <c r="I684" s="279" t="s">
        <v>3810</v>
      </c>
      <c r="J684" s="279" t="s">
        <v>3811</v>
      </c>
      <c r="K684" s="279" t="s">
        <v>531</v>
      </c>
      <c r="L684" s="279" t="s">
        <v>532</v>
      </c>
      <c r="M684" s="279" t="s">
        <v>3812</v>
      </c>
      <c r="N684" s="279" t="s">
        <v>562</v>
      </c>
    </row>
    <row r="685" spans="1:14" ht="82.5">
      <c r="A685" s="268" t="str">
        <f t="shared" si="10"/>
        <v>Managing Change|Unit Head/Specialist|4</v>
      </c>
      <c r="B685" s="223" t="s">
        <v>501</v>
      </c>
      <c r="C685" s="227" t="s">
        <v>13</v>
      </c>
      <c r="D685" s="227">
        <v>4</v>
      </c>
      <c r="E685" s="227" t="s">
        <v>581</v>
      </c>
      <c r="F685" s="227">
        <v>3</v>
      </c>
      <c r="G685" s="279" t="s">
        <v>3813</v>
      </c>
      <c r="H685" s="279" t="s">
        <v>3814</v>
      </c>
      <c r="I685" s="279" t="s">
        <v>3815</v>
      </c>
      <c r="J685" s="279" t="s">
        <v>3816</v>
      </c>
      <c r="K685" s="279" t="s">
        <v>531</v>
      </c>
      <c r="L685" s="279" t="s">
        <v>532</v>
      </c>
      <c r="M685" s="279" t="s">
        <v>3817</v>
      </c>
      <c r="N685" s="279" t="s">
        <v>562</v>
      </c>
    </row>
    <row r="686" spans="1:14" ht="82.5">
      <c r="A686" s="268" t="str">
        <f t="shared" si="10"/>
        <v>Managing Change|Department Head|1</v>
      </c>
      <c r="B686" s="223" t="s">
        <v>501</v>
      </c>
      <c r="C686" s="227" t="s">
        <v>719</v>
      </c>
      <c r="D686" s="226">
        <v>1</v>
      </c>
      <c r="E686" s="227" t="s">
        <v>526</v>
      </c>
      <c r="F686" s="227">
        <v>1</v>
      </c>
      <c r="G686" s="276" t="s">
        <v>3818</v>
      </c>
      <c r="H686" s="276" t="s">
        <v>3819</v>
      </c>
      <c r="I686" s="276" t="s">
        <v>3820</v>
      </c>
      <c r="J686" s="276" t="s">
        <v>3821</v>
      </c>
      <c r="K686" s="276" t="s">
        <v>531</v>
      </c>
      <c r="L686" s="276" t="s">
        <v>532</v>
      </c>
      <c r="M686" s="276" t="s">
        <v>3822</v>
      </c>
      <c r="N686" s="276" t="s">
        <v>534</v>
      </c>
    </row>
    <row r="687" spans="1:14" ht="82.5">
      <c r="A687" s="268" t="str">
        <f t="shared" si="10"/>
        <v>Managing Change|Department Head|1</v>
      </c>
      <c r="B687" s="223" t="s">
        <v>501</v>
      </c>
      <c r="C687" s="227" t="s">
        <v>719</v>
      </c>
      <c r="D687" s="226">
        <v>1</v>
      </c>
      <c r="E687" s="227" t="s">
        <v>526</v>
      </c>
      <c r="F687" s="227">
        <v>2</v>
      </c>
      <c r="G687" s="276" t="s">
        <v>3823</v>
      </c>
      <c r="H687" s="276" t="s">
        <v>3824</v>
      </c>
      <c r="I687" s="276" t="s">
        <v>3825</v>
      </c>
      <c r="J687" s="276" t="s">
        <v>3826</v>
      </c>
      <c r="K687" s="276" t="s">
        <v>531</v>
      </c>
      <c r="L687" s="276" t="s">
        <v>532</v>
      </c>
      <c r="M687" s="276" t="s">
        <v>3827</v>
      </c>
      <c r="N687" s="276" t="s">
        <v>534</v>
      </c>
    </row>
    <row r="688" spans="1:14" ht="82.5">
      <c r="A688" s="268" t="str">
        <f t="shared" si="10"/>
        <v>Managing Change|Department Head|1</v>
      </c>
      <c r="B688" s="223" t="s">
        <v>501</v>
      </c>
      <c r="C688" s="227" t="s">
        <v>719</v>
      </c>
      <c r="D688" s="226">
        <v>1</v>
      </c>
      <c r="E688" s="227" t="s">
        <v>526</v>
      </c>
      <c r="F688" s="227">
        <v>3</v>
      </c>
      <c r="G688" s="276" t="s">
        <v>3828</v>
      </c>
      <c r="H688" s="276" t="s">
        <v>3829</v>
      </c>
      <c r="I688" s="276" t="s">
        <v>3830</v>
      </c>
      <c r="J688" s="276" t="s">
        <v>3831</v>
      </c>
      <c r="K688" s="276" t="s">
        <v>531</v>
      </c>
      <c r="L688" s="276" t="s">
        <v>532</v>
      </c>
      <c r="M688" s="276" t="s">
        <v>3832</v>
      </c>
      <c r="N688" s="276" t="s">
        <v>562</v>
      </c>
    </row>
    <row r="689" spans="1:14" ht="66">
      <c r="A689" s="268" t="str">
        <f t="shared" si="10"/>
        <v>Managing Change|Department Head|2</v>
      </c>
      <c r="B689" s="223" t="s">
        <v>501</v>
      </c>
      <c r="C689" s="227" t="s">
        <v>719</v>
      </c>
      <c r="D689" s="227">
        <v>2</v>
      </c>
      <c r="E689" s="227" t="s">
        <v>545</v>
      </c>
      <c r="F689" s="227">
        <v>1</v>
      </c>
      <c r="G689" s="276" t="s">
        <v>3833</v>
      </c>
      <c r="H689" s="276" t="s">
        <v>3834</v>
      </c>
      <c r="I689" s="276" t="s">
        <v>3835</v>
      </c>
      <c r="J689" s="276" t="s">
        <v>3836</v>
      </c>
      <c r="K689" s="276" t="s">
        <v>531</v>
      </c>
      <c r="L689" s="276" t="s">
        <v>532</v>
      </c>
      <c r="M689" s="276" t="s">
        <v>3837</v>
      </c>
      <c r="N689" s="276" t="s">
        <v>551</v>
      </c>
    </row>
    <row r="690" spans="1:14" ht="82.5">
      <c r="A690" s="268" t="str">
        <f t="shared" si="10"/>
        <v>Managing Change|Department Head|2</v>
      </c>
      <c r="B690" s="223" t="s">
        <v>501</v>
      </c>
      <c r="C690" s="227" t="s">
        <v>719</v>
      </c>
      <c r="D690" s="227">
        <v>2</v>
      </c>
      <c r="E690" s="227" t="s">
        <v>545</v>
      </c>
      <c r="F690" s="227">
        <v>2</v>
      </c>
      <c r="G690" s="276" t="s">
        <v>3838</v>
      </c>
      <c r="H690" s="276" t="s">
        <v>3839</v>
      </c>
      <c r="I690" s="276" t="s">
        <v>3840</v>
      </c>
      <c r="J690" s="276" t="s">
        <v>3841</v>
      </c>
      <c r="K690" s="276" t="s">
        <v>531</v>
      </c>
      <c r="L690" s="276" t="s">
        <v>532</v>
      </c>
      <c r="M690" s="276" t="s">
        <v>3842</v>
      </c>
      <c r="N690" s="276" t="s">
        <v>534</v>
      </c>
    </row>
    <row r="691" spans="1:14" ht="66">
      <c r="A691" s="268" t="str">
        <f t="shared" si="10"/>
        <v>Managing Change|Department Head|2</v>
      </c>
      <c r="B691" s="223" t="s">
        <v>501</v>
      </c>
      <c r="C691" s="227" t="s">
        <v>719</v>
      </c>
      <c r="D691" s="227">
        <v>2</v>
      </c>
      <c r="E691" s="227" t="s">
        <v>545</v>
      </c>
      <c r="F691" s="227">
        <v>3</v>
      </c>
      <c r="G691" s="276" t="s">
        <v>3843</v>
      </c>
      <c r="H691" s="276" t="s">
        <v>3844</v>
      </c>
      <c r="I691" s="276" t="s">
        <v>3845</v>
      </c>
      <c r="J691" s="276" t="s">
        <v>3846</v>
      </c>
      <c r="K691" s="276" t="s">
        <v>531</v>
      </c>
      <c r="L691" s="276" t="s">
        <v>532</v>
      </c>
      <c r="M691" s="276" t="s">
        <v>3847</v>
      </c>
      <c r="N691" s="276" t="s">
        <v>1050</v>
      </c>
    </row>
    <row r="692" spans="1:14" ht="66">
      <c r="A692" s="268" t="str">
        <f t="shared" si="10"/>
        <v>Managing Change|Department Head|3</v>
      </c>
      <c r="B692" s="223" t="s">
        <v>501</v>
      </c>
      <c r="C692" s="227" t="s">
        <v>719</v>
      </c>
      <c r="D692" s="227">
        <v>3</v>
      </c>
      <c r="E692" s="227" t="s">
        <v>563</v>
      </c>
      <c r="F692" s="227">
        <v>1</v>
      </c>
      <c r="G692" s="276" t="s">
        <v>3848</v>
      </c>
      <c r="H692" s="276" t="s">
        <v>3849</v>
      </c>
      <c r="I692" s="276" t="s">
        <v>3850</v>
      </c>
      <c r="J692" s="276" t="s">
        <v>3851</v>
      </c>
      <c r="K692" s="276" t="s">
        <v>531</v>
      </c>
      <c r="L692" s="276" t="s">
        <v>532</v>
      </c>
      <c r="M692" s="276" t="s">
        <v>3852</v>
      </c>
      <c r="N692" s="276" t="s">
        <v>3853</v>
      </c>
    </row>
    <row r="693" spans="1:14" ht="82.5">
      <c r="A693" s="268" t="str">
        <f t="shared" si="10"/>
        <v>Managing Change|Department Head|3</v>
      </c>
      <c r="B693" s="223" t="s">
        <v>501</v>
      </c>
      <c r="C693" s="227" t="s">
        <v>719</v>
      </c>
      <c r="D693" s="227">
        <v>3</v>
      </c>
      <c r="E693" s="227" t="s">
        <v>563</v>
      </c>
      <c r="F693" s="227">
        <v>2</v>
      </c>
      <c r="G693" s="276" t="s">
        <v>3854</v>
      </c>
      <c r="H693" s="276" t="s">
        <v>3855</v>
      </c>
      <c r="I693" s="276" t="s">
        <v>3856</v>
      </c>
      <c r="J693" s="276" t="s">
        <v>757</v>
      </c>
      <c r="K693" s="276" t="s">
        <v>531</v>
      </c>
      <c r="L693" s="276" t="s">
        <v>532</v>
      </c>
      <c r="M693" s="276" t="s">
        <v>3857</v>
      </c>
      <c r="N693" s="276" t="s">
        <v>562</v>
      </c>
    </row>
    <row r="694" spans="1:14" ht="115.5">
      <c r="A694" s="268" t="str">
        <f t="shared" si="10"/>
        <v>Managing Change|Department Head|3</v>
      </c>
      <c r="B694" s="223" t="s">
        <v>501</v>
      </c>
      <c r="C694" s="227" t="s">
        <v>719</v>
      </c>
      <c r="D694" s="227">
        <v>3</v>
      </c>
      <c r="E694" s="227" t="s">
        <v>563</v>
      </c>
      <c r="F694" s="227">
        <v>3</v>
      </c>
      <c r="G694" s="276" t="s">
        <v>3858</v>
      </c>
      <c r="H694" s="276" t="s">
        <v>3859</v>
      </c>
      <c r="I694" s="276" t="s">
        <v>3860</v>
      </c>
      <c r="J694" s="276" t="s">
        <v>3683</v>
      </c>
      <c r="K694" s="276" t="s">
        <v>531</v>
      </c>
      <c r="L694" s="276" t="s">
        <v>532</v>
      </c>
      <c r="M694" s="276" t="s">
        <v>3861</v>
      </c>
      <c r="N694" s="276" t="s">
        <v>580</v>
      </c>
    </row>
    <row r="695" spans="1:14" ht="82.5">
      <c r="A695" s="268" t="str">
        <f t="shared" si="10"/>
        <v>Managing Change|Department Head|4</v>
      </c>
      <c r="B695" s="223" t="s">
        <v>501</v>
      </c>
      <c r="C695" s="227" t="s">
        <v>719</v>
      </c>
      <c r="D695" s="227">
        <v>4</v>
      </c>
      <c r="E695" s="227" t="s">
        <v>581</v>
      </c>
      <c r="F695" s="227">
        <v>1</v>
      </c>
      <c r="G695" s="276" t="s">
        <v>3862</v>
      </c>
      <c r="H695" s="276" t="s">
        <v>3863</v>
      </c>
      <c r="I695" s="276" t="s">
        <v>3864</v>
      </c>
      <c r="J695" s="276" t="s">
        <v>3865</v>
      </c>
      <c r="K695" s="276" t="s">
        <v>531</v>
      </c>
      <c r="L695" s="276" t="s">
        <v>532</v>
      </c>
      <c r="M695" s="276" t="s">
        <v>3866</v>
      </c>
      <c r="N695" s="276" t="s">
        <v>562</v>
      </c>
    </row>
    <row r="696" spans="1:14" ht="66">
      <c r="A696" s="268" t="str">
        <f t="shared" si="10"/>
        <v>Managing Change|Department Head|4</v>
      </c>
      <c r="B696" s="223" t="s">
        <v>501</v>
      </c>
      <c r="C696" s="227" t="s">
        <v>719</v>
      </c>
      <c r="D696" s="227">
        <v>4</v>
      </c>
      <c r="E696" s="227" t="s">
        <v>581</v>
      </c>
      <c r="F696" s="227">
        <v>2</v>
      </c>
      <c r="G696" s="276" t="s">
        <v>3867</v>
      </c>
      <c r="H696" s="276" t="s">
        <v>3868</v>
      </c>
      <c r="I696" s="276" t="s">
        <v>3869</v>
      </c>
      <c r="J696" s="276" t="s">
        <v>3870</v>
      </c>
      <c r="K696" s="276" t="s">
        <v>531</v>
      </c>
      <c r="L696" s="276" t="s">
        <v>532</v>
      </c>
      <c r="M696" s="276" t="s">
        <v>3871</v>
      </c>
      <c r="N696" s="276" t="s">
        <v>3872</v>
      </c>
    </row>
    <row r="697" spans="1:14" ht="82.5">
      <c r="A697" s="268" t="str">
        <f t="shared" si="10"/>
        <v>Managing Change|Department Head|4</v>
      </c>
      <c r="B697" s="223" t="s">
        <v>501</v>
      </c>
      <c r="C697" s="227" t="s">
        <v>719</v>
      </c>
      <c r="D697" s="227">
        <v>4</v>
      </c>
      <c r="E697" s="227" t="s">
        <v>581</v>
      </c>
      <c r="F697" s="227">
        <v>3</v>
      </c>
      <c r="G697" s="276" t="s">
        <v>3873</v>
      </c>
      <c r="H697" s="276" t="s">
        <v>3874</v>
      </c>
      <c r="I697" s="276" t="s">
        <v>3875</v>
      </c>
      <c r="J697" s="276" t="s">
        <v>3876</v>
      </c>
      <c r="K697" s="276" t="s">
        <v>531</v>
      </c>
      <c r="L697" s="276" t="s">
        <v>532</v>
      </c>
      <c r="M697" s="276" t="s">
        <v>3877</v>
      </c>
      <c r="N697" s="276" t="s">
        <v>3878</v>
      </c>
    </row>
    <row r="698" spans="1:14" ht="82.5">
      <c r="A698" s="268" t="str">
        <f t="shared" si="10"/>
        <v>Managing Change|Division Head|1</v>
      </c>
      <c r="B698" s="223" t="s">
        <v>501</v>
      </c>
      <c r="C698" s="227" t="s">
        <v>778</v>
      </c>
      <c r="D698" s="226">
        <v>1</v>
      </c>
      <c r="E698" s="227" t="s">
        <v>526</v>
      </c>
      <c r="F698" s="227">
        <v>1</v>
      </c>
      <c r="G698" s="276" t="s">
        <v>3879</v>
      </c>
      <c r="H698" s="276" t="s">
        <v>3880</v>
      </c>
      <c r="I698" s="276" t="s">
        <v>3881</v>
      </c>
      <c r="J698" s="276" t="s">
        <v>3882</v>
      </c>
      <c r="K698" s="276" t="s">
        <v>531</v>
      </c>
      <c r="L698" s="276" t="s">
        <v>532</v>
      </c>
      <c r="M698" s="276" t="s">
        <v>3883</v>
      </c>
      <c r="N698" s="276" t="s">
        <v>534</v>
      </c>
    </row>
    <row r="699" spans="1:14" ht="82.5">
      <c r="A699" s="268" t="str">
        <f t="shared" si="10"/>
        <v>Managing Change|Division Head|1</v>
      </c>
      <c r="B699" s="223" t="s">
        <v>501</v>
      </c>
      <c r="C699" s="227" t="s">
        <v>778</v>
      </c>
      <c r="D699" s="226">
        <v>1</v>
      </c>
      <c r="E699" s="227" t="s">
        <v>526</v>
      </c>
      <c r="F699" s="227">
        <v>2</v>
      </c>
      <c r="G699" s="276" t="s">
        <v>3884</v>
      </c>
      <c r="H699" s="276" t="s">
        <v>3885</v>
      </c>
      <c r="I699" s="276" t="s">
        <v>3886</v>
      </c>
      <c r="J699" s="276" t="s">
        <v>3887</v>
      </c>
      <c r="K699" s="276" t="s">
        <v>531</v>
      </c>
      <c r="L699" s="276" t="s">
        <v>532</v>
      </c>
      <c r="M699" s="276" t="s">
        <v>3888</v>
      </c>
      <c r="N699" s="276" t="s">
        <v>534</v>
      </c>
    </row>
    <row r="700" spans="1:14" ht="66">
      <c r="A700" s="268" t="str">
        <f t="shared" si="10"/>
        <v>Managing Change|Division Head|1</v>
      </c>
      <c r="B700" s="223" t="s">
        <v>501</v>
      </c>
      <c r="C700" s="227" t="s">
        <v>778</v>
      </c>
      <c r="D700" s="226">
        <v>1</v>
      </c>
      <c r="E700" s="227" t="s">
        <v>526</v>
      </c>
      <c r="F700" s="227">
        <v>3</v>
      </c>
      <c r="G700" s="276" t="s">
        <v>3889</v>
      </c>
      <c r="H700" s="276" t="s">
        <v>3890</v>
      </c>
      <c r="I700" s="276" t="s">
        <v>3891</v>
      </c>
      <c r="J700" s="276" t="s">
        <v>3892</v>
      </c>
      <c r="K700" s="276" t="s">
        <v>531</v>
      </c>
      <c r="L700" s="276" t="s">
        <v>532</v>
      </c>
      <c r="M700" s="276" t="s">
        <v>3893</v>
      </c>
      <c r="N700" s="276" t="s">
        <v>534</v>
      </c>
    </row>
    <row r="701" spans="1:14" ht="66">
      <c r="A701" s="268" t="str">
        <f t="shared" si="10"/>
        <v>Managing Change|Division Head|2</v>
      </c>
      <c r="B701" s="223" t="s">
        <v>501</v>
      </c>
      <c r="C701" s="227" t="s">
        <v>778</v>
      </c>
      <c r="D701" s="227">
        <v>2</v>
      </c>
      <c r="E701" s="227" t="s">
        <v>545</v>
      </c>
      <c r="F701" s="227">
        <v>1</v>
      </c>
      <c r="G701" s="276" t="s">
        <v>3894</v>
      </c>
      <c r="H701" s="276" t="s">
        <v>3895</v>
      </c>
      <c r="I701" s="276" t="s">
        <v>3896</v>
      </c>
      <c r="J701" s="276" t="s">
        <v>3897</v>
      </c>
      <c r="K701" s="276" t="s">
        <v>531</v>
      </c>
      <c r="L701" s="276" t="s">
        <v>532</v>
      </c>
      <c r="M701" s="276" t="s">
        <v>3898</v>
      </c>
      <c r="N701" s="276" t="s">
        <v>3899</v>
      </c>
    </row>
    <row r="702" spans="1:14" ht="66">
      <c r="A702" s="268" t="str">
        <f t="shared" si="10"/>
        <v>Managing Change|Division Head|2</v>
      </c>
      <c r="B702" s="223" t="s">
        <v>501</v>
      </c>
      <c r="C702" s="227" t="s">
        <v>778</v>
      </c>
      <c r="D702" s="227">
        <v>2</v>
      </c>
      <c r="E702" s="227" t="s">
        <v>545</v>
      </c>
      <c r="F702" s="227">
        <v>2</v>
      </c>
      <c r="G702" s="276" t="s">
        <v>3900</v>
      </c>
      <c r="H702" s="276" t="s">
        <v>3901</v>
      </c>
      <c r="I702" s="276" t="s">
        <v>3902</v>
      </c>
      <c r="J702" s="276" t="s">
        <v>3903</v>
      </c>
      <c r="K702" s="276" t="s">
        <v>531</v>
      </c>
      <c r="L702" s="276" t="s">
        <v>532</v>
      </c>
      <c r="M702" s="276" t="s">
        <v>3904</v>
      </c>
      <c r="N702" s="276" t="s">
        <v>3905</v>
      </c>
    </row>
    <row r="703" spans="1:14" ht="66">
      <c r="A703" s="268" t="str">
        <f t="shared" si="10"/>
        <v>Managing Change|Division Head|2</v>
      </c>
      <c r="B703" s="223" t="s">
        <v>501</v>
      </c>
      <c r="C703" s="227" t="s">
        <v>778</v>
      </c>
      <c r="D703" s="227">
        <v>2</v>
      </c>
      <c r="E703" s="227" t="s">
        <v>545</v>
      </c>
      <c r="F703" s="227">
        <v>3</v>
      </c>
      <c r="G703" s="276" t="s">
        <v>3906</v>
      </c>
      <c r="H703" s="276" t="s">
        <v>3907</v>
      </c>
      <c r="I703" s="276" t="s">
        <v>3908</v>
      </c>
      <c r="J703" s="276" t="s">
        <v>3909</v>
      </c>
      <c r="K703" s="276" t="s">
        <v>531</v>
      </c>
      <c r="L703" s="276" t="s">
        <v>532</v>
      </c>
      <c r="M703" s="276" t="s">
        <v>3910</v>
      </c>
      <c r="N703" s="276" t="s">
        <v>2715</v>
      </c>
    </row>
    <row r="704" spans="1:14" ht="99">
      <c r="A704" s="268" t="str">
        <f t="shared" si="10"/>
        <v>Managing Change|Division Head|3</v>
      </c>
      <c r="B704" s="223" t="s">
        <v>501</v>
      </c>
      <c r="C704" s="227" t="s">
        <v>778</v>
      </c>
      <c r="D704" s="227">
        <v>3</v>
      </c>
      <c r="E704" s="227" t="s">
        <v>563</v>
      </c>
      <c r="F704" s="227">
        <v>1</v>
      </c>
      <c r="G704" s="276" t="s">
        <v>3911</v>
      </c>
      <c r="H704" s="276" t="s">
        <v>3912</v>
      </c>
      <c r="I704" s="276" t="s">
        <v>3913</v>
      </c>
      <c r="J704" s="276" t="s">
        <v>3914</v>
      </c>
      <c r="K704" s="276" t="s">
        <v>531</v>
      </c>
      <c r="L704" s="276" t="s">
        <v>532</v>
      </c>
      <c r="M704" s="276" t="s">
        <v>3915</v>
      </c>
      <c r="N704" s="276" t="s">
        <v>534</v>
      </c>
    </row>
    <row r="705" spans="1:14" ht="99">
      <c r="A705" s="268" t="str">
        <f t="shared" si="10"/>
        <v>Managing Change|Division Head|3</v>
      </c>
      <c r="B705" s="223" t="s">
        <v>501</v>
      </c>
      <c r="C705" s="227" t="s">
        <v>778</v>
      </c>
      <c r="D705" s="227">
        <v>3</v>
      </c>
      <c r="E705" s="227" t="s">
        <v>563</v>
      </c>
      <c r="F705" s="227">
        <v>2</v>
      </c>
      <c r="G705" s="276" t="s">
        <v>3916</v>
      </c>
      <c r="H705" s="276" t="s">
        <v>3917</v>
      </c>
      <c r="I705" s="276" t="s">
        <v>3918</v>
      </c>
      <c r="J705" s="276" t="s">
        <v>757</v>
      </c>
      <c r="K705" s="276" t="s">
        <v>531</v>
      </c>
      <c r="L705" s="276" t="s">
        <v>532</v>
      </c>
      <c r="M705" s="276" t="s">
        <v>3919</v>
      </c>
      <c r="N705" s="276" t="s">
        <v>2861</v>
      </c>
    </row>
    <row r="706" spans="1:14" ht="115.5">
      <c r="A706" s="268" t="str">
        <f t="shared" si="10"/>
        <v>Managing Change|Division Head|3</v>
      </c>
      <c r="B706" s="223" t="s">
        <v>501</v>
      </c>
      <c r="C706" s="227" t="s">
        <v>778</v>
      </c>
      <c r="D706" s="227">
        <v>3</v>
      </c>
      <c r="E706" s="227" t="s">
        <v>563</v>
      </c>
      <c r="F706" s="227">
        <v>3</v>
      </c>
      <c r="G706" s="276" t="s">
        <v>3920</v>
      </c>
      <c r="H706" s="276" t="s">
        <v>3921</v>
      </c>
      <c r="I706" s="276" t="s">
        <v>3922</v>
      </c>
      <c r="J706" s="276" t="s">
        <v>1189</v>
      </c>
      <c r="K706" s="276" t="s">
        <v>531</v>
      </c>
      <c r="L706" s="276" t="s">
        <v>532</v>
      </c>
      <c r="M706" s="276" t="s">
        <v>3923</v>
      </c>
      <c r="N706" s="276" t="s">
        <v>580</v>
      </c>
    </row>
    <row r="707" spans="1:14" ht="82.5">
      <c r="A707" s="268" t="str">
        <f t="shared" ref="A707:A770" si="11">B707 &amp; "|" &amp; C707 &amp; "|" &amp; D707</f>
        <v>Managing Change|Division Head|4</v>
      </c>
      <c r="B707" s="223" t="s">
        <v>501</v>
      </c>
      <c r="C707" s="227" t="s">
        <v>778</v>
      </c>
      <c r="D707" s="227">
        <v>4</v>
      </c>
      <c r="E707" s="227" t="s">
        <v>581</v>
      </c>
      <c r="F707" s="227">
        <v>1</v>
      </c>
      <c r="G707" s="276" t="s">
        <v>3924</v>
      </c>
      <c r="H707" s="276" t="s">
        <v>3925</v>
      </c>
      <c r="I707" s="276" t="s">
        <v>3926</v>
      </c>
      <c r="J707" s="276" t="s">
        <v>3927</v>
      </c>
      <c r="K707" s="276" t="s">
        <v>531</v>
      </c>
      <c r="L707" s="276" t="s">
        <v>532</v>
      </c>
      <c r="M707" s="276" t="s">
        <v>3928</v>
      </c>
      <c r="N707" s="276" t="s">
        <v>3929</v>
      </c>
    </row>
    <row r="708" spans="1:14" ht="82.5">
      <c r="A708" s="268" t="str">
        <f t="shared" si="11"/>
        <v>Managing Change|Division Head|4</v>
      </c>
      <c r="B708" s="223" t="s">
        <v>501</v>
      </c>
      <c r="C708" s="227" t="s">
        <v>778</v>
      </c>
      <c r="D708" s="227">
        <v>4</v>
      </c>
      <c r="E708" s="227" t="s">
        <v>581</v>
      </c>
      <c r="F708" s="227">
        <v>2</v>
      </c>
      <c r="G708" s="276" t="s">
        <v>3930</v>
      </c>
      <c r="H708" s="276" t="s">
        <v>3931</v>
      </c>
      <c r="I708" s="276" t="s">
        <v>3932</v>
      </c>
      <c r="J708" s="276" t="s">
        <v>3933</v>
      </c>
      <c r="K708" s="276" t="s">
        <v>531</v>
      </c>
      <c r="L708" s="276" t="s">
        <v>532</v>
      </c>
      <c r="M708" s="276" t="s">
        <v>3934</v>
      </c>
      <c r="N708" s="276" t="s">
        <v>3935</v>
      </c>
    </row>
    <row r="709" spans="1:14" ht="99">
      <c r="A709" s="268" t="str">
        <f t="shared" si="11"/>
        <v>Managing Change|Division Head|4</v>
      </c>
      <c r="B709" s="223" t="s">
        <v>501</v>
      </c>
      <c r="C709" s="227" t="s">
        <v>778</v>
      </c>
      <c r="D709" s="227">
        <v>4</v>
      </c>
      <c r="E709" s="227" t="s">
        <v>581</v>
      </c>
      <c r="F709" s="227">
        <v>3</v>
      </c>
      <c r="G709" s="276" t="s">
        <v>3936</v>
      </c>
      <c r="H709" s="276" t="s">
        <v>3937</v>
      </c>
      <c r="I709" s="276" t="s">
        <v>3938</v>
      </c>
      <c r="J709" s="276" t="s">
        <v>3939</v>
      </c>
      <c r="K709" s="276" t="s">
        <v>531</v>
      </c>
      <c r="L709" s="276" t="s">
        <v>532</v>
      </c>
      <c r="M709" s="276" t="s">
        <v>3940</v>
      </c>
      <c r="N709" s="276" t="s">
        <v>3935</v>
      </c>
    </row>
    <row r="710" spans="1:14" ht="82.5">
      <c r="A710" s="268" t="str">
        <f t="shared" si="11"/>
        <v>Managing Change|Director|1</v>
      </c>
      <c r="B710" s="223" t="s">
        <v>501</v>
      </c>
      <c r="C710" s="227" t="s">
        <v>838</v>
      </c>
      <c r="D710" s="226">
        <v>1</v>
      </c>
      <c r="E710" s="227" t="s">
        <v>526</v>
      </c>
      <c r="F710" s="227">
        <v>1</v>
      </c>
      <c r="G710" s="279" t="s">
        <v>3941</v>
      </c>
      <c r="H710" s="279" t="s">
        <v>3942</v>
      </c>
      <c r="I710" s="279" t="s">
        <v>3943</v>
      </c>
      <c r="J710" s="279" t="s">
        <v>3944</v>
      </c>
      <c r="K710" s="279" t="s">
        <v>531</v>
      </c>
      <c r="L710" s="279" t="s">
        <v>532</v>
      </c>
      <c r="M710" s="279" t="s">
        <v>3945</v>
      </c>
      <c r="N710" s="279" t="s">
        <v>534</v>
      </c>
    </row>
    <row r="711" spans="1:14" ht="82.5">
      <c r="A711" s="268" t="str">
        <f t="shared" si="11"/>
        <v>Managing Change|Director|1</v>
      </c>
      <c r="B711" s="223" t="s">
        <v>501</v>
      </c>
      <c r="C711" s="227" t="s">
        <v>838</v>
      </c>
      <c r="D711" s="226">
        <v>1</v>
      </c>
      <c r="E711" s="227" t="s">
        <v>526</v>
      </c>
      <c r="F711" s="227">
        <v>2</v>
      </c>
      <c r="G711" s="279" t="s">
        <v>3946</v>
      </c>
      <c r="H711" s="279" t="s">
        <v>3947</v>
      </c>
      <c r="I711" s="279" t="s">
        <v>3948</v>
      </c>
      <c r="J711" s="279" t="s">
        <v>3949</v>
      </c>
      <c r="K711" s="279" t="s">
        <v>531</v>
      </c>
      <c r="L711" s="279" t="s">
        <v>532</v>
      </c>
      <c r="M711" s="279" t="s">
        <v>3950</v>
      </c>
      <c r="N711" s="279" t="s">
        <v>534</v>
      </c>
    </row>
    <row r="712" spans="1:14" ht="66">
      <c r="A712" s="268" t="str">
        <f t="shared" si="11"/>
        <v>Managing Change|Director|1</v>
      </c>
      <c r="B712" s="223" t="s">
        <v>501</v>
      </c>
      <c r="C712" s="227" t="s">
        <v>838</v>
      </c>
      <c r="D712" s="226">
        <v>1</v>
      </c>
      <c r="E712" s="227" t="s">
        <v>526</v>
      </c>
      <c r="F712" s="227">
        <v>3</v>
      </c>
      <c r="G712" s="279" t="s">
        <v>3951</v>
      </c>
      <c r="H712" s="279" t="s">
        <v>3952</v>
      </c>
      <c r="I712" s="279" t="s">
        <v>3953</v>
      </c>
      <c r="J712" s="279" t="s">
        <v>3954</v>
      </c>
      <c r="K712" s="279" t="s">
        <v>531</v>
      </c>
      <c r="L712" s="279" t="s">
        <v>532</v>
      </c>
      <c r="M712" s="279" t="s">
        <v>3955</v>
      </c>
      <c r="N712" s="279" t="s">
        <v>534</v>
      </c>
    </row>
    <row r="713" spans="1:14" ht="66">
      <c r="A713" s="268" t="str">
        <f t="shared" si="11"/>
        <v>Managing Change|Director|2</v>
      </c>
      <c r="B713" s="223" t="s">
        <v>501</v>
      </c>
      <c r="C713" s="227" t="s">
        <v>838</v>
      </c>
      <c r="D713" s="227">
        <v>2</v>
      </c>
      <c r="E713" s="227" t="s">
        <v>545</v>
      </c>
      <c r="F713" s="227">
        <v>1</v>
      </c>
      <c r="G713" s="279" t="s">
        <v>3956</v>
      </c>
      <c r="H713" s="279" t="s">
        <v>3957</v>
      </c>
      <c r="I713" s="279" t="s">
        <v>3958</v>
      </c>
      <c r="J713" s="279" t="s">
        <v>3959</v>
      </c>
      <c r="K713" s="279" t="s">
        <v>531</v>
      </c>
      <c r="L713" s="279" t="s">
        <v>532</v>
      </c>
      <c r="M713" s="279" t="s">
        <v>3960</v>
      </c>
      <c r="N713" s="279" t="s">
        <v>862</v>
      </c>
    </row>
    <row r="714" spans="1:14" ht="66">
      <c r="A714" s="268" t="str">
        <f t="shared" si="11"/>
        <v>Managing Change|Director|2</v>
      </c>
      <c r="B714" s="223" t="s">
        <v>501</v>
      </c>
      <c r="C714" s="227" t="s">
        <v>838</v>
      </c>
      <c r="D714" s="227">
        <v>2</v>
      </c>
      <c r="E714" s="227" t="s">
        <v>545</v>
      </c>
      <c r="F714" s="227">
        <v>2</v>
      </c>
      <c r="G714" s="279" t="s">
        <v>3961</v>
      </c>
      <c r="H714" s="279" t="s">
        <v>3962</v>
      </c>
      <c r="I714" s="279" t="s">
        <v>3963</v>
      </c>
      <c r="J714" s="279" t="s">
        <v>3964</v>
      </c>
      <c r="K714" s="279" t="s">
        <v>531</v>
      </c>
      <c r="L714" s="279" t="s">
        <v>532</v>
      </c>
      <c r="M714" s="279" t="s">
        <v>3965</v>
      </c>
      <c r="N714" s="279" t="s">
        <v>856</v>
      </c>
    </row>
    <row r="715" spans="1:14" ht="66">
      <c r="A715" s="268" t="str">
        <f t="shared" si="11"/>
        <v>Managing Change|Director|2</v>
      </c>
      <c r="B715" s="223" t="s">
        <v>501</v>
      </c>
      <c r="C715" s="227" t="s">
        <v>838</v>
      </c>
      <c r="D715" s="227">
        <v>2</v>
      </c>
      <c r="E715" s="227" t="s">
        <v>545</v>
      </c>
      <c r="F715" s="227">
        <v>3</v>
      </c>
      <c r="G715" s="279" t="s">
        <v>3966</v>
      </c>
      <c r="H715" s="279" t="s">
        <v>3967</v>
      </c>
      <c r="I715" s="279" t="s">
        <v>3968</v>
      </c>
      <c r="J715" s="279" t="s">
        <v>3969</v>
      </c>
      <c r="K715" s="279" t="s">
        <v>531</v>
      </c>
      <c r="L715" s="279" t="s">
        <v>532</v>
      </c>
      <c r="M715" s="279" t="s">
        <v>3970</v>
      </c>
      <c r="N715" s="279" t="s">
        <v>856</v>
      </c>
    </row>
    <row r="716" spans="1:14" ht="99">
      <c r="A716" s="268" t="str">
        <f t="shared" si="11"/>
        <v>Managing Change|Director|3</v>
      </c>
      <c r="B716" s="223" t="s">
        <v>501</v>
      </c>
      <c r="C716" s="227" t="s">
        <v>838</v>
      </c>
      <c r="D716" s="227">
        <v>3</v>
      </c>
      <c r="E716" s="227" t="s">
        <v>563</v>
      </c>
      <c r="F716" s="227">
        <v>1</v>
      </c>
      <c r="G716" s="279" t="s">
        <v>3971</v>
      </c>
      <c r="H716" s="279" t="s">
        <v>3972</v>
      </c>
      <c r="I716" s="279" t="s">
        <v>3973</v>
      </c>
      <c r="J716" s="279" t="s">
        <v>3974</v>
      </c>
      <c r="K716" s="279" t="s">
        <v>531</v>
      </c>
      <c r="L716" s="279" t="s">
        <v>532</v>
      </c>
      <c r="M716" s="279" t="s">
        <v>3975</v>
      </c>
      <c r="N716" s="279" t="s">
        <v>534</v>
      </c>
    </row>
    <row r="717" spans="1:14" ht="82.5">
      <c r="A717" s="268" t="str">
        <f t="shared" si="11"/>
        <v>Managing Change|Director|3</v>
      </c>
      <c r="B717" s="223" t="s">
        <v>501</v>
      </c>
      <c r="C717" s="227" t="s">
        <v>838</v>
      </c>
      <c r="D717" s="227">
        <v>3</v>
      </c>
      <c r="E717" s="227" t="s">
        <v>563</v>
      </c>
      <c r="F717" s="227">
        <v>2</v>
      </c>
      <c r="G717" s="279" t="s">
        <v>3976</v>
      </c>
      <c r="H717" s="279" t="s">
        <v>3977</v>
      </c>
      <c r="I717" s="279" t="s">
        <v>3978</v>
      </c>
      <c r="J717" s="279" t="s">
        <v>3979</v>
      </c>
      <c r="K717" s="279" t="s">
        <v>531</v>
      </c>
      <c r="L717" s="279" t="s">
        <v>532</v>
      </c>
      <c r="M717" s="279" t="s">
        <v>3980</v>
      </c>
      <c r="N717" s="279" t="s">
        <v>534</v>
      </c>
    </row>
    <row r="718" spans="1:14" ht="115.5">
      <c r="A718" s="268" t="str">
        <f t="shared" si="11"/>
        <v>Managing Change|Director|3</v>
      </c>
      <c r="B718" s="223" t="s">
        <v>501</v>
      </c>
      <c r="C718" s="227" t="s">
        <v>838</v>
      </c>
      <c r="D718" s="227">
        <v>3</v>
      </c>
      <c r="E718" s="227" t="s">
        <v>563</v>
      </c>
      <c r="F718" s="227">
        <v>3</v>
      </c>
      <c r="G718" s="279" t="s">
        <v>3981</v>
      </c>
      <c r="H718" s="279" t="s">
        <v>3982</v>
      </c>
      <c r="I718" s="279" t="s">
        <v>3983</v>
      </c>
      <c r="J718" s="279" t="s">
        <v>1189</v>
      </c>
      <c r="K718" s="279" t="s">
        <v>531</v>
      </c>
      <c r="L718" s="279" t="s">
        <v>532</v>
      </c>
      <c r="M718" s="279" t="s">
        <v>3984</v>
      </c>
      <c r="N718" s="279" t="s">
        <v>580</v>
      </c>
    </row>
    <row r="719" spans="1:14" ht="82.5">
      <c r="A719" s="268" t="str">
        <f t="shared" si="11"/>
        <v>Managing Change|Director|4</v>
      </c>
      <c r="B719" s="223" t="s">
        <v>501</v>
      </c>
      <c r="C719" s="227" t="s">
        <v>838</v>
      </c>
      <c r="D719" s="227">
        <v>4</v>
      </c>
      <c r="E719" s="227" t="s">
        <v>581</v>
      </c>
      <c r="F719" s="227">
        <v>1</v>
      </c>
      <c r="G719" s="279" t="s">
        <v>3985</v>
      </c>
      <c r="H719" s="279" t="s">
        <v>3986</v>
      </c>
      <c r="I719" s="279" t="s">
        <v>3987</v>
      </c>
      <c r="J719" s="279" t="s">
        <v>3988</v>
      </c>
      <c r="K719" s="279" t="s">
        <v>531</v>
      </c>
      <c r="L719" s="279" t="s">
        <v>532</v>
      </c>
      <c r="M719" s="279" t="s">
        <v>3989</v>
      </c>
      <c r="N719" s="279" t="s">
        <v>856</v>
      </c>
    </row>
    <row r="720" spans="1:14" ht="82.5">
      <c r="A720" s="268" t="str">
        <f t="shared" si="11"/>
        <v>Managing Change|Director|4</v>
      </c>
      <c r="B720" s="223" t="s">
        <v>501</v>
      </c>
      <c r="C720" s="227" t="s">
        <v>838</v>
      </c>
      <c r="D720" s="227">
        <v>4</v>
      </c>
      <c r="E720" s="227" t="s">
        <v>581</v>
      </c>
      <c r="F720" s="227">
        <v>2</v>
      </c>
      <c r="G720" s="279" t="s">
        <v>3990</v>
      </c>
      <c r="H720" s="279" t="s">
        <v>3991</v>
      </c>
      <c r="I720" s="279" t="s">
        <v>3992</v>
      </c>
      <c r="J720" s="279" t="s">
        <v>3993</v>
      </c>
      <c r="K720" s="279" t="s">
        <v>531</v>
      </c>
      <c r="L720" s="279" t="s">
        <v>532</v>
      </c>
      <c r="M720" s="279" t="s">
        <v>3994</v>
      </c>
      <c r="N720" s="279" t="s">
        <v>3995</v>
      </c>
    </row>
    <row r="721" spans="1:14" ht="82.5">
      <c r="A721" s="268" t="str">
        <f t="shared" si="11"/>
        <v>Managing Change|Director|4</v>
      </c>
      <c r="B721" s="223" t="s">
        <v>501</v>
      </c>
      <c r="C721" s="227" t="s">
        <v>838</v>
      </c>
      <c r="D721" s="227">
        <v>4</v>
      </c>
      <c r="E721" s="227" t="s">
        <v>581</v>
      </c>
      <c r="F721" s="227">
        <v>3</v>
      </c>
      <c r="G721" s="279" t="s">
        <v>3996</v>
      </c>
      <c r="H721" s="279" t="s">
        <v>3997</v>
      </c>
      <c r="I721" s="279" t="s">
        <v>3998</v>
      </c>
      <c r="J721" s="279" t="s">
        <v>3999</v>
      </c>
      <c r="K721" s="279" t="s">
        <v>531</v>
      </c>
      <c r="L721" s="279" t="s">
        <v>532</v>
      </c>
      <c r="M721" s="279" t="s">
        <v>4000</v>
      </c>
      <c r="N721" s="279" t="s">
        <v>856</v>
      </c>
    </row>
    <row r="722" spans="1:14" ht="82.5">
      <c r="A722" s="268" t="str">
        <f t="shared" si="11"/>
        <v>Planning &amp; Organizing|Officer|1</v>
      </c>
      <c r="B722" s="223" t="s">
        <v>497</v>
      </c>
      <c r="C722" s="197" t="s">
        <v>4</v>
      </c>
      <c r="D722" s="197">
        <v>1</v>
      </c>
      <c r="E722" s="79" t="s">
        <v>526</v>
      </c>
      <c r="F722" s="79">
        <v>1</v>
      </c>
      <c r="G722" s="276" t="s">
        <v>4001</v>
      </c>
      <c r="H722" s="276" t="s">
        <v>4002</v>
      </c>
      <c r="I722" s="276" t="s">
        <v>4003</v>
      </c>
      <c r="J722" s="276" t="s">
        <v>4004</v>
      </c>
      <c r="K722" s="276" t="s">
        <v>531</v>
      </c>
      <c r="L722" s="276" t="s">
        <v>532</v>
      </c>
      <c r="M722" s="276" t="s">
        <v>4005</v>
      </c>
      <c r="N722" s="276" t="s">
        <v>534</v>
      </c>
    </row>
    <row r="723" spans="1:14" ht="49.5">
      <c r="A723" s="268" t="str">
        <f t="shared" si="11"/>
        <v>Planning &amp; Organizing|Officer|1</v>
      </c>
      <c r="B723" s="223" t="s">
        <v>497</v>
      </c>
      <c r="C723" s="197" t="s">
        <v>4</v>
      </c>
      <c r="D723" s="197">
        <v>1</v>
      </c>
      <c r="E723" s="79" t="s">
        <v>526</v>
      </c>
      <c r="F723" s="79">
        <v>2</v>
      </c>
      <c r="G723" s="276" t="s">
        <v>4006</v>
      </c>
      <c r="H723" s="276" t="s">
        <v>4007</v>
      </c>
      <c r="I723" s="276" t="s">
        <v>4008</v>
      </c>
      <c r="J723" s="276" t="s">
        <v>4009</v>
      </c>
      <c r="K723" s="276" t="s">
        <v>531</v>
      </c>
      <c r="L723" s="276" t="s">
        <v>532</v>
      </c>
      <c r="M723" s="276" t="s">
        <v>4010</v>
      </c>
      <c r="N723" s="276" t="s">
        <v>534</v>
      </c>
    </row>
    <row r="724" spans="1:14" ht="49.5">
      <c r="A724" s="268" t="str">
        <f t="shared" si="11"/>
        <v>Planning &amp; Organizing|Officer|1</v>
      </c>
      <c r="B724" s="223" t="s">
        <v>497</v>
      </c>
      <c r="C724" s="197" t="s">
        <v>4</v>
      </c>
      <c r="D724" s="197">
        <v>1</v>
      </c>
      <c r="E724" s="79" t="s">
        <v>526</v>
      </c>
      <c r="F724" s="79">
        <v>3</v>
      </c>
      <c r="G724" s="276" t="s">
        <v>4011</v>
      </c>
      <c r="H724" s="276" t="s">
        <v>4012</v>
      </c>
      <c r="I724" s="276" t="s">
        <v>4013</v>
      </c>
      <c r="J724" s="276" t="s">
        <v>4014</v>
      </c>
      <c r="K724" s="276" t="s">
        <v>531</v>
      </c>
      <c r="L724" s="276" t="s">
        <v>532</v>
      </c>
      <c r="M724" s="276" t="s">
        <v>4015</v>
      </c>
      <c r="N724" s="276" t="s">
        <v>534</v>
      </c>
    </row>
    <row r="725" spans="1:14" ht="33">
      <c r="A725" s="268" t="str">
        <f t="shared" si="11"/>
        <v>Planning &amp; Organizing|Officer|2</v>
      </c>
      <c r="B725" s="223" t="s">
        <v>497</v>
      </c>
      <c r="C725" s="197" t="s">
        <v>4</v>
      </c>
      <c r="D725" s="79">
        <v>2</v>
      </c>
      <c r="E725" s="79" t="s">
        <v>545</v>
      </c>
      <c r="F725" s="79">
        <v>1</v>
      </c>
      <c r="G725" s="276" t="s">
        <v>4016</v>
      </c>
      <c r="H725" s="276" t="s">
        <v>4017</v>
      </c>
      <c r="I725" s="276" t="s">
        <v>4018</v>
      </c>
      <c r="J725" s="276" t="s">
        <v>1592</v>
      </c>
      <c r="K725" s="276" t="s">
        <v>531</v>
      </c>
      <c r="L725" s="276" t="s">
        <v>532</v>
      </c>
      <c r="M725" s="276" t="s">
        <v>4019</v>
      </c>
      <c r="N725" s="276" t="s">
        <v>677</v>
      </c>
    </row>
    <row r="726" spans="1:14" ht="33">
      <c r="A726" s="268" t="str">
        <f t="shared" si="11"/>
        <v>Planning &amp; Organizing|Officer|2</v>
      </c>
      <c r="B726" s="223" t="s">
        <v>497</v>
      </c>
      <c r="C726" s="197" t="s">
        <v>4</v>
      </c>
      <c r="D726" s="79">
        <v>2</v>
      </c>
      <c r="E726" s="79" t="s">
        <v>545</v>
      </c>
      <c r="F726" s="79">
        <v>2</v>
      </c>
      <c r="G726" s="276" t="s">
        <v>4020</v>
      </c>
      <c r="H726" s="276" t="s">
        <v>4021</v>
      </c>
      <c r="I726" s="276" t="s">
        <v>4022</v>
      </c>
      <c r="J726" s="276" t="s">
        <v>4023</v>
      </c>
      <c r="K726" s="276" t="s">
        <v>531</v>
      </c>
      <c r="L726" s="276" t="s">
        <v>532</v>
      </c>
      <c r="M726" s="276" t="s">
        <v>4024</v>
      </c>
      <c r="N726" s="276" t="s">
        <v>677</v>
      </c>
    </row>
    <row r="727" spans="1:14" ht="33">
      <c r="A727" s="268" t="str">
        <f t="shared" si="11"/>
        <v>Planning &amp; Organizing|Officer|2</v>
      </c>
      <c r="B727" s="223" t="s">
        <v>497</v>
      </c>
      <c r="C727" s="197" t="s">
        <v>4</v>
      </c>
      <c r="D727" s="79">
        <v>2</v>
      </c>
      <c r="E727" s="79" t="s">
        <v>545</v>
      </c>
      <c r="F727" s="79">
        <v>3</v>
      </c>
      <c r="G727" s="276" t="s">
        <v>4025</v>
      </c>
      <c r="H727" s="276" t="s">
        <v>4026</v>
      </c>
      <c r="I727" s="276" t="s">
        <v>4027</v>
      </c>
      <c r="J727" s="276" t="s">
        <v>4028</v>
      </c>
      <c r="K727" s="276" t="s">
        <v>531</v>
      </c>
      <c r="L727" s="276" t="s">
        <v>532</v>
      </c>
      <c r="M727" s="276" t="s">
        <v>4029</v>
      </c>
      <c r="N727" s="276" t="s">
        <v>677</v>
      </c>
    </row>
    <row r="728" spans="1:14" ht="49.5">
      <c r="A728" s="268" t="str">
        <f t="shared" si="11"/>
        <v>Planning &amp; Organizing|Officer|3</v>
      </c>
      <c r="B728" s="223" t="s">
        <v>497</v>
      </c>
      <c r="C728" s="197" t="s">
        <v>4</v>
      </c>
      <c r="D728" s="79">
        <v>3</v>
      </c>
      <c r="E728" s="79" t="s">
        <v>563</v>
      </c>
      <c r="F728" s="79">
        <v>1</v>
      </c>
      <c r="G728" s="276" t="s">
        <v>4030</v>
      </c>
      <c r="H728" s="276" t="s">
        <v>4031</v>
      </c>
      <c r="I728" s="276" t="s">
        <v>4032</v>
      </c>
      <c r="J728" s="276" t="s">
        <v>4033</v>
      </c>
      <c r="K728" s="276" t="s">
        <v>531</v>
      </c>
      <c r="L728" s="276" t="s">
        <v>532</v>
      </c>
      <c r="M728" s="276" t="s">
        <v>4034</v>
      </c>
      <c r="N728" s="276" t="s">
        <v>4035</v>
      </c>
    </row>
    <row r="729" spans="1:14" ht="49.5">
      <c r="A729" s="268" t="str">
        <f t="shared" si="11"/>
        <v>Planning &amp; Organizing|Officer|3</v>
      </c>
      <c r="B729" s="223" t="s">
        <v>497</v>
      </c>
      <c r="C729" s="197" t="s">
        <v>4</v>
      </c>
      <c r="D729" s="79">
        <v>3</v>
      </c>
      <c r="E729" s="79" t="s">
        <v>563</v>
      </c>
      <c r="F729" s="79">
        <v>2</v>
      </c>
      <c r="G729" s="276" t="s">
        <v>4036</v>
      </c>
      <c r="H729" s="276" t="s">
        <v>4037</v>
      </c>
      <c r="I729" s="276" t="s">
        <v>4038</v>
      </c>
      <c r="J729" s="276" t="s">
        <v>4039</v>
      </c>
      <c r="K729" s="276" t="s">
        <v>531</v>
      </c>
      <c r="L729" s="276" t="s">
        <v>532</v>
      </c>
      <c r="M729" s="276" t="s">
        <v>4040</v>
      </c>
      <c r="N729" s="276" t="s">
        <v>1799</v>
      </c>
    </row>
    <row r="730" spans="1:14" ht="33">
      <c r="A730" s="268" t="str">
        <f t="shared" si="11"/>
        <v>Planning &amp; Organizing|Officer|3</v>
      </c>
      <c r="B730" s="223" t="s">
        <v>497</v>
      </c>
      <c r="C730" s="197" t="s">
        <v>4</v>
      </c>
      <c r="D730" s="79">
        <v>3</v>
      </c>
      <c r="E730" s="79" t="s">
        <v>563</v>
      </c>
      <c r="F730" s="79">
        <v>3</v>
      </c>
      <c r="G730" s="276" t="s">
        <v>4041</v>
      </c>
      <c r="H730" s="276" t="s">
        <v>4042</v>
      </c>
      <c r="I730" s="276" t="s">
        <v>4043</v>
      </c>
      <c r="J730" s="276" t="s">
        <v>4044</v>
      </c>
      <c r="K730" s="276" t="s">
        <v>531</v>
      </c>
      <c r="L730" s="276" t="s">
        <v>532</v>
      </c>
      <c r="M730" s="276" t="s">
        <v>4045</v>
      </c>
      <c r="N730" s="276" t="s">
        <v>4046</v>
      </c>
    </row>
    <row r="731" spans="1:14" ht="49.5">
      <c r="A731" s="268" t="str">
        <f t="shared" si="11"/>
        <v>Planning &amp; Organizing|Officer|4</v>
      </c>
      <c r="B731" s="223" t="s">
        <v>497</v>
      </c>
      <c r="C731" s="197" t="s">
        <v>4</v>
      </c>
      <c r="D731" s="79">
        <v>4</v>
      </c>
      <c r="E731" s="79" t="s">
        <v>581</v>
      </c>
      <c r="F731" s="79">
        <v>1</v>
      </c>
      <c r="G731" s="276" t="s">
        <v>4047</v>
      </c>
      <c r="H731" s="276" t="s">
        <v>1925</v>
      </c>
      <c r="I731" s="276" t="s">
        <v>4048</v>
      </c>
      <c r="J731" s="276" t="s">
        <v>4049</v>
      </c>
      <c r="K731" s="276" t="s">
        <v>531</v>
      </c>
      <c r="L731" s="276" t="s">
        <v>532</v>
      </c>
      <c r="M731" s="276" t="s">
        <v>4050</v>
      </c>
      <c r="N731" s="276" t="s">
        <v>562</v>
      </c>
    </row>
    <row r="732" spans="1:14" ht="49.5">
      <c r="A732" s="268" t="str">
        <f t="shared" si="11"/>
        <v>Planning &amp; Organizing|Officer|4</v>
      </c>
      <c r="B732" s="223" t="s">
        <v>497</v>
      </c>
      <c r="C732" s="197" t="s">
        <v>4</v>
      </c>
      <c r="D732" s="79">
        <v>4</v>
      </c>
      <c r="E732" s="79" t="s">
        <v>581</v>
      </c>
      <c r="F732" s="79">
        <v>2</v>
      </c>
      <c r="G732" s="276" t="s">
        <v>4051</v>
      </c>
      <c r="H732" s="276" t="s">
        <v>4052</v>
      </c>
      <c r="I732" s="276" t="s">
        <v>4053</v>
      </c>
      <c r="J732" s="276" t="s">
        <v>4054</v>
      </c>
      <c r="K732" s="276" t="s">
        <v>531</v>
      </c>
      <c r="L732" s="276" t="s">
        <v>532</v>
      </c>
      <c r="M732" s="276" t="s">
        <v>4055</v>
      </c>
      <c r="N732" s="276" t="s">
        <v>562</v>
      </c>
    </row>
    <row r="733" spans="1:14" ht="49.5">
      <c r="A733" s="268" t="str">
        <f t="shared" si="11"/>
        <v>Planning &amp; Organizing|Officer|4</v>
      </c>
      <c r="B733" s="223" t="s">
        <v>497</v>
      </c>
      <c r="C733" s="197" t="s">
        <v>4</v>
      </c>
      <c r="D733" s="79">
        <v>4</v>
      </c>
      <c r="E733" s="79" t="s">
        <v>581</v>
      </c>
      <c r="F733" s="79">
        <v>3</v>
      </c>
      <c r="G733" s="276" t="s">
        <v>4056</v>
      </c>
      <c r="H733" s="276" t="s">
        <v>4057</v>
      </c>
      <c r="I733" s="276" t="s">
        <v>4058</v>
      </c>
      <c r="J733" s="276" t="s">
        <v>4059</v>
      </c>
      <c r="K733" s="276" t="s">
        <v>531</v>
      </c>
      <c r="L733" s="276" t="s">
        <v>532</v>
      </c>
      <c r="M733" s="276" t="s">
        <v>4060</v>
      </c>
      <c r="N733" s="276" t="s">
        <v>4061</v>
      </c>
    </row>
    <row r="734" spans="1:14" ht="66">
      <c r="A734" s="268" t="str">
        <f t="shared" si="11"/>
        <v>Planning &amp; Organizing|Analyst|1</v>
      </c>
      <c r="B734" s="223" t="s">
        <v>497</v>
      </c>
      <c r="C734" s="197" t="s">
        <v>6</v>
      </c>
      <c r="D734" s="197">
        <v>1</v>
      </c>
      <c r="E734" s="79" t="s">
        <v>526</v>
      </c>
      <c r="F734" s="79">
        <v>1</v>
      </c>
      <c r="G734" s="276" t="s">
        <v>4062</v>
      </c>
      <c r="H734" s="276" t="s">
        <v>4063</v>
      </c>
      <c r="I734" s="276" t="s">
        <v>4064</v>
      </c>
      <c r="J734" s="276" t="s">
        <v>4065</v>
      </c>
      <c r="K734" s="276" t="s">
        <v>531</v>
      </c>
      <c r="L734" s="276" t="s">
        <v>532</v>
      </c>
      <c r="M734" s="276" t="s">
        <v>4066</v>
      </c>
      <c r="N734" s="276" t="s">
        <v>534</v>
      </c>
    </row>
    <row r="735" spans="1:14" ht="66">
      <c r="A735" s="268" t="str">
        <f t="shared" si="11"/>
        <v>Planning &amp; Organizing|Analyst|1</v>
      </c>
      <c r="B735" s="223" t="s">
        <v>497</v>
      </c>
      <c r="C735" s="197" t="s">
        <v>6</v>
      </c>
      <c r="D735" s="197">
        <v>1</v>
      </c>
      <c r="E735" s="79" t="s">
        <v>526</v>
      </c>
      <c r="F735" s="79">
        <v>2</v>
      </c>
      <c r="G735" s="276" t="s">
        <v>4067</v>
      </c>
      <c r="H735" s="276" t="s">
        <v>4068</v>
      </c>
      <c r="I735" s="276" t="s">
        <v>4069</v>
      </c>
      <c r="J735" s="276" t="s">
        <v>4070</v>
      </c>
      <c r="K735" s="276" t="s">
        <v>531</v>
      </c>
      <c r="L735" s="276" t="s">
        <v>532</v>
      </c>
      <c r="M735" s="276" t="s">
        <v>4071</v>
      </c>
      <c r="N735" s="276" t="s">
        <v>534</v>
      </c>
    </row>
    <row r="736" spans="1:14" ht="49.5">
      <c r="A736" s="268" t="str">
        <f t="shared" si="11"/>
        <v>Planning &amp; Organizing|Analyst|1</v>
      </c>
      <c r="B736" s="223" t="s">
        <v>497</v>
      </c>
      <c r="C736" s="197" t="s">
        <v>6</v>
      </c>
      <c r="D736" s="197">
        <v>1</v>
      </c>
      <c r="E736" s="79" t="s">
        <v>526</v>
      </c>
      <c r="F736" s="79">
        <v>3</v>
      </c>
      <c r="G736" s="276" t="s">
        <v>3366</v>
      </c>
      <c r="H736" s="276" t="s">
        <v>4072</v>
      </c>
      <c r="I736" s="276" t="s">
        <v>4073</v>
      </c>
      <c r="J736" s="276" t="s">
        <v>1582</v>
      </c>
      <c r="K736" s="276" t="s">
        <v>531</v>
      </c>
      <c r="L736" s="276" t="s">
        <v>532</v>
      </c>
      <c r="M736" s="276" t="s">
        <v>4074</v>
      </c>
      <c r="N736" s="276" t="s">
        <v>534</v>
      </c>
    </row>
    <row r="737" spans="1:14" ht="33">
      <c r="A737" s="268" t="str">
        <f t="shared" si="11"/>
        <v>Planning &amp; Organizing|Analyst|2</v>
      </c>
      <c r="B737" s="223" t="s">
        <v>497</v>
      </c>
      <c r="C737" s="197" t="s">
        <v>6</v>
      </c>
      <c r="D737" s="79">
        <v>2</v>
      </c>
      <c r="E737" s="79" t="s">
        <v>545</v>
      </c>
      <c r="F737" s="79">
        <v>1</v>
      </c>
      <c r="G737" s="276" t="s">
        <v>4075</v>
      </c>
      <c r="H737" s="276" t="s">
        <v>4076</v>
      </c>
      <c r="I737" s="276" t="s">
        <v>4077</v>
      </c>
      <c r="J737" s="276" t="s">
        <v>4078</v>
      </c>
      <c r="K737" s="276" t="s">
        <v>531</v>
      </c>
      <c r="L737" s="276" t="s">
        <v>532</v>
      </c>
      <c r="M737" s="276" t="s">
        <v>4079</v>
      </c>
      <c r="N737" s="276" t="s">
        <v>677</v>
      </c>
    </row>
    <row r="738" spans="1:14" ht="49.5">
      <c r="A738" s="268" t="str">
        <f t="shared" si="11"/>
        <v>Planning &amp; Organizing|Analyst|2</v>
      </c>
      <c r="B738" s="223" t="s">
        <v>497</v>
      </c>
      <c r="C738" s="197" t="s">
        <v>6</v>
      </c>
      <c r="D738" s="79">
        <v>2</v>
      </c>
      <c r="E738" s="79" t="s">
        <v>545</v>
      </c>
      <c r="F738" s="79">
        <v>2</v>
      </c>
      <c r="G738" s="276" t="s">
        <v>4080</v>
      </c>
      <c r="H738" s="276" t="s">
        <v>4081</v>
      </c>
      <c r="I738" s="276" t="s">
        <v>4082</v>
      </c>
      <c r="J738" s="276" t="s">
        <v>3373</v>
      </c>
      <c r="K738" s="276" t="s">
        <v>531</v>
      </c>
      <c r="L738" s="276" t="s">
        <v>532</v>
      </c>
      <c r="M738" s="276" t="s">
        <v>4083</v>
      </c>
      <c r="N738" s="276" t="s">
        <v>551</v>
      </c>
    </row>
    <row r="739" spans="1:14" ht="49.5">
      <c r="A739" s="268" t="str">
        <f t="shared" si="11"/>
        <v>Planning &amp; Organizing|Analyst|2</v>
      </c>
      <c r="B739" s="223" t="s">
        <v>497</v>
      </c>
      <c r="C739" s="197" t="s">
        <v>6</v>
      </c>
      <c r="D739" s="79">
        <v>2</v>
      </c>
      <c r="E739" s="79" t="s">
        <v>545</v>
      </c>
      <c r="F739" s="79">
        <v>3</v>
      </c>
      <c r="G739" s="276" t="s">
        <v>4084</v>
      </c>
      <c r="H739" s="276" t="s">
        <v>4085</v>
      </c>
      <c r="I739" s="276" t="s">
        <v>4086</v>
      </c>
      <c r="J739" s="276" t="s">
        <v>4087</v>
      </c>
      <c r="K739" s="276" t="s">
        <v>531</v>
      </c>
      <c r="L739" s="276" t="s">
        <v>532</v>
      </c>
      <c r="M739" s="276" t="s">
        <v>4088</v>
      </c>
      <c r="N739" s="276" t="s">
        <v>534</v>
      </c>
    </row>
    <row r="740" spans="1:14" ht="49.5">
      <c r="A740" s="268" t="str">
        <f t="shared" si="11"/>
        <v>Planning &amp; Organizing|Analyst|3</v>
      </c>
      <c r="B740" s="223" t="s">
        <v>497</v>
      </c>
      <c r="C740" s="197" t="s">
        <v>6</v>
      </c>
      <c r="D740" s="79">
        <v>3</v>
      </c>
      <c r="E740" s="79" t="s">
        <v>563</v>
      </c>
      <c r="F740" s="79">
        <v>1</v>
      </c>
      <c r="G740" s="276" t="s">
        <v>4089</v>
      </c>
      <c r="H740" s="276" t="s">
        <v>4090</v>
      </c>
      <c r="I740" s="276" t="s">
        <v>4091</v>
      </c>
      <c r="J740" s="276" t="s">
        <v>4092</v>
      </c>
      <c r="K740" s="276" t="s">
        <v>531</v>
      </c>
      <c r="L740" s="276" t="s">
        <v>532</v>
      </c>
      <c r="M740" s="276" t="s">
        <v>4093</v>
      </c>
      <c r="N740" s="276" t="s">
        <v>1609</v>
      </c>
    </row>
    <row r="741" spans="1:14" ht="49.5">
      <c r="A741" s="268" t="str">
        <f t="shared" si="11"/>
        <v>Planning &amp; Organizing|Analyst|3</v>
      </c>
      <c r="B741" s="223" t="s">
        <v>497</v>
      </c>
      <c r="C741" s="197" t="s">
        <v>6</v>
      </c>
      <c r="D741" s="79">
        <v>3</v>
      </c>
      <c r="E741" s="79" t="s">
        <v>563</v>
      </c>
      <c r="F741" s="79">
        <v>2</v>
      </c>
      <c r="G741" s="276" t="s">
        <v>996</v>
      </c>
      <c r="H741" s="276" t="s">
        <v>4094</v>
      </c>
      <c r="I741" s="276" t="s">
        <v>4095</v>
      </c>
      <c r="J741" s="276" t="s">
        <v>812</v>
      </c>
      <c r="K741" s="276" t="s">
        <v>531</v>
      </c>
      <c r="L741" s="276" t="s">
        <v>532</v>
      </c>
      <c r="M741" s="276" t="s">
        <v>4096</v>
      </c>
      <c r="N741" s="276" t="s">
        <v>534</v>
      </c>
    </row>
    <row r="742" spans="1:14" ht="49.5">
      <c r="A742" s="268" t="str">
        <f t="shared" si="11"/>
        <v>Planning &amp; Organizing|Analyst|3</v>
      </c>
      <c r="B742" s="223" t="s">
        <v>497</v>
      </c>
      <c r="C742" s="197" t="s">
        <v>6</v>
      </c>
      <c r="D742" s="79">
        <v>3</v>
      </c>
      <c r="E742" s="79" t="s">
        <v>563</v>
      </c>
      <c r="F742" s="79">
        <v>3</v>
      </c>
      <c r="G742" s="276" t="s">
        <v>4097</v>
      </c>
      <c r="H742" s="276" t="s">
        <v>4098</v>
      </c>
      <c r="I742" s="276" t="s">
        <v>4099</v>
      </c>
      <c r="J742" s="276" t="s">
        <v>4100</v>
      </c>
      <c r="K742" s="276" t="s">
        <v>531</v>
      </c>
      <c r="L742" s="276" t="s">
        <v>532</v>
      </c>
      <c r="M742" s="276" t="s">
        <v>3394</v>
      </c>
      <c r="N742" s="276" t="s">
        <v>2661</v>
      </c>
    </row>
    <row r="743" spans="1:14" ht="49.5">
      <c r="A743" s="268" t="str">
        <f t="shared" si="11"/>
        <v>Planning &amp; Organizing|Analyst|4</v>
      </c>
      <c r="B743" s="223" t="s">
        <v>497</v>
      </c>
      <c r="C743" s="197" t="s">
        <v>6</v>
      </c>
      <c r="D743" s="79">
        <v>4</v>
      </c>
      <c r="E743" s="79" t="s">
        <v>581</v>
      </c>
      <c r="F743" s="79">
        <v>1</v>
      </c>
      <c r="G743" s="276" t="s">
        <v>4101</v>
      </c>
      <c r="H743" s="276" t="s">
        <v>4102</v>
      </c>
      <c r="I743" s="276" t="s">
        <v>4103</v>
      </c>
      <c r="J743" s="276" t="s">
        <v>4104</v>
      </c>
      <c r="K743" s="276" t="s">
        <v>531</v>
      </c>
      <c r="L743" s="276" t="s">
        <v>532</v>
      </c>
      <c r="M743" s="276" t="s">
        <v>4105</v>
      </c>
      <c r="N743" s="276" t="s">
        <v>562</v>
      </c>
    </row>
    <row r="744" spans="1:14" ht="49.5">
      <c r="A744" s="268" t="str">
        <f t="shared" si="11"/>
        <v>Planning &amp; Organizing|Analyst|4</v>
      </c>
      <c r="B744" s="223" t="s">
        <v>497</v>
      </c>
      <c r="C744" s="197" t="s">
        <v>6</v>
      </c>
      <c r="D744" s="79">
        <v>4</v>
      </c>
      <c r="E744" s="79" t="s">
        <v>581</v>
      </c>
      <c r="F744" s="79">
        <v>2</v>
      </c>
      <c r="G744" s="276" t="s">
        <v>4106</v>
      </c>
      <c r="H744" s="276" t="s">
        <v>4107</v>
      </c>
      <c r="I744" s="276" t="s">
        <v>4108</v>
      </c>
      <c r="J744" s="276" t="s">
        <v>4109</v>
      </c>
      <c r="K744" s="276" t="s">
        <v>531</v>
      </c>
      <c r="L744" s="276" t="s">
        <v>532</v>
      </c>
      <c r="M744" s="276" t="s">
        <v>4110</v>
      </c>
      <c r="N744" s="276" t="s">
        <v>562</v>
      </c>
    </row>
    <row r="745" spans="1:14" ht="49.5">
      <c r="A745" s="268" t="str">
        <f t="shared" si="11"/>
        <v>Planning &amp; Organizing|Analyst|4</v>
      </c>
      <c r="B745" s="223" t="s">
        <v>497</v>
      </c>
      <c r="C745" s="197" t="s">
        <v>6</v>
      </c>
      <c r="D745" s="79">
        <v>4</v>
      </c>
      <c r="E745" s="79" t="s">
        <v>581</v>
      </c>
      <c r="F745" s="79">
        <v>3</v>
      </c>
      <c r="G745" s="276" t="s">
        <v>4111</v>
      </c>
      <c r="H745" s="276" t="s">
        <v>4112</v>
      </c>
      <c r="I745" s="276" t="s">
        <v>4113</v>
      </c>
      <c r="J745" s="276" t="s">
        <v>4114</v>
      </c>
      <c r="K745" s="276" t="s">
        <v>531</v>
      </c>
      <c r="L745" s="276" t="s">
        <v>532</v>
      </c>
      <c r="M745" s="276" t="s">
        <v>4115</v>
      </c>
      <c r="N745" s="276" t="s">
        <v>1050</v>
      </c>
    </row>
    <row r="746" spans="1:14" ht="49.5">
      <c r="A746" s="268" t="str">
        <f t="shared" si="11"/>
        <v>Planning &amp; Organizing|Unit Head/Specialist|1</v>
      </c>
      <c r="B746" s="223" t="s">
        <v>497</v>
      </c>
      <c r="C746" s="79" t="s">
        <v>13</v>
      </c>
      <c r="D746" s="197">
        <v>1</v>
      </c>
      <c r="E746" s="79" t="s">
        <v>526</v>
      </c>
      <c r="F746" s="79">
        <v>1</v>
      </c>
      <c r="G746" s="279" t="s">
        <v>4116</v>
      </c>
      <c r="H746" s="279" t="s">
        <v>4117</v>
      </c>
      <c r="I746" s="279" t="s">
        <v>4118</v>
      </c>
      <c r="J746" s="279" t="s">
        <v>4119</v>
      </c>
      <c r="K746" s="279" t="s">
        <v>531</v>
      </c>
      <c r="L746" s="279" t="s">
        <v>532</v>
      </c>
      <c r="M746" s="279" t="s">
        <v>4120</v>
      </c>
      <c r="N746" s="279" t="s">
        <v>534</v>
      </c>
    </row>
    <row r="747" spans="1:14" ht="33">
      <c r="A747" s="268" t="str">
        <f t="shared" si="11"/>
        <v>Planning &amp; Organizing|Unit Head/Specialist|1</v>
      </c>
      <c r="B747" s="223" t="s">
        <v>497</v>
      </c>
      <c r="C747" s="79" t="s">
        <v>13</v>
      </c>
      <c r="D747" s="197">
        <v>1</v>
      </c>
      <c r="E747" s="79" t="s">
        <v>526</v>
      </c>
      <c r="F747" s="79">
        <v>2</v>
      </c>
      <c r="G747" s="279" t="s">
        <v>4121</v>
      </c>
      <c r="H747" s="279" t="s">
        <v>4122</v>
      </c>
      <c r="I747" s="279" t="s">
        <v>4123</v>
      </c>
      <c r="J747" s="279" t="s">
        <v>4124</v>
      </c>
      <c r="K747" s="279" t="s">
        <v>531</v>
      </c>
      <c r="L747" s="279" t="s">
        <v>532</v>
      </c>
      <c r="M747" s="279" t="s">
        <v>4125</v>
      </c>
      <c r="N747" s="279" t="s">
        <v>534</v>
      </c>
    </row>
    <row r="748" spans="1:14" ht="49.5">
      <c r="A748" s="268" t="str">
        <f t="shared" si="11"/>
        <v>Planning &amp; Organizing|Unit Head/Specialist|1</v>
      </c>
      <c r="B748" s="223" t="s">
        <v>497</v>
      </c>
      <c r="C748" s="79" t="s">
        <v>13</v>
      </c>
      <c r="D748" s="197">
        <v>1</v>
      </c>
      <c r="E748" s="79" t="s">
        <v>526</v>
      </c>
      <c r="F748" s="79">
        <v>3</v>
      </c>
      <c r="G748" s="279" t="s">
        <v>4126</v>
      </c>
      <c r="H748" s="279" t="s">
        <v>4127</v>
      </c>
      <c r="I748" s="279" t="s">
        <v>4128</v>
      </c>
      <c r="J748" s="279" t="s">
        <v>4129</v>
      </c>
      <c r="K748" s="279" t="s">
        <v>531</v>
      </c>
      <c r="L748" s="279" t="s">
        <v>532</v>
      </c>
      <c r="M748" s="279" t="s">
        <v>4130</v>
      </c>
      <c r="N748" s="279" t="s">
        <v>562</v>
      </c>
    </row>
    <row r="749" spans="1:14" ht="33">
      <c r="A749" s="268" t="str">
        <f t="shared" si="11"/>
        <v>Planning &amp; Organizing|Unit Head/Specialist|2</v>
      </c>
      <c r="B749" s="223" t="s">
        <v>497</v>
      </c>
      <c r="C749" s="79" t="s">
        <v>13</v>
      </c>
      <c r="D749" s="79">
        <v>2</v>
      </c>
      <c r="E749" s="79" t="s">
        <v>545</v>
      </c>
      <c r="F749" s="79">
        <v>1</v>
      </c>
      <c r="G749" s="279" t="s">
        <v>4131</v>
      </c>
      <c r="H749" s="279" t="s">
        <v>4132</v>
      </c>
      <c r="I749" s="279" t="s">
        <v>4133</v>
      </c>
      <c r="J749" s="279" t="s">
        <v>4134</v>
      </c>
      <c r="K749" s="279" t="s">
        <v>531</v>
      </c>
      <c r="L749" s="279" t="s">
        <v>532</v>
      </c>
      <c r="M749" s="279" t="s">
        <v>4135</v>
      </c>
      <c r="N749" s="279" t="s">
        <v>677</v>
      </c>
    </row>
    <row r="750" spans="1:14" ht="33">
      <c r="A750" s="268" t="str">
        <f t="shared" si="11"/>
        <v>Planning &amp; Organizing|Unit Head/Specialist|2</v>
      </c>
      <c r="B750" s="223" t="s">
        <v>497</v>
      </c>
      <c r="C750" s="79" t="s">
        <v>13</v>
      </c>
      <c r="D750" s="79">
        <v>2</v>
      </c>
      <c r="E750" s="79" t="s">
        <v>545</v>
      </c>
      <c r="F750" s="79">
        <v>2</v>
      </c>
      <c r="G750" s="279" t="s">
        <v>4136</v>
      </c>
      <c r="H750" s="279" t="s">
        <v>4137</v>
      </c>
      <c r="I750" s="279" t="s">
        <v>4138</v>
      </c>
      <c r="J750" s="279" t="s">
        <v>4139</v>
      </c>
      <c r="K750" s="279" t="s">
        <v>531</v>
      </c>
      <c r="L750" s="279" t="s">
        <v>532</v>
      </c>
      <c r="M750" s="279" t="s">
        <v>4140</v>
      </c>
      <c r="N750" s="279" t="s">
        <v>677</v>
      </c>
    </row>
    <row r="751" spans="1:14" ht="49.5">
      <c r="A751" s="268" t="str">
        <f t="shared" si="11"/>
        <v>Planning &amp; Organizing|Unit Head/Specialist|2</v>
      </c>
      <c r="B751" s="223" t="s">
        <v>497</v>
      </c>
      <c r="C751" s="79" t="s">
        <v>13</v>
      </c>
      <c r="D751" s="79">
        <v>2</v>
      </c>
      <c r="E751" s="79" t="s">
        <v>545</v>
      </c>
      <c r="F751" s="79">
        <v>3</v>
      </c>
      <c r="G751" s="279" t="s">
        <v>4141</v>
      </c>
      <c r="H751" s="279" t="s">
        <v>4142</v>
      </c>
      <c r="I751" s="279" t="s">
        <v>4143</v>
      </c>
      <c r="J751" s="279" t="s">
        <v>4144</v>
      </c>
      <c r="K751" s="279" t="s">
        <v>531</v>
      </c>
      <c r="L751" s="279" t="s">
        <v>532</v>
      </c>
      <c r="M751" s="279" t="s">
        <v>4145</v>
      </c>
      <c r="N751" s="279" t="s">
        <v>534</v>
      </c>
    </row>
    <row r="752" spans="1:14" ht="33">
      <c r="A752" s="268" t="str">
        <f t="shared" si="11"/>
        <v>Planning &amp; Organizing|Unit Head/Specialist|3</v>
      </c>
      <c r="B752" s="223" t="s">
        <v>497</v>
      </c>
      <c r="C752" s="79" t="s">
        <v>13</v>
      </c>
      <c r="D752" s="79">
        <v>3</v>
      </c>
      <c r="E752" s="79" t="s">
        <v>563</v>
      </c>
      <c r="F752" s="79">
        <v>1</v>
      </c>
      <c r="G752" s="279" t="s">
        <v>4146</v>
      </c>
      <c r="H752" s="279" t="s">
        <v>4147</v>
      </c>
      <c r="I752" s="279" t="s">
        <v>4148</v>
      </c>
      <c r="J752" s="279" t="s">
        <v>4149</v>
      </c>
      <c r="K752" s="279" t="s">
        <v>531</v>
      </c>
      <c r="L752" s="279" t="s">
        <v>532</v>
      </c>
      <c r="M752" s="279" t="s">
        <v>4150</v>
      </c>
      <c r="N752" s="279" t="s">
        <v>534</v>
      </c>
    </row>
    <row r="753" spans="1:14" ht="33">
      <c r="A753" s="268" t="str">
        <f t="shared" si="11"/>
        <v>Planning &amp; Organizing|Unit Head/Specialist|3</v>
      </c>
      <c r="B753" s="223" t="s">
        <v>497</v>
      </c>
      <c r="C753" s="79" t="s">
        <v>13</v>
      </c>
      <c r="D753" s="79">
        <v>3</v>
      </c>
      <c r="E753" s="79" t="s">
        <v>563</v>
      </c>
      <c r="F753" s="79">
        <v>2</v>
      </c>
      <c r="G753" s="279" t="s">
        <v>4151</v>
      </c>
      <c r="H753" s="279" t="s">
        <v>4152</v>
      </c>
      <c r="I753" s="279" t="s">
        <v>4153</v>
      </c>
      <c r="J753" s="279" t="s">
        <v>4154</v>
      </c>
      <c r="K753" s="279" t="s">
        <v>531</v>
      </c>
      <c r="L753" s="279" t="s">
        <v>532</v>
      </c>
      <c r="M753" s="279" t="s">
        <v>4155</v>
      </c>
      <c r="N753" s="279" t="s">
        <v>2661</v>
      </c>
    </row>
    <row r="754" spans="1:14" ht="33">
      <c r="A754" s="268" t="str">
        <f t="shared" si="11"/>
        <v>Planning &amp; Organizing|Unit Head/Specialist|3</v>
      </c>
      <c r="B754" s="223" t="s">
        <v>497</v>
      </c>
      <c r="C754" s="79" t="s">
        <v>13</v>
      </c>
      <c r="D754" s="79">
        <v>3</v>
      </c>
      <c r="E754" s="79" t="s">
        <v>563</v>
      </c>
      <c r="F754" s="79">
        <v>3</v>
      </c>
      <c r="G754" s="279" t="s">
        <v>4156</v>
      </c>
      <c r="H754" s="279" t="s">
        <v>4157</v>
      </c>
      <c r="I754" s="279" t="s">
        <v>4158</v>
      </c>
      <c r="J754" s="279" t="s">
        <v>4159</v>
      </c>
      <c r="K754" s="279" t="s">
        <v>531</v>
      </c>
      <c r="L754" s="279" t="s">
        <v>532</v>
      </c>
      <c r="M754" s="279" t="s">
        <v>4160</v>
      </c>
      <c r="N754" s="279" t="s">
        <v>562</v>
      </c>
    </row>
    <row r="755" spans="1:14" ht="49.5">
      <c r="A755" s="268" t="str">
        <f t="shared" si="11"/>
        <v>Planning &amp; Organizing|Unit Head/Specialist|4</v>
      </c>
      <c r="B755" s="223" t="s">
        <v>497</v>
      </c>
      <c r="C755" s="79" t="s">
        <v>13</v>
      </c>
      <c r="D755" s="79">
        <v>4</v>
      </c>
      <c r="E755" s="79" t="s">
        <v>581</v>
      </c>
      <c r="F755" s="79">
        <v>1</v>
      </c>
      <c r="G755" s="279" t="s">
        <v>4161</v>
      </c>
      <c r="H755" s="279" t="s">
        <v>4162</v>
      </c>
      <c r="I755" s="279" t="s">
        <v>4163</v>
      </c>
      <c r="J755" s="279" t="s">
        <v>4164</v>
      </c>
      <c r="K755" s="279" t="s">
        <v>531</v>
      </c>
      <c r="L755" s="279" t="s">
        <v>532</v>
      </c>
      <c r="M755" s="279" t="s">
        <v>4165</v>
      </c>
      <c r="N755" s="279" t="s">
        <v>562</v>
      </c>
    </row>
    <row r="756" spans="1:14" ht="49.5">
      <c r="A756" s="268" t="str">
        <f t="shared" si="11"/>
        <v>Planning &amp; Organizing|Unit Head/Specialist|4</v>
      </c>
      <c r="B756" s="223" t="s">
        <v>497</v>
      </c>
      <c r="C756" s="79" t="s">
        <v>13</v>
      </c>
      <c r="D756" s="79">
        <v>4</v>
      </c>
      <c r="E756" s="79" t="s">
        <v>581</v>
      </c>
      <c r="F756" s="79">
        <v>2</v>
      </c>
      <c r="G756" s="279" t="s">
        <v>4166</v>
      </c>
      <c r="H756" s="279" t="s">
        <v>4167</v>
      </c>
      <c r="I756" s="279" t="s">
        <v>4168</v>
      </c>
      <c r="J756" s="279" t="s">
        <v>4169</v>
      </c>
      <c r="K756" s="279" t="s">
        <v>531</v>
      </c>
      <c r="L756" s="279" t="s">
        <v>532</v>
      </c>
      <c r="M756" s="279" t="s">
        <v>4170</v>
      </c>
      <c r="N756" s="279" t="s">
        <v>562</v>
      </c>
    </row>
    <row r="757" spans="1:14" ht="49.5">
      <c r="A757" s="268" t="str">
        <f t="shared" si="11"/>
        <v>Planning &amp; Organizing|Unit Head/Specialist|4</v>
      </c>
      <c r="B757" s="223" t="s">
        <v>497</v>
      </c>
      <c r="C757" s="79" t="s">
        <v>13</v>
      </c>
      <c r="D757" s="79">
        <v>4</v>
      </c>
      <c r="E757" s="79" t="s">
        <v>581</v>
      </c>
      <c r="F757" s="79">
        <v>3</v>
      </c>
      <c r="G757" s="279" t="s">
        <v>4171</v>
      </c>
      <c r="H757" s="279" t="s">
        <v>4172</v>
      </c>
      <c r="I757" s="279" t="s">
        <v>4173</v>
      </c>
      <c r="J757" s="279" t="s">
        <v>4174</v>
      </c>
      <c r="K757" s="279" t="s">
        <v>531</v>
      </c>
      <c r="L757" s="279" t="s">
        <v>532</v>
      </c>
      <c r="M757" s="279" t="s">
        <v>4175</v>
      </c>
      <c r="N757" s="279" t="s">
        <v>562</v>
      </c>
    </row>
    <row r="758" spans="1:14" ht="66">
      <c r="A758" s="268" t="str">
        <f t="shared" si="11"/>
        <v>Planning &amp; Organizing|Department Head|1</v>
      </c>
      <c r="B758" s="223" t="s">
        <v>497</v>
      </c>
      <c r="C758" s="79" t="s">
        <v>719</v>
      </c>
      <c r="D758" s="197">
        <v>1</v>
      </c>
      <c r="E758" s="79" t="s">
        <v>526</v>
      </c>
      <c r="F758" s="79">
        <v>1</v>
      </c>
      <c r="G758" s="276" t="s">
        <v>4176</v>
      </c>
      <c r="H758" s="276" t="s">
        <v>4177</v>
      </c>
      <c r="I758" s="276" t="s">
        <v>4178</v>
      </c>
      <c r="J758" s="276" t="s">
        <v>4179</v>
      </c>
      <c r="K758" s="276" t="s">
        <v>531</v>
      </c>
      <c r="L758" s="276" t="s">
        <v>532</v>
      </c>
      <c r="M758" s="276" t="s">
        <v>4180</v>
      </c>
      <c r="N758" s="276" t="s">
        <v>534</v>
      </c>
    </row>
    <row r="759" spans="1:14" ht="49.5">
      <c r="A759" s="268" t="str">
        <f t="shared" si="11"/>
        <v>Planning &amp; Organizing|Department Head|1</v>
      </c>
      <c r="B759" s="223" t="s">
        <v>497</v>
      </c>
      <c r="C759" s="79" t="s">
        <v>719</v>
      </c>
      <c r="D759" s="197">
        <v>1</v>
      </c>
      <c r="E759" s="79" t="s">
        <v>526</v>
      </c>
      <c r="F759" s="79">
        <v>2</v>
      </c>
      <c r="G759" s="276" t="s">
        <v>4181</v>
      </c>
      <c r="H759" s="276" t="s">
        <v>4182</v>
      </c>
      <c r="I759" s="276" t="s">
        <v>4183</v>
      </c>
      <c r="J759" s="276" t="s">
        <v>4184</v>
      </c>
      <c r="K759" s="276" t="s">
        <v>531</v>
      </c>
      <c r="L759" s="276" t="s">
        <v>532</v>
      </c>
      <c r="M759" s="276" t="s">
        <v>4185</v>
      </c>
      <c r="N759" s="276" t="s">
        <v>562</v>
      </c>
    </row>
    <row r="760" spans="1:14" ht="49.5">
      <c r="A760" s="268" t="str">
        <f t="shared" si="11"/>
        <v>Planning &amp; Organizing|Department Head|1</v>
      </c>
      <c r="B760" s="223" t="s">
        <v>497</v>
      </c>
      <c r="C760" s="79" t="s">
        <v>719</v>
      </c>
      <c r="D760" s="197">
        <v>1</v>
      </c>
      <c r="E760" s="79" t="s">
        <v>526</v>
      </c>
      <c r="F760" s="79">
        <v>3</v>
      </c>
      <c r="G760" s="276" t="s">
        <v>4186</v>
      </c>
      <c r="H760" s="276" t="s">
        <v>4187</v>
      </c>
      <c r="I760" s="276" t="s">
        <v>4188</v>
      </c>
      <c r="J760" s="276" t="s">
        <v>4189</v>
      </c>
      <c r="K760" s="276" t="s">
        <v>531</v>
      </c>
      <c r="L760" s="276" t="s">
        <v>532</v>
      </c>
      <c r="M760" s="276" t="s">
        <v>4190</v>
      </c>
      <c r="N760" s="276" t="s">
        <v>534</v>
      </c>
    </row>
    <row r="761" spans="1:14" ht="66">
      <c r="A761" s="268" t="str">
        <f t="shared" si="11"/>
        <v>Planning &amp; Organizing|Department Head|2</v>
      </c>
      <c r="B761" s="223" t="s">
        <v>497</v>
      </c>
      <c r="C761" s="79" t="s">
        <v>719</v>
      </c>
      <c r="D761" s="79">
        <v>2</v>
      </c>
      <c r="E761" s="79" t="s">
        <v>545</v>
      </c>
      <c r="F761" s="79">
        <v>1</v>
      </c>
      <c r="G761" s="276" t="s">
        <v>4191</v>
      </c>
      <c r="H761" s="276" t="s">
        <v>4192</v>
      </c>
      <c r="I761" s="276" t="s">
        <v>4193</v>
      </c>
      <c r="J761" s="276" t="s">
        <v>4194</v>
      </c>
      <c r="K761" s="276" t="s">
        <v>531</v>
      </c>
      <c r="L761" s="276" t="s">
        <v>532</v>
      </c>
      <c r="M761" s="276" t="s">
        <v>4195</v>
      </c>
      <c r="N761" s="276" t="s">
        <v>551</v>
      </c>
    </row>
    <row r="762" spans="1:14" ht="49.5">
      <c r="A762" s="268" t="str">
        <f t="shared" si="11"/>
        <v>Planning &amp; Organizing|Department Head|2</v>
      </c>
      <c r="B762" s="223" t="s">
        <v>497</v>
      </c>
      <c r="C762" s="79" t="s">
        <v>719</v>
      </c>
      <c r="D762" s="79">
        <v>2</v>
      </c>
      <c r="E762" s="79" t="s">
        <v>545</v>
      </c>
      <c r="F762" s="79">
        <v>2</v>
      </c>
      <c r="G762" s="276" t="s">
        <v>4196</v>
      </c>
      <c r="H762" s="276" t="s">
        <v>4197</v>
      </c>
      <c r="I762" s="276" t="s">
        <v>4198</v>
      </c>
      <c r="J762" s="276" t="s">
        <v>4199</v>
      </c>
      <c r="K762" s="276" t="s">
        <v>531</v>
      </c>
      <c r="L762" s="276" t="s">
        <v>532</v>
      </c>
      <c r="M762" s="276" t="s">
        <v>4200</v>
      </c>
      <c r="N762" s="276" t="s">
        <v>562</v>
      </c>
    </row>
    <row r="763" spans="1:14" ht="49.5">
      <c r="A763" s="268" t="str">
        <f t="shared" si="11"/>
        <v>Planning &amp; Organizing|Department Head|2</v>
      </c>
      <c r="B763" s="223" t="s">
        <v>497</v>
      </c>
      <c r="C763" s="79" t="s">
        <v>719</v>
      </c>
      <c r="D763" s="79">
        <v>2</v>
      </c>
      <c r="E763" s="79" t="s">
        <v>545</v>
      </c>
      <c r="F763" s="79">
        <v>3</v>
      </c>
      <c r="G763" s="276" t="s">
        <v>4201</v>
      </c>
      <c r="H763" s="276" t="s">
        <v>4202</v>
      </c>
      <c r="I763" s="276" t="s">
        <v>4203</v>
      </c>
      <c r="J763" s="276" t="s">
        <v>2773</v>
      </c>
      <c r="K763" s="276" t="s">
        <v>531</v>
      </c>
      <c r="L763" s="276" t="s">
        <v>532</v>
      </c>
      <c r="M763" s="276" t="s">
        <v>4204</v>
      </c>
      <c r="N763" s="276" t="s">
        <v>534</v>
      </c>
    </row>
    <row r="764" spans="1:14" ht="66">
      <c r="A764" s="268" t="str">
        <f t="shared" si="11"/>
        <v>Planning &amp; Organizing|Department Head|3</v>
      </c>
      <c r="B764" s="223" t="s">
        <v>497</v>
      </c>
      <c r="C764" s="79" t="s">
        <v>719</v>
      </c>
      <c r="D764" s="79">
        <v>3</v>
      </c>
      <c r="E764" s="79" t="s">
        <v>563</v>
      </c>
      <c r="F764" s="79">
        <v>1</v>
      </c>
      <c r="G764" s="276" t="s">
        <v>4205</v>
      </c>
      <c r="H764" s="276" t="s">
        <v>4206</v>
      </c>
      <c r="I764" s="276" t="s">
        <v>4207</v>
      </c>
      <c r="J764" s="276" t="s">
        <v>4208</v>
      </c>
      <c r="K764" s="276" t="s">
        <v>531</v>
      </c>
      <c r="L764" s="276" t="s">
        <v>532</v>
      </c>
      <c r="M764" s="276" t="s">
        <v>2779</v>
      </c>
      <c r="N764" s="276" t="s">
        <v>534</v>
      </c>
    </row>
    <row r="765" spans="1:14" ht="49.5">
      <c r="A765" s="268" t="str">
        <f t="shared" si="11"/>
        <v>Planning &amp; Organizing|Department Head|3</v>
      </c>
      <c r="B765" s="223" t="s">
        <v>497</v>
      </c>
      <c r="C765" s="79" t="s">
        <v>719</v>
      </c>
      <c r="D765" s="79">
        <v>3</v>
      </c>
      <c r="E765" s="79" t="s">
        <v>563</v>
      </c>
      <c r="F765" s="79">
        <v>2</v>
      </c>
      <c r="G765" s="276" t="s">
        <v>4209</v>
      </c>
      <c r="H765" s="276" t="s">
        <v>4210</v>
      </c>
      <c r="I765" s="276" t="s">
        <v>4211</v>
      </c>
      <c r="J765" s="276" t="s">
        <v>817</v>
      </c>
      <c r="K765" s="276" t="s">
        <v>531</v>
      </c>
      <c r="L765" s="276" t="s">
        <v>532</v>
      </c>
      <c r="M765" s="276" t="s">
        <v>4212</v>
      </c>
      <c r="N765" s="276" t="s">
        <v>562</v>
      </c>
    </row>
    <row r="766" spans="1:14" ht="66">
      <c r="A766" s="268" t="str">
        <f t="shared" si="11"/>
        <v>Planning &amp; Organizing|Department Head|3</v>
      </c>
      <c r="B766" s="223" t="s">
        <v>497</v>
      </c>
      <c r="C766" s="79" t="s">
        <v>719</v>
      </c>
      <c r="D766" s="79">
        <v>3</v>
      </c>
      <c r="E766" s="79" t="s">
        <v>563</v>
      </c>
      <c r="F766" s="79">
        <v>3</v>
      </c>
      <c r="G766" s="276" t="s">
        <v>4213</v>
      </c>
      <c r="H766" s="276" t="s">
        <v>4214</v>
      </c>
      <c r="I766" s="276" t="s">
        <v>4215</v>
      </c>
      <c r="J766" s="276" t="s">
        <v>578</v>
      </c>
      <c r="K766" s="276" t="s">
        <v>531</v>
      </c>
      <c r="L766" s="276" t="s">
        <v>532</v>
      </c>
      <c r="M766" s="276" t="s">
        <v>4216</v>
      </c>
      <c r="N766" s="276" t="s">
        <v>580</v>
      </c>
    </row>
    <row r="767" spans="1:14" ht="49.5">
      <c r="A767" s="268" t="str">
        <f t="shared" si="11"/>
        <v>Planning &amp; Organizing|Department Head|4</v>
      </c>
      <c r="B767" s="223" t="s">
        <v>497</v>
      </c>
      <c r="C767" s="79" t="s">
        <v>719</v>
      </c>
      <c r="D767" s="79">
        <v>4</v>
      </c>
      <c r="E767" s="79" t="s">
        <v>581</v>
      </c>
      <c r="F767" s="79">
        <v>1</v>
      </c>
      <c r="G767" s="276" t="s">
        <v>4217</v>
      </c>
      <c r="H767" s="276" t="s">
        <v>4218</v>
      </c>
      <c r="I767" s="276" t="s">
        <v>4219</v>
      </c>
      <c r="J767" s="276" t="s">
        <v>4220</v>
      </c>
      <c r="K767" s="276" t="s">
        <v>531</v>
      </c>
      <c r="L767" s="276" t="s">
        <v>532</v>
      </c>
      <c r="M767" s="276" t="s">
        <v>4221</v>
      </c>
      <c r="N767" s="276" t="s">
        <v>562</v>
      </c>
    </row>
    <row r="768" spans="1:14" ht="49.5">
      <c r="A768" s="268" t="str">
        <f t="shared" si="11"/>
        <v>Planning &amp; Organizing|Department Head|4</v>
      </c>
      <c r="B768" s="223" t="s">
        <v>497</v>
      </c>
      <c r="C768" s="79" t="s">
        <v>719</v>
      </c>
      <c r="D768" s="79">
        <v>4</v>
      </c>
      <c r="E768" s="79" t="s">
        <v>581</v>
      </c>
      <c r="F768" s="79">
        <v>2</v>
      </c>
      <c r="G768" s="276" t="s">
        <v>4222</v>
      </c>
      <c r="H768" s="276" t="s">
        <v>4223</v>
      </c>
      <c r="I768" s="276" t="s">
        <v>4224</v>
      </c>
      <c r="J768" s="276" t="s">
        <v>4225</v>
      </c>
      <c r="K768" s="276" t="s">
        <v>531</v>
      </c>
      <c r="L768" s="276" t="s">
        <v>532</v>
      </c>
      <c r="M768" s="276" t="s">
        <v>4226</v>
      </c>
      <c r="N768" s="276" t="s">
        <v>562</v>
      </c>
    </row>
    <row r="769" spans="1:14" ht="49.5">
      <c r="A769" s="268" t="str">
        <f t="shared" si="11"/>
        <v>Planning &amp; Organizing|Department Head|4</v>
      </c>
      <c r="B769" s="223" t="s">
        <v>497</v>
      </c>
      <c r="C769" s="79" t="s">
        <v>719</v>
      </c>
      <c r="D769" s="79">
        <v>4</v>
      </c>
      <c r="E769" s="79" t="s">
        <v>581</v>
      </c>
      <c r="F769" s="79">
        <v>3</v>
      </c>
      <c r="G769" s="276" t="s">
        <v>4227</v>
      </c>
      <c r="H769" s="276" t="s">
        <v>4228</v>
      </c>
      <c r="I769" s="276" t="s">
        <v>4229</v>
      </c>
      <c r="J769" s="276" t="s">
        <v>4230</v>
      </c>
      <c r="K769" s="276" t="s">
        <v>531</v>
      </c>
      <c r="L769" s="276" t="s">
        <v>532</v>
      </c>
      <c r="M769" s="276" t="s">
        <v>4231</v>
      </c>
      <c r="N769" s="276" t="s">
        <v>562</v>
      </c>
    </row>
    <row r="770" spans="1:14" ht="49.5">
      <c r="A770" s="268" t="str">
        <f t="shared" si="11"/>
        <v>Planning &amp; Organizing|Division Head|1</v>
      </c>
      <c r="B770" s="223" t="s">
        <v>497</v>
      </c>
      <c r="C770" s="79" t="s">
        <v>778</v>
      </c>
      <c r="D770" s="197">
        <v>1</v>
      </c>
      <c r="E770" s="79" t="s">
        <v>526</v>
      </c>
      <c r="F770" s="79">
        <v>1</v>
      </c>
      <c r="G770" s="279" t="s">
        <v>779</v>
      </c>
      <c r="H770" s="279" t="s">
        <v>780</v>
      </c>
      <c r="I770" s="279" t="s">
        <v>4232</v>
      </c>
      <c r="J770" s="279" t="s">
        <v>4233</v>
      </c>
      <c r="K770" s="279" t="s">
        <v>531</v>
      </c>
      <c r="L770" s="279" t="s">
        <v>532</v>
      </c>
      <c r="M770" s="279" t="s">
        <v>4234</v>
      </c>
      <c r="N770" s="279" t="s">
        <v>534</v>
      </c>
    </row>
    <row r="771" spans="1:14" ht="33">
      <c r="A771" s="268" t="str">
        <f t="shared" ref="A771:A834" si="12">B771 &amp; "|" &amp; C771 &amp; "|" &amp; D771</f>
        <v>Planning &amp; Organizing|Division Head|1</v>
      </c>
      <c r="B771" s="223" t="s">
        <v>497</v>
      </c>
      <c r="C771" s="79" t="s">
        <v>778</v>
      </c>
      <c r="D771" s="197">
        <v>1</v>
      </c>
      <c r="E771" s="79" t="s">
        <v>526</v>
      </c>
      <c r="F771" s="79">
        <v>2</v>
      </c>
      <c r="G771" s="279" t="s">
        <v>2117</v>
      </c>
      <c r="H771" s="279" t="s">
        <v>4235</v>
      </c>
      <c r="I771" s="279" t="s">
        <v>4236</v>
      </c>
      <c r="J771" s="279" t="s">
        <v>4237</v>
      </c>
      <c r="K771" s="279" t="s">
        <v>531</v>
      </c>
      <c r="L771" s="279" t="s">
        <v>532</v>
      </c>
      <c r="M771" s="279" t="s">
        <v>4238</v>
      </c>
      <c r="N771" s="279" t="s">
        <v>562</v>
      </c>
    </row>
    <row r="772" spans="1:14" ht="33">
      <c r="A772" s="268" t="str">
        <f t="shared" si="12"/>
        <v>Planning &amp; Organizing|Division Head|1</v>
      </c>
      <c r="B772" s="223" t="s">
        <v>497</v>
      </c>
      <c r="C772" s="79" t="s">
        <v>778</v>
      </c>
      <c r="D772" s="197">
        <v>1</v>
      </c>
      <c r="E772" s="79" t="s">
        <v>526</v>
      </c>
      <c r="F772" s="79">
        <v>3</v>
      </c>
      <c r="G772" s="279" t="s">
        <v>789</v>
      </c>
      <c r="H772" s="279" t="s">
        <v>790</v>
      </c>
      <c r="I772" s="279" t="s">
        <v>4239</v>
      </c>
      <c r="J772" s="279" t="s">
        <v>792</v>
      </c>
      <c r="K772" s="279" t="s">
        <v>531</v>
      </c>
      <c r="L772" s="279" t="s">
        <v>532</v>
      </c>
      <c r="M772" s="279" t="s">
        <v>4240</v>
      </c>
      <c r="N772" s="279" t="s">
        <v>562</v>
      </c>
    </row>
    <row r="773" spans="1:14" ht="49.5">
      <c r="A773" s="268" t="str">
        <f t="shared" si="12"/>
        <v>Planning &amp; Organizing|Division Head|2</v>
      </c>
      <c r="B773" s="223" t="s">
        <v>497</v>
      </c>
      <c r="C773" s="79" t="s">
        <v>778</v>
      </c>
      <c r="D773" s="79">
        <v>2</v>
      </c>
      <c r="E773" s="79" t="s">
        <v>545</v>
      </c>
      <c r="F773" s="79">
        <v>1</v>
      </c>
      <c r="G773" s="279" t="s">
        <v>4241</v>
      </c>
      <c r="H773" s="279" t="s">
        <v>4242</v>
      </c>
      <c r="I773" s="279" t="s">
        <v>4243</v>
      </c>
      <c r="J773" s="279" t="s">
        <v>4244</v>
      </c>
      <c r="K773" s="279" t="s">
        <v>531</v>
      </c>
      <c r="L773" s="279" t="s">
        <v>532</v>
      </c>
      <c r="M773" s="279" t="s">
        <v>4245</v>
      </c>
      <c r="N773" s="279" t="s">
        <v>551</v>
      </c>
    </row>
    <row r="774" spans="1:14" ht="33">
      <c r="A774" s="268" t="str">
        <f t="shared" si="12"/>
        <v>Planning &amp; Organizing|Division Head|2</v>
      </c>
      <c r="B774" s="223" t="s">
        <v>497</v>
      </c>
      <c r="C774" s="79" t="s">
        <v>778</v>
      </c>
      <c r="D774" s="79">
        <v>2</v>
      </c>
      <c r="E774" s="79" t="s">
        <v>545</v>
      </c>
      <c r="F774" s="79">
        <v>2</v>
      </c>
      <c r="G774" s="279" t="s">
        <v>799</v>
      </c>
      <c r="H774" s="279" t="s">
        <v>4246</v>
      </c>
      <c r="I774" s="279" t="s">
        <v>4247</v>
      </c>
      <c r="J774" s="279" t="s">
        <v>4248</v>
      </c>
      <c r="K774" s="279" t="s">
        <v>531</v>
      </c>
      <c r="L774" s="279" t="s">
        <v>532</v>
      </c>
      <c r="M774" s="279" t="s">
        <v>4249</v>
      </c>
      <c r="N774" s="279" t="s">
        <v>562</v>
      </c>
    </row>
    <row r="775" spans="1:14" ht="33">
      <c r="A775" s="268" t="str">
        <f t="shared" si="12"/>
        <v>Planning &amp; Organizing|Division Head|2</v>
      </c>
      <c r="B775" s="223" t="s">
        <v>497</v>
      </c>
      <c r="C775" s="79" t="s">
        <v>778</v>
      </c>
      <c r="D775" s="79">
        <v>2</v>
      </c>
      <c r="E775" s="79" t="s">
        <v>545</v>
      </c>
      <c r="F775" s="79">
        <v>3</v>
      </c>
      <c r="G775" s="279" t="s">
        <v>804</v>
      </c>
      <c r="H775" s="279" t="s">
        <v>805</v>
      </c>
      <c r="I775" s="279" t="s">
        <v>4250</v>
      </c>
      <c r="J775" s="279" t="s">
        <v>807</v>
      </c>
      <c r="K775" s="279" t="s">
        <v>531</v>
      </c>
      <c r="L775" s="279" t="s">
        <v>532</v>
      </c>
      <c r="M775" s="279" t="s">
        <v>4251</v>
      </c>
      <c r="N775" s="279" t="s">
        <v>1561</v>
      </c>
    </row>
    <row r="776" spans="1:14" ht="49.5">
      <c r="A776" s="268" t="str">
        <f t="shared" si="12"/>
        <v>Planning &amp; Organizing|Division Head|3</v>
      </c>
      <c r="B776" s="223" t="s">
        <v>497</v>
      </c>
      <c r="C776" s="79" t="s">
        <v>778</v>
      </c>
      <c r="D776" s="79">
        <v>3</v>
      </c>
      <c r="E776" s="79" t="s">
        <v>563</v>
      </c>
      <c r="F776" s="79">
        <v>1</v>
      </c>
      <c r="G776" s="279" t="s">
        <v>4252</v>
      </c>
      <c r="H776" s="279" t="s">
        <v>4253</v>
      </c>
      <c r="I776" s="279" t="s">
        <v>4254</v>
      </c>
      <c r="J776" s="279" t="s">
        <v>812</v>
      </c>
      <c r="K776" s="279" t="s">
        <v>531</v>
      </c>
      <c r="L776" s="279" t="s">
        <v>532</v>
      </c>
      <c r="M776" s="279" t="s">
        <v>2895</v>
      </c>
      <c r="N776" s="279" t="s">
        <v>534</v>
      </c>
    </row>
    <row r="777" spans="1:14" ht="33">
      <c r="A777" s="268" t="str">
        <f t="shared" si="12"/>
        <v>Planning &amp; Organizing|Division Head|3</v>
      </c>
      <c r="B777" s="223" t="s">
        <v>497</v>
      </c>
      <c r="C777" s="79" t="s">
        <v>778</v>
      </c>
      <c r="D777" s="79">
        <v>3</v>
      </c>
      <c r="E777" s="79" t="s">
        <v>563</v>
      </c>
      <c r="F777" s="79">
        <v>2</v>
      </c>
      <c r="G777" s="279" t="s">
        <v>2142</v>
      </c>
      <c r="H777" s="279" t="s">
        <v>4255</v>
      </c>
      <c r="I777" s="279" t="s">
        <v>4256</v>
      </c>
      <c r="J777" s="279" t="s">
        <v>817</v>
      </c>
      <c r="K777" s="279" t="s">
        <v>531</v>
      </c>
      <c r="L777" s="279" t="s">
        <v>532</v>
      </c>
      <c r="M777" s="279" t="s">
        <v>4257</v>
      </c>
      <c r="N777" s="279" t="s">
        <v>562</v>
      </c>
    </row>
    <row r="778" spans="1:14" ht="66">
      <c r="A778" s="268" t="str">
        <f t="shared" si="12"/>
        <v>Planning &amp; Organizing|Division Head|3</v>
      </c>
      <c r="B778" s="223" t="s">
        <v>497</v>
      </c>
      <c r="C778" s="79" t="s">
        <v>778</v>
      </c>
      <c r="D778" s="79">
        <v>3</v>
      </c>
      <c r="E778" s="79" t="s">
        <v>563</v>
      </c>
      <c r="F778" s="79">
        <v>3</v>
      </c>
      <c r="G778" s="279" t="s">
        <v>2146</v>
      </c>
      <c r="H778" s="279" t="s">
        <v>4258</v>
      </c>
      <c r="I778" s="279" t="s">
        <v>4259</v>
      </c>
      <c r="J778" s="279" t="s">
        <v>578</v>
      </c>
      <c r="K778" s="279" t="s">
        <v>531</v>
      </c>
      <c r="L778" s="279" t="s">
        <v>532</v>
      </c>
      <c r="M778" s="279" t="s">
        <v>3398</v>
      </c>
      <c r="N778" s="279" t="s">
        <v>580</v>
      </c>
    </row>
    <row r="779" spans="1:14" ht="49.5">
      <c r="A779" s="268" t="str">
        <f t="shared" si="12"/>
        <v>Planning &amp; Organizing|Division Head|4</v>
      </c>
      <c r="B779" s="223" t="s">
        <v>497</v>
      </c>
      <c r="C779" s="79" t="s">
        <v>778</v>
      </c>
      <c r="D779" s="79">
        <v>4</v>
      </c>
      <c r="E779" s="79" t="s">
        <v>581</v>
      </c>
      <c r="F779" s="79">
        <v>1</v>
      </c>
      <c r="G779" s="279" t="s">
        <v>2149</v>
      </c>
      <c r="H779" s="279" t="s">
        <v>4260</v>
      </c>
      <c r="I779" s="279" t="s">
        <v>4261</v>
      </c>
      <c r="J779" s="279" t="s">
        <v>4262</v>
      </c>
      <c r="K779" s="279" t="s">
        <v>531</v>
      </c>
      <c r="L779" s="279" t="s">
        <v>532</v>
      </c>
      <c r="M779" s="279" t="s">
        <v>4263</v>
      </c>
      <c r="N779" s="279" t="s">
        <v>562</v>
      </c>
    </row>
    <row r="780" spans="1:14" ht="49.5">
      <c r="A780" s="268" t="str">
        <f t="shared" si="12"/>
        <v>Planning &amp; Organizing|Division Head|4</v>
      </c>
      <c r="B780" s="223" t="s">
        <v>497</v>
      </c>
      <c r="C780" s="79" t="s">
        <v>778</v>
      </c>
      <c r="D780" s="79">
        <v>4</v>
      </c>
      <c r="E780" s="79" t="s">
        <v>581</v>
      </c>
      <c r="F780" s="79">
        <v>2</v>
      </c>
      <c r="G780" s="279" t="s">
        <v>2154</v>
      </c>
      <c r="H780" s="279" t="s">
        <v>829</v>
      </c>
      <c r="I780" s="279" t="s">
        <v>4264</v>
      </c>
      <c r="J780" s="279" t="s">
        <v>4265</v>
      </c>
      <c r="K780" s="279" t="s">
        <v>531</v>
      </c>
      <c r="L780" s="279" t="s">
        <v>532</v>
      </c>
      <c r="M780" s="279" t="s">
        <v>4266</v>
      </c>
      <c r="N780" s="279" t="s">
        <v>562</v>
      </c>
    </row>
    <row r="781" spans="1:14" ht="49.5">
      <c r="A781" s="268" t="str">
        <f t="shared" si="12"/>
        <v>Planning &amp; Organizing|Division Head|4</v>
      </c>
      <c r="B781" s="223" t="s">
        <v>497</v>
      </c>
      <c r="C781" s="79" t="s">
        <v>778</v>
      </c>
      <c r="D781" s="79">
        <v>4</v>
      </c>
      <c r="E781" s="79" t="s">
        <v>581</v>
      </c>
      <c r="F781" s="79">
        <v>3</v>
      </c>
      <c r="G781" s="279" t="s">
        <v>2159</v>
      </c>
      <c r="H781" s="279" t="s">
        <v>4267</v>
      </c>
      <c r="I781" s="279" t="s">
        <v>4268</v>
      </c>
      <c r="J781" s="279" t="s">
        <v>4269</v>
      </c>
      <c r="K781" s="279" t="s">
        <v>531</v>
      </c>
      <c r="L781" s="279" t="s">
        <v>532</v>
      </c>
      <c r="M781" s="279" t="s">
        <v>4270</v>
      </c>
      <c r="N781" s="279" t="s">
        <v>1050</v>
      </c>
    </row>
    <row r="782" spans="1:14" ht="66">
      <c r="A782" s="268" t="str">
        <f t="shared" si="12"/>
        <v>Planning &amp; Organizing|Director|1</v>
      </c>
      <c r="B782" s="223" t="s">
        <v>497</v>
      </c>
      <c r="C782" s="79" t="s">
        <v>838</v>
      </c>
      <c r="D782" s="197">
        <v>1</v>
      </c>
      <c r="E782" s="79" t="s">
        <v>526</v>
      </c>
      <c r="F782" s="79">
        <v>1</v>
      </c>
      <c r="G782" s="276" t="s">
        <v>4271</v>
      </c>
      <c r="H782" s="276" t="s">
        <v>4272</v>
      </c>
      <c r="I782" s="276" t="s">
        <v>4273</v>
      </c>
      <c r="J782" s="276" t="s">
        <v>4274</v>
      </c>
      <c r="K782" s="276" t="s">
        <v>531</v>
      </c>
      <c r="L782" s="276" t="s">
        <v>532</v>
      </c>
      <c r="M782" s="276" t="s">
        <v>4275</v>
      </c>
      <c r="N782" s="276" t="s">
        <v>2169</v>
      </c>
    </row>
    <row r="783" spans="1:14" ht="49.5">
      <c r="A783" s="268" t="str">
        <f t="shared" si="12"/>
        <v>Planning &amp; Organizing|Director|1</v>
      </c>
      <c r="B783" s="223" t="s">
        <v>497</v>
      </c>
      <c r="C783" s="79" t="s">
        <v>838</v>
      </c>
      <c r="D783" s="197">
        <v>1</v>
      </c>
      <c r="E783" s="79" t="s">
        <v>526</v>
      </c>
      <c r="F783" s="79">
        <v>2</v>
      </c>
      <c r="G783" s="276" t="s">
        <v>4276</v>
      </c>
      <c r="H783" s="276" t="s">
        <v>4277</v>
      </c>
      <c r="I783" s="276" t="s">
        <v>4278</v>
      </c>
      <c r="J783" s="276" t="s">
        <v>4279</v>
      </c>
      <c r="K783" s="276" t="s">
        <v>531</v>
      </c>
      <c r="L783" s="276" t="s">
        <v>532</v>
      </c>
      <c r="M783" s="276" t="s">
        <v>4280</v>
      </c>
      <c r="N783" s="276" t="s">
        <v>4281</v>
      </c>
    </row>
    <row r="784" spans="1:14" ht="49.5">
      <c r="A784" s="268" t="str">
        <f t="shared" si="12"/>
        <v>Planning &amp; Organizing|Director|1</v>
      </c>
      <c r="B784" s="223" t="s">
        <v>497</v>
      </c>
      <c r="C784" s="79" t="s">
        <v>838</v>
      </c>
      <c r="D784" s="197">
        <v>1</v>
      </c>
      <c r="E784" s="79" t="s">
        <v>526</v>
      </c>
      <c r="F784" s="79">
        <v>3</v>
      </c>
      <c r="G784" s="276" t="s">
        <v>4282</v>
      </c>
      <c r="H784" s="276" t="s">
        <v>4283</v>
      </c>
      <c r="I784" s="276" t="s">
        <v>4284</v>
      </c>
      <c r="J784" s="276" t="s">
        <v>4285</v>
      </c>
      <c r="K784" s="276" t="s">
        <v>531</v>
      </c>
      <c r="L784" s="276" t="s">
        <v>532</v>
      </c>
      <c r="M784" s="276" t="s">
        <v>855</v>
      </c>
      <c r="N784" s="276" t="s">
        <v>856</v>
      </c>
    </row>
    <row r="785" spans="1:14" ht="49.5">
      <c r="A785" s="268" t="str">
        <f t="shared" si="12"/>
        <v>Planning &amp; Organizing|Director|2</v>
      </c>
      <c r="B785" s="223" t="s">
        <v>497</v>
      </c>
      <c r="C785" s="79" t="s">
        <v>838</v>
      </c>
      <c r="D785" s="79">
        <v>2</v>
      </c>
      <c r="E785" s="79" t="s">
        <v>545</v>
      </c>
      <c r="F785" s="79">
        <v>1</v>
      </c>
      <c r="G785" s="276" t="s">
        <v>4286</v>
      </c>
      <c r="H785" s="276" t="s">
        <v>4287</v>
      </c>
      <c r="I785" s="276" t="s">
        <v>4288</v>
      </c>
      <c r="J785" s="276" t="s">
        <v>4289</v>
      </c>
      <c r="K785" s="276" t="s">
        <v>531</v>
      </c>
      <c r="L785" s="276" t="s">
        <v>532</v>
      </c>
      <c r="M785" s="276" t="s">
        <v>4290</v>
      </c>
      <c r="N785" s="276" t="s">
        <v>862</v>
      </c>
    </row>
    <row r="786" spans="1:14" ht="49.5">
      <c r="A786" s="268" t="str">
        <f t="shared" si="12"/>
        <v>Planning &amp; Organizing|Director|2</v>
      </c>
      <c r="B786" s="223" t="s">
        <v>497</v>
      </c>
      <c r="C786" s="79" t="s">
        <v>838</v>
      </c>
      <c r="D786" s="79">
        <v>2</v>
      </c>
      <c r="E786" s="79" t="s">
        <v>545</v>
      </c>
      <c r="F786" s="79">
        <v>2</v>
      </c>
      <c r="G786" s="276" t="s">
        <v>4291</v>
      </c>
      <c r="H786" s="276" t="s">
        <v>4292</v>
      </c>
      <c r="I786" s="276" t="s">
        <v>4293</v>
      </c>
      <c r="J786" s="276" t="s">
        <v>4294</v>
      </c>
      <c r="K786" s="276" t="s">
        <v>531</v>
      </c>
      <c r="L786" s="276" t="s">
        <v>532</v>
      </c>
      <c r="M786" s="276" t="s">
        <v>4295</v>
      </c>
      <c r="N786" s="276" t="s">
        <v>856</v>
      </c>
    </row>
    <row r="787" spans="1:14" ht="33">
      <c r="A787" s="268" t="str">
        <f t="shared" si="12"/>
        <v>Planning &amp; Organizing|Director|2</v>
      </c>
      <c r="B787" s="223" t="s">
        <v>497</v>
      </c>
      <c r="C787" s="79" t="s">
        <v>838</v>
      </c>
      <c r="D787" s="79">
        <v>2</v>
      </c>
      <c r="E787" s="79" t="s">
        <v>545</v>
      </c>
      <c r="F787" s="79">
        <v>3</v>
      </c>
      <c r="G787" s="276" t="s">
        <v>4296</v>
      </c>
      <c r="H787" s="276" t="s">
        <v>4297</v>
      </c>
      <c r="I787" s="276" t="s">
        <v>4298</v>
      </c>
      <c r="J787" s="276" t="s">
        <v>4299</v>
      </c>
      <c r="K787" s="276" t="s">
        <v>531</v>
      </c>
      <c r="L787" s="276" t="s">
        <v>532</v>
      </c>
      <c r="M787" s="276" t="s">
        <v>4300</v>
      </c>
      <c r="N787" s="276" t="s">
        <v>856</v>
      </c>
    </row>
    <row r="788" spans="1:14" ht="49.5">
      <c r="A788" s="268" t="str">
        <f t="shared" si="12"/>
        <v>Planning &amp; Organizing|Director|3</v>
      </c>
      <c r="B788" s="223" t="s">
        <v>497</v>
      </c>
      <c r="C788" s="79" t="s">
        <v>838</v>
      </c>
      <c r="D788" s="79">
        <v>3</v>
      </c>
      <c r="E788" s="79" t="s">
        <v>563</v>
      </c>
      <c r="F788" s="79">
        <v>1</v>
      </c>
      <c r="G788" s="276" t="s">
        <v>3616</v>
      </c>
      <c r="H788" s="276" t="s">
        <v>4301</v>
      </c>
      <c r="I788" s="276" t="s">
        <v>4302</v>
      </c>
      <c r="J788" s="276" t="s">
        <v>876</v>
      </c>
      <c r="K788" s="276" t="s">
        <v>531</v>
      </c>
      <c r="L788" s="276" t="s">
        <v>532</v>
      </c>
      <c r="M788" s="276" t="s">
        <v>2895</v>
      </c>
      <c r="N788" s="276" t="s">
        <v>534</v>
      </c>
    </row>
    <row r="789" spans="1:14" ht="49.5">
      <c r="A789" s="268" t="str">
        <f t="shared" si="12"/>
        <v>Planning &amp; Organizing|Director|3</v>
      </c>
      <c r="B789" s="223" t="s">
        <v>497</v>
      </c>
      <c r="C789" s="79" t="s">
        <v>838</v>
      </c>
      <c r="D789" s="79">
        <v>3</v>
      </c>
      <c r="E789" s="79" t="s">
        <v>563</v>
      </c>
      <c r="F789" s="79">
        <v>2</v>
      </c>
      <c r="G789" s="276" t="s">
        <v>4303</v>
      </c>
      <c r="H789" s="276" t="s">
        <v>4304</v>
      </c>
      <c r="I789" s="276" t="s">
        <v>4305</v>
      </c>
      <c r="J789" s="276" t="s">
        <v>4306</v>
      </c>
      <c r="K789" s="276" t="s">
        <v>531</v>
      </c>
      <c r="L789" s="276" t="s">
        <v>532</v>
      </c>
      <c r="M789" s="276" t="s">
        <v>4307</v>
      </c>
      <c r="N789" s="276" t="s">
        <v>4308</v>
      </c>
    </row>
    <row r="790" spans="1:14" ht="66">
      <c r="A790" s="268" t="str">
        <f t="shared" si="12"/>
        <v>Planning &amp; Organizing|Director|3</v>
      </c>
      <c r="B790" s="223" t="s">
        <v>497</v>
      </c>
      <c r="C790" s="79" t="s">
        <v>838</v>
      </c>
      <c r="D790" s="79">
        <v>3</v>
      </c>
      <c r="E790" s="79" t="s">
        <v>563</v>
      </c>
      <c r="F790" s="79">
        <v>3</v>
      </c>
      <c r="G790" s="276" t="s">
        <v>4309</v>
      </c>
      <c r="H790" s="276" t="s">
        <v>4310</v>
      </c>
      <c r="I790" s="276" t="s">
        <v>4311</v>
      </c>
      <c r="J790" s="276" t="s">
        <v>578</v>
      </c>
      <c r="K790" s="276" t="s">
        <v>531</v>
      </c>
      <c r="L790" s="276" t="s">
        <v>532</v>
      </c>
      <c r="M790" s="276" t="s">
        <v>4312</v>
      </c>
      <c r="N790" s="276" t="s">
        <v>580</v>
      </c>
    </row>
    <row r="791" spans="1:14" ht="66">
      <c r="A791" s="268" t="str">
        <f t="shared" si="12"/>
        <v>Planning &amp; Organizing|Director|4</v>
      </c>
      <c r="B791" s="223" t="s">
        <v>497</v>
      </c>
      <c r="C791" s="79" t="s">
        <v>838</v>
      </c>
      <c r="D791" s="79">
        <v>4</v>
      </c>
      <c r="E791" s="79" t="s">
        <v>581</v>
      </c>
      <c r="F791" s="79">
        <v>1</v>
      </c>
      <c r="G791" s="276" t="s">
        <v>4313</v>
      </c>
      <c r="H791" s="276" t="s">
        <v>4314</v>
      </c>
      <c r="I791" s="276" t="s">
        <v>4315</v>
      </c>
      <c r="J791" s="276" t="s">
        <v>4316</v>
      </c>
      <c r="K791" s="276" t="s">
        <v>531</v>
      </c>
      <c r="L791" s="276" t="s">
        <v>532</v>
      </c>
      <c r="M791" s="276" t="s">
        <v>4317</v>
      </c>
      <c r="N791" s="276" t="s">
        <v>2219</v>
      </c>
    </row>
    <row r="792" spans="1:14" ht="49.5">
      <c r="A792" s="268" t="str">
        <f t="shared" si="12"/>
        <v>Planning &amp; Organizing|Director|4</v>
      </c>
      <c r="B792" s="223" t="s">
        <v>497</v>
      </c>
      <c r="C792" s="79" t="s">
        <v>838</v>
      </c>
      <c r="D792" s="79">
        <v>4</v>
      </c>
      <c r="E792" s="79" t="s">
        <v>581</v>
      </c>
      <c r="F792" s="79">
        <v>2</v>
      </c>
      <c r="G792" s="276" t="s">
        <v>4318</v>
      </c>
      <c r="H792" s="276" t="s">
        <v>4319</v>
      </c>
      <c r="I792" s="276" t="s">
        <v>4320</v>
      </c>
      <c r="J792" s="276" t="s">
        <v>4321</v>
      </c>
      <c r="K792" s="276" t="s">
        <v>531</v>
      </c>
      <c r="L792" s="276" t="s">
        <v>532</v>
      </c>
      <c r="M792" s="276" t="s">
        <v>4322</v>
      </c>
      <c r="N792" s="276" t="s">
        <v>856</v>
      </c>
    </row>
    <row r="793" spans="1:14" ht="49.5">
      <c r="A793" s="268" t="str">
        <f t="shared" si="12"/>
        <v>Planning &amp; Organizing|Director|4</v>
      </c>
      <c r="B793" s="223" t="s">
        <v>497</v>
      </c>
      <c r="C793" s="79" t="s">
        <v>838</v>
      </c>
      <c r="D793" s="79">
        <v>4</v>
      </c>
      <c r="E793" s="79" t="s">
        <v>581</v>
      </c>
      <c r="F793" s="79">
        <v>3</v>
      </c>
      <c r="G793" s="276" t="s">
        <v>4323</v>
      </c>
      <c r="H793" s="276" t="s">
        <v>4324</v>
      </c>
      <c r="I793" s="276" t="s">
        <v>4325</v>
      </c>
      <c r="J793" s="276" t="s">
        <v>4326</v>
      </c>
      <c r="K793" s="276" t="s">
        <v>531</v>
      </c>
      <c r="L793" s="276" t="s">
        <v>532</v>
      </c>
      <c r="M793" s="276" t="s">
        <v>4327</v>
      </c>
      <c r="N793" s="276" t="s">
        <v>3995</v>
      </c>
    </row>
    <row r="794" spans="1:14" ht="66">
      <c r="A794" s="268" t="str">
        <f t="shared" si="12"/>
        <v>Problem Solving &amp; Decision Making|Officer|1</v>
      </c>
      <c r="B794" s="223" t="s">
        <v>498</v>
      </c>
      <c r="C794" s="226" t="s">
        <v>4</v>
      </c>
      <c r="D794" s="226">
        <v>1</v>
      </c>
      <c r="E794" s="227" t="s">
        <v>526</v>
      </c>
      <c r="F794" s="227">
        <v>1</v>
      </c>
      <c r="G794" s="276" t="s">
        <v>4328</v>
      </c>
      <c r="H794" s="276" t="s">
        <v>4329</v>
      </c>
      <c r="I794" s="276" t="s">
        <v>4330</v>
      </c>
      <c r="J794" s="276" t="s">
        <v>4331</v>
      </c>
      <c r="K794" s="276" t="s">
        <v>531</v>
      </c>
      <c r="L794" s="276" t="s">
        <v>532</v>
      </c>
      <c r="M794" s="276" t="s">
        <v>4332</v>
      </c>
      <c r="N794" s="276" t="s">
        <v>534</v>
      </c>
    </row>
    <row r="795" spans="1:14" ht="66">
      <c r="A795" s="268" t="str">
        <f t="shared" si="12"/>
        <v>Problem Solving &amp; Decision Making|Officer|1</v>
      </c>
      <c r="B795" s="223" t="s">
        <v>498</v>
      </c>
      <c r="C795" s="226" t="s">
        <v>4</v>
      </c>
      <c r="D795" s="226">
        <v>1</v>
      </c>
      <c r="E795" s="227" t="s">
        <v>526</v>
      </c>
      <c r="F795" s="227">
        <v>2</v>
      </c>
      <c r="G795" s="276" t="s">
        <v>4333</v>
      </c>
      <c r="H795" s="276" t="s">
        <v>4334</v>
      </c>
      <c r="I795" s="276" t="s">
        <v>4335</v>
      </c>
      <c r="J795" s="276" t="s">
        <v>4336</v>
      </c>
      <c r="K795" s="276" t="s">
        <v>531</v>
      </c>
      <c r="L795" s="276" t="s">
        <v>532</v>
      </c>
      <c r="M795" s="276" t="s">
        <v>4337</v>
      </c>
      <c r="N795" s="276" t="s">
        <v>534</v>
      </c>
    </row>
    <row r="796" spans="1:14" ht="66">
      <c r="A796" s="268" t="str">
        <f t="shared" si="12"/>
        <v>Problem Solving &amp; Decision Making|Officer|1</v>
      </c>
      <c r="B796" s="223" t="s">
        <v>498</v>
      </c>
      <c r="C796" s="226" t="s">
        <v>4</v>
      </c>
      <c r="D796" s="226">
        <v>1</v>
      </c>
      <c r="E796" s="227" t="s">
        <v>526</v>
      </c>
      <c r="F796" s="227">
        <v>3</v>
      </c>
      <c r="G796" s="276" t="s">
        <v>4338</v>
      </c>
      <c r="H796" s="276" t="s">
        <v>4339</v>
      </c>
      <c r="I796" s="276" t="s">
        <v>4340</v>
      </c>
      <c r="J796" s="276" t="s">
        <v>4341</v>
      </c>
      <c r="K796" s="276" t="s">
        <v>531</v>
      </c>
      <c r="L796" s="276" t="s">
        <v>532</v>
      </c>
      <c r="M796" s="276" t="s">
        <v>4342</v>
      </c>
      <c r="N796" s="276" t="s">
        <v>534</v>
      </c>
    </row>
    <row r="797" spans="1:14" ht="49.5">
      <c r="A797" s="268" t="str">
        <f t="shared" si="12"/>
        <v>Problem Solving &amp; Decision Making|Officer|2</v>
      </c>
      <c r="B797" s="223" t="s">
        <v>498</v>
      </c>
      <c r="C797" s="226" t="s">
        <v>4</v>
      </c>
      <c r="D797" s="227">
        <v>2</v>
      </c>
      <c r="E797" s="227" t="s">
        <v>545</v>
      </c>
      <c r="F797" s="227">
        <v>1</v>
      </c>
      <c r="G797" s="276" t="s">
        <v>4343</v>
      </c>
      <c r="H797" s="276" t="s">
        <v>4344</v>
      </c>
      <c r="I797" s="276" t="s">
        <v>4345</v>
      </c>
      <c r="J797" s="276" t="s">
        <v>4346</v>
      </c>
      <c r="K797" s="276" t="s">
        <v>531</v>
      </c>
      <c r="L797" s="276" t="s">
        <v>532</v>
      </c>
      <c r="M797" s="276" t="s">
        <v>4347</v>
      </c>
      <c r="N797" s="276" t="s">
        <v>551</v>
      </c>
    </row>
    <row r="798" spans="1:14" ht="49.5">
      <c r="A798" s="268" t="str">
        <f t="shared" si="12"/>
        <v>Problem Solving &amp; Decision Making|Officer|2</v>
      </c>
      <c r="B798" s="223" t="s">
        <v>498</v>
      </c>
      <c r="C798" s="226" t="s">
        <v>4</v>
      </c>
      <c r="D798" s="227">
        <v>2</v>
      </c>
      <c r="E798" s="227" t="s">
        <v>545</v>
      </c>
      <c r="F798" s="227">
        <v>2</v>
      </c>
      <c r="G798" s="276" t="s">
        <v>4348</v>
      </c>
      <c r="H798" s="276" t="s">
        <v>4349</v>
      </c>
      <c r="I798" s="276" t="s">
        <v>4350</v>
      </c>
      <c r="J798" s="276" t="s">
        <v>4351</v>
      </c>
      <c r="K798" s="276" t="s">
        <v>531</v>
      </c>
      <c r="L798" s="276" t="s">
        <v>532</v>
      </c>
      <c r="M798" s="276" t="s">
        <v>4352</v>
      </c>
      <c r="N798" s="276" t="s">
        <v>551</v>
      </c>
    </row>
    <row r="799" spans="1:14" ht="49.5">
      <c r="A799" s="268" t="str">
        <f t="shared" si="12"/>
        <v>Problem Solving &amp; Decision Making|Officer|2</v>
      </c>
      <c r="B799" s="223" t="s">
        <v>498</v>
      </c>
      <c r="C799" s="226" t="s">
        <v>4</v>
      </c>
      <c r="D799" s="227">
        <v>2</v>
      </c>
      <c r="E799" s="227" t="s">
        <v>545</v>
      </c>
      <c r="F799" s="227">
        <v>3</v>
      </c>
      <c r="G799" s="276" t="s">
        <v>4353</v>
      </c>
      <c r="H799" s="276" t="s">
        <v>4354</v>
      </c>
      <c r="I799" s="276" t="s">
        <v>4355</v>
      </c>
      <c r="J799" s="276" t="s">
        <v>4356</v>
      </c>
      <c r="K799" s="276" t="s">
        <v>531</v>
      </c>
      <c r="L799" s="276" t="s">
        <v>532</v>
      </c>
      <c r="M799" s="276" t="s">
        <v>4357</v>
      </c>
      <c r="N799" s="276" t="s">
        <v>534</v>
      </c>
    </row>
    <row r="800" spans="1:14" ht="49.5">
      <c r="A800" s="268" t="str">
        <f t="shared" si="12"/>
        <v>Problem Solving &amp; Decision Making|Officer|3</v>
      </c>
      <c r="B800" s="223" t="s">
        <v>498</v>
      </c>
      <c r="C800" s="226" t="s">
        <v>4</v>
      </c>
      <c r="D800" s="227">
        <v>3</v>
      </c>
      <c r="E800" s="227" t="s">
        <v>563</v>
      </c>
      <c r="F800" s="227">
        <v>1</v>
      </c>
      <c r="G800" s="276" t="s">
        <v>4358</v>
      </c>
      <c r="H800" s="276" t="s">
        <v>4359</v>
      </c>
      <c r="I800" s="276" t="s">
        <v>4360</v>
      </c>
      <c r="J800" s="276" t="s">
        <v>4361</v>
      </c>
      <c r="K800" s="276" t="s">
        <v>531</v>
      </c>
      <c r="L800" s="276" t="s">
        <v>532</v>
      </c>
      <c r="M800" s="276" t="s">
        <v>4362</v>
      </c>
      <c r="N800" s="276" t="s">
        <v>4363</v>
      </c>
    </row>
    <row r="801" spans="1:14" ht="49.5">
      <c r="A801" s="268" t="str">
        <f t="shared" si="12"/>
        <v>Problem Solving &amp; Decision Making|Officer|3</v>
      </c>
      <c r="B801" s="223" t="s">
        <v>498</v>
      </c>
      <c r="C801" s="226" t="s">
        <v>4</v>
      </c>
      <c r="D801" s="227">
        <v>3</v>
      </c>
      <c r="E801" s="227" t="s">
        <v>563</v>
      </c>
      <c r="F801" s="227">
        <v>2</v>
      </c>
      <c r="G801" s="276" t="s">
        <v>4364</v>
      </c>
      <c r="H801" s="276" t="s">
        <v>4365</v>
      </c>
      <c r="I801" s="276" t="s">
        <v>4366</v>
      </c>
      <c r="J801" s="276" t="s">
        <v>4367</v>
      </c>
      <c r="K801" s="276" t="s">
        <v>531</v>
      </c>
      <c r="L801" s="276" t="s">
        <v>532</v>
      </c>
      <c r="M801" s="276" t="s">
        <v>4368</v>
      </c>
      <c r="N801" s="276" t="s">
        <v>534</v>
      </c>
    </row>
    <row r="802" spans="1:14" ht="49.5">
      <c r="A802" s="268" t="str">
        <f t="shared" si="12"/>
        <v>Problem Solving &amp; Decision Making|Officer|3</v>
      </c>
      <c r="B802" s="223" t="s">
        <v>498</v>
      </c>
      <c r="C802" s="226" t="s">
        <v>4</v>
      </c>
      <c r="D802" s="227">
        <v>3</v>
      </c>
      <c r="E802" s="227" t="s">
        <v>563</v>
      </c>
      <c r="F802" s="227">
        <v>3</v>
      </c>
      <c r="G802" s="276" t="s">
        <v>4369</v>
      </c>
      <c r="H802" s="276" t="s">
        <v>4370</v>
      </c>
      <c r="I802" s="276" t="s">
        <v>4371</v>
      </c>
      <c r="J802" s="276" t="s">
        <v>4372</v>
      </c>
      <c r="K802" s="276" t="s">
        <v>531</v>
      </c>
      <c r="L802" s="276" t="s">
        <v>532</v>
      </c>
      <c r="M802" s="276" t="s">
        <v>4373</v>
      </c>
      <c r="N802" s="276" t="s">
        <v>534</v>
      </c>
    </row>
    <row r="803" spans="1:14" ht="66">
      <c r="A803" s="268" t="str">
        <f t="shared" si="12"/>
        <v>Problem Solving &amp; Decision Making|Officer|4</v>
      </c>
      <c r="B803" s="223" t="s">
        <v>498</v>
      </c>
      <c r="C803" s="226" t="s">
        <v>4</v>
      </c>
      <c r="D803" s="227">
        <v>4</v>
      </c>
      <c r="E803" s="227" t="s">
        <v>581</v>
      </c>
      <c r="F803" s="227">
        <v>1</v>
      </c>
      <c r="G803" s="276" t="s">
        <v>4374</v>
      </c>
      <c r="H803" s="276" t="s">
        <v>4375</v>
      </c>
      <c r="I803" s="276" t="s">
        <v>4376</v>
      </c>
      <c r="J803" s="276" t="s">
        <v>4377</v>
      </c>
      <c r="K803" s="276" t="s">
        <v>531</v>
      </c>
      <c r="L803" s="276" t="s">
        <v>532</v>
      </c>
      <c r="M803" s="276" t="s">
        <v>4378</v>
      </c>
      <c r="N803" s="276" t="s">
        <v>562</v>
      </c>
    </row>
    <row r="804" spans="1:14" ht="66">
      <c r="A804" s="268" t="str">
        <f t="shared" si="12"/>
        <v>Problem Solving &amp; Decision Making|Officer|4</v>
      </c>
      <c r="B804" s="223" t="s">
        <v>498</v>
      </c>
      <c r="C804" s="226" t="s">
        <v>4</v>
      </c>
      <c r="D804" s="227">
        <v>4</v>
      </c>
      <c r="E804" s="227" t="s">
        <v>581</v>
      </c>
      <c r="F804" s="227">
        <v>2</v>
      </c>
      <c r="G804" s="276" t="s">
        <v>4379</v>
      </c>
      <c r="H804" s="276" t="s">
        <v>4380</v>
      </c>
      <c r="I804" s="276" t="s">
        <v>4381</v>
      </c>
      <c r="J804" s="276" t="s">
        <v>4382</v>
      </c>
      <c r="K804" s="276" t="s">
        <v>531</v>
      </c>
      <c r="L804" s="276" t="s">
        <v>532</v>
      </c>
      <c r="M804" s="276" t="s">
        <v>4383</v>
      </c>
      <c r="N804" s="276" t="s">
        <v>4384</v>
      </c>
    </row>
    <row r="805" spans="1:14" ht="49.5">
      <c r="A805" s="268" t="str">
        <f t="shared" si="12"/>
        <v>Problem Solving &amp; Decision Making|Officer|4</v>
      </c>
      <c r="B805" s="223" t="s">
        <v>498</v>
      </c>
      <c r="C805" s="226" t="s">
        <v>4</v>
      </c>
      <c r="D805" s="227">
        <v>4</v>
      </c>
      <c r="E805" s="227" t="s">
        <v>581</v>
      </c>
      <c r="F805" s="227">
        <v>3</v>
      </c>
      <c r="G805" s="276" t="s">
        <v>4385</v>
      </c>
      <c r="H805" s="276" t="s">
        <v>4386</v>
      </c>
      <c r="I805" s="276" t="s">
        <v>4387</v>
      </c>
      <c r="J805" s="276" t="s">
        <v>4388</v>
      </c>
      <c r="K805" s="276" t="s">
        <v>531</v>
      </c>
      <c r="L805" s="276" t="s">
        <v>532</v>
      </c>
      <c r="M805" s="276" t="s">
        <v>4389</v>
      </c>
      <c r="N805" s="276" t="s">
        <v>562</v>
      </c>
    </row>
    <row r="806" spans="1:14" ht="66">
      <c r="A806" s="268" t="str">
        <f t="shared" si="12"/>
        <v>Problem Solving &amp; Decision Making|Analyst|1</v>
      </c>
      <c r="B806" s="223" t="s">
        <v>498</v>
      </c>
      <c r="C806" s="226" t="s">
        <v>6</v>
      </c>
      <c r="D806" s="226">
        <v>1</v>
      </c>
      <c r="E806" s="227" t="s">
        <v>526</v>
      </c>
      <c r="F806" s="227">
        <v>1</v>
      </c>
      <c r="G806" s="279" t="s">
        <v>4390</v>
      </c>
      <c r="H806" s="279" t="s">
        <v>4391</v>
      </c>
      <c r="I806" s="279" t="s">
        <v>4392</v>
      </c>
      <c r="J806" s="279" t="s">
        <v>4393</v>
      </c>
      <c r="K806" s="279" t="s">
        <v>531</v>
      </c>
      <c r="L806" s="279" t="s">
        <v>532</v>
      </c>
      <c r="M806" s="279" t="s">
        <v>4394</v>
      </c>
      <c r="N806" s="279" t="s">
        <v>534</v>
      </c>
    </row>
    <row r="807" spans="1:14" ht="82.5">
      <c r="A807" s="268" t="str">
        <f t="shared" si="12"/>
        <v>Problem Solving &amp; Decision Making|Analyst|1</v>
      </c>
      <c r="B807" s="223" t="s">
        <v>498</v>
      </c>
      <c r="C807" s="226" t="s">
        <v>6</v>
      </c>
      <c r="D807" s="226">
        <v>1</v>
      </c>
      <c r="E807" s="227" t="s">
        <v>526</v>
      </c>
      <c r="F807" s="227">
        <v>2</v>
      </c>
      <c r="G807" s="279" t="s">
        <v>4395</v>
      </c>
      <c r="H807" s="279" t="s">
        <v>4396</v>
      </c>
      <c r="I807" s="279" t="s">
        <v>4397</v>
      </c>
      <c r="J807" s="279" t="s">
        <v>4398</v>
      </c>
      <c r="K807" s="279" t="s">
        <v>531</v>
      </c>
      <c r="L807" s="279" t="s">
        <v>532</v>
      </c>
      <c r="M807" s="279" t="s">
        <v>4399</v>
      </c>
      <c r="N807" s="279" t="s">
        <v>534</v>
      </c>
    </row>
    <row r="808" spans="1:14" ht="66">
      <c r="A808" s="268" t="str">
        <f t="shared" si="12"/>
        <v>Problem Solving &amp; Decision Making|Analyst|1</v>
      </c>
      <c r="B808" s="223" t="s">
        <v>498</v>
      </c>
      <c r="C808" s="226" t="s">
        <v>6</v>
      </c>
      <c r="D808" s="226">
        <v>1</v>
      </c>
      <c r="E808" s="227" t="s">
        <v>526</v>
      </c>
      <c r="F808" s="227">
        <v>3</v>
      </c>
      <c r="G808" s="279" t="s">
        <v>4400</v>
      </c>
      <c r="H808" s="279" t="s">
        <v>4401</v>
      </c>
      <c r="I808" s="279" t="s">
        <v>4402</v>
      </c>
      <c r="J808" s="279" t="s">
        <v>4403</v>
      </c>
      <c r="K808" s="279" t="s">
        <v>531</v>
      </c>
      <c r="L808" s="279" t="s">
        <v>532</v>
      </c>
      <c r="M808" s="279" t="s">
        <v>4404</v>
      </c>
      <c r="N808" s="279" t="s">
        <v>534</v>
      </c>
    </row>
    <row r="809" spans="1:14" ht="66">
      <c r="A809" s="268" t="str">
        <f t="shared" si="12"/>
        <v>Problem Solving &amp; Decision Making|Analyst|2</v>
      </c>
      <c r="B809" s="223" t="s">
        <v>498</v>
      </c>
      <c r="C809" s="226" t="s">
        <v>6</v>
      </c>
      <c r="D809" s="227">
        <v>2</v>
      </c>
      <c r="E809" s="227" t="s">
        <v>545</v>
      </c>
      <c r="F809" s="227">
        <v>1</v>
      </c>
      <c r="G809" s="279" t="s">
        <v>4075</v>
      </c>
      <c r="H809" s="279" t="s">
        <v>4405</v>
      </c>
      <c r="I809" s="279" t="s">
        <v>4406</v>
      </c>
      <c r="J809" s="279" t="s">
        <v>4407</v>
      </c>
      <c r="K809" s="279" t="s">
        <v>531</v>
      </c>
      <c r="L809" s="279" t="s">
        <v>532</v>
      </c>
      <c r="M809" s="279" t="s">
        <v>4408</v>
      </c>
      <c r="N809" s="279" t="s">
        <v>551</v>
      </c>
    </row>
    <row r="810" spans="1:14" ht="49.5">
      <c r="A810" s="268" t="str">
        <f t="shared" si="12"/>
        <v>Problem Solving &amp; Decision Making|Analyst|2</v>
      </c>
      <c r="B810" s="223" t="s">
        <v>498</v>
      </c>
      <c r="C810" s="226" t="s">
        <v>6</v>
      </c>
      <c r="D810" s="227">
        <v>2</v>
      </c>
      <c r="E810" s="227" t="s">
        <v>545</v>
      </c>
      <c r="F810" s="227">
        <v>2</v>
      </c>
      <c r="G810" s="279" t="s">
        <v>4409</v>
      </c>
      <c r="H810" s="279" t="s">
        <v>4410</v>
      </c>
      <c r="I810" s="279" t="s">
        <v>4411</v>
      </c>
      <c r="J810" s="279" t="s">
        <v>4412</v>
      </c>
      <c r="K810" s="279" t="s">
        <v>531</v>
      </c>
      <c r="L810" s="279" t="s">
        <v>532</v>
      </c>
      <c r="M810" s="279" t="s">
        <v>4413</v>
      </c>
      <c r="N810" s="279" t="s">
        <v>534</v>
      </c>
    </row>
    <row r="811" spans="1:14" ht="49.5">
      <c r="A811" s="268" t="str">
        <f t="shared" si="12"/>
        <v>Problem Solving &amp; Decision Making|Analyst|2</v>
      </c>
      <c r="B811" s="223" t="s">
        <v>498</v>
      </c>
      <c r="C811" s="226" t="s">
        <v>6</v>
      </c>
      <c r="D811" s="227">
        <v>2</v>
      </c>
      <c r="E811" s="227" t="s">
        <v>545</v>
      </c>
      <c r="F811" s="227">
        <v>3</v>
      </c>
      <c r="G811" s="279" t="s">
        <v>4414</v>
      </c>
      <c r="H811" s="279" t="s">
        <v>4415</v>
      </c>
      <c r="I811" s="279" t="s">
        <v>4416</v>
      </c>
      <c r="J811" s="279" t="s">
        <v>4417</v>
      </c>
      <c r="K811" s="279" t="s">
        <v>531</v>
      </c>
      <c r="L811" s="279" t="s">
        <v>532</v>
      </c>
      <c r="M811" s="279" t="s">
        <v>4418</v>
      </c>
      <c r="N811" s="279" t="s">
        <v>534</v>
      </c>
    </row>
    <row r="812" spans="1:14" ht="66">
      <c r="A812" s="268" t="str">
        <f t="shared" si="12"/>
        <v>Problem Solving &amp; Decision Making|Analyst|3</v>
      </c>
      <c r="B812" s="223" t="s">
        <v>498</v>
      </c>
      <c r="C812" s="226" t="s">
        <v>6</v>
      </c>
      <c r="D812" s="227">
        <v>3</v>
      </c>
      <c r="E812" s="227" t="s">
        <v>563</v>
      </c>
      <c r="F812" s="227">
        <v>1</v>
      </c>
      <c r="G812" s="279" t="s">
        <v>996</v>
      </c>
      <c r="H812" s="279" t="s">
        <v>4419</v>
      </c>
      <c r="I812" s="279" t="s">
        <v>4420</v>
      </c>
      <c r="J812" s="279" t="s">
        <v>4421</v>
      </c>
      <c r="K812" s="279" t="s">
        <v>531</v>
      </c>
      <c r="L812" s="279" t="s">
        <v>532</v>
      </c>
      <c r="M812" s="279" t="s">
        <v>4422</v>
      </c>
      <c r="N812" s="279" t="s">
        <v>534</v>
      </c>
    </row>
    <row r="813" spans="1:14" ht="49.5">
      <c r="A813" s="268" t="str">
        <f t="shared" si="12"/>
        <v>Problem Solving &amp; Decision Making|Analyst|3</v>
      </c>
      <c r="B813" s="223" t="s">
        <v>498</v>
      </c>
      <c r="C813" s="226" t="s">
        <v>6</v>
      </c>
      <c r="D813" s="227">
        <v>3</v>
      </c>
      <c r="E813" s="227" t="s">
        <v>563</v>
      </c>
      <c r="F813" s="227">
        <v>2</v>
      </c>
      <c r="G813" s="279" t="s">
        <v>4423</v>
      </c>
      <c r="H813" s="279" t="s">
        <v>4424</v>
      </c>
      <c r="I813" s="279" t="s">
        <v>4425</v>
      </c>
      <c r="J813" s="279" t="s">
        <v>4426</v>
      </c>
      <c r="K813" s="279" t="s">
        <v>531</v>
      </c>
      <c r="L813" s="279" t="s">
        <v>532</v>
      </c>
      <c r="M813" s="279" t="s">
        <v>4427</v>
      </c>
      <c r="N813" s="279" t="s">
        <v>534</v>
      </c>
    </row>
    <row r="814" spans="1:14" ht="49.5">
      <c r="A814" s="268" t="str">
        <f t="shared" si="12"/>
        <v>Problem Solving &amp; Decision Making|Analyst|3</v>
      </c>
      <c r="B814" s="223" t="s">
        <v>498</v>
      </c>
      <c r="C814" s="226" t="s">
        <v>6</v>
      </c>
      <c r="D814" s="227">
        <v>3</v>
      </c>
      <c r="E814" s="227" t="s">
        <v>563</v>
      </c>
      <c r="F814" s="227">
        <v>3</v>
      </c>
      <c r="G814" s="279" t="s">
        <v>4428</v>
      </c>
      <c r="H814" s="279" t="s">
        <v>4429</v>
      </c>
      <c r="I814" s="279" t="s">
        <v>4430</v>
      </c>
      <c r="J814" s="279" t="s">
        <v>4431</v>
      </c>
      <c r="K814" s="279" t="s">
        <v>531</v>
      </c>
      <c r="L814" s="279" t="s">
        <v>532</v>
      </c>
      <c r="M814" s="279" t="s">
        <v>4432</v>
      </c>
      <c r="N814" s="279" t="s">
        <v>1793</v>
      </c>
    </row>
    <row r="815" spans="1:14" ht="66">
      <c r="A815" s="268" t="str">
        <f t="shared" si="12"/>
        <v>Problem Solving &amp; Decision Making|Analyst|4</v>
      </c>
      <c r="B815" s="223" t="s">
        <v>498</v>
      </c>
      <c r="C815" s="226" t="s">
        <v>6</v>
      </c>
      <c r="D815" s="227">
        <v>4</v>
      </c>
      <c r="E815" s="227" t="s">
        <v>581</v>
      </c>
      <c r="F815" s="227">
        <v>1</v>
      </c>
      <c r="G815" s="279" t="s">
        <v>4433</v>
      </c>
      <c r="H815" s="279" t="s">
        <v>4434</v>
      </c>
      <c r="I815" s="279" t="s">
        <v>4435</v>
      </c>
      <c r="J815" s="279" t="s">
        <v>4436</v>
      </c>
      <c r="K815" s="279" t="s">
        <v>531</v>
      </c>
      <c r="L815" s="279" t="s">
        <v>532</v>
      </c>
      <c r="M815" s="279" t="s">
        <v>4437</v>
      </c>
      <c r="N815" s="279" t="s">
        <v>562</v>
      </c>
    </row>
    <row r="816" spans="1:14" ht="49.5">
      <c r="A816" s="268" t="str">
        <f t="shared" si="12"/>
        <v>Problem Solving &amp; Decision Making|Analyst|4</v>
      </c>
      <c r="B816" s="223" t="s">
        <v>498</v>
      </c>
      <c r="C816" s="226" t="s">
        <v>6</v>
      </c>
      <c r="D816" s="227">
        <v>4</v>
      </c>
      <c r="E816" s="227" t="s">
        <v>581</v>
      </c>
      <c r="F816" s="227">
        <v>2</v>
      </c>
      <c r="G816" s="279" t="s">
        <v>4438</v>
      </c>
      <c r="H816" s="279" t="s">
        <v>4439</v>
      </c>
      <c r="I816" s="279" t="s">
        <v>4440</v>
      </c>
      <c r="J816" s="279" t="s">
        <v>4441</v>
      </c>
      <c r="K816" s="279" t="s">
        <v>531</v>
      </c>
      <c r="L816" s="279" t="s">
        <v>532</v>
      </c>
      <c r="M816" s="279" t="s">
        <v>4442</v>
      </c>
      <c r="N816" s="279" t="s">
        <v>4384</v>
      </c>
    </row>
    <row r="817" spans="1:14" ht="49.5">
      <c r="A817" s="268" t="str">
        <f t="shared" si="12"/>
        <v>Problem Solving &amp; Decision Making|Analyst|4</v>
      </c>
      <c r="B817" s="223" t="s">
        <v>498</v>
      </c>
      <c r="C817" s="226" t="s">
        <v>6</v>
      </c>
      <c r="D817" s="227">
        <v>4</v>
      </c>
      <c r="E817" s="227" t="s">
        <v>581</v>
      </c>
      <c r="F817" s="227">
        <v>3</v>
      </c>
      <c r="G817" s="279" t="s">
        <v>4443</v>
      </c>
      <c r="H817" s="279" t="s">
        <v>4444</v>
      </c>
      <c r="I817" s="279" t="s">
        <v>4445</v>
      </c>
      <c r="J817" s="279" t="s">
        <v>4446</v>
      </c>
      <c r="K817" s="279" t="s">
        <v>531</v>
      </c>
      <c r="L817" s="279" t="s">
        <v>532</v>
      </c>
      <c r="M817" s="279" t="s">
        <v>4447</v>
      </c>
      <c r="N817" s="279" t="s">
        <v>562</v>
      </c>
    </row>
    <row r="818" spans="1:14" ht="82.5">
      <c r="A818" s="268" t="str">
        <f t="shared" si="12"/>
        <v>Problem Solving &amp; Decision Making|Unit Head/Specialist|1</v>
      </c>
      <c r="B818" s="223" t="s">
        <v>498</v>
      </c>
      <c r="C818" s="227" t="s">
        <v>13</v>
      </c>
      <c r="D818" s="226">
        <v>1</v>
      </c>
      <c r="E818" s="227" t="s">
        <v>526</v>
      </c>
      <c r="F818" s="227">
        <v>1</v>
      </c>
      <c r="G818" s="279" t="s">
        <v>4448</v>
      </c>
      <c r="H818" s="279" t="s">
        <v>4449</v>
      </c>
      <c r="I818" s="279" t="s">
        <v>4450</v>
      </c>
      <c r="J818" s="279" t="s">
        <v>4451</v>
      </c>
      <c r="K818" s="279" t="s">
        <v>531</v>
      </c>
      <c r="L818" s="279" t="s">
        <v>532</v>
      </c>
      <c r="M818" s="279" t="s">
        <v>4452</v>
      </c>
      <c r="N818" s="279" t="s">
        <v>534</v>
      </c>
    </row>
    <row r="819" spans="1:14" ht="66">
      <c r="A819" s="268" t="str">
        <f t="shared" si="12"/>
        <v>Problem Solving &amp; Decision Making|Unit Head/Specialist|1</v>
      </c>
      <c r="B819" s="223" t="s">
        <v>498</v>
      </c>
      <c r="C819" s="227" t="s">
        <v>13</v>
      </c>
      <c r="D819" s="226">
        <v>1</v>
      </c>
      <c r="E819" s="227" t="s">
        <v>526</v>
      </c>
      <c r="F819" s="227">
        <v>2</v>
      </c>
      <c r="G819" s="279" t="s">
        <v>2335</v>
      </c>
      <c r="H819" s="279" t="s">
        <v>4453</v>
      </c>
      <c r="I819" s="279" t="s">
        <v>4454</v>
      </c>
      <c r="J819" s="279" t="s">
        <v>4455</v>
      </c>
      <c r="K819" s="279" t="s">
        <v>531</v>
      </c>
      <c r="L819" s="279" t="s">
        <v>532</v>
      </c>
      <c r="M819" s="279" t="s">
        <v>4456</v>
      </c>
      <c r="N819" s="279" t="s">
        <v>1508</v>
      </c>
    </row>
    <row r="820" spans="1:14" ht="66">
      <c r="A820" s="268" t="str">
        <f t="shared" si="12"/>
        <v>Problem Solving &amp; Decision Making|Unit Head/Specialist|1</v>
      </c>
      <c r="B820" s="223" t="s">
        <v>498</v>
      </c>
      <c r="C820" s="227" t="s">
        <v>13</v>
      </c>
      <c r="D820" s="226">
        <v>1</v>
      </c>
      <c r="E820" s="227" t="s">
        <v>526</v>
      </c>
      <c r="F820" s="227">
        <v>3</v>
      </c>
      <c r="G820" s="279" t="s">
        <v>2340</v>
      </c>
      <c r="H820" s="279" t="s">
        <v>4457</v>
      </c>
      <c r="I820" s="279" t="s">
        <v>4458</v>
      </c>
      <c r="J820" s="279" t="s">
        <v>2343</v>
      </c>
      <c r="K820" s="279" t="s">
        <v>531</v>
      </c>
      <c r="L820" s="279" t="s">
        <v>532</v>
      </c>
      <c r="M820" s="279" t="s">
        <v>4459</v>
      </c>
      <c r="N820" s="279" t="s">
        <v>534</v>
      </c>
    </row>
    <row r="821" spans="1:14" ht="66">
      <c r="A821" s="268" t="str">
        <f t="shared" si="12"/>
        <v>Problem Solving &amp; Decision Making|Unit Head/Specialist|2</v>
      </c>
      <c r="B821" s="223" t="s">
        <v>498</v>
      </c>
      <c r="C821" s="227" t="s">
        <v>13</v>
      </c>
      <c r="D821" s="227">
        <v>2</v>
      </c>
      <c r="E821" s="227" t="s">
        <v>545</v>
      </c>
      <c r="F821" s="227">
        <v>1</v>
      </c>
      <c r="G821" s="279" t="s">
        <v>2345</v>
      </c>
      <c r="H821" s="279" t="s">
        <v>2346</v>
      </c>
      <c r="I821" s="279" t="s">
        <v>4460</v>
      </c>
      <c r="J821" s="279" t="s">
        <v>4461</v>
      </c>
      <c r="K821" s="279" t="s">
        <v>531</v>
      </c>
      <c r="L821" s="279" t="s">
        <v>532</v>
      </c>
      <c r="M821" s="279" t="s">
        <v>4462</v>
      </c>
      <c r="N821" s="279" t="s">
        <v>551</v>
      </c>
    </row>
    <row r="822" spans="1:14" ht="66">
      <c r="A822" s="268" t="str">
        <f t="shared" si="12"/>
        <v>Problem Solving &amp; Decision Making|Unit Head/Specialist|2</v>
      </c>
      <c r="B822" s="223" t="s">
        <v>498</v>
      </c>
      <c r="C822" s="227" t="s">
        <v>13</v>
      </c>
      <c r="D822" s="227">
        <v>2</v>
      </c>
      <c r="E822" s="227" t="s">
        <v>545</v>
      </c>
      <c r="F822" s="227">
        <v>2</v>
      </c>
      <c r="G822" s="279" t="s">
        <v>4463</v>
      </c>
      <c r="H822" s="279" t="s">
        <v>4464</v>
      </c>
      <c r="I822" s="279" t="s">
        <v>4465</v>
      </c>
      <c r="J822" s="279" t="s">
        <v>4466</v>
      </c>
      <c r="K822" s="279" t="s">
        <v>531</v>
      </c>
      <c r="L822" s="279" t="s">
        <v>532</v>
      </c>
      <c r="M822" s="279" t="s">
        <v>4467</v>
      </c>
      <c r="N822" s="279" t="s">
        <v>562</v>
      </c>
    </row>
    <row r="823" spans="1:14" ht="33">
      <c r="A823" s="268" t="str">
        <f t="shared" si="12"/>
        <v>Problem Solving &amp; Decision Making|Unit Head/Specialist|2</v>
      </c>
      <c r="B823" s="223" t="s">
        <v>498</v>
      </c>
      <c r="C823" s="227" t="s">
        <v>13</v>
      </c>
      <c r="D823" s="227">
        <v>2</v>
      </c>
      <c r="E823" s="227" t="s">
        <v>545</v>
      </c>
      <c r="F823" s="227">
        <v>3</v>
      </c>
      <c r="G823" s="279" t="s">
        <v>2355</v>
      </c>
      <c r="H823" s="279" t="s">
        <v>2356</v>
      </c>
      <c r="I823" s="279" t="s">
        <v>4468</v>
      </c>
      <c r="J823" s="279" t="s">
        <v>4469</v>
      </c>
      <c r="K823" s="279" t="s">
        <v>531</v>
      </c>
      <c r="L823" s="279" t="s">
        <v>532</v>
      </c>
      <c r="M823" s="279" t="s">
        <v>4470</v>
      </c>
      <c r="N823" s="279" t="s">
        <v>562</v>
      </c>
    </row>
    <row r="824" spans="1:14" ht="66">
      <c r="A824" s="268" t="str">
        <f t="shared" si="12"/>
        <v>Problem Solving &amp; Decision Making|Unit Head/Specialist|3</v>
      </c>
      <c r="B824" s="223" t="s">
        <v>498</v>
      </c>
      <c r="C824" s="227" t="s">
        <v>13</v>
      </c>
      <c r="D824" s="227">
        <v>3</v>
      </c>
      <c r="E824" s="227" t="s">
        <v>563</v>
      </c>
      <c r="F824" s="227">
        <v>1</v>
      </c>
      <c r="G824" s="279" t="s">
        <v>4471</v>
      </c>
      <c r="H824" s="279" t="s">
        <v>4472</v>
      </c>
      <c r="I824" s="279" t="s">
        <v>4473</v>
      </c>
      <c r="J824" s="279" t="s">
        <v>4474</v>
      </c>
      <c r="K824" s="279" t="s">
        <v>531</v>
      </c>
      <c r="L824" s="279" t="s">
        <v>532</v>
      </c>
      <c r="M824" s="279" t="s">
        <v>4475</v>
      </c>
      <c r="N824" s="279" t="s">
        <v>534</v>
      </c>
    </row>
    <row r="825" spans="1:14" ht="66">
      <c r="A825" s="268" t="str">
        <f t="shared" si="12"/>
        <v>Problem Solving &amp; Decision Making|Unit Head/Specialist|3</v>
      </c>
      <c r="B825" s="223" t="s">
        <v>498</v>
      </c>
      <c r="C825" s="227" t="s">
        <v>13</v>
      </c>
      <c r="D825" s="227">
        <v>3</v>
      </c>
      <c r="E825" s="227" t="s">
        <v>563</v>
      </c>
      <c r="F825" s="227">
        <v>2</v>
      </c>
      <c r="G825" s="279" t="s">
        <v>4476</v>
      </c>
      <c r="H825" s="279" t="s">
        <v>4477</v>
      </c>
      <c r="I825" s="279" t="s">
        <v>4478</v>
      </c>
      <c r="J825" s="279" t="s">
        <v>2368</v>
      </c>
      <c r="K825" s="279" t="s">
        <v>531</v>
      </c>
      <c r="L825" s="279" t="s">
        <v>532</v>
      </c>
      <c r="M825" s="279" t="s">
        <v>4479</v>
      </c>
      <c r="N825" s="279" t="s">
        <v>562</v>
      </c>
    </row>
    <row r="826" spans="1:14" ht="99">
      <c r="A826" s="268" t="str">
        <f t="shared" si="12"/>
        <v>Problem Solving &amp; Decision Making|Unit Head/Specialist|3</v>
      </c>
      <c r="B826" s="223" t="s">
        <v>498</v>
      </c>
      <c r="C826" s="227" t="s">
        <v>13</v>
      </c>
      <c r="D826" s="227">
        <v>3</v>
      </c>
      <c r="E826" s="227" t="s">
        <v>563</v>
      </c>
      <c r="F826" s="227">
        <v>3</v>
      </c>
      <c r="G826" s="279" t="s">
        <v>4480</v>
      </c>
      <c r="H826" s="279" t="s">
        <v>4481</v>
      </c>
      <c r="I826" s="279" t="s">
        <v>4482</v>
      </c>
      <c r="J826" s="279" t="s">
        <v>948</v>
      </c>
      <c r="K826" s="279" t="s">
        <v>531</v>
      </c>
      <c r="L826" s="279" t="s">
        <v>532</v>
      </c>
      <c r="M826" s="279" t="s">
        <v>4483</v>
      </c>
      <c r="N826" s="279" t="s">
        <v>580</v>
      </c>
    </row>
    <row r="827" spans="1:14" ht="66">
      <c r="A827" s="268" t="str">
        <f t="shared" si="12"/>
        <v>Problem Solving &amp; Decision Making|Unit Head/Specialist|4</v>
      </c>
      <c r="B827" s="223" t="s">
        <v>498</v>
      </c>
      <c r="C827" s="227" t="s">
        <v>13</v>
      </c>
      <c r="D827" s="227">
        <v>4</v>
      </c>
      <c r="E827" s="227" t="s">
        <v>581</v>
      </c>
      <c r="F827" s="227">
        <v>1</v>
      </c>
      <c r="G827" s="279" t="s">
        <v>4484</v>
      </c>
      <c r="H827" s="279" t="s">
        <v>4485</v>
      </c>
      <c r="I827" s="279" t="s">
        <v>4486</v>
      </c>
      <c r="J827" s="279" t="s">
        <v>4487</v>
      </c>
      <c r="K827" s="279" t="s">
        <v>531</v>
      </c>
      <c r="L827" s="279" t="s">
        <v>532</v>
      </c>
      <c r="M827" s="279" t="s">
        <v>4488</v>
      </c>
      <c r="N827" s="279" t="s">
        <v>562</v>
      </c>
    </row>
    <row r="828" spans="1:14" ht="49.5">
      <c r="A828" s="268" t="str">
        <f t="shared" si="12"/>
        <v>Problem Solving &amp; Decision Making|Unit Head/Specialist|4</v>
      </c>
      <c r="B828" s="223" t="s">
        <v>498</v>
      </c>
      <c r="C828" s="227" t="s">
        <v>13</v>
      </c>
      <c r="D828" s="227">
        <v>4</v>
      </c>
      <c r="E828" s="227" t="s">
        <v>581</v>
      </c>
      <c r="F828" s="227">
        <v>2</v>
      </c>
      <c r="G828" s="279" t="s">
        <v>4489</v>
      </c>
      <c r="H828" s="279" t="s">
        <v>2386</v>
      </c>
      <c r="I828" s="279" t="s">
        <v>4490</v>
      </c>
      <c r="J828" s="279" t="s">
        <v>4491</v>
      </c>
      <c r="K828" s="279" t="s">
        <v>531</v>
      </c>
      <c r="L828" s="279" t="s">
        <v>532</v>
      </c>
      <c r="M828" s="279" t="s">
        <v>4492</v>
      </c>
      <c r="N828" s="279" t="s">
        <v>562</v>
      </c>
    </row>
    <row r="829" spans="1:14" ht="66">
      <c r="A829" s="268" t="str">
        <f t="shared" si="12"/>
        <v>Problem Solving &amp; Decision Making|Unit Head/Specialist|4</v>
      </c>
      <c r="B829" s="223" t="s">
        <v>498</v>
      </c>
      <c r="C829" s="227" t="s">
        <v>13</v>
      </c>
      <c r="D829" s="227">
        <v>4</v>
      </c>
      <c r="E829" s="227" t="s">
        <v>581</v>
      </c>
      <c r="F829" s="227">
        <v>3</v>
      </c>
      <c r="G829" s="279" t="s">
        <v>4493</v>
      </c>
      <c r="H829" s="279" t="s">
        <v>4494</v>
      </c>
      <c r="I829" s="279" t="s">
        <v>4495</v>
      </c>
      <c r="J829" s="279" t="s">
        <v>4496</v>
      </c>
      <c r="K829" s="279" t="s">
        <v>531</v>
      </c>
      <c r="L829" s="279" t="s">
        <v>532</v>
      </c>
      <c r="M829" s="279" t="s">
        <v>4497</v>
      </c>
      <c r="N829" s="279" t="s">
        <v>562</v>
      </c>
    </row>
    <row r="830" spans="1:14" ht="82.5">
      <c r="A830" s="268" t="str">
        <f t="shared" si="12"/>
        <v>Problem Solving &amp; Decision Making|Department Head|1</v>
      </c>
      <c r="B830" s="223" t="s">
        <v>498</v>
      </c>
      <c r="C830" s="227" t="s">
        <v>719</v>
      </c>
      <c r="D830" s="226">
        <v>1</v>
      </c>
      <c r="E830" s="227" t="s">
        <v>526</v>
      </c>
      <c r="F830" s="227">
        <v>1</v>
      </c>
      <c r="G830" s="279" t="s">
        <v>4498</v>
      </c>
      <c r="H830" s="279" t="s">
        <v>4499</v>
      </c>
      <c r="I830" s="279" t="s">
        <v>4500</v>
      </c>
      <c r="J830" s="279" t="s">
        <v>4501</v>
      </c>
      <c r="K830" s="279" t="s">
        <v>531</v>
      </c>
      <c r="L830" s="279" t="s">
        <v>532</v>
      </c>
      <c r="M830" s="279" t="s">
        <v>4502</v>
      </c>
      <c r="N830" s="279" t="s">
        <v>534</v>
      </c>
    </row>
    <row r="831" spans="1:14" ht="66">
      <c r="A831" s="268" t="str">
        <f t="shared" si="12"/>
        <v>Problem Solving &amp; Decision Making|Department Head|1</v>
      </c>
      <c r="B831" s="223" t="s">
        <v>498</v>
      </c>
      <c r="C831" s="227" t="s">
        <v>719</v>
      </c>
      <c r="D831" s="226">
        <v>1</v>
      </c>
      <c r="E831" s="227" t="s">
        <v>526</v>
      </c>
      <c r="F831" s="227">
        <v>2</v>
      </c>
      <c r="G831" s="279" t="s">
        <v>4503</v>
      </c>
      <c r="H831" s="279" t="s">
        <v>4504</v>
      </c>
      <c r="I831" s="279" t="s">
        <v>4505</v>
      </c>
      <c r="J831" s="279" t="s">
        <v>4506</v>
      </c>
      <c r="K831" s="279" t="s">
        <v>531</v>
      </c>
      <c r="L831" s="279" t="s">
        <v>532</v>
      </c>
      <c r="M831" s="279" t="s">
        <v>4507</v>
      </c>
      <c r="N831" s="279" t="s">
        <v>534</v>
      </c>
    </row>
    <row r="832" spans="1:14" ht="49.5">
      <c r="A832" s="268" t="str">
        <f t="shared" si="12"/>
        <v>Problem Solving &amp; Decision Making|Department Head|1</v>
      </c>
      <c r="B832" s="223" t="s">
        <v>498</v>
      </c>
      <c r="C832" s="227" t="s">
        <v>719</v>
      </c>
      <c r="D832" s="226">
        <v>1</v>
      </c>
      <c r="E832" s="227" t="s">
        <v>526</v>
      </c>
      <c r="F832" s="227">
        <v>3</v>
      </c>
      <c r="G832" s="279" t="s">
        <v>4508</v>
      </c>
      <c r="H832" s="279" t="s">
        <v>4509</v>
      </c>
      <c r="I832" s="279" t="s">
        <v>4510</v>
      </c>
      <c r="J832" s="279" t="s">
        <v>4511</v>
      </c>
      <c r="K832" s="279" t="s">
        <v>531</v>
      </c>
      <c r="L832" s="279" t="s">
        <v>532</v>
      </c>
      <c r="M832" s="279" t="s">
        <v>4512</v>
      </c>
      <c r="N832" s="279" t="s">
        <v>562</v>
      </c>
    </row>
    <row r="833" spans="1:14" ht="66">
      <c r="A833" s="268" t="str">
        <f t="shared" si="12"/>
        <v>Problem Solving &amp; Decision Making|Department Head|2</v>
      </c>
      <c r="B833" s="223" t="s">
        <v>498</v>
      </c>
      <c r="C833" s="227" t="s">
        <v>719</v>
      </c>
      <c r="D833" s="227">
        <v>2</v>
      </c>
      <c r="E833" s="227" t="s">
        <v>545</v>
      </c>
      <c r="F833" s="227">
        <v>1</v>
      </c>
      <c r="G833" s="279" t="s">
        <v>4513</v>
      </c>
      <c r="H833" s="279" t="s">
        <v>4514</v>
      </c>
      <c r="I833" s="279" t="s">
        <v>4515</v>
      </c>
      <c r="J833" s="279" t="s">
        <v>4516</v>
      </c>
      <c r="K833" s="279" t="s">
        <v>531</v>
      </c>
      <c r="L833" s="279" t="s">
        <v>532</v>
      </c>
      <c r="M833" s="279" t="s">
        <v>4517</v>
      </c>
      <c r="N833" s="279" t="s">
        <v>551</v>
      </c>
    </row>
    <row r="834" spans="1:14" ht="49.5">
      <c r="A834" s="268" t="str">
        <f t="shared" si="12"/>
        <v>Problem Solving &amp; Decision Making|Department Head|2</v>
      </c>
      <c r="B834" s="223" t="s">
        <v>498</v>
      </c>
      <c r="C834" s="227" t="s">
        <v>719</v>
      </c>
      <c r="D834" s="227">
        <v>2</v>
      </c>
      <c r="E834" s="227" t="s">
        <v>545</v>
      </c>
      <c r="F834" s="227">
        <v>2</v>
      </c>
      <c r="G834" s="279" t="s">
        <v>4518</v>
      </c>
      <c r="H834" s="279" t="s">
        <v>4519</v>
      </c>
      <c r="I834" s="279" t="s">
        <v>4520</v>
      </c>
      <c r="J834" s="279" t="s">
        <v>4521</v>
      </c>
      <c r="K834" s="279" t="s">
        <v>531</v>
      </c>
      <c r="L834" s="279" t="s">
        <v>532</v>
      </c>
      <c r="M834" s="279" t="s">
        <v>4522</v>
      </c>
      <c r="N834" s="279" t="s">
        <v>562</v>
      </c>
    </row>
    <row r="835" spans="1:14" ht="66">
      <c r="A835" s="268" t="str">
        <f t="shared" ref="A835:A898" si="13">B835 &amp; "|" &amp; C835 &amp; "|" &amp; D835</f>
        <v>Problem Solving &amp; Decision Making|Department Head|2</v>
      </c>
      <c r="B835" s="223" t="s">
        <v>498</v>
      </c>
      <c r="C835" s="227" t="s">
        <v>719</v>
      </c>
      <c r="D835" s="227">
        <v>2</v>
      </c>
      <c r="E835" s="227" t="s">
        <v>545</v>
      </c>
      <c r="F835" s="227">
        <v>3</v>
      </c>
      <c r="G835" s="279" t="s">
        <v>4523</v>
      </c>
      <c r="H835" s="279" t="s">
        <v>4524</v>
      </c>
      <c r="I835" s="279" t="s">
        <v>4525</v>
      </c>
      <c r="J835" s="279" t="s">
        <v>4526</v>
      </c>
      <c r="K835" s="279" t="s">
        <v>531</v>
      </c>
      <c r="L835" s="279" t="s">
        <v>532</v>
      </c>
      <c r="M835" s="279" t="s">
        <v>4527</v>
      </c>
      <c r="N835" s="279" t="s">
        <v>562</v>
      </c>
    </row>
    <row r="836" spans="1:14" ht="82.5">
      <c r="A836" s="268" t="str">
        <f t="shared" si="13"/>
        <v>Problem Solving &amp; Decision Making|Department Head|3</v>
      </c>
      <c r="B836" s="223" t="s">
        <v>498</v>
      </c>
      <c r="C836" s="227" t="s">
        <v>719</v>
      </c>
      <c r="D836" s="227">
        <v>3</v>
      </c>
      <c r="E836" s="227" t="s">
        <v>563</v>
      </c>
      <c r="F836" s="227">
        <v>1</v>
      </c>
      <c r="G836" s="279" t="s">
        <v>4528</v>
      </c>
      <c r="H836" s="279" t="s">
        <v>4529</v>
      </c>
      <c r="I836" s="279" t="s">
        <v>4530</v>
      </c>
      <c r="J836" s="279" t="s">
        <v>4531</v>
      </c>
      <c r="K836" s="279" t="s">
        <v>531</v>
      </c>
      <c r="L836" s="279" t="s">
        <v>532</v>
      </c>
      <c r="M836" s="279" t="s">
        <v>4532</v>
      </c>
      <c r="N836" s="279" t="s">
        <v>534</v>
      </c>
    </row>
    <row r="837" spans="1:14" ht="49.5">
      <c r="A837" s="268" t="str">
        <f t="shared" si="13"/>
        <v>Problem Solving &amp; Decision Making|Department Head|3</v>
      </c>
      <c r="B837" s="223" t="s">
        <v>498</v>
      </c>
      <c r="C837" s="227" t="s">
        <v>719</v>
      </c>
      <c r="D837" s="227">
        <v>3</v>
      </c>
      <c r="E837" s="227" t="s">
        <v>563</v>
      </c>
      <c r="F837" s="227">
        <v>2</v>
      </c>
      <c r="G837" s="279" t="s">
        <v>4533</v>
      </c>
      <c r="H837" s="279" t="s">
        <v>4534</v>
      </c>
      <c r="I837" s="279" t="s">
        <v>4535</v>
      </c>
      <c r="J837" s="279" t="s">
        <v>4536</v>
      </c>
      <c r="K837" s="279" t="s">
        <v>531</v>
      </c>
      <c r="L837" s="279" t="s">
        <v>532</v>
      </c>
      <c r="M837" s="279" t="s">
        <v>4537</v>
      </c>
      <c r="N837" s="279" t="s">
        <v>4538</v>
      </c>
    </row>
    <row r="838" spans="1:14" ht="82.5">
      <c r="A838" s="268" t="str">
        <f t="shared" si="13"/>
        <v>Problem Solving &amp; Decision Making|Department Head|3</v>
      </c>
      <c r="B838" s="223" t="s">
        <v>498</v>
      </c>
      <c r="C838" s="227" t="s">
        <v>719</v>
      </c>
      <c r="D838" s="227">
        <v>3</v>
      </c>
      <c r="E838" s="227" t="s">
        <v>563</v>
      </c>
      <c r="F838" s="227">
        <v>3</v>
      </c>
      <c r="G838" s="279" t="s">
        <v>4539</v>
      </c>
      <c r="H838" s="279" t="s">
        <v>4540</v>
      </c>
      <c r="I838" s="279" t="s">
        <v>4541</v>
      </c>
      <c r="J838" s="279" t="s">
        <v>948</v>
      </c>
      <c r="K838" s="279" t="s">
        <v>531</v>
      </c>
      <c r="L838" s="279" t="s">
        <v>532</v>
      </c>
      <c r="M838" s="279" t="s">
        <v>4542</v>
      </c>
      <c r="N838" s="279" t="s">
        <v>580</v>
      </c>
    </row>
    <row r="839" spans="1:14" ht="66">
      <c r="A839" s="268" t="str">
        <f t="shared" si="13"/>
        <v>Problem Solving &amp; Decision Making|Department Head|4</v>
      </c>
      <c r="B839" s="223" t="s">
        <v>498</v>
      </c>
      <c r="C839" s="227" t="s">
        <v>719</v>
      </c>
      <c r="D839" s="227">
        <v>4</v>
      </c>
      <c r="E839" s="227" t="s">
        <v>581</v>
      </c>
      <c r="F839" s="227">
        <v>1</v>
      </c>
      <c r="G839" s="279" t="s">
        <v>4543</v>
      </c>
      <c r="H839" s="279" t="s">
        <v>4544</v>
      </c>
      <c r="I839" s="279" t="s">
        <v>4545</v>
      </c>
      <c r="J839" s="279" t="s">
        <v>4546</v>
      </c>
      <c r="K839" s="279" t="s">
        <v>531</v>
      </c>
      <c r="L839" s="279" t="s">
        <v>532</v>
      </c>
      <c r="M839" s="279" t="s">
        <v>4547</v>
      </c>
      <c r="N839" s="279" t="s">
        <v>562</v>
      </c>
    </row>
    <row r="840" spans="1:14" ht="66">
      <c r="A840" s="268" t="str">
        <f t="shared" si="13"/>
        <v>Problem Solving &amp; Decision Making|Department Head|4</v>
      </c>
      <c r="B840" s="223" t="s">
        <v>498</v>
      </c>
      <c r="C840" s="227" t="s">
        <v>719</v>
      </c>
      <c r="D840" s="227">
        <v>4</v>
      </c>
      <c r="E840" s="227" t="s">
        <v>581</v>
      </c>
      <c r="F840" s="227">
        <v>2</v>
      </c>
      <c r="G840" s="279" t="s">
        <v>4548</v>
      </c>
      <c r="H840" s="279" t="s">
        <v>4549</v>
      </c>
      <c r="I840" s="279" t="s">
        <v>4550</v>
      </c>
      <c r="J840" s="279" t="s">
        <v>4551</v>
      </c>
      <c r="K840" s="279" t="s">
        <v>531</v>
      </c>
      <c r="L840" s="279" t="s">
        <v>532</v>
      </c>
      <c r="M840" s="279" t="s">
        <v>4552</v>
      </c>
      <c r="N840" s="279" t="s">
        <v>562</v>
      </c>
    </row>
    <row r="841" spans="1:14" ht="66">
      <c r="A841" s="268" t="str">
        <f t="shared" si="13"/>
        <v>Problem Solving &amp; Decision Making|Department Head|4</v>
      </c>
      <c r="B841" s="223" t="s">
        <v>498</v>
      </c>
      <c r="C841" s="227" t="s">
        <v>719</v>
      </c>
      <c r="D841" s="227">
        <v>4</v>
      </c>
      <c r="E841" s="227" t="s">
        <v>581</v>
      </c>
      <c r="F841" s="227">
        <v>3</v>
      </c>
      <c r="G841" s="279" t="s">
        <v>4553</v>
      </c>
      <c r="H841" s="279" t="s">
        <v>4554</v>
      </c>
      <c r="I841" s="279" t="s">
        <v>4555</v>
      </c>
      <c r="J841" s="279" t="s">
        <v>4556</v>
      </c>
      <c r="K841" s="279" t="s">
        <v>531</v>
      </c>
      <c r="L841" s="279" t="s">
        <v>532</v>
      </c>
      <c r="M841" s="279" t="s">
        <v>4557</v>
      </c>
      <c r="N841" s="279" t="s">
        <v>1868</v>
      </c>
    </row>
    <row r="842" spans="1:14" ht="66">
      <c r="A842" s="268" t="str">
        <f t="shared" si="13"/>
        <v>Problem Solving &amp; Decision Making|Division Head|1</v>
      </c>
      <c r="B842" s="223" t="s">
        <v>498</v>
      </c>
      <c r="C842" s="227" t="s">
        <v>778</v>
      </c>
      <c r="D842" s="226">
        <v>1</v>
      </c>
      <c r="E842" s="227" t="s">
        <v>526</v>
      </c>
      <c r="F842" s="227">
        <v>1</v>
      </c>
      <c r="G842" s="279" t="s">
        <v>4558</v>
      </c>
      <c r="H842" s="279" t="s">
        <v>4559</v>
      </c>
      <c r="I842" s="279" t="s">
        <v>4560</v>
      </c>
      <c r="J842" s="279" t="s">
        <v>4561</v>
      </c>
      <c r="K842" s="279" t="s">
        <v>531</v>
      </c>
      <c r="L842" s="279" t="s">
        <v>532</v>
      </c>
      <c r="M842" s="279" t="s">
        <v>4562</v>
      </c>
      <c r="N842" s="279" t="s">
        <v>534</v>
      </c>
    </row>
    <row r="843" spans="1:14" ht="49.5">
      <c r="A843" s="268" t="str">
        <f t="shared" si="13"/>
        <v>Problem Solving &amp; Decision Making|Division Head|1</v>
      </c>
      <c r="B843" s="223" t="s">
        <v>498</v>
      </c>
      <c r="C843" s="227" t="s">
        <v>778</v>
      </c>
      <c r="D843" s="226">
        <v>1</v>
      </c>
      <c r="E843" s="227" t="s">
        <v>526</v>
      </c>
      <c r="F843" s="227">
        <v>2</v>
      </c>
      <c r="G843" s="279" t="s">
        <v>1826</v>
      </c>
      <c r="H843" s="279" t="s">
        <v>4563</v>
      </c>
      <c r="I843" s="279" t="s">
        <v>4564</v>
      </c>
      <c r="J843" s="279" t="s">
        <v>4565</v>
      </c>
      <c r="K843" s="279" t="s">
        <v>531</v>
      </c>
      <c r="L843" s="279" t="s">
        <v>532</v>
      </c>
      <c r="M843" s="279" t="s">
        <v>4566</v>
      </c>
      <c r="N843" s="279" t="s">
        <v>534</v>
      </c>
    </row>
    <row r="844" spans="1:14" ht="49.5">
      <c r="A844" s="268" t="str">
        <f t="shared" si="13"/>
        <v>Problem Solving &amp; Decision Making|Division Head|1</v>
      </c>
      <c r="B844" s="223" t="s">
        <v>498</v>
      </c>
      <c r="C844" s="227" t="s">
        <v>778</v>
      </c>
      <c r="D844" s="226">
        <v>1</v>
      </c>
      <c r="E844" s="227" t="s">
        <v>526</v>
      </c>
      <c r="F844" s="227">
        <v>3</v>
      </c>
      <c r="G844" s="279" t="s">
        <v>4567</v>
      </c>
      <c r="H844" s="279" t="s">
        <v>4568</v>
      </c>
      <c r="I844" s="279" t="s">
        <v>4569</v>
      </c>
      <c r="J844" s="279" t="s">
        <v>4570</v>
      </c>
      <c r="K844" s="279" t="s">
        <v>531</v>
      </c>
      <c r="L844" s="279" t="s">
        <v>532</v>
      </c>
      <c r="M844" s="279" t="s">
        <v>4571</v>
      </c>
      <c r="N844" s="279" t="s">
        <v>534</v>
      </c>
    </row>
    <row r="845" spans="1:14" ht="49.5">
      <c r="A845" s="268" t="str">
        <f t="shared" si="13"/>
        <v>Problem Solving &amp; Decision Making|Division Head|2</v>
      </c>
      <c r="B845" s="223" t="s">
        <v>498</v>
      </c>
      <c r="C845" s="227" t="s">
        <v>778</v>
      </c>
      <c r="D845" s="227">
        <v>2</v>
      </c>
      <c r="E845" s="227" t="s">
        <v>545</v>
      </c>
      <c r="F845" s="227">
        <v>1</v>
      </c>
      <c r="G845" s="279" t="s">
        <v>4572</v>
      </c>
      <c r="H845" s="279" t="s">
        <v>4573</v>
      </c>
      <c r="I845" s="279" t="s">
        <v>4574</v>
      </c>
      <c r="J845" s="279" t="s">
        <v>4575</v>
      </c>
      <c r="K845" s="279" t="s">
        <v>531</v>
      </c>
      <c r="L845" s="279" t="s">
        <v>532</v>
      </c>
      <c r="M845" s="279" t="s">
        <v>4576</v>
      </c>
      <c r="N845" s="279" t="s">
        <v>551</v>
      </c>
    </row>
    <row r="846" spans="1:14" ht="49.5">
      <c r="A846" s="268" t="str">
        <f t="shared" si="13"/>
        <v>Problem Solving &amp; Decision Making|Division Head|2</v>
      </c>
      <c r="B846" s="223" t="s">
        <v>498</v>
      </c>
      <c r="C846" s="227" t="s">
        <v>778</v>
      </c>
      <c r="D846" s="227">
        <v>2</v>
      </c>
      <c r="E846" s="227" t="s">
        <v>545</v>
      </c>
      <c r="F846" s="227">
        <v>2</v>
      </c>
      <c r="G846" s="279" t="s">
        <v>4577</v>
      </c>
      <c r="H846" s="279" t="s">
        <v>4578</v>
      </c>
      <c r="I846" s="279" t="s">
        <v>4579</v>
      </c>
      <c r="J846" s="279" t="s">
        <v>4580</v>
      </c>
      <c r="K846" s="279" t="s">
        <v>531</v>
      </c>
      <c r="L846" s="279" t="s">
        <v>532</v>
      </c>
      <c r="M846" s="279" t="s">
        <v>4581</v>
      </c>
      <c r="N846" s="279" t="s">
        <v>562</v>
      </c>
    </row>
    <row r="847" spans="1:14" ht="33">
      <c r="A847" s="268" t="str">
        <f t="shared" si="13"/>
        <v>Problem Solving &amp; Decision Making|Division Head|2</v>
      </c>
      <c r="B847" s="223" t="s">
        <v>498</v>
      </c>
      <c r="C847" s="227" t="s">
        <v>778</v>
      </c>
      <c r="D847" s="227">
        <v>2</v>
      </c>
      <c r="E847" s="227" t="s">
        <v>545</v>
      </c>
      <c r="F847" s="227">
        <v>3</v>
      </c>
      <c r="G847" s="279" t="s">
        <v>4582</v>
      </c>
      <c r="H847" s="279" t="s">
        <v>4583</v>
      </c>
      <c r="I847" s="279" t="s">
        <v>4584</v>
      </c>
      <c r="J847" s="279" t="s">
        <v>4585</v>
      </c>
      <c r="K847" s="279" t="s">
        <v>531</v>
      </c>
      <c r="L847" s="279" t="s">
        <v>532</v>
      </c>
      <c r="M847" s="279" t="s">
        <v>4586</v>
      </c>
      <c r="N847" s="279" t="s">
        <v>562</v>
      </c>
    </row>
    <row r="848" spans="1:14" ht="66">
      <c r="A848" s="268" t="str">
        <f t="shared" si="13"/>
        <v>Problem Solving &amp; Decision Making|Division Head|3</v>
      </c>
      <c r="B848" s="223" t="s">
        <v>498</v>
      </c>
      <c r="C848" s="227" t="s">
        <v>778</v>
      </c>
      <c r="D848" s="227">
        <v>3</v>
      </c>
      <c r="E848" s="227" t="s">
        <v>563</v>
      </c>
      <c r="F848" s="227">
        <v>1</v>
      </c>
      <c r="G848" s="279" t="s">
        <v>1850</v>
      </c>
      <c r="H848" s="279" t="s">
        <v>1851</v>
      </c>
      <c r="I848" s="279" t="s">
        <v>4587</v>
      </c>
      <c r="J848" s="279" t="s">
        <v>4588</v>
      </c>
      <c r="K848" s="279" t="s">
        <v>531</v>
      </c>
      <c r="L848" s="279" t="s">
        <v>532</v>
      </c>
      <c r="M848" s="279" t="s">
        <v>2895</v>
      </c>
      <c r="N848" s="279" t="s">
        <v>534</v>
      </c>
    </row>
    <row r="849" spans="1:14" ht="49.5">
      <c r="A849" s="268" t="str">
        <f t="shared" si="13"/>
        <v>Problem Solving &amp; Decision Making|Division Head|3</v>
      </c>
      <c r="B849" s="223" t="s">
        <v>498</v>
      </c>
      <c r="C849" s="227" t="s">
        <v>778</v>
      </c>
      <c r="D849" s="227">
        <v>3</v>
      </c>
      <c r="E849" s="227" t="s">
        <v>563</v>
      </c>
      <c r="F849" s="227">
        <v>2</v>
      </c>
      <c r="G849" s="279" t="s">
        <v>4589</v>
      </c>
      <c r="H849" s="279" t="s">
        <v>4590</v>
      </c>
      <c r="I849" s="279" t="s">
        <v>4591</v>
      </c>
      <c r="J849" s="279" t="s">
        <v>757</v>
      </c>
      <c r="K849" s="279" t="s">
        <v>531</v>
      </c>
      <c r="L849" s="279" t="s">
        <v>532</v>
      </c>
      <c r="M849" s="279" t="s">
        <v>4592</v>
      </c>
      <c r="N849" s="279" t="s">
        <v>562</v>
      </c>
    </row>
    <row r="850" spans="1:14" ht="66">
      <c r="A850" s="268" t="str">
        <f t="shared" si="13"/>
        <v>Problem Solving &amp; Decision Making|Division Head|3</v>
      </c>
      <c r="B850" s="223" t="s">
        <v>498</v>
      </c>
      <c r="C850" s="227" t="s">
        <v>778</v>
      </c>
      <c r="D850" s="227">
        <v>3</v>
      </c>
      <c r="E850" s="227" t="s">
        <v>563</v>
      </c>
      <c r="F850" s="227">
        <v>3</v>
      </c>
      <c r="G850" s="279" t="s">
        <v>1859</v>
      </c>
      <c r="H850" s="279" t="s">
        <v>1860</v>
      </c>
      <c r="I850" s="279" t="s">
        <v>4593</v>
      </c>
      <c r="J850" s="279" t="s">
        <v>948</v>
      </c>
      <c r="K850" s="279" t="s">
        <v>531</v>
      </c>
      <c r="L850" s="279" t="s">
        <v>532</v>
      </c>
      <c r="M850" s="279" t="s">
        <v>4594</v>
      </c>
      <c r="N850" s="279" t="s">
        <v>580</v>
      </c>
    </row>
    <row r="851" spans="1:14" ht="66">
      <c r="A851" s="268" t="str">
        <f t="shared" si="13"/>
        <v>Problem Solving &amp; Decision Making|Division Head|4</v>
      </c>
      <c r="B851" s="223" t="s">
        <v>498</v>
      </c>
      <c r="C851" s="227" t="s">
        <v>778</v>
      </c>
      <c r="D851" s="227">
        <v>4</v>
      </c>
      <c r="E851" s="227" t="s">
        <v>581</v>
      </c>
      <c r="F851" s="227">
        <v>1</v>
      </c>
      <c r="G851" s="279" t="s">
        <v>4595</v>
      </c>
      <c r="H851" s="279" t="s">
        <v>4596</v>
      </c>
      <c r="I851" s="279" t="s">
        <v>4597</v>
      </c>
      <c r="J851" s="279" t="s">
        <v>4598</v>
      </c>
      <c r="K851" s="279" t="s">
        <v>531</v>
      </c>
      <c r="L851" s="279" t="s">
        <v>532</v>
      </c>
      <c r="M851" s="279" t="s">
        <v>4599</v>
      </c>
      <c r="N851" s="279" t="s">
        <v>1868</v>
      </c>
    </row>
    <row r="852" spans="1:14" ht="33">
      <c r="A852" s="268" t="str">
        <f t="shared" si="13"/>
        <v>Problem Solving &amp; Decision Making|Division Head|4</v>
      </c>
      <c r="B852" s="223" t="s">
        <v>498</v>
      </c>
      <c r="C852" s="227" t="s">
        <v>778</v>
      </c>
      <c r="D852" s="227">
        <v>4</v>
      </c>
      <c r="E852" s="227" t="s">
        <v>581</v>
      </c>
      <c r="F852" s="227">
        <v>2</v>
      </c>
      <c r="G852" s="279" t="s">
        <v>4600</v>
      </c>
      <c r="H852" s="279" t="s">
        <v>4601</v>
      </c>
      <c r="I852" s="279" t="s">
        <v>4602</v>
      </c>
      <c r="J852" s="279" t="s">
        <v>4603</v>
      </c>
      <c r="K852" s="279" t="s">
        <v>531</v>
      </c>
      <c r="L852" s="279" t="s">
        <v>532</v>
      </c>
      <c r="M852" s="279" t="s">
        <v>4604</v>
      </c>
      <c r="N852" s="279" t="s">
        <v>562</v>
      </c>
    </row>
    <row r="853" spans="1:14" ht="66">
      <c r="A853" s="268" t="str">
        <f t="shared" si="13"/>
        <v>Problem Solving &amp; Decision Making|Division Head|4</v>
      </c>
      <c r="B853" s="223" t="s">
        <v>498</v>
      </c>
      <c r="C853" s="227" t="s">
        <v>778</v>
      </c>
      <c r="D853" s="227">
        <v>4</v>
      </c>
      <c r="E853" s="227" t="s">
        <v>581</v>
      </c>
      <c r="F853" s="227">
        <v>3</v>
      </c>
      <c r="G853" s="279" t="s">
        <v>4605</v>
      </c>
      <c r="H853" s="279" t="s">
        <v>4606</v>
      </c>
      <c r="I853" s="279" t="s">
        <v>4607</v>
      </c>
      <c r="J853" s="279" t="s">
        <v>4608</v>
      </c>
      <c r="K853" s="279" t="s">
        <v>531</v>
      </c>
      <c r="L853" s="279" t="s">
        <v>532</v>
      </c>
      <c r="M853" s="279" t="s">
        <v>4609</v>
      </c>
      <c r="N853" s="279" t="s">
        <v>562</v>
      </c>
    </row>
    <row r="854" spans="1:14" ht="66">
      <c r="A854" s="268" t="str">
        <f t="shared" si="13"/>
        <v>Problem Solving &amp; Decision Making|Director|1</v>
      </c>
      <c r="B854" s="223" t="s">
        <v>498</v>
      </c>
      <c r="C854" s="227" t="s">
        <v>838</v>
      </c>
      <c r="D854" s="226">
        <v>1</v>
      </c>
      <c r="E854" s="227" t="s">
        <v>526</v>
      </c>
      <c r="F854" s="227">
        <v>1</v>
      </c>
      <c r="G854" s="279" t="s">
        <v>1144</v>
      </c>
      <c r="H854" s="279" t="s">
        <v>1145</v>
      </c>
      <c r="I854" s="279" t="s">
        <v>4610</v>
      </c>
      <c r="J854" s="279" t="s">
        <v>4611</v>
      </c>
      <c r="K854" s="279" t="s">
        <v>531</v>
      </c>
      <c r="L854" s="279" t="s">
        <v>532</v>
      </c>
      <c r="M854" s="279" t="s">
        <v>4612</v>
      </c>
      <c r="N854" s="279" t="s">
        <v>534</v>
      </c>
    </row>
    <row r="855" spans="1:14" ht="66">
      <c r="A855" s="268" t="str">
        <f t="shared" si="13"/>
        <v>Problem Solving &amp; Decision Making|Director|1</v>
      </c>
      <c r="B855" s="223" t="s">
        <v>498</v>
      </c>
      <c r="C855" s="227" t="s">
        <v>838</v>
      </c>
      <c r="D855" s="226">
        <v>1</v>
      </c>
      <c r="E855" s="227" t="s">
        <v>526</v>
      </c>
      <c r="F855" s="227">
        <v>2</v>
      </c>
      <c r="G855" s="279" t="s">
        <v>1149</v>
      </c>
      <c r="H855" s="279" t="s">
        <v>1150</v>
      </c>
      <c r="I855" s="279" t="s">
        <v>4613</v>
      </c>
      <c r="J855" s="279" t="s">
        <v>4614</v>
      </c>
      <c r="K855" s="279" t="s">
        <v>531</v>
      </c>
      <c r="L855" s="279" t="s">
        <v>532</v>
      </c>
      <c r="M855" s="279" t="s">
        <v>4615</v>
      </c>
      <c r="N855" s="279" t="s">
        <v>534</v>
      </c>
    </row>
    <row r="856" spans="1:14" ht="49.5">
      <c r="A856" s="268" t="str">
        <f t="shared" si="13"/>
        <v>Problem Solving &amp; Decision Making|Director|1</v>
      </c>
      <c r="B856" s="223" t="s">
        <v>498</v>
      </c>
      <c r="C856" s="227" t="s">
        <v>838</v>
      </c>
      <c r="D856" s="226">
        <v>1</v>
      </c>
      <c r="E856" s="227" t="s">
        <v>526</v>
      </c>
      <c r="F856" s="227">
        <v>3</v>
      </c>
      <c r="G856" s="279" t="s">
        <v>1154</v>
      </c>
      <c r="H856" s="279" t="s">
        <v>4616</v>
      </c>
      <c r="I856" s="279" t="s">
        <v>4617</v>
      </c>
      <c r="J856" s="279" t="s">
        <v>4618</v>
      </c>
      <c r="K856" s="279" t="s">
        <v>531</v>
      </c>
      <c r="L856" s="279" t="s">
        <v>532</v>
      </c>
      <c r="M856" s="279" t="s">
        <v>4619</v>
      </c>
      <c r="N856" s="279" t="s">
        <v>856</v>
      </c>
    </row>
    <row r="857" spans="1:14" ht="66">
      <c r="A857" s="268" t="str">
        <f t="shared" si="13"/>
        <v>Problem Solving &amp; Decision Making|Director|2</v>
      </c>
      <c r="B857" s="223" t="s">
        <v>498</v>
      </c>
      <c r="C857" s="227" t="s">
        <v>838</v>
      </c>
      <c r="D857" s="227">
        <v>2</v>
      </c>
      <c r="E857" s="227" t="s">
        <v>545</v>
      </c>
      <c r="F857" s="227">
        <v>1</v>
      </c>
      <c r="G857" s="279" t="s">
        <v>1207</v>
      </c>
      <c r="H857" s="279" t="s">
        <v>1160</v>
      </c>
      <c r="I857" s="279" t="s">
        <v>4620</v>
      </c>
      <c r="J857" s="279" t="s">
        <v>4621</v>
      </c>
      <c r="K857" s="279" t="s">
        <v>531</v>
      </c>
      <c r="L857" s="279" t="s">
        <v>532</v>
      </c>
      <c r="M857" s="279" t="s">
        <v>4622</v>
      </c>
      <c r="N857" s="279" t="s">
        <v>862</v>
      </c>
    </row>
    <row r="858" spans="1:14" ht="49.5">
      <c r="A858" s="268" t="str">
        <f t="shared" si="13"/>
        <v>Problem Solving &amp; Decision Making|Director|2</v>
      </c>
      <c r="B858" s="223" t="s">
        <v>498</v>
      </c>
      <c r="C858" s="227" t="s">
        <v>838</v>
      </c>
      <c r="D858" s="227">
        <v>2</v>
      </c>
      <c r="E858" s="227" t="s">
        <v>545</v>
      </c>
      <c r="F858" s="227">
        <v>2</v>
      </c>
      <c r="G858" s="279" t="s">
        <v>4623</v>
      </c>
      <c r="H858" s="279" t="s">
        <v>4624</v>
      </c>
      <c r="I858" s="279" t="s">
        <v>4625</v>
      </c>
      <c r="J858" s="279" t="s">
        <v>4626</v>
      </c>
      <c r="K858" s="279" t="s">
        <v>531</v>
      </c>
      <c r="L858" s="279" t="s">
        <v>532</v>
      </c>
      <c r="M858" s="279" t="s">
        <v>4627</v>
      </c>
      <c r="N858" s="279" t="s">
        <v>1169</v>
      </c>
    </row>
    <row r="859" spans="1:14" ht="49.5">
      <c r="A859" s="268" t="str">
        <f t="shared" si="13"/>
        <v>Problem Solving &amp; Decision Making|Director|2</v>
      </c>
      <c r="B859" s="223" t="s">
        <v>498</v>
      </c>
      <c r="C859" s="227" t="s">
        <v>838</v>
      </c>
      <c r="D859" s="227">
        <v>2</v>
      </c>
      <c r="E859" s="227" t="s">
        <v>545</v>
      </c>
      <c r="F859" s="227">
        <v>3</v>
      </c>
      <c r="G859" s="279" t="s">
        <v>1170</v>
      </c>
      <c r="H859" s="279" t="s">
        <v>4628</v>
      </c>
      <c r="I859" s="279" t="s">
        <v>4629</v>
      </c>
      <c r="J859" s="279" t="s">
        <v>4630</v>
      </c>
      <c r="K859" s="279" t="s">
        <v>531</v>
      </c>
      <c r="L859" s="279" t="s">
        <v>532</v>
      </c>
      <c r="M859" s="279" t="s">
        <v>4631</v>
      </c>
      <c r="N859" s="279" t="s">
        <v>856</v>
      </c>
    </row>
    <row r="860" spans="1:14" ht="66">
      <c r="A860" s="268" t="str">
        <f t="shared" si="13"/>
        <v>Problem Solving &amp; Decision Making|Director|3</v>
      </c>
      <c r="B860" s="223" t="s">
        <v>498</v>
      </c>
      <c r="C860" s="227" t="s">
        <v>838</v>
      </c>
      <c r="D860" s="227">
        <v>3</v>
      </c>
      <c r="E860" s="227" t="s">
        <v>563</v>
      </c>
      <c r="F860" s="227">
        <v>1</v>
      </c>
      <c r="G860" s="279" t="s">
        <v>1175</v>
      </c>
      <c r="H860" s="279" t="s">
        <v>4632</v>
      </c>
      <c r="I860" s="279" t="s">
        <v>4633</v>
      </c>
      <c r="J860" s="279" t="s">
        <v>4634</v>
      </c>
      <c r="K860" s="279" t="s">
        <v>531</v>
      </c>
      <c r="L860" s="279" t="s">
        <v>532</v>
      </c>
      <c r="M860" s="279" t="s">
        <v>2895</v>
      </c>
      <c r="N860" s="279" t="s">
        <v>534</v>
      </c>
    </row>
    <row r="861" spans="1:14" ht="49.5">
      <c r="A861" s="268" t="str">
        <f t="shared" si="13"/>
        <v>Problem Solving &amp; Decision Making|Director|3</v>
      </c>
      <c r="B861" s="223" t="s">
        <v>498</v>
      </c>
      <c r="C861" s="227" t="s">
        <v>838</v>
      </c>
      <c r="D861" s="227">
        <v>3</v>
      </c>
      <c r="E861" s="227" t="s">
        <v>563</v>
      </c>
      <c r="F861" s="227">
        <v>2</v>
      </c>
      <c r="G861" s="279" t="s">
        <v>1180</v>
      </c>
      <c r="H861" s="279" t="s">
        <v>1181</v>
      </c>
      <c r="I861" s="279" t="s">
        <v>4635</v>
      </c>
      <c r="J861" s="279" t="s">
        <v>4636</v>
      </c>
      <c r="K861" s="279" t="s">
        <v>531</v>
      </c>
      <c r="L861" s="279" t="s">
        <v>532</v>
      </c>
      <c r="M861" s="279" t="s">
        <v>4637</v>
      </c>
      <c r="N861" s="279" t="s">
        <v>1185</v>
      </c>
    </row>
    <row r="862" spans="1:14" ht="66">
      <c r="A862" s="268" t="str">
        <f t="shared" si="13"/>
        <v>Problem Solving &amp; Decision Making|Director|3</v>
      </c>
      <c r="B862" s="223" t="s">
        <v>498</v>
      </c>
      <c r="C862" s="227" t="s">
        <v>838</v>
      </c>
      <c r="D862" s="227">
        <v>3</v>
      </c>
      <c r="E862" s="227" t="s">
        <v>563</v>
      </c>
      <c r="F862" s="227">
        <v>3</v>
      </c>
      <c r="G862" s="279" t="s">
        <v>1186</v>
      </c>
      <c r="H862" s="279" t="s">
        <v>1187</v>
      </c>
      <c r="I862" s="279" t="s">
        <v>4638</v>
      </c>
      <c r="J862" s="279" t="s">
        <v>4639</v>
      </c>
      <c r="K862" s="279" t="s">
        <v>531</v>
      </c>
      <c r="L862" s="279" t="s">
        <v>532</v>
      </c>
      <c r="M862" s="279" t="s">
        <v>4640</v>
      </c>
      <c r="N862" s="279" t="s">
        <v>580</v>
      </c>
    </row>
    <row r="863" spans="1:14" ht="66">
      <c r="A863" s="268" t="str">
        <f t="shared" si="13"/>
        <v>Problem Solving &amp; Decision Making|Director|4</v>
      </c>
      <c r="B863" s="223" t="s">
        <v>498</v>
      </c>
      <c r="C863" s="227" t="s">
        <v>838</v>
      </c>
      <c r="D863" s="227">
        <v>4</v>
      </c>
      <c r="E863" s="227" t="s">
        <v>581</v>
      </c>
      <c r="F863" s="227">
        <v>1</v>
      </c>
      <c r="G863" s="279" t="s">
        <v>4641</v>
      </c>
      <c r="H863" s="279" t="s">
        <v>4642</v>
      </c>
      <c r="I863" s="279" t="s">
        <v>4643</v>
      </c>
      <c r="J863" s="279" t="s">
        <v>4644</v>
      </c>
      <c r="K863" s="279" t="s">
        <v>531</v>
      </c>
      <c r="L863" s="279" t="s">
        <v>532</v>
      </c>
      <c r="M863" s="279" t="s">
        <v>4645</v>
      </c>
      <c r="N863" s="279" t="s">
        <v>4646</v>
      </c>
    </row>
    <row r="864" spans="1:14" ht="66">
      <c r="A864" s="268" t="str">
        <f t="shared" si="13"/>
        <v>Problem Solving &amp; Decision Making|Director|4</v>
      </c>
      <c r="B864" s="223" t="s">
        <v>498</v>
      </c>
      <c r="C864" s="227" t="s">
        <v>838</v>
      </c>
      <c r="D864" s="227">
        <v>4</v>
      </c>
      <c r="E864" s="227" t="s">
        <v>581</v>
      </c>
      <c r="F864" s="227">
        <v>2</v>
      </c>
      <c r="G864" s="279" t="s">
        <v>4647</v>
      </c>
      <c r="H864" s="279" t="s">
        <v>4648</v>
      </c>
      <c r="I864" s="279" t="s">
        <v>4649</v>
      </c>
      <c r="J864" s="279" t="s">
        <v>4650</v>
      </c>
      <c r="K864" s="279" t="s">
        <v>531</v>
      </c>
      <c r="L864" s="279" t="s">
        <v>532</v>
      </c>
      <c r="M864" s="279" t="s">
        <v>4651</v>
      </c>
      <c r="N864" s="279" t="s">
        <v>4652</v>
      </c>
    </row>
    <row r="865" spans="1:14" ht="49.5">
      <c r="A865" s="268" t="str">
        <f t="shared" si="13"/>
        <v>Problem Solving &amp; Decision Making|Director|4</v>
      </c>
      <c r="B865" s="223" t="s">
        <v>498</v>
      </c>
      <c r="C865" s="227" t="s">
        <v>838</v>
      </c>
      <c r="D865" s="227">
        <v>4</v>
      </c>
      <c r="E865" s="227" t="s">
        <v>581</v>
      </c>
      <c r="F865" s="227">
        <v>3</v>
      </c>
      <c r="G865" s="279" t="s">
        <v>1202</v>
      </c>
      <c r="H865" s="279" t="s">
        <v>4653</v>
      </c>
      <c r="I865" s="279" t="s">
        <v>4654</v>
      </c>
      <c r="J865" s="279" t="s">
        <v>4655</v>
      </c>
      <c r="K865" s="279" t="s">
        <v>531</v>
      </c>
      <c r="L865" s="279" t="s">
        <v>532</v>
      </c>
      <c r="M865" s="279" t="s">
        <v>4656</v>
      </c>
      <c r="N865" s="279" t="s">
        <v>856</v>
      </c>
    </row>
    <row r="866" spans="1:14" ht="82.5">
      <c r="A866" s="268" t="str">
        <f t="shared" si="13"/>
        <v>Strategic Thinking|Officer|1</v>
      </c>
      <c r="B866" s="223" t="s">
        <v>502</v>
      </c>
      <c r="C866" s="197" t="s">
        <v>4</v>
      </c>
      <c r="D866" s="197">
        <v>1</v>
      </c>
      <c r="E866" s="79" t="s">
        <v>526</v>
      </c>
      <c r="F866" s="79">
        <v>1</v>
      </c>
      <c r="G866" s="276" t="s">
        <v>4657</v>
      </c>
      <c r="H866" s="276" t="s">
        <v>4658</v>
      </c>
      <c r="I866" s="276" t="s">
        <v>4659</v>
      </c>
      <c r="J866" s="276" t="s">
        <v>4660</v>
      </c>
      <c r="K866" s="276" t="s">
        <v>531</v>
      </c>
      <c r="L866" s="276" t="s">
        <v>532</v>
      </c>
      <c r="M866" s="276" t="s">
        <v>4661</v>
      </c>
      <c r="N866" s="276" t="s">
        <v>1508</v>
      </c>
    </row>
    <row r="867" spans="1:14" ht="66">
      <c r="A867" s="268" t="str">
        <f t="shared" si="13"/>
        <v>Strategic Thinking|Officer|1</v>
      </c>
      <c r="B867" s="223" t="s">
        <v>502</v>
      </c>
      <c r="C867" s="197" t="s">
        <v>4</v>
      </c>
      <c r="D867" s="197">
        <v>1</v>
      </c>
      <c r="E867" s="79" t="s">
        <v>526</v>
      </c>
      <c r="F867" s="79">
        <v>2</v>
      </c>
      <c r="G867" s="276" t="s">
        <v>4662</v>
      </c>
      <c r="H867" s="276" t="s">
        <v>4663</v>
      </c>
      <c r="I867" s="276" t="s">
        <v>4664</v>
      </c>
      <c r="J867" s="276" t="s">
        <v>4665</v>
      </c>
      <c r="K867" s="276" t="s">
        <v>531</v>
      </c>
      <c r="L867" s="276" t="s">
        <v>532</v>
      </c>
      <c r="M867" s="276" t="s">
        <v>4666</v>
      </c>
      <c r="N867" s="276" t="s">
        <v>562</v>
      </c>
    </row>
    <row r="868" spans="1:14" ht="66">
      <c r="A868" s="268" t="str">
        <f t="shared" si="13"/>
        <v>Strategic Thinking|Officer|1</v>
      </c>
      <c r="B868" s="223" t="s">
        <v>502</v>
      </c>
      <c r="C868" s="197" t="s">
        <v>4</v>
      </c>
      <c r="D868" s="197">
        <v>1</v>
      </c>
      <c r="E868" s="79" t="s">
        <v>526</v>
      </c>
      <c r="F868" s="79">
        <v>3</v>
      </c>
      <c r="G868" s="276" t="s">
        <v>4667</v>
      </c>
      <c r="H868" s="276" t="s">
        <v>4668</v>
      </c>
      <c r="I868" s="276" t="s">
        <v>4669</v>
      </c>
      <c r="J868" s="276" t="s">
        <v>4670</v>
      </c>
      <c r="K868" s="276" t="s">
        <v>531</v>
      </c>
      <c r="L868" s="276" t="s">
        <v>532</v>
      </c>
      <c r="M868" s="276" t="s">
        <v>4671</v>
      </c>
      <c r="N868" s="276" t="s">
        <v>534</v>
      </c>
    </row>
    <row r="869" spans="1:14" ht="66">
      <c r="A869" s="268" t="str">
        <f t="shared" si="13"/>
        <v>Strategic Thinking|Officer|2</v>
      </c>
      <c r="B869" s="223" t="s">
        <v>502</v>
      </c>
      <c r="C869" s="197" t="s">
        <v>4</v>
      </c>
      <c r="D869" s="79">
        <v>2</v>
      </c>
      <c r="E869" s="79" t="s">
        <v>545</v>
      </c>
      <c r="F869" s="79">
        <v>1</v>
      </c>
      <c r="G869" s="276" t="s">
        <v>4672</v>
      </c>
      <c r="H869" s="276" t="s">
        <v>4673</v>
      </c>
      <c r="I869" s="276" t="s">
        <v>4674</v>
      </c>
      <c r="J869" s="276" t="s">
        <v>4675</v>
      </c>
      <c r="K869" s="276" t="s">
        <v>531</v>
      </c>
      <c r="L869" s="276" t="s">
        <v>532</v>
      </c>
      <c r="M869" s="276" t="s">
        <v>4676</v>
      </c>
      <c r="N869" s="276" t="s">
        <v>551</v>
      </c>
    </row>
    <row r="870" spans="1:14" ht="66">
      <c r="A870" s="268" t="str">
        <f t="shared" si="13"/>
        <v>Strategic Thinking|Officer|2</v>
      </c>
      <c r="B870" s="223" t="s">
        <v>502</v>
      </c>
      <c r="C870" s="197" t="s">
        <v>4</v>
      </c>
      <c r="D870" s="79">
        <v>2</v>
      </c>
      <c r="E870" s="79" t="s">
        <v>545</v>
      </c>
      <c r="F870" s="79">
        <v>2</v>
      </c>
      <c r="G870" s="276" t="s">
        <v>4677</v>
      </c>
      <c r="H870" s="276" t="s">
        <v>4678</v>
      </c>
      <c r="I870" s="276" t="s">
        <v>4679</v>
      </c>
      <c r="J870" s="276" t="s">
        <v>4680</v>
      </c>
      <c r="K870" s="276" t="s">
        <v>531</v>
      </c>
      <c r="L870" s="276" t="s">
        <v>532</v>
      </c>
      <c r="M870" s="276" t="s">
        <v>4681</v>
      </c>
      <c r="N870" s="276" t="s">
        <v>562</v>
      </c>
    </row>
    <row r="871" spans="1:14" ht="49.5">
      <c r="A871" s="268" t="str">
        <f t="shared" si="13"/>
        <v>Strategic Thinking|Officer|2</v>
      </c>
      <c r="B871" s="223" t="s">
        <v>502</v>
      </c>
      <c r="C871" s="197" t="s">
        <v>4</v>
      </c>
      <c r="D871" s="79">
        <v>2</v>
      </c>
      <c r="E871" s="79" t="s">
        <v>545</v>
      </c>
      <c r="F871" s="79">
        <v>3</v>
      </c>
      <c r="G871" s="276" t="s">
        <v>930</v>
      </c>
      <c r="H871" s="276" t="s">
        <v>4682</v>
      </c>
      <c r="I871" s="276" t="s">
        <v>4683</v>
      </c>
      <c r="J871" s="276" t="s">
        <v>4684</v>
      </c>
      <c r="K871" s="276" t="s">
        <v>531</v>
      </c>
      <c r="L871" s="276" t="s">
        <v>532</v>
      </c>
      <c r="M871" s="276" t="s">
        <v>4685</v>
      </c>
      <c r="N871" s="276" t="s">
        <v>534</v>
      </c>
    </row>
    <row r="872" spans="1:14" ht="66">
      <c r="A872" s="268" t="str">
        <f t="shared" si="13"/>
        <v>Strategic Thinking|Officer|3</v>
      </c>
      <c r="B872" s="223" t="s">
        <v>502</v>
      </c>
      <c r="C872" s="197" t="s">
        <v>4</v>
      </c>
      <c r="D872" s="79">
        <v>3</v>
      </c>
      <c r="E872" s="79" t="s">
        <v>563</v>
      </c>
      <c r="F872" s="79">
        <v>1</v>
      </c>
      <c r="G872" s="276" t="s">
        <v>4686</v>
      </c>
      <c r="H872" s="276" t="s">
        <v>4687</v>
      </c>
      <c r="I872" s="276" t="s">
        <v>4688</v>
      </c>
      <c r="J872" s="276" t="s">
        <v>4689</v>
      </c>
      <c r="K872" s="276" t="s">
        <v>531</v>
      </c>
      <c r="L872" s="276" t="s">
        <v>532</v>
      </c>
      <c r="M872" s="276" t="s">
        <v>4690</v>
      </c>
      <c r="N872" s="276" t="s">
        <v>562</v>
      </c>
    </row>
    <row r="873" spans="1:14" ht="66">
      <c r="A873" s="268" t="str">
        <f t="shared" si="13"/>
        <v>Strategic Thinking|Officer|3</v>
      </c>
      <c r="B873" s="223" t="s">
        <v>502</v>
      </c>
      <c r="C873" s="197" t="s">
        <v>4</v>
      </c>
      <c r="D873" s="79">
        <v>3</v>
      </c>
      <c r="E873" s="79" t="s">
        <v>563</v>
      </c>
      <c r="F873" s="79">
        <v>2</v>
      </c>
      <c r="G873" s="276" t="s">
        <v>4691</v>
      </c>
      <c r="H873" s="276" t="s">
        <v>4692</v>
      </c>
      <c r="I873" s="276" t="s">
        <v>4693</v>
      </c>
      <c r="J873" s="276" t="s">
        <v>4694</v>
      </c>
      <c r="K873" s="276" t="s">
        <v>531</v>
      </c>
      <c r="L873" s="276" t="s">
        <v>532</v>
      </c>
      <c r="M873" s="276" t="s">
        <v>4695</v>
      </c>
      <c r="N873" s="276" t="s">
        <v>534</v>
      </c>
    </row>
    <row r="874" spans="1:14" ht="99">
      <c r="A874" s="268" t="str">
        <f t="shared" si="13"/>
        <v>Strategic Thinking|Officer|3</v>
      </c>
      <c r="B874" s="223" t="s">
        <v>502</v>
      </c>
      <c r="C874" s="197" t="s">
        <v>4</v>
      </c>
      <c r="D874" s="79">
        <v>3</v>
      </c>
      <c r="E874" s="79" t="s">
        <v>563</v>
      </c>
      <c r="F874" s="79">
        <v>3</v>
      </c>
      <c r="G874" s="276" t="s">
        <v>4696</v>
      </c>
      <c r="H874" s="276" t="s">
        <v>4697</v>
      </c>
      <c r="I874" s="276" t="s">
        <v>4698</v>
      </c>
      <c r="J874" s="276" t="s">
        <v>948</v>
      </c>
      <c r="K874" s="276" t="s">
        <v>531</v>
      </c>
      <c r="L874" s="276" t="s">
        <v>532</v>
      </c>
      <c r="M874" s="276" t="s">
        <v>4699</v>
      </c>
      <c r="N874" s="276" t="s">
        <v>580</v>
      </c>
    </row>
    <row r="875" spans="1:14" ht="66">
      <c r="A875" s="268" t="str">
        <f t="shared" si="13"/>
        <v>Strategic Thinking|Officer|4</v>
      </c>
      <c r="B875" s="223" t="s">
        <v>502</v>
      </c>
      <c r="C875" s="197" t="s">
        <v>4</v>
      </c>
      <c r="D875" s="79">
        <v>4</v>
      </c>
      <c r="E875" s="79" t="s">
        <v>581</v>
      </c>
      <c r="F875" s="79">
        <v>1</v>
      </c>
      <c r="G875" s="276" t="s">
        <v>4700</v>
      </c>
      <c r="H875" s="276" t="s">
        <v>4701</v>
      </c>
      <c r="I875" s="276" t="s">
        <v>4702</v>
      </c>
      <c r="J875" s="276" t="s">
        <v>4703</v>
      </c>
      <c r="K875" s="276" t="s">
        <v>531</v>
      </c>
      <c r="L875" s="276" t="s">
        <v>532</v>
      </c>
      <c r="M875" s="276" t="s">
        <v>4704</v>
      </c>
      <c r="N875" s="276" t="s">
        <v>562</v>
      </c>
    </row>
    <row r="876" spans="1:14" ht="82.5">
      <c r="A876" s="268" t="str">
        <f t="shared" si="13"/>
        <v>Strategic Thinking|Officer|4</v>
      </c>
      <c r="B876" s="223" t="s">
        <v>502</v>
      </c>
      <c r="C876" s="197" t="s">
        <v>4</v>
      </c>
      <c r="D876" s="79">
        <v>4</v>
      </c>
      <c r="E876" s="79" t="s">
        <v>581</v>
      </c>
      <c r="F876" s="79">
        <v>2</v>
      </c>
      <c r="G876" s="276" t="s">
        <v>4705</v>
      </c>
      <c r="H876" s="276" t="s">
        <v>4706</v>
      </c>
      <c r="I876" s="276" t="s">
        <v>4707</v>
      </c>
      <c r="J876" s="276" t="s">
        <v>4708</v>
      </c>
      <c r="K876" s="276" t="s">
        <v>531</v>
      </c>
      <c r="L876" s="276" t="s">
        <v>532</v>
      </c>
      <c r="M876" s="276" t="s">
        <v>4709</v>
      </c>
      <c r="N876" s="276" t="s">
        <v>562</v>
      </c>
    </row>
    <row r="877" spans="1:14" ht="66">
      <c r="A877" s="268" t="str">
        <f t="shared" si="13"/>
        <v>Strategic Thinking|Officer|4</v>
      </c>
      <c r="B877" s="223" t="s">
        <v>502</v>
      </c>
      <c r="C877" s="197" t="s">
        <v>4</v>
      </c>
      <c r="D877" s="79">
        <v>4</v>
      </c>
      <c r="E877" s="79" t="s">
        <v>581</v>
      </c>
      <c r="F877" s="79">
        <v>3</v>
      </c>
      <c r="G877" s="276" t="s">
        <v>4710</v>
      </c>
      <c r="H877" s="276" t="s">
        <v>4711</v>
      </c>
      <c r="I877" s="276" t="s">
        <v>4712</v>
      </c>
      <c r="J877" s="276" t="s">
        <v>4713</v>
      </c>
      <c r="K877" s="276" t="s">
        <v>531</v>
      </c>
      <c r="L877" s="276" t="s">
        <v>532</v>
      </c>
      <c r="M877" s="276" t="s">
        <v>4714</v>
      </c>
      <c r="N877" s="276" t="s">
        <v>965</v>
      </c>
    </row>
    <row r="878" spans="1:14" ht="82.5">
      <c r="A878" s="268" t="str">
        <f t="shared" si="13"/>
        <v>Strategic Thinking|Analyst|1</v>
      </c>
      <c r="B878" s="223" t="s">
        <v>502</v>
      </c>
      <c r="C878" s="197" t="s">
        <v>6</v>
      </c>
      <c r="D878" s="197">
        <v>1</v>
      </c>
      <c r="E878" s="79" t="s">
        <v>526</v>
      </c>
      <c r="F878" s="79">
        <v>1</v>
      </c>
      <c r="G878" s="276" t="s">
        <v>4715</v>
      </c>
      <c r="H878" s="276" t="s">
        <v>4716</v>
      </c>
      <c r="I878" s="276" t="s">
        <v>4717</v>
      </c>
      <c r="J878" s="276" t="s">
        <v>4718</v>
      </c>
      <c r="K878" s="276" t="s">
        <v>531</v>
      </c>
      <c r="L878" s="276" t="s">
        <v>532</v>
      </c>
      <c r="M878" s="276" t="s">
        <v>4719</v>
      </c>
      <c r="N878" s="276" t="s">
        <v>534</v>
      </c>
    </row>
    <row r="879" spans="1:14" ht="66">
      <c r="A879" s="268" t="str">
        <f t="shared" si="13"/>
        <v>Strategic Thinking|Analyst|1</v>
      </c>
      <c r="B879" s="223" t="s">
        <v>502</v>
      </c>
      <c r="C879" s="197" t="s">
        <v>6</v>
      </c>
      <c r="D879" s="197">
        <v>1</v>
      </c>
      <c r="E879" s="79" t="s">
        <v>526</v>
      </c>
      <c r="F879" s="79">
        <v>2</v>
      </c>
      <c r="G879" s="276" t="s">
        <v>4720</v>
      </c>
      <c r="H879" s="276" t="s">
        <v>4721</v>
      </c>
      <c r="I879" s="276" t="s">
        <v>4722</v>
      </c>
      <c r="J879" s="276" t="s">
        <v>4723</v>
      </c>
      <c r="K879" s="276" t="s">
        <v>531</v>
      </c>
      <c r="L879" s="276" t="s">
        <v>532</v>
      </c>
      <c r="M879" s="276" t="s">
        <v>4724</v>
      </c>
      <c r="N879" s="276" t="s">
        <v>534</v>
      </c>
    </row>
    <row r="880" spans="1:14" ht="82.5">
      <c r="A880" s="268" t="str">
        <f t="shared" si="13"/>
        <v>Strategic Thinking|Analyst|1</v>
      </c>
      <c r="B880" s="223" t="s">
        <v>502</v>
      </c>
      <c r="C880" s="197" t="s">
        <v>6</v>
      </c>
      <c r="D880" s="197">
        <v>1</v>
      </c>
      <c r="E880" s="79" t="s">
        <v>526</v>
      </c>
      <c r="F880" s="79">
        <v>3</v>
      </c>
      <c r="G880" s="276" t="s">
        <v>4725</v>
      </c>
      <c r="H880" s="276" t="s">
        <v>4726</v>
      </c>
      <c r="I880" s="276" t="s">
        <v>4727</v>
      </c>
      <c r="J880" s="276" t="s">
        <v>4728</v>
      </c>
      <c r="K880" s="276" t="s">
        <v>531</v>
      </c>
      <c r="L880" s="276" t="s">
        <v>532</v>
      </c>
      <c r="M880" s="276" t="s">
        <v>4729</v>
      </c>
      <c r="N880" s="276" t="s">
        <v>534</v>
      </c>
    </row>
    <row r="881" spans="1:14" ht="66">
      <c r="A881" s="268" t="str">
        <f t="shared" si="13"/>
        <v>Strategic Thinking|Analyst|2</v>
      </c>
      <c r="B881" s="223" t="s">
        <v>502</v>
      </c>
      <c r="C881" s="197" t="s">
        <v>6</v>
      </c>
      <c r="D881" s="79">
        <v>2</v>
      </c>
      <c r="E881" s="79" t="s">
        <v>545</v>
      </c>
      <c r="F881" s="79">
        <v>1</v>
      </c>
      <c r="G881" s="276" t="s">
        <v>4730</v>
      </c>
      <c r="H881" s="276" t="s">
        <v>4731</v>
      </c>
      <c r="I881" s="276" t="s">
        <v>4732</v>
      </c>
      <c r="J881" s="276" t="s">
        <v>4733</v>
      </c>
      <c r="K881" s="276" t="s">
        <v>531</v>
      </c>
      <c r="L881" s="276" t="s">
        <v>532</v>
      </c>
      <c r="M881" s="276" t="s">
        <v>4734</v>
      </c>
      <c r="N881" s="276" t="s">
        <v>551</v>
      </c>
    </row>
    <row r="882" spans="1:14" ht="66">
      <c r="A882" s="268" t="str">
        <f t="shared" si="13"/>
        <v>Strategic Thinking|Analyst|2</v>
      </c>
      <c r="B882" s="223" t="s">
        <v>502</v>
      </c>
      <c r="C882" s="197" t="s">
        <v>6</v>
      </c>
      <c r="D882" s="79">
        <v>2</v>
      </c>
      <c r="E882" s="79" t="s">
        <v>545</v>
      </c>
      <c r="F882" s="79">
        <v>2</v>
      </c>
      <c r="G882" s="276" t="s">
        <v>4735</v>
      </c>
      <c r="H882" s="276" t="s">
        <v>4736</v>
      </c>
      <c r="I882" s="276" t="s">
        <v>4737</v>
      </c>
      <c r="J882" s="276" t="s">
        <v>4738</v>
      </c>
      <c r="K882" s="276" t="s">
        <v>531</v>
      </c>
      <c r="L882" s="276" t="s">
        <v>532</v>
      </c>
      <c r="M882" s="276" t="s">
        <v>4739</v>
      </c>
      <c r="N882" s="276" t="s">
        <v>4740</v>
      </c>
    </row>
    <row r="883" spans="1:14" ht="49.5">
      <c r="A883" s="268" t="str">
        <f t="shared" si="13"/>
        <v>Strategic Thinking|Analyst|2</v>
      </c>
      <c r="B883" s="223" t="s">
        <v>502</v>
      </c>
      <c r="C883" s="197" t="s">
        <v>6</v>
      </c>
      <c r="D883" s="79">
        <v>2</v>
      </c>
      <c r="E883" s="79" t="s">
        <v>545</v>
      </c>
      <c r="F883" s="79">
        <v>3</v>
      </c>
      <c r="G883" s="276" t="s">
        <v>4741</v>
      </c>
      <c r="H883" s="276" t="s">
        <v>4742</v>
      </c>
      <c r="I883" s="276" t="s">
        <v>4743</v>
      </c>
      <c r="J883" s="276" t="s">
        <v>4744</v>
      </c>
      <c r="K883" s="276" t="s">
        <v>531</v>
      </c>
      <c r="L883" s="276" t="s">
        <v>532</v>
      </c>
      <c r="M883" s="276" t="s">
        <v>4745</v>
      </c>
      <c r="N883" s="276" t="s">
        <v>4746</v>
      </c>
    </row>
    <row r="884" spans="1:14" ht="66">
      <c r="A884" s="268" t="str">
        <f t="shared" si="13"/>
        <v>Strategic Thinking|Analyst|3</v>
      </c>
      <c r="B884" s="223" t="s">
        <v>502</v>
      </c>
      <c r="C884" s="197" t="s">
        <v>6</v>
      </c>
      <c r="D884" s="79">
        <v>3</v>
      </c>
      <c r="E884" s="79" t="s">
        <v>563</v>
      </c>
      <c r="F884" s="79">
        <v>1</v>
      </c>
      <c r="G884" s="276" t="s">
        <v>4747</v>
      </c>
      <c r="H884" s="276" t="s">
        <v>4748</v>
      </c>
      <c r="I884" s="276" t="s">
        <v>4749</v>
      </c>
      <c r="J884" s="276" t="s">
        <v>4750</v>
      </c>
      <c r="K884" s="276" t="s">
        <v>531</v>
      </c>
      <c r="L884" s="276" t="s">
        <v>532</v>
      </c>
      <c r="M884" s="276" t="s">
        <v>4751</v>
      </c>
      <c r="N884" s="276" t="s">
        <v>534</v>
      </c>
    </row>
    <row r="885" spans="1:14" ht="82.5">
      <c r="A885" s="268" t="str">
        <f t="shared" si="13"/>
        <v>Strategic Thinking|Analyst|3</v>
      </c>
      <c r="B885" s="223" t="s">
        <v>502</v>
      </c>
      <c r="C885" s="197" t="s">
        <v>6</v>
      </c>
      <c r="D885" s="79">
        <v>3</v>
      </c>
      <c r="E885" s="79" t="s">
        <v>563</v>
      </c>
      <c r="F885" s="79">
        <v>2</v>
      </c>
      <c r="G885" s="276" t="s">
        <v>4752</v>
      </c>
      <c r="H885" s="276" t="s">
        <v>4753</v>
      </c>
      <c r="I885" s="276" t="s">
        <v>4754</v>
      </c>
      <c r="J885" s="276" t="s">
        <v>1426</v>
      </c>
      <c r="K885" s="276" t="s">
        <v>531</v>
      </c>
      <c r="L885" s="276" t="s">
        <v>532</v>
      </c>
      <c r="M885" s="276" t="s">
        <v>4755</v>
      </c>
      <c r="N885" s="276" t="s">
        <v>562</v>
      </c>
    </row>
    <row r="886" spans="1:14" ht="99">
      <c r="A886" s="268" t="str">
        <f t="shared" si="13"/>
        <v>Strategic Thinking|Analyst|3</v>
      </c>
      <c r="B886" s="223" t="s">
        <v>502</v>
      </c>
      <c r="C886" s="197" t="s">
        <v>6</v>
      </c>
      <c r="D886" s="79">
        <v>3</v>
      </c>
      <c r="E886" s="79" t="s">
        <v>563</v>
      </c>
      <c r="F886" s="79">
        <v>3</v>
      </c>
      <c r="G886" s="276" t="s">
        <v>4756</v>
      </c>
      <c r="H886" s="276" t="s">
        <v>4757</v>
      </c>
      <c r="I886" s="276" t="s">
        <v>4758</v>
      </c>
      <c r="J886" s="276" t="s">
        <v>948</v>
      </c>
      <c r="K886" s="276" t="s">
        <v>531</v>
      </c>
      <c r="L886" s="276" t="s">
        <v>532</v>
      </c>
      <c r="M886" s="276" t="s">
        <v>4759</v>
      </c>
      <c r="N886" s="276" t="s">
        <v>580</v>
      </c>
    </row>
    <row r="887" spans="1:14" ht="66">
      <c r="A887" s="268" t="str">
        <f t="shared" si="13"/>
        <v>Strategic Thinking|Analyst|4</v>
      </c>
      <c r="B887" s="223" t="s">
        <v>502</v>
      </c>
      <c r="C887" s="197" t="s">
        <v>6</v>
      </c>
      <c r="D887" s="79">
        <v>4</v>
      </c>
      <c r="E887" s="79" t="s">
        <v>581</v>
      </c>
      <c r="F887" s="79">
        <v>1</v>
      </c>
      <c r="G887" s="276" t="s">
        <v>4760</v>
      </c>
      <c r="H887" s="276" t="s">
        <v>4761</v>
      </c>
      <c r="I887" s="276" t="s">
        <v>4762</v>
      </c>
      <c r="J887" s="276" t="s">
        <v>4763</v>
      </c>
      <c r="K887" s="276" t="s">
        <v>531</v>
      </c>
      <c r="L887" s="276" t="s">
        <v>532</v>
      </c>
      <c r="M887" s="276" t="s">
        <v>4764</v>
      </c>
      <c r="N887" s="276" t="s">
        <v>562</v>
      </c>
    </row>
    <row r="888" spans="1:14" ht="99">
      <c r="A888" s="268" t="str">
        <f t="shared" si="13"/>
        <v>Strategic Thinking|Analyst|4</v>
      </c>
      <c r="B888" s="223" t="s">
        <v>502</v>
      </c>
      <c r="C888" s="197" t="s">
        <v>6</v>
      </c>
      <c r="D888" s="79">
        <v>4</v>
      </c>
      <c r="E888" s="79" t="s">
        <v>581</v>
      </c>
      <c r="F888" s="79">
        <v>2</v>
      </c>
      <c r="G888" s="276" t="s">
        <v>4765</v>
      </c>
      <c r="H888" s="276" t="s">
        <v>4766</v>
      </c>
      <c r="I888" s="276" t="s">
        <v>4767</v>
      </c>
      <c r="J888" s="276" t="s">
        <v>4768</v>
      </c>
      <c r="K888" s="276" t="s">
        <v>531</v>
      </c>
      <c r="L888" s="276" t="s">
        <v>532</v>
      </c>
      <c r="M888" s="276" t="s">
        <v>4769</v>
      </c>
      <c r="N888" s="276" t="s">
        <v>562</v>
      </c>
    </row>
    <row r="889" spans="1:14" ht="82.5">
      <c r="A889" s="268" t="str">
        <f t="shared" si="13"/>
        <v>Strategic Thinking|Analyst|4</v>
      </c>
      <c r="B889" s="223" t="s">
        <v>502</v>
      </c>
      <c r="C889" s="197" t="s">
        <v>6</v>
      </c>
      <c r="D889" s="79">
        <v>4</v>
      </c>
      <c r="E889" s="79" t="s">
        <v>581</v>
      </c>
      <c r="F889" s="79">
        <v>3</v>
      </c>
      <c r="G889" s="276" t="s">
        <v>4770</v>
      </c>
      <c r="H889" s="276" t="s">
        <v>4771</v>
      </c>
      <c r="I889" s="276" t="s">
        <v>4772</v>
      </c>
      <c r="J889" s="276" t="s">
        <v>1327</v>
      </c>
      <c r="K889" s="276" t="s">
        <v>531</v>
      </c>
      <c r="L889" s="276" t="s">
        <v>532</v>
      </c>
      <c r="M889" s="276" t="s">
        <v>4773</v>
      </c>
      <c r="N889" s="276" t="s">
        <v>562</v>
      </c>
    </row>
    <row r="890" spans="1:14" ht="99">
      <c r="A890" s="268" t="str">
        <f t="shared" si="13"/>
        <v>Strategic Thinking|Unit Head/Specialist|1</v>
      </c>
      <c r="B890" s="223" t="s">
        <v>502</v>
      </c>
      <c r="C890" s="79" t="s">
        <v>13</v>
      </c>
      <c r="D890" s="197">
        <v>1</v>
      </c>
      <c r="E890" s="79" t="s">
        <v>526</v>
      </c>
      <c r="F890" s="79">
        <v>1</v>
      </c>
      <c r="G890" s="279" t="s">
        <v>4774</v>
      </c>
      <c r="H890" s="279" t="s">
        <v>4775</v>
      </c>
      <c r="I890" s="279" t="s">
        <v>4776</v>
      </c>
      <c r="J890" s="279" t="s">
        <v>4777</v>
      </c>
      <c r="K890" s="279" t="s">
        <v>531</v>
      </c>
      <c r="L890" s="279" t="s">
        <v>532</v>
      </c>
      <c r="M890" s="279" t="s">
        <v>4778</v>
      </c>
      <c r="N890" s="279" t="s">
        <v>534</v>
      </c>
    </row>
    <row r="891" spans="1:14" ht="66">
      <c r="A891" s="268" t="str">
        <f t="shared" si="13"/>
        <v>Strategic Thinking|Unit Head/Specialist|1</v>
      </c>
      <c r="B891" s="223" t="s">
        <v>502</v>
      </c>
      <c r="C891" s="79" t="s">
        <v>13</v>
      </c>
      <c r="D891" s="197">
        <v>1</v>
      </c>
      <c r="E891" s="79" t="s">
        <v>526</v>
      </c>
      <c r="F891" s="79">
        <v>2</v>
      </c>
      <c r="G891" s="279" t="s">
        <v>4779</v>
      </c>
      <c r="H891" s="279" t="s">
        <v>4780</v>
      </c>
      <c r="I891" s="279" t="s">
        <v>4781</v>
      </c>
      <c r="J891" s="279" t="s">
        <v>4782</v>
      </c>
      <c r="K891" s="279" t="s">
        <v>531</v>
      </c>
      <c r="L891" s="279" t="s">
        <v>532</v>
      </c>
      <c r="M891" s="279" t="s">
        <v>4783</v>
      </c>
      <c r="N891" s="279" t="s">
        <v>534</v>
      </c>
    </row>
    <row r="892" spans="1:14" ht="66">
      <c r="A892" s="268" t="str">
        <f t="shared" si="13"/>
        <v>Strategic Thinking|Unit Head/Specialist|1</v>
      </c>
      <c r="B892" s="223" t="s">
        <v>502</v>
      </c>
      <c r="C892" s="79" t="s">
        <v>13</v>
      </c>
      <c r="D892" s="197">
        <v>1</v>
      </c>
      <c r="E892" s="79" t="s">
        <v>526</v>
      </c>
      <c r="F892" s="79">
        <v>3</v>
      </c>
      <c r="G892" s="279" t="s">
        <v>4784</v>
      </c>
      <c r="H892" s="279" t="s">
        <v>4785</v>
      </c>
      <c r="I892" s="279" t="s">
        <v>4786</v>
      </c>
      <c r="J892" s="279" t="s">
        <v>4787</v>
      </c>
      <c r="K892" s="279" t="s">
        <v>531</v>
      </c>
      <c r="L892" s="279" t="s">
        <v>532</v>
      </c>
      <c r="M892" s="279" t="s">
        <v>4788</v>
      </c>
      <c r="N892" s="279" t="s">
        <v>534</v>
      </c>
    </row>
    <row r="893" spans="1:14" ht="82.5">
      <c r="A893" s="268" t="str">
        <f t="shared" si="13"/>
        <v>Strategic Thinking|Unit Head/Specialist|2</v>
      </c>
      <c r="B893" s="223" t="s">
        <v>502</v>
      </c>
      <c r="C893" s="79" t="s">
        <v>13</v>
      </c>
      <c r="D893" s="79">
        <v>2</v>
      </c>
      <c r="E893" s="79" t="s">
        <v>545</v>
      </c>
      <c r="F893" s="79">
        <v>1</v>
      </c>
      <c r="G893" s="279" t="s">
        <v>4789</v>
      </c>
      <c r="H893" s="279" t="s">
        <v>4790</v>
      </c>
      <c r="I893" s="279" t="s">
        <v>4791</v>
      </c>
      <c r="J893" s="279" t="s">
        <v>4792</v>
      </c>
      <c r="K893" s="279" t="s">
        <v>531</v>
      </c>
      <c r="L893" s="279" t="s">
        <v>532</v>
      </c>
      <c r="M893" s="279" t="s">
        <v>4793</v>
      </c>
      <c r="N893" s="279" t="s">
        <v>551</v>
      </c>
    </row>
    <row r="894" spans="1:14" ht="66">
      <c r="A894" s="268" t="str">
        <f t="shared" si="13"/>
        <v>Strategic Thinking|Unit Head/Specialist|2</v>
      </c>
      <c r="B894" s="223" t="s">
        <v>502</v>
      </c>
      <c r="C894" s="79" t="s">
        <v>13</v>
      </c>
      <c r="D894" s="79">
        <v>2</v>
      </c>
      <c r="E894" s="79" t="s">
        <v>545</v>
      </c>
      <c r="F894" s="79">
        <v>2</v>
      </c>
      <c r="G894" s="279" t="s">
        <v>4794</v>
      </c>
      <c r="H894" s="279" t="s">
        <v>4795</v>
      </c>
      <c r="I894" s="279" t="s">
        <v>4796</v>
      </c>
      <c r="J894" s="279" t="s">
        <v>4797</v>
      </c>
      <c r="K894" s="279" t="s">
        <v>531</v>
      </c>
      <c r="L894" s="279" t="s">
        <v>532</v>
      </c>
      <c r="M894" s="279" t="s">
        <v>4798</v>
      </c>
      <c r="N894" s="279" t="s">
        <v>562</v>
      </c>
    </row>
    <row r="895" spans="1:14" ht="66">
      <c r="A895" s="268" t="str">
        <f t="shared" si="13"/>
        <v>Strategic Thinking|Unit Head/Specialist|2</v>
      </c>
      <c r="B895" s="223" t="s">
        <v>502</v>
      </c>
      <c r="C895" s="79" t="s">
        <v>13</v>
      </c>
      <c r="D895" s="79">
        <v>2</v>
      </c>
      <c r="E895" s="79" t="s">
        <v>545</v>
      </c>
      <c r="F895" s="79">
        <v>3</v>
      </c>
      <c r="G895" s="279" t="s">
        <v>4799</v>
      </c>
      <c r="H895" s="279" t="s">
        <v>4800</v>
      </c>
      <c r="I895" s="279" t="s">
        <v>4801</v>
      </c>
      <c r="J895" s="279" t="s">
        <v>4802</v>
      </c>
      <c r="K895" s="279" t="s">
        <v>531</v>
      </c>
      <c r="L895" s="279" t="s">
        <v>532</v>
      </c>
      <c r="M895" s="279" t="s">
        <v>4803</v>
      </c>
      <c r="N895" s="279" t="s">
        <v>534</v>
      </c>
    </row>
    <row r="896" spans="1:14" ht="82.5">
      <c r="A896" s="268" t="str">
        <f t="shared" si="13"/>
        <v>Strategic Thinking|Unit Head/Specialist|3</v>
      </c>
      <c r="B896" s="223" t="s">
        <v>502</v>
      </c>
      <c r="C896" s="79" t="s">
        <v>13</v>
      </c>
      <c r="D896" s="79">
        <v>3</v>
      </c>
      <c r="E896" s="79" t="s">
        <v>563</v>
      </c>
      <c r="F896" s="79">
        <v>1</v>
      </c>
      <c r="G896" s="279" t="s">
        <v>4804</v>
      </c>
      <c r="H896" s="279" t="s">
        <v>4805</v>
      </c>
      <c r="I896" s="279" t="s">
        <v>4806</v>
      </c>
      <c r="J896" s="279" t="s">
        <v>4807</v>
      </c>
      <c r="K896" s="279" t="s">
        <v>531</v>
      </c>
      <c r="L896" s="279" t="s">
        <v>532</v>
      </c>
      <c r="M896" s="279" t="s">
        <v>4808</v>
      </c>
      <c r="N896" s="279" t="s">
        <v>534</v>
      </c>
    </row>
    <row r="897" spans="1:14" ht="82.5">
      <c r="A897" s="268" t="str">
        <f t="shared" si="13"/>
        <v>Strategic Thinking|Unit Head/Specialist|3</v>
      </c>
      <c r="B897" s="223" t="s">
        <v>502</v>
      </c>
      <c r="C897" s="79" t="s">
        <v>13</v>
      </c>
      <c r="D897" s="79">
        <v>3</v>
      </c>
      <c r="E897" s="79" t="s">
        <v>563</v>
      </c>
      <c r="F897" s="79">
        <v>2</v>
      </c>
      <c r="G897" s="279" t="s">
        <v>4809</v>
      </c>
      <c r="H897" s="279" t="s">
        <v>4810</v>
      </c>
      <c r="I897" s="279" t="s">
        <v>4811</v>
      </c>
      <c r="J897" s="279" t="s">
        <v>4812</v>
      </c>
      <c r="K897" s="279" t="s">
        <v>531</v>
      </c>
      <c r="L897" s="279" t="s">
        <v>532</v>
      </c>
      <c r="M897" s="279" t="s">
        <v>4813</v>
      </c>
      <c r="N897" s="279" t="s">
        <v>562</v>
      </c>
    </row>
    <row r="898" spans="1:14" ht="99">
      <c r="A898" s="268" t="str">
        <f t="shared" si="13"/>
        <v>Strategic Thinking|Unit Head/Specialist|3</v>
      </c>
      <c r="B898" s="223" t="s">
        <v>502</v>
      </c>
      <c r="C898" s="79" t="s">
        <v>13</v>
      </c>
      <c r="D898" s="79">
        <v>3</v>
      </c>
      <c r="E898" s="79" t="s">
        <v>563</v>
      </c>
      <c r="F898" s="79">
        <v>3</v>
      </c>
      <c r="G898" s="279" t="s">
        <v>4814</v>
      </c>
      <c r="H898" s="279" t="s">
        <v>4815</v>
      </c>
      <c r="I898" s="279" t="s">
        <v>4816</v>
      </c>
      <c r="J898" s="279" t="s">
        <v>948</v>
      </c>
      <c r="K898" s="279" t="s">
        <v>531</v>
      </c>
      <c r="L898" s="279" t="s">
        <v>532</v>
      </c>
      <c r="M898" s="279" t="s">
        <v>4817</v>
      </c>
      <c r="N898" s="279" t="s">
        <v>580</v>
      </c>
    </row>
    <row r="899" spans="1:14" ht="82.5">
      <c r="A899" s="268" t="str">
        <f t="shared" ref="A899:A962" si="14">B899 &amp; "|" &amp; C899 &amp; "|" &amp; D899</f>
        <v>Strategic Thinking|Unit Head/Specialist|4</v>
      </c>
      <c r="B899" s="223" t="s">
        <v>502</v>
      </c>
      <c r="C899" s="79" t="s">
        <v>13</v>
      </c>
      <c r="D899" s="79">
        <v>4</v>
      </c>
      <c r="E899" s="79" t="s">
        <v>581</v>
      </c>
      <c r="F899" s="79">
        <v>1</v>
      </c>
      <c r="G899" s="279" t="s">
        <v>4818</v>
      </c>
      <c r="H899" s="279" t="s">
        <v>4819</v>
      </c>
      <c r="I899" s="279" t="s">
        <v>4820</v>
      </c>
      <c r="J899" s="279" t="s">
        <v>4821</v>
      </c>
      <c r="K899" s="279" t="s">
        <v>531</v>
      </c>
      <c r="L899" s="279" t="s">
        <v>532</v>
      </c>
      <c r="M899" s="279" t="s">
        <v>4822</v>
      </c>
      <c r="N899" s="279" t="s">
        <v>562</v>
      </c>
    </row>
    <row r="900" spans="1:14" ht="82.5">
      <c r="A900" s="268" t="str">
        <f t="shared" si="14"/>
        <v>Strategic Thinking|Unit Head/Specialist|4</v>
      </c>
      <c r="B900" s="223" t="s">
        <v>502</v>
      </c>
      <c r="C900" s="79" t="s">
        <v>13</v>
      </c>
      <c r="D900" s="79">
        <v>4</v>
      </c>
      <c r="E900" s="79" t="s">
        <v>581</v>
      </c>
      <c r="F900" s="79">
        <v>2</v>
      </c>
      <c r="G900" s="279" t="s">
        <v>4823</v>
      </c>
      <c r="H900" s="279" t="s">
        <v>4824</v>
      </c>
      <c r="I900" s="279" t="s">
        <v>4825</v>
      </c>
      <c r="J900" s="279" t="s">
        <v>4826</v>
      </c>
      <c r="K900" s="279" t="s">
        <v>531</v>
      </c>
      <c r="L900" s="279" t="s">
        <v>532</v>
      </c>
      <c r="M900" s="279" t="s">
        <v>4827</v>
      </c>
      <c r="N900" s="279" t="s">
        <v>562</v>
      </c>
    </row>
    <row r="901" spans="1:14" ht="82.5">
      <c r="A901" s="268" t="str">
        <f t="shared" si="14"/>
        <v>Strategic Thinking|Unit Head/Specialist|4</v>
      </c>
      <c r="B901" s="223" t="s">
        <v>502</v>
      </c>
      <c r="C901" s="79" t="s">
        <v>13</v>
      </c>
      <c r="D901" s="79">
        <v>4</v>
      </c>
      <c r="E901" s="79" t="s">
        <v>581</v>
      </c>
      <c r="F901" s="79">
        <v>3</v>
      </c>
      <c r="G901" s="279" t="s">
        <v>4828</v>
      </c>
      <c r="H901" s="279" t="s">
        <v>4829</v>
      </c>
      <c r="I901" s="279" t="s">
        <v>4830</v>
      </c>
      <c r="J901" s="279" t="s">
        <v>4831</v>
      </c>
      <c r="K901" s="279" t="s">
        <v>531</v>
      </c>
      <c r="L901" s="279" t="s">
        <v>532</v>
      </c>
      <c r="M901" s="279" t="s">
        <v>4832</v>
      </c>
      <c r="N901" s="279" t="s">
        <v>1868</v>
      </c>
    </row>
    <row r="902" spans="1:14" ht="82.5">
      <c r="A902" s="268" t="str">
        <f t="shared" si="14"/>
        <v>Strategic Thinking|Department Head|1</v>
      </c>
      <c r="B902" s="223" t="s">
        <v>502</v>
      </c>
      <c r="C902" s="79" t="s">
        <v>719</v>
      </c>
      <c r="D902" s="197">
        <v>1</v>
      </c>
      <c r="E902" s="79" t="s">
        <v>526</v>
      </c>
      <c r="F902" s="79">
        <v>1</v>
      </c>
      <c r="G902" s="276" t="s">
        <v>4833</v>
      </c>
      <c r="H902" s="276" t="s">
        <v>4834</v>
      </c>
      <c r="I902" s="276" t="s">
        <v>4835</v>
      </c>
      <c r="J902" s="276" t="s">
        <v>4836</v>
      </c>
      <c r="K902" s="276" t="s">
        <v>531</v>
      </c>
      <c r="L902" s="276" t="s">
        <v>532</v>
      </c>
      <c r="M902" s="276" t="s">
        <v>4837</v>
      </c>
      <c r="N902" s="276" t="s">
        <v>534</v>
      </c>
    </row>
    <row r="903" spans="1:14" ht="66">
      <c r="A903" s="268" t="str">
        <f t="shared" si="14"/>
        <v>Strategic Thinking|Department Head|1</v>
      </c>
      <c r="B903" s="223" t="s">
        <v>502</v>
      </c>
      <c r="C903" s="79" t="s">
        <v>719</v>
      </c>
      <c r="D903" s="197">
        <v>1</v>
      </c>
      <c r="E903" s="79" t="s">
        <v>526</v>
      </c>
      <c r="F903" s="79">
        <v>2</v>
      </c>
      <c r="G903" s="276" t="s">
        <v>4838</v>
      </c>
      <c r="H903" s="276" t="s">
        <v>4839</v>
      </c>
      <c r="I903" s="276" t="s">
        <v>4840</v>
      </c>
      <c r="J903" s="276" t="s">
        <v>4841</v>
      </c>
      <c r="K903" s="276" t="s">
        <v>531</v>
      </c>
      <c r="L903" s="276" t="s">
        <v>532</v>
      </c>
      <c r="M903" s="276" t="s">
        <v>4842</v>
      </c>
      <c r="N903" s="276" t="s">
        <v>562</v>
      </c>
    </row>
    <row r="904" spans="1:14" ht="82.5">
      <c r="A904" s="268" t="str">
        <f t="shared" si="14"/>
        <v>Strategic Thinking|Department Head|1</v>
      </c>
      <c r="B904" s="223" t="s">
        <v>502</v>
      </c>
      <c r="C904" s="79" t="s">
        <v>719</v>
      </c>
      <c r="D904" s="197">
        <v>1</v>
      </c>
      <c r="E904" s="79" t="s">
        <v>526</v>
      </c>
      <c r="F904" s="79">
        <v>3</v>
      </c>
      <c r="G904" s="276" t="s">
        <v>4843</v>
      </c>
      <c r="H904" s="276" t="s">
        <v>4844</v>
      </c>
      <c r="I904" s="276" t="s">
        <v>4845</v>
      </c>
      <c r="J904" s="276" t="s">
        <v>2069</v>
      </c>
      <c r="K904" s="276" t="s">
        <v>531</v>
      </c>
      <c r="L904" s="276" t="s">
        <v>532</v>
      </c>
      <c r="M904" s="276" t="s">
        <v>4846</v>
      </c>
      <c r="N904" s="276" t="s">
        <v>562</v>
      </c>
    </row>
    <row r="905" spans="1:14" ht="82.5">
      <c r="A905" s="268" t="str">
        <f t="shared" si="14"/>
        <v>Strategic Thinking|Department Head|2</v>
      </c>
      <c r="B905" s="223" t="s">
        <v>502</v>
      </c>
      <c r="C905" s="79" t="s">
        <v>719</v>
      </c>
      <c r="D905" s="79">
        <v>2</v>
      </c>
      <c r="E905" s="79" t="s">
        <v>545</v>
      </c>
      <c r="F905" s="79">
        <v>1</v>
      </c>
      <c r="G905" s="276" t="s">
        <v>4847</v>
      </c>
      <c r="H905" s="276" t="s">
        <v>4848</v>
      </c>
      <c r="I905" s="276" t="s">
        <v>4849</v>
      </c>
      <c r="J905" s="276" t="s">
        <v>4850</v>
      </c>
      <c r="K905" s="276" t="s">
        <v>531</v>
      </c>
      <c r="L905" s="276" t="s">
        <v>532</v>
      </c>
      <c r="M905" s="276" t="s">
        <v>4851</v>
      </c>
      <c r="N905" s="276" t="s">
        <v>551</v>
      </c>
    </row>
    <row r="906" spans="1:14" ht="66">
      <c r="A906" s="268" t="str">
        <f t="shared" si="14"/>
        <v>Strategic Thinking|Department Head|2</v>
      </c>
      <c r="B906" s="223" t="s">
        <v>502</v>
      </c>
      <c r="C906" s="79" t="s">
        <v>719</v>
      </c>
      <c r="D906" s="79">
        <v>2</v>
      </c>
      <c r="E906" s="79" t="s">
        <v>545</v>
      </c>
      <c r="F906" s="79">
        <v>2</v>
      </c>
      <c r="G906" s="276" t="s">
        <v>4852</v>
      </c>
      <c r="H906" s="276" t="s">
        <v>4853</v>
      </c>
      <c r="I906" s="276" t="s">
        <v>4854</v>
      </c>
      <c r="J906" s="276" t="s">
        <v>4855</v>
      </c>
      <c r="K906" s="276" t="s">
        <v>531</v>
      </c>
      <c r="L906" s="276" t="s">
        <v>532</v>
      </c>
      <c r="M906" s="276" t="s">
        <v>4856</v>
      </c>
      <c r="N906" s="276" t="s">
        <v>562</v>
      </c>
    </row>
    <row r="907" spans="1:14" ht="49.5">
      <c r="A907" s="268" t="str">
        <f t="shared" si="14"/>
        <v>Strategic Thinking|Department Head|2</v>
      </c>
      <c r="B907" s="223" t="s">
        <v>502</v>
      </c>
      <c r="C907" s="79" t="s">
        <v>719</v>
      </c>
      <c r="D907" s="79">
        <v>2</v>
      </c>
      <c r="E907" s="79" t="s">
        <v>545</v>
      </c>
      <c r="F907" s="79">
        <v>3</v>
      </c>
      <c r="G907" s="276" t="s">
        <v>4857</v>
      </c>
      <c r="H907" s="276" t="s">
        <v>4858</v>
      </c>
      <c r="I907" s="276" t="s">
        <v>4859</v>
      </c>
      <c r="J907" s="276" t="s">
        <v>4860</v>
      </c>
      <c r="K907" s="276" t="s">
        <v>531</v>
      </c>
      <c r="L907" s="276" t="s">
        <v>532</v>
      </c>
      <c r="M907" s="276" t="s">
        <v>4861</v>
      </c>
      <c r="N907" s="276" t="s">
        <v>534</v>
      </c>
    </row>
    <row r="908" spans="1:14" ht="99">
      <c r="A908" s="268" t="str">
        <f t="shared" si="14"/>
        <v>Strategic Thinking|Department Head|3</v>
      </c>
      <c r="B908" s="223" t="s">
        <v>502</v>
      </c>
      <c r="C908" s="79" t="s">
        <v>719</v>
      </c>
      <c r="D908" s="79">
        <v>3</v>
      </c>
      <c r="E908" s="79" t="s">
        <v>563</v>
      </c>
      <c r="F908" s="79">
        <v>1</v>
      </c>
      <c r="G908" s="276" t="s">
        <v>4862</v>
      </c>
      <c r="H908" s="276" t="s">
        <v>4863</v>
      </c>
      <c r="I908" s="276" t="s">
        <v>4864</v>
      </c>
      <c r="J908" s="276" t="s">
        <v>4865</v>
      </c>
      <c r="K908" s="276" t="s">
        <v>531</v>
      </c>
      <c r="L908" s="276" t="s">
        <v>532</v>
      </c>
      <c r="M908" s="276" t="s">
        <v>4866</v>
      </c>
      <c r="N908" s="276" t="s">
        <v>534</v>
      </c>
    </row>
    <row r="909" spans="1:14" ht="99">
      <c r="A909" s="268" t="str">
        <f t="shared" si="14"/>
        <v>Strategic Thinking|Department Head|3</v>
      </c>
      <c r="B909" s="223" t="s">
        <v>502</v>
      </c>
      <c r="C909" s="79" t="s">
        <v>719</v>
      </c>
      <c r="D909" s="79">
        <v>3</v>
      </c>
      <c r="E909" s="79" t="s">
        <v>563</v>
      </c>
      <c r="F909" s="79">
        <v>2</v>
      </c>
      <c r="G909" s="276" t="s">
        <v>4867</v>
      </c>
      <c r="H909" s="276" t="s">
        <v>4868</v>
      </c>
      <c r="I909" s="276" t="s">
        <v>4869</v>
      </c>
      <c r="J909" s="276" t="s">
        <v>757</v>
      </c>
      <c r="K909" s="276" t="s">
        <v>531</v>
      </c>
      <c r="L909" s="276" t="s">
        <v>532</v>
      </c>
      <c r="M909" s="276" t="s">
        <v>4870</v>
      </c>
      <c r="N909" s="276" t="s">
        <v>562</v>
      </c>
    </row>
    <row r="910" spans="1:14" ht="99">
      <c r="A910" s="268" t="str">
        <f t="shared" si="14"/>
        <v>Strategic Thinking|Department Head|3</v>
      </c>
      <c r="B910" s="223" t="s">
        <v>502</v>
      </c>
      <c r="C910" s="79" t="s">
        <v>719</v>
      </c>
      <c r="D910" s="79">
        <v>3</v>
      </c>
      <c r="E910" s="79" t="s">
        <v>563</v>
      </c>
      <c r="F910" s="79">
        <v>3</v>
      </c>
      <c r="G910" s="276" t="s">
        <v>4871</v>
      </c>
      <c r="H910" s="276" t="s">
        <v>4872</v>
      </c>
      <c r="I910" s="276" t="s">
        <v>4873</v>
      </c>
      <c r="J910" s="276" t="s">
        <v>948</v>
      </c>
      <c r="K910" s="276" t="s">
        <v>531</v>
      </c>
      <c r="L910" s="276" t="s">
        <v>532</v>
      </c>
      <c r="M910" s="276" t="s">
        <v>4874</v>
      </c>
      <c r="N910" s="276" t="s">
        <v>580</v>
      </c>
    </row>
    <row r="911" spans="1:14" ht="99">
      <c r="A911" s="268" t="str">
        <f t="shared" si="14"/>
        <v>Strategic Thinking|Department Head|4</v>
      </c>
      <c r="B911" s="223" t="s">
        <v>502</v>
      </c>
      <c r="C911" s="79" t="s">
        <v>719</v>
      </c>
      <c r="D911" s="79">
        <v>4</v>
      </c>
      <c r="E911" s="79" t="s">
        <v>581</v>
      </c>
      <c r="F911" s="79">
        <v>1</v>
      </c>
      <c r="G911" s="276" t="s">
        <v>4875</v>
      </c>
      <c r="H911" s="276" t="s">
        <v>4876</v>
      </c>
      <c r="I911" s="276" t="s">
        <v>4877</v>
      </c>
      <c r="J911" s="276" t="s">
        <v>4878</v>
      </c>
      <c r="K911" s="276" t="s">
        <v>531</v>
      </c>
      <c r="L911" s="276" t="s">
        <v>532</v>
      </c>
      <c r="M911" s="276" t="s">
        <v>4879</v>
      </c>
      <c r="N911" s="276" t="s">
        <v>562</v>
      </c>
    </row>
    <row r="912" spans="1:14" ht="82.5">
      <c r="A912" s="268" t="str">
        <f t="shared" si="14"/>
        <v>Strategic Thinking|Department Head|4</v>
      </c>
      <c r="B912" s="223" t="s">
        <v>502</v>
      </c>
      <c r="C912" s="79" t="s">
        <v>719</v>
      </c>
      <c r="D912" s="79">
        <v>4</v>
      </c>
      <c r="E912" s="79" t="s">
        <v>581</v>
      </c>
      <c r="F912" s="79">
        <v>2</v>
      </c>
      <c r="G912" s="276" t="s">
        <v>4880</v>
      </c>
      <c r="H912" s="276" t="s">
        <v>4881</v>
      </c>
      <c r="I912" s="276" t="s">
        <v>4882</v>
      </c>
      <c r="J912" s="276" t="s">
        <v>4883</v>
      </c>
      <c r="K912" s="276" t="s">
        <v>531</v>
      </c>
      <c r="L912" s="276" t="s">
        <v>532</v>
      </c>
      <c r="M912" s="276" t="s">
        <v>4884</v>
      </c>
      <c r="N912" s="276" t="s">
        <v>562</v>
      </c>
    </row>
    <row r="913" spans="1:14" ht="82.5">
      <c r="A913" s="268" t="str">
        <f t="shared" si="14"/>
        <v>Strategic Thinking|Department Head|4</v>
      </c>
      <c r="B913" s="223" t="s">
        <v>502</v>
      </c>
      <c r="C913" s="79" t="s">
        <v>719</v>
      </c>
      <c r="D913" s="79">
        <v>4</v>
      </c>
      <c r="E913" s="79" t="s">
        <v>581</v>
      </c>
      <c r="F913" s="79">
        <v>3</v>
      </c>
      <c r="G913" s="276" t="s">
        <v>4885</v>
      </c>
      <c r="H913" s="276" t="s">
        <v>4886</v>
      </c>
      <c r="I913" s="276" t="s">
        <v>4887</v>
      </c>
      <c r="J913" s="276" t="s">
        <v>4888</v>
      </c>
      <c r="K913" s="276" t="s">
        <v>531</v>
      </c>
      <c r="L913" s="276" t="s">
        <v>532</v>
      </c>
      <c r="M913" s="276" t="s">
        <v>4889</v>
      </c>
      <c r="N913" s="276" t="s">
        <v>562</v>
      </c>
    </row>
    <row r="914" spans="1:14" ht="66">
      <c r="A914" s="268" t="str">
        <f t="shared" si="14"/>
        <v>Strategic Thinking|Division Head|1</v>
      </c>
      <c r="B914" s="223" t="s">
        <v>502</v>
      </c>
      <c r="C914" s="79" t="s">
        <v>778</v>
      </c>
      <c r="D914" s="197">
        <v>1</v>
      </c>
      <c r="E914" s="79" t="s">
        <v>526</v>
      </c>
      <c r="F914" s="79">
        <v>1</v>
      </c>
      <c r="G914" s="279" t="s">
        <v>4890</v>
      </c>
      <c r="H914" s="279" t="s">
        <v>4891</v>
      </c>
      <c r="I914" s="279" t="s">
        <v>4892</v>
      </c>
      <c r="J914" s="279" t="s">
        <v>4893</v>
      </c>
      <c r="K914" s="279" t="s">
        <v>531</v>
      </c>
      <c r="L914" s="279" t="s">
        <v>532</v>
      </c>
      <c r="M914" s="279" t="s">
        <v>4894</v>
      </c>
      <c r="N914" s="279" t="s">
        <v>534</v>
      </c>
    </row>
    <row r="915" spans="1:14" ht="82.5">
      <c r="A915" s="268" t="str">
        <f t="shared" si="14"/>
        <v>Strategic Thinking|Division Head|1</v>
      </c>
      <c r="B915" s="223" t="s">
        <v>502</v>
      </c>
      <c r="C915" s="79" t="s">
        <v>778</v>
      </c>
      <c r="D915" s="197">
        <v>1</v>
      </c>
      <c r="E915" s="79" t="s">
        <v>526</v>
      </c>
      <c r="F915" s="79">
        <v>2</v>
      </c>
      <c r="G915" s="279" t="s">
        <v>4895</v>
      </c>
      <c r="H915" s="279" t="s">
        <v>4896</v>
      </c>
      <c r="I915" s="279" t="s">
        <v>4897</v>
      </c>
      <c r="J915" s="279" t="s">
        <v>4898</v>
      </c>
      <c r="K915" s="279" t="s">
        <v>531</v>
      </c>
      <c r="L915" s="279" t="s">
        <v>532</v>
      </c>
      <c r="M915" s="279" t="s">
        <v>4899</v>
      </c>
      <c r="N915" s="279" t="s">
        <v>534</v>
      </c>
    </row>
    <row r="916" spans="1:14" ht="66">
      <c r="A916" s="268" t="str">
        <f t="shared" si="14"/>
        <v>Strategic Thinking|Division Head|1</v>
      </c>
      <c r="B916" s="223" t="s">
        <v>502</v>
      </c>
      <c r="C916" s="79" t="s">
        <v>778</v>
      </c>
      <c r="D916" s="197">
        <v>1</v>
      </c>
      <c r="E916" s="79" t="s">
        <v>526</v>
      </c>
      <c r="F916" s="79">
        <v>3</v>
      </c>
      <c r="G916" s="279" t="s">
        <v>4900</v>
      </c>
      <c r="H916" s="279" t="s">
        <v>4901</v>
      </c>
      <c r="I916" s="279" t="s">
        <v>4902</v>
      </c>
      <c r="J916" s="279" t="s">
        <v>4903</v>
      </c>
      <c r="K916" s="279" t="s">
        <v>531</v>
      </c>
      <c r="L916" s="279" t="s">
        <v>532</v>
      </c>
      <c r="M916" s="279" t="s">
        <v>4904</v>
      </c>
      <c r="N916" s="279" t="s">
        <v>534</v>
      </c>
    </row>
    <row r="917" spans="1:14" ht="66">
      <c r="A917" s="268" t="str">
        <f t="shared" si="14"/>
        <v>Strategic Thinking|Division Head|2</v>
      </c>
      <c r="B917" s="223" t="s">
        <v>502</v>
      </c>
      <c r="C917" s="79" t="s">
        <v>778</v>
      </c>
      <c r="D917" s="79">
        <v>2</v>
      </c>
      <c r="E917" s="79" t="s">
        <v>545</v>
      </c>
      <c r="F917" s="79">
        <v>1</v>
      </c>
      <c r="G917" s="279" t="s">
        <v>4905</v>
      </c>
      <c r="H917" s="279" t="s">
        <v>4906</v>
      </c>
      <c r="I917" s="279" t="s">
        <v>4907</v>
      </c>
      <c r="J917" s="279" t="s">
        <v>4908</v>
      </c>
      <c r="K917" s="279" t="s">
        <v>531</v>
      </c>
      <c r="L917" s="279" t="s">
        <v>532</v>
      </c>
      <c r="M917" s="279" t="s">
        <v>4909</v>
      </c>
      <c r="N917" s="279" t="s">
        <v>551</v>
      </c>
    </row>
    <row r="918" spans="1:14" ht="66">
      <c r="A918" s="268" t="str">
        <f t="shared" si="14"/>
        <v>Strategic Thinking|Division Head|2</v>
      </c>
      <c r="B918" s="223" t="s">
        <v>502</v>
      </c>
      <c r="C918" s="79" t="s">
        <v>778</v>
      </c>
      <c r="D918" s="79">
        <v>2</v>
      </c>
      <c r="E918" s="79" t="s">
        <v>545</v>
      </c>
      <c r="F918" s="79">
        <v>2</v>
      </c>
      <c r="G918" s="279" t="s">
        <v>4910</v>
      </c>
      <c r="H918" s="279" t="s">
        <v>4911</v>
      </c>
      <c r="I918" s="279" t="s">
        <v>4912</v>
      </c>
      <c r="J918" s="279" t="s">
        <v>4913</v>
      </c>
      <c r="K918" s="279" t="s">
        <v>531</v>
      </c>
      <c r="L918" s="279" t="s">
        <v>532</v>
      </c>
      <c r="M918" s="279" t="s">
        <v>4914</v>
      </c>
      <c r="N918" s="279" t="s">
        <v>562</v>
      </c>
    </row>
    <row r="919" spans="1:14" ht="66">
      <c r="A919" s="268" t="str">
        <f t="shared" si="14"/>
        <v>Strategic Thinking|Division Head|2</v>
      </c>
      <c r="B919" s="223" t="s">
        <v>502</v>
      </c>
      <c r="C919" s="79" t="s">
        <v>778</v>
      </c>
      <c r="D919" s="79">
        <v>2</v>
      </c>
      <c r="E919" s="79" t="s">
        <v>545</v>
      </c>
      <c r="F919" s="79">
        <v>3</v>
      </c>
      <c r="G919" s="279" t="s">
        <v>4915</v>
      </c>
      <c r="H919" s="279" t="s">
        <v>4916</v>
      </c>
      <c r="I919" s="279" t="s">
        <v>4917</v>
      </c>
      <c r="J919" s="279" t="s">
        <v>4918</v>
      </c>
      <c r="K919" s="279" t="s">
        <v>531</v>
      </c>
      <c r="L919" s="279" t="s">
        <v>532</v>
      </c>
      <c r="M919" s="279" t="s">
        <v>4919</v>
      </c>
      <c r="N919" s="279" t="s">
        <v>562</v>
      </c>
    </row>
    <row r="920" spans="1:14" ht="82.5">
      <c r="A920" s="268" t="str">
        <f t="shared" si="14"/>
        <v>Strategic Thinking|Division Head|3</v>
      </c>
      <c r="B920" s="223" t="s">
        <v>502</v>
      </c>
      <c r="C920" s="79" t="s">
        <v>778</v>
      </c>
      <c r="D920" s="79">
        <v>3</v>
      </c>
      <c r="E920" s="79" t="s">
        <v>563</v>
      </c>
      <c r="F920" s="79">
        <v>1</v>
      </c>
      <c r="G920" s="279" t="s">
        <v>1850</v>
      </c>
      <c r="H920" s="279" t="s">
        <v>1851</v>
      </c>
      <c r="I920" s="279" t="s">
        <v>4920</v>
      </c>
      <c r="J920" s="279" t="s">
        <v>4588</v>
      </c>
      <c r="K920" s="279" t="s">
        <v>531</v>
      </c>
      <c r="L920" s="279" t="s">
        <v>532</v>
      </c>
      <c r="M920" s="279" t="s">
        <v>4921</v>
      </c>
      <c r="N920" s="279" t="s">
        <v>534</v>
      </c>
    </row>
    <row r="921" spans="1:14" ht="82.5">
      <c r="A921" s="268" t="str">
        <f t="shared" si="14"/>
        <v>Strategic Thinking|Division Head|3</v>
      </c>
      <c r="B921" s="223" t="s">
        <v>502</v>
      </c>
      <c r="C921" s="79" t="s">
        <v>778</v>
      </c>
      <c r="D921" s="79">
        <v>3</v>
      </c>
      <c r="E921" s="79" t="s">
        <v>563</v>
      </c>
      <c r="F921" s="79">
        <v>2</v>
      </c>
      <c r="G921" s="279" t="s">
        <v>4922</v>
      </c>
      <c r="H921" s="279" t="s">
        <v>4923</v>
      </c>
      <c r="I921" s="279" t="s">
        <v>4924</v>
      </c>
      <c r="J921" s="279" t="s">
        <v>757</v>
      </c>
      <c r="K921" s="279" t="s">
        <v>531</v>
      </c>
      <c r="L921" s="279" t="s">
        <v>532</v>
      </c>
      <c r="M921" s="279" t="s">
        <v>4925</v>
      </c>
      <c r="N921" s="279" t="s">
        <v>562</v>
      </c>
    </row>
    <row r="922" spans="1:14" ht="99">
      <c r="A922" s="268" t="str">
        <f t="shared" si="14"/>
        <v>Strategic Thinking|Division Head|3</v>
      </c>
      <c r="B922" s="223" t="s">
        <v>502</v>
      </c>
      <c r="C922" s="79" t="s">
        <v>778</v>
      </c>
      <c r="D922" s="79">
        <v>3</v>
      </c>
      <c r="E922" s="79" t="s">
        <v>563</v>
      </c>
      <c r="F922" s="79">
        <v>3</v>
      </c>
      <c r="G922" s="279" t="s">
        <v>4926</v>
      </c>
      <c r="H922" s="279" t="s">
        <v>4927</v>
      </c>
      <c r="I922" s="279" t="s">
        <v>4928</v>
      </c>
      <c r="J922" s="279" t="s">
        <v>948</v>
      </c>
      <c r="K922" s="279" t="s">
        <v>531</v>
      </c>
      <c r="L922" s="279" t="s">
        <v>532</v>
      </c>
      <c r="M922" s="279" t="s">
        <v>4929</v>
      </c>
      <c r="N922" s="279" t="s">
        <v>580</v>
      </c>
    </row>
    <row r="923" spans="1:14" ht="82.5">
      <c r="A923" s="268" t="str">
        <f t="shared" si="14"/>
        <v>Strategic Thinking|Division Head|4</v>
      </c>
      <c r="B923" s="223" t="s">
        <v>502</v>
      </c>
      <c r="C923" s="79" t="s">
        <v>778</v>
      </c>
      <c r="D923" s="79">
        <v>4</v>
      </c>
      <c r="E923" s="79" t="s">
        <v>581</v>
      </c>
      <c r="F923" s="79">
        <v>1</v>
      </c>
      <c r="G923" s="279" t="s">
        <v>4930</v>
      </c>
      <c r="H923" s="279" t="s">
        <v>4931</v>
      </c>
      <c r="I923" s="279" t="s">
        <v>4932</v>
      </c>
      <c r="J923" s="279" t="s">
        <v>4933</v>
      </c>
      <c r="K923" s="279" t="s">
        <v>531</v>
      </c>
      <c r="L923" s="279" t="s">
        <v>532</v>
      </c>
      <c r="M923" s="279" t="s">
        <v>4934</v>
      </c>
      <c r="N923" s="279" t="s">
        <v>3935</v>
      </c>
    </row>
    <row r="924" spans="1:14" ht="82.5">
      <c r="A924" s="268" t="str">
        <f t="shared" si="14"/>
        <v>Strategic Thinking|Division Head|4</v>
      </c>
      <c r="B924" s="223" t="s">
        <v>502</v>
      </c>
      <c r="C924" s="79" t="s">
        <v>778</v>
      </c>
      <c r="D924" s="79">
        <v>4</v>
      </c>
      <c r="E924" s="79" t="s">
        <v>581</v>
      </c>
      <c r="F924" s="79">
        <v>2</v>
      </c>
      <c r="G924" s="279" t="s">
        <v>4935</v>
      </c>
      <c r="H924" s="279" t="s">
        <v>4936</v>
      </c>
      <c r="I924" s="279" t="s">
        <v>4937</v>
      </c>
      <c r="J924" s="279" t="s">
        <v>4938</v>
      </c>
      <c r="K924" s="279" t="s">
        <v>531</v>
      </c>
      <c r="L924" s="279" t="s">
        <v>532</v>
      </c>
      <c r="M924" s="279" t="s">
        <v>4939</v>
      </c>
      <c r="N924" s="279" t="s">
        <v>562</v>
      </c>
    </row>
    <row r="925" spans="1:14" ht="99">
      <c r="A925" s="268" t="str">
        <f t="shared" si="14"/>
        <v>Strategic Thinking|Division Head|4</v>
      </c>
      <c r="B925" s="223" t="s">
        <v>502</v>
      </c>
      <c r="C925" s="79" t="s">
        <v>778</v>
      </c>
      <c r="D925" s="79">
        <v>4</v>
      </c>
      <c r="E925" s="79" t="s">
        <v>581</v>
      </c>
      <c r="F925" s="79">
        <v>3</v>
      </c>
      <c r="G925" s="279" t="s">
        <v>4940</v>
      </c>
      <c r="H925" s="279" t="s">
        <v>4941</v>
      </c>
      <c r="I925" s="279" t="s">
        <v>4942</v>
      </c>
      <c r="J925" s="279" t="s">
        <v>4943</v>
      </c>
      <c r="K925" s="279" t="s">
        <v>531</v>
      </c>
      <c r="L925" s="279" t="s">
        <v>532</v>
      </c>
      <c r="M925" s="279" t="s">
        <v>4944</v>
      </c>
      <c r="N925" s="279" t="s">
        <v>2876</v>
      </c>
    </row>
    <row r="926" spans="1:14" ht="82.5">
      <c r="A926" s="268" t="str">
        <f t="shared" si="14"/>
        <v>Strategic Thinking|Director|1</v>
      </c>
      <c r="B926" s="223" t="s">
        <v>502</v>
      </c>
      <c r="C926" s="79" t="s">
        <v>838</v>
      </c>
      <c r="D926" s="197">
        <v>1</v>
      </c>
      <c r="E926" s="79" t="s">
        <v>526</v>
      </c>
      <c r="F926" s="79">
        <v>1</v>
      </c>
      <c r="G926" s="276" t="s">
        <v>1144</v>
      </c>
      <c r="H926" s="276" t="s">
        <v>1145</v>
      </c>
      <c r="I926" s="276" t="s">
        <v>4945</v>
      </c>
      <c r="J926" s="276" t="s">
        <v>4946</v>
      </c>
      <c r="K926" s="276" t="s">
        <v>531</v>
      </c>
      <c r="L926" s="276" t="s">
        <v>532</v>
      </c>
      <c r="M926" s="276" t="s">
        <v>4947</v>
      </c>
      <c r="N926" s="276" t="s">
        <v>534</v>
      </c>
    </row>
    <row r="927" spans="1:14" ht="82.5">
      <c r="A927" s="268" t="str">
        <f t="shared" si="14"/>
        <v>Strategic Thinking|Director|1</v>
      </c>
      <c r="B927" s="223" t="s">
        <v>502</v>
      </c>
      <c r="C927" s="79" t="s">
        <v>838</v>
      </c>
      <c r="D927" s="197">
        <v>1</v>
      </c>
      <c r="E927" s="79" t="s">
        <v>526</v>
      </c>
      <c r="F927" s="79">
        <v>2</v>
      </c>
      <c r="G927" s="276" t="s">
        <v>4948</v>
      </c>
      <c r="H927" s="276" t="s">
        <v>4949</v>
      </c>
      <c r="I927" s="276" t="s">
        <v>4950</v>
      </c>
      <c r="J927" s="276" t="s">
        <v>4951</v>
      </c>
      <c r="K927" s="276" t="s">
        <v>531</v>
      </c>
      <c r="L927" s="276" t="s">
        <v>532</v>
      </c>
      <c r="M927" s="276" t="s">
        <v>4952</v>
      </c>
      <c r="N927" s="276" t="s">
        <v>534</v>
      </c>
    </row>
    <row r="928" spans="1:14" ht="99">
      <c r="A928" s="268" t="str">
        <f t="shared" si="14"/>
        <v>Strategic Thinking|Director|1</v>
      </c>
      <c r="B928" s="223" t="s">
        <v>502</v>
      </c>
      <c r="C928" s="79" t="s">
        <v>838</v>
      </c>
      <c r="D928" s="197">
        <v>1</v>
      </c>
      <c r="E928" s="79" t="s">
        <v>526</v>
      </c>
      <c r="F928" s="79">
        <v>3</v>
      </c>
      <c r="G928" s="276" t="s">
        <v>4953</v>
      </c>
      <c r="H928" s="276" t="s">
        <v>4616</v>
      </c>
      <c r="I928" s="276" t="s">
        <v>4954</v>
      </c>
      <c r="J928" s="276" t="s">
        <v>4955</v>
      </c>
      <c r="K928" s="276" t="s">
        <v>531</v>
      </c>
      <c r="L928" s="276" t="s">
        <v>532</v>
      </c>
      <c r="M928" s="276" t="s">
        <v>4956</v>
      </c>
      <c r="N928" s="276" t="s">
        <v>856</v>
      </c>
    </row>
    <row r="929" spans="1:14" ht="82.5">
      <c r="A929" s="268" t="str">
        <f t="shared" si="14"/>
        <v>Strategic Thinking|Director|2</v>
      </c>
      <c r="B929" s="223" t="s">
        <v>502</v>
      </c>
      <c r="C929" s="79" t="s">
        <v>838</v>
      </c>
      <c r="D929" s="79">
        <v>2</v>
      </c>
      <c r="E929" s="79" t="s">
        <v>545</v>
      </c>
      <c r="F929" s="79">
        <v>1</v>
      </c>
      <c r="G929" s="276" t="s">
        <v>4957</v>
      </c>
      <c r="H929" s="276" t="s">
        <v>4958</v>
      </c>
      <c r="I929" s="276" t="s">
        <v>4959</v>
      </c>
      <c r="J929" s="276" t="s">
        <v>4960</v>
      </c>
      <c r="K929" s="276" t="s">
        <v>531</v>
      </c>
      <c r="L929" s="276" t="s">
        <v>532</v>
      </c>
      <c r="M929" s="276" t="s">
        <v>4961</v>
      </c>
      <c r="N929" s="276" t="s">
        <v>862</v>
      </c>
    </row>
    <row r="930" spans="1:14" ht="66">
      <c r="A930" s="268" t="str">
        <f t="shared" si="14"/>
        <v>Strategic Thinking|Director|2</v>
      </c>
      <c r="B930" s="223" t="s">
        <v>502</v>
      </c>
      <c r="C930" s="79" t="s">
        <v>838</v>
      </c>
      <c r="D930" s="79">
        <v>2</v>
      </c>
      <c r="E930" s="79" t="s">
        <v>545</v>
      </c>
      <c r="F930" s="79">
        <v>2</v>
      </c>
      <c r="G930" s="276" t="s">
        <v>4962</v>
      </c>
      <c r="H930" s="276" t="s">
        <v>4963</v>
      </c>
      <c r="I930" s="276" t="s">
        <v>4964</v>
      </c>
      <c r="J930" s="276" t="s">
        <v>4965</v>
      </c>
      <c r="K930" s="276" t="s">
        <v>531</v>
      </c>
      <c r="L930" s="276" t="s">
        <v>532</v>
      </c>
      <c r="M930" s="276" t="s">
        <v>4966</v>
      </c>
      <c r="N930" s="276" t="s">
        <v>4652</v>
      </c>
    </row>
    <row r="931" spans="1:14" ht="66">
      <c r="A931" s="268" t="str">
        <f t="shared" si="14"/>
        <v>Strategic Thinking|Director|2</v>
      </c>
      <c r="B931" s="223" t="s">
        <v>502</v>
      </c>
      <c r="C931" s="79" t="s">
        <v>838</v>
      </c>
      <c r="D931" s="79">
        <v>2</v>
      </c>
      <c r="E931" s="79" t="s">
        <v>545</v>
      </c>
      <c r="F931" s="79">
        <v>3</v>
      </c>
      <c r="G931" s="276" t="s">
        <v>4967</v>
      </c>
      <c r="H931" s="276" t="s">
        <v>4968</v>
      </c>
      <c r="I931" s="276" t="s">
        <v>4969</v>
      </c>
      <c r="J931" s="276" t="s">
        <v>4970</v>
      </c>
      <c r="K931" s="276" t="s">
        <v>531</v>
      </c>
      <c r="L931" s="276" t="s">
        <v>532</v>
      </c>
      <c r="M931" s="276" t="s">
        <v>4971</v>
      </c>
      <c r="N931" s="276" t="s">
        <v>856</v>
      </c>
    </row>
    <row r="932" spans="1:14" ht="99">
      <c r="A932" s="268" t="str">
        <f t="shared" si="14"/>
        <v>Strategic Thinking|Director|3</v>
      </c>
      <c r="B932" s="223" t="s">
        <v>502</v>
      </c>
      <c r="C932" s="79" t="s">
        <v>838</v>
      </c>
      <c r="D932" s="79">
        <v>3</v>
      </c>
      <c r="E932" s="79" t="s">
        <v>563</v>
      </c>
      <c r="F932" s="79">
        <v>1</v>
      </c>
      <c r="G932" s="276" t="s">
        <v>1175</v>
      </c>
      <c r="H932" s="276" t="s">
        <v>4972</v>
      </c>
      <c r="I932" s="276" t="s">
        <v>4973</v>
      </c>
      <c r="J932" s="276" t="s">
        <v>4634</v>
      </c>
      <c r="K932" s="276" t="s">
        <v>531</v>
      </c>
      <c r="L932" s="276" t="s">
        <v>532</v>
      </c>
      <c r="M932" s="276" t="s">
        <v>4974</v>
      </c>
      <c r="N932" s="276" t="s">
        <v>534</v>
      </c>
    </row>
    <row r="933" spans="1:14" ht="82.5">
      <c r="A933" s="268" t="str">
        <f t="shared" si="14"/>
        <v>Strategic Thinking|Director|3</v>
      </c>
      <c r="B933" s="223" t="s">
        <v>502</v>
      </c>
      <c r="C933" s="79" t="s">
        <v>838</v>
      </c>
      <c r="D933" s="79">
        <v>3</v>
      </c>
      <c r="E933" s="79" t="s">
        <v>563</v>
      </c>
      <c r="F933" s="79">
        <v>2</v>
      </c>
      <c r="G933" s="276" t="s">
        <v>1180</v>
      </c>
      <c r="H933" s="276" t="s">
        <v>1181</v>
      </c>
      <c r="I933" s="276" t="s">
        <v>4975</v>
      </c>
      <c r="J933" s="276" t="s">
        <v>4636</v>
      </c>
      <c r="K933" s="276" t="s">
        <v>531</v>
      </c>
      <c r="L933" s="276" t="s">
        <v>532</v>
      </c>
      <c r="M933" s="276" t="s">
        <v>4976</v>
      </c>
      <c r="N933" s="276" t="s">
        <v>1185</v>
      </c>
    </row>
    <row r="934" spans="1:14" ht="115.5">
      <c r="A934" s="268" t="str">
        <f t="shared" si="14"/>
        <v>Strategic Thinking|Director|3</v>
      </c>
      <c r="B934" s="223" t="s">
        <v>502</v>
      </c>
      <c r="C934" s="79" t="s">
        <v>838</v>
      </c>
      <c r="D934" s="79">
        <v>3</v>
      </c>
      <c r="E934" s="79" t="s">
        <v>563</v>
      </c>
      <c r="F934" s="79">
        <v>3</v>
      </c>
      <c r="G934" s="276" t="s">
        <v>4977</v>
      </c>
      <c r="H934" s="276" t="s">
        <v>1187</v>
      </c>
      <c r="I934" s="276" t="s">
        <v>4978</v>
      </c>
      <c r="J934" s="276" t="s">
        <v>4979</v>
      </c>
      <c r="K934" s="276" t="s">
        <v>531</v>
      </c>
      <c r="L934" s="276" t="s">
        <v>532</v>
      </c>
      <c r="M934" s="276" t="s">
        <v>4980</v>
      </c>
      <c r="N934" s="276" t="s">
        <v>580</v>
      </c>
    </row>
    <row r="935" spans="1:14" ht="99">
      <c r="A935" s="268" t="str">
        <f t="shared" si="14"/>
        <v>Strategic Thinking|Director|4</v>
      </c>
      <c r="B935" s="223" t="s">
        <v>502</v>
      </c>
      <c r="C935" s="79" t="s">
        <v>838</v>
      </c>
      <c r="D935" s="79">
        <v>4</v>
      </c>
      <c r="E935" s="79" t="s">
        <v>581</v>
      </c>
      <c r="F935" s="79">
        <v>1</v>
      </c>
      <c r="G935" s="276" t="s">
        <v>4981</v>
      </c>
      <c r="H935" s="276" t="s">
        <v>4982</v>
      </c>
      <c r="I935" s="276" t="s">
        <v>4983</v>
      </c>
      <c r="J935" s="276" t="s">
        <v>4984</v>
      </c>
      <c r="K935" s="276" t="s">
        <v>531</v>
      </c>
      <c r="L935" s="276" t="s">
        <v>532</v>
      </c>
      <c r="M935" s="276" t="s">
        <v>4985</v>
      </c>
      <c r="N935" s="276" t="s">
        <v>4646</v>
      </c>
    </row>
    <row r="936" spans="1:14" ht="82.5">
      <c r="A936" s="268" t="str">
        <f t="shared" si="14"/>
        <v>Strategic Thinking|Director|4</v>
      </c>
      <c r="B936" s="223" t="s">
        <v>502</v>
      </c>
      <c r="C936" s="79" t="s">
        <v>838</v>
      </c>
      <c r="D936" s="79">
        <v>4</v>
      </c>
      <c r="E936" s="79" t="s">
        <v>581</v>
      </c>
      <c r="F936" s="79">
        <v>2</v>
      </c>
      <c r="G936" s="276" t="s">
        <v>4986</v>
      </c>
      <c r="H936" s="276" t="s">
        <v>4987</v>
      </c>
      <c r="I936" s="276" t="s">
        <v>4988</v>
      </c>
      <c r="J936" s="276" t="s">
        <v>4989</v>
      </c>
      <c r="K936" s="276" t="s">
        <v>531</v>
      </c>
      <c r="L936" s="276" t="s">
        <v>532</v>
      </c>
      <c r="M936" s="276" t="s">
        <v>4990</v>
      </c>
      <c r="N936" s="276" t="s">
        <v>4991</v>
      </c>
    </row>
    <row r="937" spans="1:14" ht="82.5">
      <c r="A937" s="268" t="str">
        <f t="shared" si="14"/>
        <v>Strategic Thinking|Director|4</v>
      </c>
      <c r="B937" s="223" t="s">
        <v>502</v>
      </c>
      <c r="C937" s="79" t="s">
        <v>838</v>
      </c>
      <c r="D937" s="79">
        <v>4</v>
      </c>
      <c r="E937" s="79" t="s">
        <v>581</v>
      </c>
      <c r="F937" s="79">
        <v>3</v>
      </c>
      <c r="G937" s="276" t="s">
        <v>4992</v>
      </c>
      <c r="H937" s="276" t="s">
        <v>4993</v>
      </c>
      <c r="I937" s="276" t="s">
        <v>4994</v>
      </c>
      <c r="J937" s="276" t="s">
        <v>4995</v>
      </c>
      <c r="K937" s="276" t="s">
        <v>531</v>
      </c>
      <c r="L937" s="276" t="s">
        <v>532</v>
      </c>
      <c r="M937" s="276" t="s">
        <v>4996</v>
      </c>
      <c r="N937" s="276" t="s">
        <v>856</v>
      </c>
    </row>
    <row r="938" spans="1:14" ht="56">
      <c r="A938" s="268" t="str">
        <f t="shared" si="14"/>
        <v>Teamwork|Officer|1</v>
      </c>
      <c r="B938" s="223" t="s">
        <v>4997</v>
      </c>
      <c r="C938" s="226" t="s">
        <v>4</v>
      </c>
      <c r="D938" s="226">
        <v>1</v>
      </c>
      <c r="E938" s="227" t="s">
        <v>526</v>
      </c>
      <c r="F938" s="227">
        <v>1</v>
      </c>
      <c r="G938" s="277" t="s">
        <v>4998</v>
      </c>
      <c r="H938" s="277" t="s">
        <v>4999</v>
      </c>
      <c r="I938" s="277" t="s">
        <v>5000</v>
      </c>
      <c r="J938" s="277" t="s">
        <v>5001</v>
      </c>
      <c r="K938" s="277" t="s">
        <v>531</v>
      </c>
      <c r="L938" s="277" t="s">
        <v>532</v>
      </c>
      <c r="M938" s="277" t="s">
        <v>5002</v>
      </c>
      <c r="N938" s="277" t="s">
        <v>534</v>
      </c>
    </row>
    <row r="939" spans="1:14" ht="42">
      <c r="A939" s="268" t="str">
        <f t="shared" si="14"/>
        <v>Teamwork|Officer|1</v>
      </c>
      <c r="B939" s="223" t="s">
        <v>4997</v>
      </c>
      <c r="C939" s="226" t="s">
        <v>4</v>
      </c>
      <c r="D939" s="226">
        <v>1</v>
      </c>
      <c r="E939" s="227" t="s">
        <v>526</v>
      </c>
      <c r="F939" s="227">
        <v>2</v>
      </c>
      <c r="G939" s="277" t="s">
        <v>5003</v>
      </c>
      <c r="H939" s="277" t="s">
        <v>5004</v>
      </c>
      <c r="I939" s="277" t="s">
        <v>5005</v>
      </c>
      <c r="J939" s="277" t="s">
        <v>5006</v>
      </c>
      <c r="K939" s="277" t="s">
        <v>531</v>
      </c>
      <c r="L939" s="277" t="s">
        <v>532</v>
      </c>
      <c r="M939" s="277" t="s">
        <v>5007</v>
      </c>
      <c r="N939" s="277" t="s">
        <v>534</v>
      </c>
    </row>
    <row r="940" spans="1:14" ht="56">
      <c r="A940" s="268" t="str">
        <f t="shared" si="14"/>
        <v>Teamwork|Officer|1</v>
      </c>
      <c r="B940" s="223" t="s">
        <v>4997</v>
      </c>
      <c r="C940" s="226" t="s">
        <v>4</v>
      </c>
      <c r="D940" s="226">
        <v>1</v>
      </c>
      <c r="E940" s="227" t="s">
        <v>526</v>
      </c>
      <c r="F940" s="227">
        <v>3</v>
      </c>
      <c r="G940" s="277" t="s">
        <v>5008</v>
      </c>
      <c r="H940" s="277" t="s">
        <v>5009</v>
      </c>
      <c r="I940" s="277" t="s">
        <v>5010</v>
      </c>
      <c r="J940" s="277" t="s">
        <v>5011</v>
      </c>
      <c r="K940" s="277" t="s">
        <v>531</v>
      </c>
      <c r="L940" s="277" t="s">
        <v>532</v>
      </c>
      <c r="M940" s="277" t="s">
        <v>5012</v>
      </c>
      <c r="N940" s="277" t="s">
        <v>534</v>
      </c>
    </row>
    <row r="941" spans="1:14" ht="28">
      <c r="A941" s="268" t="str">
        <f t="shared" si="14"/>
        <v>Teamwork|Officer|2</v>
      </c>
      <c r="B941" s="223" t="s">
        <v>4997</v>
      </c>
      <c r="C941" s="226" t="s">
        <v>4</v>
      </c>
      <c r="D941" s="227">
        <v>2</v>
      </c>
      <c r="E941" s="227" t="s">
        <v>545</v>
      </c>
      <c r="F941" s="227">
        <v>1</v>
      </c>
      <c r="G941" s="277" t="s">
        <v>5013</v>
      </c>
      <c r="H941" s="277" t="s">
        <v>5014</v>
      </c>
      <c r="I941" s="277" t="s">
        <v>5015</v>
      </c>
      <c r="J941" s="277" t="s">
        <v>5016</v>
      </c>
      <c r="K941" s="277" t="s">
        <v>531</v>
      </c>
      <c r="L941" s="277" t="s">
        <v>532</v>
      </c>
      <c r="M941" s="277" t="s">
        <v>5017</v>
      </c>
      <c r="N941" s="277" t="s">
        <v>551</v>
      </c>
    </row>
    <row r="942" spans="1:14" ht="42">
      <c r="A942" s="268" t="str">
        <f t="shared" si="14"/>
        <v>Teamwork|Officer|2</v>
      </c>
      <c r="B942" s="223" t="s">
        <v>4997</v>
      </c>
      <c r="C942" s="226" t="s">
        <v>4</v>
      </c>
      <c r="D942" s="227">
        <v>2</v>
      </c>
      <c r="E942" s="227" t="s">
        <v>545</v>
      </c>
      <c r="F942" s="227">
        <v>2</v>
      </c>
      <c r="G942" s="277" t="s">
        <v>5018</v>
      </c>
      <c r="H942" s="277" t="s">
        <v>5019</v>
      </c>
      <c r="I942" s="277" t="s">
        <v>5020</v>
      </c>
      <c r="J942" s="277" t="s">
        <v>5021</v>
      </c>
      <c r="K942" s="277" t="s">
        <v>531</v>
      </c>
      <c r="L942" s="277" t="s">
        <v>532</v>
      </c>
      <c r="M942" s="277" t="s">
        <v>5022</v>
      </c>
      <c r="N942" s="277" t="s">
        <v>677</v>
      </c>
    </row>
    <row r="943" spans="1:14" ht="42">
      <c r="A943" s="268" t="str">
        <f t="shared" si="14"/>
        <v>Teamwork|Officer|2</v>
      </c>
      <c r="B943" s="223" t="s">
        <v>4997</v>
      </c>
      <c r="C943" s="226" t="s">
        <v>4</v>
      </c>
      <c r="D943" s="227">
        <v>2</v>
      </c>
      <c r="E943" s="227" t="s">
        <v>545</v>
      </c>
      <c r="F943" s="227">
        <v>3</v>
      </c>
      <c r="G943" s="277" t="s">
        <v>5023</v>
      </c>
      <c r="H943" s="277" t="s">
        <v>5024</v>
      </c>
      <c r="I943" s="277" t="s">
        <v>5025</v>
      </c>
      <c r="J943" s="277" t="s">
        <v>5026</v>
      </c>
      <c r="K943" s="277" t="s">
        <v>531</v>
      </c>
      <c r="L943" s="277" t="s">
        <v>532</v>
      </c>
      <c r="M943" s="277" t="s">
        <v>5027</v>
      </c>
      <c r="N943" s="277" t="s">
        <v>534</v>
      </c>
    </row>
    <row r="944" spans="1:14" ht="28">
      <c r="A944" s="268" t="str">
        <f t="shared" si="14"/>
        <v>Teamwork|Officer|3</v>
      </c>
      <c r="B944" s="223" t="s">
        <v>4997</v>
      </c>
      <c r="C944" s="226" t="s">
        <v>4</v>
      </c>
      <c r="D944" s="227">
        <v>3</v>
      </c>
      <c r="E944" s="227" t="s">
        <v>563</v>
      </c>
      <c r="F944" s="227">
        <v>1</v>
      </c>
      <c r="G944" s="277" t="s">
        <v>5028</v>
      </c>
      <c r="H944" s="277" t="s">
        <v>5029</v>
      </c>
      <c r="I944" s="277" t="s">
        <v>5030</v>
      </c>
      <c r="J944" s="277" t="s">
        <v>5031</v>
      </c>
      <c r="K944" s="277" t="s">
        <v>531</v>
      </c>
      <c r="L944" s="277" t="s">
        <v>532</v>
      </c>
      <c r="M944" s="277" t="s">
        <v>5032</v>
      </c>
      <c r="N944" s="277" t="s">
        <v>5033</v>
      </c>
    </row>
    <row r="945" spans="1:14" ht="42">
      <c r="A945" s="268" t="str">
        <f t="shared" si="14"/>
        <v>Teamwork|Officer|3</v>
      </c>
      <c r="B945" s="223" t="s">
        <v>4997</v>
      </c>
      <c r="C945" s="226" t="s">
        <v>4</v>
      </c>
      <c r="D945" s="227">
        <v>3</v>
      </c>
      <c r="E945" s="227" t="s">
        <v>563</v>
      </c>
      <c r="F945" s="227">
        <v>2</v>
      </c>
      <c r="G945" s="277" t="s">
        <v>5034</v>
      </c>
      <c r="H945" s="277" t="s">
        <v>5035</v>
      </c>
      <c r="I945" s="277" t="s">
        <v>5036</v>
      </c>
      <c r="J945" s="277" t="s">
        <v>5037</v>
      </c>
      <c r="K945" s="277" t="s">
        <v>531</v>
      </c>
      <c r="L945" s="277" t="s">
        <v>532</v>
      </c>
      <c r="M945" s="277" t="s">
        <v>5038</v>
      </c>
      <c r="N945" s="277" t="s">
        <v>1609</v>
      </c>
    </row>
    <row r="946" spans="1:14" ht="28">
      <c r="A946" s="268" t="str">
        <f t="shared" si="14"/>
        <v>Teamwork|Officer|3</v>
      </c>
      <c r="B946" s="223" t="s">
        <v>4997</v>
      </c>
      <c r="C946" s="226" t="s">
        <v>4</v>
      </c>
      <c r="D946" s="227">
        <v>3</v>
      </c>
      <c r="E946" s="227" t="s">
        <v>563</v>
      </c>
      <c r="F946" s="227">
        <v>3</v>
      </c>
      <c r="G946" s="277" t="s">
        <v>5039</v>
      </c>
      <c r="H946" s="277" t="s">
        <v>5040</v>
      </c>
      <c r="I946" s="277" t="s">
        <v>5041</v>
      </c>
      <c r="J946" s="277" t="s">
        <v>5042</v>
      </c>
      <c r="K946" s="277" t="s">
        <v>531</v>
      </c>
      <c r="L946" s="277" t="s">
        <v>532</v>
      </c>
      <c r="M946" s="277" t="s">
        <v>5043</v>
      </c>
      <c r="N946" s="277" t="s">
        <v>562</v>
      </c>
    </row>
    <row r="947" spans="1:14" ht="42">
      <c r="A947" s="268" t="str">
        <f t="shared" si="14"/>
        <v>Teamwork|Officer|4</v>
      </c>
      <c r="B947" s="223" t="s">
        <v>4997</v>
      </c>
      <c r="C947" s="226" t="s">
        <v>4</v>
      </c>
      <c r="D947" s="227">
        <v>4</v>
      </c>
      <c r="E947" s="227" t="s">
        <v>581</v>
      </c>
      <c r="F947" s="227">
        <v>1</v>
      </c>
      <c r="G947" s="277" t="s">
        <v>5044</v>
      </c>
      <c r="H947" s="277" t="s">
        <v>5045</v>
      </c>
      <c r="I947" s="277" t="s">
        <v>5046</v>
      </c>
      <c r="J947" s="277" t="s">
        <v>5047</v>
      </c>
      <c r="K947" s="277" t="s">
        <v>531</v>
      </c>
      <c r="L947" s="277" t="s">
        <v>532</v>
      </c>
      <c r="M947" s="277" t="s">
        <v>5048</v>
      </c>
      <c r="N947" s="277" t="s">
        <v>562</v>
      </c>
    </row>
    <row r="948" spans="1:14" ht="56">
      <c r="A948" s="268" t="str">
        <f t="shared" si="14"/>
        <v>Teamwork|Officer|4</v>
      </c>
      <c r="B948" s="223" t="s">
        <v>4997</v>
      </c>
      <c r="C948" s="226" t="s">
        <v>4</v>
      </c>
      <c r="D948" s="227">
        <v>4</v>
      </c>
      <c r="E948" s="227" t="s">
        <v>581</v>
      </c>
      <c r="F948" s="227">
        <v>2</v>
      </c>
      <c r="G948" s="277" t="s">
        <v>5049</v>
      </c>
      <c r="H948" s="277" t="s">
        <v>5050</v>
      </c>
      <c r="I948" s="277" t="s">
        <v>5051</v>
      </c>
      <c r="J948" s="277" t="s">
        <v>5052</v>
      </c>
      <c r="K948" s="277" t="s">
        <v>531</v>
      </c>
      <c r="L948" s="277" t="s">
        <v>532</v>
      </c>
      <c r="M948" s="277" t="s">
        <v>5053</v>
      </c>
      <c r="N948" s="277" t="s">
        <v>5054</v>
      </c>
    </row>
    <row r="949" spans="1:14" ht="56">
      <c r="A949" s="268" t="str">
        <f t="shared" si="14"/>
        <v>Teamwork|Officer|4</v>
      </c>
      <c r="B949" s="223" t="s">
        <v>4997</v>
      </c>
      <c r="C949" s="226" t="s">
        <v>4</v>
      </c>
      <c r="D949" s="227">
        <v>4</v>
      </c>
      <c r="E949" s="227" t="s">
        <v>581</v>
      </c>
      <c r="F949" s="227">
        <v>3</v>
      </c>
      <c r="G949" s="277" t="s">
        <v>5055</v>
      </c>
      <c r="H949" s="277" t="s">
        <v>5056</v>
      </c>
      <c r="I949" s="277" t="s">
        <v>5057</v>
      </c>
      <c r="J949" s="277" t="s">
        <v>5058</v>
      </c>
      <c r="K949" s="277" t="s">
        <v>531</v>
      </c>
      <c r="L949" s="277" t="s">
        <v>532</v>
      </c>
      <c r="M949" s="277" t="s">
        <v>5059</v>
      </c>
      <c r="N949" s="277" t="s">
        <v>5060</v>
      </c>
    </row>
    <row r="950" spans="1:14" ht="66">
      <c r="A950" s="268" t="str">
        <f t="shared" si="14"/>
        <v>Teamwork|Analyst|1</v>
      </c>
      <c r="B950" s="223" t="s">
        <v>4997</v>
      </c>
      <c r="C950" s="226" t="s">
        <v>6</v>
      </c>
      <c r="D950" s="226">
        <v>1</v>
      </c>
      <c r="E950" s="227" t="s">
        <v>526</v>
      </c>
      <c r="F950" s="227">
        <v>1</v>
      </c>
      <c r="G950" s="279" t="s">
        <v>5061</v>
      </c>
      <c r="H950" s="279" t="s">
        <v>5062</v>
      </c>
      <c r="I950" s="279" t="s">
        <v>5063</v>
      </c>
      <c r="J950" s="279" t="s">
        <v>5064</v>
      </c>
      <c r="K950" s="279" t="s">
        <v>531</v>
      </c>
      <c r="L950" s="279" t="s">
        <v>532</v>
      </c>
      <c r="M950" s="279" t="s">
        <v>5065</v>
      </c>
      <c r="N950" s="279" t="s">
        <v>534</v>
      </c>
    </row>
    <row r="951" spans="1:14" ht="49.5">
      <c r="A951" s="268" t="str">
        <f t="shared" si="14"/>
        <v>Teamwork|Analyst|1</v>
      </c>
      <c r="B951" s="223" t="s">
        <v>4997</v>
      </c>
      <c r="C951" s="226" t="s">
        <v>6</v>
      </c>
      <c r="D951" s="226">
        <v>1</v>
      </c>
      <c r="E951" s="227" t="s">
        <v>526</v>
      </c>
      <c r="F951" s="227">
        <v>2</v>
      </c>
      <c r="G951" s="279" t="s">
        <v>5066</v>
      </c>
      <c r="H951" s="279" t="s">
        <v>5067</v>
      </c>
      <c r="I951" s="279" t="s">
        <v>5068</v>
      </c>
      <c r="J951" s="279" t="s">
        <v>5069</v>
      </c>
      <c r="K951" s="279" t="s">
        <v>531</v>
      </c>
      <c r="L951" s="279" t="s">
        <v>532</v>
      </c>
      <c r="M951" s="279" t="s">
        <v>5070</v>
      </c>
      <c r="N951" s="279" t="s">
        <v>562</v>
      </c>
    </row>
    <row r="952" spans="1:14" ht="66">
      <c r="A952" s="268" t="str">
        <f t="shared" si="14"/>
        <v>Teamwork|Analyst|1</v>
      </c>
      <c r="B952" s="223" t="s">
        <v>4997</v>
      </c>
      <c r="C952" s="226" t="s">
        <v>6</v>
      </c>
      <c r="D952" s="226">
        <v>1</v>
      </c>
      <c r="E952" s="227" t="s">
        <v>526</v>
      </c>
      <c r="F952" s="227">
        <v>3</v>
      </c>
      <c r="G952" s="279" t="s">
        <v>5071</v>
      </c>
      <c r="H952" s="279" t="s">
        <v>5072</v>
      </c>
      <c r="I952" s="279" t="s">
        <v>5073</v>
      </c>
      <c r="J952" s="279" t="s">
        <v>1582</v>
      </c>
      <c r="K952" s="279" t="s">
        <v>531</v>
      </c>
      <c r="L952" s="279" t="s">
        <v>532</v>
      </c>
      <c r="M952" s="279" t="s">
        <v>5074</v>
      </c>
      <c r="N952" s="279" t="s">
        <v>534</v>
      </c>
    </row>
    <row r="953" spans="1:14" ht="49.5">
      <c r="A953" s="268" t="str">
        <f t="shared" si="14"/>
        <v>Teamwork|Analyst|2</v>
      </c>
      <c r="B953" s="223" t="s">
        <v>4997</v>
      </c>
      <c r="C953" s="226" t="s">
        <v>6</v>
      </c>
      <c r="D953" s="227">
        <v>2</v>
      </c>
      <c r="E953" s="227" t="s">
        <v>545</v>
      </c>
      <c r="F953" s="227">
        <v>1</v>
      </c>
      <c r="G953" s="279" t="s">
        <v>5075</v>
      </c>
      <c r="H953" s="279" t="s">
        <v>5076</v>
      </c>
      <c r="I953" s="279" t="s">
        <v>5077</v>
      </c>
      <c r="J953" s="279" t="s">
        <v>5078</v>
      </c>
      <c r="K953" s="279" t="s">
        <v>531</v>
      </c>
      <c r="L953" s="279" t="s">
        <v>532</v>
      </c>
      <c r="M953" s="279" t="s">
        <v>5079</v>
      </c>
      <c r="N953" s="279" t="s">
        <v>677</v>
      </c>
    </row>
    <row r="954" spans="1:14" ht="49.5">
      <c r="A954" s="268" t="str">
        <f t="shared" si="14"/>
        <v>Teamwork|Analyst|2</v>
      </c>
      <c r="B954" s="223" t="s">
        <v>4997</v>
      </c>
      <c r="C954" s="226" t="s">
        <v>6</v>
      </c>
      <c r="D954" s="227">
        <v>2</v>
      </c>
      <c r="E954" s="227" t="s">
        <v>545</v>
      </c>
      <c r="F954" s="227">
        <v>2</v>
      </c>
      <c r="G954" s="279" t="s">
        <v>5080</v>
      </c>
      <c r="H954" s="279" t="s">
        <v>5081</v>
      </c>
      <c r="I954" s="279" t="s">
        <v>5082</v>
      </c>
      <c r="J954" s="279" t="s">
        <v>5083</v>
      </c>
      <c r="K954" s="279" t="s">
        <v>531</v>
      </c>
      <c r="L954" s="279" t="s">
        <v>532</v>
      </c>
      <c r="M954" s="279" t="s">
        <v>5084</v>
      </c>
      <c r="N954" s="279" t="s">
        <v>562</v>
      </c>
    </row>
    <row r="955" spans="1:14" ht="49.5">
      <c r="A955" s="268" t="str">
        <f t="shared" si="14"/>
        <v>Teamwork|Analyst|2</v>
      </c>
      <c r="B955" s="223" t="s">
        <v>4997</v>
      </c>
      <c r="C955" s="226" t="s">
        <v>6</v>
      </c>
      <c r="D955" s="227">
        <v>2</v>
      </c>
      <c r="E955" s="227" t="s">
        <v>545</v>
      </c>
      <c r="F955" s="227">
        <v>3</v>
      </c>
      <c r="G955" s="279" t="s">
        <v>5085</v>
      </c>
      <c r="H955" s="279" t="s">
        <v>5086</v>
      </c>
      <c r="I955" s="279" t="s">
        <v>5087</v>
      </c>
      <c r="J955" s="279" t="s">
        <v>5088</v>
      </c>
      <c r="K955" s="279" t="s">
        <v>531</v>
      </c>
      <c r="L955" s="279" t="s">
        <v>532</v>
      </c>
      <c r="M955" s="279" t="s">
        <v>5089</v>
      </c>
      <c r="N955" s="279" t="s">
        <v>677</v>
      </c>
    </row>
    <row r="956" spans="1:14" ht="49.5">
      <c r="A956" s="268" t="str">
        <f t="shared" si="14"/>
        <v>Teamwork|Analyst|3</v>
      </c>
      <c r="B956" s="223" t="s">
        <v>4997</v>
      </c>
      <c r="C956" s="226" t="s">
        <v>6</v>
      </c>
      <c r="D956" s="227">
        <v>3</v>
      </c>
      <c r="E956" s="227" t="s">
        <v>563</v>
      </c>
      <c r="F956" s="227">
        <v>1</v>
      </c>
      <c r="G956" s="279" t="s">
        <v>5090</v>
      </c>
      <c r="H956" s="279" t="s">
        <v>5091</v>
      </c>
      <c r="I956" s="279" t="s">
        <v>5092</v>
      </c>
      <c r="J956" s="279" t="s">
        <v>5093</v>
      </c>
      <c r="K956" s="279" t="s">
        <v>531</v>
      </c>
      <c r="L956" s="279" t="s">
        <v>532</v>
      </c>
      <c r="M956" s="279" t="s">
        <v>5094</v>
      </c>
      <c r="N956" s="279" t="s">
        <v>5095</v>
      </c>
    </row>
    <row r="957" spans="1:14" ht="49.5">
      <c r="A957" s="268" t="str">
        <f t="shared" si="14"/>
        <v>Teamwork|Analyst|3</v>
      </c>
      <c r="B957" s="223" t="s">
        <v>4997</v>
      </c>
      <c r="C957" s="226" t="s">
        <v>6</v>
      </c>
      <c r="D957" s="227">
        <v>3</v>
      </c>
      <c r="E957" s="227" t="s">
        <v>563</v>
      </c>
      <c r="F957" s="227">
        <v>2</v>
      </c>
      <c r="G957" s="279" t="s">
        <v>5096</v>
      </c>
      <c r="H957" s="279" t="s">
        <v>5097</v>
      </c>
      <c r="I957" s="279" t="s">
        <v>5098</v>
      </c>
      <c r="J957" s="279" t="s">
        <v>5099</v>
      </c>
      <c r="K957" s="279" t="s">
        <v>531</v>
      </c>
      <c r="L957" s="279" t="s">
        <v>532</v>
      </c>
      <c r="M957" s="279" t="s">
        <v>5100</v>
      </c>
      <c r="N957" s="279" t="s">
        <v>1799</v>
      </c>
    </row>
    <row r="958" spans="1:14" ht="66">
      <c r="A958" s="268" t="str">
        <f t="shared" si="14"/>
        <v>Teamwork|Analyst|3</v>
      </c>
      <c r="B958" s="223" t="s">
        <v>4997</v>
      </c>
      <c r="C958" s="226" t="s">
        <v>6</v>
      </c>
      <c r="D958" s="227">
        <v>3</v>
      </c>
      <c r="E958" s="227" t="s">
        <v>563</v>
      </c>
      <c r="F958" s="227">
        <v>3</v>
      </c>
      <c r="G958" s="279" t="s">
        <v>5101</v>
      </c>
      <c r="H958" s="279" t="s">
        <v>5102</v>
      </c>
      <c r="I958" s="279" t="s">
        <v>5103</v>
      </c>
      <c r="J958" s="279" t="s">
        <v>5104</v>
      </c>
      <c r="K958" s="279" t="s">
        <v>531</v>
      </c>
      <c r="L958" s="279" t="s">
        <v>532</v>
      </c>
      <c r="M958" s="279" t="s">
        <v>5105</v>
      </c>
      <c r="N958" s="279" t="s">
        <v>5106</v>
      </c>
    </row>
    <row r="959" spans="1:14" ht="49.5">
      <c r="A959" s="268" t="str">
        <f t="shared" si="14"/>
        <v>Teamwork|Analyst|4</v>
      </c>
      <c r="B959" s="223" t="s">
        <v>4997</v>
      </c>
      <c r="C959" s="226" t="s">
        <v>6</v>
      </c>
      <c r="D959" s="227">
        <v>4</v>
      </c>
      <c r="E959" s="227" t="s">
        <v>581</v>
      </c>
      <c r="F959" s="227">
        <v>1</v>
      </c>
      <c r="G959" s="279" t="s">
        <v>5107</v>
      </c>
      <c r="H959" s="279" t="s">
        <v>5108</v>
      </c>
      <c r="I959" s="279" t="s">
        <v>5109</v>
      </c>
      <c r="J959" s="279" t="s">
        <v>5110</v>
      </c>
      <c r="K959" s="279" t="s">
        <v>531</v>
      </c>
      <c r="L959" s="279" t="s">
        <v>532</v>
      </c>
      <c r="M959" s="279" t="s">
        <v>5111</v>
      </c>
      <c r="N959" s="279" t="s">
        <v>562</v>
      </c>
    </row>
    <row r="960" spans="1:14" ht="66">
      <c r="A960" s="268" t="str">
        <f t="shared" si="14"/>
        <v>Teamwork|Analyst|4</v>
      </c>
      <c r="B960" s="223" t="s">
        <v>4997</v>
      </c>
      <c r="C960" s="226" t="s">
        <v>6</v>
      </c>
      <c r="D960" s="227">
        <v>4</v>
      </c>
      <c r="E960" s="227" t="s">
        <v>581</v>
      </c>
      <c r="F960" s="227">
        <v>2</v>
      </c>
      <c r="G960" s="279" t="s">
        <v>5112</v>
      </c>
      <c r="H960" s="279" t="s">
        <v>5113</v>
      </c>
      <c r="I960" s="279" t="s">
        <v>5114</v>
      </c>
      <c r="J960" s="279" t="s">
        <v>5115</v>
      </c>
      <c r="K960" s="279" t="s">
        <v>531</v>
      </c>
      <c r="L960" s="279" t="s">
        <v>532</v>
      </c>
      <c r="M960" s="279" t="s">
        <v>5116</v>
      </c>
      <c r="N960" s="279" t="s">
        <v>562</v>
      </c>
    </row>
    <row r="961" spans="1:14" ht="49.5">
      <c r="A961" s="268" t="str">
        <f t="shared" si="14"/>
        <v>Teamwork|Analyst|4</v>
      </c>
      <c r="B961" s="223" t="s">
        <v>4997</v>
      </c>
      <c r="C961" s="226" t="s">
        <v>6</v>
      </c>
      <c r="D961" s="227">
        <v>4</v>
      </c>
      <c r="E961" s="227" t="s">
        <v>581</v>
      </c>
      <c r="F961" s="227">
        <v>3</v>
      </c>
      <c r="G961" s="279" t="s">
        <v>5117</v>
      </c>
      <c r="H961" s="279" t="s">
        <v>5118</v>
      </c>
      <c r="I961" s="279" t="s">
        <v>5119</v>
      </c>
      <c r="J961" s="279" t="s">
        <v>5120</v>
      </c>
      <c r="K961" s="279" t="s">
        <v>531</v>
      </c>
      <c r="L961" s="279" t="s">
        <v>532</v>
      </c>
      <c r="M961" s="279" t="s">
        <v>5121</v>
      </c>
      <c r="N961" s="279" t="s">
        <v>3355</v>
      </c>
    </row>
    <row r="962" spans="1:14" ht="82.5">
      <c r="A962" s="268" t="str">
        <f t="shared" si="14"/>
        <v>Teamwork|Unit Head/Specialist|1</v>
      </c>
      <c r="B962" s="223" t="s">
        <v>4997</v>
      </c>
      <c r="C962" s="227" t="s">
        <v>13</v>
      </c>
      <c r="D962" s="226">
        <v>1</v>
      </c>
      <c r="E962" s="227" t="s">
        <v>526</v>
      </c>
      <c r="F962" s="227">
        <v>1</v>
      </c>
      <c r="G962" s="276" t="s">
        <v>5122</v>
      </c>
      <c r="H962" s="276" t="s">
        <v>5123</v>
      </c>
      <c r="I962" s="276" t="s">
        <v>5124</v>
      </c>
      <c r="J962" s="276" t="s">
        <v>5125</v>
      </c>
      <c r="K962" s="276" t="s">
        <v>531</v>
      </c>
      <c r="L962" s="276" t="s">
        <v>532</v>
      </c>
      <c r="M962" s="276" t="s">
        <v>5126</v>
      </c>
      <c r="N962" s="276" t="s">
        <v>534</v>
      </c>
    </row>
    <row r="963" spans="1:14" ht="66">
      <c r="A963" s="268" t="str">
        <f t="shared" ref="A963:A1009" si="15">B963 &amp; "|" &amp; C963 &amp; "|" &amp; D963</f>
        <v>Teamwork|Unit Head/Specialist|1</v>
      </c>
      <c r="B963" s="223" t="s">
        <v>4997</v>
      </c>
      <c r="C963" s="227" t="s">
        <v>13</v>
      </c>
      <c r="D963" s="226">
        <v>1</v>
      </c>
      <c r="E963" s="227" t="s">
        <v>526</v>
      </c>
      <c r="F963" s="227">
        <v>2</v>
      </c>
      <c r="G963" s="276" t="s">
        <v>5127</v>
      </c>
      <c r="H963" s="276" t="s">
        <v>5128</v>
      </c>
      <c r="I963" s="276" t="s">
        <v>5129</v>
      </c>
      <c r="J963" s="276" t="s">
        <v>5130</v>
      </c>
      <c r="K963" s="276" t="s">
        <v>531</v>
      </c>
      <c r="L963" s="276" t="s">
        <v>532</v>
      </c>
      <c r="M963" s="276" t="s">
        <v>5131</v>
      </c>
      <c r="N963" s="276" t="s">
        <v>534</v>
      </c>
    </row>
    <row r="964" spans="1:14" ht="66">
      <c r="A964" s="268" t="str">
        <f t="shared" si="15"/>
        <v>Teamwork|Unit Head/Specialist|1</v>
      </c>
      <c r="B964" s="223" t="s">
        <v>4997</v>
      </c>
      <c r="C964" s="227" t="s">
        <v>13</v>
      </c>
      <c r="D964" s="226">
        <v>1</v>
      </c>
      <c r="E964" s="227" t="s">
        <v>526</v>
      </c>
      <c r="F964" s="227">
        <v>3</v>
      </c>
      <c r="G964" s="276" t="s">
        <v>5132</v>
      </c>
      <c r="H964" s="276" t="s">
        <v>5133</v>
      </c>
      <c r="I964" s="276" t="s">
        <v>5134</v>
      </c>
      <c r="J964" s="276" t="s">
        <v>5135</v>
      </c>
      <c r="K964" s="276" t="s">
        <v>531</v>
      </c>
      <c r="L964" s="276" t="s">
        <v>532</v>
      </c>
      <c r="M964" s="276" t="s">
        <v>5136</v>
      </c>
      <c r="N964" s="276" t="s">
        <v>562</v>
      </c>
    </row>
    <row r="965" spans="1:14" ht="49.5">
      <c r="A965" s="268" t="str">
        <f t="shared" si="15"/>
        <v>Teamwork|Unit Head/Specialist|2</v>
      </c>
      <c r="B965" s="223" t="s">
        <v>4997</v>
      </c>
      <c r="C965" s="227" t="s">
        <v>13</v>
      </c>
      <c r="D965" s="227">
        <v>2</v>
      </c>
      <c r="E965" s="227" t="s">
        <v>545</v>
      </c>
      <c r="F965" s="227">
        <v>1</v>
      </c>
      <c r="G965" s="276" t="s">
        <v>5137</v>
      </c>
      <c r="H965" s="276" t="s">
        <v>5138</v>
      </c>
      <c r="I965" s="276" t="s">
        <v>5139</v>
      </c>
      <c r="J965" s="276" t="s">
        <v>5140</v>
      </c>
      <c r="K965" s="276" t="s">
        <v>531</v>
      </c>
      <c r="L965" s="276" t="s">
        <v>532</v>
      </c>
      <c r="M965" s="276" t="s">
        <v>5141</v>
      </c>
      <c r="N965" s="276" t="s">
        <v>677</v>
      </c>
    </row>
    <row r="966" spans="1:14" ht="49.5">
      <c r="A966" s="268" t="str">
        <f t="shared" si="15"/>
        <v>Teamwork|Unit Head/Specialist|2</v>
      </c>
      <c r="B966" s="223" t="s">
        <v>4997</v>
      </c>
      <c r="C966" s="227" t="s">
        <v>13</v>
      </c>
      <c r="D966" s="227">
        <v>2</v>
      </c>
      <c r="E966" s="227" t="s">
        <v>545</v>
      </c>
      <c r="F966" s="227">
        <v>2</v>
      </c>
      <c r="G966" s="276" t="s">
        <v>5142</v>
      </c>
      <c r="H966" s="276" t="s">
        <v>5143</v>
      </c>
      <c r="I966" s="276" t="s">
        <v>5144</v>
      </c>
      <c r="J966" s="276" t="s">
        <v>5145</v>
      </c>
      <c r="K966" s="276" t="s">
        <v>531</v>
      </c>
      <c r="L966" s="276" t="s">
        <v>532</v>
      </c>
      <c r="M966" s="276" t="s">
        <v>5146</v>
      </c>
      <c r="N966" s="276" t="s">
        <v>677</v>
      </c>
    </row>
    <row r="967" spans="1:14" ht="49.5">
      <c r="A967" s="268" t="str">
        <f t="shared" si="15"/>
        <v>Teamwork|Unit Head/Specialist|2</v>
      </c>
      <c r="B967" s="223" t="s">
        <v>4997</v>
      </c>
      <c r="C967" s="227" t="s">
        <v>13</v>
      </c>
      <c r="D967" s="227">
        <v>2</v>
      </c>
      <c r="E967" s="227" t="s">
        <v>545</v>
      </c>
      <c r="F967" s="227">
        <v>3</v>
      </c>
      <c r="G967" s="276" t="s">
        <v>5147</v>
      </c>
      <c r="H967" s="276" t="s">
        <v>5148</v>
      </c>
      <c r="I967" s="276" t="s">
        <v>5149</v>
      </c>
      <c r="J967" s="276" t="s">
        <v>5150</v>
      </c>
      <c r="K967" s="276" t="s">
        <v>531</v>
      </c>
      <c r="L967" s="276" t="s">
        <v>532</v>
      </c>
      <c r="M967" s="276" t="s">
        <v>5151</v>
      </c>
      <c r="N967" s="276" t="s">
        <v>534</v>
      </c>
    </row>
    <row r="968" spans="1:14" ht="49.5">
      <c r="A968" s="268" t="str">
        <f t="shared" si="15"/>
        <v>Teamwork|Unit Head/Specialist|3</v>
      </c>
      <c r="B968" s="223" t="s">
        <v>4997</v>
      </c>
      <c r="C968" s="227" t="s">
        <v>13</v>
      </c>
      <c r="D968" s="227">
        <v>3</v>
      </c>
      <c r="E968" s="227" t="s">
        <v>563</v>
      </c>
      <c r="F968" s="227">
        <v>1</v>
      </c>
      <c r="G968" s="276" t="s">
        <v>5152</v>
      </c>
      <c r="H968" s="276" t="s">
        <v>5153</v>
      </c>
      <c r="I968" s="276" t="s">
        <v>5154</v>
      </c>
      <c r="J968" s="276" t="s">
        <v>5155</v>
      </c>
      <c r="K968" s="276" t="s">
        <v>531</v>
      </c>
      <c r="L968" s="276" t="s">
        <v>532</v>
      </c>
      <c r="M968" s="276" t="s">
        <v>5156</v>
      </c>
      <c r="N968" s="276" t="s">
        <v>5157</v>
      </c>
    </row>
    <row r="969" spans="1:14" ht="49.5">
      <c r="A969" s="268" t="str">
        <f t="shared" si="15"/>
        <v>Teamwork|Unit Head/Specialist|3</v>
      </c>
      <c r="B969" s="223" t="s">
        <v>4997</v>
      </c>
      <c r="C969" s="227" t="s">
        <v>13</v>
      </c>
      <c r="D969" s="227">
        <v>3</v>
      </c>
      <c r="E969" s="227" t="s">
        <v>563</v>
      </c>
      <c r="F969" s="227">
        <v>2</v>
      </c>
      <c r="G969" s="276" t="s">
        <v>5158</v>
      </c>
      <c r="H969" s="276" t="s">
        <v>5159</v>
      </c>
      <c r="I969" s="276" t="s">
        <v>5160</v>
      </c>
      <c r="J969" s="276" t="s">
        <v>5161</v>
      </c>
      <c r="K969" s="276" t="s">
        <v>531</v>
      </c>
      <c r="L969" s="276" t="s">
        <v>532</v>
      </c>
      <c r="M969" s="276" t="s">
        <v>5162</v>
      </c>
      <c r="N969" s="276" t="s">
        <v>5163</v>
      </c>
    </row>
    <row r="970" spans="1:14" ht="66">
      <c r="A970" s="268" t="str">
        <f t="shared" si="15"/>
        <v>Teamwork|Unit Head/Specialist|3</v>
      </c>
      <c r="B970" s="223" t="s">
        <v>4997</v>
      </c>
      <c r="C970" s="227" t="s">
        <v>13</v>
      </c>
      <c r="D970" s="227">
        <v>3</v>
      </c>
      <c r="E970" s="227" t="s">
        <v>563</v>
      </c>
      <c r="F970" s="227">
        <v>3</v>
      </c>
      <c r="G970" s="276" t="s">
        <v>5164</v>
      </c>
      <c r="H970" s="276" t="s">
        <v>5165</v>
      </c>
      <c r="I970" s="276" t="s">
        <v>5166</v>
      </c>
      <c r="J970" s="276" t="s">
        <v>5167</v>
      </c>
      <c r="K970" s="276" t="s">
        <v>531</v>
      </c>
      <c r="L970" s="276" t="s">
        <v>532</v>
      </c>
      <c r="M970" s="276" t="s">
        <v>5168</v>
      </c>
      <c r="N970" s="276" t="s">
        <v>5169</v>
      </c>
    </row>
    <row r="971" spans="1:14" ht="66">
      <c r="A971" s="268" t="str">
        <f t="shared" si="15"/>
        <v>Teamwork|Unit Head/Specialist|4</v>
      </c>
      <c r="B971" s="223" t="s">
        <v>4997</v>
      </c>
      <c r="C971" s="227" t="s">
        <v>13</v>
      </c>
      <c r="D971" s="227">
        <v>4</v>
      </c>
      <c r="E971" s="227" t="s">
        <v>581</v>
      </c>
      <c r="F971" s="227">
        <v>1</v>
      </c>
      <c r="G971" s="276" t="s">
        <v>5170</v>
      </c>
      <c r="H971" s="276" t="s">
        <v>5171</v>
      </c>
      <c r="I971" s="276" t="s">
        <v>5172</v>
      </c>
      <c r="J971" s="276" t="s">
        <v>5173</v>
      </c>
      <c r="K971" s="276" t="s">
        <v>531</v>
      </c>
      <c r="L971" s="276" t="s">
        <v>532</v>
      </c>
      <c r="M971" s="276" t="s">
        <v>5174</v>
      </c>
      <c r="N971" s="276" t="s">
        <v>562</v>
      </c>
    </row>
    <row r="972" spans="1:14" ht="49.5">
      <c r="A972" s="268" t="str">
        <f t="shared" si="15"/>
        <v>Teamwork|Unit Head/Specialist|4</v>
      </c>
      <c r="B972" s="223" t="s">
        <v>4997</v>
      </c>
      <c r="C972" s="227" t="s">
        <v>13</v>
      </c>
      <c r="D972" s="227">
        <v>4</v>
      </c>
      <c r="E972" s="227" t="s">
        <v>581</v>
      </c>
      <c r="F972" s="227">
        <v>2</v>
      </c>
      <c r="G972" s="276" t="s">
        <v>5175</v>
      </c>
      <c r="H972" s="276" t="s">
        <v>5176</v>
      </c>
      <c r="I972" s="276" t="s">
        <v>5177</v>
      </c>
      <c r="J972" s="276" t="s">
        <v>5178</v>
      </c>
      <c r="K972" s="276" t="s">
        <v>531</v>
      </c>
      <c r="L972" s="276" t="s">
        <v>532</v>
      </c>
      <c r="M972" s="276" t="s">
        <v>5179</v>
      </c>
      <c r="N972" s="276" t="s">
        <v>5180</v>
      </c>
    </row>
    <row r="973" spans="1:14" ht="66">
      <c r="A973" s="268" t="str">
        <f t="shared" si="15"/>
        <v>Teamwork|Unit Head/Specialist|4</v>
      </c>
      <c r="B973" s="223" t="s">
        <v>4997</v>
      </c>
      <c r="C973" s="227" t="s">
        <v>13</v>
      </c>
      <c r="D973" s="227">
        <v>4</v>
      </c>
      <c r="E973" s="227" t="s">
        <v>581</v>
      </c>
      <c r="F973" s="227">
        <v>3</v>
      </c>
      <c r="G973" s="276" t="s">
        <v>5181</v>
      </c>
      <c r="H973" s="276" t="s">
        <v>5182</v>
      </c>
      <c r="I973" s="276" t="s">
        <v>5183</v>
      </c>
      <c r="J973" s="276" t="s">
        <v>5184</v>
      </c>
      <c r="K973" s="276" t="s">
        <v>531</v>
      </c>
      <c r="L973" s="276" t="s">
        <v>532</v>
      </c>
      <c r="M973" s="276" t="s">
        <v>5185</v>
      </c>
      <c r="N973" s="276" t="s">
        <v>5186</v>
      </c>
    </row>
    <row r="974" spans="1:14" ht="66">
      <c r="A974" s="268" t="str">
        <f t="shared" si="15"/>
        <v>Teamwork|Department Head|1</v>
      </c>
      <c r="B974" s="223" t="s">
        <v>4997</v>
      </c>
      <c r="C974" s="227" t="s">
        <v>719</v>
      </c>
      <c r="D974" s="226">
        <v>1</v>
      </c>
      <c r="E974" s="227" t="s">
        <v>526</v>
      </c>
      <c r="F974" s="227">
        <v>1</v>
      </c>
      <c r="G974" s="276" t="s">
        <v>5187</v>
      </c>
      <c r="H974" s="276" t="s">
        <v>5188</v>
      </c>
      <c r="I974" s="276" t="s">
        <v>5189</v>
      </c>
      <c r="J974" s="276" t="s">
        <v>5190</v>
      </c>
      <c r="K974" s="276" t="s">
        <v>531</v>
      </c>
      <c r="L974" s="276" t="s">
        <v>532</v>
      </c>
      <c r="M974" s="276" t="s">
        <v>5191</v>
      </c>
      <c r="N974" s="276" t="s">
        <v>534</v>
      </c>
    </row>
    <row r="975" spans="1:14" ht="49.5">
      <c r="A975" s="268" t="str">
        <f t="shared" si="15"/>
        <v>Teamwork|Department Head|1</v>
      </c>
      <c r="B975" s="223" t="s">
        <v>4997</v>
      </c>
      <c r="C975" s="227" t="s">
        <v>719</v>
      </c>
      <c r="D975" s="226">
        <v>1</v>
      </c>
      <c r="E975" s="227" t="s">
        <v>526</v>
      </c>
      <c r="F975" s="227">
        <v>2</v>
      </c>
      <c r="G975" s="276" t="s">
        <v>5192</v>
      </c>
      <c r="H975" s="276" t="s">
        <v>5193</v>
      </c>
      <c r="I975" s="276" t="s">
        <v>5194</v>
      </c>
      <c r="J975" s="276" t="s">
        <v>4189</v>
      </c>
      <c r="K975" s="276" t="s">
        <v>531</v>
      </c>
      <c r="L975" s="276" t="s">
        <v>532</v>
      </c>
      <c r="M975" s="276" t="s">
        <v>5195</v>
      </c>
      <c r="N975" s="276" t="s">
        <v>534</v>
      </c>
    </row>
    <row r="976" spans="1:14" ht="49.5">
      <c r="A976" s="268" t="str">
        <f t="shared" si="15"/>
        <v>Teamwork|Department Head|1</v>
      </c>
      <c r="B976" s="223" t="s">
        <v>4997</v>
      </c>
      <c r="C976" s="227" t="s">
        <v>719</v>
      </c>
      <c r="D976" s="226">
        <v>1</v>
      </c>
      <c r="E976" s="227" t="s">
        <v>526</v>
      </c>
      <c r="F976" s="227">
        <v>3</v>
      </c>
      <c r="G976" s="276" t="s">
        <v>5196</v>
      </c>
      <c r="H976" s="276" t="s">
        <v>5197</v>
      </c>
      <c r="I976" s="276" t="s">
        <v>5198</v>
      </c>
      <c r="J976" s="276" t="s">
        <v>5199</v>
      </c>
      <c r="K976" s="276" t="s">
        <v>531</v>
      </c>
      <c r="L976" s="276" t="s">
        <v>532</v>
      </c>
      <c r="M976" s="276" t="s">
        <v>5200</v>
      </c>
      <c r="N976" s="276" t="s">
        <v>562</v>
      </c>
    </row>
    <row r="977" spans="1:14" ht="66">
      <c r="A977" s="268" t="str">
        <f t="shared" si="15"/>
        <v>Teamwork|Department Head|2</v>
      </c>
      <c r="B977" s="223" t="s">
        <v>4997</v>
      </c>
      <c r="C977" s="227" t="s">
        <v>719</v>
      </c>
      <c r="D977" s="227">
        <v>2</v>
      </c>
      <c r="E977" s="227" t="s">
        <v>545</v>
      </c>
      <c r="F977" s="227">
        <v>1</v>
      </c>
      <c r="G977" s="276" t="s">
        <v>5201</v>
      </c>
      <c r="H977" s="276" t="s">
        <v>5202</v>
      </c>
      <c r="I977" s="276" t="s">
        <v>5203</v>
      </c>
      <c r="J977" s="276" t="s">
        <v>5204</v>
      </c>
      <c r="K977" s="276" t="s">
        <v>531</v>
      </c>
      <c r="L977" s="276" t="s">
        <v>532</v>
      </c>
      <c r="M977" s="276" t="s">
        <v>5205</v>
      </c>
      <c r="N977" s="276" t="s">
        <v>551</v>
      </c>
    </row>
    <row r="978" spans="1:14" ht="49.5">
      <c r="A978" s="268" t="str">
        <f t="shared" si="15"/>
        <v>Teamwork|Department Head|2</v>
      </c>
      <c r="B978" s="223" t="s">
        <v>4997</v>
      </c>
      <c r="C978" s="227" t="s">
        <v>719</v>
      </c>
      <c r="D978" s="227">
        <v>2</v>
      </c>
      <c r="E978" s="227" t="s">
        <v>545</v>
      </c>
      <c r="F978" s="227">
        <v>2</v>
      </c>
      <c r="G978" s="276" t="s">
        <v>5206</v>
      </c>
      <c r="H978" s="276" t="s">
        <v>5207</v>
      </c>
      <c r="I978" s="276" t="s">
        <v>5208</v>
      </c>
      <c r="J978" s="276" t="s">
        <v>5209</v>
      </c>
      <c r="K978" s="276" t="s">
        <v>531</v>
      </c>
      <c r="L978" s="276" t="s">
        <v>532</v>
      </c>
      <c r="M978" s="276" t="s">
        <v>5210</v>
      </c>
      <c r="N978" s="276" t="s">
        <v>562</v>
      </c>
    </row>
    <row r="979" spans="1:14" ht="49.5">
      <c r="A979" s="268" t="str">
        <f t="shared" si="15"/>
        <v>Teamwork|Department Head|2</v>
      </c>
      <c r="B979" s="223" t="s">
        <v>4997</v>
      </c>
      <c r="C979" s="227" t="s">
        <v>719</v>
      </c>
      <c r="D979" s="227">
        <v>2</v>
      </c>
      <c r="E979" s="227" t="s">
        <v>545</v>
      </c>
      <c r="F979" s="227">
        <v>3</v>
      </c>
      <c r="G979" s="276" t="s">
        <v>5211</v>
      </c>
      <c r="H979" s="276" t="s">
        <v>5212</v>
      </c>
      <c r="I979" s="276" t="s">
        <v>5213</v>
      </c>
      <c r="J979" s="276" t="s">
        <v>5214</v>
      </c>
      <c r="K979" s="276" t="s">
        <v>531</v>
      </c>
      <c r="L979" s="276" t="s">
        <v>532</v>
      </c>
      <c r="M979" s="276" t="s">
        <v>5215</v>
      </c>
      <c r="N979" s="276" t="s">
        <v>562</v>
      </c>
    </row>
    <row r="980" spans="1:14" ht="49.5">
      <c r="A980" s="268" t="str">
        <f t="shared" si="15"/>
        <v>Teamwork|Department Head|3</v>
      </c>
      <c r="B980" s="223" t="s">
        <v>4997</v>
      </c>
      <c r="C980" s="227" t="s">
        <v>719</v>
      </c>
      <c r="D980" s="227">
        <v>3</v>
      </c>
      <c r="E980" s="227" t="s">
        <v>563</v>
      </c>
      <c r="F980" s="227">
        <v>1</v>
      </c>
      <c r="G980" s="276" t="s">
        <v>4528</v>
      </c>
      <c r="H980" s="276" t="s">
        <v>5216</v>
      </c>
      <c r="I980" s="276" t="s">
        <v>5217</v>
      </c>
      <c r="J980" s="276" t="s">
        <v>5218</v>
      </c>
      <c r="K980" s="276" t="s">
        <v>531</v>
      </c>
      <c r="L980" s="276" t="s">
        <v>532</v>
      </c>
      <c r="M980" s="276" t="s">
        <v>2779</v>
      </c>
      <c r="N980" s="276" t="s">
        <v>534</v>
      </c>
    </row>
    <row r="981" spans="1:14" ht="49.5">
      <c r="A981" s="268" t="str">
        <f t="shared" si="15"/>
        <v>Teamwork|Department Head|3</v>
      </c>
      <c r="B981" s="223" t="s">
        <v>4997</v>
      </c>
      <c r="C981" s="227" t="s">
        <v>719</v>
      </c>
      <c r="D981" s="227">
        <v>3</v>
      </c>
      <c r="E981" s="227" t="s">
        <v>563</v>
      </c>
      <c r="F981" s="227">
        <v>2</v>
      </c>
      <c r="G981" s="276" t="s">
        <v>5219</v>
      </c>
      <c r="H981" s="276" t="s">
        <v>5220</v>
      </c>
      <c r="I981" s="276" t="s">
        <v>5221</v>
      </c>
      <c r="J981" s="276" t="s">
        <v>5222</v>
      </c>
      <c r="K981" s="276" t="s">
        <v>531</v>
      </c>
      <c r="L981" s="276" t="s">
        <v>532</v>
      </c>
      <c r="M981" s="276" t="s">
        <v>5223</v>
      </c>
      <c r="N981" s="276" t="s">
        <v>4538</v>
      </c>
    </row>
    <row r="982" spans="1:14" ht="66">
      <c r="A982" s="268" t="str">
        <f t="shared" si="15"/>
        <v>Teamwork|Department Head|3</v>
      </c>
      <c r="B982" s="223" t="s">
        <v>4997</v>
      </c>
      <c r="C982" s="227" t="s">
        <v>719</v>
      </c>
      <c r="D982" s="227">
        <v>3</v>
      </c>
      <c r="E982" s="227" t="s">
        <v>563</v>
      </c>
      <c r="F982" s="227">
        <v>3</v>
      </c>
      <c r="G982" s="276" t="s">
        <v>5224</v>
      </c>
      <c r="H982" s="276" t="s">
        <v>5225</v>
      </c>
      <c r="I982" s="276" t="s">
        <v>5226</v>
      </c>
      <c r="J982" s="276" t="s">
        <v>578</v>
      </c>
      <c r="K982" s="276" t="s">
        <v>531</v>
      </c>
      <c r="L982" s="276" t="s">
        <v>532</v>
      </c>
      <c r="M982" s="276" t="s">
        <v>5227</v>
      </c>
      <c r="N982" s="276" t="s">
        <v>580</v>
      </c>
    </row>
    <row r="983" spans="1:14" ht="49.5">
      <c r="A983" s="268" t="str">
        <f t="shared" si="15"/>
        <v>Teamwork|Department Head|4</v>
      </c>
      <c r="B983" s="223" t="s">
        <v>4997</v>
      </c>
      <c r="C983" s="227" t="s">
        <v>719</v>
      </c>
      <c r="D983" s="227">
        <v>4</v>
      </c>
      <c r="E983" s="227" t="s">
        <v>581</v>
      </c>
      <c r="F983" s="227">
        <v>1</v>
      </c>
      <c r="G983" s="276" t="s">
        <v>5228</v>
      </c>
      <c r="H983" s="276" t="s">
        <v>5229</v>
      </c>
      <c r="I983" s="276" t="s">
        <v>5230</v>
      </c>
      <c r="J983" s="276" t="s">
        <v>5231</v>
      </c>
      <c r="K983" s="276" t="s">
        <v>531</v>
      </c>
      <c r="L983" s="276" t="s">
        <v>532</v>
      </c>
      <c r="M983" s="276" t="s">
        <v>5232</v>
      </c>
      <c r="N983" s="276" t="s">
        <v>562</v>
      </c>
    </row>
    <row r="984" spans="1:14" ht="49.5">
      <c r="A984" s="268" t="str">
        <f t="shared" si="15"/>
        <v>Teamwork|Department Head|4</v>
      </c>
      <c r="B984" s="223" t="s">
        <v>4997</v>
      </c>
      <c r="C984" s="227" t="s">
        <v>719</v>
      </c>
      <c r="D984" s="227">
        <v>4</v>
      </c>
      <c r="E984" s="227" t="s">
        <v>581</v>
      </c>
      <c r="F984" s="227">
        <v>2</v>
      </c>
      <c r="G984" s="276" t="s">
        <v>5233</v>
      </c>
      <c r="H984" s="276" t="s">
        <v>5234</v>
      </c>
      <c r="I984" s="276" t="s">
        <v>5235</v>
      </c>
      <c r="J984" s="276" t="s">
        <v>5236</v>
      </c>
      <c r="K984" s="276" t="s">
        <v>531</v>
      </c>
      <c r="L984" s="276" t="s">
        <v>532</v>
      </c>
      <c r="M984" s="276" t="s">
        <v>5237</v>
      </c>
      <c r="N984" s="276" t="s">
        <v>1868</v>
      </c>
    </row>
    <row r="985" spans="1:14" ht="49.5">
      <c r="A985" s="268" t="str">
        <f t="shared" si="15"/>
        <v>Teamwork|Department Head|4</v>
      </c>
      <c r="B985" s="223" t="s">
        <v>4997</v>
      </c>
      <c r="C985" s="227" t="s">
        <v>719</v>
      </c>
      <c r="D985" s="227">
        <v>4</v>
      </c>
      <c r="E985" s="227" t="s">
        <v>581</v>
      </c>
      <c r="F985" s="227">
        <v>3</v>
      </c>
      <c r="G985" s="276" t="s">
        <v>4553</v>
      </c>
      <c r="H985" s="276" t="s">
        <v>5238</v>
      </c>
      <c r="I985" s="276" t="s">
        <v>5239</v>
      </c>
      <c r="J985" s="276" t="s">
        <v>5240</v>
      </c>
      <c r="K985" s="276" t="s">
        <v>531</v>
      </c>
      <c r="L985" s="276" t="s">
        <v>532</v>
      </c>
      <c r="M985" s="276" t="s">
        <v>5241</v>
      </c>
      <c r="N985" s="276" t="s">
        <v>1868</v>
      </c>
    </row>
    <row r="986" spans="1:14" ht="66">
      <c r="A986" s="268" t="str">
        <f t="shared" si="15"/>
        <v>Teamwork|Division Head|1</v>
      </c>
      <c r="B986" s="223" t="s">
        <v>4997</v>
      </c>
      <c r="C986" s="227" t="s">
        <v>778</v>
      </c>
      <c r="D986" s="226">
        <v>1</v>
      </c>
      <c r="E986" s="227" t="s">
        <v>526</v>
      </c>
      <c r="F986" s="227">
        <v>1</v>
      </c>
      <c r="G986" s="276" t="s">
        <v>5242</v>
      </c>
      <c r="H986" s="276" t="s">
        <v>1448</v>
      </c>
      <c r="I986" s="276" t="s">
        <v>5243</v>
      </c>
      <c r="J986" s="276" t="s">
        <v>5244</v>
      </c>
      <c r="K986" s="276" t="s">
        <v>531</v>
      </c>
      <c r="L986" s="276" t="s">
        <v>532</v>
      </c>
      <c r="M986" s="276" t="s">
        <v>5245</v>
      </c>
      <c r="N986" s="276" t="s">
        <v>534</v>
      </c>
    </row>
    <row r="987" spans="1:14" ht="49.5">
      <c r="A987" s="268" t="str">
        <f t="shared" si="15"/>
        <v>Teamwork|Division Head|1</v>
      </c>
      <c r="B987" s="223" t="s">
        <v>4997</v>
      </c>
      <c r="C987" s="227" t="s">
        <v>778</v>
      </c>
      <c r="D987" s="226">
        <v>1</v>
      </c>
      <c r="E987" s="227" t="s">
        <v>526</v>
      </c>
      <c r="F987" s="227">
        <v>2</v>
      </c>
      <c r="G987" s="276" t="s">
        <v>5246</v>
      </c>
      <c r="H987" s="276" t="s">
        <v>5247</v>
      </c>
      <c r="I987" s="276" t="s">
        <v>5248</v>
      </c>
      <c r="J987" s="276" t="s">
        <v>5249</v>
      </c>
      <c r="K987" s="276" t="s">
        <v>531</v>
      </c>
      <c r="L987" s="276" t="s">
        <v>532</v>
      </c>
      <c r="M987" s="276" t="s">
        <v>5250</v>
      </c>
      <c r="N987" s="276" t="s">
        <v>534</v>
      </c>
    </row>
    <row r="988" spans="1:14" ht="49.5">
      <c r="A988" s="268" t="str">
        <f t="shared" si="15"/>
        <v>Teamwork|Division Head|1</v>
      </c>
      <c r="B988" s="223" t="s">
        <v>4997</v>
      </c>
      <c r="C988" s="227" t="s">
        <v>778</v>
      </c>
      <c r="D988" s="226">
        <v>1</v>
      </c>
      <c r="E988" s="227" t="s">
        <v>526</v>
      </c>
      <c r="F988" s="227">
        <v>3</v>
      </c>
      <c r="G988" s="276" t="s">
        <v>5251</v>
      </c>
      <c r="H988" s="276" t="s">
        <v>5252</v>
      </c>
      <c r="I988" s="276" t="s">
        <v>5253</v>
      </c>
      <c r="J988" s="276" t="s">
        <v>1582</v>
      </c>
      <c r="K988" s="276" t="s">
        <v>531</v>
      </c>
      <c r="L988" s="276" t="s">
        <v>532</v>
      </c>
      <c r="M988" s="276" t="s">
        <v>5254</v>
      </c>
      <c r="N988" s="276" t="s">
        <v>534</v>
      </c>
    </row>
    <row r="989" spans="1:14" ht="66">
      <c r="A989" s="268" t="str">
        <f t="shared" si="15"/>
        <v>Teamwork|Division Head|2</v>
      </c>
      <c r="B989" s="223" t="s">
        <v>4997</v>
      </c>
      <c r="C989" s="227" t="s">
        <v>778</v>
      </c>
      <c r="D989" s="227">
        <v>2</v>
      </c>
      <c r="E989" s="227" t="s">
        <v>545</v>
      </c>
      <c r="F989" s="227">
        <v>1</v>
      </c>
      <c r="G989" s="276" t="s">
        <v>5255</v>
      </c>
      <c r="H989" s="276" t="s">
        <v>5256</v>
      </c>
      <c r="I989" s="276" t="s">
        <v>5257</v>
      </c>
      <c r="J989" s="276" t="s">
        <v>5258</v>
      </c>
      <c r="K989" s="276" t="s">
        <v>531</v>
      </c>
      <c r="L989" s="276" t="s">
        <v>532</v>
      </c>
      <c r="M989" s="276" t="s">
        <v>5259</v>
      </c>
      <c r="N989" s="276" t="s">
        <v>551</v>
      </c>
    </row>
    <row r="990" spans="1:14" ht="49.5">
      <c r="A990" s="268" t="str">
        <f t="shared" si="15"/>
        <v>Teamwork|Division Head|2</v>
      </c>
      <c r="B990" s="223" t="s">
        <v>4997</v>
      </c>
      <c r="C990" s="227" t="s">
        <v>778</v>
      </c>
      <c r="D990" s="227">
        <v>2</v>
      </c>
      <c r="E990" s="227" t="s">
        <v>545</v>
      </c>
      <c r="F990" s="227">
        <v>2</v>
      </c>
      <c r="G990" s="276" t="s">
        <v>5260</v>
      </c>
      <c r="H990" s="276" t="s">
        <v>5261</v>
      </c>
      <c r="I990" s="276" t="s">
        <v>5262</v>
      </c>
      <c r="J990" s="276" t="s">
        <v>5263</v>
      </c>
      <c r="K990" s="276" t="s">
        <v>531</v>
      </c>
      <c r="L990" s="276" t="s">
        <v>532</v>
      </c>
      <c r="M990" s="276" t="s">
        <v>5264</v>
      </c>
      <c r="N990" s="276" t="s">
        <v>5265</v>
      </c>
    </row>
    <row r="991" spans="1:14" ht="49.5">
      <c r="A991" s="268" t="str">
        <f t="shared" si="15"/>
        <v>Teamwork|Division Head|2</v>
      </c>
      <c r="B991" s="223" t="s">
        <v>4997</v>
      </c>
      <c r="C991" s="227" t="s">
        <v>778</v>
      </c>
      <c r="D991" s="227">
        <v>2</v>
      </c>
      <c r="E991" s="227" t="s">
        <v>545</v>
      </c>
      <c r="F991" s="227">
        <v>3</v>
      </c>
      <c r="G991" s="276" t="s">
        <v>5266</v>
      </c>
      <c r="H991" s="276" t="s">
        <v>5267</v>
      </c>
      <c r="I991" s="276" t="s">
        <v>5268</v>
      </c>
      <c r="J991" s="276" t="s">
        <v>5269</v>
      </c>
      <c r="K991" s="276" t="s">
        <v>531</v>
      </c>
      <c r="L991" s="276" t="s">
        <v>532</v>
      </c>
      <c r="M991" s="276" t="s">
        <v>5270</v>
      </c>
      <c r="N991" s="276" t="s">
        <v>534</v>
      </c>
    </row>
    <row r="992" spans="1:14" ht="49.5">
      <c r="A992" s="268" t="str">
        <f t="shared" si="15"/>
        <v>Teamwork|Division Head|3</v>
      </c>
      <c r="B992" s="223" t="s">
        <v>4997</v>
      </c>
      <c r="C992" s="227" t="s">
        <v>778</v>
      </c>
      <c r="D992" s="227">
        <v>3</v>
      </c>
      <c r="E992" s="227" t="s">
        <v>563</v>
      </c>
      <c r="F992" s="227">
        <v>1</v>
      </c>
      <c r="G992" s="276" t="s">
        <v>5271</v>
      </c>
      <c r="H992" s="276" t="s">
        <v>5272</v>
      </c>
      <c r="I992" s="276" t="s">
        <v>5273</v>
      </c>
      <c r="J992" s="276" t="s">
        <v>876</v>
      </c>
      <c r="K992" s="276" t="s">
        <v>531</v>
      </c>
      <c r="L992" s="276" t="s">
        <v>532</v>
      </c>
      <c r="M992" s="276" t="s">
        <v>5274</v>
      </c>
      <c r="N992" s="276" t="s">
        <v>534</v>
      </c>
    </row>
    <row r="993" spans="1:14" ht="33">
      <c r="A993" s="268" t="str">
        <f t="shared" si="15"/>
        <v>Teamwork|Division Head|3</v>
      </c>
      <c r="B993" s="223" t="s">
        <v>4997</v>
      </c>
      <c r="C993" s="227" t="s">
        <v>778</v>
      </c>
      <c r="D993" s="227">
        <v>3</v>
      </c>
      <c r="E993" s="227" t="s">
        <v>563</v>
      </c>
      <c r="F993" s="227">
        <v>2</v>
      </c>
      <c r="G993" s="276" t="s">
        <v>5275</v>
      </c>
      <c r="H993" s="276" t="s">
        <v>5276</v>
      </c>
      <c r="I993" s="276" t="s">
        <v>5277</v>
      </c>
      <c r="J993" s="276" t="s">
        <v>5278</v>
      </c>
      <c r="K993" s="276" t="s">
        <v>531</v>
      </c>
      <c r="L993" s="276" t="s">
        <v>532</v>
      </c>
      <c r="M993" s="276" t="s">
        <v>5279</v>
      </c>
      <c r="N993" s="276" t="s">
        <v>562</v>
      </c>
    </row>
    <row r="994" spans="1:14" ht="66">
      <c r="A994" s="268" t="str">
        <f t="shared" si="15"/>
        <v>Teamwork|Division Head|3</v>
      </c>
      <c r="B994" s="223" t="s">
        <v>4997</v>
      </c>
      <c r="C994" s="227" t="s">
        <v>778</v>
      </c>
      <c r="D994" s="227">
        <v>3</v>
      </c>
      <c r="E994" s="227" t="s">
        <v>563</v>
      </c>
      <c r="F994" s="227">
        <v>3</v>
      </c>
      <c r="G994" s="276" t="s">
        <v>5280</v>
      </c>
      <c r="H994" s="276" t="s">
        <v>5281</v>
      </c>
      <c r="I994" s="276" t="s">
        <v>5282</v>
      </c>
      <c r="J994" s="276" t="s">
        <v>578</v>
      </c>
      <c r="K994" s="276" t="s">
        <v>531</v>
      </c>
      <c r="L994" s="276" t="s">
        <v>532</v>
      </c>
      <c r="M994" s="276" t="s">
        <v>5283</v>
      </c>
      <c r="N994" s="276" t="s">
        <v>580</v>
      </c>
    </row>
    <row r="995" spans="1:14" ht="49.5">
      <c r="A995" s="268" t="str">
        <f t="shared" si="15"/>
        <v>Teamwork|Division Head|4</v>
      </c>
      <c r="B995" s="223" t="s">
        <v>4997</v>
      </c>
      <c r="C995" s="227" t="s">
        <v>778</v>
      </c>
      <c r="D995" s="227">
        <v>4</v>
      </c>
      <c r="E995" s="227" t="s">
        <v>581</v>
      </c>
      <c r="F995" s="227">
        <v>1</v>
      </c>
      <c r="G995" s="276" t="s">
        <v>5284</v>
      </c>
      <c r="H995" s="276" t="s">
        <v>5285</v>
      </c>
      <c r="I995" s="276" t="s">
        <v>5286</v>
      </c>
      <c r="J995" s="276" t="s">
        <v>5287</v>
      </c>
      <c r="K995" s="276" t="s">
        <v>531</v>
      </c>
      <c r="L995" s="276" t="s">
        <v>532</v>
      </c>
      <c r="M995" s="276" t="s">
        <v>5288</v>
      </c>
      <c r="N995" s="276" t="s">
        <v>562</v>
      </c>
    </row>
    <row r="996" spans="1:14" ht="66">
      <c r="A996" s="268" t="str">
        <f t="shared" si="15"/>
        <v>Teamwork|Division Head|4</v>
      </c>
      <c r="B996" s="223" t="s">
        <v>4997</v>
      </c>
      <c r="C996" s="227" t="s">
        <v>778</v>
      </c>
      <c r="D996" s="227">
        <v>4</v>
      </c>
      <c r="E996" s="227" t="s">
        <v>581</v>
      </c>
      <c r="F996" s="227">
        <v>2</v>
      </c>
      <c r="G996" s="276" t="s">
        <v>5289</v>
      </c>
      <c r="H996" s="276" t="s">
        <v>5290</v>
      </c>
      <c r="I996" s="276" t="s">
        <v>5291</v>
      </c>
      <c r="J996" s="276" t="s">
        <v>5292</v>
      </c>
      <c r="K996" s="276" t="s">
        <v>531</v>
      </c>
      <c r="L996" s="276" t="s">
        <v>532</v>
      </c>
      <c r="M996" s="276" t="s">
        <v>5293</v>
      </c>
      <c r="N996" s="276" t="s">
        <v>562</v>
      </c>
    </row>
    <row r="997" spans="1:14" ht="49.5">
      <c r="A997" s="268" t="str">
        <f t="shared" si="15"/>
        <v>Teamwork|Division Head|4</v>
      </c>
      <c r="B997" s="223" t="s">
        <v>4997</v>
      </c>
      <c r="C997" s="227" t="s">
        <v>778</v>
      </c>
      <c r="D997" s="227">
        <v>4</v>
      </c>
      <c r="E997" s="227" t="s">
        <v>581</v>
      </c>
      <c r="F997" s="227">
        <v>3</v>
      </c>
      <c r="G997" s="276" t="s">
        <v>5294</v>
      </c>
      <c r="H997" s="276" t="s">
        <v>5295</v>
      </c>
      <c r="I997" s="276" t="s">
        <v>5296</v>
      </c>
      <c r="J997" s="276" t="s">
        <v>5297</v>
      </c>
      <c r="K997" s="276" t="s">
        <v>531</v>
      </c>
      <c r="L997" s="276" t="s">
        <v>532</v>
      </c>
      <c r="M997" s="276" t="s">
        <v>5298</v>
      </c>
      <c r="N997" s="276" t="s">
        <v>5299</v>
      </c>
    </row>
    <row r="998" spans="1:14" ht="49.5">
      <c r="A998" s="268" t="str">
        <f t="shared" si="15"/>
        <v>Teamwork|Director|1</v>
      </c>
      <c r="B998" s="223" t="s">
        <v>4997</v>
      </c>
      <c r="C998" s="227" t="s">
        <v>838</v>
      </c>
      <c r="D998" s="226">
        <v>1</v>
      </c>
      <c r="E998" s="227" t="s">
        <v>526</v>
      </c>
      <c r="F998" s="227">
        <v>1</v>
      </c>
      <c r="G998" s="279" t="s">
        <v>5300</v>
      </c>
      <c r="H998" s="279" t="s">
        <v>5301</v>
      </c>
      <c r="I998" s="279" t="s">
        <v>5302</v>
      </c>
      <c r="J998" s="279" t="s">
        <v>5303</v>
      </c>
      <c r="K998" s="279" t="s">
        <v>531</v>
      </c>
      <c r="L998" s="279" t="s">
        <v>532</v>
      </c>
      <c r="M998" s="279" t="s">
        <v>5304</v>
      </c>
      <c r="N998" s="279" t="s">
        <v>534</v>
      </c>
    </row>
    <row r="999" spans="1:14" ht="49.5">
      <c r="A999" s="268" t="str">
        <f t="shared" si="15"/>
        <v>Teamwork|Director|1</v>
      </c>
      <c r="B999" s="223" t="s">
        <v>4997</v>
      </c>
      <c r="C999" s="227" t="s">
        <v>838</v>
      </c>
      <c r="D999" s="226">
        <v>1</v>
      </c>
      <c r="E999" s="227" t="s">
        <v>526</v>
      </c>
      <c r="F999" s="227">
        <v>2</v>
      </c>
      <c r="G999" s="279" t="s">
        <v>5305</v>
      </c>
      <c r="H999" s="279" t="s">
        <v>5306</v>
      </c>
      <c r="I999" s="279" t="s">
        <v>5307</v>
      </c>
      <c r="J999" s="279" t="s">
        <v>5308</v>
      </c>
      <c r="K999" s="279" t="s">
        <v>531</v>
      </c>
      <c r="L999" s="279" t="s">
        <v>532</v>
      </c>
      <c r="M999" s="279" t="s">
        <v>5309</v>
      </c>
      <c r="N999" s="279" t="s">
        <v>534</v>
      </c>
    </row>
    <row r="1000" spans="1:14" ht="49.5">
      <c r="A1000" s="268" t="str">
        <f t="shared" si="15"/>
        <v>Teamwork|Director|1</v>
      </c>
      <c r="B1000" s="223" t="s">
        <v>4997</v>
      </c>
      <c r="C1000" s="227" t="s">
        <v>838</v>
      </c>
      <c r="D1000" s="226">
        <v>1</v>
      </c>
      <c r="E1000" s="227" t="s">
        <v>526</v>
      </c>
      <c r="F1000" s="227">
        <v>3</v>
      </c>
      <c r="G1000" s="279" t="s">
        <v>5310</v>
      </c>
      <c r="H1000" s="279" t="s">
        <v>5311</v>
      </c>
      <c r="I1000" s="279" t="s">
        <v>5312</v>
      </c>
      <c r="J1000" s="279" t="s">
        <v>5313</v>
      </c>
      <c r="K1000" s="279" t="s">
        <v>531</v>
      </c>
      <c r="L1000" s="279" t="s">
        <v>532</v>
      </c>
      <c r="M1000" s="279" t="s">
        <v>5314</v>
      </c>
      <c r="N1000" s="279" t="s">
        <v>562</v>
      </c>
    </row>
    <row r="1001" spans="1:14" ht="49.5">
      <c r="A1001" s="268" t="str">
        <f t="shared" si="15"/>
        <v>Teamwork|Director|2</v>
      </c>
      <c r="B1001" s="223" t="s">
        <v>4997</v>
      </c>
      <c r="C1001" s="227" t="s">
        <v>838</v>
      </c>
      <c r="D1001" s="227">
        <v>2</v>
      </c>
      <c r="E1001" s="227" t="s">
        <v>545</v>
      </c>
      <c r="F1001" s="227">
        <v>1</v>
      </c>
      <c r="G1001" s="279" t="s">
        <v>5315</v>
      </c>
      <c r="H1001" s="279" t="s">
        <v>5316</v>
      </c>
      <c r="I1001" s="279" t="s">
        <v>5317</v>
      </c>
      <c r="J1001" s="279" t="s">
        <v>5318</v>
      </c>
      <c r="K1001" s="279" t="s">
        <v>531</v>
      </c>
      <c r="L1001" s="279" t="s">
        <v>532</v>
      </c>
      <c r="M1001" s="279" t="s">
        <v>5319</v>
      </c>
      <c r="N1001" s="279" t="s">
        <v>551</v>
      </c>
    </row>
    <row r="1002" spans="1:14" ht="49.5">
      <c r="A1002" s="268" t="str">
        <f t="shared" si="15"/>
        <v>Teamwork|Director|2</v>
      </c>
      <c r="B1002" s="223" t="s">
        <v>4997</v>
      </c>
      <c r="C1002" s="227" t="s">
        <v>838</v>
      </c>
      <c r="D1002" s="227">
        <v>2</v>
      </c>
      <c r="E1002" s="227" t="s">
        <v>545</v>
      </c>
      <c r="F1002" s="227">
        <v>2</v>
      </c>
      <c r="G1002" s="279" t="s">
        <v>5320</v>
      </c>
      <c r="H1002" s="279" t="s">
        <v>5321</v>
      </c>
      <c r="I1002" s="279" t="s">
        <v>5322</v>
      </c>
      <c r="J1002" s="279" t="s">
        <v>5323</v>
      </c>
      <c r="K1002" s="279" t="s">
        <v>531</v>
      </c>
      <c r="L1002" s="279" t="s">
        <v>532</v>
      </c>
      <c r="M1002" s="279" t="s">
        <v>5324</v>
      </c>
      <c r="N1002" s="279" t="s">
        <v>551</v>
      </c>
    </row>
    <row r="1003" spans="1:14" ht="49.5">
      <c r="A1003" s="268" t="str">
        <f t="shared" si="15"/>
        <v>Teamwork|Director|2</v>
      </c>
      <c r="B1003" s="223" t="s">
        <v>4997</v>
      </c>
      <c r="C1003" s="227" t="s">
        <v>838</v>
      </c>
      <c r="D1003" s="227">
        <v>2</v>
      </c>
      <c r="E1003" s="227" t="s">
        <v>545</v>
      </c>
      <c r="F1003" s="227">
        <v>3</v>
      </c>
      <c r="G1003" s="279" t="s">
        <v>5325</v>
      </c>
      <c r="H1003" s="279" t="s">
        <v>5326</v>
      </c>
      <c r="I1003" s="279" t="s">
        <v>5327</v>
      </c>
      <c r="J1003" s="279" t="s">
        <v>5328</v>
      </c>
      <c r="K1003" s="279" t="s">
        <v>531</v>
      </c>
      <c r="L1003" s="279" t="s">
        <v>532</v>
      </c>
      <c r="M1003" s="279" t="s">
        <v>5329</v>
      </c>
      <c r="N1003" s="279" t="s">
        <v>562</v>
      </c>
    </row>
    <row r="1004" spans="1:14" ht="49.5">
      <c r="A1004" s="268" t="str">
        <f t="shared" si="15"/>
        <v>Teamwork|Director|3</v>
      </c>
      <c r="B1004" s="223" t="s">
        <v>4997</v>
      </c>
      <c r="C1004" s="227" t="s">
        <v>838</v>
      </c>
      <c r="D1004" s="227">
        <v>3</v>
      </c>
      <c r="E1004" s="227" t="s">
        <v>563</v>
      </c>
      <c r="F1004" s="227">
        <v>1</v>
      </c>
      <c r="G1004" s="279" t="s">
        <v>5330</v>
      </c>
      <c r="H1004" s="279" t="s">
        <v>5331</v>
      </c>
      <c r="I1004" s="279" t="s">
        <v>5332</v>
      </c>
      <c r="J1004" s="279" t="s">
        <v>5333</v>
      </c>
      <c r="K1004" s="279" t="s">
        <v>531</v>
      </c>
      <c r="L1004" s="279" t="s">
        <v>532</v>
      </c>
      <c r="M1004" s="279" t="s">
        <v>5334</v>
      </c>
      <c r="N1004" s="279" t="s">
        <v>5335</v>
      </c>
    </row>
    <row r="1005" spans="1:14" ht="49.5">
      <c r="A1005" s="268" t="str">
        <f t="shared" si="15"/>
        <v>Teamwork|Director|3</v>
      </c>
      <c r="B1005" s="223" t="s">
        <v>4997</v>
      </c>
      <c r="C1005" s="227" t="s">
        <v>838</v>
      </c>
      <c r="D1005" s="227">
        <v>3</v>
      </c>
      <c r="E1005" s="227" t="s">
        <v>563</v>
      </c>
      <c r="F1005" s="227">
        <v>2</v>
      </c>
      <c r="G1005" s="279" t="s">
        <v>5336</v>
      </c>
      <c r="H1005" s="279" t="s">
        <v>5337</v>
      </c>
      <c r="I1005" s="279" t="s">
        <v>5338</v>
      </c>
      <c r="J1005" s="279" t="s">
        <v>5339</v>
      </c>
      <c r="K1005" s="279" t="s">
        <v>531</v>
      </c>
      <c r="L1005" s="279" t="s">
        <v>532</v>
      </c>
      <c r="M1005" s="279" t="s">
        <v>5340</v>
      </c>
      <c r="N1005" s="279" t="s">
        <v>5341</v>
      </c>
    </row>
    <row r="1006" spans="1:14" ht="66">
      <c r="A1006" s="268" t="str">
        <f t="shared" si="15"/>
        <v>Teamwork|Director|3</v>
      </c>
      <c r="B1006" s="223" t="s">
        <v>4997</v>
      </c>
      <c r="C1006" s="227" t="s">
        <v>838</v>
      </c>
      <c r="D1006" s="227">
        <v>3</v>
      </c>
      <c r="E1006" s="227" t="s">
        <v>563</v>
      </c>
      <c r="F1006" s="227">
        <v>3</v>
      </c>
      <c r="G1006" s="279" t="s">
        <v>5342</v>
      </c>
      <c r="H1006" s="279" t="s">
        <v>5343</v>
      </c>
      <c r="I1006" s="279" t="s">
        <v>5344</v>
      </c>
      <c r="J1006" s="279" t="s">
        <v>5345</v>
      </c>
      <c r="K1006" s="279" t="s">
        <v>531</v>
      </c>
      <c r="L1006" s="279" t="s">
        <v>532</v>
      </c>
      <c r="M1006" s="279" t="s">
        <v>5346</v>
      </c>
      <c r="N1006" s="279" t="s">
        <v>580</v>
      </c>
    </row>
    <row r="1007" spans="1:14" ht="49.5">
      <c r="A1007" s="268" t="str">
        <f t="shared" si="15"/>
        <v>Teamwork|Director|4</v>
      </c>
      <c r="B1007" s="223" t="s">
        <v>4997</v>
      </c>
      <c r="C1007" s="227" t="s">
        <v>838</v>
      </c>
      <c r="D1007" s="227">
        <v>4</v>
      </c>
      <c r="E1007" s="227" t="s">
        <v>581</v>
      </c>
      <c r="F1007" s="227">
        <v>1</v>
      </c>
      <c r="G1007" s="279" t="s">
        <v>5347</v>
      </c>
      <c r="H1007" s="279" t="s">
        <v>3625</v>
      </c>
      <c r="I1007" s="279" t="s">
        <v>5348</v>
      </c>
      <c r="J1007" s="279" t="s">
        <v>5349</v>
      </c>
      <c r="K1007" s="279" t="s">
        <v>531</v>
      </c>
      <c r="L1007" s="279" t="s">
        <v>532</v>
      </c>
      <c r="M1007" s="279" t="s">
        <v>5350</v>
      </c>
      <c r="N1007" s="279" t="s">
        <v>3629</v>
      </c>
    </row>
    <row r="1008" spans="1:14" ht="49.5">
      <c r="A1008" s="268" t="str">
        <f t="shared" si="15"/>
        <v>Teamwork|Director|4</v>
      </c>
      <c r="B1008" s="223" t="s">
        <v>4997</v>
      </c>
      <c r="C1008" s="227" t="s">
        <v>838</v>
      </c>
      <c r="D1008" s="227">
        <v>4</v>
      </c>
      <c r="E1008" s="227" t="s">
        <v>581</v>
      </c>
      <c r="F1008" s="227">
        <v>2</v>
      </c>
      <c r="G1008" s="279" t="s">
        <v>5351</v>
      </c>
      <c r="H1008" s="279" t="s">
        <v>5352</v>
      </c>
      <c r="I1008" s="279" t="s">
        <v>5353</v>
      </c>
      <c r="J1008" s="279" t="s">
        <v>5354</v>
      </c>
      <c r="K1008" s="279" t="s">
        <v>531</v>
      </c>
      <c r="L1008" s="279" t="s">
        <v>532</v>
      </c>
      <c r="M1008" s="279" t="s">
        <v>5355</v>
      </c>
      <c r="N1008" s="279" t="s">
        <v>5356</v>
      </c>
    </row>
    <row r="1009" spans="1:14" ht="49.5">
      <c r="A1009" s="268" t="str">
        <f t="shared" si="15"/>
        <v>Teamwork|Director|4</v>
      </c>
      <c r="B1009" s="223" t="s">
        <v>4997</v>
      </c>
      <c r="C1009" s="227" t="s">
        <v>838</v>
      </c>
      <c r="D1009" s="227">
        <v>4</v>
      </c>
      <c r="E1009" s="227" t="s">
        <v>581</v>
      </c>
      <c r="F1009" s="227">
        <v>3</v>
      </c>
      <c r="G1009" s="279" t="s">
        <v>5357</v>
      </c>
      <c r="H1009" s="279" t="s">
        <v>5358</v>
      </c>
      <c r="I1009" s="279" t="s">
        <v>5359</v>
      </c>
      <c r="J1009" s="279" t="s">
        <v>5360</v>
      </c>
      <c r="K1009" s="279" t="s">
        <v>531</v>
      </c>
      <c r="L1009" s="279" t="s">
        <v>532</v>
      </c>
      <c r="M1009" s="279" t="s">
        <v>5361</v>
      </c>
      <c r="N1009" s="279" t="s">
        <v>5362</v>
      </c>
    </row>
  </sheetData>
  <phoneticPr fontId="59" type="noConversion"/>
  <conditionalFormatting sqref="G1:G1048576">
    <cfRule type="duplicateValues" dxfId="3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9A50-6649-42FA-B609-D3C5697B34EB}">
  <dimension ref="Z1:BE37"/>
  <sheetViews>
    <sheetView topLeftCell="AO1" workbookViewId="0">
      <selection activeCell="BF21" sqref="BF21"/>
    </sheetView>
  </sheetViews>
  <sheetFormatPr defaultRowHeight="14"/>
  <cols>
    <col min="26" max="26" width="48.75" bestFit="1" customWidth="1"/>
    <col min="27" max="27" width="26.83203125" bestFit="1" customWidth="1"/>
    <col min="28" max="28" width="18.4140625" bestFit="1" customWidth="1"/>
    <col min="29" max="29" width="8" bestFit="1" customWidth="1"/>
    <col min="30" max="30" width="8" customWidth="1"/>
    <col min="31" max="31" width="35.83203125" bestFit="1" customWidth="1"/>
    <col min="32" max="32" width="5.1640625" bestFit="1" customWidth="1"/>
    <col min="33" max="33" width="26.83203125" bestFit="1" customWidth="1"/>
    <col min="34" max="34" width="18.4140625" bestFit="1" customWidth="1"/>
    <col min="42" max="42" width="16" bestFit="1" customWidth="1"/>
    <col min="46" max="46" width="16" bestFit="1" customWidth="1"/>
    <col min="47" max="47" width="10.25" bestFit="1" customWidth="1"/>
    <col min="51" max="51" width="21.58203125" bestFit="1" customWidth="1"/>
    <col min="52" max="52" width="16" bestFit="1" customWidth="1"/>
    <col min="59" max="59" width="16" bestFit="1" customWidth="1"/>
    <col min="60" max="60" width="32.4140625" bestFit="1" customWidth="1"/>
    <col min="61" max="61" width="41.75" bestFit="1" customWidth="1"/>
  </cols>
  <sheetData>
    <row r="1" spans="26:57">
      <c r="Z1" t="s">
        <v>5363</v>
      </c>
      <c r="AA1" t="s">
        <v>5364</v>
      </c>
      <c r="AB1" t="s">
        <v>5365</v>
      </c>
      <c r="AC1" t="s">
        <v>5366</v>
      </c>
      <c r="AD1" t="s">
        <v>5367</v>
      </c>
      <c r="AE1" t="s">
        <v>5368</v>
      </c>
      <c r="AF1" t="s">
        <v>5369</v>
      </c>
      <c r="AG1" t="s">
        <v>5370</v>
      </c>
      <c r="AH1" t="s">
        <v>5371</v>
      </c>
      <c r="AP1" t="s">
        <v>5372</v>
      </c>
      <c r="AQ1" t="s">
        <v>5373</v>
      </c>
      <c r="AR1" t="s">
        <v>5374</v>
      </c>
      <c r="AS1" t="s">
        <v>5375</v>
      </c>
      <c r="AT1" t="s">
        <v>5376</v>
      </c>
      <c r="AU1" t="s">
        <v>5377</v>
      </c>
      <c r="AV1" t="s">
        <v>5378</v>
      </c>
      <c r="AW1" t="s">
        <v>5379</v>
      </c>
      <c r="AX1" t="s">
        <v>5380</v>
      </c>
      <c r="AY1" t="s">
        <v>5381</v>
      </c>
      <c r="AZ1" t="s">
        <v>5382</v>
      </c>
    </row>
    <row r="2" spans="26:57">
      <c r="Z2" t="e" cm="1">
        <f t="array" aca="1" ref="Z2:Z13" ca="1">_xlfn.LET(_xlpm.p,Kompetensi!$I$13:$I$52,_xlpm.t,(_xlpm.p&gt;=1)*(_xlpm.p&lt;=3),_xlpm.srt,_xlfn.SORTBY(_xlfn._xlws.FILTER(Kompetensi!$J$13:$J$52,_xlpm.t),_xlfn._xlws.FILTER(_xlpm.p,_xlpm.t)),_xlpm.idx,INT((_xlfn.SEQUENCE(12)-1)/4)+1,INDEX(_xlpm.srt,_xlpm.idx))</f>
        <v>#NAME?</v>
      </c>
      <c r="AA2" t="e" cm="1">
        <f t="array" aca="1" ref="AA2:AA13" ca="1">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#NAME?</v>
      </c>
      <c r="AB2" t="e" cm="1">
        <f t="array" aca="1" ref="AB2:AB13" ca="1">_xlfn.LET(_xlpm.p,Kompetensi!$I$13:$I$54,_xlpm.t,(_xlpm.p&gt;=1)*(_xlpm.p&lt;=3),_xlpm.srt,_xlfn.SORTBY(_xlfn._xlws.FILTER(Kompetensi!$A$13:$A$54,_xlpm.t),_xlfn._xlws.FILTER(_xlpm.p,_xlpm.t)),_xlpm.idx,INT((_xlfn.SEQUENCE(12)-1)/4)+1,INDEX(_xlpm.srt,_xlpm.idx))</f>
        <v>#NAME?</v>
      </c>
      <c r="AC2" t="e" cm="1">
        <f t="array" aca="1" ref="AC2:AC13" ca="1">_xlfn.LET(_xlpm.p,Kompetensi!$I$13:$I$54,_xlpm.t,(_xlpm.p&gt;=1)*(_xlpm.p&lt;=3),_xlpm.srt,_xlfn.SORTBY(_xlfn._xlws.FILTER(Kompetensi!$F$13:$F$54,_xlpm.t),_xlfn._xlws.FILTER(_xlpm.p,_xlpm.t)),_xlpm.idx,INT((_xlfn.SEQUENCE(12)-1)/4)+1,INDEX(_xlpm.srt,_xlpm.idx))</f>
        <v>#NAME?</v>
      </c>
      <c r="AD2" t="e" cm="1">
        <f t="array" aca="1" ref="AD2:AD13" ca="1">_xlfn.MAP(_xlfn.ANCHORARRAY($AC$2),_xlfn.LAMBDA(_xlpm.x,MIN(3,_xlpm.x)))</f>
        <v>#NAME?</v>
      </c>
      <c r="AE2" t="e" cm="1">
        <f t="array" aca="1" ref="AE2:AE21" ca="1">_xlfn.TAKE(_xlfn.DROP(_xlfn.REDUCE("",_xlfn.SEQUENCE(12),_xlfn.LAMBDA(_xlpm.acc,_xlpm.i,_xlfn.LET(_xlpm.g,INDEX($AD$2:$AD$13,_xlpm.i),_xlfn.VSTACK(_xlpm.acc,IF(_xlfn.SEQUENCE(_xlpm.g),INDEX($Z$2:$Z$13,_xlpm.i)))))),1),24)</f>
        <v>#NAME?</v>
      </c>
      <c r="AF2" t="e" cm="1">
        <f t="array" aca="1" ref="AF2:AF21" ca="1">_xlfn.TAKE(_xlfn.DROP(_xlfn.REDUCE("",_xlfn.SEQUENCE(12),_xlfn.LAMBDA(_xlpm.acc,_xlpm.i,_xlfn.LET(_xlpm.g,INDEX($AD$2:$AD$13,_xlpm.i),_xlfn.VSTACK(_xlpm.acc,_xlfn.SEQUENCE(_xlpm.g))))),1),24)</f>
        <v>#NAME?</v>
      </c>
      <c r="AG2" t="e" cm="1">
        <f t="array" aca="1" ref="AG2:AG21" ca="1">_xlfn.TAKE(_xlfn.DROP(_xlfn.REDUCE("",_xlfn.SEQUENCE(12),_xlfn.LAMBDA(_xlpm.acc,_xlpm.i,_xlfn.LET(_xlpm.g,INDEX($AD$2:$AD$13,_xlpm.i),_xlfn.VSTACK(_xlpm.acc,IF(_xlfn.SEQUENCE(_xlpm.g),INDEX($AA$2:$AA$13,_xlpm.i)))))),1),24)</f>
        <v>#NAME?</v>
      </c>
      <c r="AH2" t="e" cm="1">
        <f t="array" aca="1" ref="AH2:AH21" ca="1">_xlfn.TAKE(_xlfn.DROP(_xlfn.REDUCE("",_xlfn.SEQUENCE(12),_xlfn.LAMBDA(_xlpm.acc,_xlpm.i,_xlfn.LET(_xlpm.g,INDEX($AD$2:$AD$13,_xlpm.i),_xlfn.VSTACK(_xlpm.acc,IF(_xlfn.SEQUENCE(_xlpm.g),INDEX($AB$2:$AB$13,_xlpm.i)))))),1),24)</f>
        <v>#NAME?</v>
      </c>
      <c r="AP2" t="e" cm="1">
        <f t="array" aca="1" ref="AP2:AP4" ca="1">_xlfn.LET(_xlpm.p,Kompetensi!$I$13:$I$52,_xlpm.t,(_xlpm.p&gt;=1)*(_xlpm.p&lt;=3),_xlpm.srt,_xlfn.SORTBY(_xlfn._xlws.FILTER(Kompetensi!$A$13:$A$52,_xlpm.t),_xlfn._xlws.FILTER(_xlpm.p,_xlpm.t)),_xlpm.srt)</f>
        <v>#NAME?</v>
      </c>
      <c r="AQ2">
        <f>1</f>
        <v>1</v>
      </c>
      <c r="AR2">
        <f>4</f>
        <v>4</v>
      </c>
      <c r="AS2">
        <f>AR2-AQ2</f>
        <v>3</v>
      </c>
      <c r="AT2" t="e" cm="1">
        <f t="array" aca="1" ref="AT2:AT37" ca="1">_xlfn.LET(_xlpm.k,_xlfn.ANCHORARRAY(AP2),_xlpm.idx,INT((_xlfn.SEQUENCE(36)-1)/12)+1,INDEX(_xlpm.k,_xlpm.idx))</f>
        <v>#NAME?</v>
      </c>
      <c r="AU2" t="e" cm="1">
        <f t="array" aca="1" ref="AU2:AU37" ca="1">MOD(INT((_xlfn.SEQUENCE(36)-1)/3),4)+1</f>
        <v>#NAME?</v>
      </c>
      <c r="AV2" cm="1">
        <f t="array" ref="AV2:AV37">MOD(_xlfn.SEQUENCE(36)-1,3)+2</f>
        <v>2</v>
      </c>
      <c r="AW2" cm="1">
        <f t="array" ref="AW2:AW37">_xlfn.EXPAND(1,36,1,1)</f>
        <v>1</v>
      </c>
      <c r="AX2" cm="1">
        <f t="array" ref="AX2:AX37">_xlfn.EXPAND(4,36,1,4)</f>
        <v>4</v>
      </c>
      <c r="AY2" t="str" cm="1">
        <f t="array" ref="AY2:AY37">_xlfn.EXPAND(Identitas!$D$5,36,1,Identitas!$D$5)</f>
        <v>Analyst</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26:57">
      <c r="Z3" t="e">
        <f ca="1"/>
        <v>#NAME?</v>
      </c>
      <c r="AA3" t="e">
        <f ca="1"/>
        <v>#NAME?</v>
      </c>
      <c r="AB3" t="e">
        <f ca="1"/>
        <v>#NAME?</v>
      </c>
      <c r="AC3" t="e">
        <f ca="1"/>
        <v>#NAME?</v>
      </c>
      <c r="AD3" t="e">
        <f ca="1"/>
        <v>#NAME?</v>
      </c>
      <c r="AE3" t="e">
        <f ca="1"/>
        <v>#NAME?</v>
      </c>
      <c r="AF3" t="e">
        <f ca="1"/>
        <v>#NAME?</v>
      </c>
      <c r="AG3" t="e">
        <f ca="1"/>
        <v>#NAME?</v>
      </c>
      <c r="AH3" t="e">
        <f ca="1"/>
        <v>#NAME?</v>
      </c>
      <c r="AP3" t="e">
        <f ca="1"/>
        <v>#NAME?</v>
      </c>
      <c r="AT3" t="e">
        <f ca="1"/>
        <v>#NAME?</v>
      </c>
      <c r="AU3" t="e">
        <f ca="1"/>
        <v>#NAME?</v>
      </c>
      <c r="AV3">
        <v>3</v>
      </c>
      <c r="AW3">
        <v>1</v>
      </c>
      <c r="AX3">
        <v>4</v>
      </c>
      <c r="AY3" t="str">
        <v>Analyst</v>
      </c>
      <c r="AZ3" t="e">
        <f ca="1"/>
        <v>#NAME?</v>
      </c>
      <c r="BA3" t="e">
        <f ca="1"/>
        <v>#NAME?</v>
      </c>
      <c r="BB3" t="e">
        <f ca="1"/>
        <v>#NAME?</v>
      </c>
      <c r="BC3" t="e">
        <f ca="1"/>
        <v>#NAME?</v>
      </c>
      <c r="BD3" t="e">
        <f ca="1"/>
        <v>#NAME?</v>
      </c>
      <c r="BE3" t="e">
        <f ca="1"/>
        <v>#NAME?</v>
      </c>
    </row>
    <row r="4" spans="26:57">
      <c r="Z4" t="e">
        <f ca="1"/>
        <v>#NAME?</v>
      </c>
      <c r="AA4" t="e">
        <f ca="1"/>
        <v>#NAME?</v>
      </c>
      <c r="AB4" t="e">
        <f ca="1"/>
        <v>#NAME?</v>
      </c>
      <c r="AC4" t="e">
        <f ca="1"/>
        <v>#NAME?</v>
      </c>
      <c r="AD4" t="e">
        <f ca="1"/>
        <v>#NAME?</v>
      </c>
      <c r="AE4" t="e">
        <f ca="1"/>
        <v>#NAME?</v>
      </c>
      <c r="AF4" t="e">
        <f ca="1"/>
        <v>#NAME?</v>
      </c>
      <c r="AG4" t="e">
        <f ca="1"/>
        <v>#NAME?</v>
      </c>
      <c r="AH4" t="e">
        <f ca="1"/>
        <v>#NAME?</v>
      </c>
      <c r="AP4" t="e">
        <f ca="1"/>
        <v>#NAME?</v>
      </c>
      <c r="AT4" t="e">
        <f ca="1"/>
        <v>#NAME?</v>
      </c>
      <c r="AU4" t="e">
        <f ca="1"/>
        <v>#NAME?</v>
      </c>
      <c r="AV4">
        <v>4</v>
      </c>
      <c r="AW4">
        <v>1</v>
      </c>
      <c r="AX4">
        <v>4</v>
      </c>
      <c r="AY4" t="str">
        <v>Analyst</v>
      </c>
      <c r="AZ4" t="e">
        <f ca="1"/>
        <v>#NAME?</v>
      </c>
      <c r="BA4" t="e">
        <f ca="1"/>
        <v>#NAME?</v>
      </c>
      <c r="BB4" t="e">
        <f ca="1"/>
        <v>#NAME?</v>
      </c>
      <c r="BC4" t="e">
        <f ca="1"/>
        <v>#NAME?</v>
      </c>
      <c r="BD4" t="e">
        <f ca="1"/>
        <v>#NAME?</v>
      </c>
      <c r="BE4" t="e">
        <f ca="1"/>
        <v>#NAME?</v>
      </c>
    </row>
    <row r="5" spans="26:57">
      <c r="Z5" t="e">
        <f ca="1"/>
        <v>#NAME?</v>
      </c>
      <c r="AA5" t="e">
        <f ca="1"/>
        <v>#NAME?</v>
      </c>
      <c r="AB5" t="e">
        <f ca="1"/>
        <v>#NAME?</v>
      </c>
      <c r="AC5" t="e">
        <f ca="1"/>
        <v>#NAME?</v>
      </c>
      <c r="AD5" t="e">
        <f ca="1"/>
        <v>#NAME?</v>
      </c>
      <c r="AE5" t="e">
        <f ca="1"/>
        <v>#NAME?</v>
      </c>
      <c r="AF5" t="e">
        <f ca="1"/>
        <v>#NAME?</v>
      </c>
      <c r="AG5" t="e">
        <f ca="1"/>
        <v>#NAME?</v>
      </c>
      <c r="AH5" t="e">
        <f ca="1"/>
        <v>#NAME?</v>
      </c>
      <c r="AT5" t="e">
        <f ca="1"/>
        <v>#NAME?</v>
      </c>
      <c r="AU5" t="e">
        <f ca="1"/>
        <v>#NAME?</v>
      </c>
      <c r="AV5">
        <v>2</v>
      </c>
      <c r="AW5">
        <v>1</v>
      </c>
      <c r="AX5">
        <v>4</v>
      </c>
      <c r="AY5" t="str">
        <v>Analyst</v>
      </c>
      <c r="AZ5" t="e">
        <f ca="1"/>
        <v>#NAME?</v>
      </c>
      <c r="BA5" t="e">
        <f ca="1"/>
        <v>#NAME?</v>
      </c>
      <c r="BB5" t="e">
        <f ca="1"/>
        <v>#NAME?</v>
      </c>
      <c r="BC5" t="e">
        <f ca="1"/>
        <v>#NAME?</v>
      </c>
      <c r="BD5" t="e">
        <f ca="1"/>
        <v>#NAME?</v>
      </c>
      <c r="BE5" t="e">
        <f ca="1"/>
        <v>#NAME?</v>
      </c>
    </row>
    <row r="6" spans="26:57">
      <c r="Z6" t="e">
        <f ca="1"/>
        <v>#NAME?</v>
      </c>
      <c r="AA6" t="e">
        <f ca="1"/>
        <v>#NAME?</v>
      </c>
      <c r="AB6" t="e">
        <f ca="1"/>
        <v>#NAME?</v>
      </c>
      <c r="AC6" t="e">
        <f ca="1"/>
        <v>#NAME?</v>
      </c>
      <c r="AD6" t="e">
        <f ca="1"/>
        <v>#NAME?</v>
      </c>
      <c r="AE6" t="e">
        <f ca="1"/>
        <v>#NAME?</v>
      </c>
      <c r="AF6" t="e">
        <f ca="1"/>
        <v>#NAME?</v>
      </c>
      <c r="AG6" t="e">
        <f ca="1"/>
        <v>#NAME?</v>
      </c>
      <c r="AH6" t="e">
        <f ca="1"/>
        <v>#NAME?</v>
      </c>
      <c r="AT6" t="e">
        <f ca="1"/>
        <v>#NAME?</v>
      </c>
      <c r="AU6" t="e">
        <f ca="1"/>
        <v>#NAME?</v>
      </c>
      <c r="AV6">
        <v>3</v>
      </c>
      <c r="AW6">
        <v>1</v>
      </c>
      <c r="AX6">
        <v>4</v>
      </c>
      <c r="AY6" t="str">
        <v>Analyst</v>
      </c>
      <c r="AZ6" t="e">
        <f ca="1"/>
        <v>#NAME?</v>
      </c>
      <c r="BA6" t="e">
        <f ca="1"/>
        <v>#NAME?</v>
      </c>
      <c r="BB6" t="e">
        <f ca="1"/>
        <v>#NAME?</v>
      </c>
      <c r="BC6" t="e">
        <f ca="1"/>
        <v>#NAME?</v>
      </c>
      <c r="BD6" t="e">
        <f ca="1"/>
        <v>#NAME?</v>
      </c>
      <c r="BE6" t="e">
        <f ca="1"/>
        <v>#NAME?</v>
      </c>
    </row>
    <row r="7" spans="26:57">
      <c r="Z7" t="e">
        <f ca="1"/>
        <v>#NAME?</v>
      </c>
      <c r="AA7" t="e">
        <f ca="1"/>
        <v>#NAME?</v>
      </c>
      <c r="AB7" t="e">
        <f ca="1"/>
        <v>#NAME?</v>
      </c>
      <c r="AC7" t="e">
        <f ca="1"/>
        <v>#NAME?</v>
      </c>
      <c r="AD7" t="e">
        <f ca="1"/>
        <v>#NAME?</v>
      </c>
      <c r="AE7" t="e">
        <f ca="1"/>
        <v>#NAME?</v>
      </c>
      <c r="AF7" t="e">
        <f ca="1"/>
        <v>#NAME?</v>
      </c>
      <c r="AG7" t="e">
        <f ca="1"/>
        <v>#NAME?</v>
      </c>
      <c r="AH7" t="e">
        <f ca="1"/>
        <v>#NAME?</v>
      </c>
      <c r="AT7" t="e">
        <f ca="1"/>
        <v>#NAME?</v>
      </c>
      <c r="AU7" t="e">
        <f ca="1"/>
        <v>#NAME?</v>
      </c>
      <c r="AV7">
        <v>4</v>
      </c>
      <c r="AW7">
        <v>1</v>
      </c>
      <c r="AX7">
        <v>4</v>
      </c>
      <c r="AY7" t="str">
        <v>Analyst</v>
      </c>
      <c r="AZ7" t="e">
        <f ca="1"/>
        <v>#NAME?</v>
      </c>
      <c r="BA7" t="e">
        <f ca="1"/>
        <v>#NAME?</v>
      </c>
      <c r="BB7" t="e">
        <f ca="1"/>
        <v>#NAME?</v>
      </c>
      <c r="BC7" t="e">
        <f ca="1"/>
        <v>#NAME?</v>
      </c>
      <c r="BD7" t="e">
        <f ca="1"/>
        <v>#NAME?</v>
      </c>
      <c r="BE7" t="e">
        <f ca="1"/>
        <v>#NAME?</v>
      </c>
    </row>
    <row r="8" spans="26:57">
      <c r="Z8" t="e">
        <f ca="1"/>
        <v>#NAME?</v>
      </c>
      <c r="AA8" t="e">
        <f ca="1"/>
        <v>#NAME?</v>
      </c>
      <c r="AB8" t="e">
        <f ca="1"/>
        <v>#NAME?</v>
      </c>
      <c r="AC8" t="e">
        <f ca="1"/>
        <v>#NAME?</v>
      </c>
      <c r="AD8" t="e">
        <f ca="1"/>
        <v>#NAME?</v>
      </c>
      <c r="AE8" t="e">
        <f ca="1"/>
        <v>#NAME?</v>
      </c>
      <c r="AF8" t="e">
        <f ca="1"/>
        <v>#NAME?</v>
      </c>
      <c r="AG8" t="e">
        <f ca="1"/>
        <v>#NAME?</v>
      </c>
      <c r="AH8" t="e">
        <f ca="1"/>
        <v>#NAME?</v>
      </c>
      <c r="AT8" t="e">
        <f ca="1"/>
        <v>#NAME?</v>
      </c>
      <c r="AU8" t="e">
        <f ca="1"/>
        <v>#NAME?</v>
      </c>
      <c r="AV8">
        <v>2</v>
      </c>
      <c r="AW8">
        <v>1</v>
      </c>
      <c r="AX8">
        <v>4</v>
      </c>
      <c r="AY8" t="str">
        <v>Analyst</v>
      </c>
      <c r="AZ8" t="e">
        <f ca="1"/>
        <v>#NAME?</v>
      </c>
      <c r="BA8" t="e">
        <f ca="1"/>
        <v>#NAME?</v>
      </c>
      <c r="BB8" t="e">
        <f ca="1"/>
        <v>#NAME?</v>
      </c>
      <c r="BC8" t="e">
        <f ca="1"/>
        <v>#NAME?</v>
      </c>
      <c r="BD8" t="e">
        <f ca="1"/>
        <v>#NAME?</v>
      </c>
      <c r="BE8" t="e">
        <f ca="1"/>
        <v>#NAME?</v>
      </c>
    </row>
    <row r="9" spans="26:57">
      <c r="Z9" t="e">
        <f ca="1"/>
        <v>#NAME?</v>
      </c>
      <c r="AA9" t="e">
        <f ca="1"/>
        <v>#NAME?</v>
      </c>
      <c r="AB9" t="e">
        <f ca="1"/>
        <v>#NAME?</v>
      </c>
      <c r="AC9" t="e">
        <f ca="1"/>
        <v>#NAME?</v>
      </c>
      <c r="AD9" t="e">
        <f ca="1"/>
        <v>#NAME?</v>
      </c>
      <c r="AE9" t="e">
        <f ca="1"/>
        <v>#NAME?</v>
      </c>
      <c r="AF9" t="e">
        <f ca="1"/>
        <v>#NAME?</v>
      </c>
      <c r="AG9" t="e">
        <f ca="1"/>
        <v>#NAME?</v>
      </c>
      <c r="AH9" t="e">
        <f ca="1"/>
        <v>#NAME?</v>
      </c>
      <c r="AT9" t="e">
        <f ca="1"/>
        <v>#NAME?</v>
      </c>
      <c r="AU9" t="e">
        <f ca="1"/>
        <v>#NAME?</v>
      </c>
      <c r="AV9">
        <v>3</v>
      </c>
      <c r="AW9">
        <v>1</v>
      </c>
      <c r="AX9">
        <v>4</v>
      </c>
      <c r="AY9" t="str">
        <v>Analyst</v>
      </c>
      <c r="AZ9" t="e">
        <f ca="1"/>
        <v>#NAME?</v>
      </c>
      <c r="BA9" t="e">
        <f ca="1"/>
        <v>#NAME?</v>
      </c>
      <c r="BB9" t="e">
        <f ca="1"/>
        <v>#NAME?</v>
      </c>
      <c r="BC9" t="e">
        <f ca="1"/>
        <v>#NAME?</v>
      </c>
      <c r="BD9" t="e">
        <f ca="1"/>
        <v>#NAME?</v>
      </c>
      <c r="BE9" t="e">
        <f ca="1"/>
        <v>#NAME?</v>
      </c>
    </row>
    <row r="10" spans="26:57">
      <c r="Z10" t="e">
        <f ca="1"/>
        <v>#NAME?</v>
      </c>
      <c r="AA10" t="e">
        <f ca="1"/>
        <v>#NAME?</v>
      </c>
      <c r="AB10" t="e">
        <f ca="1"/>
        <v>#NAME?</v>
      </c>
      <c r="AC10" t="e">
        <f ca="1"/>
        <v>#NAME?</v>
      </c>
      <c r="AD10" t="e">
        <f ca="1"/>
        <v>#NAME?</v>
      </c>
      <c r="AE10" t="e">
        <f ca="1"/>
        <v>#NAME?</v>
      </c>
      <c r="AF10" t="e">
        <f ca="1"/>
        <v>#NAME?</v>
      </c>
      <c r="AG10" t="e">
        <f ca="1"/>
        <v>#NAME?</v>
      </c>
      <c r="AH10" t="e">
        <f ca="1"/>
        <v>#NAME?</v>
      </c>
      <c r="AT10" t="e">
        <f ca="1"/>
        <v>#NAME?</v>
      </c>
      <c r="AU10" t="e">
        <f ca="1"/>
        <v>#NAME?</v>
      </c>
      <c r="AV10">
        <v>4</v>
      </c>
      <c r="AW10">
        <v>1</v>
      </c>
      <c r="AX10">
        <v>4</v>
      </c>
      <c r="AY10" t="str">
        <v>Analyst</v>
      </c>
      <c r="AZ10" t="e">
        <f ca="1"/>
        <v>#NAME?</v>
      </c>
      <c r="BA10" t="e">
        <f ca="1"/>
        <v>#NAME?</v>
      </c>
      <c r="BB10" t="e">
        <f ca="1"/>
        <v>#NAME?</v>
      </c>
      <c r="BC10" t="e">
        <f ca="1"/>
        <v>#NAME?</v>
      </c>
      <c r="BD10" t="e">
        <f ca="1"/>
        <v>#NAME?</v>
      </c>
      <c r="BE10" t="e">
        <f ca="1"/>
        <v>#NAME?</v>
      </c>
    </row>
    <row r="11" spans="26:57">
      <c r="Z11" t="e">
        <f ca="1"/>
        <v>#NAME?</v>
      </c>
      <c r="AA11" t="e">
        <f ca="1"/>
        <v>#NAME?</v>
      </c>
      <c r="AB11" t="e">
        <f ca="1"/>
        <v>#NAME?</v>
      </c>
      <c r="AC11" t="e">
        <f ca="1"/>
        <v>#NAME?</v>
      </c>
      <c r="AD11" t="e">
        <f ca="1"/>
        <v>#NAME?</v>
      </c>
      <c r="AE11" t="e">
        <f ca="1"/>
        <v>#NAME?</v>
      </c>
      <c r="AF11" t="e">
        <f ca="1"/>
        <v>#NAME?</v>
      </c>
      <c r="AG11" t="e">
        <f ca="1"/>
        <v>#NAME?</v>
      </c>
      <c r="AH11" t="e">
        <f ca="1"/>
        <v>#NAME?</v>
      </c>
      <c r="AT11" t="e">
        <f ca="1"/>
        <v>#NAME?</v>
      </c>
      <c r="AU11" t="e">
        <f ca="1"/>
        <v>#NAME?</v>
      </c>
      <c r="AV11">
        <v>2</v>
      </c>
      <c r="AW11">
        <v>1</v>
      </c>
      <c r="AX11">
        <v>4</v>
      </c>
      <c r="AY11" t="str">
        <v>Analyst</v>
      </c>
      <c r="AZ11" t="e">
        <f ca="1"/>
        <v>#NAME?</v>
      </c>
      <c r="BA11" t="e">
        <f ca="1"/>
        <v>#NAME?</v>
      </c>
      <c r="BB11" t="e">
        <f ca="1"/>
        <v>#NAME?</v>
      </c>
      <c r="BC11" t="e">
        <f ca="1"/>
        <v>#NAME?</v>
      </c>
      <c r="BD11" t="e">
        <f ca="1"/>
        <v>#NAME?</v>
      </c>
      <c r="BE11" t="e">
        <f ca="1"/>
        <v>#NAME?</v>
      </c>
    </row>
    <row r="12" spans="26:57">
      <c r="Z12" t="e">
        <f ca="1"/>
        <v>#NAME?</v>
      </c>
      <c r="AA12" t="e">
        <f ca="1"/>
        <v>#NAME?</v>
      </c>
      <c r="AB12" t="e">
        <f ca="1"/>
        <v>#NAME?</v>
      </c>
      <c r="AC12" t="e">
        <f ca="1"/>
        <v>#NAME?</v>
      </c>
      <c r="AD12" t="e">
        <f ca="1"/>
        <v>#NAME?</v>
      </c>
      <c r="AE12" t="e">
        <f ca="1"/>
        <v>#NAME?</v>
      </c>
      <c r="AF12" t="e">
        <f ca="1"/>
        <v>#NAME?</v>
      </c>
      <c r="AG12" t="e">
        <f ca="1"/>
        <v>#NAME?</v>
      </c>
      <c r="AH12" t="e">
        <f ca="1"/>
        <v>#NAME?</v>
      </c>
      <c r="AT12" t="e">
        <f ca="1"/>
        <v>#NAME?</v>
      </c>
      <c r="AU12" t="e">
        <f ca="1"/>
        <v>#NAME?</v>
      </c>
      <c r="AV12">
        <v>3</v>
      </c>
      <c r="AW12">
        <v>1</v>
      </c>
      <c r="AX12">
        <v>4</v>
      </c>
      <c r="AY12" t="str">
        <v>Analyst</v>
      </c>
      <c r="AZ12" t="e">
        <f ca="1"/>
        <v>#NAME?</v>
      </c>
      <c r="BA12" t="e">
        <f ca="1"/>
        <v>#NAME?</v>
      </c>
      <c r="BB12" t="e">
        <f ca="1"/>
        <v>#NAME?</v>
      </c>
      <c r="BC12" t="e">
        <f ca="1"/>
        <v>#NAME?</v>
      </c>
      <c r="BD12" t="e">
        <f ca="1"/>
        <v>#NAME?</v>
      </c>
      <c r="BE12" t="e">
        <f ca="1"/>
        <v>#NAME?</v>
      </c>
    </row>
    <row r="13" spans="26:57">
      <c r="Z13" t="e">
        <f ca="1"/>
        <v>#NAME?</v>
      </c>
      <c r="AA13" t="e">
        <f ca="1"/>
        <v>#NAME?</v>
      </c>
      <c r="AB13" t="e">
        <f ca="1"/>
        <v>#NAME?</v>
      </c>
      <c r="AC13" t="e">
        <f ca="1"/>
        <v>#NAME?</v>
      </c>
      <c r="AD13" t="e">
        <f ca="1"/>
        <v>#NAME?</v>
      </c>
      <c r="AE13" t="e">
        <f ca="1"/>
        <v>#NAME?</v>
      </c>
      <c r="AF13" t="e">
        <f ca="1"/>
        <v>#NAME?</v>
      </c>
      <c r="AG13" t="e">
        <f ca="1"/>
        <v>#NAME?</v>
      </c>
      <c r="AH13" t="e">
        <f ca="1"/>
        <v>#NAME?</v>
      </c>
      <c r="AT13" t="e">
        <f ca="1"/>
        <v>#NAME?</v>
      </c>
      <c r="AU13" t="e">
        <f ca="1"/>
        <v>#NAME?</v>
      </c>
      <c r="AV13">
        <v>4</v>
      </c>
      <c r="AW13">
        <v>1</v>
      </c>
      <c r="AX13">
        <v>4</v>
      </c>
      <c r="AY13" t="str">
        <v>Analyst</v>
      </c>
      <c r="AZ13" t="e">
        <f ca="1"/>
        <v>#NAME?</v>
      </c>
      <c r="BA13" t="e">
        <f ca="1"/>
        <v>#NAME?</v>
      </c>
      <c r="BB13" t="e">
        <f ca="1"/>
        <v>#NAME?</v>
      </c>
      <c r="BC13" t="e">
        <f ca="1"/>
        <v>#NAME?</v>
      </c>
      <c r="BD13" t="e">
        <f ca="1"/>
        <v>#NAME?</v>
      </c>
      <c r="BE13" t="e">
        <f ca="1"/>
        <v>#NAME?</v>
      </c>
    </row>
    <row r="14" spans="26:57">
      <c r="AE14" t="e">
        <f ca="1"/>
        <v>#NAME?</v>
      </c>
      <c r="AF14" t="e">
        <f ca="1"/>
        <v>#NAME?</v>
      </c>
      <c r="AG14" t="e">
        <f ca="1"/>
        <v>#NAME?</v>
      </c>
      <c r="AH14" t="e">
        <f ca="1"/>
        <v>#NAME?</v>
      </c>
      <c r="AT14" t="e">
        <f ca="1"/>
        <v>#NAME?</v>
      </c>
      <c r="AU14" t="e">
        <f ca="1"/>
        <v>#NAME?</v>
      </c>
      <c r="AV14">
        <v>2</v>
      </c>
      <c r="AW14">
        <v>1</v>
      </c>
      <c r="AX14">
        <v>4</v>
      </c>
      <c r="AY14" t="str">
        <v>Analyst</v>
      </c>
      <c r="AZ14" t="e">
        <f ca="1"/>
        <v>#NAME?</v>
      </c>
      <c r="BA14" t="e">
        <f ca="1"/>
        <v>#NAME?</v>
      </c>
      <c r="BB14" t="e">
        <f ca="1"/>
        <v>#NAME?</v>
      </c>
      <c r="BC14" t="e">
        <f ca="1"/>
        <v>#NAME?</v>
      </c>
      <c r="BD14" t="e">
        <f ca="1"/>
        <v>#NAME?</v>
      </c>
      <c r="BE14" t="e">
        <f ca="1"/>
        <v>#NAME?</v>
      </c>
    </row>
    <row r="15" spans="26:57">
      <c r="AE15" t="e">
        <f ca="1"/>
        <v>#NAME?</v>
      </c>
      <c r="AF15" t="e">
        <f ca="1"/>
        <v>#NAME?</v>
      </c>
      <c r="AG15" t="e">
        <f ca="1"/>
        <v>#NAME?</v>
      </c>
      <c r="AH15" t="e">
        <f ca="1"/>
        <v>#NAME?</v>
      </c>
      <c r="AT15" t="e">
        <f ca="1"/>
        <v>#NAME?</v>
      </c>
      <c r="AU15" t="e">
        <f ca="1"/>
        <v>#NAME?</v>
      </c>
      <c r="AV15">
        <v>3</v>
      </c>
      <c r="AW15">
        <v>1</v>
      </c>
      <c r="AX15">
        <v>4</v>
      </c>
      <c r="AY15" t="str">
        <v>Analyst</v>
      </c>
      <c r="AZ15" t="e">
        <f ca="1"/>
        <v>#NAME?</v>
      </c>
      <c r="BA15" t="e">
        <f ca="1"/>
        <v>#NAME?</v>
      </c>
      <c r="BB15" t="e">
        <f ca="1"/>
        <v>#NAME?</v>
      </c>
      <c r="BC15" t="e">
        <f ca="1"/>
        <v>#NAME?</v>
      </c>
      <c r="BD15" t="e">
        <f ca="1"/>
        <v>#NAME?</v>
      </c>
      <c r="BE15" t="e">
        <f ca="1"/>
        <v>#NAME?</v>
      </c>
    </row>
    <row r="16" spans="26:57">
      <c r="AE16" t="e">
        <f ca="1"/>
        <v>#NAME?</v>
      </c>
      <c r="AF16" t="e">
        <f ca="1"/>
        <v>#NAME?</v>
      </c>
      <c r="AG16" t="e">
        <f ca="1"/>
        <v>#NAME?</v>
      </c>
      <c r="AH16" t="e">
        <f ca="1"/>
        <v>#NAME?</v>
      </c>
      <c r="AT16" t="e">
        <f ca="1"/>
        <v>#NAME?</v>
      </c>
      <c r="AU16" t="e">
        <f ca="1"/>
        <v>#NAME?</v>
      </c>
      <c r="AV16">
        <v>4</v>
      </c>
      <c r="AW16">
        <v>1</v>
      </c>
      <c r="AX16">
        <v>4</v>
      </c>
      <c r="AY16" t="str">
        <v>Analyst</v>
      </c>
      <c r="AZ16" t="e">
        <f ca="1"/>
        <v>#NAME?</v>
      </c>
      <c r="BA16" t="e">
        <f ca="1"/>
        <v>#NAME?</v>
      </c>
      <c r="BB16" t="e">
        <f ca="1"/>
        <v>#NAME?</v>
      </c>
      <c r="BC16" t="e">
        <f ca="1"/>
        <v>#NAME?</v>
      </c>
      <c r="BD16" t="e">
        <f ca="1"/>
        <v>#NAME?</v>
      </c>
      <c r="BE16" t="e">
        <f ca="1"/>
        <v>#NAME?</v>
      </c>
    </row>
    <row r="17" spans="31:57">
      <c r="AE17" t="e">
        <f ca="1"/>
        <v>#NAME?</v>
      </c>
      <c r="AF17" t="e">
        <f ca="1"/>
        <v>#NAME?</v>
      </c>
      <c r="AG17" t="e">
        <f ca="1"/>
        <v>#NAME?</v>
      </c>
      <c r="AH17" t="e">
        <f ca="1"/>
        <v>#NAME?</v>
      </c>
      <c r="AT17" t="e">
        <f ca="1"/>
        <v>#NAME?</v>
      </c>
      <c r="AU17" t="e">
        <f ca="1"/>
        <v>#NAME?</v>
      </c>
      <c r="AV17">
        <v>2</v>
      </c>
      <c r="AW17">
        <v>1</v>
      </c>
      <c r="AX17">
        <v>4</v>
      </c>
      <c r="AY17" t="str">
        <v>Analyst</v>
      </c>
      <c r="AZ17" t="e">
        <f ca="1"/>
        <v>#NAME?</v>
      </c>
      <c r="BA17" t="e">
        <f ca="1"/>
        <v>#NAME?</v>
      </c>
      <c r="BB17" t="e">
        <f ca="1"/>
        <v>#NAME?</v>
      </c>
      <c r="BC17" t="e">
        <f ca="1"/>
        <v>#NAME?</v>
      </c>
      <c r="BD17" t="e">
        <f ca="1"/>
        <v>#NAME?</v>
      </c>
      <c r="BE17" t="e">
        <f ca="1"/>
        <v>#NAME?</v>
      </c>
    </row>
    <row r="18" spans="31:57">
      <c r="AE18" t="e">
        <f ca="1"/>
        <v>#NAME?</v>
      </c>
      <c r="AF18" t="e">
        <f ca="1"/>
        <v>#NAME?</v>
      </c>
      <c r="AG18" t="e">
        <f ca="1"/>
        <v>#NAME?</v>
      </c>
      <c r="AH18" t="e">
        <f ca="1"/>
        <v>#NAME?</v>
      </c>
      <c r="AT18" t="e">
        <f ca="1"/>
        <v>#NAME?</v>
      </c>
      <c r="AU18" t="e">
        <f ca="1"/>
        <v>#NAME?</v>
      </c>
      <c r="AV18">
        <v>3</v>
      </c>
      <c r="AW18">
        <v>1</v>
      </c>
      <c r="AX18">
        <v>4</v>
      </c>
      <c r="AY18" t="str">
        <v>Analyst</v>
      </c>
      <c r="AZ18" t="e">
        <f ca="1"/>
        <v>#NAME?</v>
      </c>
      <c r="BA18" t="e">
        <f ca="1"/>
        <v>#NAME?</v>
      </c>
      <c r="BB18" t="e">
        <f ca="1"/>
        <v>#NAME?</v>
      </c>
      <c r="BC18" t="e">
        <f ca="1"/>
        <v>#NAME?</v>
      </c>
      <c r="BD18" t="e">
        <f ca="1"/>
        <v>#NAME?</v>
      </c>
      <c r="BE18" t="e">
        <f ca="1"/>
        <v>#NAME?</v>
      </c>
    </row>
    <row r="19" spans="31:57">
      <c r="AE19" t="e">
        <f ca="1"/>
        <v>#NAME?</v>
      </c>
      <c r="AF19" t="e">
        <f ca="1"/>
        <v>#NAME?</v>
      </c>
      <c r="AG19" t="e">
        <f ca="1"/>
        <v>#NAME?</v>
      </c>
      <c r="AH19" t="e">
        <f ca="1"/>
        <v>#NAME?</v>
      </c>
      <c r="AT19" t="e">
        <f ca="1"/>
        <v>#NAME?</v>
      </c>
      <c r="AU19" t="e">
        <f ca="1"/>
        <v>#NAME?</v>
      </c>
      <c r="AV19">
        <v>4</v>
      </c>
      <c r="AW19">
        <v>1</v>
      </c>
      <c r="AX19">
        <v>4</v>
      </c>
      <c r="AY19" t="str">
        <v>Analyst</v>
      </c>
      <c r="AZ19" t="e">
        <f ca="1"/>
        <v>#NAME?</v>
      </c>
      <c r="BA19" t="e">
        <f ca="1"/>
        <v>#NAME?</v>
      </c>
      <c r="BB19" t="e">
        <f ca="1"/>
        <v>#NAME?</v>
      </c>
      <c r="BC19" t="e">
        <f ca="1"/>
        <v>#NAME?</v>
      </c>
      <c r="BD19" t="e">
        <f ca="1"/>
        <v>#NAME?</v>
      </c>
      <c r="BE19" t="e">
        <f ca="1"/>
        <v>#NAME?</v>
      </c>
    </row>
    <row r="20" spans="31:57">
      <c r="AE20" t="e">
        <f ca="1"/>
        <v>#NAME?</v>
      </c>
      <c r="AF20" t="e">
        <f ca="1"/>
        <v>#NAME?</v>
      </c>
      <c r="AG20" t="e">
        <f ca="1"/>
        <v>#NAME?</v>
      </c>
      <c r="AH20" t="e">
        <f ca="1"/>
        <v>#NAME?</v>
      </c>
      <c r="AT20" t="e">
        <f ca="1"/>
        <v>#NAME?</v>
      </c>
      <c r="AU20" t="e">
        <f ca="1"/>
        <v>#NAME?</v>
      </c>
      <c r="AV20">
        <v>2</v>
      </c>
      <c r="AW20">
        <v>1</v>
      </c>
      <c r="AX20">
        <v>4</v>
      </c>
      <c r="AY20" t="str">
        <v>Analyst</v>
      </c>
      <c r="AZ20" t="e">
        <f ca="1"/>
        <v>#NAME?</v>
      </c>
      <c r="BA20" t="e">
        <f ca="1"/>
        <v>#NAME?</v>
      </c>
      <c r="BB20" t="e">
        <f ca="1"/>
        <v>#NAME?</v>
      </c>
      <c r="BC20" t="e">
        <f ca="1"/>
        <v>#NAME?</v>
      </c>
      <c r="BD20" t="e">
        <f ca="1"/>
        <v>#NAME?</v>
      </c>
      <c r="BE20" t="e">
        <f ca="1"/>
        <v>#NAME?</v>
      </c>
    </row>
    <row r="21" spans="31:57">
      <c r="AE21" t="e">
        <f ca="1"/>
        <v>#NAME?</v>
      </c>
      <c r="AF21" t="e">
        <f ca="1"/>
        <v>#NAME?</v>
      </c>
      <c r="AG21" t="e">
        <f ca="1"/>
        <v>#NAME?</v>
      </c>
      <c r="AH21" t="e">
        <f ca="1"/>
        <v>#NAME?</v>
      </c>
      <c r="AT21" t="e">
        <f ca="1"/>
        <v>#NAME?</v>
      </c>
      <c r="AU21" t="e">
        <f ca="1"/>
        <v>#NAME?</v>
      </c>
      <c r="AV21">
        <v>3</v>
      </c>
      <c r="AW21">
        <v>1</v>
      </c>
      <c r="AX21">
        <v>4</v>
      </c>
      <c r="AY21" t="str">
        <v>Analyst</v>
      </c>
      <c r="AZ21" t="e">
        <f ca="1"/>
        <v>#NAME?</v>
      </c>
      <c r="BA21" t="e">
        <f ca="1"/>
        <v>#NAME?</v>
      </c>
      <c r="BB21" t="e">
        <f ca="1"/>
        <v>#NAME?</v>
      </c>
      <c r="BC21" t="e">
        <f ca="1"/>
        <v>#NAME?</v>
      </c>
      <c r="BD21" t="e">
        <f ca="1"/>
        <v>#NAME?</v>
      </c>
      <c r="BE21" t="e">
        <f ca="1"/>
        <v>#NAME?</v>
      </c>
    </row>
    <row r="22" spans="31:57">
      <c r="AT22" t="e">
        <f ca="1"/>
        <v>#NAME?</v>
      </c>
      <c r="AU22" t="e">
        <f ca="1"/>
        <v>#NAME?</v>
      </c>
      <c r="AV22">
        <v>4</v>
      </c>
      <c r="AW22">
        <v>1</v>
      </c>
      <c r="AX22">
        <v>4</v>
      </c>
      <c r="AY22" t="str">
        <v>Analyst</v>
      </c>
      <c r="AZ22" t="e">
        <f ca="1"/>
        <v>#NAME?</v>
      </c>
      <c r="BA22" t="e">
        <f ca="1"/>
        <v>#NAME?</v>
      </c>
      <c r="BB22" t="e">
        <f ca="1"/>
        <v>#NAME?</v>
      </c>
      <c r="BC22" t="e">
        <f ca="1"/>
        <v>#NAME?</v>
      </c>
      <c r="BD22" t="e">
        <f ca="1"/>
        <v>#NAME?</v>
      </c>
      <c r="BE22" t="e">
        <f ca="1"/>
        <v>#NAME?</v>
      </c>
    </row>
    <row r="23" spans="31:57">
      <c r="AT23" t="e">
        <f ca="1"/>
        <v>#NAME?</v>
      </c>
      <c r="AU23" t="e">
        <f ca="1"/>
        <v>#NAME?</v>
      </c>
      <c r="AV23">
        <v>2</v>
      </c>
      <c r="AW23">
        <v>1</v>
      </c>
      <c r="AX23">
        <v>4</v>
      </c>
      <c r="AY23" t="str">
        <v>Analyst</v>
      </c>
      <c r="AZ23" t="e">
        <f ca="1"/>
        <v>#NAME?</v>
      </c>
      <c r="BA23" t="e">
        <f ca="1"/>
        <v>#NAME?</v>
      </c>
      <c r="BB23" t="e">
        <f ca="1"/>
        <v>#NAME?</v>
      </c>
      <c r="BC23" t="e">
        <f ca="1"/>
        <v>#NAME?</v>
      </c>
      <c r="BD23" t="e">
        <f ca="1"/>
        <v>#NAME?</v>
      </c>
      <c r="BE23" t="e">
        <f ca="1"/>
        <v>#NAME?</v>
      </c>
    </row>
    <row r="24" spans="31:57">
      <c r="AT24" t="e">
        <f ca="1"/>
        <v>#NAME?</v>
      </c>
      <c r="AU24" t="e">
        <f ca="1"/>
        <v>#NAME?</v>
      </c>
      <c r="AV24">
        <v>3</v>
      </c>
      <c r="AW24">
        <v>1</v>
      </c>
      <c r="AX24">
        <v>4</v>
      </c>
      <c r="AY24" t="str">
        <v>Analyst</v>
      </c>
      <c r="AZ24" t="e">
        <f ca="1"/>
        <v>#NAME?</v>
      </c>
      <c r="BA24" t="e">
        <f ca="1"/>
        <v>#NAME?</v>
      </c>
      <c r="BB24" t="e">
        <f ca="1"/>
        <v>#NAME?</v>
      </c>
      <c r="BC24" t="e">
        <f ca="1"/>
        <v>#NAME?</v>
      </c>
      <c r="BD24" t="e">
        <f ca="1"/>
        <v>#NAME?</v>
      </c>
      <c r="BE24" t="e">
        <f ca="1"/>
        <v>#NAME?</v>
      </c>
    </row>
    <row r="25" spans="31:57">
      <c r="AT25" t="e">
        <f ca="1"/>
        <v>#NAME?</v>
      </c>
      <c r="AU25" t="e">
        <f ca="1"/>
        <v>#NAME?</v>
      </c>
      <c r="AV25">
        <v>4</v>
      </c>
      <c r="AW25">
        <v>1</v>
      </c>
      <c r="AX25">
        <v>4</v>
      </c>
      <c r="AY25" t="str">
        <v>Analyst</v>
      </c>
      <c r="AZ25" t="e">
        <f ca="1"/>
        <v>#NAME?</v>
      </c>
      <c r="BA25" t="e">
        <f ca="1"/>
        <v>#NAME?</v>
      </c>
      <c r="BB25" t="e">
        <f ca="1"/>
        <v>#NAME?</v>
      </c>
      <c r="BC25" t="e">
        <f ca="1"/>
        <v>#NAME?</v>
      </c>
      <c r="BD25" t="e">
        <f ca="1"/>
        <v>#NAME?</v>
      </c>
      <c r="BE25" t="e">
        <f ca="1"/>
        <v>#NAME?</v>
      </c>
    </row>
    <row r="26" spans="31:57">
      <c r="AT26" t="e">
        <f ca="1"/>
        <v>#NAME?</v>
      </c>
      <c r="AU26" t="e">
        <f ca="1"/>
        <v>#NAME?</v>
      </c>
      <c r="AV26">
        <v>2</v>
      </c>
      <c r="AW26">
        <v>1</v>
      </c>
      <c r="AX26">
        <v>4</v>
      </c>
      <c r="AY26" t="str">
        <v>Analyst</v>
      </c>
      <c r="AZ26" t="e">
        <f ca="1"/>
        <v>#NAME?</v>
      </c>
      <c r="BA26" t="e">
        <f ca="1"/>
        <v>#NAME?</v>
      </c>
      <c r="BB26" t="e">
        <f ca="1"/>
        <v>#NAME?</v>
      </c>
      <c r="BC26" t="e">
        <f ca="1"/>
        <v>#NAME?</v>
      </c>
      <c r="BD26" t="e">
        <f ca="1"/>
        <v>#NAME?</v>
      </c>
      <c r="BE26" t="e">
        <f ca="1"/>
        <v>#NAME?</v>
      </c>
    </row>
    <row r="27" spans="31:57">
      <c r="AT27" t="e">
        <f ca="1"/>
        <v>#NAME?</v>
      </c>
      <c r="AU27" t="e">
        <f ca="1"/>
        <v>#NAME?</v>
      </c>
      <c r="AV27">
        <v>3</v>
      </c>
      <c r="AW27">
        <v>1</v>
      </c>
      <c r="AX27">
        <v>4</v>
      </c>
      <c r="AY27" t="str">
        <v>Analyst</v>
      </c>
      <c r="AZ27" t="e">
        <f ca="1"/>
        <v>#NAME?</v>
      </c>
      <c r="BA27" t="e">
        <f ca="1"/>
        <v>#NAME?</v>
      </c>
      <c r="BB27" t="e">
        <f ca="1"/>
        <v>#NAME?</v>
      </c>
      <c r="BC27" t="e">
        <f ca="1"/>
        <v>#NAME?</v>
      </c>
      <c r="BD27" t="e">
        <f ca="1"/>
        <v>#NAME?</v>
      </c>
      <c r="BE27" t="e">
        <f ca="1"/>
        <v>#NAME?</v>
      </c>
    </row>
    <row r="28" spans="31:57">
      <c r="AT28" t="e">
        <f ca="1"/>
        <v>#NAME?</v>
      </c>
      <c r="AU28" t="e">
        <f ca="1"/>
        <v>#NAME?</v>
      </c>
      <c r="AV28">
        <v>4</v>
      </c>
      <c r="AW28">
        <v>1</v>
      </c>
      <c r="AX28">
        <v>4</v>
      </c>
      <c r="AY28" t="str">
        <v>Analyst</v>
      </c>
      <c r="AZ28" t="e">
        <f ca="1"/>
        <v>#NAME?</v>
      </c>
      <c r="BA28" t="e">
        <f ca="1"/>
        <v>#NAME?</v>
      </c>
      <c r="BB28" t="e">
        <f ca="1"/>
        <v>#NAME?</v>
      </c>
      <c r="BC28" t="e">
        <f ca="1"/>
        <v>#NAME?</v>
      </c>
      <c r="BD28" t="e">
        <f ca="1"/>
        <v>#NAME?</v>
      </c>
      <c r="BE28" t="e">
        <f ca="1"/>
        <v>#NAME?</v>
      </c>
    </row>
    <row r="29" spans="31:57">
      <c r="AT29" t="e">
        <f ca="1"/>
        <v>#NAME?</v>
      </c>
      <c r="AU29" t="e">
        <f ca="1"/>
        <v>#NAME?</v>
      </c>
      <c r="AV29">
        <v>2</v>
      </c>
      <c r="AW29">
        <v>1</v>
      </c>
      <c r="AX29">
        <v>4</v>
      </c>
      <c r="AY29" t="str">
        <v>Analyst</v>
      </c>
      <c r="AZ29" t="e">
        <f ca="1"/>
        <v>#NAME?</v>
      </c>
      <c r="BA29" t="e">
        <f ca="1"/>
        <v>#NAME?</v>
      </c>
      <c r="BB29" t="e">
        <f ca="1"/>
        <v>#NAME?</v>
      </c>
      <c r="BC29" t="e">
        <f ca="1"/>
        <v>#NAME?</v>
      </c>
      <c r="BD29" t="e">
        <f ca="1"/>
        <v>#NAME?</v>
      </c>
      <c r="BE29" t="e">
        <f ca="1"/>
        <v>#NAME?</v>
      </c>
    </row>
    <row r="30" spans="31:57">
      <c r="AT30" t="e">
        <f ca="1"/>
        <v>#NAME?</v>
      </c>
      <c r="AU30" t="e">
        <f ca="1"/>
        <v>#NAME?</v>
      </c>
      <c r="AV30">
        <v>3</v>
      </c>
      <c r="AW30">
        <v>1</v>
      </c>
      <c r="AX30">
        <v>4</v>
      </c>
      <c r="AY30" t="str">
        <v>Analyst</v>
      </c>
      <c r="AZ30" t="e">
        <f ca="1"/>
        <v>#NAME?</v>
      </c>
      <c r="BA30" t="e">
        <f ca="1"/>
        <v>#NAME?</v>
      </c>
      <c r="BB30" t="e">
        <f ca="1"/>
        <v>#NAME?</v>
      </c>
      <c r="BC30" t="e">
        <f ca="1"/>
        <v>#NAME?</v>
      </c>
      <c r="BD30" t="e">
        <f ca="1"/>
        <v>#NAME?</v>
      </c>
      <c r="BE30" t="e">
        <f ca="1"/>
        <v>#NAME?</v>
      </c>
    </row>
    <row r="31" spans="31:57">
      <c r="AT31" t="e">
        <f ca="1"/>
        <v>#NAME?</v>
      </c>
      <c r="AU31" t="e">
        <f ca="1"/>
        <v>#NAME?</v>
      </c>
      <c r="AV31">
        <v>4</v>
      </c>
      <c r="AW31">
        <v>1</v>
      </c>
      <c r="AX31">
        <v>4</v>
      </c>
      <c r="AY31" t="str">
        <v>Analyst</v>
      </c>
      <c r="AZ31" t="e">
        <f ca="1"/>
        <v>#NAME?</v>
      </c>
      <c r="BA31" t="e">
        <f ca="1"/>
        <v>#NAME?</v>
      </c>
      <c r="BB31" t="e">
        <f ca="1"/>
        <v>#NAME?</v>
      </c>
      <c r="BC31" t="e">
        <f ca="1"/>
        <v>#NAME?</v>
      </c>
      <c r="BD31" t="e">
        <f ca="1"/>
        <v>#NAME?</v>
      </c>
      <c r="BE31" t="e">
        <f ca="1"/>
        <v>#NAME?</v>
      </c>
    </row>
    <row r="32" spans="31:57">
      <c r="AT32" t="e">
        <f ca="1"/>
        <v>#NAME?</v>
      </c>
      <c r="AU32" t="e">
        <f ca="1"/>
        <v>#NAME?</v>
      </c>
      <c r="AV32">
        <v>2</v>
      </c>
      <c r="AW32">
        <v>1</v>
      </c>
      <c r="AX32">
        <v>4</v>
      </c>
      <c r="AY32" t="str">
        <v>Analyst</v>
      </c>
      <c r="AZ32" t="e">
        <f ca="1"/>
        <v>#NAME?</v>
      </c>
      <c r="BA32" t="e">
        <f ca="1"/>
        <v>#NAME?</v>
      </c>
      <c r="BB32" t="e">
        <f ca="1"/>
        <v>#NAME?</v>
      </c>
      <c r="BC32" t="e">
        <f ca="1"/>
        <v>#NAME?</v>
      </c>
      <c r="BD32" t="e">
        <f ca="1"/>
        <v>#NAME?</v>
      </c>
      <c r="BE32" t="e">
        <f ca="1"/>
        <v>#NAME?</v>
      </c>
    </row>
    <row r="33" spans="46:57">
      <c r="AT33" t="e">
        <f ca="1"/>
        <v>#NAME?</v>
      </c>
      <c r="AU33" t="e">
        <f ca="1"/>
        <v>#NAME?</v>
      </c>
      <c r="AV33">
        <v>3</v>
      </c>
      <c r="AW33">
        <v>1</v>
      </c>
      <c r="AX33">
        <v>4</v>
      </c>
      <c r="AY33" t="str">
        <v>Analyst</v>
      </c>
      <c r="AZ33" t="e">
        <f ca="1"/>
        <v>#NAME?</v>
      </c>
      <c r="BA33" t="e">
        <f ca="1"/>
        <v>#NAME?</v>
      </c>
      <c r="BB33" t="e">
        <f ca="1"/>
        <v>#NAME?</v>
      </c>
      <c r="BC33" t="e">
        <f ca="1"/>
        <v>#NAME?</v>
      </c>
      <c r="BD33" t="e">
        <f ca="1"/>
        <v>#NAME?</v>
      </c>
      <c r="BE33" t="e">
        <f ca="1"/>
        <v>#NAME?</v>
      </c>
    </row>
    <row r="34" spans="46:57">
      <c r="AT34" t="e">
        <f ca="1"/>
        <v>#NAME?</v>
      </c>
      <c r="AU34" t="e">
        <f ca="1"/>
        <v>#NAME?</v>
      </c>
      <c r="AV34">
        <v>4</v>
      </c>
      <c r="AW34">
        <v>1</v>
      </c>
      <c r="AX34">
        <v>4</v>
      </c>
      <c r="AY34" t="str">
        <v>Analyst</v>
      </c>
      <c r="AZ34" t="e">
        <f ca="1"/>
        <v>#NAME?</v>
      </c>
      <c r="BA34" t="e">
        <f ca="1"/>
        <v>#NAME?</v>
      </c>
      <c r="BB34" t="e">
        <f ca="1"/>
        <v>#NAME?</v>
      </c>
      <c r="BC34" t="e">
        <f ca="1"/>
        <v>#NAME?</v>
      </c>
      <c r="BD34" t="e">
        <f ca="1"/>
        <v>#NAME?</v>
      </c>
      <c r="BE34" t="e">
        <f ca="1"/>
        <v>#NAME?</v>
      </c>
    </row>
    <row r="35" spans="46:57">
      <c r="AT35" t="e">
        <f ca="1"/>
        <v>#NAME?</v>
      </c>
      <c r="AU35" t="e">
        <f ca="1"/>
        <v>#NAME?</v>
      </c>
      <c r="AV35">
        <v>2</v>
      </c>
      <c r="AW35">
        <v>1</v>
      </c>
      <c r="AX35">
        <v>4</v>
      </c>
      <c r="AY35" t="str">
        <v>Analyst</v>
      </c>
      <c r="AZ35" t="e">
        <f ca="1"/>
        <v>#NAME?</v>
      </c>
      <c r="BA35" t="e">
        <f ca="1"/>
        <v>#NAME?</v>
      </c>
      <c r="BB35" t="e">
        <f ca="1"/>
        <v>#NAME?</v>
      </c>
      <c r="BC35" t="e">
        <f ca="1"/>
        <v>#NAME?</v>
      </c>
      <c r="BD35" t="e">
        <f ca="1"/>
        <v>#NAME?</v>
      </c>
      <c r="BE35" t="e">
        <f ca="1"/>
        <v>#NAME?</v>
      </c>
    </row>
    <row r="36" spans="46:57">
      <c r="AT36" t="e">
        <f ca="1"/>
        <v>#NAME?</v>
      </c>
      <c r="AU36" t="e">
        <f ca="1"/>
        <v>#NAME?</v>
      </c>
      <c r="AV36">
        <v>3</v>
      </c>
      <c r="AW36">
        <v>1</v>
      </c>
      <c r="AX36">
        <v>4</v>
      </c>
      <c r="AY36" t="str">
        <v>Analyst</v>
      </c>
      <c r="AZ36" t="e">
        <f ca="1"/>
        <v>#NAME?</v>
      </c>
      <c r="BA36" t="e">
        <f ca="1"/>
        <v>#NAME?</v>
      </c>
      <c r="BB36" t="e">
        <f ca="1"/>
        <v>#NAME?</v>
      </c>
      <c r="BC36" t="e">
        <f ca="1"/>
        <v>#NAME?</v>
      </c>
      <c r="BD36" t="e">
        <f ca="1"/>
        <v>#NAME?</v>
      </c>
      <c r="BE36" t="e">
        <f ca="1"/>
        <v>#NAME?</v>
      </c>
    </row>
    <row r="37" spans="46:57">
      <c r="AT37" t="e">
        <f ca="1"/>
        <v>#NAME?</v>
      </c>
      <c r="AU37" t="e">
        <f ca="1"/>
        <v>#NAME?</v>
      </c>
      <c r="AV37">
        <v>4</v>
      </c>
      <c r="AW37">
        <v>1</v>
      </c>
      <c r="AX37">
        <v>4</v>
      </c>
      <c r="AY37" t="str">
        <v>Analyst</v>
      </c>
      <c r="AZ37" t="e">
        <f ca="1"/>
        <v>#NAME?</v>
      </c>
      <c r="BA37" t="e">
        <f ca="1"/>
        <v>#NAME?</v>
      </c>
      <c r="BB37" t="e">
        <f ca="1"/>
        <v>#NAME?</v>
      </c>
      <c r="BC37" t="e">
        <f ca="1"/>
        <v>#NAME?</v>
      </c>
      <c r="BD37" t="e">
        <f ca="1"/>
        <v>#NAME?</v>
      </c>
      <c r="BE37" t="e">
        <f ca="1"/>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40B2E-1E4D-456C-B077-6FF101FD2BB2}">
  <sheetPr>
    <tabColor rgb="FF00B050"/>
  </sheetPr>
  <dimension ref="A1:AR38"/>
  <sheetViews>
    <sheetView zoomScale="40" zoomScaleNormal="40" workbookViewId="0">
      <pane ySplit="14" topLeftCell="A22" activePane="bottomLeft" state="frozen"/>
      <selection pane="bottomLeft" activeCell="G47" sqref="G47"/>
    </sheetView>
  </sheetViews>
  <sheetFormatPr defaultColWidth="8.83203125" defaultRowHeight="14"/>
  <cols>
    <col min="1" max="1" width="26.25" style="1" bestFit="1" customWidth="1"/>
    <col min="2" max="2" width="29" style="1" bestFit="1" customWidth="1"/>
    <col min="3" max="3" width="32.4140625" style="1" bestFit="1" customWidth="1"/>
    <col min="4" max="4" width="8.83203125" style="2"/>
    <col min="5" max="5" width="55.83203125" style="1" bestFit="1" customWidth="1"/>
    <col min="6" max="6" width="55.25" style="1" customWidth="1"/>
    <col min="7" max="7" width="81.25" style="80" customWidth="1"/>
    <col min="8" max="8" width="55.83203125" style="80" customWidth="1"/>
    <col min="9" max="9" width="11" style="2" bestFit="1" customWidth="1"/>
    <col min="10" max="10" width="11.25" style="2" bestFit="1" customWidth="1"/>
    <col min="11" max="11" width="57.25" style="80" customWidth="1"/>
    <col min="12" max="12" width="16.58203125" style="1" customWidth="1"/>
    <col min="13" max="16384" width="8.83203125" style="1"/>
  </cols>
  <sheetData>
    <row r="1" spans="1:44">
      <c r="F1" s="12"/>
      <c r="G1" s="1"/>
      <c r="J1" s="194"/>
      <c r="K1" s="82"/>
      <c r="L1" s="82"/>
      <c r="M1" s="2"/>
      <c r="N1" s="80"/>
      <c r="O1" s="80"/>
      <c r="P1" s="80"/>
      <c r="Q1" s="80"/>
      <c r="R1" s="80"/>
      <c r="S1" s="80"/>
      <c r="T1" s="80"/>
      <c r="U1" s="2"/>
      <c r="V1" s="80"/>
      <c r="W1" s="80"/>
      <c r="X1" s="80"/>
      <c r="Y1" s="80"/>
      <c r="Z1" s="80"/>
      <c r="AA1" s="80"/>
      <c r="AB1" s="80"/>
      <c r="AC1" s="12"/>
      <c r="AD1" s="80"/>
      <c r="AE1" s="80"/>
      <c r="AF1" s="80"/>
      <c r="AG1" s="80"/>
      <c r="AH1" s="80"/>
      <c r="AI1" s="80"/>
      <c r="AJ1" s="80"/>
      <c r="AK1" s="12"/>
      <c r="AL1" s="80"/>
      <c r="AM1" s="80"/>
      <c r="AN1" s="80"/>
      <c r="AO1" s="80"/>
      <c r="AP1" s="80"/>
      <c r="AQ1" s="80"/>
      <c r="AR1" s="80"/>
    </row>
    <row r="2" spans="1:44">
      <c r="A2" s="1" t="str">
        <f>Identitas!B2</f>
        <v xml:space="preserve">Nama </v>
      </c>
      <c r="B2" s="84">
        <f>Identitas!D2</f>
        <v>0</v>
      </c>
      <c r="F2" s="12"/>
      <c r="G2" s="1"/>
      <c r="J2" s="194"/>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4">
      <c r="A3" s="1" t="str">
        <f>Identitas!B3</f>
        <v>Nama Atasan yang menilai</v>
      </c>
      <c r="B3" s="84">
        <f>Identitas!D3</f>
        <v>0</v>
      </c>
      <c r="F3" s="12"/>
      <c r="G3" s="1"/>
      <c r="J3" s="194"/>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4">
      <c r="A4" s="1" t="str">
        <f>Identitas!B4</f>
        <v>Level Saat Ini</v>
      </c>
      <c r="B4" s="84" t="str">
        <f>Identitas!D4</f>
        <v>Officer</v>
      </c>
      <c r="F4" s="12"/>
      <c r="G4" s="1"/>
      <c r="J4" s="194"/>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4">
      <c r="A5" s="1" t="str">
        <f>Identitas!B5</f>
        <v>Level Tujuan</v>
      </c>
      <c r="B5" s="84" t="str">
        <f>Identitas!D5</f>
        <v>Analyst</v>
      </c>
      <c r="F5" s="12"/>
      <c r="G5" s="1"/>
      <c r="J5" s="194"/>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4">
      <c r="A6" s="1" t="str">
        <f>Identitas!B7</f>
        <v>Unit</v>
      </c>
      <c r="B6" s="84">
        <f>Identitas!D7</f>
        <v>0</v>
      </c>
      <c r="F6" s="12"/>
      <c r="G6" s="1"/>
      <c r="J6" s="194"/>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4">
      <c r="A7" s="1" t="str">
        <f>Identitas!B8</f>
        <v>Departemen</v>
      </c>
      <c r="B7" s="84">
        <f>Identitas!D8</f>
        <v>0</v>
      </c>
      <c r="F7" s="12"/>
      <c r="G7" s="1"/>
      <c r="J7" s="194"/>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4">
      <c r="A8" s="1" t="str">
        <f>Identitas!B9</f>
        <v>Divisi</v>
      </c>
      <c r="B8" s="84">
        <f>Identitas!D9</f>
        <v>0</v>
      </c>
      <c r="F8" s="12"/>
      <c r="G8" s="1"/>
      <c r="J8" s="194"/>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4">
      <c r="A9" s="1" t="str">
        <f>Identitas!B10</f>
        <v>Direktorat</v>
      </c>
      <c r="B9" s="84">
        <f>Identitas!D10</f>
        <v>0</v>
      </c>
      <c r="F9" s="12"/>
      <c r="G9" s="1"/>
      <c r="J9" s="194"/>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4">
      <c r="A10" s="1" t="s">
        <v>5383</v>
      </c>
      <c r="B10" s="84"/>
      <c r="F10" s="12"/>
      <c r="G10" s="1"/>
      <c r="J10" s="194"/>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4">
      <c r="A11" s="1" t="s">
        <v>5384</v>
      </c>
      <c r="B11" s="84"/>
      <c r="F11" s="12"/>
      <c r="G11" s="1"/>
      <c r="J11" s="194"/>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4">
      <c r="B12" s="84"/>
      <c r="F12" s="12"/>
      <c r="G12" s="1"/>
      <c r="J12" s="194"/>
      <c r="K12" s="82"/>
      <c r="L12" s="82"/>
      <c r="M12" s="2"/>
      <c r="N12" s="80"/>
      <c r="O12" s="80"/>
      <c r="P12" s="80"/>
      <c r="Q12" s="80"/>
      <c r="R12" s="80"/>
      <c r="S12" s="80"/>
      <c r="T12" s="80"/>
      <c r="U12" s="2"/>
      <c r="V12" s="80"/>
      <c r="W12" s="80"/>
      <c r="X12" s="80"/>
      <c r="Y12" s="80"/>
      <c r="Z12" s="80"/>
      <c r="AA12" s="80"/>
      <c r="AB12" s="80"/>
      <c r="AC12" s="12"/>
      <c r="AD12" s="80"/>
      <c r="AE12" s="80"/>
      <c r="AF12" s="80"/>
      <c r="AG12" s="80"/>
      <c r="AH12" s="80"/>
      <c r="AI12" s="80"/>
      <c r="AJ12" s="80"/>
      <c r="AK12" s="12"/>
      <c r="AL12" s="80"/>
      <c r="AM12" s="80"/>
      <c r="AN12" s="80"/>
      <c r="AO12" s="80"/>
      <c r="AP12" s="80"/>
      <c r="AQ12" s="80"/>
      <c r="AR12" s="80"/>
    </row>
    <row r="13" spans="1:44">
      <c r="F13" s="12"/>
      <c r="G13" s="1"/>
      <c r="J13" s="194"/>
      <c r="K13" s="82"/>
      <c r="L13" s="82"/>
      <c r="M13" s="2"/>
      <c r="N13" s="80"/>
      <c r="O13" s="80"/>
      <c r="P13" s="80"/>
      <c r="Q13" s="80"/>
      <c r="R13" s="80"/>
      <c r="S13" s="80"/>
      <c r="T13" s="80"/>
      <c r="U13" s="2"/>
      <c r="V13" s="80"/>
      <c r="W13" s="80"/>
      <c r="X13" s="80"/>
      <c r="Y13" s="80"/>
      <c r="Z13" s="80"/>
      <c r="AA13" s="80"/>
      <c r="AB13" s="80"/>
      <c r="AC13" s="12"/>
      <c r="AD13" s="80"/>
      <c r="AE13" s="80"/>
      <c r="AF13" s="80"/>
      <c r="AG13" s="80"/>
      <c r="AH13" s="80"/>
      <c r="AI13" s="80"/>
      <c r="AJ13" s="80"/>
      <c r="AK13" s="12"/>
      <c r="AL13" s="80"/>
      <c r="AM13" s="80"/>
      <c r="AN13" s="80"/>
      <c r="AO13" s="80"/>
      <c r="AP13" s="80"/>
      <c r="AQ13" s="80"/>
      <c r="AR13" s="80"/>
    </row>
    <row r="14" spans="1:44" s="82" customFormat="1" ht="28">
      <c r="A14" s="215" t="s">
        <v>14</v>
      </c>
      <c r="B14" s="215" t="s">
        <v>478</v>
      </c>
      <c r="C14" s="184" t="s">
        <v>5385</v>
      </c>
      <c r="D14" s="184" t="s">
        <v>517</v>
      </c>
      <c r="E14" s="184" t="s">
        <v>5386</v>
      </c>
      <c r="F14" s="184" t="s">
        <v>519</v>
      </c>
      <c r="G14" s="184" t="s">
        <v>5387</v>
      </c>
      <c r="H14" s="184" t="s">
        <v>5388</v>
      </c>
      <c r="I14" s="184" t="s">
        <v>5389</v>
      </c>
      <c r="J14" s="184" t="s">
        <v>523</v>
      </c>
      <c r="K14" s="184" t="s">
        <v>5390</v>
      </c>
      <c r="L14" s="237" t="s">
        <v>525</v>
      </c>
    </row>
    <row r="15" spans="1:44" s="82" customFormat="1">
      <c r="A15" s="234" t="e" cm="1">
        <f t="array" aca="1" ref="A15:A34" ca="1">_xlfn.SEQUENCE(ROWS(_xlfn.ANCHORARRAY(calc!AE2)))</f>
        <v>#NAME?</v>
      </c>
      <c r="B15" s="83" t="e" cm="1">
        <f t="array" aca="1" ref="B15:B34" ca="1">_xlfn.ANCHORARRAY(calc!AH2)</f>
        <v>#NAME?</v>
      </c>
      <c r="C15" s="83" t="e" cm="1">
        <f t="array" aca="1" ref="C15:C34" ca="1">_xlfn.ANCHORARRAY(calc!AG2)</f>
        <v>#NAME?</v>
      </c>
      <c r="D15" s="234" t="e" cm="1">
        <f t="array" aca="1" ref="D15:D34" ca="1">_xlfn.ANCHORARRAY(calc!AF2)</f>
        <v>#NAME?</v>
      </c>
      <c r="E15" s="83" t="e" cm="1">
        <f t="array" aca="1" ref="E15:E34" ca="1">_xlfn.MAP(_xlfn.ANCHORARRAY(calc!AE2),_xlfn.ANCHORARRAY(calc!AF2),_xlfn.LAMBDA(_xlpm.k,_xlpm.l,IFERROR(INDEX('sheet template'!$G$2:$G$1009,MATCH(1,('sheet template'!$A$2:$A$1009=_xlpm.k)*('sheet template'!$F$2:$F$1009=_xlpm.l),0)),"")))</f>
        <v>#NAME?</v>
      </c>
      <c r="F15" s="83" t="e" cm="1">
        <f t="array" aca="1" ref="F15:F34" ca="1">_xlfn.MAP(_xlfn.ANCHORARRAY(calc!AE2),_xlfn.ANCHORARRAY(calc!AF2),_xlfn.LAMBDA(_xlpm.k,_xlpm.l,IFERROR(INDEX('sheet template'!$H$2:$H$1009,MATCH(1,('sheet template'!$A$2:$A$1009=_xlpm.k)*('sheet template'!$F$2:$F$1009=_xlpm.l),0)),"")))</f>
        <v>#NAME?</v>
      </c>
      <c r="G15" s="83" t="e" cm="1">
        <f t="array" aca="1" ref="G15:G34" ca="1">_xlfn.MAP(_xlfn.ANCHORARRAY(calc!AE2),_xlfn.ANCHORARRAY(calc!AF2),_xlfn.LAMBDA(_xlpm.k,_xlpm.l,IFERROR(INDEX('sheet template'!$I$2:$I$1009,MATCH(1,('sheet template'!$A$2:$A$1009=_xlpm.k)*('sheet template'!$F$2:$F$1009=_xlpm.l),0)),"")))</f>
        <v>#NAME?</v>
      </c>
      <c r="H15" s="83" t="e" cm="1">
        <f t="array" aca="1" ref="H15:H34" ca="1">_xlfn.MAP(_xlfn.ANCHORARRAY(calc!AE2),_xlfn.ANCHORARRAY(calc!AF2),_xlfn.LAMBDA(_xlpm.k,_xlpm.l,IFERROR(INDEX('sheet template'!$J$2:$J$1009,MATCH(1,('sheet template'!$A$2:$A$1009=_xlpm.k)*('sheet template'!$F$2:$F$1009=_xlpm.l),0)),"")))</f>
        <v>#NAME?</v>
      </c>
      <c r="I15" s="234" t="e" cm="1">
        <f t="array" aca="1" ref="I15:I34" ca="1">_xlfn.MAP(_xlfn.ANCHORARRAY(calc!AE2),_xlfn.ANCHORARRAY(calc!AF2),_xlfn.LAMBDA(_xlpm.k,_xlpm.l,IFERROR(INDEX('sheet template'!$K$2:$K$1009,MATCH(1,('sheet template'!$A$2:$A$1009=_xlpm.k)*('sheet template'!$F$2:$F$1009=_xlpm.l),0)),"")))</f>
        <v>#NAME?</v>
      </c>
      <c r="J15" s="234" t="e" cm="1">
        <f t="array" aca="1" ref="J15:J34" ca="1">_xlfn.MAP(_xlfn.ANCHORARRAY(calc!AE2),_xlfn.ANCHORARRAY(calc!AF2),_xlfn.LAMBDA(_xlpm.k,_xlpm.l,IFERROR(INDEX('sheet template'!$L$2:$L$1009,MATCH(1,('sheet template'!$A$2:$A$1009=_xlpm.k)*('sheet template'!$F$2:$F$1009=_xlpm.l),0)),"")))</f>
        <v>#NAME?</v>
      </c>
      <c r="K15" s="235" t="e" cm="1">
        <f t="array" aca="1" ref="K15:K34" ca="1">_xlfn.MAP(_xlfn.ANCHORARRAY(calc!AE2),_xlfn.ANCHORARRAY(calc!AF2),_xlfn.LAMBDA(_xlpm.k,_xlpm.l,IFERROR(INDEX('sheet template'!$M$2:$M$1009,MATCH(1,('sheet template'!$A$2:$A$1009=_xlpm.k)*('sheet template'!$F$2:$F$1009=_xlpm.l),0)),"")))</f>
        <v>#NAME?</v>
      </c>
      <c r="L15" s="83" t="e" cm="1">
        <f t="array" aca="1" ref="L15:L34" ca="1">_xlfn.MAP(_xlfn.ANCHORARRAY(calc!AE2),_xlfn.ANCHORARRAY(calc!AF2),_xlfn.LAMBDA(_xlpm.k,_xlpm.l,IFERROR(INDEX('sheet template'!$N$2:$N$1009,MATCH(1,('sheet template'!$A$2:$A$1009=_xlpm.k)*('sheet template'!$F$2:$F$1009=_xlpm.l),0)),"")))</f>
        <v>#NAME?</v>
      </c>
    </row>
    <row r="16" spans="1:44" s="82" customFormat="1">
      <c r="A16" s="234" t="e">
        <f ca="1"/>
        <v>#NAME?</v>
      </c>
      <c r="B16" s="83" t="e">
        <f ca="1"/>
        <v>#NAME?</v>
      </c>
      <c r="C16" s="83" t="e">
        <f ca="1"/>
        <v>#NAME?</v>
      </c>
      <c r="D16" s="234" t="e">
        <f ca="1"/>
        <v>#NAME?</v>
      </c>
      <c r="E16" s="83" t="e">
        <f ca="1"/>
        <v>#NAME?</v>
      </c>
      <c r="F16" s="83" t="e">
        <f ca="1"/>
        <v>#NAME?</v>
      </c>
      <c r="G16" s="83" t="e">
        <f ca="1"/>
        <v>#NAME?</v>
      </c>
      <c r="H16" s="83" t="e">
        <f ca="1"/>
        <v>#NAME?</v>
      </c>
      <c r="I16" s="234" t="e">
        <f ca="1"/>
        <v>#NAME?</v>
      </c>
      <c r="J16" s="234" t="e">
        <f ca="1"/>
        <v>#NAME?</v>
      </c>
      <c r="K16" s="235" t="e">
        <f ca="1"/>
        <v>#NAME?</v>
      </c>
      <c r="L16" s="83" t="e">
        <f ca="1"/>
        <v>#NAME?</v>
      </c>
    </row>
    <row r="17" spans="1:12" s="82" customFormat="1">
      <c r="A17" s="234" t="e">
        <f ca="1"/>
        <v>#NAME?</v>
      </c>
      <c r="B17" s="83" t="e">
        <f ca="1"/>
        <v>#NAME?</v>
      </c>
      <c r="C17" s="83" t="e">
        <f ca="1"/>
        <v>#NAME?</v>
      </c>
      <c r="D17" s="234" t="e">
        <f ca="1"/>
        <v>#NAME?</v>
      </c>
      <c r="E17" s="83" t="e">
        <f ca="1"/>
        <v>#NAME?</v>
      </c>
      <c r="F17" s="83" t="e">
        <f ca="1"/>
        <v>#NAME?</v>
      </c>
      <c r="G17" s="83" t="e">
        <f ca="1"/>
        <v>#NAME?</v>
      </c>
      <c r="H17" s="83" t="e">
        <f ca="1"/>
        <v>#NAME?</v>
      </c>
      <c r="I17" s="234" t="e">
        <f ca="1"/>
        <v>#NAME?</v>
      </c>
      <c r="J17" s="234" t="e">
        <f ca="1"/>
        <v>#NAME?</v>
      </c>
      <c r="K17" s="235" t="e">
        <f ca="1"/>
        <v>#NAME?</v>
      </c>
      <c r="L17" s="83" t="e">
        <f ca="1"/>
        <v>#NAME?</v>
      </c>
    </row>
    <row r="18" spans="1:12" s="82" customFormat="1">
      <c r="A18" s="234" t="e">
        <f ca="1"/>
        <v>#NAME?</v>
      </c>
      <c r="B18" s="83" t="e">
        <f ca="1"/>
        <v>#NAME?</v>
      </c>
      <c r="C18" s="83" t="e">
        <f ca="1"/>
        <v>#NAME?</v>
      </c>
      <c r="D18" s="234" t="e">
        <f ca="1"/>
        <v>#NAME?</v>
      </c>
      <c r="E18" s="83" t="e">
        <f ca="1"/>
        <v>#NAME?</v>
      </c>
      <c r="F18" s="83" t="e">
        <f ca="1"/>
        <v>#NAME?</v>
      </c>
      <c r="G18" s="83" t="e">
        <f ca="1"/>
        <v>#NAME?</v>
      </c>
      <c r="H18" s="83" t="e">
        <f ca="1"/>
        <v>#NAME?</v>
      </c>
      <c r="I18" s="234" t="e">
        <f ca="1"/>
        <v>#NAME?</v>
      </c>
      <c r="J18" s="234" t="e">
        <f ca="1"/>
        <v>#NAME?</v>
      </c>
      <c r="K18" s="235" t="e">
        <f ca="1"/>
        <v>#NAME?</v>
      </c>
      <c r="L18" s="83" t="e">
        <f ca="1"/>
        <v>#NAME?</v>
      </c>
    </row>
    <row r="19" spans="1:12" s="82" customFormat="1">
      <c r="A19" s="234" t="e">
        <f ca="1"/>
        <v>#NAME?</v>
      </c>
      <c r="B19" s="83" t="e">
        <f ca="1"/>
        <v>#NAME?</v>
      </c>
      <c r="C19" s="83" t="e">
        <f ca="1"/>
        <v>#NAME?</v>
      </c>
      <c r="D19" s="234" t="e">
        <f ca="1"/>
        <v>#NAME?</v>
      </c>
      <c r="E19" s="83" t="e">
        <f ca="1"/>
        <v>#NAME?</v>
      </c>
      <c r="F19" s="83" t="e">
        <f ca="1"/>
        <v>#NAME?</v>
      </c>
      <c r="G19" s="83" t="e">
        <f ca="1"/>
        <v>#NAME?</v>
      </c>
      <c r="H19" s="83" t="e">
        <f ca="1"/>
        <v>#NAME?</v>
      </c>
      <c r="I19" s="234" t="e">
        <f ca="1"/>
        <v>#NAME?</v>
      </c>
      <c r="J19" s="234" t="e">
        <f ca="1"/>
        <v>#NAME?</v>
      </c>
      <c r="K19" s="235" t="e">
        <f ca="1"/>
        <v>#NAME?</v>
      </c>
      <c r="L19" s="83" t="e">
        <f ca="1"/>
        <v>#NAME?</v>
      </c>
    </row>
    <row r="20" spans="1:12" s="82" customFormat="1">
      <c r="A20" s="234" t="e">
        <f ca="1"/>
        <v>#NAME?</v>
      </c>
      <c r="B20" s="83" t="e">
        <f ca="1"/>
        <v>#NAME?</v>
      </c>
      <c r="C20" s="83" t="e">
        <f ca="1"/>
        <v>#NAME?</v>
      </c>
      <c r="D20" s="234" t="e">
        <f ca="1"/>
        <v>#NAME?</v>
      </c>
      <c r="E20" s="83" t="e">
        <f ca="1"/>
        <v>#NAME?</v>
      </c>
      <c r="F20" s="83" t="e">
        <f ca="1"/>
        <v>#NAME?</v>
      </c>
      <c r="G20" s="83" t="e">
        <f ca="1"/>
        <v>#NAME?</v>
      </c>
      <c r="H20" s="83" t="e">
        <f ca="1"/>
        <v>#NAME?</v>
      </c>
      <c r="I20" s="234" t="e">
        <f ca="1"/>
        <v>#NAME?</v>
      </c>
      <c r="J20" s="234" t="e">
        <f ca="1"/>
        <v>#NAME?</v>
      </c>
      <c r="K20" s="235" t="e">
        <f ca="1"/>
        <v>#NAME?</v>
      </c>
      <c r="L20" s="83" t="e">
        <f ca="1"/>
        <v>#NAME?</v>
      </c>
    </row>
    <row r="21" spans="1:12" s="82" customFormat="1">
      <c r="A21" s="234" t="e">
        <f ca="1"/>
        <v>#NAME?</v>
      </c>
      <c r="B21" s="83" t="e">
        <f ca="1"/>
        <v>#NAME?</v>
      </c>
      <c r="C21" s="83" t="e">
        <f ca="1"/>
        <v>#NAME?</v>
      </c>
      <c r="D21" s="234" t="e">
        <f ca="1"/>
        <v>#NAME?</v>
      </c>
      <c r="E21" s="83" t="e">
        <f ca="1"/>
        <v>#NAME?</v>
      </c>
      <c r="F21" s="83" t="e">
        <f ca="1"/>
        <v>#NAME?</v>
      </c>
      <c r="G21" s="83" t="e">
        <f ca="1"/>
        <v>#NAME?</v>
      </c>
      <c r="H21" s="83" t="e">
        <f ca="1"/>
        <v>#NAME?</v>
      </c>
      <c r="I21" s="234" t="e">
        <f ca="1"/>
        <v>#NAME?</v>
      </c>
      <c r="J21" s="234" t="e">
        <f ca="1"/>
        <v>#NAME?</v>
      </c>
      <c r="K21" s="235" t="e">
        <f ca="1"/>
        <v>#NAME?</v>
      </c>
      <c r="L21" s="83" t="e">
        <f ca="1"/>
        <v>#NAME?</v>
      </c>
    </row>
    <row r="22" spans="1:12" s="82" customFormat="1">
      <c r="A22" s="234" t="e">
        <f ca="1"/>
        <v>#NAME?</v>
      </c>
      <c r="B22" s="83" t="e">
        <f ca="1"/>
        <v>#NAME?</v>
      </c>
      <c r="C22" s="83" t="e">
        <f ca="1"/>
        <v>#NAME?</v>
      </c>
      <c r="D22" s="234" t="e">
        <f ca="1"/>
        <v>#NAME?</v>
      </c>
      <c r="E22" s="83" t="e">
        <f ca="1"/>
        <v>#NAME?</v>
      </c>
      <c r="F22" s="83" t="e">
        <f ca="1"/>
        <v>#NAME?</v>
      </c>
      <c r="G22" s="83" t="e">
        <f ca="1"/>
        <v>#NAME?</v>
      </c>
      <c r="H22" s="83" t="e">
        <f ca="1"/>
        <v>#NAME?</v>
      </c>
      <c r="I22" s="234" t="e">
        <f ca="1"/>
        <v>#NAME?</v>
      </c>
      <c r="J22" s="234" t="e">
        <f ca="1"/>
        <v>#NAME?</v>
      </c>
      <c r="K22" s="235" t="e">
        <f ca="1"/>
        <v>#NAME?</v>
      </c>
      <c r="L22" s="83" t="e">
        <f ca="1"/>
        <v>#NAME?</v>
      </c>
    </row>
    <row r="23" spans="1:12" s="82" customFormat="1">
      <c r="A23" s="234" t="e">
        <f ca="1"/>
        <v>#NAME?</v>
      </c>
      <c r="B23" s="83" t="e">
        <f ca="1"/>
        <v>#NAME?</v>
      </c>
      <c r="C23" s="83" t="e">
        <f ca="1"/>
        <v>#NAME?</v>
      </c>
      <c r="D23" s="234" t="e">
        <f ca="1"/>
        <v>#NAME?</v>
      </c>
      <c r="E23" s="83" t="e">
        <f ca="1"/>
        <v>#NAME?</v>
      </c>
      <c r="F23" s="83" t="e">
        <f ca="1"/>
        <v>#NAME?</v>
      </c>
      <c r="G23" s="83" t="e">
        <f ca="1"/>
        <v>#NAME?</v>
      </c>
      <c r="H23" s="83" t="e">
        <f ca="1"/>
        <v>#NAME?</v>
      </c>
      <c r="I23" s="234" t="e">
        <f ca="1"/>
        <v>#NAME?</v>
      </c>
      <c r="J23" s="234" t="e">
        <f ca="1"/>
        <v>#NAME?</v>
      </c>
      <c r="K23" s="235" t="e">
        <f ca="1"/>
        <v>#NAME?</v>
      </c>
      <c r="L23" s="83" t="e">
        <f ca="1"/>
        <v>#NAME?</v>
      </c>
    </row>
    <row r="24" spans="1:12" s="82" customFormat="1">
      <c r="A24" s="234" t="e">
        <f ca="1"/>
        <v>#NAME?</v>
      </c>
      <c r="B24" s="83" t="e">
        <f ca="1"/>
        <v>#NAME?</v>
      </c>
      <c r="C24" s="83" t="e">
        <f ca="1"/>
        <v>#NAME?</v>
      </c>
      <c r="D24" s="234" t="e">
        <f ca="1"/>
        <v>#NAME?</v>
      </c>
      <c r="E24" s="83" t="e">
        <f ca="1"/>
        <v>#NAME?</v>
      </c>
      <c r="F24" s="83" t="e">
        <f ca="1"/>
        <v>#NAME?</v>
      </c>
      <c r="G24" s="83" t="e">
        <f ca="1"/>
        <v>#NAME?</v>
      </c>
      <c r="H24" s="83" t="e">
        <f ca="1"/>
        <v>#NAME?</v>
      </c>
      <c r="I24" s="234" t="e">
        <f ca="1"/>
        <v>#NAME?</v>
      </c>
      <c r="J24" s="234" t="e">
        <f ca="1"/>
        <v>#NAME?</v>
      </c>
      <c r="K24" s="235" t="e">
        <f ca="1"/>
        <v>#NAME?</v>
      </c>
      <c r="L24" s="83" t="e">
        <f ca="1"/>
        <v>#NAME?</v>
      </c>
    </row>
    <row r="25" spans="1:12" s="82" customFormat="1">
      <c r="A25" s="234" t="e">
        <f ca="1"/>
        <v>#NAME?</v>
      </c>
      <c r="B25" s="83" t="e">
        <f ca="1"/>
        <v>#NAME?</v>
      </c>
      <c r="C25" s="83" t="e">
        <f ca="1"/>
        <v>#NAME?</v>
      </c>
      <c r="D25" s="234" t="e">
        <f ca="1"/>
        <v>#NAME?</v>
      </c>
      <c r="E25" s="83" t="e">
        <f ca="1"/>
        <v>#NAME?</v>
      </c>
      <c r="F25" s="83" t="e">
        <f ca="1"/>
        <v>#NAME?</v>
      </c>
      <c r="G25" s="83" t="e">
        <f ca="1"/>
        <v>#NAME?</v>
      </c>
      <c r="H25" s="83" t="e">
        <f ca="1"/>
        <v>#NAME?</v>
      </c>
      <c r="I25" s="234" t="e">
        <f ca="1"/>
        <v>#NAME?</v>
      </c>
      <c r="J25" s="234" t="e">
        <f ca="1"/>
        <v>#NAME?</v>
      </c>
      <c r="K25" s="235" t="e">
        <f ca="1"/>
        <v>#NAME?</v>
      </c>
      <c r="L25" s="83" t="e">
        <f ca="1"/>
        <v>#NAME?</v>
      </c>
    </row>
    <row r="26" spans="1:12" s="82" customFormat="1">
      <c r="A26" s="234" t="e">
        <f ca="1"/>
        <v>#NAME?</v>
      </c>
      <c r="B26" s="83" t="e">
        <f ca="1"/>
        <v>#NAME?</v>
      </c>
      <c r="C26" s="83" t="e">
        <f ca="1"/>
        <v>#NAME?</v>
      </c>
      <c r="D26" s="234" t="e">
        <f ca="1"/>
        <v>#NAME?</v>
      </c>
      <c r="E26" s="83" t="e">
        <f ca="1"/>
        <v>#NAME?</v>
      </c>
      <c r="F26" s="83" t="e">
        <f ca="1"/>
        <v>#NAME?</v>
      </c>
      <c r="G26" s="83" t="e">
        <f ca="1"/>
        <v>#NAME?</v>
      </c>
      <c r="H26" s="83" t="e">
        <f ca="1"/>
        <v>#NAME?</v>
      </c>
      <c r="I26" s="234" t="e">
        <f ca="1"/>
        <v>#NAME?</v>
      </c>
      <c r="J26" s="234" t="e">
        <f ca="1"/>
        <v>#NAME?</v>
      </c>
      <c r="K26" s="235" t="e">
        <f ca="1"/>
        <v>#NAME?</v>
      </c>
      <c r="L26" s="83" t="e">
        <f ca="1"/>
        <v>#NAME?</v>
      </c>
    </row>
    <row r="27" spans="1:12" s="82" customFormat="1">
      <c r="A27" s="234" t="e">
        <f ca="1"/>
        <v>#NAME?</v>
      </c>
      <c r="B27" s="83" t="e">
        <f ca="1"/>
        <v>#NAME?</v>
      </c>
      <c r="C27" s="83" t="e">
        <f ca="1"/>
        <v>#NAME?</v>
      </c>
      <c r="D27" s="234" t="e">
        <f ca="1"/>
        <v>#NAME?</v>
      </c>
      <c r="E27" s="83" t="e">
        <f ca="1"/>
        <v>#NAME?</v>
      </c>
      <c r="F27" s="83" t="e">
        <f ca="1"/>
        <v>#NAME?</v>
      </c>
      <c r="G27" s="83" t="e">
        <f ca="1"/>
        <v>#NAME?</v>
      </c>
      <c r="H27" s="83" t="e">
        <f ca="1"/>
        <v>#NAME?</v>
      </c>
      <c r="I27" s="234" t="e">
        <f ca="1"/>
        <v>#NAME?</v>
      </c>
      <c r="J27" s="234" t="e">
        <f ca="1"/>
        <v>#NAME?</v>
      </c>
      <c r="K27" s="235" t="e">
        <f ca="1"/>
        <v>#NAME?</v>
      </c>
      <c r="L27" s="83" t="e">
        <f ca="1"/>
        <v>#NAME?</v>
      </c>
    </row>
    <row r="28" spans="1:12" s="82" customFormat="1">
      <c r="A28" s="234" t="e">
        <f ca="1"/>
        <v>#NAME?</v>
      </c>
      <c r="B28" s="83" t="e">
        <f ca="1"/>
        <v>#NAME?</v>
      </c>
      <c r="C28" s="83" t="e">
        <f ca="1"/>
        <v>#NAME?</v>
      </c>
      <c r="D28" s="234" t="e">
        <f ca="1"/>
        <v>#NAME?</v>
      </c>
      <c r="E28" s="83" t="e">
        <f ca="1"/>
        <v>#NAME?</v>
      </c>
      <c r="F28" s="83" t="e">
        <f ca="1"/>
        <v>#NAME?</v>
      </c>
      <c r="G28" s="83" t="e">
        <f ca="1"/>
        <v>#NAME?</v>
      </c>
      <c r="H28" s="83" t="e">
        <f ca="1"/>
        <v>#NAME?</v>
      </c>
      <c r="I28" s="234" t="e">
        <f ca="1"/>
        <v>#NAME?</v>
      </c>
      <c r="J28" s="234" t="e">
        <f ca="1"/>
        <v>#NAME?</v>
      </c>
      <c r="K28" s="235" t="e">
        <f ca="1"/>
        <v>#NAME?</v>
      </c>
      <c r="L28" s="83" t="e">
        <f ca="1"/>
        <v>#NAME?</v>
      </c>
    </row>
    <row r="29" spans="1:12" s="82" customFormat="1">
      <c r="A29" s="234" t="e">
        <f ca="1"/>
        <v>#NAME?</v>
      </c>
      <c r="B29" s="83" t="e">
        <f ca="1"/>
        <v>#NAME?</v>
      </c>
      <c r="C29" s="83" t="e">
        <f ca="1"/>
        <v>#NAME?</v>
      </c>
      <c r="D29" s="234" t="e">
        <f ca="1"/>
        <v>#NAME?</v>
      </c>
      <c r="E29" s="83" t="e">
        <f ca="1"/>
        <v>#NAME?</v>
      </c>
      <c r="F29" s="83" t="e">
        <f ca="1"/>
        <v>#NAME?</v>
      </c>
      <c r="G29" s="83" t="e">
        <f ca="1"/>
        <v>#NAME?</v>
      </c>
      <c r="H29" s="83" t="e">
        <f ca="1"/>
        <v>#NAME?</v>
      </c>
      <c r="I29" s="234" t="e">
        <f ca="1"/>
        <v>#NAME?</v>
      </c>
      <c r="J29" s="234" t="e">
        <f ca="1"/>
        <v>#NAME?</v>
      </c>
      <c r="K29" s="235" t="e">
        <f ca="1"/>
        <v>#NAME?</v>
      </c>
      <c r="L29" s="83" t="e">
        <f ca="1"/>
        <v>#NAME?</v>
      </c>
    </row>
    <row r="30" spans="1:12" s="82" customFormat="1">
      <c r="A30" s="234" t="e">
        <f ca="1"/>
        <v>#NAME?</v>
      </c>
      <c r="B30" s="83" t="e">
        <f ca="1"/>
        <v>#NAME?</v>
      </c>
      <c r="C30" s="83" t="e">
        <f ca="1"/>
        <v>#NAME?</v>
      </c>
      <c r="D30" s="234" t="e">
        <f ca="1"/>
        <v>#NAME?</v>
      </c>
      <c r="E30" s="83" t="e">
        <f ca="1"/>
        <v>#NAME?</v>
      </c>
      <c r="F30" s="83" t="e">
        <f ca="1"/>
        <v>#NAME?</v>
      </c>
      <c r="G30" s="83" t="e">
        <f ca="1"/>
        <v>#NAME?</v>
      </c>
      <c r="H30" s="83" t="e">
        <f ca="1"/>
        <v>#NAME?</v>
      </c>
      <c r="I30" s="234" t="e">
        <f ca="1"/>
        <v>#NAME?</v>
      </c>
      <c r="J30" s="234" t="e">
        <f ca="1"/>
        <v>#NAME?</v>
      </c>
      <c r="K30" s="235" t="e">
        <f ca="1"/>
        <v>#NAME?</v>
      </c>
      <c r="L30" s="83" t="e">
        <f ca="1"/>
        <v>#NAME?</v>
      </c>
    </row>
    <row r="31" spans="1:12" s="82" customFormat="1">
      <c r="A31" s="234" t="e">
        <f ca="1"/>
        <v>#NAME?</v>
      </c>
      <c r="B31" s="83" t="e">
        <f ca="1"/>
        <v>#NAME?</v>
      </c>
      <c r="C31" s="83" t="e">
        <f ca="1"/>
        <v>#NAME?</v>
      </c>
      <c r="D31" s="234" t="e">
        <f ca="1"/>
        <v>#NAME?</v>
      </c>
      <c r="E31" s="83" t="e">
        <f ca="1"/>
        <v>#NAME?</v>
      </c>
      <c r="F31" s="83" t="e">
        <f ca="1"/>
        <v>#NAME?</v>
      </c>
      <c r="G31" s="83" t="e">
        <f ca="1"/>
        <v>#NAME?</v>
      </c>
      <c r="H31" s="83" t="e">
        <f ca="1"/>
        <v>#NAME?</v>
      </c>
      <c r="I31" s="234" t="e">
        <f ca="1"/>
        <v>#NAME?</v>
      </c>
      <c r="J31" s="234" t="e">
        <f ca="1"/>
        <v>#NAME?</v>
      </c>
      <c r="K31" s="235" t="e">
        <f ca="1"/>
        <v>#NAME?</v>
      </c>
      <c r="L31" s="83" t="e">
        <f ca="1"/>
        <v>#NAME?</v>
      </c>
    </row>
    <row r="32" spans="1:12" s="82" customFormat="1">
      <c r="A32" s="234" t="e">
        <f ca="1"/>
        <v>#NAME?</v>
      </c>
      <c r="B32" s="83" t="e">
        <f ca="1"/>
        <v>#NAME?</v>
      </c>
      <c r="C32" s="83" t="e">
        <f ca="1"/>
        <v>#NAME?</v>
      </c>
      <c r="D32" s="234" t="e">
        <f ca="1"/>
        <v>#NAME?</v>
      </c>
      <c r="E32" s="83" t="e">
        <f ca="1"/>
        <v>#NAME?</v>
      </c>
      <c r="F32" s="83" t="e">
        <f ca="1"/>
        <v>#NAME?</v>
      </c>
      <c r="G32" s="83" t="e">
        <f ca="1"/>
        <v>#NAME?</v>
      </c>
      <c r="H32" s="83" t="e">
        <f ca="1"/>
        <v>#NAME?</v>
      </c>
      <c r="I32" s="234" t="e">
        <f ca="1"/>
        <v>#NAME?</v>
      </c>
      <c r="J32" s="234" t="e">
        <f ca="1"/>
        <v>#NAME?</v>
      </c>
      <c r="K32" s="235" t="e">
        <f ca="1"/>
        <v>#NAME?</v>
      </c>
      <c r="L32" s="83" t="e">
        <f ca="1"/>
        <v>#NAME?</v>
      </c>
    </row>
    <row r="33" spans="1:12" s="82" customFormat="1">
      <c r="A33" s="234" t="e">
        <f ca="1"/>
        <v>#NAME?</v>
      </c>
      <c r="B33" s="83" t="e">
        <f ca="1"/>
        <v>#NAME?</v>
      </c>
      <c r="C33" s="83" t="e">
        <f ca="1"/>
        <v>#NAME?</v>
      </c>
      <c r="D33" s="234" t="e">
        <f ca="1"/>
        <v>#NAME?</v>
      </c>
      <c r="E33" s="83" t="e">
        <f ca="1"/>
        <v>#NAME?</v>
      </c>
      <c r="F33" s="83" t="e">
        <f ca="1"/>
        <v>#NAME?</v>
      </c>
      <c r="G33" s="83" t="e">
        <f ca="1"/>
        <v>#NAME?</v>
      </c>
      <c r="H33" s="83" t="e">
        <f ca="1"/>
        <v>#NAME?</v>
      </c>
      <c r="I33" s="234" t="e">
        <f ca="1"/>
        <v>#NAME?</v>
      </c>
      <c r="J33" s="234" t="e">
        <f ca="1"/>
        <v>#NAME?</v>
      </c>
      <c r="K33" s="235" t="e">
        <f ca="1"/>
        <v>#NAME?</v>
      </c>
      <c r="L33" s="83" t="e">
        <f ca="1"/>
        <v>#NAME?</v>
      </c>
    </row>
    <row r="34" spans="1:12" s="82" customFormat="1">
      <c r="A34" s="234" t="e">
        <f ca="1"/>
        <v>#NAME?</v>
      </c>
      <c r="B34" s="83" t="e">
        <f ca="1"/>
        <v>#NAME?</v>
      </c>
      <c r="C34" s="83" t="e">
        <f ca="1"/>
        <v>#NAME?</v>
      </c>
      <c r="D34" s="234" t="e">
        <f ca="1"/>
        <v>#NAME?</v>
      </c>
      <c r="E34" s="83" t="e">
        <f ca="1"/>
        <v>#NAME?</v>
      </c>
      <c r="F34" s="83" t="e">
        <f ca="1"/>
        <v>#NAME?</v>
      </c>
      <c r="G34" s="83" t="e">
        <f ca="1"/>
        <v>#NAME?</v>
      </c>
      <c r="H34" s="83" t="e">
        <f ca="1"/>
        <v>#NAME?</v>
      </c>
      <c r="I34" s="234" t="e">
        <f ca="1"/>
        <v>#NAME?</v>
      </c>
      <c r="J34" s="234" t="e">
        <f ca="1"/>
        <v>#NAME?</v>
      </c>
      <c r="K34" s="235" t="e">
        <f ca="1"/>
        <v>#NAME?</v>
      </c>
      <c r="L34" s="83" t="e">
        <f ca="1"/>
        <v>#NAME?</v>
      </c>
    </row>
    <row r="35" spans="1:12" s="80" customFormat="1">
      <c r="A35" s="134"/>
      <c r="B35" s="134"/>
      <c r="C35" s="134"/>
      <c r="D35" s="238"/>
      <c r="E35" s="134"/>
      <c r="F35" s="134"/>
      <c r="G35" s="134"/>
      <c r="H35" s="134"/>
      <c r="I35" s="238"/>
      <c r="J35" s="238"/>
      <c r="K35" s="236"/>
      <c r="L35" s="134"/>
    </row>
    <row r="36" spans="1:12" s="80" customFormat="1">
      <c r="A36" s="134"/>
      <c r="B36" s="134"/>
      <c r="C36" s="134"/>
      <c r="D36" s="238"/>
      <c r="E36" s="134"/>
      <c r="F36" s="134"/>
      <c r="G36" s="134"/>
      <c r="H36" s="134"/>
      <c r="I36" s="238"/>
      <c r="J36" s="238"/>
      <c r="K36" s="236"/>
      <c r="L36" s="134"/>
    </row>
    <row r="37" spans="1:12" s="80" customFormat="1">
      <c r="A37" s="134"/>
      <c r="B37" s="134"/>
      <c r="C37" s="134"/>
      <c r="D37" s="238"/>
      <c r="E37" s="134"/>
      <c r="F37" s="134"/>
      <c r="G37" s="134"/>
      <c r="H37" s="134"/>
      <c r="I37" s="238"/>
      <c r="J37" s="238"/>
      <c r="K37" s="236"/>
      <c r="L37" s="134"/>
    </row>
    <row r="38" spans="1:12" s="80" customFormat="1">
      <c r="A38" s="134"/>
      <c r="B38" s="134"/>
      <c r="C38" s="134"/>
      <c r="D38" s="238"/>
      <c r="E38" s="134"/>
      <c r="F38" s="134"/>
      <c r="G38" s="134"/>
      <c r="H38" s="134"/>
      <c r="I38" s="238"/>
      <c r="J38" s="238"/>
      <c r="K38" s="236"/>
      <c r="L38" s="134"/>
    </row>
  </sheetData>
  <phoneticPr fontId="5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E36F-8F4B-47C5-BEA7-D22BEF9FFA2B}">
  <sheetPr>
    <tabColor rgb="FF92D050"/>
  </sheetPr>
  <dimension ref="A1:AT39"/>
  <sheetViews>
    <sheetView zoomScale="25" zoomScaleNormal="25" workbookViewId="0">
      <selection activeCell="G27" sqref="G27"/>
    </sheetView>
  </sheetViews>
  <sheetFormatPr defaultColWidth="8.83203125" defaultRowHeight="14"/>
  <cols>
    <col min="1" max="1" width="26.25" style="223" bestFit="1" customWidth="1"/>
    <col min="2" max="2" width="29" style="223" bestFit="1" customWidth="1"/>
    <col min="3" max="3" width="32.4140625" style="223" bestFit="1" customWidth="1"/>
    <col min="4" max="4" width="0" style="197" hidden="1" customWidth="1"/>
    <col min="5" max="5" width="55.83203125" style="223" bestFit="1" customWidth="1"/>
    <col min="6" max="6" width="43.25" style="223" customWidth="1"/>
    <col min="7" max="7" width="81.25" style="223" customWidth="1"/>
    <col min="8" max="8" width="55.83203125" style="223" customWidth="1"/>
    <col min="9" max="9" width="19.1640625" style="223" bestFit="1" customWidth="1"/>
    <col min="10" max="10" width="21.58203125" style="223" bestFit="1" customWidth="1"/>
    <col min="11" max="11" width="57.25" style="223" customWidth="1"/>
    <col min="12" max="12" width="20.25" style="223" bestFit="1" customWidth="1"/>
    <col min="13" max="13" width="11.58203125" style="197" customWidth="1"/>
    <col min="14" max="14" width="11.83203125" style="197" customWidth="1"/>
    <col min="15" max="15" width="8.83203125" style="223"/>
    <col min="16" max="16" width="13.1640625" style="197" customWidth="1"/>
    <col min="17" max="17" width="16.58203125" style="223" customWidth="1"/>
    <col min="18" max="18" width="49.4140625" style="223" customWidth="1"/>
    <col min="19" max="16384" width="8.83203125" style="223"/>
  </cols>
  <sheetData>
    <row r="1" spans="1:46" s="217" customFormat="1">
      <c r="D1" s="12"/>
      <c r="F1" s="12"/>
      <c r="H1" s="82"/>
      <c r="J1" s="82"/>
      <c r="K1" s="82"/>
      <c r="L1" s="82"/>
      <c r="M1" s="194"/>
      <c r="N1" s="194"/>
      <c r="O1" s="12"/>
      <c r="P1" s="194"/>
      <c r="Q1" s="82"/>
      <c r="R1" s="82"/>
      <c r="S1" s="82"/>
      <c r="T1" s="82"/>
      <c r="U1" s="82"/>
      <c r="V1" s="82"/>
      <c r="W1" s="12"/>
      <c r="X1" s="82"/>
      <c r="Y1" s="82"/>
      <c r="Z1" s="82"/>
      <c r="AA1" s="82"/>
      <c r="AB1" s="82"/>
      <c r="AC1" s="82"/>
      <c r="AD1" s="82"/>
      <c r="AE1" s="12"/>
      <c r="AF1" s="82"/>
      <c r="AG1" s="82"/>
      <c r="AH1" s="82"/>
      <c r="AI1" s="82"/>
      <c r="AJ1" s="82"/>
      <c r="AK1" s="82"/>
      <c r="AL1" s="82"/>
      <c r="AM1" s="12"/>
      <c r="AN1" s="82"/>
      <c r="AO1" s="82"/>
      <c r="AP1" s="82"/>
      <c r="AQ1" s="82"/>
      <c r="AR1" s="82"/>
      <c r="AS1" s="82"/>
      <c r="AT1" s="82"/>
    </row>
    <row r="2" spans="1:46" s="1" customFormat="1">
      <c r="A2" s="1" t="str">
        <f>Identitas!B2</f>
        <v xml:space="preserve">Nama </v>
      </c>
      <c r="B2" s="84">
        <f>Identitas!D2</f>
        <v>0</v>
      </c>
      <c r="F2" s="12"/>
      <c r="H2" s="80"/>
      <c r="J2" s="82"/>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6" s="1" customFormat="1">
      <c r="A3" s="1" t="str">
        <f>Identitas!B3</f>
        <v>Nama Atasan yang menilai</v>
      </c>
      <c r="B3" s="84">
        <f>Identitas!D3</f>
        <v>0</v>
      </c>
      <c r="F3" s="12"/>
      <c r="H3" s="80"/>
      <c r="J3" s="82"/>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6" s="1" customFormat="1">
      <c r="A4" s="1" t="str">
        <f>Identitas!B4</f>
        <v>Level Saat Ini</v>
      </c>
      <c r="B4" s="84" t="str">
        <f>Identitas!D4</f>
        <v>Officer</v>
      </c>
      <c r="F4" s="12"/>
      <c r="H4" s="80"/>
      <c r="J4" s="82"/>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6" s="1" customFormat="1">
      <c r="A5" s="1" t="str">
        <f>Identitas!B5</f>
        <v>Level Tujuan</v>
      </c>
      <c r="B5" s="84" t="str">
        <f>Identitas!D5</f>
        <v>Analyst</v>
      </c>
      <c r="F5" s="12"/>
      <c r="H5" s="80"/>
      <c r="J5" s="82"/>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6" s="1" customFormat="1">
      <c r="A6" s="1" t="str">
        <f>Identitas!B7</f>
        <v>Unit</v>
      </c>
      <c r="B6" s="84">
        <f>Identitas!D7</f>
        <v>0</v>
      </c>
      <c r="F6" s="12"/>
      <c r="H6" s="80"/>
      <c r="J6" s="82"/>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6" s="1" customFormat="1">
      <c r="A7" s="1" t="str">
        <f>Identitas!B8</f>
        <v>Departemen</v>
      </c>
      <c r="B7" s="84">
        <f>Identitas!D8</f>
        <v>0</v>
      </c>
      <c r="F7" s="12"/>
      <c r="H7" s="80"/>
      <c r="J7" s="82"/>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6" s="1" customFormat="1">
      <c r="A8" s="1" t="str">
        <f>Identitas!B9</f>
        <v>Divisi</v>
      </c>
      <c r="B8" s="84">
        <f>Identitas!D9</f>
        <v>0</v>
      </c>
      <c r="F8" s="12"/>
      <c r="H8" s="80"/>
      <c r="J8" s="82"/>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6" s="1" customFormat="1">
      <c r="A9" s="1" t="str">
        <f>Identitas!B10</f>
        <v>Direktorat</v>
      </c>
      <c r="B9" s="84">
        <f>Identitas!D10</f>
        <v>0</v>
      </c>
      <c r="F9" s="12"/>
      <c r="H9" s="80"/>
      <c r="J9" s="82"/>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6" s="1" customFormat="1">
      <c r="A10" s="1" t="s">
        <v>5383</v>
      </c>
      <c r="B10" s="84"/>
      <c r="F10" s="12"/>
      <c r="H10" s="80"/>
      <c r="J10" s="82"/>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6" s="1" customFormat="1">
      <c r="A11" s="1" t="s">
        <v>5384</v>
      </c>
      <c r="B11" s="84"/>
      <c r="F11" s="12"/>
      <c r="H11" s="80"/>
      <c r="J11" s="82"/>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6" s="217" customFormat="1">
      <c r="B12" s="218"/>
      <c r="D12" s="12"/>
      <c r="F12" s="12"/>
      <c r="H12" s="82"/>
      <c r="J12" s="82"/>
      <c r="K12" s="82"/>
      <c r="L12" s="82"/>
      <c r="M12" s="194"/>
      <c r="N12" s="194"/>
      <c r="O12" s="12"/>
      <c r="P12" s="194"/>
      <c r="Q12" s="82"/>
      <c r="R12" s="82"/>
      <c r="S12" s="82"/>
      <c r="T12" s="82"/>
      <c r="U12" s="82"/>
      <c r="V12" s="82"/>
      <c r="W12" s="12"/>
      <c r="X12" s="82"/>
      <c r="Y12" s="82"/>
      <c r="Z12" s="82"/>
      <c r="AA12" s="82"/>
      <c r="AB12" s="82"/>
      <c r="AC12" s="82"/>
      <c r="AD12" s="82"/>
      <c r="AE12" s="12"/>
      <c r="AF12" s="82"/>
      <c r="AG12" s="82"/>
      <c r="AH12" s="82"/>
      <c r="AI12" s="82"/>
      <c r="AJ12" s="82"/>
      <c r="AK12" s="82"/>
      <c r="AL12" s="82"/>
      <c r="AM12" s="12"/>
      <c r="AN12" s="82"/>
      <c r="AO12" s="82"/>
      <c r="AP12" s="82"/>
      <c r="AQ12" s="82"/>
      <c r="AR12" s="82"/>
      <c r="AS12" s="82"/>
      <c r="AT12" s="82"/>
    </row>
    <row r="13" spans="1:46" s="217" customFormat="1">
      <c r="D13" s="12"/>
      <c r="F13" s="12"/>
      <c r="H13" s="82"/>
      <c r="J13" s="82"/>
      <c r="K13" s="82"/>
      <c r="L13" s="82"/>
      <c r="M13" s="194"/>
      <c r="N13" s="194"/>
      <c r="O13" s="12"/>
      <c r="P13" s="194"/>
      <c r="Q13" s="82"/>
      <c r="R13" s="82"/>
      <c r="S13" s="82"/>
      <c r="T13" s="82"/>
      <c r="U13" s="82"/>
      <c r="V13" s="82"/>
      <c r="W13" s="12"/>
      <c r="X13" s="82"/>
      <c r="Y13" s="82"/>
      <c r="Z13" s="82"/>
      <c r="AA13" s="82"/>
      <c r="AB13" s="82"/>
      <c r="AC13" s="82"/>
      <c r="AD13" s="82"/>
      <c r="AE13" s="12"/>
      <c r="AF13" s="82"/>
      <c r="AG13" s="82"/>
      <c r="AH13" s="82"/>
      <c r="AI13" s="82"/>
      <c r="AJ13" s="82"/>
      <c r="AK13" s="82"/>
      <c r="AL13" s="82"/>
      <c r="AM13" s="12"/>
      <c r="AN13" s="82"/>
      <c r="AO13" s="82"/>
      <c r="AP13" s="82"/>
      <c r="AQ13" s="82"/>
      <c r="AR13" s="82"/>
      <c r="AS13" s="82"/>
      <c r="AT13" s="82"/>
    </row>
    <row r="14" spans="1:46" s="217" customFormat="1" ht="28">
      <c r="A14" s="215" t="s">
        <v>14</v>
      </c>
      <c r="B14" s="215" t="s">
        <v>478</v>
      </c>
      <c r="C14" s="184" t="s">
        <v>5385</v>
      </c>
      <c r="D14" s="184" t="s">
        <v>517</v>
      </c>
      <c r="E14" s="184" t="s">
        <v>5386</v>
      </c>
      <c r="F14" s="184" t="s">
        <v>519</v>
      </c>
      <c r="G14" s="184" t="s">
        <v>5387</v>
      </c>
      <c r="H14" s="184" t="s">
        <v>5388</v>
      </c>
      <c r="I14" s="184" t="s">
        <v>5389</v>
      </c>
      <c r="J14" s="184" t="s">
        <v>523</v>
      </c>
      <c r="K14" s="184" t="s">
        <v>5391</v>
      </c>
      <c r="L14" s="184" t="s">
        <v>525</v>
      </c>
      <c r="M14" s="184" t="s">
        <v>5392</v>
      </c>
      <c r="N14" s="184" t="s">
        <v>5393</v>
      </c>
      <c r="O14" s="184" t="s">
        <v>453</v>
      </c>
      <c r="P14" s="184" t="s">
        <v>5394</v>
      </c>
      <c r="Q14" s="184" t="s">
        <v>5395</v>
      </c>
      <c r="R14" s="184" t="s">
        <v>5396</v>
      </c>
    </row>
    <row r="15" spans="1:46">
      <c r="A15" s="117" t="e">
        <f ca="1">'aktivitas pengembangan.'!A15</f>
        <v>#NAME?</v>
      </c>
      <c r="B15" s="220" t="e">
        <f ca="1">'aktivitas pengembangan.'!B15</f>
        <v>#NAME?</v>
      </c>
      <c r="C15" s="220" t="e">
        <f ca="1">'aktivitas pengembangan.'!C15</f>
        <v>#NAME?</v>
      </c>
      <c r="D15" s="225" t="e">
        <f ca="1">'aktivitas pengembangan.'!D15</f>
        <v>#NAME?</v>
      </c>
      <c r="E15" s="220" t="e">
        <f ca="1">'aktivitas pengembangan.'!E15</f>
        <v>#NAME?</v>
      </c>
      <c r="F15" s="220" t="e">
        <f ca="1">'aktivitas pengembangan.'!F15</f>
        <v>#NAME?</v>
      </c>
      <c r="G15" s="220" t="e">
        <f ca="1">'aktivitas pengembangan.'!G15</f>
        <v>#NAME?</v>
      </c>
      <c r="H15" s="220" t="e">
        <f ca="1">'aktivitas pengembangan.'!H15</f>
        <v>#NAME?</v>
      </c>
      <c r="I15" s="220" t="e">
        <f ca="1">'aktivitas pengembangan.'!I15</f>
        <v>#NAME?</v>
      </c>
      <c r="J15" s="220" t="e">
        <f ca="1">'aktivitas pengembangan.'!J15</f>
        <v>#NAME?</v>
      </c>
      <c r="K15" s="220" t="e">
        <f ca="1">'aktivitas pengembangan.'!K15</f>
        <v>#NAME?</v>
      </c>
      <c r="L15" s="219" t="e">
        <f ca="1">'aktivitas pengembangan.'!L15</f>
        <v>#NAME?</v>
      </c>
      <c r="M15" s="117">
        <f ca="1">RANDBETWEEN(1,5)</f>
        <v>4</v>
      </c>
      <c r="N15" s="117">
        <f ca="1">RANDBETWEEN(1,5)</f>
        <v>5</v>
      </c>
      <c r="O15" s="221">
        <f ca="1">N15/M15</f>
        <v>1.25</v>
      </c>
      <c r="P15" s="224">
        <f ca="1">IF(O15*5 &gt; 5, 5, MAX(O15*5, 1))</f>
        <v>5</v>
      </c>
      <c r="Q15" s="216" t="s">
        <v>5397</v>
      </c>
      <c r="R15" s="219"/>
    </row>
    <row r="16" spans="1:46">
      <c r="A16" s="117" t="e">
        <f ca="1">'aktivitas pengembangan.'!A16</f>
        <v>#NAME?</v>
      </c>
      <c r="B16" s="220" t="e">
        <f ca="1">'aktivitas pengembangan.'!B16</f>
        <v>#NAME?</v>
      </c>
      <c r="C16" s="220" t="e">
        <f ca="1">'aktivitas pengembangan.'!C16</f>
        <v>#NAME?</v>
      </c>
      <c r="D16" s="225" t="e">
        <f ca="1">'aktivitas pengembangan.'!D16</f>
        <v>#NAME?</v>
      </c>
      <c r="E16" s="220" t="e">
        <f ca="1">'aktivitas pengembangan.'!E16</f>
        <v>#NAME?</v>
      </c>
      <c r="F16" s="220" t="e">
        <f ca="1">'aktivitas pengembangan.'!F16</f>
        <v>#NAME?</v>
      </c>
      <c r="G16" s="220" t="e">
        <f ca="1">'aktivitas pengembangan.'!G16</f>
        <v>#NAME?</v>
      </c>
      <c r="H16" s="220" t="e">
        <f ca="1">'aktivitas pengembangan.'!H16</f>
        <v>#NAME?</v>
      </c>
      <c r="I16" s="220" t="e">
        <f ca="1">'aktivitas pengembangan.'!I16</f>
        <v>#NAME?</v>
      </c>
      <c r="J16" s="220" t="e">
        <f ca="1">'aktivitas pengembangan.'!J16</f>
        <v>#NAME?</v>
      </c>
      <c r="K16" s="220" t="e">
        <f ca="1">'aktivitas pengembangan.'!K16</f>
        <v>#NAME?</v>
      </c>
      <c r="L16" s="219" t="e">
        <f ca="1">'aktivitas pengembangan.'!L16</f>
        <v>#NAME?</v>
      </c>
      <c r="M16" s="117">
        <f t="shared" ref="M16:N34" ca="1" si="0">RANDBETWEEN(1,5)</f>
        <v>1</v>
      </c>
      <c r="N16" s="117">
        <f t="shared" ca="1" si="0"/>
        <v>1</v>
      </c>
      <c r="O16" s="221">
        <f t="shared" ref="O16:O38" ca="1" si="1">N16/M16</f>
        <v>1</v>
      </c>
      <c r="P16" s="224">
        <f t="shared" ref="P16:P38" ca="1" si="2">IF(O16*5 &gt; 5, 5, MAX(O16*5, 1))</f>
        <v>5</v>
      </c>
      <c r="Q16" s="216" t="s">
        <v>5397</v>
      </c>
      <c r="R16" s="219"/>
    </row>
    <row r="17" spans="1:18">
      <c r="A17" s="117" t="e">
        <f ca="1">'aktivitas pengembangan.'!A17</f>
        <v>#NAME?</v>
      </c>
      <c r="B17" s="220" t="e">
        <f ca="1">'aktivitas pengembangan.'!B17</f>
        <v>#NAME?</v>
      </c>
      <c r="C17" s="220" t="e">
        <f ca="1">'aktivitas pengembangan.'!C17</f>
        <v>#NAME?</v>
      </c>
      <c r="D17" s="225" t="e">
        <f ca="1">'aktivitas pengembangan.'!D17</f>
        <v>#NAME?</v>
      </c>
      <c r="E17" s="220" t="e">
        <f ca="1">'aktivitas pengembangan.'!E17</f>
        <v>#NAME?</v>
      </c>
      <c r="F17" s="220" t="e">
        <f ca="1">'aktivitas pengembangan.'!F17</f>
        <v>#NAME?</v>
      </c>
      <c r="G17" s="220" t="e">
        <f ca="1">'aktivitas pengembangan.'!G17</f>
        <v>#NAME?</v>
      </c>
      <c r="H17" s="220" t="e">
        <f ca="1">'aktivitas pengembangan.'!H17</f>
        <v>#NAME?</v>
      </c>
      <c r="I17" s="220" t="e">
        <f ca="1">'aktivitas pengembangan.'!I17</f>
        <v>#NAME?</v>
      </c>
      <c r="J17" s="220" t="e">
        <f ca="1">'aktivitas pengembangan.'!J17</f>
        <v>#NAME?</v>
      </c>
      <c r="K17" s="220" t="e">
        <f ca="1">'aktivitas pengembangan.'!K17</f>
        <v>#NAME?</v>
      </c>
      <c r="L17" s="219" t="e">
        <f ca="1">'aktivitas pengembangan.'!L17</f>
        <v>#NAME?</v>
      </c>
      <c r="M17" s="117">
        <f t="shared" ca="1" si="0"/>
        <v>5</v>
      </c>
      <c r="N17" s="117">
        <f t="shared" ca="1" si="0"/>
        <v>4</v>
      </c>
      <c r="O17" s="221">
        <f t="shared" ca="1" si="1"/>
        <v>0.8</v>
      </c>
      <c r="P17" s="224">
        <f t="shared" ca="1" si="2"/>
        <v>4</v>
      </c>
      <c r="Q17" s="216" t="s">
        <v>5397</v>
      </c>
      <c r="R17" s="219"/>
    </row>
    <row r="18" spans="1:18">
      <c r="A18" s="117" t="e">
        <f ca="1">'aktivitas pengembangan.'!A18</f>
        <v>#NAME?</v>
      </c>
      <c r="B18" s="220" t="e">
        <f ca="1">'aktivitas pengembangan.'!B18</f>
        <v>#NAME?</v>
      </c>
      <c r="C18" s="220" t="e">
        <f ca="1">'aktivitas pengembangan.'!C18</f>
        <v>#NAME?</v>
      </c>
      <c r="D18" s="225" t="e">
        <f ca="1">'aktivitas pengembangan.'!D18</f>
        <v>#NAME?</v>
      </c>
      <c r="E18" s="220" t="e">
        <f ca="1">'aktivitas pengembangan.'!E18</f>
        <v>#NAME?</v>
      </c>
      <c r="F18" s="220" t="e">
        <f ca="1">'aktivitas pengembangan.'!F18</f>
        <v>#NAME?</v>
      </c>
      <c r="G18" s="220" t="e">
        <f ca="1">'aktivitas pengembangan.'!G18</f>
        <v>#NAME?</v>
      </c>
      <c r="H18" s="220" t="e">
        <f ca="1">'aktivitas pengembangan.'!H18</f>
        <v>#NAME?</v>
      </c>
      <c r="I18" s="220" t="e">
        <f ca="1">'aktivitas pengembangan.'!I18</f>
        <v>#NAME?</v>
      </c>
      <c r="J18" s="220" t="e">
        <f ca="1">'aktivitas pengembangan.'!J18</f>
        <v>#NAME?</v>
      </c>
      <c r="K18" s="220" t="e">
        <f ca="1">'aktivitas pengembangan.'!K18</f>
        <v>#NAME?</v>
      </c>
      <c r="L18" s="219" t="e">
        <f ca="1">'aktivitas pengembangan.'!L18</f>
        <v>#NAME?</v>
      </c>
      <c r="M18" s="117">
        <f t="shared" ca="1" si="0"/>
        <v>3</v>
      </c>
      <c r="N18" s="117">
        <f t="shared" ca="1" si="0"/>
        <v>1</v>
      </c>
      <c r="O18" s="221">
        <f t="shared" ca="1" si="1"/>
        <v>0.33333333333333331</v>
      </c>
      <c r="P18" s="224">
        <f t="shared" ca="1" si="2"/>
        <v>1.6666666666666665</v>
      </c>
      <c r="Q18" s="216" t="s">
        <v>5397</v>
      </c>
      <c r="R18" s="219"/>
    </row>
    <row r="19" spans="1:18">
      <c r="A19" s="117" t="e">
        <f ca="1">'aktivitas pengembangan.'!A19</f>
        <v>#NAME?</v>
      </c>
      <c r="B19" s="220" t="e">
        <f ca="1">'aktivitas pengembangan.'!B19</f>
        <v>#NAME?</v>
      </c>
      <c r="C19" s="220" t="e">
        <f ca="1">'aktivitas pengembangan.'!C19</f>
        <v>#NAME?</v>
      </c>
      <c r="D19" s="225" t="e">
        <f ca="1">'aktivitas pengembangan.'!D19</f>
        <v>#NAME?</v>
      </c>
      <c r="E19" s="220" t="e">
        <f ca="1">'aktivitas pengembangan.'!E19</f>
        <v>#NAME?</v>
      </c>
      <c r="F19" s="220" t="e">
        <f ca="1">'aktivitas pengembangan.'!F19</f>
        <v>#NAME?</v>
      </c>
      <c r="G19" s="220" t="e">
        <f ca="1">'aktivitas pengembangan.'!G19</f>
        <v>#NAME?</v>
      </c>
      <c r="H19" s="220" t="e">
        <f ca="1">'aktivitas pengembangan.'!H19</f>
        <v>#NAME?</v>
      </c>
      <c r="I19" s="220" t="e">
        <f ca="1">'aktivitas pengembangan.'!I19</f>
        <v>#NAME?</v>
      </c>
      <c r="J19" s="220" t="e">
        <f ca="1">'aktivitas pengembangan.'!J19</f>
        <v>#NAME?</v>
      </c>
      <c r="K19" s="220" t="e">
        <f ca="1">'aktivitas pengembangan.'!K19</f>
        <v>#NAME?</v>
      </c>
      <c r="L19" s="219" t="e">
        <f ca="1">'aktivitas pengembangan.'!L19</f>
        <v>#NAME?</v>
      </c>
      <c r="M19" s="117">
        <f t="shared" ca="1" si="0"/>
        <v>2</v>
      </c>
      <c r="N19" s="117">
        <f t="shared" ca="1" si="0"/>
        <v>1</v>
      </c>
      <c r="O19" s="221">
        <f t="shared" ca="1" si="1"/>
        <v>0.5</v>
      </c>
      <c r="P19" s="224">
        <f t="shared" ca="1" si="2"/>
        <v>2.5</v>
      </c>
      <c r="Q19" s="216" t="s">
        <v>5397</v>
      </c>
      <c r="R19" s="219"/>
    </row>
    <row r="20" spans="1:18">
      <c r="A20" s="117" t="e">
        <f ca="1">'aktivitas pengembangan.'!A20</f>
        <v>#NAME?</v>
      </c>
      <c r="B20" s="220" t="e">
        <f ca="1">'aktivitas pengembangan.'!B20</f>
        <v>#NAME?</v>
      </c>
      <c r="C20" s="220" t="e">
        <f ca="1">'aktivitas pengembangan.'!C20</f>
        <v>#NAME?</v>
      </c>
      <c r="D20" s="225" t="e">
        <f ca="1">'aktivitas pengembangan.'!D20</f>
        <v>#NAME?</v>
      </c>
      <c r="E20" s="220" t="e">
        <f ca="1">'aktivitas pengembangan.'!E20</f>
        <v>#NAME?</v>
      </c>
      <c r="F20" s="220" t="e">
        <f ca="1">'aktivitas pengembangan.'!F20</f>
        <v>#NAME?</v>
      </c>
      <c r="G20" s="220" t="e">
        <f ca="1">'aktivitas pengembangan.'!G20</f>
        <v>#NAME?</v>
      </c>
      <c r="H20" s="220" t="e">
        <f ca="1">'aktivitas pengembangan.'!H20</f>
        <v>#NAME?</v>
      </c>
      <c r="I20" s="220" t="e">
        <f ca="1">'aktivitas pengembangan.'!I20</f>
        <v>#NAME?</v>
      </c>
      <c r="J20" s="220" t="e">
        <f ca="1">'aktivitas pengembangan.'!J20</f>
        <v>#NAME?</v>
      </c>
      <c r="K20" s="220" t="e">
        <f ca="1">'aktivitas pengembangan.'!K20</f>
        <v>#NAME?</v>
      </c>
      <c r="L20" s="219" t="e">
        <f ca="1">'aktivitas pengembangan.'!L20</f>
        <v>#NAME?</v>
      </c>
      <c r="M20" s="117">
        <f t="shared" ca="1" si="0"/>
        <v>2</v>
      </c>
      <c r="N20" s="117">
        <f t="shared" ca="1" si="0"/>
        <v>5</v>
      </c>
      <c r="O20" s="221">
        <f t="shared" ca="1" si="1"/>
        <v>2.5</v>
      </c>
      <c r="P20" s="224">
        <f t="shared" ca="1" si="2"/>
        <v>5</v>
      </c>
      <c r="Q20" s="216" t="s">
        <v>5397</v>
      </c>
      <c r="R20" s="219"/>
    </row>
    <row r="21" spans="1:18">
      <c r="A21" s="117" t="e">
        <f ca="1">'aktivitas pengembangan.'!A21</f>
        <v>#NAME?</v>
      </c>
      <c r="B21" s="220" t="e">
        <f ca="1">'aktivitas pengembangan.'!B21</f>
        <v>#NAME?</v>
      </c>
      <c r="C21" s="220" t="e">
        <f ca="1">'aktivitas pengembangan.'!C21</f>
        <v>#NAME?</v>
      </c>
      <c r="D21" s="225" t="e">
        <f ca="1">'aktivitas pengembangan.'!D21</f>
        <v>#NAME?</v>
      </c>
      <c r="E21" s="220" t="e">
        <f ca="1">'aktivitas pengembangan.'!E21</f>
        <v>#NAME?</v>
      </c>
      <c r="F21" s="220" t="e">
        <f ca="1">'aktivitas pengembangan.'!F21</f>
        <v>#NAME?</v>
      </c>
      <c r="G21" s="220" t="e">
        <f ca="1">'aktivitas pengembangan.'!G21</f>
        <v>#NAME?</v>
      </c>
      <c r="H21" s="220" t="e">
        <f ca="1">'aktivitas pengembangan.'!H21</f>
        <v>#NAME?</v>
      </c>
      <c r="I21" s="220" t="e">
        <f ca="1">'aktivitas pengembangan.'!I21</f>
        <v>#NAME?</v>
      </c>
      <c r="J21" s="220" t="e">
        <f ca="1">'aktivitas pengembangan.'!J21</f>
        <v>#NAME?</v>
      </c>
      <c r="K21" s="220" t="e">
        <f ca="1">'aktivitas pengembangan.'!K21</f>
        <v>#NAME?</v>
      </c>
      <c r="L21" s="219" t="e">
        <f ca="1">'aktivitas pengembangan.'!L21</f>
        <v>#NAME?</v>
      </c>
      <c r="M21" s="117">
        <f t="shared" ca="1" si="0"/>
        <v>1</v>
      </c>
      <c r="N21" s="117">
        <f t="shared" ca="1" si="0"/>
        <v>2</v>
      </c>
      <c r="O21" s="221">
        <f t="shared" ca="1" si="1"/>
        <v>2</v>
      </c>
      <c r="P21" s="224">
        <f t="shared" ca="1" si="2"/>
        <v>5</v>
      </c>
      <c r="Q21" s="216" t="s">
        <v>5397</v>
      </c>
      <c r="R21" s="219"/>
    </row>
    <row r="22" spans="1:18">
      <c r="A22" s="117" t="e">
        <f ca="1">'aktivitas pengembangan.'!A22</f>
        <v>#NAME?</v>
      </c>
      <c r="B22" s="220" t="e">
        <f ca="1">'aktivitas pengembangan.'!B22</f>
        <v>#NAME?</v>
      </c>
      <c r="C22" s="220" t="e">
        <f ca="1">'aktivitas pengembangan.'!C22</f>
        <v>#NAME?</v>
      </c>
      <c r="D22" s="225" t="e">
        <f ca="1">'aktivitas pengembangan.'!D22</f>
        <v>#NAME?</v>
      </c>
      <c r="E22" s="220" t="e">
        <f ca="1">'aktivitas pengembangan.'!E22</f>
        <v>#NAME?</v>
      </c>
      <c r="F22" s="220" t="e">
        <f ca="1">'aktivitas pengembangan.'!F22</f>
        <v>#NAME?</v>
      </c>
      <c r="G22" s="220" t="e">
        <f ca="1">'aktivitas pengembangan.'!G22</f>
        <v>#NAME?</v>
      </c>
      <c r="H22" s="220" t="e">
        <f ca="1">'aktivitas pengembangan.'!H22</f>
        <v>#NAME?</v>
      </c>
      <c r="I22" s="220" t="e">
        <f ca="1">'aktivitas pengembangan.'!I22</f>
        <v>#NAME?</v>
      </c>
      <c r="J22" s="220" t="e">
        <f ca="1">'aktivitas pengembangan.'!J22</f>
        <v>#NAME?</v>
      </c>
      <c r="K22" s="220" t="e">
        <f ca="1">'aktivitas pengembangan.'!K22</f>
        <v>#NAME?</v>
      </c>
      <c r="L22" s="219" t="e">
        <f ca="1">'aktivitas pengembangan.'!L22</f>
        <v>#NAME?</v>
      </c>
      <c r="M22" s="117">
        <f t="shared" ca="1" si="0"/>
        <v>5</v>
      </c>
      <c r="N22" s="117">
        <f t="shared" ca="1" si="0"/>
        <v>3</v>
      </c>
      <c r="O22" s="221">
        <f t="shared" ca="1" si="1"/>
        <v>0.6</v>
      </c>
      <c r="P22" s="224">
        <f t="shared" ca="1" si="2"/>
        <v>3</v>
      </c>
      <c r="Q22" s="216" t="s">
        <v>5397</v>
      </c>
      <c r="R22" s="219"/>
    </row>
    <row r="23" spans="1:18">
      <c r="A23" s="117" t="e">
        <f ca="1">'aktivitas pengembangan.'!A23</f>
        <v>#NAME?</v>
      </c>
      <c r="B23" s="220" t="e">
        <f ca="1">'aktivitas pengembangan.'!B23</f>
        <v>#NAME?</v>
      </c>
      <c r="C23" s="220" t="e">
        <f ca="1">'aktivitas pengembangan.'!C23</f>
        <v>#NAME?</v>
      </c>
      <c r="D23" s="225" t="e">
        <f ca="1">'aktivitas pengembangan.'!D23</f>
        <v>#NAME?</v>
      </c>
      <c r="E23" s="220" t="e">
        <f ca="1">'aktivitas pengembangan.'!E23</f>
        <v>#NAME?</v>
      </c>
      <c r="F23" s="220" t="e">
        <f ca="1">'aktivitas pengembangan.'!F23</f>
        <v>#NAME?</v>
      </c>
      <c r="G23" s="220" t="e">
        <f ca="1">'aktivitas pengembangan.'!G23</f>
        <v>#NAME?</v>
      </c>
      <c r="H23" s="220" t="e">
        <f ca="1">'aktivitas pengembangan.'!H23</f>
        <v>#NAME?</v>
      </c>
      <c r="I23" s="220" t="e">
        <f ca="1">'aktivitas pengembangan.'!I23</f>
        <v>#NAME?</v>
      </c>
      <c r="J23" s="220" t="e">
        <f ca="1">'aktivitas pengembangan.'!J23</f>
        <v>#NAME?</v>
      </c>
      <c r="K23" s="220" t="e">
        <f ca="1">'aktivitas pengembangan.'!K23</f>
        <v>#NAME?</v>
      </c>
      <c r="L23" s="219" t="e">
        <f ca="1">'aktivitas pengembangan.'!L23</f>
        <v>#NAME?</v>
      </c>
      <c r="M23" s="117">
        <f t="shared" ca="1" si="0"/>
        <v>2</v>
      </c>
      <c r="N23" s="117">
        <f t="shared" ca="1" si="0"/>
        <v>1</v>
      </c>
      <c r="O23" s="221">
        <f t="shared" ca="1" si="1"/>
        <v>0.5</v>
      </c>
      <c r="P23" s="224">
        <f t="shared" ca="1" si="2"/>
        <v>2.5</v>
      </c>
      <c r="Q23" s="216" t="s">
        <v>5397</v>
      </c>
      <c r="R23" s="219"/>
    </row>
    <row r="24" spans="1:18">
      <c r="A24" s="117" t="e">
        <f ca="1">'aktivitas pengembangan.'!A24</f>
        <v>#NAME?</v>
      </c>
      <c r="B24" s="220" t="e">
        <f ca="1">'aktivitas pengembangan.'!B24</f>
        <v>#NAME?</v>
      </c>
      <c r="C24" s="220" t="e">
        <f ca="1">'aktivitas pengembangan.'!C24</f>
        <v>#NAME?</v>
      </c>
      <c r="D24" s="225" t="e">
        <f ca="1">'aktivitas pengembangan.'!D24</f>
        <v>#NAME?</v>
      </c>
      <c r="E24" s="220" t="e">
        <f ca="1">'aktivitas pengembangan.'!E24</f>
        <v>#NAME?</v>
      </c>
      <c r="F24" s="220" t="e">
        <f ca="1">'aktivitas pengembangan.'!F24</f>
        <v>#NAME?</v>
      </c>
      <c r="G24" s="220" t="e">
        <f ca="1">'aktivitas pengembangan.'!G24</f>
        <v>#NAME?</v>
      </c>
      <c r="H24" s="220" t="e">
        <f ca="1">'aktivitas pengembangan.'!H24</f>
        <v>#NAME?</v>
      </c>
      <c r="I24" s="220" t="e">
        <f ca="1">'aktivitas pengembangan.'!I24</f>
        <v>#NAME?</v>
      </c>
      <c r="J24" s="220" t="e">
        <f ca="1">'aktivitas pengembangan.'!J24</f>
        <v>#NAME?</v>
      </c>
      <c r="K24" s="220" t="e">
        <f ca="1">'aktivitas pengembangan.'!K24</f>
        <v>#NAME?</v>
      </c>
      <c r="L24" s="219" t="e">
        <f ca="1">'aktivitas pengembangan.'!L24</f>
        <v>#NAME?</v>
      </c>
      <c r="M24" s="117">
        <f t="shared" ca="1" si="0"/>
        <v>3</v>
      </c>
      <c r="N24" s="117">
        <f t="shared" ca="1" si="0"/>
        <v>4</v>
      </c>
      <c r="O24" s="221">
        <f t="shared" ca="1" si="1"/>
        <v>1.3333333333333333</v>
      </c>
      <c r="P24" s="224">
        <f t="shared" ca="1" si="2"/>
        <v>5</v>
      </c>
      <c r="Q24" s="216" t="s">
        <v>5397</v>
      </c>
      <c r="R24" s="219"/>
    </row>
    <row r="25" spans="1:18">
      <c r="A25" s="117" t="e">
        <f ca="1">'aktivitas pengembangan.'!A25</f>
        <v>#NAME?</v>
      </c>
      <c r="B25" s="220" t="e">
        <f ca="1">'aktivitas pengembangan.'!B25</f>
        <v>#NAME?</v>
      </c>
      <c r="C25" s="220" t="e">
        <f ca="1">'aktivitas pengembangan.'!C25</f>
        <v>#NAME?</v>
      </c>
      <c r="D25" s="225" t="e">
        <f ca="1">'aktivitas pengembangan.'!D25</f>
        <v>#NAME?</v>
      </c>
      <c r="E25" s="220" t="e">
        <f ca="1">'aktivitas pengembangan.'!E25</f>
        <v>#NAME?</v>
      </c>
      <c r="F25" s="220" t="e">
        <f ca="1">'aktivitas pengembangan.'!F25</f>
        <v>#NAME?</v>
      </c>
      <c r="G25" s="220" t="e">
        <f ca="1">'aktivitas pengembangan.'!G25</f>
        <v>#NAME?</v>
      </c>
      <c r="H25" s="220" t="e">
        <f ca="1">'aktivitas pengembangan.'!H25</f>
        <v>#NAME?</v>
      </c>
      <c r="I25" s="220" t="e">
        <f ca="1">'aktivitas pengembangan.'!I25</f>
        <v>#NAME?</v>
      </c>
      <c r="J25" s="220" t="e">
        <f ca="1">'aktivitas pengembangan.'!J25</f>
        <v>#NAME?</v>
      </c>
      <c r="K25" s="220" t="e">
        <f ca="1">'aktivitas pengembangan.'!K25</f>
        <v>#NAME?</v>
      </c>
      <c r="L25" s="219" t="e">
        <f ca="1">'aktivitas pengembangan.'!L25</f>
        <v>#NAME?</v>
      </c>
      <c r="M25" s="117">
        <f t="shared" ca="1" si="0"/>
        <v>5</v>
      </c>
      <c r="N25" s="117">
        <f t="shared" ca="1" si="0"/>
        <v>5</v>
      </c>
      <c r="O25" s="221">
        <f t="shared" ca="1" si="1"/>
        <v>1</v>
      </c>
      <c r="P25" s="224">
        <f t="shared" ca="1" si="2"/>
        <v>5</v>
      </c>
      <c r="Q25" s="216" t="s">
        <v>5397</v>
      </c>
      <c r="R25" s="219"/>
    </row>
    <row r="26" spans="1:18">
      <c r="A26" s="117" t="e">
        <f ca="1">'aktivitas pengembangan.'!A26</f>
        <v>#NAME?</v>
      </c>
      <c r="B26" s="220" t="e">
        <f ca="1">'aktivitas pengembangan.'!B26</f>
        <v>#NAME?</v>
      </c>
      <c r="C26" s="220" t="e">
        <f ca="1">'aktivitas pengembangan.'!C26</f>
        <v>#NAME?</v>
      </c>
      <c r="D26" s="225" t="e">
        <f ca="1">'aktivitas pengembangan.'!D26</f>
        <v>#NAME?</v>
      </c>
      <c r="E26" s="220" t="e">
        <f ca="1">'aktivitas pengembangan.'!E26</f>
        <v>#NAME?</v>
      </c>
      <c r="F26" s="220" t="e">
        <f ca="1">'aktivitas pengembangan.'!F26</f>
        <v>#NAME?</v>
      </c>
      <c r="G26" s="220" t="e">
        <f ca="1">'aktivitas pengembangan.'!G26</f>
        <v>#NAME?</v>
      </c>
      <c r="H26" s="220" t="e">
        <f ca="1">'aktivitas pengembangan.'!H26</f>
        <v>#NAME?</v>
      </c>
      <c r="I26" s="220" t="e">
        <f ca="1">'aktivitas pengembangan.'!I26</f>
        <v>#NAME?</v>
      </c>
      <c r="J26" s="220" t="e">
        <f ca="1">'aktivitas pengembangan.'!J26</f>
        <v>#NAME?</v>
      </c>
      <c r="K26" s="220" t="e">
        <f ca="1">'aktivitas pengembangan.'!K26</f>
        <v>#NAME?</v>
      </c>
      <c r="L26" s="219" t="e">
        <f ca="1">'aktivitas pengembangan.'!L26</f>
        <v>#NAME?</v>
      </c>
      <c r="M26" s="117">
        <f t="shared" ca="1" si="0"/>
        <v>5</v>
      </c>
      <c r="N26" s="117">
        <f t="shared" ca="1" si="0"/>
        <v>5</v>
      </c>
      <c r="O26" s="221">
        <f t="shared" ca="1" si="1"/>
        <v>1</v>
      </c>
      <c r="P26" s="224">
        <f t="shared" ca="1" si="2"/>
        <v>5</v>
      </c>
      <c r="Q26" s="216" t="s">
        <v>5397</v>
      </c>
      <c r="R26" s="219"/>
    </row>
    <row r="27" spans="1:18">
      <c r="A27" s="117" t="e">
        <f ca="1">'aktivitas pengembangan.'!A27</f>
        <v>#NAME?</v>
      </c>
      <c r="B27" s="220" t="e">
        <f ca="1">'aktivitas pengembangan.'!B27</f>
        <v>#NAME?</v>
      </c>
      <c r="C27" s="220" t="e">
        <f ca="1">'aktivitas pengembangan.'!C27</f>
        <v>#NAME?</v>
      </c>
      <c r="D27" s="225" t="e">
        <f ca="1">'aktivitas pengembangan.'!D27</f>
        <v>#NAME?</v>
      </c>
      <c r="E27" s="220" t="e">
        <f ca="1">'aktivitas pengembangan.'!E27</f>
        <v>#NAME?</v>
      </c>
      <c r="F27" s="220" t="e">
        <f ca="1">'aktivitas pengembangan.'!F27</f>
        <v>#NAME?</v>
      </c>
      <c r="G27" s="220" t="e">
        <f ca="1">'aktivitas pengembangan.'!G27</f>
        <v>#NAME?</v>
      </c>
      <c r="H27" s="220" t="e">
        <f ca="1">'aktivitas pengembangan.'!H27</f>
        <v>#NAME?</v>
      </c>
      <c r="I27" s="220" t="e">
        <f ca="1">'aktivitas pengembangan.'!I27</f>
        <v>#NAME?</v>
      </c>
      <c r="J27" s="220" t="e">
        <f ca="1">'aktivitas pengembangan.'!J27</f>
        <v>#NAME?</v>
      </c>
      <c r="K27" s="220" t="e">
        <f ca="1">'aktivitas pengembangan.'!K27</f>
        <v>#NAME?</v>
      </c>
      <c r="L27" s="219" t="e">
        <f ca="1">'aktivitas pengembangan.'!L27</f>
        <v>#NAME?</v>
      </c>
      <c r="M27" s="117">
        <f t="shared" ca="1" si="0"/>
        <v>3</v>
      </c>
      <c r="N27" s="117">
        <f t="shared" ca="1" si="0"/>
        <v>3</v>
      </c>
      <c r="O27" s="221">
        <f t="shared" ca="1" si="1"/>
        <v>1</v>
      </c>
      <c r="P27" s="224">
        <f t="shared" ca="1" si="2"/>
        <v>5</v>
      </c>
      <c r="Q27" s="216" t="s">
        <v>5397</v>
      </c>
      <c r="R27" s="219"/>
    </row>
    <row r="28" spans="1:18">
      <c r="A28" s="117" t="e">
        <f ca="1">'aktivitas pengembangan.'!A28</f>
        <v>#NAME?</v>
      </c>
      <c r="B28" s="220" t="e">
        <f ca="1">'aktivitas pengembangan.'!B28</f>
        <v>#NAME?</v>
      </c>
      <c r="C28" s="220" t="e">
        <f ca="1">'aktivitas pengembangan.'!C28</f>
        <v>#NAME?</v>
      </c>
      <c r="D28" s="225" t="e">
        <f ca="1">'aktivitas pengembangan.'!D28</f>
        <v>#NAME?</v>
      </c>
      <c r="E28" s="220" t="e">
        <f ca="1">'aktivitas pengembangan.'!E28</f>
        <v>#NAME?</v>
      </c>
      <c r="F28" s="220" t="e">
        <f ca="1">'aktivitas pengembangan.'!F28</f>
        <v>#NAME?</v>
      </c>
      <c r="G28" s="220" t="e">
        <f ca="1">'aktivitas pengembangan.'!G28</f>
        <v>#NAME?</v>
      </c>
      <c r="H28" s="220" t="e">
        <f ca="1">'aktivitas pengembangan.'!H28</f>
        <v>#NAME?</v>
      </c>
      <c r="I28" s="220" t="e">
        <f ca="1">'aktivitas pengembangan.'!I28</f>
        <v>#NAME?</v>
      </c>
      <c r="J28" s="220" t="e">
        <f ca="1">'aktivitas pengembangan.'!J28</f>
        <v>#NAME?</v>
      </c>
      <c r="K28" s="220" t="e">
        <f ca="1">'aktivitas pengembangan.'!K28</f>
        <v>#NAME?</v>
      </c>
      <c r="L28" s="219" t="e">
        <f ca="1">'aktivitas pengembangan.'!L28</f>
        <v>#NAME?</v>
      </c>
      <c r="M28" s="117">
        <f t="shared" ca="1" si="0"/>
        <v>3</v>
      </c>
      <c r="N28" s="117">
        <f t="shared" ca="1" si="0"/>
        <v>2</v>
      </c>
      <c r="O28" s="221">
        <f t="shared" ca="1" si="1"/>
        <v>0.66666666666666663</v>
      </c>
      <c r="P28" s="224">
        <f t="shared" ca="1" si="2"/>
        <v>3.333333333333333</v>
      </c>
      <c r="Q28" s="216" t="s">
        <v>5397</v>
      </c>
      <c r="R28" s="219"/>
    </row>
    <row r="29" spans="1:18">
      <c r="A29" s="117" t="e">
        <f ca="1">'aktivitas pengembangan.'!A29</f>
        <v>#NAME?</v>
      </c>
      <c r="B29" s="220" t="e">
        <f ca="1">'aktivitas pengembangan.'!B29</f>
        <v>#NAME?</v>
      </c>
      <c r="C29" s="220" t="e">
        <f ca="1">'aktivitas pengembangan.'!C29</f>
        <v>#NAME?</v>
      </c>
      <c r="D29" s="225" t="e">
        <f ca="1">'aktivitas pengembangan.'!D29</f>
        <v>#NAME?</v>
      </c>
      <c r="E29" s="220" t="e">
        <f ca="1">'aktivitas pengembangan.'!E29</f>
        <v>#NAME?</v>
      </c>
      <c r="F29" s="220" t="e">
        <f ca="1">'aktivitas pengembangan.'!F29</f>
        <v>#NAME?</v>
      </c>
      <c r="G29" s="220" t="e">
        <f ca="1">'aktivitas pengembangan.'!G29</f>
        <v>#NAME?</v>
      </c>
      <c r="H29" s="220" t="e">
        <f ca="1">'aktivitas pengembangan.'!H29</f>
        <v>#NAME?</v>
      </c>
      <c r="I29" s="220" t="e">
        <f ca="1">'aktivitas pengembangan.'!I29</f>
        <v>#NAME?</v>
      </c>
      <c r="J29" s="220" t="e">
        <f ca="1">'aktivitas pengembangan.'!J29</f>
        <v>#NAME?</v>
      </c>
      <c r="K29" s="220" t="e">
        <f ca="1">'aktivitas pengembangan.'!K29</f>
        <v>#NAME?</v>
      </c>
      <c r="L29" s="219" t="e">
        <f ca="1">'aktivitas pengembangan.'!L29</f>
        <v>#NAME?</v>
      </c>
      <c r="M29" s="117">
        <f t="shared" ca="1" si="0"/>
        <v>1</v>
      </c>
      <c r="N29" s="117">
        <f t="shared" ca="1" si="0"/>
        <v>2</v>
      </c>
      <c r="O29" s="221">
        <f t="shared" ca="1" si="1"/>
        <v>2</v>
      </c>
      <c r="P29" s="224">
        <f t="shared" ca="1" si="2"/>
        <v>5</v>
      </c>
      <c r="Q29" s="216" t="s">
        <v>5397</v>
      </c>
      <c r="R29" s="219"/>
    </row>
    <row r="30" spans="1:18">
      <c r="A30" s="117" t="e">
        <f ca="1">'aktivitas pengembangan.'!A30</f>
        <v>#NAME?</v>
      </c>
      <c r="B30" s="220" t="e">
        <f ca="1">'aktivitas pengembangan.'!B30</f>
        <v>#NAME?</v>
      </c>
      <c r="C30" s="220" t="e">
        <f ca="1">'aktivitas pengembangan.'!C30</f>
        <v>#NAME?</v>
      </c>
      <c r="D30" s="225" t="e">
        <f ca="1">'aktivitas pengembangan.'!D30</f>
        <v>#NAME?</v>
      </c>
      <c r="E30" s="220" t="e">
        <f ca="1">'aktivitas pengembangan.'!E30</f>
        <v>#NAME?</v>
      </c>
      <c r="F30" s="220" t="e">
        <f ca="1">'aktivitas pengembangan.'!F30</f>
        <v>#NAME?</v>
      </c>
      <c r="G30" s="220" t="e">
        <f ca="1">'aktivitas pengembangan.'!G30</f>
        <v>#NAME?</v>
      </c>
      <c r="H30" s="220" t="e">
        <f ca="1">'aktivitas pengembangan.'!H30</f>
        <v>#NAME?</v>
      </c>
      <c r="I30" s="220" t="e">
        <f ca="1">'aktivitas pengembangan.'!I30</f>
        <v>#NAME?</v>
      </c>
      <c r="J30" s="220" t="e">
        <f ca="1">'aktivitas pengembangan.'!J30</f>
        <v>#NAME?</v>
      </c>
      <c r="K30" s="220" t="e">
        <f ca="1">'aktivitas pengembangan.'!K30</f>
        <v>#NAME?</v>
      </c>
      <c r="L30" s="219" t="e">
        <f ca="1">'aktivitas pengembangan.'!L30</f>
        <v>#NAME?</v>
      </c>
      <c r="M30" s="117">
        <f t="shared" ca="1" si="0"/>
        <v>4</v>
      </c>
      <c r="N30" s="117">
        <f t="shared" ca="1" si="0"/>
        <v>2</v>
      </c>
      <c r="O30" s="221">
        <f t="shared" ca="1" si="1"/>
        <v>0.5</v>
      </c>
      <c r="P30" s="224">
        <f t="shared" ca="1" si="2"/>
        <v>2.5</v>
      </c>
      <c r="Q30" s="216" t="s">
        <v>5397</v>
      </c>
      <c r="R30" s="219"/>
    </row>
    <row r="31" spans="1:18">
      <c r="A31" s="117" t="e">
        <f ca="1">'aktivitas pengembangan.'!A31</f>
        <v>#NAME?</v>
      </c>
      <c r="B31" s="220" t="e">
        <f ca="1">'aktivitas pengembangan.'!B31</f>
        <v>#NAME?</v>
      </c>
      <c r="C31" s="220" t="e">
        <f ca="1">'aktivitas pengembangan.'!C31</f>
        <v>#NAME?</v>
      </c>
      <c r="D31" s="225" t="e">
        <f ca="1">'aktivitas pengembangan.'!D31</f>
        <v>#NAME?</v>
      </c>
      <c r="E31" s="220" t="e">
        <f ca="1">'aktivitas pengembangan.'!E31</f>
        <v>#NAME?</v>
      </c>
      <c r="F31" s="220" t="e">
        <f ca="1">'aktivitas pengembangan.'!F31</f>
        <v>#NAME?</v>
      </c>
      <c r="G31" s="220" t="e">
        <f ca="1">'aktivitas pengembangan.'!G31</f>
        <v>#NAME?</v>
      </c>
      <c r="H31" s="220" t="e">
        <f ca="1">'aktivitas pengembangan.'!H31</f>
        <v>#NAME?</v>
      </c>
      <c r="I31" s="220" t="e">
        <f ca="1">'aktivitas pengembangan.'!I31</f>
        <v>#NAME?</v>
      </c>
      <c r="J31" s="220" t="e">
        <f ca="1">'aktivitas pengembangan.'!J31</f>
        <v>#NAME?</v>
      </c>
      <c r="K31" s="220" t="e">
        <f ca="1">'aktivitas pengembangan.'!K31</f>
        <v>#NAME?</v>
      </c>
      <c r="L31" s="219" t="e">
        <f ca="1">'aktivitas pengembangan.'!L31</f>
        <v>#NAME?</v>
      </c>
      <c r="M31" s="117">
        <f t="shared" ca="1" si="0"/>
        <v>1</v>
      </c>
      <c r="N31" s="117">
        <f t="shared" ca="1" si="0"/>
        <v>5</v>
      </c>
      <c r="O31" s="221">
        <f t="shared" ca="1" si="1"/>
        <v>5</v>
      </c>
      <c r="P31" s="224">
        <f t="shared" ca="1" si="2"/>
        <v>5</v>
      </c>
      <c r="Q31" s="216" t="s">
        <v>5397</v>
      </c>
      <c r="R31" s="219"/>
    </row>
    <row r="32" spans="1:18">
      <c r="A32" s="117" t="e">
        <f ca="1">'aktivitas pengembangan.'!A32</f>
        <v>#NAME?</v>
      </c>
      <c r="B32" s="220" t="e">
        <f ca="1">'aktivitas pengembangan.'!B32</f>
        <v>#NAME?</v>
      </c>
      <c r="C32" s="220" t="e">
        <f ca="1">'aktivitas pengembangan.'!C32</f>
        <v>#NAME?</v>
      </c>
      <c r="D32" s="225" t="e">
        <f ca="1">'aktivitas pengembangan.'!D32</f>
        <v>#NAME?</v>
      </c>
      <c r="E32" s="220" t="e">
        <f ca="1">'aktivitas pengembangan.'!E32</f>
        <v>#NAME?</v>
      </c>
      <c r="F32" s="220" t="e">
        <f ca="1">'aktivitas pengembangan.'!F32</f>
        <v>#NAME?</v>
      </c>
      <c r="G32" s="220" t="e">
        <f ca="1">'aktivitas pengembangan.'!G32</f>
        <v>#NAME?</v>
      </c>
      <c r="H32" s="220" t="e">
        <f ca="1">'aktivitas pengembangan.'!H32</f>
        <v>#NAME?</v>
      </c>
      <c r="I32" s="220" t="e">
        <f ca="1">'aktivitas pengembangan.'!I32</f>
        <v>#NAME?</v>
      </c>
      <c r="J32" s="220" t="e">
        <f ca="1">'aktivitas pengembangan.'!J32</f>
        <v>#NAME?</v>
      </c>
      <c r="K32" s="220" t="e">
        <f ca="1">'aktivitas pengembangan.'!K32</f>
        <v>#NAME?</v>
      </c>
      <c r="L32" s="219" t="e">
        <f ca="1">'aktivitas pengembangan.'!L32</f>
        <v>#NAME?</v>
      </c>
      <c r="M32" s="117">
        <f t="shared" ca="1" si="0"/>
        <v>3</v>
      </c>
      <c r="N32" s="117">
        <f t="shared" ca="1" si="0"/>
        <v>3</v>
      </c>
      <c r="O32" s="221">
        <f t="shared" ca="1" si="1"/>
        <v>1</v>
      </c>
      <c r="P32" s="224">
        <f t="shared" ca="1" si="2"/>
        <v>5</v>
      </c>
      <c r="Q32" s="216" t="s">
        <v>5397</v>
      </c>
      <c r="R32" s="219"/>
    </row>
    <row r="33" spans="1:18">
      <c r="A33" s="117" t="e">
        <f ca="1">'aktivitas pengembangan.'!A33</f>
        <v>#NAME?</v>
      </c>
      <c r="B33" s="220" t="e">
        <f ca="1">'aktivitas pengembangan.'!B33</f>
        <v>#NAME?</v>
      </c>
      <c r="C33" s="220" t="e">
        <f ca="1">'aktivitas pengembangan.'!C33</f>
        <v>#NAME?</v>
      </c>
      <c r="D33" s="225" t="e">
        <f ca="1">'aktivitas pengembangan.'!D33</f>
        <v>#NAME?</v>
      </c>
      <c r="E33" s="220" t="e">
        <f ca="1">'aktivitas pengembangan.'!E33</f>
        <v>#NAME?</v>
      </c>
      <c r="F33" s="220" t="e">
        <f ca="1">'aktivitas pengembangan.'!F33</f>
        <v>#NAME?</v>
      </c>
      <c r="G33" s="220" t="e">
        <f ca="1">'aktivitas pengembangan.'!G33</f>
        <v>#NAME?</v>
      </c>
      <c r="H33" s="220" t="e">
        <f ca="1">'aktivitas pengembangan.'!H33</f>
        <v>#NAME?</v>
      </c>
      <c r="I33" s="220" t="e">
        <f ca="1">'aktivitas pengembangan.'!I33</f>
        <v>#NAME?</v>
      </c>
      <c r="J33" s="220" t="e">
        <f ca="1">'aktivitas pengembangan.'!J33</f>
        <v>#NAME?</v>
      </c>
      <c r="K33" s="220" t="e">
        <f ca="1">'aktivitas pengembangan.'!K33</f>
        <v>#NAME?</v>
      </c>
      <c r="L33" s="219" t="e">
        <f ca="1">'aktivitas pengembangan.'!L33</f>
        <v>#NAME?</v>
      </c>
      <c r="M33" s="117">
        <f t="shared" ca="1" si="0"/>
        <v>3</v>
      </c>
      <c r="N33" s="117">
        <f t="shared" ca="1" si="0"/>
        <v>4</v>
      </c>
      <c r="O33" s="221">
        <f t="shared" ca="1" si="1"/>
        <v>1.3333333333333333</v>
      </c>
      <c r="P33" s="224">
        <f t="shared" ca="1" si="2"/>
        <v>5</v>
      </c>
      <c r="Q33" s="216" t="s">
        <v>5397</v>
      </c>
      <c r="R33" s="219"/>
    </row>
    <row r="34" spans="1:18">
      <c r="A34" s="117" t="e">
        <f ca="1">'aktivitas pengembangan.'!A34</f>
        <v>#NAME?</v>
      </c>
      <c r="B34" s="220" t="e">
        <f ca="1">'aktivitas pengembangan.'!B34</f>
        <v>#NAME?</v>
      </c>
      <c r="C34" s="220" t="e">
        <f ca="1">'aktivitas pengembangan.'!C34</f>
        <v>#NAME?</v>
      </c>
      <c r="D34" s="225" t="e">
        <f ca="1">'aktivitas pengembangan.'!D34</f>
        <v>#NAME?</v>
      </c>
      <c r="E34" s="220" t="e">
        <f ca="1">'aktivitas pengembangan.'!E34</f>
        <v>#NAME?</v>
      </c>
      <c r="F34" s="220" t="e">
        <f ca="1">'aktivitas pengembangan.'!F34</f>
        <v>#NAME?</v>
      </c>
      <c r="G34" s="220" t="e">
        <f ca="1">'aktivitas pengembangan.'!G34</f>
        <v>#NAME?</v>
      </c>
      <c r="H34" s="220" t="e">
        <f ca="1">'aktivitas pengembangan.'!H34</f>
        <v>#NAME?</v>
      </c>
      <c r="I34" s="220" t="e">
        <f ca="1">'aktivitas pengembangan.'!I34</f>
        <v>#NAME?</v>
      </c>
      <c r="J34" s="220" t="e">
        <f ca="1">'aktivitas pengembangan.'!J34</f>
        <v>#NAME?</v>
      </c>
      <c r="K34" s="220" t="e">
        <f ca="1">'aktivitas pengembangan.'!K34</f>
        <v>#NAME?</v>
      </c>
      <c r="L34" s="219" t="e">
        <f ca="1">'aktivitas pengembangan.'!L34</f>
        <v>#NAME?</v>
      </c>
      <c r="M34" s="117">
        <f t="shared" ca="1" si="0"/>
        <v>4</v>
      </c>
      <c r="N34" s="117">
        <f t="shared" ca="1" si="0"/>
        <v>2</v>
      </c>
      <c r="O34" s="221">
        <f t="shared" ca="1" si="1"/>
        <v>0.5</v>
      </c>
      <c r="P34" s="224">
        <f t="shared" ca="1" si="2"/>
        <v>2.5</v>
      </c>
      <c r="Q34" s="216" t="s">
        <v>5397</v>
      </c>
      <c r="R34" s="219"/>
    </row>
    <row r="35" spans="1:18">
      <c r="A35" s="117">
        <f>'aktivitas pengembangan.'!A35</f>
        <v>0</v>
      </c>
      <c r="B35" s="220">
        <f>'aktivitas pengembangan.'!B35</f>
        <v>0</v>
      </c>
      <c r="C35" s="220">
        <f>'aktivitas pengembangan.'!C35</f>
        <v>0</v>
      </c>
      <c r="D35" s="225">
        <f>'aktivitas pengembangan.'!D35</f>
        <v>0</v>
      </c>
      <c r="E35" s="220">
        <f>'aktivitas pengembangan.'!E35</f>
        <v>0</v>
      </c>
      <c r="F35" s="220">
        <f>'aktivitas pengembangan.'!F35</f>
        <v>0</v>
      </c>
      <c r="G35" s="220">
        <f>'aktivitas pengembangan.'!G35</f>
        <v>0</v>
      </c>
      <c r="H35" s="220">
        <f>'aktivitas pengembangan.'!H35</f>
        <v>0</v>
      </c>
      <c r="I35" s="220">
        <f>'aktivitas pengembangan.'!I35</f>
        <v>0</v>
      </c>
      <c r="J35" s="220">
        <f>'aktivitas pengembangan.'!J35</f>
        <v>0</v>
      </c>
      <c r="K35" s="220">
        <f>'aktivitas pengembangan.'!K35</f>
        <v>0</v>
      </c>
      <c r="L35" s="219">
        <f>'aktivitas pengembangan.'!L35</f>
        <v>0</v>
      </c>
      <c r="M35" s="117">
        <v>0</v>
      </c>
      <c r="N35" s="117">
        <v>0</v>
      </c>
      <c r="O35" s="221" t="e">
        <f t="shared" si="1"/>
        <v>#DIV/0!</v>
      </c>
      <c r="P35" s="224" t="e">
        <f t="shared" si="2"/>
        <v>#DIV/0!</v>
      </c>
      <c r="Q35" s="216" t="s">
        <v>5397</v>
      </c>
      <c r="R35" s="219"/>
    </row>
    <row r="36" spans="1:18">
      <c r="A36" s="117">
        <f>'aktivitas pengembangan.'!A36</f>
        <v>0</v>
      </c>
      <c r="B36" s="220">
        <f>'aktivitas pengembangan.'!B36</f>
        <v>0</v>
      </c>
      <c r="C36" s="220">
        <f>'aktivitas pengembangan.'!C36</f>
        <v>0</v>
      </c>
      <c r="D36" s="225">
        <f>'aktivitas pengembangan.'!D36</f>
        <v>0</v>
      </c>
      <c r="E36" s="220">
        <f>'aktivitas pengembangan.'!E36</f>
        <v>0</v>
      </c>
      <c r="F36" s="220">
        <f>'aktivitas pengembangan.'!F36</f>
        <v>0</v>
      </c>
      <c r="G36" s="220">
        <f>'aktivitas pengembangan.'!G36</f>
        <v>0</v>
      </c>
      <c r="H36" s="220">
        <f>'aktivitas pengembangan.'!H36</f>
        <v>0</v>
      </c>
      <c r="I36" s="220">
        <f>'aktivitas pengembangan.'!I36</f>
        <v>0</v>
      </c>
      <c r="J36" s="220">
        <f>'aktivitas pengembangan.'!J36</f>
        <v>0</v>
      </c>
      <c r="K36" s="220">
        <f>'aktivitas pengembangan.'!K36</f>
        <v>0</v>
      </c>
      <c r="L36" s="219">
        <f>'aktivitas pengembangan.'!L36</f>
        <v>0</v>
      </c>
      <c r="M36" s="117">
        <v>0</v>
      </c>
      <c r="N36" s="117">
        <v>0</v>
      </c>
      <c r="O36" s="221" t="e">
        <f t="shared" si="1"/>
        <v>#DIV/0!</v>
      </c>
      <c r="P36" s="224" t="e">
        <f t="shared" si="2"/>
        <v>#DIV/0!</v>
      </c>
      <c r="Q36" s="216" t="s">
        <v>5397</v>
      </c>
      <c r="R36" s="219"/>
    </row>
    <row r="37" spans="1:18">
      <c r="A37" s="117">
        <f>'aktivitas pengembangan.'!A37</f>
        <v>0</v>
      </c>
      <c r="B37" s="220">
        <f>'aktivitas pengembangan.'!B37</f>
        <v>0</v>
      </c>
      <c r="C37" s="220">
        <f>'aktivitas pengembangan.'!C37</f>
        <v>0</v>
      </c>
      <c r="D37" s="225">
        <f>'aktivitas pengembangan.'!D37</f>
        <v>0</v>
      </c>
      <c r="E37" s="220">
        <f>'aktivitas pengembangan.'!E37</f>
        <v>0</v>
      </c>
      <c r="F37" s="220">
        <f>'aktivitas pengembangan.'!F37</f>
        <v>0</v>
      </c>
      <c r="G37" s="220">
        <f>'aktivitas pengembangan.'!G37</f>
        <v>0</v>
      </c>
      <c r="H37" s="220">
        <f>'aktivitas pengembangan.'!H37</f>
        <v>0</v>
      </c>
      <c r="I37" s="220">
        <f>'aktivitas pengembangan.'!I37</f>
        <v>0</v>
      </c>
      <c r="J37" s="220">
        <f>'aktivitas pengembangan.'!J37</f>
        <v>0</v>
      </c>
      <c r="K37" s="220">
        <f>'aktivitas pengembangan.'!K37</f>
        <v>0</v>
      </c>
      <c r="L37" s="219">
        <f>'aktivitas pengembangan.'!L37</f>
        <v>0</v>
      </c>
      <c r="M37" s="117">
        <v>0</v>
      </c>
      <c r="N37" s="117">
        <v>0</v>
      </c>
      <c r="O37" s="221" t="e">
        <f t="shared" si="1"/>
        <v>#DIV/0!</v>
      </c>
      <c r="P37" s="224" t="e">
        <f t="shared" si="2"/>
        <v>#DIV/0!</v>
      </c>
      <c r="Q37" s="216" t="s">
        <v>5397</v>
      </c>
      <c r="R37" s="219"/>
    </row>
    <row r="38" spans="1:18">
      <c r="A38" s="117">
        <f>'aktivitas pengembangan.'!A38</f>
        <v>0</v>
      </c>
      <c r="B38" s="220">
        <f>'aktivitas pengembangan.'!B38</f>
        <v>0</v>
      </c>
      <c r="C38" s="220">
        <f>'aktivitas pengembangan.'!C38</f>
        <v>0</v>
      </c>
      <c r="D38" s="225">
        <f>'aktivitas pengembangan.'!D38</f>
        <v>0</v>
      </c>
      <c r="E38" s="220">
        <f>'aktivitas pengembangan.'!E38</f>
        <v>0</v>
      </c>
      <c r="F38" s="220">
        <f>'aktivitas pengembangan.'!F38</f>
        <v>0</v>
      </c>
      <c r="G38" s="220">
        <f>'aktivitas pengembangan.'!G38</f>
        <v>0</v>
      </c>
      <c r="H38" s="220">
        <f>'aktivitas pengembangan.'!H38</f>
        <v>0</v>
      </c>
      <c r="I38" s="220">
        <f>'aktivitas pengembangan.'!I38</f>
        <v>0</v>
      </c>
      <c r="J38" s="220">
        <f>'aktivitas pengembangan.'!J38</f>
        <v>0</v>
      </c>
      <c r="K38" s="220">
        <f>'aktivitas pengembangan.'!K38</f>
        <v>0</v>
      </c>
      <c r="L38" s="219">
        <f>'aktivitas pengembangan.'!L38</f>
        <v>0</v>
      </c>
      <c r="M38" s="117">
        <v>0</v>
      </c>
      <c r="N38" s="117">
        <v>0</v>
      </c>
      <c r="O38" s="221" t="e">
        <f t="shared" si="1"/>
        <v>#DIV/0!</v>
      </c>
      <c r="P38" s="224" t="e">
        <f t="shared" si="2"/>
        <v>#DIV/0!</v>
      </c>
      <c r="Q38" s="216" t="s">
        <v>5397</v>
      </c>
      <c r="R38" s="219"/>
    </row>
    <row r="39" spans="1:18">
      <c r="C39" s="219"/>
      <c r="D39" s="117"/>
      <c r="E39" s="219"/>
      <c r="F39" s="219"/>
      <c r="G39" s="219"/>
      <c r="H39" s="219"/>
      <c r="I39" s="219"/>
      <c r="J39" s="219"/>
      <c r="K39" s="219"/>
      <c r="L39" s="219"/>
      <c r="M39" s="117"/>
      <c r="N39" s="117"/>
      <c r="O39" s="222"/>
      <c r="P39" s="224" t="e">
        <f ca="1">AVERAGE(P15:P38)</f>
        <v>#DIV/0!</v>
      </c>
      <c r="Q39" s="219"/>
      <c r="R39" s="219"/>
    </row>
  </sheetData>
  <autoFilter ref="A14:R39" xr:uid="{CB86E36F-8F4B-47C5-BEA7-D22BEF9FFA2B}"/>
  <dataValidations count="1">
    <dataValidation type="list" sqref="Q15:Q38" xr:uid="{6584EA99-F3F5-4533-92FE-35F28DB0EBD4}">
      <formula1>"Belum Mulai,Berjalan,Selesai,Tertunda"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2D9C1-82FF-4CD4-9322-62135A2680A1}">
  <dimension ref="A2:C15"/>
  <sheetViews>
    <sheetView workbookViewId="0">
      <selection activeCell="B7" sqref="B7"/>
    </sheetView>
  </sheetViews>
  <sheetFormatPr defaultRowHeight="14"/>
  <cols>
    <col min="1" max="1" width="29.25" bestFit="1" customWidth="1"/>
    <col min="2" max="2" width="19.83203125" customWidth="1"/>
  </cols>
  <sheetData>
    <row r="2" spans="1:3">
      <c r="A2" t="s">
        <v>495</v>
      </c>
      <c r="B2" s="226" t="s">
        <v>4</v>
      </c>
      <c r="C2">
        <v>1</v>
      </c>
    </row>
    <row r="3" spans="1:3">
      <c r="A3" t="s">
        <v>496</v>
      </c>
      <c r="B3" s="226" t="s">
        <v>6</v>
      </c>
      <c r="C3">
        <v>2</v>
      </c>
    </row>
    <row r="4" spans="1:3">
      <c r="A4" t="s">
        <v>497</v>
      </c>
      <c r="B4" s="227" t="s">
        <v>13</v>
      </c>
      <c r="C4">
        <v>3</v>
      </c>
    </row>
    <row r="5" spans="1:3">
      <c r="A5" t="s">
        <v>498</v>
      </c>
      <c r="B5" s="227" t="s">
        <v>719</v>
      </c>
      <c r="C5">
        <v>4</v>
      </c>
    </row>
    <row r="6" spans="1:3">
      <c r="A6" t="s">
        <v>499</v>
      </c>
      <c r="B6" s="227" t="s">
        <v>778</v>
      </c>
      <c r="C6">
        <v>5</v>
      </c>
    </row>
    <row r="7" spans="1:3">
      <c r="A7" t="s">
        <v>500</v>
      </c>
      <c r="B7" s="227" t="s">
        <v>838</v>
      </c>
    </row>
    <row r="8" spans="1:3">
      <c r="A8" t="s">
        <v>501</v>
      </c>
    </row>
    <row r="9" spans="1:3">
      <c r="A9" t="s">
        <v>502</v>
      </c>
    </row>
    <row r="10" spans="1:3">
      <c r="A10" t="s">
        <v>503</v>
      </c>
    </row>
    <row r="11" spans="1:3">
      <c r="A11" t="s">
        <v>504</v>
      </c>
    </row>
    <row r="12" spans="1:3">
      <c r="A12" t="s">
        <v>505</v>
      </c>
    </row>
    <row r="13" spans="1:3">
      <c r="A13" t="s">
        <v>506</v>
      </c>
    </row>
    <row r="14" spans="1:3">
      <c r="A14" t="s">
        <v>507</v>
      </c>
    </row>
    <row r="15" spans="1:3">
      <c r="A15" t="s">
        <v>508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42E56-35C1-4728-8E27-04E95638B4E5}">
  <dimension ref="A1:D337"/>
  <sheetViews>
    <sheetView zoomScaleNormal="100" workbookViewId="0">
      <selection activeCell="A2" sqref="A2"/>
    </sheetView>
  </sheetViews>
  <sheetFormatPr defaultRowHeight="14"/>
  <cols>
    <col min="1" max="1" width="30.75" bestFit="1" customWidth="1"/>
    <col min="2" max="2" width="19" style="76" customWidth="1"/>
    <col min="3" max="3" width="10.4140625" style="76" bestFit="1" customWidth="1"/>
    <col min="4" max="4" width="70.75" bestFit="1" customWidth="1"/>
    <col min="5" max="5" width="13.83203125" bestFit="1" customWidth="1"/>
    <col min="6" max="6" width="5.25" bestFit="1" customWidth="1"/>
  </cols>
  <sheetData>
    <row r="1" spans="1:4">
      <c r="A1" t="s">
        <v>478</v>
      </c>
      <c r="B1" s="76" t="s">
        <v>5398</v>
      </c>
      <c r="C1" s="76" t="s">
        <v>5399</v>
      </c>
      <c r="D1" t="s">
        <v>5400</v>
      </c>
    </row>
    <row r="2" spans="1:4" s="76" customFormat="1">
      <c r="A2" s="252" t="str" cm="1">
        <f t="array" ref="A2:A337">INDEX(list!$A$2:$A$16,INT((_xlfn.SEQUENCE(336)-1)/24)+1)</f>
        <v>Achievement Drive</v>
      </c>
      <c r="B2" s="76" t="str" cm="1">
        <f t="array" ref="B2:B337">INDEX(list!$B$2:$B$7,MOD(INT((_xlfn.SEQUENCE(336)-1)/4),6)+1)</f>
        <v>Officer</v>
      </c>
      <c r="C2" s="76" cm="1">
        <f t="array" ref="C2:C337">MOD(_xlfn.SEQUENCE(336)-1,4)+1</f>
        <v>1</v>
      </c>
      <c r="D2" t="s">
        <v>5401</v>
      </c>
    </row>
    <row r="3" spans="1:4">
      <c r="A3" s="223" t="str">
        <v>Achievement Drive</v>
      </c>
      <c r="B3" s="197" t="str">
        <v>Officer</v>
      </c>
      <c r="C3" s="197">
        <v>2</v>
      </c>
      <c r="D3" t="s">
        <v>5402</v>
      </c>
    </row>
    <row r="4" spans="1:4">
      <c r="A4" s="223" t="str">
        <v>Achievement Drive</v>
      </c>
      <c r="B4" s="197" t="str">
        <v>Officer</v>
      </c>
      <c r="C4" s="79">
        <v>3</v>
      </c>
      <c r="D4" t="s">
        <v>5403</v>
      </c>
    </row>
    <row r="5" spans="1:4">
      <c r="A5" s="223" t="str">
        <v>Achievement Drive</v>
      </c>
      <c r="B5" s="197" t="str">
        <v>Officer</v>
      </c>
      <c r="C5" s="76">
        <v>4</v>
      </c>
      <c r="D5" t="s">
        <v>5404</v>
      </c>
    </row>
    <row r="6" spans="1:4">
      <c r="A6" s="223" t="str">
        <v>Achievement Drive</v>
      </c>
      <c r="B6" s="197" t="str">
        <v>Analyst</v>
      </c>
      <c r="C6" s="76">
        <v>1</v>
      </c>
      <c r="D6" t="s">
        <v>5405</v>
      </c>
    </row>
    <row r="7" spans="1:4">
      <c r="A7" s="223" t="str">
        <v>Achievement Drive</v>
      </c>
      <c r="B7" s="226" t="str">
        <v>Analyst</v>
      </c>
      <c r="C7" s="197">
        <v>2</v>
      </c>
      <c r="D7" t="s">
        <v>5406</v>
      </c>
    </row>
    <row r="8" spans="1:4">
      <c r="A8" s="223" t="str">
        <v>Achievement Drive</v>
      </c>
      <c r="B8" s="226" t="str">
        <v>Analyst</v>
      </c>
      <c r="C8" s="79">
        <v>3</v>
      </c>
      <c r="D8" t="s">
        <v>5407</v>
      </c>
    </row>
    <row r="9" spans="1:4">
      <c r="A9" s="223" t="str">
        <v>Achievement Drive</v>
      </c>
      <c r="B9" s="226" t="str">
        <v>Analyst</v>
      </c>
      <c r="C9" s="76">
        <v>4</v>
      </c>
      <c r="D9" t="s">
        <v>5408</v>
      </c>
    </row>
    <row r="10" spans="1:4">
      <c r="A10" s="223" t="str">
        <v>Achievement Drive</v>
      </c>
      <c r="B10" s="226" t="str">
        <v>Unit Head/Specialist</v>
      </c>
      <c r="C10" s="76">
        <v>1</v>
      </c>
      <c r="D10" t="s">
        <v>5409</v>
      </c>
    </row>
    <row r="11" spans="1:4">
      <c r="A11" s="223" t="str">
        <v>Achievement Drive</v>
      </c>
      <c r="B11" s="227" t="str">
        <v>Unit Head/Specialist</v>
      </c>
      <c r="C11" s="197">
        <v>2</v>
      </c>
      <c r="D11" t="s">
        <v>5410</v>
      </c>
    </row>
    <row r="12" spans="1:4">
      <c r="A12" s="223" t="str">
        <v>Achievement Drive</v>
      </c>
      <c r="B12" s="227" t="str">
        <v>Unit Head/Specialist</v>
      </c>
      <c r="C12" s="79">
        <v>3</v>
      </c>
      <c r="D12" t="s">
        <v>5411</v>
      </c>
    </row>
    <row r="13" spans="1:4">
      <c r="A13" s="223" t="str">
        <v>Achievement Drive</v>
      </c>
      <c r="B13" s="227" t="str">
        <v>Unit Head/Specialist</v>
      </c>
      <c r="C13" s="76">
        <v>4</v>
      </c>
      <c r="D13" t="s">
        <v>5412</v>
      </c>
    </row>
    <row r="14" spans="1:4">
      <c r="A14" s="223" t="str">
        <v>Achievement Drive</v>
      </c>
      <c r="B14" s="227" t="str">
        <v>Department Head</v>
      </c>
      <c r="C14" s="76">
        <v>1</v>
      </c>
      <c r="D14" t="s">
        <v>5413</v>
      </c>
    </row>
    <row r="15" spans="1:4">
      <c r="A15" s="223" t="str">
        <v>Achievement Drive</v>
      </c>
      <c r="B15" s="227" t="str">
        <v>Department Head</v>
      </c>
      <c r="C15" s="197">
        <v>2</v>
      </c>
      <c r="D15" t="s">
        <v>5414</v>
      </c>
    </row>
    <row r="16" spans="1:4">
      <c r="A16" s="223" t="str">
        <v>Achievement Drive</v>
      </c>
      <c r="B16" s="227" t="str">
        <v>Department Head</v>
      </c>
      <c r="C16" s="79">
        <v>3</v>
      </c>
      <c r="D16" t="s">
        <v>5415</v>
      </c>
    </row>
    <row r="17" spans="1:4">
      <c r="A17" s="223" t="str">
        <v>Achievement Drive</v>
      </c>
      <c r="B17" s="227" t="str">
        <v>Department Head</v>
      </c>
      <c r="C17" s="76">
        <v>4</v>
      </c>
      <c r="D17" t="s">
        <v>5416</v>
      </c>
    </row>
    <row r="18" spans="1:4">
      <c r="A18" s="223" t="str">
        <v>Achievement Drive</v>
      </c>
      <c r="B18" s="227" t="str">
        <v>Division Head</v>
      </c>
      <c r="C18" s="76">
        <v>1</v>
      </c>
      <c r="D18" t="s">
        <v>5417</v>
      </c>
    </row>
    <row r="19" spans="1:4">
      <c r="A19" s="223" t="str">
        <v>Achievement Drive</v>
      </c>
      <c r="B19" s="227" t="str">
        <v>Division Head</v>
      </c>
      <c r="C19" s="197">
        <v>2</v>
      </c>
      <c r="D19" t="s">
        <v>5418</v>
      </c>
    </row>
    <row r="20" spans="1:4">
      <c r="A20" s="223" t="str">
        <v>Achievement Drive</v>
      </c>
      <c r="B20" s="227" t="str">
        <v>Division Head</v>
      </c>
      <c r="C20" s="79">
        <v>3</v>
      </c>
      <c r="D20" t="s">
        <v>5419</v>
      </c>
    </row>
    <row r="21" spans="1:4">
      <c r="A21" s="223" t="str">
        <v>Achievement Drive</v>
      </c>
      <c r="B21" s="227" t="str">
        <v>Division Head</v>
      </c>
      <c r="C21" s="76">
        <v>4</v>
      </c>
      <c r="D21" t="s">
        <v>5420</v>
      </c>
    </row>
    <row r="22" spans="1:4">
      <c r="A22" s="223" t="str">
        <v>Achievement Drive</v>
      </c>
      <c r="B22" s="227" t="str">
        <v>Director</v>
      </c>
      <c r="C22" s="76">
        <v>1</v>
      </c>
      <c r="D22" t="s">
        <v>5421</v>
      </c>
    </row>
    <row r="23" spans="1:4">
      <c r="A23" s="223" t="str">
        <v>Achievement Drive</v>
      </c>
      <c r="B23" s="227" t="str">
        <v>Director</v>
      </c>
      <c r="C23" s="197">
        <v>2</v>
      </c>
      <c r="D23" t="s">
        <v>5422</v>
      </c>
    </row>
    <row r="24" spans="1:4">
      <c r="A24" s="223" t="str">
        <v>Achievement Drive</v>
      </c>
      <c r="B24" s="227" t="str">
        <v>Director</v>
      </c>
      <c r="C24" s="79">
        <v>3</v>
      </c>
      <c r="D24" t="s">
        <v>5423</v>
      </c>
    </row>
    <row r="25" spans="1:4">
      <c r="A25" s="223" t="str">
        <v>Achievement Drive</v>
      </c>
      <c r="B25" s="227" t="str">
        <v>Director</v>
      </c>
      <c r="C25" s="76">
        <v>4</v>
      </c>
      <c r="D25" t="s">
        <v>5424</v>
      </c>
    </row>
    <row r="26" spans="1:4">
      <c r="A26" s="223" t="str">
        <v>Developing Oneself</v>
      </c>
      <c r="B26" s="230" t="str">
        <v>Officer</v>
      </c>
      <c r="C26" s="76">
        <v>1</v>
      </c>
      <c r="D26" t="s">
        <v>5425</v>
      </c>
    </row>
    <row r="27" spans="1:4">
      <c r="A27" t="str">
        <v>Developing Oneself</v>
      </c>
      <c r="B27" s="76" t="str">
        <v>Officer</v>
      </c>
      <c r="C27" s="76">
        <v>2</v>
      </c>
      <c r="D27" t="s">
        <v>5426</v>
      </c>
    </row>
    <row r="28" spans="1:4">
      <c r="A28" t="str">
        <v>Developing Oneself</v>
      </c>
      <c r="B28" s="76" t="str">
        <v>Officer</v>
      </c>
      <c r="C28" s="76">
        <v>3</v>
      </c>
      <c r="D28" t="s">
        <v>5427</v>
      </c>
    </row>
    <row r="29" spans="1:4">
      <c r="A29" t="str">
        <v>Developing Oneself</v>
      </c>
      <c r="B29" s="76" t="str">
        <v>Officer</v>
      </c>
      <c r="C29" s="76">
        <v>4</v>
      </c>
      <c r="D29" t="s">
        <v>5428</v>
      </c>
    </row>
    <row r="30" spans="1:4">
      <c r="A30" t="str">
        <v>Developing Oneself</v>
      </c>
      <c r="B30" s="76" t="str">
        <v>Analyst</v>
      </c>
      <c r="C30" s="76">
        <v>1</v>
      </c>
      <c r="D30" t="s">
        <v>5429</v>
      </c>
    </row>
    <row r="31" spans="1:4">
      <c r="A31" t="str">
        <v>Developing Oneself</v>
      </c>
      <c r="B31" s="76" t="str">
        <v>Analyst</v>
      </c>
      <c r="C31" s="76">
        <v>2</v>
      </c>
      <c r="D31" t="s">
        <v>5430</v>
      </c>
    </row>
    <row r="32" spans="1:4">
      <c r="A32" t="str">
        <v>Developing Oneself</v>
      </c>
      <c r="B32" s="76" t="str">
        <v>Analyst</v>
      </c>
      <c r="C32" s="76">
        <v>3</v>
      </c>
      <c r="D32" t="s">
        <v>5431</v>
      </c>
    </row>
    <row r="33" spans="1:4">
      <c r="A33" t="str">
        <v>Developing Oneself</v>
      </c>
      <c r="B33" s="76" t="str">
        <v>Analyst</v>
      </c>
      <c r="C33" s="76">
        <v>4</v>
      </c>
      <c r="D33" t="s">
        <v>5432</v>
      </c>
    </row>
    <row r="34" spans="1:4">
      <c r="A34" t="str">
        <v>Developing Oneself</v>
      </c>
      <c r="B34" s="76" t="str">
        <v>Unit Head/Specialist</v>
      </c>
      <c r="C34" s="76">
        <v>1</v>
      </c>
      <c r="D34" t="s">
        <v>5433</v>
      </c>
    </row>
    <row r="35" spans="1:4">
      <c r="A35" t="str">
        <v>Developing Oneself</v>
      </c>
      <c r="B35" s="76" t="str">
        <v>Unit Head/Specialist</v>
      </c>
      <c r="C35" s="76">
        <v>2</v>
      </c>
      <c r="D35" t="s">
        <v>5434</v>
      </c>
    </row>
    <row r="36" spans="1:4">
      <c r="A36" t="str">
        <v>Developing Oneself</v>
      </c>
      <c r="B36" s="76" t="str">
        <v>Unit Head/Specialist</v>
      </c>
      <c r="C36" s="76">
        <v>3</v>
      </c>
      <c r="D36" t="s">
        <v>5435</v>
      </c>
    </row>
    <row r="37" spans="1:4">
      <c r="A37" t="str">
        <v>Developing Oneself</v>
      </c>
      <c r="B37" s="76" t="str">
        <v>Unit Head/Specialist</v>
      </c>
      <c r="C37" s="76">
        <v>4</v>
      </c>
      <c r="D37" t="s">
        <v>5436</v>
      </c>
    </row>
    <row r="38" spans="1:4">
      <c r="A38" t="str">
        <v>Developing Oneself</v>
      </c>
      <c r="B38" s="76" t="str">
        <v>Department Head</v>
      </c>
      <c r="C38" s="76">
        <v>1</v>
      </c>
      <c r="D38" t="s">
        <v>5437</v>
      </c>
    </row>
    <row r="39" spans="1:4">
      <c r="A39" t="str">
        <v>Developing Oneself</v>
      </c>
      <c r="B39" s="76" t="str">
        <v>Department Head</v>
      </c>
      <c r="C39" s="76">
        <v>2</v>
      </c>
      <c r="D39" t="s">
        <v>5438</v>
      </c>
    </row>
    <row r="40" spans="1:4">
      <c r="A40" t="str">
        <v>Developing Oneself</v>
      </c>
      <c r="B40" s="76" t="str">
        <v>Department Head</v>
      </c>
      <c r="C40" s="76">
        <v>3</v>
      </c>
      <c r="D40" t="s">
        <v>5439</v>
      </c>
    </row>
    <row r="41" spans="1:4">
      <c r="A41" t="str">
        <v>Developing Oneself</v>
      </c>
      <c r="B41" s="76" t="str">
        <v>Department Head</v>
      </c>
      <c r="C41" s="76">
        <v>4</v>
      </c>
      <c r="D41" t="s">
        <v>5440</v>
      </c>
    </row>
    <row r="42" spans="1:4">
      <c r="A42" t="str">
        <v>Developing Oneself</v>
      </c>
      <c r="B42" s="76" t="str">
        <v>Division Head</v>
      </c>
      <c r="C42" s="76">
        <v>1</v>
      </c>
      <c r="D42" t="s">
        <v>5441</v>
      </c>
    </row>
    <row r="43" spans="1:4">
      <c r="A43" t="str">
        <v>Developing Oneself</v>
      </c>
      <c r="B43" s="76" t="str">
        <v>Division Head</v>
      </c>
      <c r="C43" s="76">
        <v>2</v>
      </c>
      <c r="D43" t="s">
        <v>5442</v>
      </c>
    </row>
    <row r="44" spans="1:4">
      <c r="A44" t="str">
        <v>Developing Oneself</v>
      </c>
      <c r="B44" s="76" t="str">
        <v>Division Head</v>
      </c>
      <c r="C44" s="76">
        <v>3</v>
      </c>
      <c r="D44" t="s">
        <v>5443</v>
      </c>
    </row>
    <row r="45" spans="1:4">
      <c r="A45" t="str">
        <v>Developing Oneself</v>
      </c>
      <c r="B45" s="76" t="str">
        <v>Division Head</v>
      </c>
      <c r="C45" s="76">
        <v>4</v>
      </c>
      <c r="D45" t="s">
        <v>5444</v>
      </c>
    </row>
    <row r="46" spans="1:4">
      <c r="A46" t="str">
        <v>Developing Oneself</v>
      </c>
      <c r="B46" s="76" t="str">
        <v>Director</v>
      </c>
      <c r="C46" s="76">
        <v>1</v>
      </c>
      <c r="D46" t="s">
        <v>5445</v>
      </c>
    </row>
    <row r="47" spans="1:4">
      <c r="A47" t="str">
        <v>Developing Oneself</v>
      </c>
      <c r="B47" s="76" t="str">
        <v>Director</v>
      </c>
      <c r="C47" s="76">
        <v>2</v>
      </c>
      <c r="D47" t="s">
        <v>5446</v>
      </c>
    </row>
    <row r="48" spans="1:4">
      <c r="A48" t="str">
        <v>Developing Oneself</v>
      </c>
      <c r="B48" s="76" t="str">
        <v>Director</v>
      </c>
      <c r="C48" s="76">
        <v>3</v>
      </c>
      <c r="D48" t="s">
        <v>5447</v>
      </c>
    </row>
    <row r="49" spans="1:4">
      <c r="A49" t="str">
        <v>Developing Oneself</v>
      </c>
      <c r="B49" s="76" t="str">
        <v>Director</v>
      </c>
      <c r="C49" s="76">
        <v>4</v>
      </c>
      <c r="D49" t="s">
        <v>5448</v>
      </c>
    </row>
    <row r="50" spans="1:4">
      <c r="A50" t="str">
        <v>Planning &amp; Organizing</v>
      </c>
      <c r="B50" s="76" t="str">
        <v>Officer</v>
      </c>
      <c r="C50" s="76">
        <v>1</v>
      </c>
      <c r="D50" t="s">
        <v>5449</v>
      </c>
    </row>
    <row r="51" spans="1:4">
      <c r="A51" t="str">
        <v>Planning &amp; Organizing</v>
      </c>
      <c r="B51" s="76" t="str">
        <v>Officer</v>
      </c>
      <c r="C51" s="76">
        <v>2</v>
      </c>
      <c r="D51" t="s">
        <v>5450</v>
      </c>
    </row>
    <row r="52" spans="1:4">
      <c r="A52" t="str">
        <v>Planning &amp; Organizing</v>
      </c>
      <c r="B52" s="76" t="str">
        <v>Officer</v>
      </c>
      <c r="C52" s="76">
        <v>3</v>
      </c>
      <c r="D52" t="s">
        <v>5451</v>
      </c>
    </row>
    <row r="53" spans="1:4">
      <c r="A53" t="str">
        <v>Planning &amp; Organizing</v>
      </c>
      <c r="B53" s="76" t="str">
        <v>Officer</v>
      </c>
      <c r="C53" s="76">
        <v>4</v>
      </c>
      <c r="D53" t="s">
        <v>5452</v>
      </c>
    </row>
    <row r="54" spans="1:4">
      <c r="A54" t="str">
        <v>Planning &amp; Organizing</v>
      </c>
      <c r="B54" s="76" t="str">
        <v>Analyst</v>
      </c>
      <c r="C54" s="76">
        <v>1</v>
      </c>
      <c r="D54" t="s">
        <v>5453</v>
      </c>
    </row>
    <row r="55" spans="1:4">
      <c r="A55" t="str">
        <v>Planning &amp; Organizing</v>
      </c>
      <c r="B55" s="76" t="str">
        <v>Analyst</v>
      </c>
      <c r="C55" s="76">
        <v>2</v>
      </c>
      <c r="D55" t="s">
        <v>5454</v>
      </c>
    </row>
    <row r="56" spans="1:4">
      <c r="A56" t="str">
        <v>Planning &amp; Organizing</v>
      </c>
      <c r="B56" s="76" t="str">
        <v>Analyst</v>
      </c>
      <c r="C56" s="76">
        <v>3</v>
      </c>
      <c r="D56" t="s">
        <v>5455</v>
      </c>
    </row>
    <row r="57" spans="1:4">
      <c r="A57" t="str">
        <v>Planning &amp; Organizing</v>
      </c>
      <c r="B57" s="76" t="str">
        <v>Analyst</v>
      </c>
      <c r="C57" s="76">
        <v>4</v>
      </c>
      <c r="D57" t="s">
        <v>5456</v>
      </c>
    </row>
    <row r="58" spans="1:4">
      <c r="A58" t="str">
        <v>Planning &amp; Organizing</v>
      </c>
      <c r="B58" s="76" t="str">
        <v>Unit Head/Specialist</v>
      </c>
      <c r="C58" s="76">
        <v>1</v>
      </c>
      <c r="D58" t="s">
        <v>5457</v>
      </c>
    </row>
    <row r="59" spans="1:4">
      <c r="A59" t="str">
        <v>Planning &amp; Organizing</v>
      </c>
      <c r="B59" s="76" t="str">
        <v>Unit Head/Specialist</v>
      </c>
      <c r="C59" s="76">
        <v>2</v>
      </c>
      <c r="D59" t="s">
        <v>5458</v>
      </c>
    </row>
    <row r="60" spans="1:4">
      <c r="A60" t="str">
        <v>Planning &amp; Organizing</v>
      </c>
      <c r="B60" s="76" t="str">
        <v>Unit Head/Specialist</v>
      </c>
      <c r="C60" s="76">
        <v>3</v>
      </c>
      <c r="D60" t="s">
        <v>5459</v>
      </c>
    </row>
    <row r="61" spans="1:4">
      <c r="A61" t="str">
        <v>Planning &amp; Organizing</v>
      </c>
      <c r="B61" s="76" t="str">
        <v>Unit Head/Specialist</v>
      </c>
      <c r="C61" s="76">
        <v>4</v>
      </c>
      <c r="D61" t="s">
        <v>5460</v>
      </c>
    </row>
    <row r="62" spans="1:4">
      <c r="A62" t="str">
        <v>Planning &amp; Organizing</v>
      </c>
      <c r="B62" s="76" t="str">
        <v>Department Head</v>
      </c>
      <c r="C62" s="76">
        <v>1</v>
      </c>
      <c r="D62" t="s">
        <v>5461</v>
      </c>
    </row>
    <row r="63" spans="1:4">
      <c r="A63" t="str">
        <v>Planning &amp; Organizing</v>
      </c>
      <c r="B63" s="76" t="str">
        <v>Department Head</v>
      </c>
      <c r="C63" s="76">
        <v>2</v>
      </c>
      <c r="D63" t="s">
        <v>5462</v>
      </c>
    </row>
    <row r="64" spans="1:4">
      <c r="A64" t="str">
        <v>Planning &amp; Organizing</v>
      </c>
      <c r="B64" s="76" t="str">
        <v>Department Head</v>
      </c>
      <c r="C64" s="76">
        <v>3</v>
      </c>
      <c r="D64" t="s">
        <v>5463</v>
      </c>
    </row>
    <row r="65" spans="1:4">
      <c r="A65" t="str">
        <v>Planning &amp; Organizing</v>
      </c>
      <c r="B65" s="76" t="str">
        <v>Department Head</v>
      </c>
      <c r="C65" s="76">
        <v>4</v>
      </c>
      <c r="D65" t="s">
        <v>5464</v>
      </c>
    </row>
    <row r="66" spans="1:4">
      <c r="A66" t="str">
        <v>Planning &amp; Organizing</v>
      </c>
      <c r="B66" s="76" t="str">
        <v>Division Head</v>
      </c>
      <c r="C66" s="76">
        <v>1</v>
      </c>
      <c r="D66" t="s">
        <v>5417</v>
      </c>
    </row>
    <row r="67" spans="1:4">
      <c r="A67" t="str">
        <v>Planning &amp; Organizing</v>
      </c>
      <c r="B67" s="76" t="str">
        <v>Division Head</v>
      </c>
      <c r="C67" s="76">
        <v>2</v>
      </c>
      <c r="D67" t="s">
        <v>5418</v>
      </c>
    </row>
    <row r="68" spans="1:4">
      <c r="A68" t="str">
        <v>Planning &amp; Organizing</v>
      </c>
      <c r="B68" s="76" t="str">
        <v>Division Head</v>
      </c>
      <c r="C68" s="76">
        <v>3</v>
      </c>
      <c r="D68" t="s">
        <v>5419</v>
      </c>
    </row>
    <row r="69" spans="1:4">
      <c r="A69" t="str">
        <v>Planning &amp; Organizing</v>
      </c>
      <c r="B69" s="76" t="str">
        <v>Division Head</v>
      </c>
      <c r="C69" s="76">
        <v>4</v>
      </c>
      <c r="D69" t="s">
        <v>5465</v>
      </c>
    </row>
    <row r="70" spans="1:4">
      <c r="A70" t="str">
        <v>Planning &amp; Organizing</v>
      </c>
      <c r="B70" s="76" t="str">
        <v>Director</v>
      </c>
      <c r="C70" s="76">
        <v>1</v>
      </c>
      <c r="D70" t="s">
        <v>5466</v>
      </c>
    </row>
    <row r="71" spans="1:4">
      <c r="A71" t="str">
        <v>Planning &amp; Organizing</v>
      </c>
      <c r="B71" s="76" t="str">
        <v>Director</v>
      </c>
      <c r="C71" s="76">
        <v>2</v>
      </c>
      <c r="D71" t="s">
        <v>5422</v>
      </c>
    </row>
    <row r="72" spans="1:4">
      <c r="A72" t="str">
        <v>Planning &amp; Organizing</v>
      </c>
      <c r="B72" s="76" t="str">
        <v>Director</v>
      </c>
      <c r="C72" s="76">
        <v>3</v>
      </c>
      <c r="D72" t="s">
        <v>5467</v>
      </c>
    </row>
    <row r="73" spans="1:4">
      <c r="A73" t="str">
        <v>Planning &amp; Organizing</v>
      </c>
      <c r="B73" s="76" t="str">
        <v>Director</v>
      </c>
      <c r="C73" s="76">
        <v>4</v>
      </c>
      <c r="D73" t="s">
        <v>5468</v>
      </c>
    </row>
    <row r="74" spans="1:4">
      <c r="A74" t="str">
        <v>Problem Solving &amp; Decision Making</v>
      </c>
      <c r="B74" s="76" t="str">
        <v>Officer</v>
      </c>
      <c r="C74" s="76">
        <v>1</v>
      </c>
      <c r="D74" t="s">
        <v>5469</v>
      </c>
    </row>
    <row r="75" spans="1:4">
      <c r="A75" t="str">
        <v>Problem Solving &amp; Decision Making</v>
      </c>
      <c r="B75" s="76" t="str">
        <v>Officer</v>
      </c>
      <c r="C75" s="76">
        <v>2</v>
      </c>
      <c r="D75" t="s">
        <v>5470</v>
      </c>
    </row>
    <row r="76" spans="1:4">
      <c r="A76" t="str">
        <v>Problem Solving &amp; Decision Making</v>
      </c>
      <c r="B76" s="76" t="str">
        <v>Officer</v>
      </c>
      <c r="C76" s="76">
        <v>3</v>
      </c>
      <c r="D76" t="s">
        <v>5471</v>
      </c>
    </row>
    <row r="77" spans="1:4">
      <c r="A77" t="str">
        <v>Problem Solving &amp; Decision Making</v>
      </c>
      <c r="B77" s="76" t="str">
        <v>Officer</v>
      </c>
      <c r="C77" s="76">
        <v>4</v>
      </c>
      <c r="D77" t="s">
        <v>5472</v>
      </c>
    </row>
    <row r="78" spans="1:4">
      <c r="A78" t="str">
        <v>Problem Solving &amp; Decision Making</v>
      </c>
      <c r="B78" s="76" t="str">
        <v>Analyst</v>
      </c>
      <c r="C78" s="76">
        <v>1</v>
      </c>
      <c r="D78" t="s">
        <v>5453</v>
      </c>
    </row>
    <row r="79" spans="1:4">
      <c r="A79" t="str">
        <v>Problem Solving &amp; Decision Making</v>
      </c>
      <c r="B79" s="76" t="str">
        <v>Analyst</v>
      </c>
      <c r="C79" s="76">
        <v>2</v>
      </c>
      <c r="D79" t="s">
        <v>5473</v>
      </c>
    </row>
    <row r="80" spans="1:4">
      <c r="A80" t="str">
        <v>Problem Solving &amp; Decision Making</v>
      </c>
      <c r="B80" s="76" t="str">
        <v>Analyst</v>
      </c>
      <c r="C80" s="76">
        <v>3</v>
      </c>
      <c r="D80" t="s">
        <v>5474</v>
      </c>
    </row>
    <row r="81" spans="1:4">
      <c r="A81" t="str">
        <v>Problem Solving &amp; Decision Making</v>
      </c>
      <c r="B81" s="76" t="str">
        <v>Analyst</v>
      </c>
      <c r="C81" s="76">
        <v>4</v>
      </c>
      <c r="D81" t="s">
        <v>5475</v>
      </c>
    </row>
    <row r="82" spans="1:4">
      <c r="A82" t="str">
        <v>Problem Solving &amp; Decision Making</v>
      </c>
      <c r="B82" s="76" t="str">
        <v>Unit Head/Specialist</v>
      </c>
      <c r="C82" s="76">
        <v>1</v>
      </c>
      <c r="D82" t="s">
        <v>5457</v>
      </c>
    </row>
    <row r="83" spans="1:4">
      <c r="A83" t="str">
        <v>Problem Solving &amp; Decision Making</v>
      </c>
      <c r="B83" s="76" t="str">
        <v>Unit Head/Specialist</v>
      </c>
      <c r="C83" s="76">
        <v>2</v>
      </c>
      <c r="D83" t="s">
        <v>5458</v>
      </c>
    </row>
    <row r="84" spans="1:4">
      <c r="A84" t="str">
        <v>Problem Solving &amp; Decision Making</v>
      </c>
      <c r="B84" s="76" t="str">
        <v>Unit Head/Specialist</v>
      </c>
      <c r="C84" s="76">
        <v>3</v>
      </c>
      <c r="D84" t="s">
        <v>5476</v>
      </c>
    </row>
    <row r="85" spans="1:4">
      <c r="A85" t="str">
        <v>Problem Solving &amp; Decision Making</v>
      </c>
      <c r="B85" s="76" t="str">
        <v>Unit Head/Specialist</v>
      </c>
      <c r="C85" s="76">
        <v>4</v>
      </c>
      <c r="D85" t="s">
        <v>5460</v>
      </c>
    </row>
    <row r="86" spans="1:4">
      <c r="A86" t="str">
        <v>Problem Solving &amp; Decision Making</v>
      </c>
      <c r="B86" s="76" t="str">
        <v>Department Head</v>
      </c>
      <c r="C86" s="76">
        <v>1</v>
      </c>
      <c r="D86" t="s">
        <v>5477</v>
      </c>
    </row>
    <row r="87" spans="1:4">
      <c r="A87" t="str">
        <v>Problem Solving &amp; Decision Making</v>
      </c>
      <c r="B87" s="76" t="str">
        <v>Department Head</v>
      </c>
      <c r="C87" s="76">
        <v>2</v>
      </c>
      <c r="D87" t="s">
        <v>5478</v>
      </c>
    </row>
    <row r="88" spans="1:4">
      <c r="A88" t="str">
        <v>Problem Solving &amp; Decision Making</v>
      </c>
      <c r="B88" s="76" t="str">
        <v>Department Head</v>
      </c>
      <c r="C88" s="76">
        <v>3</v>
      </c>
      <c r="D88" t="s">
        <v>5479</v>
      </c>
    </row>
    <row r="89" spans="1:4">
      <c r="A89" t="str">
        <v>Problem Solving &amp; Decision Making</v>
      </c>
      <c r="B89" s="76" t="str">
        <v>Department Head</v>
      </c>
      <c r="C89" s="76">
        <v>4</v>
      </c>
      <c r="D89" t="s">
        <v>5480</v>
      </c>
    </row>
    <row r="90" spans="1:4">
      <c r="A90" t="str">
        <v>Problem Solving &amp; Decision Making</v>
      </c>
      <c r="B90" s="76" t="str">
        <v>Division Head</v>
      </c>
      <c r="C90" s="76">
        <v>1</v>
      </c>
      <c r="D90" t="s">
        <v>5481</v>
      </c>
    </row>
    <row r="91" spans="1:4">
      <c r="A91" t="str">
        <v>Problem Solving &amp; Decision Making</v>
      </c>
      <c r="B91" s="76" t="str">
        <v>Division Head</v>
      </c>
      <c r="C91" s="76">
        <v>2</v>
      </c>
      <c r="D91" t="s">
        <v>5482</v>
      </c>
    </row>
    <row r="92" spans="1:4">
      <c r="A92" t="str">
        <v>Problem Solving &amp; Decision Making</v>
      </c>
      <c r="B92" s="76" t="str">
        <v>Division Head</v>
      </c>
      <c r="C92" s="76">
        <v>3</v>
      </c>
      <c r="D92" t="s">
        <v>5483</v>
      </c>
    </row>
    <row r="93" spans="1:4">
      <c r="A93" t="str">
        <v>Problem Solving &amp; Decision Making</v>
      </c>
      <c r="B93" s="76" t="str">
        <v>Division Head</v>
      </c>
      <c r="C93" s="76">
        <v>4</v>
      </c>
      <c r="D93" t="s">
        <v>5484</v>
      </c>
    </row>
    <row r="94" spans="1:4">
      <c r="A94" t="str">
        <v>Problem Solving &amp; Decision Making</v>
      </c>
      <c r="B94" s="76" t="str">
        <v>Director</v>
      </c>
      <c r="C94" s="76">
        <v>1</v>
      </c>
      <c r="D94" t="s">
        <v>5485</v>
      </c>
    </row>
    <row r="95" spans="1:4">
      <c r="A95" t="str">
        <v>Problem Solving &amp; Decision Making</v>
      </c>
      <c r="B95" s="76" t="str">
        <v>Director</v>
      </c>
      <c r="C95" s="76">
        <v>2</v>
      </c>
      <c r="D95" t="s">
        <v>5486</v>
      </c>
    </row>
    <row r="96" spans="1:4">
      <c r="A96" t="str">
        <v>Problem Solving &amp; Decision Making</v>
      </c>
      <c r="B96" s="76" t="str">
        <v>Director</v>
      </c>
      <c r="C96" s="76">
        <v>3</v>
      </c>
      <c r="D96" t="s">
        <v>5487</v>
      </c>
    </row>
    <row r="97" spans="1:4">
      <c r="A97" t="str">
        <v>Problem Solving &amp; Decision Making</v>
      </c>
      <c r="B97" s="76" t="str">
        <v>Director</v>
      </c>
      <c r="C97" s="76">
        <v>4</v>
      </c>
      <c r="D97" t="s">
        <v>5488</v>
      </c>
    </row>
    <row r="98" spans="1:4">
      <c r="A98" t="str">
        <v>Controlling &amp; Corrective Action</v>
      </c>
      <c r="B98" s="76" t="str">
        <v>Officer</v>
      </c>
      <c r="C98" s="76">
        <v>1</v>
      </c>
      <c r="D98" t="s">
        <v>5449</v>
      </c>
    </row>
    <row r="99" spans="1:4">
      <c r="A99" t="str">
        <v>Controlling &amp; Corrective Action</v>
      </c>
      <c r="B99" s="76" t="str">
        <v>Officer</v>
      </c>
      <c r="C99" s="76">
        <v>2</v>
      </c>
      <c r="D99" t="s">
        <v>5450</v>
      </c>
    </row>
    <row r="100" spans="1:4">
      <c r="A100" t="str">
        <v>Controlling &amp; Corrective Action</v>
      </c>
      <c r="B100" s="76" t="str">
        <v>Officer</v>
      </c>
      <c r="C100" s="76">
        <v>3</v>
      </c>
      <c r="D100" t="s">
        <v>5451</v>
      </c>
    </row>
    <row r="101" spans="1:4">
      <c r="A101" t="str">
        <v>Controlling &amp; Corrective Action</v>
      </c>
      <c r="B101" s="76" t="str">
        <v>Officer</v>
      </c>
      <c r="C101" s="76">
        <v>4</v>
      </c>
      <c r="D101" t="s">
        <v>5489</v>
      </c>
    </row>
    <row r="102" spans="1:4">
      <c r="A102" t="str">
        <v>Controlling &amp; Corrective Action</v>
      </c>
      <c r="B102" s="76" t="str">
        <v>Analyst</v>
      </c>
      <c r="C102" s="76">
        <v>1</v>
      </c>
      <c r="D102" t="s">
        <v>5490</v>
      </c>
    </row>
    <row r="103" spans="1:4">
      <c r="A103" t="str">
        <v>Controlling &amp; Corrective Action</v>
      </c>
      <c r="B103" s="76" t="str">
        <v>Analyst</v>
      </c>
      <c r="C103" s="76">
        <v>2</v>
      </c>
      <c r="D103" t="s">
        <v>5491</v>
      </c>
    </row>
    <row r="104" spans="1:4">
      <c r="A104" t="str">
        <v>Controlling &amp; Corrective Action</v>
      </c>
      <c r="B104" s="76" t="str">
        <v>Analyst</v>
      </c>
      <c r="C104" s="76">
        <v>3</v>
      </c>
      <c r="D104" t="s">
        <v>5492</v>
      </c>
    </row>
    <row r="105" spans="1:4">
      <c r="A105" t="str">
        <v>Controlling &amp; Corrective Action</v>
      </c>
      <c r="B105" s="76" t="str">
        <v>Analyst</v>
      </c>
      <c r="C105" s="76">
        <v>4</v>
      </c>
      <c r="D105" t="s">
        <v>5493</v>
      </c>
    </row>
    <row r="106" spans="1:4">
      <c r="A106" t="str">
        <v>Controlling &amp; Corrective Action</v>
      </c>
      <c r="B106" s="76" t="str">
        <v>Unit Head/Specialist</v>
      </c>
      <c r="C106" s="76">
        <v>1</v>
      </c>
      <c r="D106" t="s">
        <v>5494</v>
      </c>
    </row>
    <row r="107" spans="1:4">
      <c r="A107" t="str">
        <v>Controlling &amp; Corrective Action</v>
      </c>
      <c r="B107" s="76" t="str">
        <v>Unit Head/Specialist</v>
      </c>
      <c r="C107" s="76">
        <v>2</v>
      </c>
      <c r="D107" t="s">
        <v>5410</v>
      </c>
    </row>
    <row r="108" spans="1:4">
      <c r="A108" t="str">
        <v>Controlling &amp; Corrective Action</v>
      </c>
      <c r="B108" s="76" t="str">
        <v>Unit Head/Specialist</v>
      </c>
      <c r="C108" s="76">
        <v>3</v>
      </c>
      <c r="D108" t="s">
        <v>5411</v>
      </c>
    </row>
    <row r="109" spans="1:4">
      <c r="A109" t="str">
        <v>Controlling &amp; Corrective Action</v>
      </c>
      <c r="B109" s="76" t="str">
        <v>Unit Head/Specialist</v>
      </c>
      <c r="C109" s="76">
        <v>4</v>
      </c>
      <c r="D109" t="s">
        <v>5412</v>
      </c>
    </row>
    <row r="110" spans="1:4">
      <c r="A110" t="str">
        <v>Controlling &amp; Corrective Action</v>
      </c>
      <c r="B110" s="76" t="str">
        <v>Department Head</v>
      </c>
      <c r="C110" s="76">
        <v>1</v>
      </c>
      <c r="D110" t="s">
        <v>5495</v>
      </c>
    </row>
    <row r="111" spans="1:4">
      <c r="A111" t="str">
        <v>Controlling &amp; Corrective Action</v>
      </c>
      <c r="B111" s="76" t="str">
        <v>Department Head</v>
      </c>
      <c r="C111" s="76">
        <v>2</v>
      </c>
      <c r="D111" t="s">
        <v>5496</v>
      </c>
    </row>
    <row r="112" spans="1:4">
      <c r="A112" t="str">
        <v>Controlling &amp; Corrective Action</v>
      </c>
      <c r="B112" s="76" t="str">
        <v>Department Head</v>
      </c>
      <c r="C112" s="76">
        <v>3</v>
      </c>
      <c r="D112" t="s">
        <v>5497</v>
      </c>
    </row>
    <row r="113" spans="1:4">
      <c r="A113" t="str">
        <v>Controlling &amp; Corrective Action</v>
      </c>
      <c r="B113" s="76" t="str">
        <v>Department Head</v>
      </c>
      <c r="C113" s="76">
        <v>4</v>
      </c>
      <c r="D113" t="s">
        <v>5498</v>
      </c>
    </row>
    <row r="114" spans="1:4">
      <c r="A114" t="str">
        <v>Controlling &amp; Corrective Action</v>
      </c>
      <c r="B114" s="76" t="str">
        <v>Division Head</v>
      </c>
      <c r="C114" s="76">
        <v>1</v>
      </c>
      <c r="D114" t="s">
        <v>5417</v>
      </c>
    </row>
    <row r="115" spans="1:4">
      <c r="A115" t="str">
        <v>Controlling &amp; Corrective Action</v>
      </c>
      <c r="B115" s="76" t="str">
        <v>Division Head</v>
      </c>
      <c r="C115" s="76">
        <v>2</v>
      </c>
      <c r="D115" t="s">
        <v>5418</v>
      </c>
    </row>
    <row r="116" spans="1:4">
      <c r="A116" t="str">
        <v>Controlling &amp; Corrective Action</v>
      </c>
      <c r="B116" s="76" t="str">
        <v>Division Head</v>
      </c>
      <c r="C116" s="76">
        <v>3</v>
      </c>
      <c r="D116" t="s">
        <v>5419</v>
      </c>
    </row>
    <row r="117" spans="1:4">
      <c r="A117" t="str">
        <v>Controlling &amp; Corrective Action</v>
      </c>
      <c r="B117" s="76" t="str">
        <v>Division Head</v>
      </c>
      <c r="C117" s="76">
        <v>4</v>
      </c>
      <c r="D117" t="s">
        <v>5465</v>
      </c>
    </row>
    <row r="118" spans="1:4">
      <c r="A118" t="str">
        <v>Controlling &amp; Corrective Action</v>
      </c>
      <c r="B118" s="76" t="str">
        <v>Director</v>
      </c>
      <c r="C118" s="76">
        <v>1</v>
      </c>
      <c r="D118" t="s">
        <v>5499</v>
      </c>
    </row>
    <row r="119" spans="1:4">
      <c r="A119" t="str">
        <v>Controlling &amp; Corrective Action</v>
      </c>
      <c r="B119" s="76" t="str">
        <v>Director</v>
      </c>
      <c r="C119" s="76">
        <v>2</v>
      </c>
      <c r="D119" t="s">
        <v>5422</v>
      </c>
    </row>
    <row r="120" spans="1:4">
      <c r="A120" t="str">
        <v>Controlling &amp; Corrective Action</v>
      </c>
      <c r="B120" s="76" t="str">
        <v>Director</v>
      </c>
      <c r="C120" s="76">
        <v>3</v>
      </c>
      <c r="D120" t="s">
        <v>5500</v>
      </c>
    </row>
    <row r="121" spans="1:4">
      <c r="A121" t="str">
        <v>Controlling &amp; Corrective Action</v>
      </c>
      <c r="B121" s="76" t="str">
        <v>Director</v>
      </c>
      <c r="C121" s="76">
        <v>4</v>
      </c>
      <c r="D121" t="s">
        <v>5501</v>
      </c>
    </row>
    <row r="122" spans="1:4">
      <c r="A122" t="str">
        <v>Analytical Thinking</v>
      </c>
      <c r="B122" s="76" t="str">
        <v>Officer</v>
      </c>
      <c r="C122" s="76">
        <v>1</v>
      </c>
      <c r="D122" t="s">
        <v>5502</v>
      </c>
    </row>
    <row r="123" spans="1:4">
      <c r="A123" t="str">
        <v>Analytical Thinking</v>
      </c>
      <c r="B123" s="76" t="str">
        <v>Officer</v>
      </c>
      <c r="C123" s="76">
        <v>2</v>
      </c>
      <c r="D123" t="s">
        <v>5503</v>
      </c>
    </row>
    <row r="124" spans="1:4">
      <c r="A124" t="str">
        <v>Analytical Thinking</v>
      </c>
      <c r="B124" s="76" t="str">
        <v>Officer</v>
      </c>
      <c r="C124" s="76">
        <v>3</v>
      </c>
      <c r="D124" t="s">
        <v>5504</v>
      </c>
    </row>
    <row r="125" spans="1:4">
      <c r="A125" t="str">
        <v>Analytical Thinking</v>
      </c>
      <c r="B125" s="76" t="str">
        <v>Officer</v>
      </c>
      <c r="C125" s="76">
        <v>4</v>
      </c>
      <c r="D125" t="s">
        <v>5505</v>
      </c>
    </row>
    <row r="126" spans="1:4">
      <c r="A126" t="str">
        <v>Analytical Thinking</v>
      </c>
      <c r="B126" s="76" t="str">
        <v>Analyst</v>
      </c>
      <c r="C126" s="76">
        <v>1</v>
      </c>
      <c r="D126" t="s">
        <v>5453</v>
      </c>
    </row>
    <row r="127" spans="1:4">
      <c r="A127" t="str">
        <v>Analytical Thinking</v>
      </c>
      <c r="B127" s="76" t="str">
        <v>Analyst</v>
      </c>
      <c r="C127" s="76">
        <v>2</v>
      </c>
      <c r="D127" t="s">
        <v>5473</v>
      </c>
    </row>
    <row r="128" spans="1:4">
      <c r="A128" t="str">
        <v>Analytical Thinking</v>
      </c>
      <c r="B128" s="76" t="str">
        <v>Analyst</v>
      </c>
      <c r="C128" s="76">
        <v>3</v>
      </c>
      <c r="D128" t="s">
        <v>5474</v>
      </c>
    </row>
    <row r="129" spans="1:4">
      <c r="A129" t="str">
        <v>Analytical Thinking</v>
      </c>
      <c r="B129" s="76" t="str">
        <v>Analyst</v>
      </c>
      <c r="C129" s="76">
        <v>4</v>
      </c>
      <c r="D129" t="s">
        <v>5475</v>
      </c>
    </row>
    <row r="130" spans="1:4">
      <c r="A130" t="str">
        <v>Analytical Thinking</v>
      </c>
      <c r="B130" s="76" t="str">
        <v>Unit Head/Specialist</v>
      </c>
      <c r="C130" s="76">
        <v>1</v>
      </c>
      <c r="D130" t="s">
        <v>5506</v>
      </c>
    </row>
    <row r="131" spans="1:4">
      <c r="A131" t="str">
        <v>Analytical Thinking</v>
      </c>
      <c r="B131" s="76" t="str">
        <v>Unit Head/Specialist</v>
      </c>
      <c r="C131" s="76">
        <v>2</v>
      </c>
      <c r="D131" t="s">
        <v>5507</v>
      </c>
    </row>
    <row r="132" spans="1:4">
      <c r="A132" t="str">
        <v>Analytical Thinking</v>
      </c>
      <c r="B132" s="76" t="str">
        <v>Unit Head/Specialist</v>
      </c>
      <c r="C132" s="76">
        <v>3</v>
      </c>
      <c r="D132" t="s">
        <v>5508</v>
      </c>
    </row>
    <row r="133" spans="1:4">
      <c r="A133" t="str">
        <v>Analytical Thinking</v>
      </c>
      <c r="B133" s="76" t="str">
        <v>Unit Head/Specialist</v>
      </c>
      <c r="C133" s="76">
        <v>4</v>
      </c>
      <c r="D133" t="s">
        <v>5509</v>
      </c>
    </row>
    <row r="134" spans="1:4">
      <c r="A134" t="str">
        <v>Analytical Thinking</v>
      </c>
      <c r="B134" s="76" t="str">
        <v>Department Head</v>
      </c>
      <c r="C134" s="76">
        <v>1</v>
      </c>
      <c r="D134" t="s">
        <v>5510</v>
      </c>
    </row>
    <row r="135" spans="1:4">
      <c r="A135" t="str">
        <v>Analytical Thinking</v>
      </c>
      <c r="B135" s="76" t="str">
        <v>Department Head</v>
      </c>
      <c r="C135" s="76">
        <v>2</v>
      </c>
      <c r="D135" t="s">
        <v>5511</v>
      </c>
    </row>
    <row r="136" spans="1:4">
      <c r="A136" t="str">
        <v>Analytical Thinking</v>
      </c>
      <c r="B136" s="76" t="str">
        <v>Department Head</v>
      </c>
      <c r="C136" s="76">
        <v>3</v>
      </c>
      <c r="D136" t="s">
        <v>5512</v>
      </c>
    </row>
    <row r="137" spans="1:4">
      <c r="A137" t="str">
        <v>Analytical Thinking</v>
      </c>
      <c r="B137" s="76" t="str">
        <v>Department Head</v>
      </c>
      <c r="C137" s="76">
        <v>4</v>
      </c>
      <c r="D137" t="s">
        <v>5513</v>
      </c>
    </row>
    <row r="138" spans="1:4">
      <c r="A138" t="str">
        <v>Analytical Thinking</v>
      </c>
      <c r="B138" s="76" t="str">
        <v>Division Head</v>
      </c>
      <c r="C138" s="76">
        <v>1</v>
      </c>
      <c r="D138" t="s">
        <v>5514</v>
      </c>
    </row>
    <row r="139" spans="1:4">
      <c r="A139" t="str">
        <v>Analytical Thinking</v>
      </c>
      <c r="B139" s="76" t="str">
        <v>Division Head</v>
      </c>
      <c r="C139" s="76">
        <v>2</v>
      </c>
      <c r="D139" t="s">
        <v>5482</v>
      </c>
    </row>
    <row r="140" spans="1:4">
      <c r="A140" t="str">
        <v>Analytical Thinking</v>
      </c>
      <c r="B140" s="76" t="str">
        <v>Division Head</v>
      </c>
      <c r="C140" s="76">
        <v>3</v>
      </c>
      <c r="D140" t="s">
        <v>5515</v>
      </c>
    </row>
    <row r="141" spans="1:4">
      <c r="A141" t="str">
        <v>Analytical Thinking</v>
      </c>
      <c r="B141" s="76" t="str">
        <v>Division Head</v>
      </c>
      <c r="C141" s="76">
        <v>4</v>
      </c>
      <c r="D141" t="s">
        <v>5516</v>
      </c>
    </row>
    <row r="142" spans="1:4">
      <c r="A142" t="str">
        <v>Analytical Thinking</v>
      </c>
      <c r="B142" s="76" t="str">
        <v>Director</v>
      </c>
      <c r="C142" s="76">
        <v>1</v>
      </c>
      <c r="D142" t="s">
        <v>5485</v>
      </c>
    </row>
    <row r="143" spans="1:4">
      <c r="A143" t="str">
        <v>Analytical Thinking</v>
      </c>
      <c r="B143" s="76" t="str">
        <v>Director</v>
      </c>
      <c r="C143" s="76">
        <v>2</v>
      </c>
      <c r="D143" t="s">
        <v>5517</v>
      </c>
    </row>
    <row r="144" spans="1:4">
      <c r="A144" t="str">
        <v>Analytical Thinking</v>
      </c>
      <c r="B144" s="76" t="str">
        <v>Director</v>
      </c>
      <c r="C144" s="76">
        <v>3</v>
      </c>
      <c r="D144" t="s">
        <v>5487</v>
      </c>
    </row>
    <row r="145" spans="1:4">
      <c r="A145" t="str">
        <v>Analytical Thinking</v>
      </c>
      <c r="B145" s="76" t="str">
        <v>Director</v>
      </c>
      <c r="C145" s="76">
        <v>4</v>
      </c>
      <c r="D145" t="s">
        <v>5518</v>
      </c>
    </row>
    <row r="146" spans="1:4">
      <c r="A146" t="str">
        <v>Managing Change</v>
      </c>
      <c r="B146" s="76" t="str">
        <v>Officer</v>
      </c>
      <c r="C146" s="76">
        <v>1</v>
      </c>
      <c r="D146" t="s">
        <v>5519</v>
      </c>
    </row>
    <row r="147" spans="1:4">
      <c r="A147" t="str">
        <v>Managing Change</v>
      </c>
      <c r="B147" s="76" t="str">
        <v>Officer</v>
      </c>
      <c r="C147" s="76">
        <v>2</v>
      </c>
      <c r="D147" t="s">
        <v>5520</v>
      </c>
    </row>
    <row r="148" spans="1:4">
      <c r="A148" t="str">
        <v>Managing Change</v>
      </c>
      <c r="B148" s="76" t="str">
        <v>Officer</v>
      </c>
      <c r="C148" s="76">
        <v>3</v>
      </c>
      <c r="D148" t="s">
        <v>5521</v>
      </c>
    </row>
    <row r="149" spans="1:4">
      <c r="A149" t="str">
        <v>Managing Change</v>
      </c>
      <c r="B149" s="76" t="str">
        <v>Officer</v>
      </c>
      <c r="C149" s="76">
        <v>4</v>
      </c>
      <c r="D149" t="s">
        <v>5522</v>
      </c>
    </row>
    <row r="150" spans="1:4">
      <c r="A150" t="str">
        <v>Managing Change</v>
      </c>
      <c r="B150" s="76" t="str">
        <v>Analyst</v>
      </c>
      <c r="C150" s="76">
        <v>1</v>
      </c>
      <c r="D150" t="s">
        <v>5523</v>
      </c>
    </row>
    <row r="151" spans="1:4">
      <c r="A151" t="str">
        <v>Managing Change</v>
      </c>
      <c r="B151" s="76" t="str">
        <v>Analyst</v>
      </c>
      <c r="C151" s="76">
        <v>2</v>
      </c>
      <c r="D151" t="s">
        <v>5524</v>
      </c>
    </row>
    <row r="152" spans="1:4">
      <c r="A152" t="str">
        <v>Managing Change</v>
      </c>
      <c r="B152" s="76" t="str">
        <v>Analyst</v>
      </c>
      <c r="C152" s="76">
        <v>3</v>
      </c>
      <c r="D152" t="s">
        <v>5525</v>
      </c>
    </row>
    <row r="153" spans="1:4">
      <c r="A153" t="str">
        <v>Managing Change</v>
      </c>
      <c r="B153" s="76" t="str">
        <v>Analyst</v>
      </c>
      <c r="C153" s="76">
        <v>4</v>
      </c>
      <c r="D153" t="s">
        <v>5526</v>
      </c>
    </row>
    <row r="154" spans="1:4">
      <c r="A154" t="str">
        <v>Managing Change</v>
      </c>
      <c r="B154" s="76" t="str">
        <v>Unit Head/Specialist</v>
      </c>
      <c r="C154" s="76">
        <v>1</v>
      </c>
      <c r="D154" t="s">
        <v>5527</v>
      </c>
    </row>
    <row r="155" spans="1:4">
      <c r="A155" t="str">
        <v>Managing Change</v>
      </c>
      <c r="B155" s="76" t="str">
        <v>Unit Head/Specialist</v>
      </c>
      <c r="C155" s="76">
        <v>2</v>
      </c>
      <c r="D155" t="s">
        <v>5528</v>
      </c>
    </row>
    <row r="156" spans="1:4">
      <c r="A156" t="str">
        <v>Managing Change</v>
      </c>
      <c r="B156" s="76" t="str">
        <v>Unit Head/Specialist</v>
      </c>
      <c r="C156" s="76">
        <v>3</v>
      </c>
      <c r="D156" t="s">
        <v>5529</v>
      </c>
    </row>
    <row r="157" spans="1:4">
      <c r="A157" t="str">
        <v>Managing Change</v>
      </c>
      <c r="B157" s="76" t="str">
        <v>Unit Head/Specialist</v>
      </c>
      <c r="C157" s="76">
        <v>4</v>
      </c>
      <c r="D157" t="s">
        <v>5530</v>
      </c>
    </row>
    <row r="158" spans="1:4">
      <c r="A158" t="str">
        <v>Managing Change</v>
      </c>
      <c r="B158" s="76" t="str">
        <v>Department Head</v>
      </c>
      <c r="C158" s="76">
        <v>1</v>
      </c>
      <c r="D158" t="s">
        <v>5531</v>
      </c>
    </row>
    <row r="159" spans="1:4">
      <c r="A159" t="str">
        <v>Managing Change</v>
      </c>
      <c r="B159" s="76" t="str">
        <v>Department Head</v>
      </c>
      <c r="C159" s="76">
        <v>2</v>
      </c>
      <c r="D159" t="s">
        <v>5532</v>
      </c>
    </row>
    <row r="160" spans="1:4">
      <c r="A160" t="str">
        <v>Managing Change</v>
      </c>
      <c r="B160" s="76" t="str">
        <v>Department Head</v>
      </c>
      <c r="C160" s="76">
        <v>3</v>
      </c>
      <c r="D160" t="s">
        <v>5533</v>
      </c>
    </row>
    <row r="161" spans="1:4">
      <c r="A161" t="str">
        <v>Managing Change</v>
      </c>
      <c r="B161" s="76" t="str">
        <v>Department Head</v>
      </c>
      <c r="C161" s="76">
        <v>4</v>
      </c>
      <c r="D161" t="s">
        <v>5534</v>
      </c>
    </row>
    <row r="162" spans="1:4">
      <c r="A162" t="str">
        <v>Managing Change</v>
      </c>
      <c r="B162" s="76" t="str">
        <v>Division Head</v>
      </c>
      <c r="C162" s="76">
        <v>1</v>
      </c>
      <c r="D162" t="s">
        <v>5535</v>
      </c>
    </row>
    <row r="163" spans="1:4">
      <c r="A163" t="str">
        <v>Managing Change</v>
      </c>
      <c r="B163" s="76" t="str">
        <v>Division Head</v>
      </c>
      <c r="C163" s="76">
        <v>2</v>
      </c>
      <c r="D163" t="s">
        <v>5536</v>
      </c>
    </row>
    <row r="164" spans="1:4">
      <c r="A164" t="str">
        <v>Managing Change</v>
      </c>
      <c r="B164" s="76" t="str">
        <v>Division Head</v>
      </c>
      <c r="C164" s="76">
        <v>3</v>
      </c>
      <c r="D164" t="s">
        <v>5537</v>
      </c>
    </row>
    <row r="165" spans="1:4">
      <c r="A165" t="str">
        <v>Managing Change</v>
      </c>
      <c r="B165" s="76" t="str">
        <v>Division Head</v>
      </c>
      <c r="C165" s="76">
        <v>4</v>
      </c>
      <c r="D165" t="s">
        <v>5538</v>
      </c>
    </row>
    <row r="166" spans="1:4">
      <c r="A166" t="str">
        <v>Managing Change</v>
      </c>
      <c r="B166" s="76" t="str">
        <v>Director</v>
      </c>
      <c r="C166" s="76">
        <v>1</v>
      </c>
      <c r="D166" t="s">
        <v>5539</v>
      </c>
    </row>
    <row r="167" spans="1:4">
      <c r="A167" t="str">
        <v>Managing Change</v>
      </c>
      <c r="B167" s="76" t="str">
        <v>Director</v>
      </c>
      <c r="C167" s="76">
        <v>2</v>
      </c>
      <c r="D167" t="s">
        <v>5540</v>
      </c>
    </row>
    <row r="168" spans="1:4">
      <c r="A168" t="str">
        <v>Managing Change</v>
      </c>
      <c r="B168" s="76" t="str">
        <v>Director</v>
      </c>
      <c r="C168" s="76">
        <v>3</v>
      </c>
      <c r="D168" t="s">
        <v>5541</v>
      </c>
    </row>
    <row r="169" spans="1:4">
      <c r="A169" t="str">
        <v>Managing Change</v>
      </c>
      <c r="B169" s="76" t="str">
        <v>Director</v>
      </c>
      <c r="C169" s="76">
        <v>4</v>
      </c>
      <c r="D169" t="s">
        <v>5542</v>
      </c>
    </row>
    <row r="170" spans="1:4">
      <c r="A170" t="str">
        <v>Strategic Thinking</v>
      </c>
      <c r="B170" s="76" t="str">
        <v>Officer</v>
      </c>
      <c r="C170" s="76">
        <v>1</v>
      </c>
      <c r="D170" t="s">
        <v>5543</v>
      </c>
    </row>
    <row r="171" spans="1:4">
      <c r="A171" t="str">
        <v>Strategic Thinking</v>
      </c>
      <c r="B171" s="76" t="str">
        <v>Officer</v>
      </c>
      <c r="C171" s="76">
        <v>2</v>
      </c>
      <c r="D171" t="s">
        <v>5503</v>
      </c>
    </row>
    <row r="172" spans="1:4">
      <c r="A172" t="str">
        <v>Strategic Thinking</v>
      </c>
      <c r="B172" s="76" t="str">
        <v>Officer</v>
      </c>
      <c r="C172" s="76">
        <v>3</v>
      </c>
      <c r="D172" t="s">
        <v>5504</v>
      </c>
    </row>
    <row r="173" spans="1:4">
      <c r="A173" t="str">
        <v>Strategic Thinking</v>
      </c>
      <c r="B173" s="76" t="str">
        <v>Officer</v>
      </c>
      <c r="C173" s="76">
        <v>4</v>
      </c>
      <c r="D173" t="s">
        <v>5544</v>
      </c>
    </row>
    <row r="174" spans="1:4">
      <c r="A174" t="str">
        <v>Strategic Thinking</v>
      </c>
      <c r="B174" s="76" t="str">
        <v>Analyst</v>
      </c>
      <c r="C174" s="76">
        <v>1</v>
      </c>
      <c r="D174" t="s">
        <v>5545</v>
      </c>
    </row>
    <row r="175" spans="1:4">
      <c r="A175" t="str">
        <v>Strategic Thinking</v>
      </c>
      <c r="B175" s="76" t="str">
        <v>Analyst</v>
      </c>
      <c r="C175" s="76">
        <v>2</v>
      </c>
      <c r="D175" t="s">
        <v>5546</v>
      </c>
    </row>
    <row r="176" spans="1:4">
      <c r="A176" t="str">
        <v>Strategic Thinking</v>
      </c>
      <c r="B176" s="76" t="str">
        <v>Analyst</v>
      </c>
      <c r="C176" s="76">
        <v>3</v>
      </c>
      <c r="D176" t="s">
        <v>5547</v>
      </c>
    </row>
    <row r="177" spans="1:4">
      <c r="A177" t="str">
        <v>Strategic Thinking</v>
      </c>
      <c r="B177" s="76" t="str">
        <v>Analyst</v>
      </c>
      <c r="C177" s="76">
        <v>4</v>
      </c>
      <c r="D177" t="s">
        <v>5548</v>
      </c>
    </row>
    <row r="178" spans="1:4">
      <c r="A178" t="str">
        <v>Strategic Thinking</v>
      </c>
      <c r="B178" s="76" t="str">
        <v>Unit Head/Specialist</v>
      </c>
      <c r="C178" s="76">
        <v>1</v>
      </c>
      <c r="D178" t="s">
        <v>5549</v>
      </c>
    </row>
    <row r="179" spans="1:4">
      <c r="A179" t="str">
        <v>Strategic Thinking</v>
      </c>
      <c r="B179" s="76" t="str">
        <v>Unit Head/Specialist</v>
      </c>
      <c r="C179" s="76">
        <v>2</v>
      </c>
      <c r="D179" t="s">
        <v>5550</v>
      </c>
    </row>
    <row r="180" spans="1:4">
      <c r="A180" t="str">
        <v>Strategic Thinking</v>
      </c>
      <c r="B180" s="76" t="str">
        <v>Unit Head/Specialist</v>
      </c>
      <c r="C180" s="76">
        <v>3</v>
      </c>
      <c r="D180" t="s">
        <v>5551</v>
      </c>
    </row>
    <row r="181" spans="1:4">
      <c r="A181" t="str">
        <v>Strategic Thinking</v>
      </c>
      <c r="B181" s="76" t="str">
        <v>Unit Head/Specialist</v>
      </c>
      <c r="C181" s="76">
        <v>4</v>
      </c>
      <c r="D181" t="s">
        <v>5552</v>
      </c>
    </row>
    <row r="182" spans="1:4">
      <c r="A182" t="str">
        <v>Strategic Thinking</v>
      </c>
      <c r="B182" s="76" t="str">
        <v>Department Head</v>
      </c>
      <c r="C182" s="76">
        <v>1</v>
      </c>
      <c r="D182" t="s">
        <v>5553</v>
      </c>
    </row>
    <row r="183" spans="1:4">
      <c r="A183" t="str">
        <v>Strategic Thinking</v>
      </c>
      <c r="B183" s="76" t="str">
        <v>Department Head</v>
      </c>
      <c r="C183" s="76">
        <v>2</v>
      </c>
      <c r="D183" t="s">
        <v>5462</v>
      </c>
    </row>
    <row r="184" spans="1:4">
      <c r="A184" t="str">
        <v>Strategic Thinking</v>
      </c>
      <c r="B184" s="76" t="str">
        <v>Department Head</v>
      </c>
      <c r="C184" s="76">
        <v>3</v>
      </c>
      <c r="D184" t="s">
        <v>5554</v>
      </c>
    </row>
    <row r="185" spans="1:4">
      <c r="A185" t="str">
        <v>Strategic Thinking</v>
      </c>
      <c r="B185" s="76" t="str">
        <v>Department Head</v>
      </c>
      <c r="C185" s="76">
        <v>4</v>
      </c>
      <c r="D185" t="s">
        <v>5555</v>
      </c>
    </row>
    <row r="186" spans="1:4">
      <c r="A186" t="str">
        <v>Strategic Thinking</v>
      </c>
      <c r="B186" s="76" t="str">
        <v>Division Head</v>
      </c>
      <c r="C186" s="76">
        <v>1</v>
      </c>
      <c r="D186" t="s">
        <v>5556</v>
      </c>
    </row>
    <row r="187" spans="1:4">
      <c r="A187" t="str">
        <v>Strategic Thinking</v>
      </c>
      <c r="B187" s="76" t="str">
        <v>Division Head</v>
      </c>
      <c r="C187" s="76">
        <v>2</v>
      </c>
      <c r="D187" t="s">
        <v>5482</v>
      </c>
    </row>
    <row r="188" spans="1:4">
      <c r="A188" t="str">
        <v>Strategic Thinking</v>
      </c>
      <c r="B188" s="76" t="str">
        <v>Division Head</v>
      </c>
      <c r="C188" s="76">
        <v>3</v>
      </c>
      <c r="D188" t="s">
        <v>5516</v>
      </c>
    </row>
    <row r="189" spans="1:4">
      <c r="A189" t="str">
        <v>Strategic Thinking</v>
      </c>
      <c r="B189" s="76" t="str">
        <v>Division Head</v>
      </c>
      <c r="C189" s="76">
        <v>4</v>
      </c>
      <c r="D189" t="s">
        <v>5557</v>
      </c>
    </row>
    <row r="190" spans="1:4">
      <c r="A190" t="str">
        <v>Strategic Thinking</v>
      </c>
      <c r="B190" s="76" t="str">
        <v>Director</v>
      </c>
      <c r="C190" s="76">
        <v>1</v>
      </c>
      <c r="D190" t="s">
        <v>5485</v>
      </c>
    </row>
    <row r="191" spans="1:4">
      <c r="A191" t="str">
        <v>Strategic Thinking</v>
      </c>
      <c r="B191" s="76" t="str">
        <v>Director</v>
      </c>
      <c r="C191" s="76">
        <v>2</v>
      </c>
      <c r="D191" t="s">
        <v>5486</v>
      </c>
    </row>
    <row r="192" spans="1:4">
      <c r="A192" t="str">
        <v>Strategic Thinking</v>
      </c>
      <c r="B192" s="76" t="str">
        <v>Director</v>
      </c>
      <c r="C192" s="76">
        <v>3</v>
      </c>
      <c r="D192" t="s">
        <v>5558</v>
      </c>
    </row>
    <row r="193" spans="1:4">
      <c r="A193" t="str">
        <v>Strategic Thinking</v>
      </c>
      <c r="B193" s="76" t="str">
        <v>Director</v>
      </c>
      <c r="C193" s="76">
        <v>4</v>
      </c>
      <c r="D193" t="s">
        <v>5559</v>
      </c>
    </row>
    <row r="194" spans="1:4">
      <c r="A194" t="str">
        <v>Conceptual Thinking</v>
      </c>
      <c r="B194" s="76" t="str">
        <v>Officer</v>
      </c>
      <c r="C194" s="76">
        <v>1</v>
      </c>
      <c r="D194" t="s">
        <v>5502</v>
      </c>
    </row>
    <row r="195" spans="1:4">
      <c r="A195" t="str">
        <v>Conceptual Thinking</v>
      </c>
      <c r="B195" s="76" t="str">
        <v>Officer</v>
      </c>
      <c r="C195" s="76">
        <v>2</v>
      </c>
      <c r="D195" t="s">
        <v>5560</v>
      </c>
    </row>
    <row r="196" spans="1:4">
      <c r="A196" t="str">
        <v>Conceptual Thinking</v>
      </c>
      <c r="B196" s="76" t="str">
        <v>Officer</v>
      </c>
      <c r="C196" s="76">
        <v>3</v>
      </c>
      <c r="D196" t="s">
        <v>5504</v>
      </c>
    </row>
    <row r="197" spans="1:4">
      <c r="A197" t="str">
        <v>Conceptual Thinking</v>
      </c>
      <c r="B197" s="76" t="str">
        <v>Officer</v>
      </c>
      <c r="C197" s="76">
        <v>4</v>
      </c>
      <c r="D197" t="s">
        <v>5561</v>
      </c>
    </row>
    <row r="198" spans="1:4">
      <c r="A198" t="str">
        <v>Conceptual Thinking</v>
      </c>
      <c r="B198" s="76" t="str">
        <v>Analyst</v>
      </c>
      <c r="C198" s="76">
        <v>1</v>
      </c>
      <c r="D198" t="s">
        <v>5545</v>
      </c>
    </row>
    <row r="199" spans="1:4">
      <c r="A199" t="str">
        <v>Conceptual Thinking</v>
      </c>
      <c r="B199" s="76" t="str">
        <v>Analyst</v>
      </c>
      <c r="C199" s="76">
        <v>2</v>
      </c>
      <c r="D199" t="s">
        <v>5562</v>
      </c>
    </row>
    <row r="200" spans="1:4">
      <c r="A200" t="str">
        <v>Conceptual Thinking</v>
      </c>
      <c r="B200" s="76" t="str">
        <v>Analyst</v>
      </c>
      <c r="C200" s="76">
        <v>3</v>
      </c>
      <c r="D200" t="s">
        <v>5546</v>
      </c>
    </row>
    <row r="201" spans="1:4">
      <c r="A201" t="str">
        <v>Conceptual Thinking</v>
      </c>
      <c r="B201" s="76" t="str">
        <v>Analyst</v>
      </c>
      <c r="C201" s="76">
        <v>4</v>
      </c>
      <c r="D201" t="s">
        <v>5547</v>
      </c>
    </row>
    <row r="202" spans="1:4">
      <c r="A202" t="str">
        <v>Conceptual Thinking</v>
      </c>
      <c r="B202" s="76" t="str">
        <v>Unit Head/Specialist</v>
      </c>
      <c r="C202" s="76">
        <v>1</v>
      </c>
      <c r="D202" t="s">
        <v>5563</v>
      </c>
    </row>
    <row r="203" spans="1:4">
      <c r="A203" t="str">
        <v>Conceptual Thinking</v>
      </c>
      <c r="B203" s="76" t="str">
        <v>Unit Head/Specialist</v>
      </c>
      <c r="C203" s="76">
        <v>2</v>
      </c>
      <c r="D203" t="s">
        <v>5564</v>
      </c>
    </row>
    <row r="204" spans="1:4">
      <c r="A204" t="str">
        <v>Conceptual Thinking</v>
      </c>
      <c r="B204" s="76" t="str">
        <v>Unit Head/Specialist</v>
      </c>
      <c r="C204" s="76">
        <v>3</v>
      </c>
      <c r="D204" t="s">
        <v>5565</v>
      </c>
    </row>
    <row r="205" spans="1:4">
      <c r="A205" t="str">
        <v>Conceptual Thinking</v>
      </c>
      <c r="B205" s="76" t="str">
        <v>Unit Head/Specialist</v>
      </c>
      <c r="C205" s="76">
        <v>4</v>
      </c>
      <c r="D205" t="s">
        <v>5566</v>
      </c>
    </row>
    <row r="206" spans="1:4">
      <c r="A206" t="str">
        <v>Conceptual Thinking</v>
      </c>
      <c r="B206" s="76" t="str">
        <v>Department Head</v>
      </c>
      <c r="C206" s="76">
        <v>1</v>
      </c>
      <c r="D206" t="s">
        <v>5567</v>
      </c>
    </row>
    <row r="207" spans="1:4">
      <c r="A207" t="str">
        <v>Conceptual Thinking</v>
      </c>
      <c r="B207" s="76" t="str">
        <v>Department Head</v>
      </c>
      <c r="C207" s="76">
        <v>2</v>
      </c>
      <c r="D207" t="s">
        <v>5568</v>
      </c>
    </row>
    <row r="208" spans="1:4">
      <c r="A208" t="str">
        <v>Conceptual Thinking</v>
      </c>
      <c r="B208" s="76" t="str">
        <v>Department Head</v>
      </c>
      <c r="C208" s="76">
        <v>3</v>
      </c>
      <c r="D208" t="s">
        <v>5569</v>
      </c>
    </row>
    <row r="209" spans="1:4">
      <c r="A209" t="str">
        <v>Conceptual Thinking</v>
      </c>
      <c r="B209" s="76" t="str">
        <v>Department Head</v>
      </c>
      <c r="C209" s="76">
        <v>4</v>
      </c>
      <c r="D209" t="s">
        <v>5480</v>
      </c>
    </row>
    <row r="210" spans="1:4">
      <c r="A210" t="str">
        <v>Conceptual Thinking</v>
      </c>
      <c r="B210" s="76" t="str">
        <v>Division Head</v>
      </c>
      <c r="C210" s="76">
        <v>1</v>
      </c>
      <c r="D210" t="s">
        <v>5481</v>
      </c>
    </row>
    <row r="211" spans="1:4">
      <c r="A211" t="str">
        <v>Conceptual Thinking</v>
      </c>
      <c r="B211" s="76" t="str">
        <v>Division Head</v>
      </c>
      <c r="C211" s="76">
        <v>2</v>
      </c>
      <c r="D211" t="s">
        <v>5482</v>
      </c>
    </row>
    <row r="212" spans="1:4">
      <c r="A212" t="str">
        <v>Conceptual Thinking</v>
      </c>
      <c r="B212" s="76" t="str">
        <v>Division Head</v>
      </c>
      <c r="C212" s="76">
        <v>3</v>
      </c>
      <c r="D212" t="s">
        <v>5516</v>
      </c>
    </row>
    <row r="213" spans="1:4">
      <c r="A213" t="str">
        <v>Conceptual Thinking</v>
      </c>
      <c r="B213" s="76" t="str">
        <v>Division Head</v>
      </c>
      <c r="C213" s="76">
        <v>4</v>
      </c>
      <c r="D213" t="s">
        <v>5570</v>
      </c>
    </row>
    <row r="214" spans="1:4">
      <c r="A214" t="str">
        <v>Conceptual Thinking</v>
      </c>
      <c r="B214" s="76" t="str">
        <v>Director</v>
      </c>
      <c r="C214" s="76">
        <v>1</v>
      </c>
      <c r="D214" t="s">
        <v>5485</v>
      </c>
    </row>
    <row r="215" spans="1:4">
      <c r="A215" t="str">
        <v>Conceptual Thinking</v>
      </c>
      <c r="B215" s="76" t="str">
        <v>Director</v>
      </c>
      <c r="C215" s="76">
        <v>2</v>
      </c>
      <c r="D215" t="s">
        <v>5571</v>
      </c>
    </row>
    <row r="216" spans="1:4">
      <c r="A216" t="str">
        <v>Conceptual Thinking</v>
      </c>
      <c r="B216" s="76" t="str">
        <v>Director</v>
      </c>
      <c r="C216" s="76">
        <v>3</v>
      </c>
      <c r="D216" t="s">
        <v>5558</v>
      </c>
    </row>
    <row r="217" spans="1:4">
      <c r="A217" t="str">
        <v>Conceptual Thinking</v>
      </c>
      <c r="B217" s="76" t="str">
        <v>Director</v>
      </c>
      <c r="C217" s="76">
        <v>4</v>
      </c>
      <c r="D217" t="s">
        <v>5572</v>
      </c>
    </row>
    <row r="218" spans="1:4">
      <c r="A218" t="str">
        <v>Leadership</v>
      </c>
      <c r="B218" s="76" t="str">
        <v>Officer</v>
      </c>
      <c r="C218" s="76">
        <v>1</v>
      </c>
      <c r="D218" t="s">
        <v>5401</v>
      </c>
    </row>
    <row r="219" spans="1:4">
      <c r="A219" t="str">
        <v>Leadership</v>
      </c>
      <c r="B219" s="76" t="str">
        <v>Officer</v>
      </c>
      <c r="C219" s="76">
        <v>2</v>
      </c>
      <c r="D219" t="s">
        <v>5402</v>
      </c>
    </row>
    <row r="220" spans="1:4">
      <c r="A220" t="str">
        <v>Leadership</v>
      </c>
      <c r="B220" s="76" t="str">
        <v>Officer</v>
      </c>
      <c r="C220" s="76">
        <v>3</v>
      </c>
      <c r="D220" t="s">
        <v>5573</v>
      </c>
    </row>
    <row r="221" spans="1:4">
      <c r="A221" t="str">
        <v>Leadership</v>
      </c>
      <c r="B221" s="76" t="str">
        <v>Officer</v>
      </c>
      <c r="C221" s="76">
        <v>4</v>
      </c>
      <c r="D221" t="s">
        <v>5574</v>
      </c>
    </row>
    <row r="222" spans="1:4">
      <c r="A222" t="str">
        <v>Leadership</v>
      </c>
      <c r="B222" s="76" t="str">
        <v>Analyst</v>
      </c>
      <c r="C222" s="76">
        <v>1</v>
      </c>
      <c r="D222" t="s">
        <v>5575</v>
      </c>
    </row>
    <row r="223" spans="1:4">
      <c r="A223" t="str">
        <v>Leadership</v>
      </c>
      <c r="B223" s="76" t="str">
        <v>Analyst</v>
      </c>
      <c r="C223" s="76">
        <v>2</v>
      </c>
      <c r="D223" t="s">
        <v>5576</v>
      </c>
    </row>
    <row r="224" spans="1:4">
      <c r="A224" t="str">
        <v>Leadership</v>
      </c>
      <c r="B224" s="76" t="str">
        <v>Analyst</v>
      </c>
      <c r="C224" s="76">
        <v>3</v>
      </c>
      <c r="D224" t="s">
        <v>5456</v>
      </c>
    </row>
    <row r="225" spans="1:4">
      <c r="A225" t="str">
        <v>Leadership</v>
      </c>
      <c r="B225" s="76" t="str">
        <v>Analyst</v>
      </c>
      <c r="C225" s="76">
        <v>4</v>
      </c>
      <c r="D225" t="s">
        <v>5577</v>
      </c>
    </row>
    <row r="226" spans="1:4">
      <c r="A226" t="str">
        <v>Leadership</v>
      </c>
      <c r="B226" s="76" t="str">
        <v>Unit Head/Specialist</v>
      </c>
      <c r="C226" s="76">
        <v>1</v>
      </c>
      <c r="D226" t="s">
        <v>5578</v>
      </c>
    </row>
    <row r="227" spans="1:4">
      <c r="A227" t="str">
        <v>Leadership</v>
      </c>
      <c r="B227" s="76" t="str">
        <v>Unit Head/Specialist</v>
      </c>
      <c r="C227" s="76">
        <v>2</v>
      </c>
      <c r="D227" t="s">
        <v>5579</v>
      </c>
    </row>
    <row r="228" spans="1:4">
      <c r="A228" t="str">
        <v>Leadership</v>
      </c>
      <c r="B228" s="76" t="str">
        <v>Unit Head/Specialist</v>
      </c>
      <c r="C228" s="76">
        <v>3</v>
      </c>
      <c r="D228" t="s">
        <v>5580</v>
      </c>
    </row>
    <row r="229" spans="1:4">
      <c r="A229" t="str">
        <v>Leadership</v>
      </c>
      <c r="B229" s="76" t="str">
        <v>Unit Head/Specialist</v>
      </c>
      <c r="C229" s="76">
        <v>4</v>
      </c>
      <c r="D229" t="s">
        <v>5581</v>
      </c>
    </row>
    <row r="230" spans="1:4">
      <c r="A230" t="str">
        <v>Leadership</v>
      </c>
      <c r="B230" s="76" t="str">
        <v>Department Head</v>
      </c>
      <c r="C230" s="76">
        <v>1</v>
      </c>
      <c r="D230" t="s">
        <v>5582</v>
      </c>
    </row>
    <row r="231" spans="1:4">
      <c r="A231" t="str">
        <v>Leadership</v>
      </c>
      <c r="B231" s="76" t="str">
        <v>Department Head</v>
      </c>
      <c r="C231" s="76">
        <v>2</v>
      </c>
      <c r="D231" t="s">
        <v>5583</v>
      </c>
    </row>
    <row r="232" spans="1:4">
      <c r="A232" t="str">
        <v>Leadership</v>
      </c>
      <c r="B232" s="76" t="str">
        <v>Department Head</v>
      </c>
      <c r="C232" s="76">
        <v>3</v>
      </c>
      <c r="D232" t="s">
        <v>5584</v>
      </c>
    </row>
    <row r="233" spans="1:4">
      <c r="A233" t="str">
        <v>Leadership</v>
      </c>
      <c r="B233" s="76" t="str">
        <v>Department Head</v>
      </c>
      <c r="C233" s="76">
        <v>4</v>
      </c>
      <c r="D233" t="s">
        <v>5585</v>
      </c>
    </row>
    <row r="234" spans="1:4">
      <c r="A234" t="str">
        <v>Leadership</v>
      </c>
      <c r="B234" s="76" t="str">
        <v>Division Head</v>
      </c>
      <c r="C234" s="76">
        <v>1</v>
      </c>
      <c r="D234" t="s">
        <v>5586</v>
      </c>
    </row>
    <row r="235" spans="1:4">
      <c r="A235" t="str">
        <v>Leadership</v>
      </c>
      <c r="B235" s="76" t="str">
        <v>Division Head</v>
      </c>
      <c r="C235" s="76">
        <v>2</v>
      </c>
      <c r="D235" t="s">
        <v>5587</v>
      </c>
    </row>
    <row r="236" spans="1:4">
      <c r="A236" t="str">
        <v>Leadership</v>
      </c>
      <c r="B236" s="76" t="str">
        <v>Division Head</v>
      </c>
      <c r="C236" s="76">
        <v>3</v>
      </c>
      <c r="D236" t="s">
        <v>5588</v>
      </c>
    </row>
    <row r="237" spans="1:4">
      <c r="A237" t="str">
        <v>Leadership</v>
      </c>
      <c r="B237" s="76" t="str">
        <v>Division Head</v>
      </c>
      <c r="C237" s="76">
        <v>4</v>
      </c>
      <c r="D237" t="s">
        <v>5589</v>
      </c>
    </row>
    <row r="238" spans="1:4">
      <c r="A238" t="str">
        <v>Leadership</v>
      </c>
      <c r="B238" s="76" t="str">
        <v>Director</v>
      </c>
      <c r="C238" s="76">
        <v>1</v>
      </c>
      <c r="D238" t="s">
        <v>5590</v>
      </c>
    </row>
    <row r="239" spans="1:4">
      <c r="A239" t="str">
        <v>Leadership</v>
      </c>
      <c r="B239" s="76" t="str">
        <v>Director</v>
      </c>
      <c r="C239" s="76">
        <v>2</v>
      </c>
      <c r="D239" t="s">
        <v>5591</v>
      </c>
    </row>
    <row r="240" spans="1:4">
      <c r="A240" t="str">
        <v>Leadership</v>
      </c>
      <c r="B240" s="76" t="str">
        <v>Director</v>
      </c>
      <c r="C240" s="76">
        <v>3</v>
      </c>
      <c r="D240" t="s">
        <v>5592</v>
      </c>
    </row>
    <row r="241" spans="1:4">
      <c r="A241" t="str">
        <v>Leadership</v>
      </c>
      <c r="B241" s="76" t="str">
        <v>Director</v>
      </c>
      <c r="C241" s="76">
        <v>4</v>
      </c>
      <c r="D241" t="s">
        <v>5422</v>
      </c>
    </row>
    <row r="242" spans="1:4">
      <c r="A242" t="str">
        <v>Developing Others</v>
      </c>
      <c r="B242" s="76" t="str">
        <v>Officer</v>
      </c>
      <c r="C242" s="76">
        <v>1</v>
      </c>
      <c r="D242" t="s">
        <v>5519</v>
      </c>
    </row>
    <row r="243" spans="1:4">
      <c r="A243" t="str">
        <v>Developing Others</v>
      </c>
      <c r="B243" s="76" t="str">
        <v>Officer</v>
      </c>
      <c r="C243" s="76">
        <v>2</v>
      </c>
      <c r="D243" t="s">
        <v>5593</v>
      </c>
    </row>
    <row r="244" spans="1:4">
      <c r="A244" t="str">
        <v>Developing Others</v>
      </c>
      <c r="B244" s="76" t="str">
        <v>Officer</v>
      </c>
      <c r="C244" s="76">
        <v>3</v>
      </c>
      <c r="D244" t="s">
        <v>5594</v>
      </c>
    </row>
    <row r="245" spans="1:4">
      <c r="A245" t="str">
        <v>Developing Others</v>
      </c>
      <c r="B245" s="76" t="str">
        <v>Officer</v>
      </c>
      <c r="C245" s="76">
        <v>4</v>
      </c>
      <c r="D245" t="s">
        <v>5595</v>
      </c>
    </row>
    <row r="246" spans="1:4">
      <c r="A246" t="str">
        <v>Developing Others</v>
      </c>
      <c r="B246" s="76" t="str">
        <v>Analyst</v>
      </c>
      <c r="C246" s="76">
        <v>1</v>
      </c>
      <c r="D246" t="s">
        <v>5596</v>
      </c>
    </row>
    <row r="247" spans="1:4">
      <c r="A247" t="str">
        <v>Developing Others</v>
      </c>
      <c r="B247" s="76" t="str">
        <v>Analyst</v>
      </c>
      <c r="C247" s="76">
        <v>2</v>
      </c>
      <c r="D247" t="s">
        <v>5597</v>
      </c>
    </row>
    <row r="248" spans="1:4">
      <c r="A248" t="str">
        <v>Developing Others</v>
      </c>
      <c r="B248" s="76" t="str">
        <v>Analyst</v>
      </c>
      <c r="C248" s="76">
        <v>3</v>
      </c>
      <c r="D248" t="s">
        <v>5598</v>
      </c>
    </row>
    <row r="249" spans="1:4">
      <c r="A249" t="str">
        <v>Developing Others</v>
      </c>
      <c r="B249" s="76" t="str">
        <v>Analyst</v>
      </c>
      <c r="C249" s="76">
        <v>4</v>
      </c>
      <c r="D249" t="s">
        <v>5599</v>
      </c>
    </row>
    <row r="250" spans="1:4">
      <c r="A250" t="str">
        <v>Developing Others</v>
      </c>
      <c r="B250" s="76" t="str">
        <v>Unit Head/Specialist</v>
      </c>
      <c r="C250" s="76">
        <v>1</v>
      </c>
      <c r="D250" t="s">
        <v>5600</v>
      </c>
    </row>
    <row r="251" spans="1:4">
      <c r="A251" t="str">
        <v>Developing Others</v>
      </c>
      <c r="B251" s="76" t="str">
        <v>Unit Head/Specialist</v>
      </c>
      <c r="C251" s="76">
        <v>2</v>
      </c>
      <c r="D251" t="s">
        <v>5601</v>
      </c>
    </row>
    <row r="252" spans="1:4">
      <c r="A252" t="str">
        <v>Developing Others</v>
      </c>
      <c r="B252" s="76" t="str">
        <v>Unit Head/Specialist</v>
      </c>
      <c r="C252" s="76">
        <v>3</v>
      </c>
      <c r="D252" t="s">
        <v>5602</v>
      </c>
    </row>
    <row r="253" spans="1:4">
      <c r="A253" t="str">
        <v>Developing Others</v>
      </c>
      <c r="B253" s="76" t="str">
        <v>Unit Head/Specialist</v>
      </c>
      <c r="C253" s="76">
        <v>4</v>
      </c>
      <c r="D253" t="s">
        <v>5603</v>
      </c>
    </row>
    <row r="254" spans="1:4">
      <c r="A254" t="str">
        <v>Developing Others</v>
      </c>
      <c r="B254" s="76" t="str">
        <v>Department Head</v>
      </c>
      <c r="C254" s="76">
        <v>1</v>
      </c>
      <c r="D254" t="s">
        <v>5604</v>
      </c>
    </row>
    <row r="255" spans="1:4">
      <c r="A255" t="str">
        <v>Developing Others</v>
      </c>
      <c r="B255" s="76" t="str">
        <v>Department Head</v>
      </c>
      <c r="C255" s="76">
        <v>2</v>
      </c>
      <c r="D255" t="s">
        <v>5605</v>
      </c>
    </row>
    <row r="256" spans="1:4">
      <c r="A256" t="str">
        <v>Developing Others</v>
      </c>
      <c r="B256" s="76" t="str">
        <v>Department Head</v>
      </c>
      <c r="C256" s="76">
        <v>3</v>
      </c>
      <c r="D256" t="s">
        <v>5606</v>
      </c>
    </row>
    <row r="257" spans="1:4">
      <c r="A257" t="str">
        <v>Developing Others</v>
      </c>
      <c r="B257" s="76" t="str">
        <v>Department Head</v>
      </c>
      <c r="C257" s="76">
        <v>4</v>
      </c>
      <c r="D257" t="s">
        <v>5607</v>
      </c>
    </row>
    <row r="258" spans="1:4">
      <c r="A258" t="str">
        <v>Developing Others</v>
      </c>
      <c r="B258" s="76" t="str">
        <v>Division Head</v>
      </c>
      <c r="C258" s="76">
        <v>1</v>
      </c>
      <c r="D258" t="s">
        <v>5608</v>
      </c>
    </row>
    <row r="259" spans="1:4">
      <c r="A259" t="str">
        <v>Developing Others</v>
      </c>
      <c r="B259" s="76" t="str">
        <v>Division Head</v>
      </c>
      <c r="C259" s="76">
        <v>2</v>
      </c>
      <c r="D259" t="s">
        <v>5609</v>
      </c>
    </row>
    <row r="260" spans="1:4">
      <c r="A260" t="str">
        <v>Developing Others</v>
      </c>
      <c r="B260" s="76" t="str">
        <v>Division Head</v>
      </c>
      <c r="C260" s="76">
        <v>3</v>
      </c>
      <c r="D260" t="s">
        <v>5610</v>
      </c>
    </row>
    <row r="261" spans="1:4">
      <c r="A261" t="str">
        <v>Developing Others</v>
      </c>
      <c r="B261" s="76" t="str">
        <v>Division Head</v>
      </c>
      <c r="C261" s="76">
        <v>4</v>
      </c>
      <c r="D261" t="s">
        <v>5611</v>
      </c>
    </row>
    <row r="262" spans="1:4">
      <c r="A262" t="str">
        <v>Developing Others</v>
      </c>
      <c r="B262" s="76" t="str">
        <v>Director</v>
      </c>
      <c r="C262" s="76">
        <v>1</v>
      </c>
      <c r="D262" t="s">
        <v>5612</v>
      </c>
    </row>
    <row r="263" spans="1:4">
      <c r="A263" t="str">
        <v>Developing Others</v>
      </c>
      <c r="B263" s="76" t="str">
        <v>Director</v>
      </c>
      <c r="C263" s="76">
        <v>2</v>
      </c>
      <c r="D263" t="s">
        <v>5613</v>
      </c>
    </row>
    <row r="264" spans="1:4">
      <c r="A264" t="str">
        <v>Developing Others</v>
      </c>
      <c r="B264" s="76" t="str">
        <v>Director</v>
      </c>
      <c r="C264" s="76">
        <v>3</v>
      </c>
      <c r="D264" t="s">
        <v>5614</v>
      </c>
    </row>
    <row r="265" spans="1:4">
      <c r="A265" t="str">
        <v>Developing Others</v>
      </c>
      <c r="B265" s="76" t="str">
        <v>Director</v>
      </c>
      <c r="C265" s="76">
        <v>4</v>
      </c>
      <c r="D265" t="s">
        <v>5615</v>
      </c>
    </row>
    <row r="266" spans="1:4">
      <c r="A266" t="str">
        <v>Team Work</v>
      </c>
      <c r="B266" s="76" t="str">
        <v>Officer</v>
      </c>
      <c r="C266" s="76">
        <v>1</v>
      </c>
      <c r="D266" t="s">
        <v>5616</v>
      </c>
    </row>
    <row r="267" spans="1:4">
      <c r="A267" t="str">
        <v>Team Work</v>
      </c>
      <c r="B267" s="76" t="str">
        <v>Officer</v>
      </c>
      <c r="C267" s="76">
        <v>2</v>
      </c>
      <c r="D267" t="s">
        <v>5617</v>
      </c>
    </row>
    <row r="268" spans="1:4">
      <c r="A268" t="str">
        <v>Team Work</v>
      </c>
      <c r="B268" s="76" t="str">
        <v>Officer</v>
      </c>
      <c r="C268" s="76">
        <v>3</v>
      </c>
      <c r="D268" t="s">
        <v>5618</v>
      </c>
    </row>
    <row r="269" spans="1:4">
      <c r="A269" t="str">
        <v>Team Work</v>
      </c>
      <c r="B269" s="76" t="str">
        <v>Officer</v>
      </c>
      <c r="C269" s="76">
        <v>4</v>
      </c>
      <c r="D269" t="s">
        <v>5619</v>
      </c>
    </row>
    <row r="270" spans="1:4">
      <c r="A270" t="str">
        <v>Team Work</v>
      </c>
      <c r="B270" s="76" t="str">
        <v>Analyst</v>
      </c>
      <c r="C270" s="76">
        <v>1</v>
      </c>
      <c r="D270" t="s">
        <v>5620</v>
      </c>
    </row>
    <row r="271" spans="1:4">
      <c r="A271" t="str">
        <v>Team Work</v>
      </c>
      <c r="B271" s="76" t="str">
        <v>Analyst</v>
      </c>
      <c r="C271" s="76">
        <v>2</v>
      </c>
      <c r="D271" t="s">
        <v>5621</v>
      </c>
    </row>
    <row r="272" spans="1:4">
      <c r="A272" t="str">
        <v>Team Work</v>
      </c>
      <c r="B272" s="76" t="str">
        <v>Analyst</v>
      </c>
      <c r="C272" s="76">
        <v>3</v>
      </c>
      <c r="D272" t="s">
        <v>5622</v>
      </c>
    </row>
    <row r="273" spans="1:4">
      <c r="A273" t="str">
        <v>Team Work</v>
      </c>
      <c r="B273" s="76" t="str">
        <v>Analyst</v>
      </c>
      <c r="C273" s="76">
        <v>4</v>
      </c>
      <c r="D273" t="s">
        <v>5623</v>
      </c>
    </row>
    <row r="274" spans="1:4">
      <c r="A274" t="str">
        <v>Team Work</v>
      </c>
      <c r="B274" s="76" t="str">
        <v>Unit Head/Specialist</v>
      </c>
      <c r="C274" s="76">
        <v>1</v>
      </c>
      <c r="D274" t="s">
        <v>5624</v>
      </c>
    </row>
    <row r="275" spans="1:4">
      <c r="A275" t="str">
        <v>Team Work</v>
      </c>
      <c r="B275" s="76" t="str">
        <v>Unit Head/Specialist</v>
      </c>
      <c r="C275" s="76">
        <v>2</v>
      </c>
      <c r="D275" t="s">
        <v>5625</v>
      </c>
    </row>
    <row r="276" spans="1:4">
      <c r="A276" t="str">
        <v>Team Work</v>
      </c>
      <c r="B276" s="76" t="str">
        <v>Unit Head/Specialist</v>
      </c>
      <c r="C276" s="76">
        <v>3</v>
      </c>
      <c r="D276" t="s">
        <v>5626</v>
      </c>
    </row>
    <row r="277" spans="1:4">
      <c r="A277" t="str">
        <v>Team Work</v>
      </c>
      <c r="B277" s="76" t="str">
        <v>Unit Head/Specialist</v>
      </c>
      <c r="C277" s="76">
        <v>4</v>
      </c>
      <c r="D277" t="s">
        <v>5627</v>
      </c>
    </row>
    <row r="278" spans="1:4">
      <c r="A278" t="str">
        <v>Team Work</v>
      </c>
      <c r="B278" s="76" t="str">
        <v>Department Head</v>
      </c>
      <c r="C278" s="76">
        <v>1</v>
      </c>
      <c r="D278" t="s">
        <v>5628</v>
      </c>
    </row>
    <row r="279" spans="1:4">
      <c r="A279" t="str">
        <v>Team Work</v>
      </c>
      <c r="B279" s="76" t="str">
        <v>Department Head</v>
      </c>
      <c r="C279" s="76">
        <v>2</v>
      </c>
      <c r="D279" t="s">
        <v>5629</v>
      </c>
    </row>
    <row r="280" spans="1:4">
      <c r="A280" t="str">
        <v>Team Work</v>
      </c>
      <c r="B280" s="76" t="str">
        <v>Department Head</v>
      </c>
      <c r="C280" s="76">
        <v>3</v>
      </c>
      <c r="D280" t="s">
        <v>5630</v>
      </c>
    </row>
    <row r="281" spans="1:4">
      <c r="A281" t="str">
        <v>Team Work</v>
      </c>
      <c r="B281" s="76" t="str">
        <v>Department Head</v>
      </c>
      <c r="C281" s="76">
        <v>4</v>
      </c>
      <c r="D281" t="s">
        <v>5631</v>
      </c>
    </row>
    <row r="282" spans="1:4">
      <c r="A282" t="str">
        <v>Team Work</v>
      </c>
      <c r="B282" s="76" t="str">
        <v>Division Head</v>
      </c>
      <c r="C282" s="76">
        <v>1</v>
      </c>
      <c r="D282" t="s">
        <v>5632</v>
      </c>
    </row>
    <row r="283" spans="1:4">
      <c r="A283" t="str">
        <v>Team Work</v>
      </c>
      <c r="B283" s="76" t="str">
        <v>Division Head</v>
      </c>
      <c r="C283" s="76">
        <v>2</v>
      </c>
      <c r="D283" t="s">
        <v>5633</v>
      </c>
    </row>
    <row r="284" spans="1:4">
      <c r="A284" t="str">
        <v>Team Work</v>
      </c>
      <c r="B284" s="76" t="str">
        <v>Division Head</v>
      </c>
      <c r="C284" s="76">
        <v>3</v>
      </c>
      <c r="D284" t="s">
        <v>5634</v>
      </c>
    </row>
    <row r="285" spans="1:4">
      <c r="A285" t="str">
        <v>Team Work</v>
      </c>
      <c r="B285" s="76" t="str">
        <v>Division Head</v>
      </c>
      <c r="C285" s="76">
        <v>4</v>
      </c>
      <c r="D285" t="s">
        <v>5635</v>
      </c>
    </row>
    <row r="286" spans="1:4">
      <c r="A286" t="str">
        <v>Team Work</v>
      </c>
      <c r="B286" s="76" t="str">
        <v>Director</v>
      </c>
      <c r="C286" s="76">
        <v>1</v>
      </c>
      <c r="D286" t="s">
        <v>5590</v>
      </c>
    </row>
    <row r="287" spans="1:4">
      <c r="A287" t="str">
        <v>Team Work</v>
      </c>
      <c r="B287" s="76" t="str">
        <v>Director</v>
      </c>
      <c r="C287" s="76">
        <v>2</v>
      </c>
      <c r="D287" t="s">
        <v>5636</v>
      </c>
    </row>
    <row r="288" spans="1:4">
      <c r="A288" t="str">
        <v>Team Work</v>
      </c>
      <c r="B288" s="76" t="str">
        <v>Director</v>
      </c>
      <c r="C288" s="76">
        <v>3</v>
      </c>
      <c r="D288" t="s">
        <v>5637</v>
      </c>
    </row>
    <row r="289" spans="1:4">
      <c r="A289" t="str">
        <v>Team Work</v>
      </c>
      <c r="B289" s="76" t="str">
        <v>Director</v>
      </c>
      <c r="C289" s="76">
        <v>4</v>
      </c>
      <c r="D289" t="s">
        <v>5638</v>
      </c>
    </row>
    <row r="290" spans="1:4">
      <c r="A290" t="str">
        <v>Communication &amp; Deal with Others</v>
      </c>
      <c r="B290" s="76" t="str">
        <v>Officer</v>
      </c>
      <c r="C290" s="76">
        <v>1</v>
      </c>
      <c r="D290" t="s">
        <v>5639</v>
      </c>
    </row>
    <row r="291" spans="1:4">
      <c r="A291" t="str">
        <v>Communication &amp; Deal with Others</v>
      </c>
      <c r="B291" s="76" t="str">
        <v>Officer</v>
      </c>
      <c r="C291" s="76">
        <v>2</v>
      </c>
      <c r="D291" t="s">
        <v>5640</v>
      </c>
    </row>
    <row r="292" spans="1:4">
      <c r="A292" t="str">
        <v>Communication &amp; Deal with Others</v>
      </c>
      <c r="B292" s="76" t="str">
        <v>Officer</v>
      </c>
      <c r="C292" s="76">
        <v>3</v>
      </c>
      <c r="D292" t="s">
        <v>5641</v>
      </c>
    </row>
    <row r="293" spans="1:4">
      <c r="A293" t="str">
        <v>Communication &amp; Deal with Others</v>
      </c>
      <c r="B293" s="76" t="str">
        <v>Officer</v>
      </c>
      <c r="C293" s="76">
        <v>4</v>
      </c>
      <c r="D293" t="s">
        <v>5642</v>
      </c>
    </row>
    <row r="294" spans="1:4">
      <c r="A294" t="str">
        <v>Communication &amp; Deal with Others</v>
      </c>
      <c r="B294" s="76" t="str">
        <v>Analyst</v>
      </c>
      <c r="C294" s="76">
        <v>1</v>
      </c>
      <c r="D294" t="s">
        <v>5545</v>
      </c>
    </row>
    <row r="295" spans="1:4">
      <c r="A295" t="str">
        <v>Communication &amp; Deal with Others</v>
      </c>
      <c r="B295" s="76" t="str">
        <v>Analyst</v>
      </c>
      <c r="C295" s="76">
        <v>2</v>
      </c>
      <c r="D295" t="s">
        <v>5546</v>
      </c>
    </row>
    <row r="296" spans="1:4">
      <c r="A296" t="str">
        <v>Communication &amp; Deal with Others</v>
      </c>
      <c r="B296" s="76" t="str">
        <v>Analyst</v>
      </c>
      <c r="C296" s="76">
        <v>3</v>
      </c>
      <c r="D296" t="s">
        <v>5547</v>
      </c>
    </row>
    <row r="297" spans="1:4">
      <c r="A297" t="str">
        <v>Communication &amp; Deal with Others</v>
      </c>
      <c r="B297" s="76" t="str">
        <v>Analyst</v>
      </c>
      <c r="C297" s="76">
        <v>4</v>
      </c>
      <c r="D297" t="s">
        <v>5548</v>
      </c>
    </row>
    <row r="298" spans="1:4">
      <c r="A298" t="str">
        <v>Communication &amp; Deal with Others</v>
      </c>
      <c r="B298" s="76" t="str">
        <v>Unit Head/Specialist</v>
      </c>
      <c r="C298" s="76">
        <v>1</v>
      </c>
      <c r="D298" t="s">
        <v>5643</v>
      </c>
    </row>
    <row r="299" spans="1:4">
      <c r="A299" t="str">
        <v>Communication &amp; Deal with Others</v>
      </c>
      <c r="B299" s="76" t="str">
        <v>Unit Head/Specialist</v>
      </c>
      <c r="C299" s="76">
        <v>2</v>
      </c>
      <c r="D299" t="s">
        <v>5644</v>
      </c>
    </row>
    <row r="300" spans="1:4">
      <c r="A300" t="str">
        <v>Communication &amp; Deal with Others</v>
      </c>
      <c r="B300" s="76" t="str">
        <v>Unit Head/Specialist</v>
      </c>
      <c r="C300" s="76">
        <v>3</v>
      </c>
      <c r="D300" t="s">
        <v>5645</v>
      </c>
    </row>
    <row r="301" spans="1:4">
      <c r="A301" t="str">
        <v>Communication &amp; Deal with Others</v>
      </c>
      <c r="B301" s="76" t="str">
        <v>Unit Head/Specialist</v>
      </c>
      <c r="C301" s="76">
        <v>4</v>
      </c>
      <c r="D301" t="s">
        <v>5646</v>
      </c>
    </row>
    <row r="302" spans="1:4">
      <c r="A302" t="str">
        <v>Communication &amp; Deal with Others</v>
      </c>
      <c r="B302" s="76" t="str">
        <v>Department Head</v>
      </c>
      <c r="C302" s="76">
        <v>1</v>
      </c>
      <c r="D302" t="s">
        <v>5647</v>
      </c>
    </row>
    <row r="303" spans="1:4">
      <c r="A303" t="str">
        <v>Communication &amp; Deal with Others</v>
      </c>
      <c r="B303" s="76" t="str">
        <v>Department Head</v>
      </c>
      <c r="C303" s="76">
        <v>2</v>
      </c>
      <c r="D303" t="s">
        <v>5648</v>
      </c>
    </row>
    <row r="304" spans="1:4">
      <c r="A304" t="str">
        <v>Communication &amp; Deal with Others</v>
      </c>
      <c r="B304" s="76" t="str">
        <v>Department Head</v>
      </c>
      <c r="C304" s="76">
        <v>3</v>
      </c>
      <c r="D304" t="s">
        <v>5649</v>
      </c>
    </row>
    <row r="305" spans="1:4">
      <c r="A305" t="str">
        <v>Communication &amp; Deal with Others</v>
      </c>
      <c r="B305" s="76" t="str">
        <v>Department Head</v>
      </c>
      <c r="C305" s="76">
        <v>4</v>
      </c>
      <c r="D305" t="s">
        <v>5650</v>
      </c>
    </row>
    <row r="306" spans="1:4">
      <c r="A306" t="str">
        <v>Communication &amp; Deal with Others</v>
      </c>
      <c r="B306" s="76" t="str">
        <v>Division Head</v>
      </c>
      <c r="C306" s="76">
        <v>1</v>
      </c>
      <c r="D306" t="s">
        <v>5651</v>
      </c>
    </row>
    <row r="307" spans="1:4">
      <c r="A307" t="str">
        <v>Communication &amp; Deal with Others</v>
      </c>
      <c r="B307" s="76" t="str">
        <v>Division Head</v>
      </c>
      <c r="C307" s="76">
        <v>2</v>
      </c>
      <c r="D307" t="s">
        <v>5633</v>
      </c>
    </row>
    <row r="308" spans="1:4">
      <c r="A308" t="str">
        <v>Communication &amp; Deal with Others</v>
      </c>
      <c r="B308" s="76" t="str">
        <v>Division Head</v>
      </c>
      <c r="C308" s="76">
        <v>3</v>
      </c>
      <c r="D308" t="s">
        <v>5634</v>
      </c>
    </row>
    <row r="309" spans="1:4">
      <c r="A309" t="str">
        <v>Communication &amp; Deal with Others</v>
      </c>
      <c r="B309" s="76" t="str">
        <v>Division Head</v>
      </c>
      <c r="C309" s="76">
        <v>4</v>
      </c>
      <c r="D309" t="s">
        <v>5652</v>
      </c>
    </row>
    <row r="310" spans="1:4">
      <c r="A310" t="str">
        <v>Communication &amp; Deal with Others</v>
      </c>
      <c r="B310" s="76" t="str">
        <v>Director</v>
      </c>
      <c r="C310" s="76">
        <v>1</v>
      </c>
      <c r="D310" t="s">
        <v>5590</v>
      </c>
    </row>
    <row r="311" spans="1:4">
      <c r="A311" t="str">
        <v>Communication &amp; Deal with Others</v>
      </c>
      <c r="B311" s="76" t="str">
        <v>Director</v>
      </c>
      <c r="C311" s="76">
        <v>2</v>
      </c>
      <c r="D311" t="s">
        <v>5653</v>
      </c>
    </row>
    <row r="312" spans="1:4">
      <c r="A312" t="str">
        <v>Communication &amp; Deal with Others</v>
      </c>
      <c r="B312" s="76" t="str">
        <v>Director</v>
      </c>
      <c r="C312" s="76">
        <v>3</v>
      </c>
      <c r="D312" t="s">
        <v>5636</v>
      </c>
    </row>
    <row r="313" spans="1:4">
      <c r="A313" t="str">
        <v>Communication &amp; Deal with Others</v>
      </c>
      <c r="B313" s="76" t="str">
        <v>Director</v>
      </c>
      <c r="C313" s="76">
        <v>4</v>
      </c>
      <c r="D313" t="s">
        <v>5654</v>
      </c>
    </row>
    <row r="314" spans="1:4">
      <c r="A314" t="str">
        <v>Customer Focus</v>
      </c>
      <c r="B314" s="76" t="str">
        <v>Officer</v>
      </c>
      <c r="C314" s="76">
        <v>1</v>
      </c>
      <c r="D314" t="s">
        <v>5449</v>
      </c>
    </row>
    <row r="315" spans="1:4">
      <c r="A315" t="str">
        <v>Customer Focus</v>
      </c>
      <c r="B315" s="76" t="str">
        <v>Officer</v>
      </c>
      <c r="C315" s="76">
        <v>2</v>
      </c>
      <c r="D315" t="s">
        <v>5450</v>
      </c>
    </row>
    <row r="316" spans="1:4">
      <c r="A316" t="str">
        <v>Customer Focus</v>
      </c>
      <c r="B316" s="76" t="str">
        <v>Officer</v>
      </c>
      <c r="C316" s="76">
        <v>3</v>
      </c>
      <c r="D316" t="s">
        <v>5451</v>
      </c>
    </row>
    <row r="317" spans="1:4">
      <c r="A317" t="str">
        <v>Customer Focus</v>
      </c>
      <c r="B317" s="76" t="str">
        <v>Officer</v>
      </c>
      <c r="C317" s="76">
        <v>4</v>
      </c>
      <c r="D317" t="s">
        <v>5655</v>
      </c>
    </row>
    <row r="318" spans="1:4">
      <c r="A318" t="str">
        <v>Customer Focus</v>
      </c>
      <c r="B318" s="76" t="str">
        <v>Analyst</v>
      </c>
      <c r="C318" s="76">
        <v>1</v>
      </c>
      <c r="D318" t="s">
        <v>5596</v>
      </c>
    </row>
    <row r="319" spans="1:4">
      <c r="A319" t="str">
        <v>Customer Focus</v>
      </c>
      <c r="B319" s="76" t="str">
        <v>Analyst</v>
      </c>
      <c r="C319" s="76">
        <v>2</v>
      </c>
      <c r="D319" t="s">
        <v>5656</v>
      </c>
    </row>
    <row r="320" spans="1:4">
      <c r="A320" t="str">
        <v>Customer Focus</v>
      </c>
      <c r="B320" s="76" t="str">
        <v>Analyst</v>
      </c>
      <c r="C320" s="76">
        <v>3</v>
      </c>
      <c r="D320" t="s">
        <v>5657</v>
      </c>
    </row>
    <row r="321" spans="1:4">
      <c r="A321" t="str">
        <v>Customer Focus</v>
      </c>
      <c r="B321" s="76" t="str">
        <v>Analyst</v>
      </c>
      <c r="C321" s="76">
        <v>4</v>
      </c>
      <c r="D321" t="s">
        <v>5658</v>
      </c>
    </row>
    <row r="322" spans="1:4">
      <c r="A322" t="str">
        <v>Customer Focus</v>
      </c>
      <c r="B322" s="76" t="str">
        <v>Unit Head/Specialist</v>
      </c>
      <c r="C322" s="76">
        <v>1</v>
      </c>
      <c r="D322" t="s">
        <v>5457</v>
      </c>
    </row>
    <row r="323" spans="1:4">
      <c r="A323" t="str">
        <v>Customer Focus</v>
      </c>
      <c r="B323" s="76" t="str">
        <v>Unit Head/Specialist</v>
      </c>
      <c r="C323" s="76">
        <v>2</v>
      </c>
      <c r="D323" t="s">
        <v>5458</v>
      </c>
    </row>
    <row r="324" spans="1:4">
      <c r="A324" t="str">
        <v>Customer Focus</v>
      </c>
      <c r="B324" s="76" t="str">
        <v>Unit Head/Specialist</v>
      </c>
      <c r="C324" s="76">
        <v>3</v>
      </c>
      <c r="D324" t="s">
        <v>5659</v>
      </c>
    </row>
    <row r="325" spans="1:4">
      <c r="A325" t="str">
        <v>Customer Focus</v>
      </c>
      <c r="B325" s="76" t="str">
        <v>Unit Head/Specialist</v>
      </c>
      <c r="C325" s="76">
        <v>4</v>
      </c>
      <c r="D325" t="s">
        <v>5660</v>
      </c>
    </row>
    <row r="326" spans="1:4">
      <c r="A326" t="str">
        <v>Customer Focus</v>
      </c>
      <c r="B326" s="76" t="str">
        <v>Department Head</v>
      </c>
      <c r="C326" s="76">
        <v>1</v>
      </c>
      <c r="D326" t="s">
        <v>5661</v>
      </c>
    </row>
    <row r="327" spans="1:4">
      <c r="A327" t="str">
        <v>Customer Focus</v>
      </c>
      <c r="B327" s="76" t="str">
        <v>Department Head</v>
      </c>
      <c r="C327" s="76">
        <v>2</v>
      </c>
      <c r="D327" t="s">
        <v>5662</v>
      </c>
    </row>
    <row r="328" spans="1:4">
      <c r="A328" t="str">
        <v>Customer Focus</v>
      </c>
      <c r="B328" s="76" t="str">
        <v>Department Head</v>
      </c>
      <c r="C328" s="76">
        <v>3</v>
      </c>
      <c r="D328" t="s">
        <v>5663</v>
      </c>
    </row>
    <row r="329" spans="1:4">
      <c r="A329" t="str">
        <v>Customer Focus</v>
      </c>
      <c r="B329" s="76" t="str">
        <v>Department Head</v>
      </c>
      <c r="C329" s="76">
        <v>4</v>
      </c>
      <c r="D329" t="s">
        <v>5664</v>
      </c>
    </row>
    <row r="330" spans="1:4">
      <c r="A330" t="str">
        <v>Customer Focus</v>
      </c>
      <c r="B330" s="76" t="str">
        <v>Division Head</v>
      </c>
      <c r="C330" s="76">
        <v>1</v>
      </c>
      <c r="D330" t="s">
        <v>5665</v>
      </c>
    </row>
    <row r="331" spans="1:4">
      <c r="A331" t="str">
        <v>Customer Focus</v>
      </c>
      <c r="B331" s="76" t="str">
        <v>Division Head</v>
      </c>
      <c r="C331" s="76">
        <v>2</v>
      </c>
      <c r="D331" t="s">
        <v>5666</v>
      </c>
    </row>
    <row r="332" spans="1:4">
      <c r="A332" t="str">
        <v>Customer Focus</v>
      </c>
      <c r="B332" s="76" t="str">
        <v>Division Head</v>
      </c>
      <c r="C332" s="76">
        <v>3</v>
      </c>
      <c r="D332" t="s">
        <v>5667</v>
      </c>
    </row>
    <row r="333" spans="1:4">
      <c r="A333" t="str">
        <v>Customer Focus</v>
      </c>
      <c r="B333" s="76" t="str">
        <v>Division Head</v>
      </c>
      <c r="C333" s="76">
        <v>4</v>
      </c>
      <c r="D333" t="s">
        <v>5668</v>
      </c>
    </row>
    <row r="334" spans="1:4">
      <c r="A334" t="str">
        <v>Customer Focus</v>
      </c>
      <c r="B334" s="76" t="str">
        <v>Director</v>
      </c>
      <c r="C334" s="76">
        <v>1</v>
      </c>
      <c r="D334" t="s">
        <v>5669</v>
      </c>
    </row>
    <row r="335" spans="1:4">
      <c r="A335" t="str">
        <v>Customer Focus</v>
      </c>
      <c r="B335" s="76" t="str">
        <v>Director</v>
      </c>
      <c r="C335" s="76">
        <v>2</v>
      </c>
      <c r="D335" t="s">
        <v>5422</v>
      </c>
    </row>
    <row r="336" spans="1:4">
      <c r="A336" t="str">
        <v>Customer Focus</v>
      </c>
      <c r="B336" s="76" t="str">
        <v>Director</v>
      </c>
      <c r="C336" s="76">
        <v>3</v>
      </c>
      <c r="D336" t="s">
        <v>5670</v>
      </c>
    </row>
    <row r="337" spans="1:4">
      <c r="A337" t="str">
        <v>Customer Focus</v>
      </c>
      <c r="B337" s="76" t="str">
        <v>Director</v>
      </c>
      <c r="C337" s="76">
        <v>4</v>
      </c>
      <c r="D337" t="s">
        <v>5501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B35A9-A4AD-4CD9-9A87-B2407234879D}">
  <dimension ref="A1:H337"/>
  <sheetViews>
    <sheetView topLeftCell="E59" zoomScaleNormal="100" workbookViewId="0">
      <selection activeCell="H11" sqref="H11"/>
    </sheetView>
  </sheetViews>
  <sheetFormatPr defaultRowHeight="14"/>
  <cols>
    <col min="1" max="1" width="30.75" style="223" bestFit="1" customWidth="1"/>
    <col min="2" max="2" width="19" style="223" customWidth="1"/>
    <col min="3" max="3" width="11.75" style="197" bestFit="1" customWidth="1"/>
    <col min="4" max="8" width="41.4140625" customWidth="1"/>
  </cols>
  <sheetData>
    <row r="1" spans="1:8">
      <c r="A1" s="223" t="s">
        <v>5671</v>
      </c>
      <c r="B1" s="223" t="s">
        <v>5672</v>
      </c>
      <c r="C1" s="197" t="s">
        <v>5673</v>
      </c>
      <c r="D1" t="s">
        <v>5674</v>
      </c>
      <c r="E1" t="s">
        <v>5675</v>
      </c>
      <c r="F1" t="s">
        <v>5676</v>
      </c>
      <c r="G1" t="s">
        <v>5677</v>
      </c>
      <c r="H1" t="s">
        <v>5678</v>
      </c>
    </row>
    <row r="2" spans="1:8" ht="23">
      <c r="A2" s="223" t="str" cm="1">
        <f t="array" ref="A2:A337">INDEX(list!$A$2:$A$16,INT((_xlfn.SEQUENCE(336)-1)/24)+1)</f>
        <v>Achievement Drive</v>
      </c>
      <c r="B2" s="226" t="str" cm="1">
        <f t="array" ref="B2:B337">INDEX(list!$B$2:$B$7,MOD(INT((_xlfn.SEQUENCE(336)-1)/4),6)+1)</f>
        <v>Officer</v>
      </c>
      <c r="C2" s="197" cm="1">
        <f t="array" ref="C2:C337">MOD(_xlfn.SEQUENCE(336)-1,4)+1</f>
        <v>1</v>
      </c>
      <c r="D2" s="228" t="s">
        <v>5679</v>
      </c>
      <c r="E2" s="228" t="s">
        <v>5680</v>
      </c>
      <c r="F2" s="228" t="s">
        <v>5681</v>
      </c>
      <c r="G2" s="229" t="s">
        <v>5682</v>
      </c>
      <c r="H2" s="228" t="s">
        <v>5683</v>
      </c>
    </row>
    <row r="3" spans="1:8" ht="23">
      <c r="A3" s="223" t="str">
        <v>Achievement Drive</v>
      </c>
      <c r="B3" s="226" t="str">
        <v>Officer</v>
      </c>
      <c r="C3" s="79">
        <v>2</v>
      </c>
      <c r="D3" s="228" t="s">
        <v>5684</v>
      </c>
      <c r="E3" s="228" t="s">
        <v>5685</v>
      </c>
      <c r="F3" s="228" t="s">
        <v>5686</v>
      </c>
      <c r="G3" s="229" t="s">
        <v>5687</v>
      </c>
      <c r="H3" s="228" t="s">
        <v>5688</v>
      </c>
    </row>
    <row r="4" spans="1:8" ht="23">
      <c r="A4" s="223" t="str">
        <v>Achievement Drive</v>
      </c>
      <c r="B4" s="226" t="str">
        <v>Officer</v>
      </c>
      <c r="C4" s="197">
        <v>3</v>
      </c>
      <c r="D4" s="228" t="s">
        <v>5689</v>
      </c>
      <c r="E4" s="228" t="s">
        <v>5690</v>
      </c>
      <c r="F4" s="228" t="s">
        <v>5691</v>
      </c>
      <c r="G4" s="229" t="s">
        <v>5692</v>
      </c>
      <c r="H4" s="228" t="s">
        <v>5693</v>
      </c>
    </row>
    <row r="5" spans="1:8" ht="23">
      <c r="A5" s="223" t="str">
        <v>Achievement Drive</v>
      </c>
      <c r="B5" s="226" t="str">
        <v>Officer</v>
      </c>
      <c r="C5" s="197">
        <v>4</v>
      </c>
      <c r="D5" s="228" t="s">
        <v>5694</v>
      </c>
      <c r="E5" s="228" t="s">
        <v>5695</v>
      </c>
      <c r="F5" s="228" t="s">
        <v>5696</v>
      </c>
      <c r="G5" s="229" t="s">
        <v>5697</v>
      </c>
      <c r="H5" s="228" t="s">
        <v>5698</v>
      </c>
    </row>
    <row r="6" spans="1:8" ht="23">
      <c r="A6" s="223" t="str">
        <v>Achievement Drive</v>
      </c>
      <c r="B6" s="226" t="str">
        <v>Analyst</v>
      </c>
      <c r="C6" s="197">
        <v>1</v>
      </c>
      <c r="D6" s="228" t="s">
        <v>5699</v>
      </c>
      <c r="E6" s="228" t="s">
        <v>5700</v>
      </c>
      <c r="F6" s="228" t="s">
        <v>5701</v>
      </c>
      <c r="G6" s="229" t="s">
        <v>5702</v>
      </c>
      <c r="H6" s="228" t="s">
        <v>5703</v>
      </c>
    </row>
    <row r="7" spans="1:8" ht="23">
      <c r="A7" s="223" t="str">
        <v>Achievement Drive</v>
      </c>
      <c r="B7" s="226" t="str">
        <v>Analyst</v>
      </c>
      <c r="C7" s="79">
        <v>2</v>
      </c>
      <c r="D7" s="228" t="s">
        <v>5704</v>
      </c>
      <c r="E7" s="228" t="s">
        <v>5705</v>
      </c>
      <c r="F7" s="228" t="s">
        <v>5706</v>
      </c>
      <c r="G7" s="229" t="s">
        <v>5707</v>
      </c>
      <c r="H7" s="228" t="s">
        <v>5708</v>
      </c>
    </row>
    <row r="8" spans="1:8" ht="34.5">
      <c r="A8" s="223" t="str">
        <v>Achievement Drive</v>
      </c>
      <c r="B8" s="226" t="str">
        <v>Analyst</v>
      </c>
      <c r="C8" s="197">
        <v>3</v>
      </c>
      <c r="D8" s="228" t="s">
        <v>5709</v>
      </c>
      <c r="E8" s="228" t="s">
        <v>5710</v>
      </c>
      <c r="F8" s="228" t="s">
        <v>5711</v>
      </c>
      <c r="G8" s="229" t="s">
        <v>5712</v>
      </c>
      <c r="H8" s="228" t="s">
        <v>5713</v>
      </c>
    </row>
    <row r="9" spans="1:8" ht="23">
      <c r="A9" s="223" t="str">
        <v>Achievement Drive</v>
      </c>
      <c r="B9" s="226" t="str">
        <v>Analyst</v>
      </c>
      <c r="C9" s="197">
        <v>4</v>
      </c>
      <c r="D9" s="228" t="s">
        <v>5714</v>
      </c>
      <c r="E9" s="228" t="s">
        <v>5715</v>
      </c>
      <c r="F9" s="228" t="s">
        <v>5716</v>
      </c>
      <c r="G9" s="229" t="s">
        <v>5717</v>
      </c>
      <c r="H9" s="228" t="s">
        <v>5718</v>
      </c>
    </row>
    <row r="10" spans="1:8" ht="23">
      <c r="A10" s="223" t="str">
        <v>Achievement Drive</v>
      </c>
      <c r="B10" s="227" t="str">
        <v>Unit Head/Specialist</v>
      </c>
      <c r="C10" s="197">
        <v>1</v>
      </c>
      <c r="D10" s="228" t="s">
        <v>5719</v>
      </c>
      <c r="E10" s="228" t="s">
        <v>5720</v>
      </c>
      <c r="F10" s="228" t="s">
        <v>5721</v>
      </c>
      <c r="G10" s="229" t="s">
        <v>5722</v>
      </c>
      <c r="H10" s="228" t="s">
        <v>5723</v>
      </c>
    </row>
    <row r="11" spans="1:8" ht="23">
      <c r="A11" s="223" t="str">
        <v>Achievement Drive</v>
      </c>
      <c r="B11" s="227" t="str">
        <v>Unit Head/Specialist</v>
      </c>
      <c r="C11" s="79">
        <v>2</v>
      </c>
      <c r="D11" s="228" t="s">
        <v>5724</v>
      </c>
      <c r="E11" s="228" t="s">
        <v>5725</v>
      </c>
      <c r="F11" s="228" t="s">
        <v>5726</v>
      </c>
      <c r="G11" s="229" t="s">
        <v>5727</v>
      </c>
      <c r="H11" s="228" t="s">
        <v>5728</v>
      </c>
    </row>
    <row r="12" spans="1:8" ht="23">
      <c r="A12" s="223" t="str">
        <v>Achievement Drive</v>
      </c>
      <c r="B12" s="227" t="str">
        <v>Unit Head/Specialist</v>
      </c>
      <c r="C12" s="197">
        <v>3</v>
      </c>
      <c r="D12" s="228" t="s">
        <v>5729</v>
      </c>
      <c r="E12" s="228" t="s">
        <v>5730</v>
      </c>
      <c r="F12" s="228" t="s">
        <v>5731</v>
      </c>
      <c r="G12" s="229" t="s">
        <v>5732</v>
      </c>
      <c r="H12" s="228" t="s">
        <v>5733</v>
      </c>
    </row>
    <row r="13" spans="1:8" ht="23">
      <c r="A13" s="223" t="str">
        <v>Achievement Drive</v>
      </c>
      <c r="B13" s="227" t="str">
        <v>Unit Head/Specialist</v>
      </c>
      <c r="C13" s="197">
        <v>4</v>
      </c>
      <c r="D13" s="228" t="s">
        <v>5734</v>
      </c>
      <c r="E13" s="228" t="s">
        <v>5735</v>
      </c>
      <c r="F13" s="228" t="s">
        <v>5736</v>
      </c>
      <c r="G13" s="229" t="s">
        <v>5737</v>
      </c>
      <c r="H13" s="228" t="s">
        <v>5738</v>
      </c>
    </row>
    <row r="14" spans="1:8" ht="23">
      <c r="A14" s="223" t="str">
        <v>Achievement Drive</v>
      </c>
      <c r="B14" s="227" t="str">
        <v>Department Head</v>
      </c>
      <c r="C14" s="197">
        <v>1</v>
      </c>
      <c r="D14" s="228" t="s">
        <v>5739</v>
      </c>
      <c r="E14" s="228" t="s">
        <v>5740</v>
      </c>
      <c r="F14" s="228" t="s">
        <v>5741</v>
      </c>
      <c r="G14" s="229" t="s">
        <v>5742</v>
      </c>
      <c r="H14" s="228" t="s">
        <v>5743</v>
      </c>
    </row>
    <row r="15" spans="1:8" ht="23">
      <c r="A15" s="223" t="str">
        <v>Achievement Drive</v>
      </c>
      <c r="B15" s="227" t="str">
        <v>Department Head</v>
      </c>
      <c r="C15" s="79">
        <v>2</v>
      </c>
      <c r="D15" s="228" t="s">
        <v>5744</v>
      </c>
      <c r="E15" s="228" t="s">
        <v>5745</v>
      </c>
      <c r="F15" s="228" t="s">
        <v>5746</v>
      </c>
      <c r="G15" s="229" t="s">
        <v>5747</v>
      </c>
      <c r="H15" s="228" t="s">
        <v>5748</v>
      </c>
    </row>
    <row r="16" spans="1:8" ht="23">
      <c r="A16" s="223" t="str">
        <v>Achievement Drive</v>
      </c>
      <c r="B16" s="227" t="str">
        <v>Department Head</v>
      </c>
      <c r="C16" s="197">
        <v>3</v>
      </c>
      <c r="D16" s="228" t="s">
        <v>5749</v>
      </c>
      <c r="E16" s="228" t="s">
        <v>5750</v>
      </c>
      <c r="F16" s="228" t="s">
        <v>5751</v>
      </c>
      <c r="G16" s="229" t="s">
        <v>5752</v>
      </c>
      <c r="H16" s="228" t="s">
        <v>5753</v>
      </c>
    </row>
    <row r="17" spans="1:8" ht="23">
      <c r="A17" s="223" t="str">
        <v>Achievement Drive</v>
      </c>
      <c r="B17" s="227" t="str">
        <v>Department Head</v>
      </c>
      <c r="C17" s="197">
        <v>4</v>
      </c>
      <c r="D17" s="228" t="s">
        <v>5754</v>
      </c>
      <c r="E17" s="228" t="s">
        <v>5755</v>
      </c>
      <c r="F17" s="228" t="s">
        <v>5756</v>
      </c>
      <c r="G17" s="229" t="s">
        <v>5757</v>
      </c>
      <c r="H17" s="228" t="s">
        <v>5758</v>
      </c>
    </row>
    <row r="18" spans="1:8" ht="23">
      <c r="A18" s="223" t="str">
        <v>Achievement Drive</v>
      </c>
      <c r="B18" s="227" t="str">
        <v>Division Head</v>
      </c>
      <c r="C18" s="197">
        <v>1</v>
      </c>
      <c r="D18" s="228" t="s">
        <v>5759</v>
      </c>
      <c r="E18" s="228" t="s">
        <v>5760</v>
      </c>
      <c r="F18" s="228" t="s">
        <v>5761</v>
      </c>
      <c r="G18" s="229" t="s">
        <v>5762</v>
      </c>
      <c r="H18" s="228" t="s">
        <v>5763</v>
      </c>
    </row>
    <row r="19" spans="1:8" ht="23">
      <c r="A19" s="223" t="str">
        <v>Achievement Drive</v>
      </c>
      <c r="B19" s="227" t="str">
        <v>Division Head</v>
      </c>
      <c r="C19" s="79">
        <v>2</v>
      </c>
      <c r="D19" s="228" t="s">
        <v>5764</v>
      </c>
      <c r="E19" s="228" t="s">
        <v>5765</v>
      </c>
      <c r="F19" s="228" t="s">
        <v>5766</v>
      </c>
      <c r="G19" s="229" t="s">
        <v>5767</v>
      </c>
      <c r="H19" s="228" t="s">
        <v>5768</v>
      </c>
    </row>
    <row r="20" spans="1:8" ht="23">
      <c r="A20" s="223" t="str">
        <v>Achievement Drive</v>
      </c>
      <c r="B20" s="227" t="str">
        <v>Division Head</v>
      </c>
      <c r="C20" s="197">
        <v>3</v>
      </c>
      <c r="D20" s="228" t="s">
        <v>5769</v>
      </c>
      <c r="E20" s="228" t="s">
        <v>5770</v>
      </c>
      <c r="F20" s="228" t="s">
        <v>5771</v>
      </c>
      <c r="G20" s="229" t="s">
        <v>5772</v>
      </c>
      <c r="H20" s="228" t="s">
        <v>5773</v>
      </c>
    </row>
    <row r="21" spans="1:8" ht="23">
      <c r="A21" s="223" t="str">
        <v>Achievement Drive</v>
      </c>
      <c r="B21" s="227" t="str">
        <v>Division Head</v>
      </c>
      <c r="C21" s="197">
        <v>4</v>
      </c>
      <c r="D21" s="228" t="s">
        <v>5774</v>
      </c>
      <c r="E21" s="228" t="s">
        <v>5775</v>
      </c>
      <c r="F21" s="228" t="s">
        <v>5776</v>
      </c>
      <c r="G21" s="229" t="s">
        <v>5777</v>
      </c>
      <c r="H21" s="228" t="s">
        <v>5778</v>
      </c>
    </row>
    <row r="22" spans="1:8" ht="23">
      <c r="A22" s="223" t="str">
        <v>Achievement Drive</v>
      </c>
      <c r="B22" s="227" t="str">
        <v>Director</v>
      </c>
      <c r="C22" s="197">
        <v>1</v>
      </c>
      <c r="D22" s="228" t="s">
        <v>5779</v>
      </c>
      <c r="E22" s="228" t="s">
        <v>5780</v>
      </c>
      <c r="F22" s="228" t="s">
        <v>5781</v>
      </c>
      <c r="G22" s="229" t="s">
        <v>5782</v>
      </c>
      <c r="H22" s="228" t="s">
        <v>5783</v>
      </c>
    </row>
    <row r="23" spans="1:8" ht="23">
      <c r="A23" s="223" t="str">
        <v>Achievement Drive</v>
      </c>
      <c r="B23" s="227" t="str">
        <v>Director</v>
      </c>
      <c r="C23" s="79">
        <v>2</v>
      </c>
      <c r="D23" s="228" t="s">
        <v>5784</v>
      </c>
      <c r="E23" s="228" t="s">
        <v>5785</v>
      </c>
      <c r="F23" s="228" t="s">
        <v>5786</v>
      </c>
      <c r="G23" s="229" t="s">
        <v>5787</v>
      </c>
      <c r="H23" s="228" t="s">
        <v>5788</v>
      </c>
    </row>
    <row r="24" spans="1:8" ht="23">
      <c r="A24" s="223" t="str">
        <v>Achievement Drive</v>
      </c>
      <c r="B24" s="227" t="str">
        <v>Director</v>
      </c>
      <c r="C24" s="197">
        <v>3</v>
      </c>
      <c r="D24" s="228" t="s">
        <v>5789</v>
      </c>
      <c r="E24" s="228" t="s">
        <v>5790</v>
      </c>
      <c r="F24" s="228" t="s">
        <v>5791</v>
      </c>
      <c r="G24" s="229" t="s">
        <v>5792</v>
      </c>
      <c r="H24" s="228" t="s">
        <v>5793</v>
      </c>
    </row>
    <row r="25" spans="1:8" ht="23">
      <c r="A25" s="223" t="str">
        <v>Achievement Drive</v>
      </c>
      <c r="B25" s="227" t="str">
        <v>Director</v>
      </c>
      <c r="C25" s="197">
        <v>4</v>
      </c>
      <c r="D25" s="228" t="s">
        <v>5794</v>
      </c>
      <c r="E25" s="228" t="s">
        <v>5795</v>
      </c>
      <c r="F25" s="228" t="s">
        <v>5796</v>
      </c>
      <c r="G25" s="229" t="s">
        <v>5797</v>
      </c>
      <c r="H25" s="228" t="s">
        <v>5798</v>
      </c>
    </row>
    <row r="26" spans="1:8" ht="23">
      <c r="A26" s="223" t="str">
        <v>Developing Oneself</v>
      </c>
      <c r="B26" s="226" t="str">
        <v>Officer</v>
      </c>
      <c r="C26" s="197">
        <v>1</v>
      </c>
      <c r="D26" s="228" t="s">
        <v>5799</v>
      </c>
      <c r="E26" s="228" t="s">
        <v>5800</v>
      </c>
      <c r="F26" s="228" t="s">
        <v>5801</v>
      </c>
      <c r="G26" s="229" t="s">
        <v>5802</v>
      </c>
      <c r="H26" s="228" t="s">
        <v>5803</v>
      </c>
    </row>
    <row r="27" spans="1:8" ht="23">
      <c r="A27" s="223" t="str">
        <v>Developing Oneself</v>
      </c>
      <c r="B27" s="226" t="str">
        <v>Officer</v>
      </c>
      <c r="C27" s="79">
        <v>2</v>
      </c>
      <c r="D27" s="228" t="s">
        <v>5804</v>
      </c>
      <c r="E27" s="228" t="s">
        <v>5805</v>
      </c>
      <c r="F27" s="228" t="s">
        <v>5806</v>
      </c>
      <c r="G27" s="229" t="s">
        <v>5807</v>
      </c>
      <c r="H27" s="228" t="s">
        <v>5808</v>
      </c>
    </row>
    <row r="28" spans="1:8" ht="34.5">
      <c r="A28" s="223" t="str">
        <v>Developing Oneself</v>
      </c>
      <c r="B28" s="226" t="str">
        <v>Officer</v>
      </c>
      <c r="C28" s="197">
        <v>3</v>
      </c>
      <c r="D28" s="228" t="s">
        <v>5809</v>
      </c>
      <c r="E28" s="228" t="s">
        <v>5810</v>
      </c>
      <c r="F28" s="228" t="s">
        <v>5811</v>
      </c>
      <c r="G28" s="229" t="s">
        <v>5812</v>
      </c>
      <c r="H28" s="228" t="s">
        <v>5813</v>
      </c>
    </row>
    <row r="29" spans="1:8" ht="23">
      <c r="A29" s="223" t="str">
        <v>Developing Oneself</v>
      </c>
      <c r="B29" s="226" t="str">
        <v>Officer</v>
      </c>
      <c r="C29" s="197">
        <v>4</v>
      </c>
      <c r="D29" s="228" t="s">
        <v>5814</v>
      </c>
      <c r="E29" s="228" t="s">
        <v>5815</v>
      </c>
      <c r="F29" s="228" t="s">
        <v>5816</v>
      </c>
      <c r="G29" s="229" t="s">
        <v>5817</v>
      </c>
      <c r="H29" s="228" t="s">
        <v>5818</v>
      </c>
    </row>
    <row r="30" spans="1:8" ht="23">
      <c r="A30" s="223" t="str">
        <v>Developing Oneself</v>
      </c>
      <c r="B30" s="226" t="str">
        <v>Analyst</v>
      </c>
      <c r="C30" s="197">
        <v>1</v>
      </c>
      <c r="D30" s="228" t="s">
        <v>5819</v>
      </c>
      <c r="E30" s="228" t="s">
        <v>5820</v>
      </c>
      <c r="F30" s="228" t="s">
        <v>5821</v>
      </c>
      <c r="G30" s="229" t="s">
        <v>5822</v>
      </c>
      <c r="H30" s="228" t="s">
        <v>5823</v>
      </c>
    </row>
    <row r="31" spans="1:8" ht="23">
      <c r="A31" s="223" t="str">
        <v>Developing Oneself</v>
      </c>
      <c r="B31" s="226" t="str">
        <v>Analyst</v>
      </c>
      <c r="C31" s="79">
        <v>2</v>
      </c>
      <c r="D31" s="228" t="s">
        <v>5824</v>
      </c>
      <c r="E31" s="228" t="s">
        <v>5825</v>
      </c>
      <c r="F31" s="228" t="s">
        <v>5826</v>
      </c>
      <c r="G31" s="229" t="s">
        <v>5827</v>
      </c>
      <c r="H31" s="228" t="s">
        <v>5828</v>
      </c>
    </row>
    <row r="32" spans="1:8" ht="23">
      <c r="A32" s="223" t="str">
        <v>Developing Oneself</v>
      </c>
      <c r="B32" s="226" t="str">
        <v>Analyst</v>
      </c>
      <c r="C32" s="197">
        <v>3</v>
      </c>
      <c r="D32" s="228" t="s">
        <v>5829</v>
      </c>
      <c r="E32" s="228" t="s">
        <v>5830</v>
      </c>
      <c r="F32" s="228" t="s">
        <v>5831</v>
      </c>
      <c r="G32" s="229" t="s">
        <v>5832</v>
      </c>
      <c r="H32" s="228" t="s">
        <v>5833</v>
      </c>
    </row>
    <row r="33" spans="1:8" ht="23">
      <c r="A33" s="223" t="str">
        <v>Developing Oneself</v>
      </c>
      <c r="B33" s="226" t="str">
        <v>Analyst</v>
      </c>
      <c r="C33" s="197">
        <v>4</v>
      </c>
      <c r="D33" s="228" t="s">
        <v>5834</v>
      </c>
      <c r="E33" s="228" t="s">
        <v>5835</v>
      </c>
      <c r="F33" s="228" t="s">
        <v>5836</v>
      </c>
      <c r="G33" s="229" t="s">
        <v>5837</v>
      </c>
      <c r="H33" s="228" t="s">
        <v>5838</v>
      </c>
    </row>
    <row r="34" spans="1:8" ht="23">
      <c r="A34" s="223" t="str">
        <v>Developing Oneself</v>
      </c>
      <c r="B34" s="227" t="str">
        <v>Unit Head/Specialist</v>
      </c>
      <c r="C34" s="197">
        <v>1</v>
      </c>
      <c r="D34" s="228" t="s">
        <v>5839</v>
      </c>
      <c r="E34" s="228" t="s">
        <v>5840</v>
      </c>
      <c r="F34" s="228" t="s">
        <v>5841</v>
      </c>
      <c r="G34" s="229" t="s">
        <v>5842</v>
      </c>
      <c r="H34" s="228" t="s">
        <v>5843</v>
      </c>
    </row>
    <row r="35" spans="1:8" ht="34.5">
      <c r="A35" s="223" t="str">
        <v>Developing Oneself</v>
      </c>
      <c r="B35" s="227" t="str">
        <v>Unit Head/Specialist</v>
      </c>
      <c r="C35" s="79">
        <v>2</v>
      </c>
      <c r="D35" s="228" t="s">
        <v>5844</v>
      </c>
      <c r="E35" s="228" t="s">
        <v>5845</v>
      </c>
      <c r="F35" s="228" t="s">
        <v>5846</v>
      </c>
      <c r="G35" s="229" t="s">
        <v>5847</v>
      </c>
      <c r="H35" s="228" t="s">
        <v>5848</v>
      </c>
    </row>
    <row r="36" spans="1:8" ht="23">
      <c r="A36" s="223" t="str">
        <v>Developing Oneself</v>
      </c>
      <c r="B36" s="227" t="str">
        <v>Unit Head/Specialist</v>
      </c>
      <c r="C36" s="197">
        <v>3</v>
      </c>
      <c r="D36" s="228" t="s">
        <v>5849</v>
      </c>
      <c r="E36" s="228" t="s">
        <v>5850</v>
      </c>
      <c r="F36" s="228" t="s">
        <v>5851</v>
      </c>
      <c r="G36" s="229" t="s">
        <v>5852</v>
      </c>
      <c r="H36" s="228" t="s">
        <v>5853</v>
      </c>
    </row>
    <row r="37" spans="1:8" ht="23">
      <c r="A37" s="223" t="str">
        <v>Developing Oneself</v>
      </c>
      <c r="B37" s="227" t="str">
        <v>Unit Head/Specialist</v>
      </c>
      <c r="C37" s="197">
        <v>4</v>
      </c>
      <c r="D37" s="228" t="s">
        <v>5854</v>
      </c>
      <c r="E37" s="228" t="s">
        <v>5855</v>
      </c>
      <c r="F37" s="228" t="s">
        <v>5856</v>
      </c>
      <c r="G37" s="229" t="s">
        <v>5857</v>
      </c>
      <c r="H37" s="228" t="s">
        <v>5858</v>
      </c>
    </row>
    <row r="38" spans="1:8" ht="23">
      <c r="A38" s="223" t="str">
        <v>Developing Oneself</v>
      </c>
      <c r="B38" s="227" t="str">
        <v>Department Head</v>
      </c>
      <c r="C38" s="197">
        <v>1</v>
      </c>
      <c r="D38" s="228" t="s">
        <v>5859</v>
      </c>
      <c r="E38" s="228" t="s">
        <v>5860</v>
      </c>
      <c r="F38" s="228" t="s">
        <v>5861</v>
      </c>
      <c r="G38" s="229" t="s">
        <v>5862</v>
      </c>
      <c r="H38" s="228" t="s">
        <v>5863</v>
      </c>
    </row>
    <row r="39" spans="1:8" ht="23">
      <c r="A39" s="223" t="str">
        <v>Developing Oneself</v>
      </c>
      <c r="B39" s="227" t="str">
        <v>Department Head</v>
      </c>
      <c r="C39" s="79">
        <v>2</v>
      </c>
      <c r="D39" s="228" t="s">
        <v>5864</v>
      </c>
      <c r="E39" s="228" t="s">
        <v>5865</v>
      </c>
      <c r="F39" s="228" t="s">
        <v>5866</v>
      </c>
      <c r="G39" s="229" t="s">
        <v>5867</v>
      </c>
      <c r="H39" s="228" t="s">
        <v>5868</v>
      </c>
    </row>
    <row r="40" spans="1:8" ht="23">
      <c r="A40" s="223" t="str">
        <v>Developing Oneself</v>
      </c>
      <c r="B40" s="227" t="str">
        <v>Department Head</v>
      </c>
      <c r="C40" s="197">
        <v>3</v>
      </c>
      <c r="D40" s="228" t="s">
        <v>5869</v>
      </c>
      <c r="E40" s="228" t="s">
        <v>5870</v>
      </c>
      <c r="F40" s="228" t="s">
        <v>5871</v>
      </c>
      <c r="G40" s="229" t="s">
        <v>5872</v>
      </c>
      <c r="H40" s="228" t="s">
        <v>5873</v>
      </c>
    </row>
    <row r="41" spans="1:8" ht="34.5">
      <c r="A41" s="223" t="str">
        <v>Developing Oneself</v>
      </c>
      <c r="B41" s="227" t="str">
        <v>Department Head</v>
      </c>
      <c r="C41" s="197">
        <v>4</v>
      </c>
      <c r="D41" s="228" t="s">
        <v>5874</v>
      </c>
      <c r="E41" s="228" t="s">
        <v>5875</v>
      </c>
      <c r="F41" s="228" t="s">
        <v>5876</v>
      </c>
      <c r="G41" s="229" t="s">
        <v>5877</v>
      </c>
      <c r="H41" s="228" t="s">
        <v>5878</v>
      </c>
    </row>
    <row r="42" spans="1:8" ht="23">
      <c r="A42" s="223" t="str">
        <v>Developing Oneself</v>
      </c>
      <c r="B42" s="227" t="str">
        <v>Division Head</v>
      </c>
      <c r="C42" s="197">
        <v>1</v>
      </c>
      <c r="D42" s="228" t="s">
        <v>5879</v>
      </c>
      <c r="E42" s="228" t="s">
        <v>5880</v>
      </c>
      <c r="F42" s="228" t="s">
        <v>5881</v>
      </c>
      <c r="G42" s="229" t="s">
        <v>5882</v>
      </c>
      <c r="H42" s="228" t="s">
        <v>5883</v>
      </c>
    </row>
    <row r="43" spans="1:8" ht="23">
      <c r="A43" s="223" t="str">
        <v>Developing Oneself</v>
      </c>
      <c r="B43" s="227" t="str">
        <v>Division Head</v>
      </c>
      <c r="C43" s="79">
        <v>2</v>
      </c>
      <c r="D43" s="228" t="s">
        <v>5884</v>
      </c>
      <c r="E43" s="228" t="s">
        <v>5885</v>
      </c>
      <c r="F43" s="228" t="s">
        <v>5886</v>
      </c>
      <c r="G43" s="229" t="s">
        <v>5887</v>
      </c>
      <c r="H43" s="228" t="s">
        <v>5888</v>
      </c>
    </row>
    <row r="44" spans="1:8" ht="23">
      <c r="A44" s="223" t="str">
        <v>Developing Oneself</v>
      </c>
      <c r="B44" s="227" t="str">
        <v>Division Head</v>
      </c>
      <c r="C44" s="197">
        <v>3</v>
      </c>
      <c r="D44" s="228" t="s">
        <v>5889</v>
      </c>
      <c r="E44" s="228" t="s">
        <v>5890</v>
      </c>
      <c r="F44" s="228" t="s">
        <v>5891</v>
      </c>
      <c r="G44" s="229" t="s">
        <v>5892</v>
      </c>
      <c r="H44" s="228" t="s">
        <v>5893</v>
      </c>
    </row>
    <row r="45" spans="1:8" ht="23">
      <c r="A45" s="223" t="str">
        <v>Developing Oneself</v>
      </c>
      <c r="B45" s="227" t="str">
        <v>Division Head</v>
      </c>
      <c r="C45" s="197">
        <v>4</v>
      </c>
      <c r="D45" s="228" t="s">
        <v>5894</v>
      </c>
      <c r="E45" s="228" t="s">
        <v>5895</v>
      </c>
      <c r="F45" s="228" t="s">
        <v>5896</v>
      </c>
      <c r="G45" s="229" t="s">
        <v>5897</v>
      </c>
      <c r="H45" s="228" t="s">
        <v>5898</v>
      </c>
    </row>
    <row r="46" spans="1:8" ht="23">
      <c r="A46" s="223" t="str">
        <v>Developing Oneself</v>
      </c>
      <c r="B46" s="227" t="str">
        <v>Director</v>
      </c>
      <c r="C46" s="197">
        <v>1</v>
      </c>
      <c r="D46" s="228" t="s">
        <v>5899</v>
      </c>
      <c r="E46" s="228" t="s">
        <v>5900</v>
      </c>
      <c r="F46" s="228" t="s">
        <v>5901</v>
      </c>
      <c r="G46" s="229" t="s">
        <v>5902</v>
      </c>
      <c r="H46" s="228" t="s">
        <v>5903</v>
      </c>
    </row>
    <row r="47" spans="1:8" ht="23">
      <c r="A47" s="223" t="str">
        <v>Developing Oneself</v>
      </c>
      <c r="B47" s="227" t="str">
        <v>Director</v>
      </c>
      <c r="C47" s="79">
        <v>2</v>
      </c>
      <c r="D47" s="228" t="s">
        <v>5904</v>
      </c>
      <c r="E47" s="228" t="s">
        <v>5905</v>
      </c>
      <c r="F47" s="228" t="s">
        <v>5906</v>
      </c>
      <c r="G47" s="229" t="s">
        <v>5907</v>
      </c>
      <c r="H47" s="228" t="s">
        <v>5908</v>
      </c>
    </row>
    <row r="48" spans="1:8" ht="23">
      <c r="A48" s="223" t="str">
        <v>Developing Oneself</v>
      </c>
      <c r="B48" s="227" t="str">
        <v>Director</v>
      </c>
      <c r="C48" s="197">
        <v>3</v>
      </c>
      <c r="D48" s="228" t="s">
        <v>5909</v>
      </c>
      <c r="E48" s="228" t="s">
        <v>5910</v>
      </c>
      <c r="F48" s="228" t="s">
        <v>5911</v>
      </c>
      <c r="G48" s="229" t="s">
        <v>5912</v>
      </c>
      <c r="H48" s="228" t="s">
        <v>5913</v>
      </c>
    </row>
    <row r="49" spans="1:8" ht="34.5">
      <c r="A49" s="223" t="str">
        <v>Developing Oneself</v>
      </c>
      <c r="B49" s="227" t="str">
        <v>Director</v>
      </c>
      <c r="C49" s="197">
        <v>4</v>
      </c>
      <c r="D49" s="228" t="s">
        <v>5914</v>
      </c>
      <c r="E49" s="228" t="s">
        <v>5915</v>
      </c>
      <c r="F49" s="228" t="s">
        <v>5916</v>
      </c>
      <c r="G49" s="229" t="s">
        <v>5917</v>
      </c>
      <c r="H49" s="228" t="s">
        <v>5918</v>
      </c>
    </row>
    <row r="50" spans="1:8" ht="23">
      <c r="A50" s="223" t="str">
        <v>Planning &amp; Organizing</v>
      </c>
      <c r="B50" s="223" t="str">
        <v>Officer</v>
      </c>
      <c r="C50" s="197">
        <v>1</v>
      </c>
      <c r="D50" s="228" t="s">
        <v>5919</v>
      </c>
      <c r="E50" s="228" t="s">
        <v>5920</v>
      </c>
      <c r="F50" s="228" t="s">
        <v>5921</v>
      </c>
      <c r="G50" s="229" t="s">
        <v>5922</v>
      </c>
      <c r="H50" s="228" t="s">
        <v>5923</v>
      </c>
    </row>
    <row r="51" spans="1:8" ht="23">
      <c r="A51" s="223" t="str">
        <v>Planning &amp; Organizing</v>
      </c>
      <c r="B51" s="223" t="str">
        <v>Officer</v>
      </c>
      <c r="C51" s="197">
        <v>2</v>
      </c>
      <c r="D51" s="228" t="s">
        <v>5924</v>
      </c>
      <c r="E51" s="228" t="s">
        <v>5925</v>
      </c>
      <c r="F51" s="228" t="s">
        <v>5926</v>
      </c>
      <c r="G51" s="229" t="s">
        <v>5927</v>
      </c>
      <c r="H51" s="228" t="s">
        <v>5928</v>
      </c>
    </row>
    <row r="52" spans="1:8" ht="23">
      <c r="A52" s="223" t="str">
        <v>Planning &amp; Organizing</v>
      </c>
      <c r="B52" s="223" t="str">
        <v>Officer</v>
      </c>
      <c r="C52" s="197">
        <v>3</v>
      </c>
      <c r="D52" s="228" t="s">
        <v>5929</v>
      </c>
      <c r="E52" s="228" t="s">
        <v>5930</v>
      </c>
      <c r="F52" s="228" t="s">
        <v>5931</v>
      </c>
      <c r="G52" s="229" t="s">
        <v>5932</v>
      </c>
      <c r="H52" s="228" t="s">
        <v>5933</v>
      </c>
    </row>
    <row r="53" spans="1:8" ht="23">
      <c r="A53" s="223" t="str">
        <v>Planning &amp; Organizing</v>
      </c>
      <c r="B53" s="223" t="str">
        <v>Officer</v>
      </c>
      <c r="C53" s="197">
        <v>4</v>
      </c>
      <c r="D53" s="228" t="s">
        <v>5934</v>
      </c>
      <c r="E53" s="228" t="s">
        <v>5935</v>
      </c>
      <c r="F53" s="228" t="s">
        <v>5936</v>
      </c>
      <c r="G53" s="229" t="s">
        <v>5937</v>
      </c>
      <c r="H53" s="228" t="s">
        <v>5938</v>
      </c>
    </row>
    <row r="54" spans="1:8" ht="23">
      <c r="A54" s="223" t="str">
        <v>Planning &amp; Organizing</v>
      </c>
      <c r="B54" s="223" t="str">
        <v>Analyst</v>
      </c>
      <c r="C54" s="197">
        <v>1</v>
      </c>
      <c r="D54" s="228" t="s">
        <v>5939</v>
      </c>
      <c r="E54" s="228" t="s">
        <v>5940</v>
      </c>
      <c r="F54" s="228" t="s">
        <v>5941</v>
      </c>
      <c r="G54" s="229" t="s">
        <v>5942</v>
      </c>
      <c r="H54" s="228" t="s">
        <v>5943</v>
      </c>
    </row>
    <row r="55" spans="1:8" ht="23">
      <c r="A55" s="223" t="str">
        <v>Planning &amp; Organizing</v>
      </c>
      <c r="B55" s="223" t="str">
        <v>Analyst</v>
      </c>
      <c r="C55" s="197">
        <v>2</v>
      </c>
      <c r="D55" s="228" t="s">
        <v>5944</v>
      </c>
      <c r="E55" s="228" t="s">
        <v>5945</v>
      </c>
      <c r="F55" s="228" t="s">
        <v>5946</v>
      </c>
      <c r="G55" s="229" t="s">
        <v>5947</v>
      </c>
      <c r="H55" s="228" t="s">
        <v>5948</v>
      </c>
    </row>
    <row r="56" spans="1:8" ht="23">
      <c r="A56" s="223" t="str">
        <v>Planning &amp; Organizing</v>
      </c>
      <c r="B56" s="223" t="str">
        <v>Analyst</v>
      </c>
      <c r="C56" s="197">
        <v>3</v>
      </c>
      <c r="D56" s="228" t="s">
        <v>5949</v>
      </c>
      <c r="E56" s="228" t="s">
        <v>5950</v>
      </c>
      <c r="F56" s="228" t="s">
        <v>5951</v>
      </c>
      <c r="G56" s="229" t="s">
        <v>5952</v>
      </c>
      <c r="H56" s="228" t="s">
        <v>5953</v>
      </c>
    </row>
    <row r="57" spans="1:8" ht="23">
      <c r="A57" s="223" t="str">
        <v>Planning &amp; Organizing</v>
      </c>
      <c r="B57" s="223" t="str">
        <v>Analyst</v>
      </c>
      <c r="C57" s="197">
        <v>4</v>
      </c>
      <c r="D57" s="228" t="s">
        <v>5954</v>
      </c>
      <c r="E57" s="228" t="s">
        <v>5955</v>
      </c>
      <c r="F57" s="228" t="s">
        <v>5956</v>
      </c>
      <c r="G57" s="229" t="s">
        <v>5957</v>
      </c>
      <c r="H57" s="228" t="s">
        <v>5958</v>
      </c>
    </row>
    <row r="58" spans="1:8" ht="23">
      <c r="A58" s="223" t="str">
        <v>Planning &amp; Organizing</v>
      </c>
      <c r="B58" s="223" t="str">
        <v>Unit Head/Specialist</v>
      </c>
      <c r="C58" s="197">
        <v>1</v>
      </c>
      <c r="D58" s="228" t="s">
        <v>5959</v>
      </c>
      <c r="E58" s="228" t="s">
        <v>5960</v>
      </c>
      <c r="F58" s="228" t="s">
        <v>5961</v>
      </c>
      <c r="G58" s="229" t="s">
        <v>5962</v>
      </c>
      <c r="H58" s="228" t="s">
        <v>5963</v>
      </c>
    </row>
    <row r="59" spans="1:8" ht="23">
      <c r="A59" s="223" t="str">
        <v>Planning &amp; Organizing</v>
      </c>
      <c r="B59" s="223" t="str">
        <v>Unit Head/Specialist</v>
      </c>
      <c r="C59" s="197">
        <v>2</v>
      </c>
      <c r="D59" s="228" t="s">
        <v>5964</v>
      </c>
      <c r="E59" s="228" t="s">
        <v>5965</v>
      </c>
      <c r="F59" s="228" t="s">
        <v>5966</v>
      </c>
      <c r="G59" s="229" t="s">
        <v>5967</v>
      </c>
      <c r="H59" s="228" t="s">
        <v>5968</v>
      </c>
    </row>
    <row r="60" spans="1:8" ht="23">
      <c r="A60" s="223" t="str">
        <v>Planning &amp; Organizing</v>
      </c>
      <c r="B60" s="223" t="str">
        <v>Unit Head/Specialist</v>
      </c>
      <c r="C60" s="197">
        <v>3</v>
      </c>
      <c r="D60" s="228" t="s">
        <v>5969</v>
      </c>
      <c r="E60" s="228" t="s">
        <v>5970</v>
      </c>
      <c r="F60" s="228" t="s">
        <v>5971</v>
      </c>
      <c r="G60" s="229" t="s">
        <v>5972</v>
      </c>
      <c r="H60" s="228" t="s">
        <v>5973</v>
      </c>
    </row>
    <row r="61" spans="1:8" ht="23">
      <c r="A61" s="223" t="str">
        <v>Planning &amp; Organizing</v>
      </c>
      <c r="B61" s="223" t="str">
        <v>Unit Head/Specialist</v>
      </c>
      <c r="C61" s="197">
        <v>4</v>
      </c>
      <c r="D61" s="228" t="s">
        <v>5974</v>
      </c>
      <c r="E61" s="228" t="s">
        <v>5975</v>
      </c>
      <c r="F61" s="228" t="s">
        <v>5976</v>
      </c>
      <c r="G61" s="229" t="s">
        <v>5977</v>
      </c>
      <c r="H61" s="228" t="s">
        <v>5978</v>
      </c>
    </row>
    <row r="62" spans="1:8" ht="23">
      <c r="A62" s="223" t="str">
        <v>Planning &amp; Organizing</v>
      </c>
      <c r="B62" s="223" t="str">
        <v>Department Head</v>
      </c>
      <c r="C62" s="197">
        <v>1</v>
      </c>
      <c r="D62" s="228" t="s">
        <v>5979</v>
      </c>
      <c r="E62" s="228" t="s">
        <v>5980</v>
      </c>
      <c r="F62" s="228" t="s">
        <v>5981</v>
      </c>
      <c r="G62" s="229" t="s">
        <v>5982</v>
      </c>
      <c r="H62" s="228" t="s">
        <v>5983</v>
      </c>
    </row>
    <row r="63" spans="1:8" ht="23">
      <c r="A63" s="223" t="str">
        <v>Planning &amp; Organizing</v>
      </c>
      <c r="B63" s="223" t="str">
        <v>Department Head</v>
      </c>
      <c r="C63" s="197">
        <v>2</v>
      </c>
      <c r="D63" s="228" t="s">
        <v>5984</v>
      </c>
      <c r="E63" s="228" t="s">
        <v>5985</v>
      </c>
      <c r="F63" s="228" t="s">
        <v>5986</v>
      </c>
      <c r="G63" s="229" t="s">
        <v>5987</v>
      </c>
      <c r="H63" s="228" t="s">
        <v>5988</v>
      </c>
    </row>
    <row r="64" spans="1:8" ht="23">
      <c r="A64" s="223" t="str">
        <v>Planning &amp; Organizing</v>
      </c>
      <c r="B64" s="223" t="str">
        <v>Department Head</v>
      </c>
      <c r="C64" s="197">
        <v>3</v>
      </c>
      <c r="D64" s="228" t="s">
        <v>5989</v>
      </c>
      <c r="E64" s="228" t="s">
        <v>5990</v>
      </c>
      <c r="F64" s="228" t="s">
        <v>5991</v>
      </c>
      <c r="G64" s="229" t="s">
        <v>5992</v>
      </c>
      <c r="H64" s="228" t="s">
        <v>5993</v>
      </c>
    </row>
    <row r="65" spans="1:8" ht="23">
      <c r="A65" s="223" t="str">
        <v>Planning &amp; Organizing</v>
      </c>
      <c r="B65" s="223" t="str">
        <v>Department Head</v>
      </c>
      <c r="C65" s="197">
        <v>4</v>
      </c>
      <c r="D65" s="228" t="s">
        <v>5994</v>
      </c>
      <c r="E65" s="228" t="s">
        <v>5995</v>
      </c>
      <c r="F65" s="228" t="s">
        <v>5996</v>
      </c>
      <c r="G65" s="229" t="s">
        <v>5997</v>
      </c>
      <c r="H65" s="228" t="s">
        <v>5998</v>
      </c>
    </row>
    <row r="66" spans="1:8">
      <c r="A66" s="223" t="str">
        <v>Planning &amp; Organizing</v>
      </c>
      <c r="B66" s="223" t="str">
        <v>Division Head</v>
      </c>
      <c r="C66" s="197">
        <v>1</v>
      </c>
      <c r="D66" s="228" t="s">
        <v>5999</v>
      </c>
      <c r="E66" s="228" t="s">
        <v>5760</v>
      </c>
      <c r="F66" s="228" t="s">
        <v>6000</v>
      </c>
      <c r="G66" s="229" t="s">
        <v>6001</v>
      </c>
      <c r="H66" s="228" t="s">
        <v>5763</v>
      </c>
    </row>
    <row r="67" spans="1:8" ht="23">
      <c r="A67" s="223" t="str">
        <v>Planning &amp; Organizing</v>
      </c>
      <c r="B67" s="223" t="str">
        <v>Division Head</v>
      </c>
      <c r="C67" s="197">
        <v>2</v>
      </c>
      <c r="D67" s="228" t="s">
        <v>5764</v>
      </c>
      <c r="E67" s="228" t="s">
        <v>6002</v>
      </c>
      <c r="F67" s="228" t="s">
        <v>6003</v>
      </c>
      <c r="G67" s="229" t="s">
        <v>6004</v>
      </c>
      <c r="H67" s="228" t="s">
        <v>5768</v>
      </c>
    </row>
    <row r="68" spans="1:8" ht="23">
      <c r="A68" s="223" t="str">
        <v>Planning &amp; Organizing</v>
      </c>
      <c r="B68" s="223" t="str">
        <v>Division Head</v>
      </c>
      <c r="C68" s="197">
        <v>3</v>
      </c>
      <c r="D68" s="228" t="s">
        <v>5769</v>
      </c>
      <c r="E68" s="228" t="s">
        <v>6005</v>
      </c>
      <c r="F68" s="228" t="s">
        <v>5771</v>
      </c>
      <c r="G68" s="229" t="s">
        <v>6006</v>
      </c>
      <c r="H68" s="228" t="s">
        <v>5773</v>
      </c>
    </row>
    <row r="69" spans="1:8" ht="23">
      <c r="A69" s="223" t="str">
        <v>Planning &amp; Organizing</v>
      </c>
      <c r="B69" s="223" t="str">
        <v>Division Head</v>
      </c>
      <c r="C69" s="197">
        <v>4</v>
      </c>
      <c r="D69" s="228" t="s">
        <v>6007</v>
      </c>
      <c r="E69" s="228" t="s">
        <v>6008</v>
      </c>
      <c r="F69" s="228" t="s">
        <v>6009</v>
      </c>
      <c r="G69" s="229" t="s">
        <v>6010</v>
      </c>
      <c r="H69" s="228" t="s">
        <v>6011</v>
      </c>
    </row>
    <row r="70" spans="1:8" ht="23">
      <c r="A70" s="223" t="str">
        <v>Planning &amp; Organizing</v>
      </c>
      <c r="B70" s="223" t="str">
        <v>Director</v>
      </c>
      <c r="C70" s="197">
        <v>1</v>
      </c>
      <c r="D70" s="228" t="s">
        <v>6012</v>
      </c>
      <c r="E70" s="228" t="s">
        <v>5780</v>
      </c>
      <c r="F70" s="228" t="s">
        <v>5781</v>
      </c>
      <c r="G70" s="229" t="s">
        <v>6013</v>
      </c>
      <c r="H70" s="228" t="s">
        <v>6014</v>
      </c>
    </row>
    <row r="71" spans="1:8" ht="23">
      <c r="A71" s="223" t="str">
        <v>Planning &amp; Organizing</v>
      </c>
      <c r="B71" s="223" t="str">
        <v>Director</v>
      </c>
      <c r="C71" s="197">
        <v>2</v>
      </c>
      <c r="D71" s="228" t="s">
        <v>6015</v>
      </c>
      <c r="E71" s="228" t="s">
        <v>5785</v>
      </c>
      <c r="F71" s="228" t="s">
        <v>6016</v>
      </c>
      <c r="G71" s="229" t="s">
        <v>6017</v>
      </c>
      <c r="H71" s="228" t="s">
        <v>5788</v>
      </c>
    </row>
    <row r="72" spans="1:8" ht="23">
      <c r="A72" s="223" t="str">
        <v>Planning &amp; Organizing</v>
      </c>
      <c r="B72" s="223" t="str">
        <v>Director</v>
      </c>
      <c r="C72" s="197">
        <v>3</v>
      </c>
      <c r="D72" s="228" t="s">
        <v>6018</v>
      </c>
      <c r="E72" s="228" t="s">
        <v>6019</v>
      </c>
      <c r="F72" s="228" t="s">
        <v>6020</v>
      </c>
      <c r="G72" s="229" t="s">
        <v>6021</v>
      </c>
      <c r="H72" s="228" t="s">
        <v>6022</v>
      </c>
    </row>
    <row r="73" spans="1:8" ht="23">
      <c r="A73" s="223" t="str">
        <v>Planning &amp; Organizing</v>
      </c>
      <c r="B73" s="223" t="str">
        <v>Director</v>
      </c>
      <c r="C73" s="197">
        <v>4</v>
      </c>
      <c r="D73" s="228" t="s">
        <v>6023</v>
      </c>
      <c r="E73" s="228" t="s">
        <v>6024</v>
      </c>
      <c r="F73" s="228" t="s">
        <v>6025</v>
      </c>
      <c r="G73" s="229" t="s">
        <v>6026</v>
      </c>
      <c r="H73" s="228" t="s">
        <v>6027</v>
      </c>
    </row>
    <row r="74" spans="1:8" ht="23">
      <c r="A74" s="223" t="str">
        <v>Problem Solving &amp; Decision Making</v>
      </c>
      <c r="B74" s="223" t="str">
        <v>Officer</v>
      </c>
      <c r="C74" s="197">
        <v>1</v>
      </c>
      <c r="D74" s="228" t="s">
        <v>6028</v>
      </c>
      <c r="E74" s="228" t="s">
        <v>6029</v>
      </c>
      <c r="F74" s="228" t="s">
        <v>6030</v>
      </c>
      <c r="G74" s="229" t="s">
        <v>6031</v>
      </c>
      <c r="H74" s="228" t="s">
        <v>6032</v>
      </c>
    </row>
    <row r="75" spans="1:8" ht="23">
      <c r="A75" s="223" t="str">
        <v>Problem Solving &amp; Decision Making</v>
      </c>
      <c r="B75" s="223" t="str">
        <v>Officer</v>
      </c>
      <c r="C75" s="197">
        <v>2</v>
      </c>
      <c r="D75" s="228" t="s">
        <v>6033</v>
      </c>
      <c r="E75" s="228" t="s">
        <v>6034</v>
      </c>
      <c r="F75" s="228" t="s">
        <v>6035</v>
      </c>
      <c r="G75" s="229" t="s">
        <v>6036</v>
      </c>
      <c r="H75" s="228" t="s">
        <v>6037</v>
      </c>
    </row>
    <row r="76" spans="1:8" ht="23">
      <c r="A76" s="223" t="str">
        <v>Problem Solving &amp; Decision Making</v>
      </c>
      <c r="B76" s="223" t="str">
        <v>Officer</v>
      </c>
      <c r="C76" s="197">
        <v>3</v>
      </c>
      <c r="D76" s="228" t="s">
        <v>6038</v>
      </c>
      <c r="E76" s="228" t="s">
        <v>6039</v>
      </c>
      <c r="F76" s="228" t="s">
        <v>6040</v>
      </c>
      <c r="G76" s="229" t="s">
        <v>6041</v>
      </c>
      <c r="H76" s="228" t="s">
        <v>6042</v>
      </c>
    </row>
    <row r="77" spans="1:8" ht="34.5">
      <c r="A77" s="223" t="str">
        <v>Problem Solving &amp; Decision Making</v>
      </c>
      <c r="B77" s="223" t="str">
        <v>Officer</v>
      </c>
      <c r="C77" s="197">
        <v>4</v>
      </c>
      <c r="D77" s="228" t="s">
        <v>6043</v>
      </c>
      <c r="E77" s="228" t="s">
        <v>6044</v>
      </c>
      <c r="F77" s="228" t="s">
        <v>6045</v>
      </c>
      <c r="G77" s="229" t="s">
        <v>6046</v>
      </c>
      <c r="H77" s="228" t="s">
        <v>6047</v>
      </c>
    </row>
    <row r="78" spans="1:8" ht="23">
      <c r="A78" s="223" t="str">
        <v>Problem Solving &amp; Decision Making</v>
      </c>
      <c r="B78" s="223" t="str">
        <v>Analyst</v>
      </c>
      <c r="C78" s="197">
        <v>1</v>
      </c>
      <c r="D78" s="228" t="s">
        <v>6048</v>
      </c>
      <c r="E78" s="228" t="s">
        <v>6049</v>
      </c>
      <c r="F78" s="228" t="s">
        <v>6050</v>
      </c>
      <c r="G78" s="229" t="s">
        <v>6051</v>
      </c>
      <c r="H78" s="228" t="s">
        <v>6052</v>
      </c>
    </row>
    <row r="79" spans="1:8" ht="34.5">
      <c r="A79" s="223" t="str">
        <v>Problem Solving &amp; Decision Making</v>
      </c>
      <c r="B79" s="223" t="str">
        <v>Analyst</v>
      </c>
      <c r="C79" s="197">
        <v>2</v>
      </c>
      <c r="D79" s="228" t="s">
        <v>6053</v>
      </c>
      <c r="E79" s="228" t="s">
        <v>6054</v>
      </c>
      <c r="F79" s="228" t="s">
        <v>6055</v>
      </c>
      <c r="G79" s="229" t="s">
        <v>6056</v>
      </c>
      <c r="H79" s="228" t="s">
        <v>6057</v>
      </c>
    </row>
    <row r="80" spans="1:8" ht="34.5">
      <c r="A80" s="223" t="str">
        <v>Problem Solving &amp; Decision Making</v>
      </c>
      <c r="B80" s="223" t="str">
        <v>Analyst</v>
      </c>
      <c r="C80" s="197">
        <v>3</v>
      </c>
      <c r="D80" s="228" t="s">
        <v>6058</v>
      </c>
      <c r="E80" s="228" t="s">
        <v>6059</v>
      </c>
      <c r="F80" s="228" t="s">
        <v>6060</v>
      </c>
      <c r="G80" s="229" t="s">
        <v>6061</v>
      </c>
      <c r="H80" s="228" t="s">
        <v>6062</v>
      </c>
    </row>
    <row r="81" spans="1:8" ht="23">
      <c r="A81" s="223" t="str">
        <v>Problem Solving &amp; Decision Making</v>
      </c>
      <c r="B81" s="223" t="str">
        <v>Analyst</v>
      </c>
      <c r="C81" s="197">
        <v>4</v>
      </c>
      <c r="D81" s="228" t="s">
        <v>6063</v>
      </c>
      <c r="E81" s="228" t="s">
        <v>6064</v>
      </c>
      <c r="F81" s="228" t="s">
        <v>6065</v>
      </c>
      <c r="G81" s="229" t="s">
        <v>6066</v>
      </c>
      <c r="H81" s="228" t="s">
        <v>6067</v>
      </c>
    </row>
    <row r="82" spans="1:8" ht="23">
      <c r="A82" s="223" t="str">
        <v>Problem Solving &amp; Decision Making</v>
      </c>
      <c r="B82" s="223" t="str">
        <v>Unit Head/Specialist</v>
      </c>
      <c r="C82" s="197">
        <v>1</v>
      </c>
      <c r="D82" s="228" t="s">
        <v>5959</v>
      </c>
      <c r="E82" s="228" t="s">
        <v>6068</v>
      </c>
      <c r="F82" s="228" t="s">
        <v>6069</v>
      </c>
      <c r="G82" s="229" t="s">
        <v>6070</v>
      </c>
      <c r="H82" s="228" t="s">
        <v>5963</v>
      </c>
    </row>
    <row r="83" spans="1:8" ht="23">
      <c r="A83" s="223" t="str">
        <v>Problem Solving &amp; Decision Making</v>
      </c>
      <c r="B83" s="223" t="str">
        <v>Unit Head/Specialist</v>
      </c>
      <c r="C83" s="197">
        <v>2</v>
      </c>
      <c r="D83" s="228" t="s">
        <v>6071</v>
      </c>
      <c r="E83" s="228" t="s">
        <v>5965</v>
      </c>
      <c r="F83" s="228" t="s">
        <v>6072</v>
      </c>
      <c r="G83" s="229" t="s">
        <v>6073</v>
      </c>
      <c r="H83" s="228" t="s">
        <v>5968</v>
      </c>
    </row>
    <row r="84" spans="1:8" ht="34.5">
      <c r="A84" s="223" t="str">
        <v>Problem Solving &amp; Decision Making</v>
      </c>
      <c r="B84" s="223" t="str">
        <v>Unit Head/Specialist</v>
      </c>
      <c r="C84" s="197">
        <v>3</v>
      </c>
      <c r="D84" s="228" t="s">
        <v>6074</v>
      </c>
      <c r="E84" s="228" t="s">
        <v>6075</v>
      </c>
      <c r="F84" s="228" t="s">
        <v>6076</v>
      </c>
      <c r="G84" s="229" t="s">
        <v>6077</v>
      </c>
      <c r="H84" s="228" t="s">
        <v>6078</v>
      </c>
    </row>
    <row r="85" spans="1:8" ht="34.5">
      <c r="A85" s="223" t="str">
        <v>Problem Solving &amp; Decision Making</v>
      </c>
      <c r="B85" s="223" t="str">
        <v>Unit Head/Specialist</v>
      </c>
      <c r="C85" s="197">
        <v>4</v>
      </c>
      <c r="D85" s="228" t="s">
        <v>5974</v>
      </c>
      <c r="E85" s="228" t="s">
        <v>6079</v>
      </c>
      <c r="F85" s="228" t="s">
        <v>6080</v>
      </c>
      <c r="G85" s="229" t="s">
        <v>6081</v>
      </c>
      <c r="H85" s="228" t="s">
        <v>5978</v>
      </c>
    </row>
    <row r="86" spans="1:8" ht="23">
      <c r="A86" s="223" t="str">
        <v>Problem Solving &amp; Decision Making</v>
      </c>
      <c r="B86" s="223" t="str">
        <v>Department Head</v>
      </c>
      <c r="C86" s="197">
        <v>1</v>
      </c>
      <c r="D86" s="228" t="s">
        <v>6082</v>
      </c>
      <c r="E86" s="228" t="s">
        <v>6083</v>
      </c>
      <c r="F86" s="228" t="s">
        <v>6084</v>
      </c>
      <c r="G86" s="229" t="s">
        <v>6085</v>
      </c>
      <c r="H86" s="228" t="s">
        <v>6086</v>
      </c>
    </row>
    <row r="87" spans="1:8" ht="23">
      <c r="A87" s="223" t="str">
        <v>Problem Solving &amp; Decision Making</v>
      </c>
      <c r="B87" s="223" t="str">
        <v>Department Head</v>
      </c>
      <c r="C87" s="197">
        <v>2</v>
      </c>
      <c r="D87" s="228" t="s">
        <v>6087</v>
      </c>
      <c r="E87" s="228" t="s">
        <v>6088</v>
      </c>
      <c r="F87" s="228" t="s">
        <v>6089</v>
      </c>
      <c r="G87" s="229" t="s">
        <v>6090</v>
      </c>
      <c r="H87" s="228" t="s">
        <v>6091</v>
      </c>
    </row>
    <row r="88" spans="1:8" ht="23">
      <c r="A88" s="223" t="str">
        <v>Problem Solving &amp; Decision Making</v>
      </c>
      <c r="B88" s="223" t="str">
        <v>Department Head</v>
      </c>
      <c r="C88" s="197">
        <v>3</v>
      </c>
      <c r="D88" s="228" t="s">
        <v>6092</v>
      </c>
      <c r="E88" s="228" t="s">
        <v>6093</v>
      </c>
      <c r="F88" s="228" t="s">
        <v>6094</v>
      </c>
      <c r="G88" s="229" t="s">
        <v>6095</v>
      </c>
      <c r="H88" s="228" t="s">
        <v>6096</v>
      </c>
    </row>
    <row r="89" spans="1:8" ht="34.5">
      <c r="A89" s="223" t="str">
        <v>Problem Solving &amp; Decision Making</v>
      </c>
      <c r="B89" s="223" t="str">
        <v>Department Head</v>
      </c>
      <c r="C89" s="197">
        <v>4</v>
      </c>
      <c r="D89" s="228" t="s">
        <v>6097</v>
      </c>
      <c r="E89" s="228" t="s">
        <v>6098</v>
      </c>
      <c r="F89" s="228" t="s">
        <v>6099</v>
      </c>
      <c r="G89" s="229" t="s">
        <v>6100</v>
      </c>
      <c r="H89" s="228" t="s">
        <v>6101</v>
      </c>
    </row>
    <row r="90" spans="1:8" ht="23">
      <c r="A90" s="223" t="str">
        <v>Problem Solving &amp; Decision Making</v>
      </c>
      <c r="B90" s="223" t="str">
        <v>Division Head</v>
      </c>
      <c r="C90" s="197">
        <v>1</v>
      </c>
      <c r="D90" s="228" t="s">
        <v>6102</v>
      </c>
      <c r="E90" s="228" t="s">
        <v>6103</v>
      </c>
      <c r="F90" s="228" t="s">
        <v>6104</v>
      </c>
      <c r="G90" s="229" t="s">
        <v>6105</v>
      </c>
      <c r="H90" s="228" t="s">
        <v>6106</v>
      </c>
    </row>
    <row r="91" spans="1:8" ht="23">
      <c r="A91" s="223" t="str">
        <v>Problem Solving &amp; Decision Making</v>
      </c>
      <c r="B91" s="223" t="str">
        <v>Division Head</v>
      </c>
      <c r="C91" s="197">
        <v>2</v>
      </c>
      <c r="D91" s="228" t="s">
        <v>6107</v>
      </c>
      <c r="E91" s="228" t="s">
        <v>6108</v>
      </c>
      <c r="F91" s="228" t="s">
        <v>6109</v>
      </c>
      <c r="G91" s="229" t="s">
        <v>6110</v>
      </c>
      <c r="H91" s="228" t="s">
        <v>6111</v>
      </c>
    </row>
    <row r="92" spans="1:8" ht="23">
      <c r="A92" s="223" t="str">
        <v>Problem Solving &amp; Decision Making</v>
      </c>
      <c r="B92" s="223" t="str">
        <v>Division Head</v>
      </c>
      <c r="C92" s="197">
        <v>3</v>
      </c>
      <c r="D92" s="228" t="s">
        <v>6112</v>
      </c>
      <c r="E92" s="228" t="s">
        <v>6113</v>
      </c>
      <c r="F92" s="228" t="s">
        <v>6114</v>
      </c>
      <c r="G92" s="229" t="s">
        <v>6115</v>
      </c>
      <c r="H92" s="228" t="s">
        <v>6116</v>
      </c>
    </row>
    <row r="93" spans="1:8" ht="34.5">
      <c r="A93" s="223" t="str">
        <v>Problem Solving &amp; Decision Making</v>
      </c>
      <c r="B93" s="223" t="str">
        <v>Division Head</v>
      </c>
      <c r="C93" s="197">
        <v>4</v>
      </c>
      <c r="D93" s="228" t="s">
        <v>6117</v>
      </c>
      <c r="E93" s="228" t="s">
        <v>6118</v>
      </c>
      <c r="F93" s="228" t="s">
        <v>6119</v>
      </c>
      <c r="G93" s="229" t="s">
        <v>6120</v>
      </c>
      <c r="H93" s="228" t="s">
        <v>6121</v>
      </c>
    </row>
    <row r="94" spans="1:8" ht="23">
      <c r="A94" s="223" t="str">
        <v>Problem Solving &amp; Decision Making</v>
      </c>
      <c r="B94" s="223" t="str">
        <v>Director</v>
      </c>
      <c r="C94" s="197">
        <v>1</v>
      </c>
      <c r="D94" s="228" t="s">
        <v>6122</v>
      </c>
      <c r="E94" s="228" t="s">
        <v>6123</v>
      </c>
      <c r="F94" s="228" t="s">
        <v>6124</v>
      </c>
      <c r="G94" s="229" t="s">
        <v>6125</v>
      </c>
      <c r="H94" s="228" t="s">
        <v>6126</v>
      </c>
    </row>
    <row r="95" spans="1:8" ht="23">
      <c r="A95" s="223" t="str">
        <v>Problem Solving &amp; Decision Making</v>
      </c>
      <c r="B95" s="223" t="str">
        <v>Director</v>
      </c>
      <c r="C95" s="197">
        <v>2</v>
      </c>
      <c r="D95" s="228" t="s">
        <v>6127</v>
      </c>
      <c r="E95" s="228" t="s">
        <v>6128</v>
      </c>
      <c r="F95" s="228" t="s">
        <v>6129</v>
      </c>
      <c r="G95" s="229" t="s">
        <v>6130</v>
      </c>
      <c r="H95" s="228" t="s">
        <v>6131</v>
      </c>
    </row>
    <row r="96" spans="1:8" ht="23">
      <c r="A96" s="223" t="str">
        <v>Problem Solving &amp; Decision Making</v>
      </c>
      <c r="B96" s="223" t="str">
        <v>Director</v>
      </c>
      <c r="C96" s="197">
        <v>3</v>
      </c>
      <c r="D96" s="228" t="s">
        <v>6132</v>
      </c>
      <c r="E96" s="228" t="s">
        <v>6133</v>
      </c>
      <c r="F96" s="228" t="s">
        <v>6134</v>
      </c>
      <c r="G96" s="229" t="s">
        <v>6135</v>
      </c>
      <c r="H96" s="228" t="s">
        <v>6136</v>
      </c>
    </row>
    <row r="97" spans="1:8" ht="23">
      <c r="A97" s="223" t="str">
        <v>Problem Solving &amp; Decision Making</v>
      </c>
      <c r="B97" s="223" t="str">
        <v>Director</v>
      </c>
      <c r="C97" s="197">
        <v>4</v>
      </c>
      <c r="D97" s="228" t="s">
        <v>6137</v>
      </c>
      <c r="E97" s="228" t="s">
        <v>6138</v>
      </c>
      <c r="F97" s="228" t="s">
        <v>6139</v>
      </c>
      <c r="G97" s="229" t="s">
        <v>6140</v>
      </c>
      <c r="H97" s="228" t="s">
        <v>6141</v>
      </c>
    </row>
    <row r="98" spans="1:8" ht="23">
      <c r="A98" s="223" t="str">
        <v>Controlling &amp; Corrective Action</v>
      </c>
      <c r="B98" s="223" t="str">
        <v>Officer</v>
      </c>
      <c r="C98" s="197">
        <v>1</v>
      </c>
      <c r="D98" s="228" t="s">
        <v>6142</v>
      </c>
      <c r="E98" s="228" t="s">
        <v>6143</v>
      </c>
      <c r="F98" s="228" t="s">
        <v>5921</v>
      </c>
      <c r="G98" s="229" t="s">
        <v>6144</v>
      </c>
      <c r="H98" s="228" t="s">
        <v>6145</v>
      </c>
    </row>
    <row r="99" spans="1:8" ht="23">
      <c r="A99" s="223" t="str">
        <v>Controlling &amp; Corrective Action</v>
      </c>
      <c r="B99" s="223" t="str">
        <v>Officer</v>
      </c>
      <c r="C99" s="197">
        <v>2</v>
      </c>
      <c r="D99" s="228" t="s">
        <v>6146</v>
      </c>
      <c r="E99" s="228" t="s">
        <v>6147</v>
      </c>
      <c r="F99" s="228" t="s">
        <v>5926</v>
      </c>
      <c r="G99" s="229" t="s">
        <v>6148</v>
      </c>
      <c r="H99" s="228" t="s">
        <v>5928</v>
      </c>
    </row>
    <row r="100" spans="1:8" ht="23">
      <c r="A100" s="223" t="str">
        <v>Controlling &amp; Corrective Action</v>
      </c>
      <c r="B100" s="223" t="str">
        <v>Officer</v>
      </c>
      <c r="C100" s="197">
        <v>3</v>
      </c>
      <c r="D100" s="228" t="s">
        <v>5929</v>
      </c>
      <c r="E100" s="228" t="s">
        <v>5930</v>
      </c>
      <c r="F100" s="228" t="s">
        <v>5931</v>
      </c>
      <c r="G100" s="229" t="s">
        <v>6149</v>
      </c>
      <c r="H100" s="228" t="s">
        <v>6150</v>
      </c>
    </row>
    <row r="101" spans="1:8" ht="34.5">
      <c r="A101" s="223" t="str">
        <v>Controlling &amp; Corrective Action</v>
      </c>
      <c r="B101" s="223" t="str">
        <v>Officer</v>
      </c>
      <c r="C101" s="197">
        <v>4</v>
      </c>
      <c r="D101" s="228" t="s">
        <v>5934</v>
      </c>
      <c r="E101" s="228" t="s">
        <v>5935</v>
      </c>
      <c r="F101" s="228" t="s">
        <v>5936</v>
      </c>
      <c r="G101" s="229" t="s">
        <v>6151</v>
      </c>
      <c r="H101" s="228" t="s">
        <v>5938</v>
      </c>
    </row>
    <row r="102" spans="1:8" ht="23">
      <c r="A102" s="223" t="str">
        <v>Controlling &amp; Corrective Action</v>
      </c>
      <c r="B102" s="223" t="str">
        <v>Analyst</v>
      </c>
      <c r="C102" s="197">
        <v>1</v>
      </c>
      <c r="D102" s="228" t="s">
        <v>6152</v>
      </c>
      <c r="E102" s="228" t="s">
        <v>6153</v>
      </c>
      <c r="F102" s="228" t="s">
        <v>6154</v>
      </c>
      <c r="G102" s="229" t="s">
        <v>6155</v>
      </c>
      <c r="H102" s="228" t="s">
        <v>6156</v>
      </c>
    </row>
    <row r="103" spans="1:8" ht="23">
      <c r="A103" s="223" t="str">
        <v>Controlling &amp; Corrective Action</v>
      </c>
      <c r="B103" s="223" t="str">
        <v>Analyst</v>
      </c>
      <c r="C103" s="197">
        <v>2</v>
      </c>
      <c r="D103" s="228" t="s">
        <v>6157</v>
      </c>
      <c r="E103" s="228" t="s">
        <v>6158</v>
      </c>
      <c r="F103" s="228" t="s">
        <v>6159</v>
      </c>
      <c r="G103" s="229" t="s">
        <v>6160</v>
      </c>
      <c r="H103" s="228" t="s">
        <v>6161</v>
      </c>
    </row>
    <row r="104" spans="1:8" ht="34.5">
      <c r="A104" s="223" t="str">
        <v>Controlling &amp; Corrective Action</v>
      </c>
      <c r="B104" s="223" t="str">
        <v>Analyst</v>
      </c>
      <c r="C104" s="197">
        <v>3</v>
      </c>
      <c r="D104" s="228" t="s">
        <v>6162</v>
      </c>
      <c r="E104" s="228" t="s">
        <v>6163</v>
      </c>
      <c r="F104" s="228" t="s">
        <v>6164</v>
      </c>
      <c r="G104" s="229" t="s">
        <v>6165</v>
      </c>
      <c r="H104" s="228" t="s">
        <v>6166</v>
      </c>
    </row>
    <row r="105" spans="1:8" ht="23">
      <c r="A105" s="223" t="str">
        <v>Controlling &amp; Corrective Action</v>
      </c>
      <c r="B105" s="223" t="str">
        <v>Analyst</v>
      </c>
      <c r="C105" s="197">
        <v>4</v>
      </c>
      <c r="D105" s="228" t="s">
        <v>6167</v>
      </c>
      <c r="E105" s="228" t="s">
        <v>6168</v>
      </c>
      <c r="F105" s="228" t="s">
        <v>6169</v>
      </c>
      <c r="G105" s="229" t="s">
        <v>6170</v>
      </c>
      <c r="H105" s="228" t="s">
        <v>6171</v>
      </c>
    </row>
    <row r="106" spans="1:8" ht="23">
      <c r="A106" s="223" t="str">
        <v>Controlling &amp; Corrective Action</v>
      </c>
      <c r="B106" s="223" t="str">
        <v>Unit Head/Specialist</v>
      </c>
      <c r="C106" s="197">
        <v>1</v>
      </c>
      <c r="D106" s="228" t="s">
        <v>6172</v>
      </c>
      <c r="E106" s="228" t="s">
        <v>6173</v>
      </c>
      <c r="F106" s="228" t="s">
        <v>6174</v>
      </c>
      <c r="G106" s="229" t="s">
        <v>6175</v>
      </c>
      <c r="H106" s="228" t="s">
        <v>6176</v>
      </c>
    </row>
    <row r="107" spans="1:8" ht="34.5">
      <c r="A107" s="223" t="str">
        <v>Controlling &amp; Corrective Action</v>
      </c>
      <c r="B107" s="223" t="str">
        <v>Unit Head/Specialist</v>
      </c>
      <c r="C107" s="197">
        <v>2</v>
      </c>
      <c r="D107" s="228" t="s">
        <v>6177</v>
      </c>
      <c r="E107" s="228" t="s">
        <v>6178</v>
      </c>
      <c r="F107" s="228" t="s">
        <v>6179</v>
      </c>
      <c r="G107" s="229" t="s">
        <v>6180</v>
      </c>
      <c r="H107" s="228" t="s">
        <v>6181</v>
      </c>
    </row>
    <row r="108" spans="1:8" ht="34.5">
      <c r="A108" s="223" t="str">
        <v>Controlling &amp; Corrective Action</v>
      </c>
      <c r="B108" s="223" t="str">
        <v>Unit Head/Specialist</v>
      </c>
      <c r="C108" s="197">
        <v>3</v>
      </c>
      <c r="D108" s="228" t="s">
        <v>6182</v>
      </c>
      <c r="E108" s="228" t="s">
        <v>6183</v>
      </c>
      <c r="F108" s="228" t="s">
        <v>6184</v>
      </c>
      <c r="G108" s="229" t="s">
        <v>6185</v>
      </c>
      <c r="H108" s="228" t="s">
        <v>6186</v>
      </c>
    </row>
    <row r="109" spans="1:8" ht="23">
      <c r="A109" s="223" t="str">
        <v>Controlling &amp; Corrective Action</v>
      </c>
      <c r="B109" s="223" t="str">
        <v>Unit Head/Specialist</v>
      </c>
      <c r="C109" s="197">
        <v>4</v>
      </c>
      <c r="D109" s="228" t="s">
        <v>6187</v>
      </c>
      <c r="E109" s="228" t="s">
        <v>6188</v>
      </c>
      <c r="F109" s="228" t="s">
        <v>5736</v>
      </c>
      <c r="G109" s="229" t="s">
        <v>6189</v>
      </c>
      <c r="H109" s="228" t="s">
        <v>6190</v>
      </c>
    </row>
    <row r="110" spans="1:8" ht="34.5">
      <c r="A110" s="223" t="str">
        <v>Controlling &amp; Corrective Action</v>
      </c>
      <c r="B110" s="223" t="str">
        <v>Department Head</v>
      </c>
      <c r="C110" s="197">
        <v>1</v>
      </c>
      <c r="D110" s="228" t="s">
        <v>6191</v>
      </c>
      <c r="E110" s="228" t="s">
        <v>6192</v>
      </c>
      <c r="F110" s="228" t="s">
        <v>6193</v>
      </c>
      <c r="G110" s="229" t="s">
        <v>6194</v>
      </c>
      <c r="H110" s="228" t="s">
        <v>6195</v>
      </c>
    </row>
    <row r="111" spans="1:8" ht="34.5">
      <c r="A111" s="223" t="str">
        <v>Controlling &amp; Corrective Action</v>
      </c>
      <c r="B111" s="223" t="str">
        <v>Department Head</v>
      </c>
      <c r="C111" s="197">
        <v>2</v>
      </c>
      <c r="D111" s="228" t="s">
        <v>6196</v>
      </c>
      <c r="E111" s="228" t="s">
        <v>6197</v>
      </c>
      <c r="F111" s="228" t="s">
        <v>6198</v>
      </c>
      <c r="G111" s="229" t="s">
        <v>6199</v>
      </c>
      <c r="H111" s="228" t="s">
        <v>6200</v>
      </c>
    </row>
    <row r="112" spans="1:8" ht="23">
      <c r="A112" s="223" t="str">
        <v>Controlling &amp; Corrective Action</v>
      </c>
      <c r="B112" s="223" t="str">
        <v>Department Head</v>
      </c>
      <c r="C112" s="197">
        <v>3</v>
      </c>
      <c r="D112" s="228" t="s">
        <v>6201</v>
      </c>
      <c r="E112" s="228" t="s">
        <v>6202</v>
      </c>
      <c r="F112" s="228" t="s">
        <v>6203</v>
      </c>
      <c r="G112" s="229" t="s">
        <v>6204</v>
      </c>
      <c r="H112" s="228" t="s">
        <v>6205</v>
      </c>
    </row>
    <row r="113" spans="1:8" ht="34.5">
      <c r="A113" s="223" t="str">
        <v>Controlling &amp; Corrective Action</v>
      </c>
      <c r="B113" s="223" t="str">
        <v>Department Head</v>
      </c>
      <c r="C113" s="197">
        <v>4</v>
      </c>
      <c r="D113" s="228" t="s">
        <v>6206</v>
      </c>
      <c r="E113" s="228" t="s">
        <v>6207</v>
      </c>
      <c r="F113" s="228" t="s">
        <v>6208</v>
      </c>
      <c r="G113" s="229" t="s">
        <v>6209</v>
      </c>
      <c r="H113" s="228" t="s">
        <v>6210</v>
      </c>
    </row>
    <row r="114" spans="1:8" ht="23">
      <c r="A114" s="223" t="str">
        <v>Controlling &amp; Corrective Action</v>
      </c>
      <c r="B114" s="223" t="str">
        <v>Division Head</v>
      </c>
      <c r="C114" s="197">
        <v>1</v>
      </c>
      <c r="D114" s="228" t="s">
        <v>6211</v>
      </c>
      <c r="E114" s="228" t="s">
        <v>6212</v>
      </c>
      <c r="F114" s="228" t="s">
        <v>6213</v>
      </c>
      <c r="G114" s="229" t="s">
        <v>6214</v>
      </c>
      <c r="H114" s="228" t="s">
        <v>6215</v>
      </c>
    </row>
    <row r="115" spans="1:8" ht="34.5">
      <c r="A115" s="223" t="str">
        <v>Controlling &amp; Corrective Action</v>
      </c>
      <c r="B115" s="223" t="str">
        <v>Division Head</v>
      </c>
      <c r="C115" s="197">
        <v>2</v>
      </c>
      <c r="D115" s="228" t="s">
        <v>6216</v>
      </c>
      <c r="E115" s="228" t="s">
        <v>6217</v>
      </c>
      <c r="F115" s="228" t="s">
        <v>5766</v>
      </c>
      <c r="G115" s="229" t="s">
        <v>6218</v>
      </c>
      <c r="H115" s="228" t="s">
        <v>6219</v>
      </c>
    </row>
    <row r="116" spans="1:8" ht="34.5">
      <c r="A116" s="223" t="str">
        <v>Controlling &amp; Corrective Action</v>
      </c>
      <c r="B116" s="223" t="str">
        <v>Division Head</v>
      </c>
      <c r="C116" s="197">
        <v>3</v>
      </c>
      <c r="D116" s="228" t="s">
        <v>6220</v>
      </c>
      <c r="E116" s="228" t="s">
        <v>6221</v>
      </c>
      <c r="F116" s="228" t="s">
        <v>6222</v>
      </c>
      <c r="G116" s="229" t="s">
        <v>6223</v>
      </c>
      <c r="H116" s="228" t="s">
        <v>6224</v>
      </c>
    </row>
    <row r="117" spans="1:8" ht="34.5">
      <c r="A117" s="223" t="str">
        <v>Controlling &amp; Corrective Action</v>
      </c>
      <c r="B117" s="223" t="str">
        <v>Division Head</v>
      </c>
      <c r="C117" s="197">
        <v>4</v>
      </c>
      <c r="D117" s="228" t="s">
        <v>6225</v>
      </c>
      <c r="E117" s="228" t="s">
        <v>6226</v>
      </c>
      <c r="F117" s="228" t="s">
        <v>6227</v>
      </c>
      <c r="G117" s="229" t="s">
        <v>6228</v>
      </c>
      <c r="H117" s="228" t="s">
        <v>6011</v>
      </c>
    </row>
    <row r="118" spans="1:8" ht="34.5">
      <c r="A118" s="223" t="str">
        <v>Controlling &amp; Corrective Action</v>
      </c>
      <c r="B118" s="223" t="str">
        <v>Director</v>
      </c>
      <c r="C118" s="197">
        <v>1</v>
      </c>
      <c r="D118" s="228" t="s">
        <v>6229</v>
      </c>
      <c r="E118" s="228" t="s">
        <v>6230</v>
      </c>
      <c r="F118" s="228" t="s">
        <v>6231</v>
      </c>
      <c r="G118" s="229" t="s">
        <v>6232</v>
      </c>
      <c r="H118" s="228" t="s">
        <v>6233</v>
      </c>
    </row>
    <row r="119" spans="1:8" ht="34.5">
      <c r="A119" s="223" t="str">
        <v>Controlling &amp; Corrective Action</v>
      </c>
      <c r="B119" s="223" t="str">
        <v>Director</v>
      </c>
      <c r="C119" s="197">
        <v>2</v>
      </c>
      <c r="D119" s="228" t="s">
        <v>6234</v>
      </c>
      <c r="E119" s="228" t="s">
        <v>6235</v>
      </c>
      <c r="F119" s="228" t="s">
        <v>6236</v>
      </c>
      <c r="G119" s="229" t="s">
        <v>6237</v>
      </c>
      <c r="H119" s="228" t="s">
        <v>6238</v>
      </c>
    </row>
    <row r="120" spans="1:8" ht="34.5">
      <c r="A120" s="223" t="str">
        <v>Controlling &amp; Corrective Action</v>
      </c>
      <c r="B120" s="223" t="str">
        <v>Director</v>
      </c>
      <c r="C120" s="197">
        <v>3</v>
      </c>
      <c r="D120" s="228" t="s">
        <v>6239</v>
      </c>
      <c r="E120" s="228" t="s">
        <v>6240</v>
      </c>
      <c r="F120" s="228" t="s">
        <v>6020</v>
      </c>
      <c r="G120" s="229" t="s">
        <v>6241</v>
      </c>
      <c r="H120" s="228" t="s">
        <v>6242</v>
      </c>
    </row>
    <row r="121" spans="1:8" ht="34.5">
      <c r="A121" s="223" t="str">
        <v>Controlling &amp; Corrective Action</v>
      </c>
      <c r="B121" s="223" t="str">
        <v>Director</v>
      </c>
      <c r="C121" s="197">
        <v>4</v>
      </c>
      <c r="D121" s="228" t="s">
        <v>6243</v>
      </c>
      <c r="E121" s="228" t="s">
        <v>6244</v>
      </c>
      <c r="F121" s="228" t="s">
        <v>6245</v>
      </c>
      <c r="G121" s="229" t="s">
        <v>6246</v>
      </c>
      <c r="H121" s="228" t="s">
        <v>6247</v>
      </c>
    </row>
    <row r="122" spans="1:8" ht="34.5">
      <c r="A122" s="223" t="str">
        <v>Analytical Thinking</v>
      </c>
      <c r="B122" s="223" t="str">
        <v>Officer</v>
      </c>
      <c r="C122" s="197">
        <v>1</v>
      </c>
      <c r="D122" s="228" t="s">
        <v>6248</v>
      </c>
      <c r="E122" s="228" t="s">
        <v>6249</v>
      </c>
      <c r="F122" s="228" t="s">
        <v>6250</v>
      </c>
      <c r="G122" s="229" t="s">
        <v>6251</v>
      </c>
      <c r="H122" s="228" t="s">
        <v>6252</v>
      </c>
    </row>
    <row r="123" spans="1:8" ht="34.5">
      <c r="A123" s="223" t="str">
        <v>Analytical Thinking</v>
      </c>
      <c r="B123" s="223" t="str">
        <v>Officer</v>
      </c>
      <c r="C123" s="197">
        <v>2</v>
      </c>
      <c r="D123" s="228" t="s">
        <v>6253</v>
      </c>
      <c r="E123" s="228" t="s">
        <v>6254</v>
      </c>
      <c r="F123" s="228" t="s">
        <v>6255</v>
      </c>
      <c r="G123" s="229" t="s">
        <v>6256</v>
      </c>
      <c r="H123" s="228" t="s">
        <v>6257</v>
      </c>
    </row>
    <row r="124" spans="1:8" ht="23">
      <c r="A124" s="223" t="str">
        <v>Analytical Thinking</v>
      </c>
      <c r="B124" s="223" t="str">
        <v>Officer</v>
      </c>
      <c r="C124" s="197">
        <v>3</v>
      </c>
      <c r="D124" s="228" t="s">
        <v>6258</v>
      </c>
      <c r="E124" s="228" t="s">
        <v>6259</v>
      </c>
      <c r="F124" s="228" t="s">
        <v>6260</v>
      </c>
      <c r="G124" s="229" t="s">
        <v>6261</v>
      </c>
      <c r="H124" s="228" t="s">
        <v>6262</v>
      </c>
    </row>
    <row r="125" spans="1:8" ht="23">
      <c r="A125" s="223" t="str">
        <v>Analytical Thinking</v>
      </c>
      <c r="B125" s="223" t="str">
        <v>Officer</v>
      </c>
      <c r="C125" s="197">
        <v>4</v>
      </c>
      <c r="D125" s="228" t="s">
        <v>6263</v>
      </c>
      <c r="E125" s="228" t="s">
        <v>6264</v>
      </c>
      <c r="F125" s="228" t="s">
        <v>6265</v>
      </c>
      <c r="G125" s="229" t="s">
        <v>6266</v>
      </c>
      <c r="H125" s="228" t="s">
        <v>6267</v>
      </c>
    </row>
    <row r="126" spans="1:8" ht="23">
      <c r="A126" s="223" t="str">
        <v>Analytical Thinking</v>
      </c>
      <c r="B126" s="223" t="str">
        <v>Analyst</v>
      </c>
      <c r="C126" s="197">
        <v>1</v>
      </c>
      <c r="D126" s="228" t="s">
        <v>6268</v>
      </c>
      <c r="E126" s="228" t="s">
        <v>6269</v>
      </c>
      <c r="F126" s="228" t="s">
        <v>6270</v>
      </c>
      <c r="G126" s="229" t="s">
        <v>6271</v>
      </c>
      <c r="H126" s="228" t="s">
        <v>6272</v>
      </c>
    </row>
    <row r="127" spans="1:8" ht="23">
      <c r="A127" s="223" t="str">
        <v>Analytical Thinking</v>
      </c>
      <c r="B127" s="223" t="str">
        <v>Analyst</v>
      </c>
      <c r="C127" s="197">
        <v>2</v>
      </c>
      <c r="D127" s="228" t="s">
        <v>6273</v>
      </c>
      <c r="E127" s="228" t="s">
        <v>6274</v>
      </c>
      <c r="F127" s="228" t="s">
        <v>6275</v>
      </c>
      <c r="G127" s="229" t="s">
        <v>6276</v>
      </c>
      <c r="H127" s="228" t="s">
        <v>6277</v>
      </c>
    </row>
    <row r="128" spans="1:8" ht="34.5">
      <c r="A128" s="223" t="str">
        <v>Analytical Thinking</v>
      </c>
      <c r="B128" s="223" t="str">
        <v>Analyst</v>
      </c>
      <c r="C128" s="197">
        <v>3</v>
      </c>
      <c r="D128" s="228" t="s">
        <v>6278</v>
      </c>
      <c r="E128" s="228" t="s">
        <v>6279</v>
      </c>
      <c r="F128" s="228" t="s">
        <v>6280</v>
      </c>
      <c r="G128" s="229" t="s">
        <v>6281</v>
      </c>
      <c r="H128" s="228" t="s">
        <v>6062</v>
      </c>
    </row>
    <row r="129" spans="1:8" ht="23">
      <c r="A129" s="223" t="str">
        <v>Analytical Thinking</v>
      </c>
      <c r="B129" s="223" t="str">
        <v>Analyst</v>
      </c>
      <c r="C129" s="197">
        <v>4</v>
      </c>
      <c r="D129" s="228" t="s">
        <v>6282</v>
      </c>
      <c r="E129" s="228" t="s">
        <v>6283</v>
      </c>
      <c r="F129" s="228" t="s">
        <v>6284</v>
      </c>
      <c r="G129" s="229" t="s">
        <v>6285</v>
      </c>
      <c r="H129" s="228" t="s">
        <v>6286</v>
      </c>
    </row>
    <row r="130" spans="1:8" ht="34.5">
      <c r="A130" s="223" t="str">
        <v>Analytical Thinking</v>
      </c>
      <c r="B130" s="223" t="str">
        <v>Unit Head/Specialist</v>
      </c>
      <c r="C130" s="197">
        <v>1</v>
      </c>
      <c r="D130" s="228" t="s">
        <v>6287</v>
      </c>
      <c r="E130" s="228" t="s">
        <v>6288</v>
      </c>
      <c r="F130" s="228" t="s">
        <v>6289</v>
      </c>
      <c r="G130" s="229" t="s">
        <v>6290</v>
      </c>
      <c r="H130" s="228" t="s">
        <v>6291</v>
      </c>
    </row>
    <row r="131" spans="1:8" ht="23">
      <c r="A131" s="223" t="str">
        <v>Analytical Thinking</v>
      </c>
      <c r="B131" s="223" t="str">
        <v>Unit Head/Specialist</v>
      </c>
      <c r="C131" s="197">
        <v>2</v>
      </c>
      <c r="D131" s="228" t="s">
        <v>6292</v>
      </c>
      <c r="E131" s="228" t="s">
        <v>6293</v>
      </c>
      <c r="F131" s="228" t="s">
        <v>6294</v>
      </c>
      <c r="G131" s="229" t="s">
        <v>6295</v>
      </c>
      <c r="H131" s="228" t="s">
        <v>6296</v>
      </c>
    </row>
    <row r="132" spans="1:8" ht="34.5">
      <c r="A132" s="223" t="str">
        <v>Analytical Thinking</v>
      </c>
      <c r="B132" s="223" t="str">
        <v>Unit Head/Specialist</v>
      </c>
      <c r="C132" s="197">
        <v>3</v>
      </c>
      <c r="D132" s="228" t="s">
        <v>6297</v>
      </c>
      <c r="E132" s="228" t="s">
        <v>6298</v>
      </c>
      <c r="F132" s="228" t="s">
        <v>6299</v>
      </c>
      <c r="G132" s="229" t="s">
        <v>6300</v>
      </c>
      <c r="H132" s="228" t="s">
        <v>6301</v>
      </c>
    </row>
    <row r="133" spans="1:8" ht="34.5">
      <c r="A133" s="223" t="str">
        <v>Analytical Thinking</v>
      </c>
      <c r="B133" s="223" t="str">
        <v>Unit Head/Specialist</v>
      </c>
      <c r="C133" s="197">
        <v>4</v>
      </c>
      <c r="D133" s="228" t="s">
        <v>6302</v>
      </c>
      <c r="E133" s="228" t="s">
        <v>6303</v>
      </c>
      <c r="F133" s="228" t="s">
        <v>6304</v>
      </c>
      <c r="G133" s="229" t="s">
        <v>6305</v>
      </c>
      <c r="H133" s="228" t="s">
        <v>6306</v>
      </c>
    </row>
    <row r="134" spans="1:8" ht="34.5">
      <c r="A134" s="223" t="str">
        <v>Analytical Thinking</v>
      </c>
      <c r="B134" s="223" t="str">
        <v>Department Head</v>
      </c>
      <c r="C134" s="197">
        <v>1</v>
      </c>
      <c r="D134" s="228" t="s">
        <v>6307</v>
      </c>
      <c r="E134" s="228" t="s">
        <v>6308</v>
      </c>
      <c r="F134" s="228" t="s">
        <v>6309</v>
      </c>
      <c r="G134" s="229" t="s">
        <v>6310</v>
      </c>
      <c r="H134" s="228" t="s">
        <v>6311</v>
      </c>
    </row>
    <row r="135" spans="1:8" ht="34.5">
      <c r="A135" s="223" t="str">
        <v>Analytical Thinking</v>
      </c>
      <c r="B135" s="223" t="str">
        <v>Department Head</v>
      </c>
      <c r="C135" s="197">
        <v>2</v>
      </c>
      <c r="D135" s="228" t="s">
        <v>6312</v>
      </c>
      <c r="E135" s="228" t="s">
        <v>6313</v>
      </c>
      <c r="F135" s="228" t="s">
        <v>6314</v>
      </c>
      <c r="G135" s="229" t="s">
        <v>6315</v>
      </c>
      <c r="H135" s="228" t="s">
        <v>6316</v>
      </c>
    </row>
    <row r="136" spans="1:8" ht="34.5">
      <c r="A136" s="223" t="str">
        <v>Analytical Thinking</v>
      </c>
      <c r="B136" s="223" t="str">
        <v>Department Head</v>
      </c>
      <c r="C136" s="197">
        <v>3</v>
      </c>
      <c r="D136" s="228" t="s">
        <v>6317</v>
      </c>
      <c r="E136" s="228" t="s">
        <v>6318</v>
      </c>
      <c r="F136" s="228" t="s">
        <v>6319</v>
      </c>
      <c r="G136" s="229" t="s">
        <v>6320</v>
      </c>
      <c r="H136" s="228" t="s">
        <v>6321</v>
      </c>
    </row>
    <row r="137" spans="1:8" ht="34.5">
      <c r="A137" s="223" t="str">
        <v>Analytical Thinking</v>
      </c>
      <c r="B137" s="223" t="str">
        <v>Department Head</v>
      </c>
      <c r="C137" s="197">
        <v>4</v>
      </c>
      <c r="D137" s="228" t="s">
        <v>6322</v>
      </c>
      <c r="E137" s="228" t="s">
        <v>6323</v>
      </c>
      <c r="F137" s="228" t="s">
        <v>6324</v>
      </c>
      <c r="G137" s="229" t="s">
        <v>6325</v>
      </c>
      <c r="H137" s="228" t="s">
        <v>6326</v>
      </c>
    </row>
    <row r="138" spans="1:8" ht="34.5">
      <c r="A138" s="223" t="str">
        <v>Analytical Thinking</v>
      </c>
      <c r="B138" s="223" t="str">
        <v>Division Head</v>
      </c>
      <c r="C138" s="197">
        <v>1</v>
      </c>
      <c r="D138" s="228" t="s">
        <v>6327</v>
      </c>
      <c r="E138" s="228" t="s">
        <v>6328</v>
      </c>
      <c r="F138" s="228" t="s">
        <v>6329</v>
      </c>
      <c r="G138" s="229" t="s">
        <v>6330</v>
      </c>
      <c r="H138" s="228" t="s">
        <v>6331</v>
      </c>
    </row>
    <row r="139" spans="1:8" ht="23">
      <c r="A139" s="223" t="str">
        <v>Analytical Thinking</v>
      </c>
      <c r="B139" s="223" t="str">
        <v>Division Head</v>
      </c>
      <c r="C139" s="197">
        <v>2</v>
      </c>
      <c r="D139" s="228" t="s">
        <v>6332</v>
      </c>
      <c r="E139" s="228" t="s">
        <v>6333</v>
      </c>
      <c r="F139" s="228" t="s">
        <v>6334</v>
      </c>
      <c r="G139" s="229" t="s">
        <v>6335</v>
      </c>
      <c r="H139" s="228" t="s">
        <v>6336</v>
      </c>
    </row>
    <row r="140" spans="1:8" ht="34.5">
      <c r="A140" s="223" t="str">
        <v>Analytical Thinking</v>
      </c>
      <c r="B140" s="223" t="str">
        <v>Division Head</v>
      </c>
      <c r="C140" s="197">
        <v>3</v>
      </c>
      <c r="D140" s="228" t="s">
        <v>6337</v>
      </c>
      <c r="E140" s="228" t="s">
        <v>6338</v>
      </c>
      <c r="F140" s="228" t="s">
        <v>6339</v>
      </c>
      <c r="G140" s="229" t="s">
        <v>6340</v>
      </c>
      <c r="H140" s="228" t="s">
        <v>6341</v>
      </c>
    </row>
    <row r="141" spans="1:8" ht="34.5">
      <c r="A141" s="223" t="str">
        <v>Analytical Thinking</v>
      </c>
      <c r="B141" s="223" t="str">
        <v>Division Head</v>
      </c>
      <c r="C141" s="197">
        <v>4</v>
      </c>
      <c r="D141" s="228" t="s">
        <v>6342</v>
      </c>
      <c r="E141" s="228" t="s">
        <v>6343</v>
      </c>
      <c r="F141" s="228" t="s">
        <v>6344</v>
      </c>
      <c r="G141" s="229" t="s">
        <v>6345</v>
      </c>
      <c r="H141" s="228" t="s">
        <v>6346</v>
      </c>
    </row>
    <row r="142" spans="1:8" ht="46">
      <c r="A142" s="223" t="str">
        <v>Analytical Thinking</v>
      </c>
      <c r="B142" s="223" t="str">
        <v>Director</v>
      </c>
      <c r="C142" s="197">
        <v>1</v>
      </c>
      <c r="D142" s="228" t="s">
        <v>6347</v>
      </c>
      <c r="E142" s="228" t="s">
        <v>6348</v>
      </c>
      <c r="F142" s="228" t="s">
        <v>6349</v>
      </c>
      <c r="G142" s="229" t="s">
        <v>6350</v>
      </c>
      <c r="H142" s="228" t="s">
        <v>6351</v>
      </c>
    </row>
    <row r="143" spans="1:8" ht="34.5">
      <c r="A143" s="223" t="str">
        <v>Analytical Thinking</v>
      </c>
      <c r="B143" s="223" t="str">
        <v>Director</v>
      </c>
      <c r="C143" s="197">
        <v>2</v>
      </c>
      <c r="D143" s="228" t="s">
        <v>6352</v>
      </c>
      <c r="E143" s="228" t="s">
        <v>6353</v>
      </c>
      <c r="F143" s="228" t="s">
        <v>6354</v>
      </c>
      <c r="G143" s="229" t="s">
        <v>6355</v>
      </c>
      <c r="H143" s="228" t="s">
        <v>6356</v>
      </c>
    </row>
    <row r="144" spans="1:8" ht="34.5">
      <c r="A144" s="223" t="str">
        <v>Analytical Thinking</v>
      </c>
      <c r="B144" s="223" t="str">
        <v>Director</v>
      </c>
      <c r="C144" s="197">
        <v>3</v>
      </c>
      <c r="D144" s="228" t="s">
        <v>6357</v>
      </c>
      <c r="E144" s="228" t="s">
        <v>6358</v>
      </c>
      <c r="F144" s="228" t="s">
        <v>6359</v>
      </c>
      <c r="G144" s="229" t="s">
        <v>6360</v>
      </c>
      <c r="H144" s="228" t="s">
        <v>6361</v>
      </c>
    </row>
    <row r="145" spans="1:8" ht="34.5">
      <c r="A145" s="223" t="str">
        <v>Analytical Thinking</v>
      </c>
      <c r="B145" s="223" t="str">
        <v>Director</v>
      </c>
      <c r="C145" s="197">
        <v>4</v>
      </c>
      <c r="D145" s="228" t="s">
        <v>6362</v>
      </c>
      <c r="E145" s="228" t="s">
        <v>6363</v>
      </c>
      <c r="F145" s="228" t="s">
        <v>6364</v>
      </c>
      <c r="G145" s="229" t="s">
        <v>6365</v>
      </c>
      <c r="H145" s="228" t="s">
        <v>6366</v>
      </c>
    </row>
    <row r="146" spans="1:8" ht="34.5">
      <c r="A146" s="223" t="str">
        <v>Managing Change</v>
      </c>
      <c r="B146" s="223" t="str">
        <v>Officer</v>
      </c>
      <c r="C146" s="197">
        <v>1</v>
      </c>
      <c r="D146" s="228" t="s">
        <v>6367</v>
      </c>
      <c r="E146" s="228" t="s">
        <v>6368</v>
      </c>
      <c r="F146" s="228" t="s">
        <v>6369</v>
      </c>
      <c r="G146" s="229" t="s">
        <v>6370</v>
      </c>
      <c r="H146" s="228" t="s">
        <v>6371</v>
      </c>
    </row>
    <row r="147" spans="1:8" ht="34.5">
      <c r="A147" s="223" t="str">
        <v>Managing Change</v>
      </c>
      <c r="B147" s="223" t="str">
        <v>Officer</v>
      </c>
      <c r="C147" s="197">
        <v>2</v>
      </c>
      <c r="D147" s="228" t="s">
        <v>6372</v>
      </c>
      <c r="E147" s="228" t="s">
        <v>6373</v>
      </c>
      <c r="F147" s="228" t="s">
        <v>6374</v>
      </c>
      <c r="G147" s="229" t="s">
        <v>6375</v>
      </c>
      <c r="H147" s="228" t="s">
        <v>6376</v>
      </c>
    </row>
    <row r="148" spans="1:8" ht="34.5">
      <c r="A148" s="223" t="str">
        <v>Managing Change</v>
      </c>
      <c r="B148" s="223" t="str">
        <v>Officer</v>
      </c>
      <c r="C148" s="197">
        <v>3</v>
      </c>
      <c r="D148" s="228" t="s">
        <v>6377</v>
      </c>
      <c r="E148" s="228" t="s">
        <v>6378</v>
      </c>
      <c r="F148" s="228" t="s">
        <v>6379</v>
      </c>
      <c r="G148" s="229" t="s">
        <v>6380</v>
      </c>
      <c r="H148" s="228" t="s">
        <v>6381</v>
      </c>
    </row>
    <row r="149" spans="1:8" ht="23">
      <c r="A149" s="223" t="str">
        <v>Managing Change</v>
      </c>
      <c r="B149" s="223" t="str">
        <v>Officer</v>
      </c>
      <c r="C149" s="197">
        <v>4</v>
      </c>
      <c r="D149" s="228" t="s">
        <v>6382</v>
      </c>
      <c r="E149" s="228" t="s">
        <v>6383</v>
      </c>
      <c r="F149" s="228" t="s">
        <v>6384</v>
      </c>
      <c r="G149" s="229" t="s">
        <v>6385</v>
      </c>
      <c r="H149" s="228" t="s">
        <v>6386</v>
      </c>
    </row>
    <row r="150" spans="1:8" ht="34.5">
      <c r="A150" s="223" t="str">
        <v>Managing Change</v>
      </c>
      <c r="B150" s="223" t="str">
        <v>Analyst</v>
      </c>
      <c r="C150" s="197">
        <v>1</v>
      </c>
      <c r="D150" s="228" t="s">
        <v>6387</v>
      </c>
      <c r="E150" s="228" t="s">
        <v>6388</v>
      </c>
      <c r="F150" s="228" t="s">
        <v>6389</v>
      </c>
      <c r="G150" s="229" t="s">
        <v>6390</v>
      </c>
      <c r="H150" s="228" t="s">
        <v>6391</v>
      </c>
    </row>
    <row r="151" spans="1:8" ht="34.5">
      <c r="A151" s="223" t="str">
        <v>Managing Change</v>
      </c>
      <c r="B151" s="223" t="str">
        <v>Analyst</v>
      </c>
      <c r="C151" s="197">
        <v>2</v>
      </c>
      <c r="D151" s="228" t="s">
        <v>6392</v>
      </c>
      <c r="E151" s="228" t="s">
        <v>6393</v>
      </c>
      <c r="F151" s="228" t="s">
        <v>6394</v>
      </c>
      <c r="G151" s="229" t="s">
        <v>6395</v>
      </c>
      <c r="H151" s="228" t="s">
        <v>6396</v>
      </c>
    </row>
    <row r="152" spans="1:8" ht="34.5">
      <c r="A152" s="223" t="str">
        <v>Managing Change</v>
      </c>
      <c r="B152" s="223" t="str">
        <v>Analyst</v>
      </c>
      <c r="C152" s="197">
        <v>3</v>
      </c>
      <c r="D152" s="228" t="s">
        <v>6397</v>
      </c>
      <c r="E152" s="228" t="s">
        <v>6398</v>
      </c>
      <c r="F152" s="228" t="s">
        <v>6399</v>
      </c>
      <c r="G152" s="229" t="s">
        <v>6400</v>
      </c>
      <c r="H152" s="228" t="s">
        <v>6401</v>
      </c>
    </row>
    <row r="153" spans="1:8" ht="46">
      <c r="A153" s="223" t="str">
        <v>Managing Change</v>
      </c>
      <c r="B153" s="223" t="str">
        <v>Analyst</v>
      </c>
      <c r="C153" s="197">
        <v>4</v>
      </c>
      <c r="D153" s="228" t="s">
        <v>6402</v>
      </c>
      <c r="E153" s="228" t="s">
        <v>6403</v>
      </c>
      <c r="F153" s="228" t="s">
        <v>6404</v>
      </c>
      <c r="G153" s="229" t="s">
        <v>6405</v>
      </c>
      <c r="H153" s="228" t="s">
        <v>6406</v>
      </c>
    </row>
    <row r="154" spans="1:8" ht="34.5">
      <c r="A154" s="223" t="str">
        <v>Managing Change</v>
      </c>
      <c r="B154" s="223" t="str">
        <v>Unit Head/Specialist</v>
      </c>
      <c r="C154" s="197">
        <v>1</v>
      </c>
      <c r="D154" s="228" t="s">
        <v>6407</v>
      </c>
      <c r="E154" s="228" t="s">
        <v>6408</v>
      </c>
      <c r="F154" s="228" t="s">
        <v>6409</v>
      </c>
      <c r="G154" s="229" t="s">
        <v>6410</v>
      </c>
      <c r="H154" s="228" t="s">
        <v>6411</v>
      </c>
    </row>
    <row r="155" spans="1:8" ht="34.5">
      <c r="A155" s="223" t="str">
        <v>Managing Change</v>
      </c>
      <c r="B155" s="223" t="str">
        <v>Unit Head/Specialist</v>
      </c>
      <c r="C155" s="197">
        <v>2</v>
      </c>
      <c r="D155" s="228" t="s">
        <v>6412</v>
      </c>
      <c r="E155" s="228" t="s">
        <v>6413</v>
      </c>
      <c r="F155" s="228" t="s">
        <v>6414</v>
      </c>
      <c r="G155" s="229" t="s">
        <v>6415</v>
      </c>
      <c r="H155" s="228" t="s">
        <v>6416</v>
      </c>
    </row>
    <row r="156" spans="1:8" ht="34.5">
      <c r="A156" s="223" t="str">
        <v>Managing Change</v>
      </c>
      <c r="B156" s="223" t="str">
        <v>Unit Head/Specialist</v>
      </c>
      <c r="C156" s="197">
        <v>3</v>
      </c>
      <c r="D156" s="228" t="s">
        <v>6417</v>
      </c>
      <c r="E156" s="228" t="s">
        <v>6418</v>
      </c>
      <c r="F156" s="228" t="s">
        <v>6419</v>
      </c>
      <c r="G156" s="229" t="s">
        <v>6420</v>
      </c>
      <c r="H156" s="228" t="s">
        <v>6421</v>
      </c>
    </row>
    <row r="157" spans="1:8" ht="46">
      <c r="A157" s="223" t="str">
        <v>Managing Change</v>
      </c>
      <c r="B157" s="223" t="str">
        <v>Unit Head/Specialist</v>
      </c>
      <c r="C157" s="197">
        <v>4</v>
      </c>
      <c r="D157" s="228" t="s">
        <v>6422</v>
      </c>
      <c r="E157" s="228" t="s">
        <v>6423</v>
      </c>
      <c r="F157" s="228" t="s">
        <v>6424</v>
      </c>
      <c r="G157" s="229" t="s">
        <v>6425</v>
      </c>
      <c r="H157" s="228" t="s">
        <v>6426</v>
      </c>
    </row>
    <row r="158" spans="1:8" ht="34.5">
      <c r="A158" s="223" t="str">
        <v>Managing Change</v>
      </c>
      <c r="B158" s="223" t="str">
        <v>Department Head</v>
      </c>
      <c r="C158" s="197">
        <v>1</v>
      </c>
      <c r="D158" s="228" t="s">
        <v>6427</v>
      </c>
      <c r="E158" s="228" t="s">
        <v>6428</v>
      </c>
      <c r="F158" s="228" t="s">
        <v>6429</v>
      </c>
      <c r="G158" s="229" t="s">
        <v>6430</v>
      </c>
      <c r="H158" s="228" t="s">
        <v>6431</v>
      </c>
    </row>
    <row r="159" spans="1:8" ht="34.5">
      <c r="A159" s="223" t="str">
        <v>Managing Change</v>
      </c>
      <c r="B159" s="223" t="str">
        <v>Department Head</v>
      </c>
      <c r="C159" s="197">
        <v>2</v>
      </c>
      <c r="D159" s="228" t="s">
        <v>6432</v>
      </c>
      <c r="E159" s="228" t="s">
        <v>6433</v>
      </c>
      <c r="F159" s="228" t="s">
        <v>6434</v>
      </c>
      <c r="G159" s="229" t="s">
        <v>6435</v>
      </c>
      <c r="H159" s="228" t="s">
        <v>6436</v>
      </c>
    </row>
    <row r="160" spans="1:8" ht="46">
      <c r="A160" s="223" t="str">
        <v>Managing Change</v>
      </c>
      <c r="B160" s="223" t="str">
        <v>Department Head</v>
      </c>
      <c r="C160" s="197">
        <v>3</v>
      </c>
      <c r="D160" s="228" t="s">
        <v>6437</v>
      </c>
      <c r="E160" s="228" t="s">
        <v>6438</v>
      </c>
      <c r="F160" s="228" t="s">
        <v>6439</v>
      </c>
      <c r="G160" s="229" t="s">
        <v>6440</v>
      </c>
      <c r="H160" s="228" t="s">
        <v>6441</v>
      </c>
    </row>
    <row r="161" spans="1:8" ht="46">
      <c r="A161" s="223" t="str">
        <v>Managing Change</v>
      </c>
      <c r="B161" s="223" t="str">
        <v>Department Head</v>
      </c>
      <c r="C161" s="197">
        <v>4</v>
      </c>
      <c r="D161" s="228" t="s">
        <v>6442</v>
      </c>
      <c r="E161" s="228" t="s">
        <v>6443</v>
      </c>
      <c r="F161" s="228" t="s">
        <v>6444</v>
      </c>
      <c r="G161" s="229" t="s">
        <v>6445</v>
      </c>
      <c r="H161" s="228" t="s">
        <v>6446</v>
      </c>
    </row>
    <row r="162" spans="1:8" ht="34.5">
      <c r="A162" s="223" t="str">
        <v>Managing Change</v>
      </c>
      <c r="B162" s="223" t="str">
        <v>Division Head</v>
      </c>
      <c r="C162" s="197">
        <v>1</v>
      </c>
      <c r="D162" s="228" t="s">
        <v>6447</v>
      </c>
      <c r="E162" s="228" t="s">
        <v>6448</v>
      </c>
      <c r="F162" s="228" t="s">
        <v>6449</v>
      </c>
      <c r="G162" s="229" t="s">
        <v>6450</v>
      </c>
      <c r="H162" s="228" t="s">
        <v>6451</v>
      </c>
    </row>
    <row r="163" spans="1:8" ht="23">
      <c r="A163" s="223" t="str">
        <v>Managing Change</v>
      </c>
      <c r="B163" s="223" t="str">
        <v>Division Head</v>
      </c>
      <c r="C163" s="197">
        <v>2</v>
      </c>
      <c r="D163" s="228" t="s">
        <v>6452</v>
      </c>
      <c r="E163" s="228" t="s">
        <v>6453</v>
      </c>
      <c r="F163" s="228" t="s">
        <v>6454</v>
      </c>
      <c r="G163" s="229" t="s">
        <v>6455</v>
      </c>
      <c r="H163" s="228" t="s">
        <v>6456</v>
      </c>
    </row>
    <row r="164" spans="1:8" ht="46">
      <c r="A164" s="223" t="str">
        <v>Managing Change</v>
      </c>
      <c r="B164" s="223" t="str">
        <v>Division Head</v>
      </c>
      <c r="C164" s="197">
        <v>3</v>
      </c>
      <c r="D164" s="228" t="s">
        <v>6457</v>
      </c>
      <c r="E164" s="228" t="s">
        <v>6458</v>
      </c>
      <c r="F164" s="228" t="s">
        <v>6459</v>
      </c>
      <c r="G164" s="229" t="s">
        <v>6460</v>
      </c>
      <c r="H164" s="228" t="s">
        <v>6461</v>
      </c>
    </row>
    <row r="165" spans="1:8" ht="34.5">
      <c r="A165" s="223" t="str">
        <v>Managing Change</v>
      </c>
      <c r="B165" s="223" t="str">
        <v>Division Head</v>
      </c>
      <c r="C165" s="197">
        <v>4</v>
      </c>
      <c r="D165" s="228" t="s">
        <v>6462</v>
      </c>
      <c r="E165" s="228" t="s">
        <v>6463</v>
      </c>
      <c r="F165" s="228" t="s">
        <v>6464</v>
      </c>
      <c r="G165" s="229" t="s">
        <v>6465</v>
      </c>
      <c r="H165" s="228" t="s">
        <v>6466</v>
      </c>
    </row>
    <row r="166" spans="1:8" ht="34.5">
      <c r="A166" s="223" t="str">
        <v>Managing Change</v>
      </c>
      <c r="B166" s="223" t="str">
        <v>Director</v>
      </c>
      <c r="C166" s="197">
        <v>1</v>
      </c>
      <c r="D166" s="228" t="s">
        <v>6467</v>
      </c>
      <c r="E166" s="228" t="s">
        <v>6468</v>
      </c>
      <c r="F166" s="228" t="s">
        <v>6469</v>
      </c>
      <c r="G166" s="229" t="s">
        <v>6470</v>
      </c>
      <c r="H166" s="228" t="s">
        <v>6471</v>
      </c>
    </row>
    <row r="167" spans="1:8" ht="34.5">
      <c r="A167" s="223" t="str">
        <v>Managing Change</v>
      </c>
      <c r="B167" s="223" t="str">
        <v>Director</v>
      </c>
      <c r="C167" s="197">
        <v>2</v>
      </c>
      <c r="D167" s="228" t="s">
        <v>6472</v>
      </c>
      <c r="E167" s="228" t="s">
        <v>6473</v>
      </c>
      <c r="F167" s="228" t="s">
        <v>6474</v>
      </c>
      <c r="G167" s="229" t="s">
        <v>6475</v>
      </c>
      <c r="H167" s="228" t="s">
        <v>6476</v>
      </c>
    </row>
    <row r="168" spans="1:8" ht="34.5">
      <c r="A168" s="223" t="str">
        <v>Managing Change</v>
      </c>
      <c r="B168" s="223" t="str">
        <v>Director</v>
      </c>
      <c r="C168" s="197">
        <v>3</v>
      </c>
      <c r="D168" s="228" t="s">
        <v>6477</v>
      </c>
      <c r="E168" s="228" t="s">
        <v>6478</v>
      </c>
      <c r="F168" s="228" t="s">
        <v>6479</v>
      </c>
      <c r="G168" s="229" t="s">
        <v>6480</v>
      </c>
      <c r="H168" s="228" t="s">
        <v>6481</v>
      </c>
    </row>
    <row r="169" spans="1:8" ht="46">
      <c r="A169" s="223" t="str">
        <v>Managing Change</v>
      </c>
      <c r="B169" s="223" t="str">
        <v>Director</v>
      </c>
      <c r="C169" s="197">
        <v>4</v>
      </c>
      <c r="D169" s="228" t="s">
        <v>6482</v>
      </c>
      <c r="E169" s="228" t="s">
        <v>6483</v>
      </c>
      <c r="F169" s="228" t="s">
        <v>6484</v>
      </c>
      <c r="G169" s="229" t="s">
        <v>6485</v>
      </c>
      <c r="H169" s="228" t="s">
        <v>6486</v>
      </c>
    </row>
    <row r="170" spans="1:8" ht="34.5">
      <c r="A170" s="223" t="str">
        <v>Strategic Thinking</v>
      </c>
      <c r="B170" s="223" t="str">
        <v>Officer</v>
      </c>
      <c r="C170" s="197">
        <v>1</v>
      </c>
      <c r="D170" s="228" t="s">
        <v>6487</v>
      </c>
      <c r="E170" s="228" t="s">
        <v>6488</v>
      </c>
      <c r="F170" s="228" t="s">
        <v>6489</v>
      </c>
      <c r="G170" s="229" t="s">
        <v>6490</v>
      </c>
      <c r="H170" s="228" t="s">
        <v>6491</v>
      </c>
    </row>
    <row r="171" spans="1:8" ht="23">
      <c r="A171" s="223" t="str">
        <v>Strategic Thinking</v>
      </c>
      <c r="B171" s="223" t="str">
        <v>Officer</v>
      </c>
      <c r="C171" s="197">
        <v>2</v>
      </c>
      <c r="D171" s="228" t="s">
        <v>6492</v>
      </c>
      <c r="E171" s="228" t="s">
        <v>6493</v>
      </c>
      <c r="F171" s="228" t="s">
        <v>6255</v>
      </c>
      <c r="G171" s="229" t="s">
        <v>6494</v>
      </c>
      <c r="H171" s="228" t="s">
        <v>6495</v>
      </c>
    </row>
    <row r="172" spans="1:8" ht="23">
      <c r="A172" s="223" t="str">
        <v>Strategic Thinking</v>
      </c>
      <c r="B172" s="223" t="str">
        <v>Officer</v>
      </c>
      <c r="C172" s="197">
        <v>3</v>
      </c>
      <c r="D172" s="228" t="s">
        <v>6496</v>
      </c>
      <c r="E172" s="228" t="s">
        <v>6497</v>
      </c>
      <c r="F172" s="228" t="s">
        <v>6260</v>
      </c>
      <c r="G172" s="229" t="s">
        <v>6261</v>
      </c>
      <c r="H172" s="228" t="s">
        <v>6262</v>
      </c>
    </row>
    <row r="173" spans="1:8" ht="46">
      <c r="A173" s="223" t="str">
        <v>Strategic Thinking</v>
      </c>
      <c r="B173" s="223" t="str">
        <v>Officer</v>
      </c>
      <c r="C173" s="197">
        <v>4</v>
      </c>
      <c r="D173" s="228" t="s">
        <v>6498</v>
      </c>
      <c r="E173" s="228" t="s">
        <v>6499</v>
      </c>
      <c r="F173" s="228" t="s">
        <v>6500</v>
      </c>
      <c r="G173" s="229" t="s">
        <v>6501</v>
      </c>
      <c r="H173" s="228" t="s">
        <v>6502</v>
      </c>
    </row>
    <row r="174" spans="1:8" ht="23">
      <c r="A174" s="223" t="str">
        <v>Strategic Thinking</v>
      </c>
      <c r="B174" s="223" t="str">
        <v>Analyst</v>
      </c>
      <c r="C174" s="197">
        <v>1</v>
      </c>
      <c r="D174" s="228" t="s">
        <v>6503</v>
      </c>
      <c r="E174" s="228" t="s">
        <v>6504</v>
      </c>
      <c r="F174" s="228" t="s">
        <v>6505</v>
      </c>
      <c r="G174" s="229" t="s">
        <v>6506</v>
      </c>
      <c r="H174" s="228" t="s">
        <v>6507</v>
      </c>
    </row>
    <row r="175" spans="1:8" ht="46">
      <c r="A175" s="223" t="str">
        <v>Strategic Thinking</v>
      </c>
      <c r="B175" s="223" t="str">
        <v>Analyst</v>
      </c>
      <c r="C175" s="197">
        <v>2</v>
      </c>
      <c r="D175" s="228" t="s">
        <v>6508</v>
      </c>
      <c r="E175" s="228" t="s">
        <v>6509</v>
      </c>
      <c r="F175" s="228" t="s">
        <v>6510</v>
      </c>
      <c r="G175" s="229" t="s">
        <v>6511</v>
      </c>
      <c r="H175" s="228" t="s">
        <v>6512</v>
      </c>
    </row>
    <row r="176" spans="1:8" ht="34.5">
      <c r="A176" s="223" t="str">
        <v>Strategic Thinking</v>
      </c>
      <c r="B176" s="223" t="str">
        <v>Analyst</v>
      </c>
      <c r="C176" s="197">
        <v>3</v>
      </c>
      <c r="D176" s="228" t="s">
        <v>6513</v>
      </c>
      <c r="E176" s="228" t="s">
        <v>6514</v>
      </c>
      <c r="F176" s="228" t="s">
        <v>6515</v>
      </c>
      <c r="G176" s="229" t="s">
        <v>6516</v>
      </c>
      <c r="H176" s="228" t="s">
        <v>6517</v>
      </c>
    </row>
    <row r="177" spans="1:8" ht="34.5">
      <c r="A177" s="223" t="str">
        <v>Strategic Thinking</v>
      </c>
      <c r="B177" s="223" t="str">
        <v>Analyst</v>
      </c>
      <c r="C177" s="197">
        <v>4</v>
      </c>
      <c r="D177" s="228" t="s">
        <v>6518</v>
      </c>
      <c r="E177" s="228" t="s">
        <v>6519</v>
      </c>
      <c r="F177" s="228" t="s">
        <v>6520</v>
      </c>
      <c r="G177" s="229" t="s">
        <v>6521</v>
      </c>
      <c r="H177" s="228" t="s">
        <v>6522</v>
      </c>
    </row>
    <row r="178" spans="1:8" ht="34.5">
      <c r="A178" s="223" t="str">
        <v>Strategic Thinking</v>
      </c>
      <c r="B178" s="223" t="str">
        <v>Unit Head/Specialist</v>
      </c>
      <c r="C178" s="197">
        <v>1</v>
      </c>
      <c r="D178" s="228" t="s">
        <v>6523</v>
      </c>
      <c r="E178" s="228" t="s">
        <v>6524</v>
      </c>
      <c r="F178" s="228" t="s">
        <v>6525</v>
      </c>
      <c r="G178" s="229" t="s">
        <v>6526</v>
      </c>
      <c r="H178" s="228" t="s">
        <v>6527</v>
      </c>
    </row>
    <row r="179" spans="1:8" ht="46">
      <c r="A179" s="223" t="str">
        <v>Strategic Thinking</v>
      </c>
      <c r="B179" s="223" t="str">
        <v>Unit Head/Specialist</v>
      </c>
      <c r="C179" s="197">
        <v>2</v>
      </c>
      <c r="D179" s="228" t="s">
        <v>6528</v>
      </c>
      <c r="E179" s="228" t="s">
        <v>6529</v>
      </c>
      <c r="F179" s="228" t="s">
        <v>6530</v>
      </c>
      <c r="G179" s="229" t="s">
        <v>6531</v>
      </c>
      <c r="H179" s="228" t="s">
        <v>6532</v>
      </c>
    </row>
    <row r="180" spans="1:8" ht="34.5">
      <c r="A180" s="223" t="str">
        <v>Strategic Thinking</v>
      </c>
      <c r="B180" s="223" t="str">
        <v>Unit Head/Specialist</v>
      </c>
      <c r="C180" s="197">
        <v>3</v>
      </c>
      <c r="D180" s="228" t="s">
        <v>6533</v>
      </c>
      <c r="E180" s="228" t="s">
        <v>6534</v>
      </c>
      <c r="F180" s="228" t="s">
        <v>6535</v>
      </c>
      <c r="G180" s="229" t="s">
        <v>6536</v>
      </c>
      <c r="H180" s="228" t="s">
        <v>6537</v>
      </c>
    </row>
    <row r="181" spans="1:8" ht="34.5">
      <c r="A181" s="223" t="str">
        <v>Strategic Thinking</v>
      </c>
      <c r="B181" s="223" t="str">
        <v>Unit Head/Specialist</v>
      </c>
      <c r="C181" s="197">
        <v>4</v>
      </c>
      <c r="D181" s="228" t="s">
        <v>6538</v>
      </c>
      <c r="E181" s="228" t="s">
        <v>6539</v>
      </c>
      <c r="F181" s="228" t="s">
        <v>6540</v>
      </c>
      <c r="G181" s="229" t="s">
        <v>6541</v>
      </c>
      <c r="H181" s="228" t="s">
        <v>6542</v>
      </c>
    </row>
    <row r="182" spans="1:8" ht="34.5">
      <c r="A182" s="223" t="str">
        <v>Strategic Thinking</v>
      </c>
      <c r="B182" s="223" t="str">
        <v>Department Head</v>
      </c>
      <c r="C182" s="197">
        <v>1</v>
      </c>
      <c r="D182" s="228" t="s">
        <v>6543</v>
      </c>
      <c r="E182" s="228" t="s">
        <v>6544</v>
      </c>
      <c r="F182" s="228" t="s">
        <v>6545</v>
      </c>
      <c r="G182" s="229" t="s">
        <v>6546</v>
      </c>
      <c r="H182" s="228" t="s">
        <v>6547</v>
      </c>
    </row>
    <row r="183" spans="1:8" ht="34.5">
      <c r="A183" s="223" t="str">
        <v>Strategic Thinking</v>
      </c>
      <c r="B183" s="223" t="str">
        <v>Department Head</v>
      </c>
      <c r="C183" s="197">
        <v>2</v>
      </c>
      <c r="D183" s="228" t="s">
        <v>6548</v>
      </c>
      <c r="E183" s="228" t="s">
        <v>6549</v>
      </c>
      <c r="F183" s="228" t="s">
        <v>6550</v>
      </c>
      <c r="G183" s="229" t="s">
        <v>6551</v>
      </c>
      <c r="H183" s="228" t="s">
        <v>6552</v>
      </c>
    </row>
    <row r="184" spans="1:8" ht="34.5">
      <c r="A184" s="223" t="str">
        <v>Strategic Thinking</v>
      </c>
      <c r="B184" s="223" t="str">
        <v>Department Head</v>
      </c>
      <c r="C184" s="197">
        <v>3</v>
      </c>
      <c r="D184" s="228" t="s">
        <v>6553</v>
      </c>
      <c r="E184" s="228" t="s">
        <v>6554</v>
      </c>
      <c r="F184" s="228" t="s">
        <v>6555</v>
      </c>
      <c r="G184" s="229" t="s">
        <v>6556</v>
      </c>
      <c r="H184" s="228" t="s">
        <v>6557</v>
      </c>
    </row>
    <row r="185" spans="1:8" ht="34.5">
      <c r="A185" s="223" t="str">
        <v>Strategic Thinking</v>
      </c>
      <c r="B185" s="223" t="str">
        <v>Department Head</v>
      </c>
      <c r="C185" s="197">
        <v>4</v>
      </c>
      <c r="D185" s="228" t="s">
        <v>6558</v>
      </c>
      <c r="E185" s="228" t="s">
        <v>6559</v>
      </c>
      <c r="F185" s="228" t="s">
        <v>6560</v>
      </c>
      <c r="G185" s="229" t="s">
        <v>6561</v>
      </c>
      <c r="H185" s="228" t="s">
        <v>6562</v>
      </c>
    </row>
    <row r="186" spans="1:8" ht="34.5">
      <c r="A186" s="223" t="str">
        <v>Strategic Thinking</v>
      </c>
      <c r="B186" s="223" t="str">
        <v>Division Head</v>
      </c>
      <c r="C186" s="197">
        <v>1</v>
      </c>
      <c r="D186" s="228" t="s">
        <v>6563</v>
      </c>
      <c r="E186" s="228" t="s">
        <v>6328</v>
      </c>
      <c r="F186" s="228" t="s">
        <v>6329</v>
      </c>
      <c r="G186" s="229" t="s">
        <v>6330</v>
      </c>
      <c r="H186" s="228" t="s">
        <v>6331</v>
      </c>
    </row>
    <row r="187" spans="1:8" ht="34.5">
      <c r="A187" s="223" t="str">
        <v>Strategic Thinking</v>
      </c>
      <c r="B187" s="223" t="str">
        <v>Division Head</v>
      </c>
      <c r="C187" s="197">
        <v>2</v>
      </c>
      <c r="D187" s="228" t="s">
        <v>6564</v>
      </c>
      <c r="E187" s="228" t="s">
        <v>6565</v>
      </c>
      <c r="F187" s="228" t="s">
        <v>6566</v>
      </c>
      <c r="G187" s="229" t="s">
        <v>6567</v>
      </c>
      <c r="H187" s="228" t="s">
        <v>6568</v>
      </c>
    </row>
    <row r="188" spans="1:8" ht="34.5">
      <c r="A188" s="223" t="str">
        <v>Strategic Thinking</v>
      </c>
      <c r="B188" s="223" t="str">
        <v>Division Head</v>
      </c>
      <c r="C188" s="197">
        <v>3</v>
      </c>
      <c r="D188" s="228" t="s">
        <v>6569</v>
      </c>
      <c r="E188" s="228" t="s">
        <v>6343</v>
      </c>
      <c r="F188" s="228" t="s">
        <v>6570</v>
      </c>
      <c r="G188" s="229" t="s">
        <v>6345</v>
      </c>
      <c r="H188" s="228" t="s">
        <v>6346</v>
      </c>
    </row>
    <row r="189" spans="1:8" ht="34.5">
      <c r="A189" s="223" t="str">
        <v>Strategic Thinking</v>
      </c>
      <c r="B189" s="223" t="str">
        <v>Division Head</v>
      </c>
      <c r="C189" s="197">
        <v>4</v>
      </c>
      <c r="D189" s="228" t="s">
        <v>6571</v>
      </c>
      <c r="E189" s="228" t="s">
        <v>6572</v>
      </c>
      <c r="F189" s="228" t="s">
        <v>6573</v>
      </c>
      <c r="G189" s="229" t="s">
        <v>6574</v>
      </c>
      <c r="H189" s="228" t="s">
        <v>6575</v>
      </c>
    </row>
    <row r="190" spans="1:8" ht="46">
      <c r="A190" s="223" t="str">
        <v>Strategic Thinking</v>
      </c>
      <c r="B190" s="223" t="str">
        <v>Director</v>
      </c>
      <c r="C190" s="197">
        <v>1</v>
      </c>
      <c r="D190" s="228" t="s">
        <v>6576</v>
      </c>
      <c r="E190" s="228" t="s">
        <v>6577</v>
      </c>
      <c r="F190" s="228" t="s">
        <v>6349</v>
      </c>
      <c r="G190" s="229" t="s">
        <v>6350</v>
      </c>
      <c r="H190" s="228" t="s">
        <v>6578</v>
      </c>
    </row>
    <row r="191" spans="1:8" ht="34.5">
      <c r="A191" s="223" t="str">
        <v>Strategic Thinking</v>
      </c>
      <c r="B191" s="223" t="str">
        <v>Director</v>
      </c>
      <c r="C191" s="197">
        <v>2</v>
      </c>
      <c r="D191" s="228" t="s">
        <v>6579</v>
      </c>
      <c r="E191" s="228" t="s">
        <v>6580</v>
      </c>
      <c r="F191" s="228" t="s">
        <v>6581</v>
      </c>
      <c r="G191" s="229" t="s">
        <v>6582</v>
      </c>
      <c r="H191" s="228" t="s">
        <v>6583</v>
      </c>
    </row>
    <row r="192" spans="1:8" ht="34.5">
      <c r="A192" s="223" t="str">
        <v>Strategic Thinking</v>
      </c>
      <c r="B192" s="223" t="str">
        <v>Director</v>
      </c>
      <c r="C192" s="197">
        <v>3</v>
      </c>
      <c r="D192" s="228" t="s">
        <v>6357</v>
      </c>
      <c r="E192" s="228" t="s">
        <v>6358</v>
      </c>
      <c r="F192" s="228" t="s">
        <v>6584</v>
      </c>
      <c r="G192" s="229" t="s">
        <v>6360</v>
      </c>
      <c r="H192" s="228" t="s">
        <v>6585</v>
      </c>
    </row>
    <row r="193" spans="1:8" ht="34.5">
      <c r="A193" s="223" t="str">
        <v>Strategic Thinking</v>
      </c>
      <c r="B193" s="223" t="str">
        <v>Director</v>
      </c>
      <c r="C193" s="197">
        <v>4</v>
      </c>
      <c r="D193" s="228" t="s">
        <v>6586</v>
      </c>
      <c r="E193" s="228" t="s">
        <v>6587</v>
      </c>
      <c r="F193" s="228" t="s">
        <v>6588</v>
      </c>
      <c r="G193" s="229" t="s">
        <v>6589</v>
      </c>
      <c r="H193" s="228" t="s">
        <v>6590</v>
      </c>
    </row>
    <row r="194" spans="1:8" ht="23">
      <c r="A194" s="223" t="str">
        <v>Conceptual Thinking</v>
      </c>
      <c r="B194" s="223" t="str">
        <v>Officer</v>
      </c>
      <c r="C194" s="197">
        <v>1</v>
      </c>
      <c r="D194" s="228" t="s">
        <v>6591</v>
      </c>
      <c r="E194" s="228" t="s">
        <v>6592</v>
      </c>
      <c r="F194" s="228" t="s">
        <v>6593</v>
      </c>
      <c r="G194" s="229" t="s">
        <v>6594</v>
      </c>
      <c r="H194" s="228" t="s">
        <v>6595</v>
      </c>
    </row>
    <row r="195" spans="1:8" ht="23">
      <c r="A195" s="223" t="str">
        <v>Conceptual Thinking</v>
      </c>
      <c r="B195" s="223" t="str">
        <v>Officer</v>
      </c>
      <c r="C195" s="197">
        <v>2</v>
      </c>
      <c r="D195" s="228" t="s">
        <v>6596</v>
      </c>
      <c r="E195" s="228" t="s">
        <v>6597</v>
      </c>
      <c r="F195" s="228" t="s">
        <v>6598</v>
      </c>
      <c r="G195" s="229" t="s">
        <v>6599</v>
      </c>
      <c r="H195" s="228" t="s">
        <v>6600</v>
      </c>
    </row>
    <row r="196" spans="1:8">
      <c r="A196" s="223" t="str">
        <v>Conceptual Thinking</v>
      </c>
      <c r="B196" s="223" t="str">
        <v>Officer</v>
      </c>
      <c r="C196" s="197">
        <v>3</v>
      </c>
      <c r="D196" s="228" t="s">
        <v>6601</v>
      </c>
      <c r="E196" s="228" t="s">
        <v>6602</v>
      </c>
      <c r="F196" s="228" t="s">
        <v>6603</v>
      </c>
      <c r="G196" s="229" t="s">
        <v>6604</v>
      </c>
      <c r="H196" s="228" t="s">
        <v>6605</v>
      </c>
    </row>
    <row r="197" spans="1:8" ht="23">
      <c r="A197" s="223" t="str">
        <v>Conceptual Thinking</v>
      </c>
      <c r="B197" s="223" t="str">
        <v>Officer</v>
      </c>
      <c r="C197" s="197">
        <v>4</v>
      </c>
      <c r="D197" s="228" t="s">
        <v>6606</v>
      </c>
      <c r="E197" s="228" t="s">
        <v>6607</v>
      </c>
      <c r="F197" s="228" t="s">
        <v>6608</v>
      </c>
      <c r="G197" s="229" t="s">
        <v>6609</v>
      </c>
      <c r="H197" s="228" t="s">
        <v>6610</v>
      </c>
    </row>
    <row r="198" spans="1:8" ht="23">
      <c r="A198" s="223" t="str">
        <v>Conceptual Thinking</v>
      </c>
      <c r="B198" s="223" t="str">
        <v>Analyst</v>
      </c>
      <c r="C198" s="197">
        <v>1</v>
      </c>
      <c r="D198" s="228" t="s">
        <v>6611</v>
      </c>
      <c r="E198" s="228" t="s">
        <v>6612</v>
      </c>
      <c r="F198" s="228" t="s">
        <v>6613</v>
      </c>
      <c r="G198" s="229" t="s">
        <v>6614</v>
      </c>
      <c r="H198" s="228" t="s">
        <v>6615</v>
      </c>
    </row>
    <row r="199" spans="1:8" ht="34.5">
      <c r="A199" s="223" t="str">
        <v>Conceptual Thinking</v>
      </c>
      <c r="B199" s="223" t="str">
        <v>Analyst</v>
      </c>
      <c r="C199" s="197">
        <v>2</v>
      </c>
      <c r="D199" s="228" t="s">
        <v>6616</v>
      </c>
      <c r="E199" s="228" t="s">
        <v>6617</v>
      </c>
      <c r="F199" s="228" t="s">
        <v>6618</v>
      </c>
      <c r="G199" s="229" t="s">
        <v>6619</v>
      </c>
      <c r="H199" s="228" t="s">
        <v>6620</v>
      </c>
    </row>
    <row r="200" spans="1:8" ht="23">
      <c r="A200" s="223" t="str">
        <v>Conceptual Thinking</v>
      </c>
      <c r="B200" s="223" t="str">
        <v>Analyst</v>
      </c>
      <c r="C200" s="197">
        <v>3</v>
      </c>
      <c r="D200" s="228" t="s">
        <v>6621</v>
      </c>
      <c r="E200" s="228" t="s">
        <v>6622</v>
      </c>
      <c r="F200" s="228" t="s">
        <v>6623</v>
      </c>
      <c r="G200" s="229" t="s">
        <v>6624</v>
      </c>
      <c r="H200" s="228" t="s">
        <v>6625</v>
      </c>
    </row>
    <row r="201" spans="1:8" ht="23">
      <c r="A201" s="223" t="str">
        <v>Conceptual Thinking</v>
      </c>
      <c r="B201" s="223" t="str">
        <v>Analyst</v>
      </c>
      <c r="C201" s="197">
        <v>4</v>
      </c>
      <c r="D201" s="228" t="s">
        <v>6626</v>
      </c>
      <c r="E201" s="228" t="s">
        <v>6627</v>
      </c>
      <c r="F201" s="228" t="s">
        <v>6628</v>
      </c>
      <c r="G201" s="229" t="s">
        <v>6629</v>
      </c>
      <c r="H201" s="228" t="s">
        <v>6630</v>
      </c>
    </row>
    <row r="202" spans="1:8" ht="23">
      <c r="A202" s="223" t="str">
        <v>Conceptual Thinking</v>
      </c>
      <c r="B202" s="223" t="str">
        <v>Unit Head/Specialist</v>
      </c>
      <c r="C202" s="197">
        <v>1</v>
      </c>
      <c r="D202" s="228" t="s">
        <v>6631</v>
      </c>
      <c r="E202" s="228" t="s">
        <v>6632</v>
      </c>
      <c r="F202" s="228" t="s">
        <v>6633</v>
      </c>
      <c r="G202" s="229" t="s">
        <v>6634</v>
      </c>
      <c r="H202" s="228" t="s">
        <v>6635</v>
      </c>
    </row>
    <row r="203" spans="1:8" ht="23">
      <c r="A203" s="223" t="str">
        <v>Conceptual Thinking</v>
      </c>
      <c r="B203" s="223" t="str">
        <v>Unit Head/Specialist</v>
      </c>
      <c r="C203" s="197">
        <v>2</v>
      </c>
      <c r="D203" s="228" t="s">
        <v>6636</v>
      </c>
      <c r="E203" s="228" t="s">
        <v>6637</v>
      </c>
      <c r="F203" s="228" t="s">
        <v>6638</v>
      </c>
      <c r="G203" s="229" t="s">
        <v>6639</v>
      </c>
      <c r="H203" s="228" t="s">
        <v>6640</v>
      </c>
    </row>
    <row r="204" spans="1:8" ht="34.5">
      <c r="A204" s="223" t="str">
        <v>Conceptual Thinking</v>
      </c>
      <c r="B204" s="223" t="str">
        <v>Unit Head/Specialist</v>
      </c>
      <c r="C204" s="197">
        <v>3</v>
      </c>
      <c r="D204" s="228" t="s">
        <v>6641</v>
      </c>
      <c r="E204" s="228" t="s">
        <v>6642</v>
      </c>
      <c r="F204" s="228" t="s">
        <v>6643</v>
      </c>
      <c r="G204" s="229" t="s">
        <v>6644</v>
      </c>
      <c r="H204" s="228" t="s">
        <v>6645</v>
      </c>
    </row>
    <row r="205" spans="1:8" ht="23">
      <c r="A205" s="223" t="str">
        <v>Conceptual Thinking</v>
      </c>
      <c r="B205" s="223" t="str">
        <v>Unit Head/Specialist</v>
      </c>
      <c r="C205" s="197">
        <v>4</v>
      </c>
      <c r="D205" s="228" t="s">
        <v>6646</v>
      </c>
      <c r="E205" s="228" t="s">
        <v>6647</v>
      </c>
      <c r="F205" s="228" t="s">
        <v>6648</v>
      </c>
      <c r="G205" s="229" t="s">
        <v>6649</v>
      </c>
      <c r="H205" s="228" t="s">
        <v>6650</v>
      </c>
    </row>
    <row r="206" spans="1:8" ht="23">
      <c r="A206" s="223" t="str">
        <v>Conceptual Thinking</v>
      </c>
      <c r="B206" s="223" t="str">
        <v>Department Head</v>
      </c>
      <c r="C206" s="197">
        <v>1</v>
      </c>
      <c r="D206" s="228" t="s">
        <v>6651</v>
      </c>
      <c r="E206" s="228" t="s">
        <v>6652</v>
      </c>
      <c r="F206" s="228" t="s">
        <v>6653</v>
      </c>
      <c r="G206" s="229" t="s">
        <v>6654</v>
      </c>
      <c r="H206" s="228" t="s">
        <v>6655</v>
      </c>
    </row>
    <row r="207" spans="1:8" ht="23">
      <c r="A207" s="223" t="str">
        <v>Conceptual Thinking</v>
      </c>
      <c r="B207" s="223" t="str">
        <v>Department Head</v>
      </c>
      <c r="C207" s="197">
        <v>2</v>
      </c>
      <c r="D207" s="228" t="s">
        <v>6656</v>
      </c>
      <c r="E207" s="228" t="s">
        <v>6657</v>
      </c>
      <c r="F207" s="228" t="s">
        <v>6658</v>
      </c>
      <c r="G207" s="229" t="s">
        <v>6659</v>
      </c>
      <c r="H207" s="228" t="s">
        <v>6660</v>
      </c>
    </row>
    <row r="208" spans="1:8" ht="23">
      <c r="A208" s="223" t="str">
        <v>Conceptual Thinking</v>
      </c>
      <c r="B208" s="223" t="str">
        <v>Department Head</v>
      </c>
      <c r="C208" s="197">
        <v>3</v>
      </c>
      <c r="D208" s="228" t="s">
        <v>6661</v>
      </c>
      <c r="E208" s="228" t="s">
        <v>6662</v>
      </c>
      <c r="F208" s="228" t="s">
        <v>6663</v>
      </c>
      <c r="G208" s="229" t="s">
        <v>6664</v>
      </c>
      <c r="H208" s="228" t="s">
        <v>6665</v>
      </c>
    </row>
    <row r="209" spans="1:8" ht="23">
      <c r="A209" s="223" t="str">
        <v>Conceptual Thinking</v>
      </c>
      <c r="B209" s="223" t="str">
        <v>Department Head</v>
      </c>
      <c r="C209" s="197">
        <v>4</v>
      </c>
      <c r="D209" s="228" t="s">
        <v>6666</v>
      </c>
      <c r="E209" s="228" t="s">
        <v>6667</v>
      </c>
      <c r="F209" s="228" t="s">
        <v>6099</v>
      </c>
      <c r="G209" s="229" t="s">
        <v>6668</v>
      </c>
      <c r="H209" s="228" t="s">
        <v>6669</v>
      </c>
    </row>
    <row r="210" spans="1:8" ht="23">
      <c r="A210" s="223" t="str">
        <v>Conceptual Thinking</v>
      </c>
      <c r="B210" s="223" t="str">
        <v>Division Head</v>
      </c>
      <c r="C210" s="197">
        <v>1</v>
      </c>
      <c r="D210" s="228" t="s">
        <v>6670</v>
      </c>
      <c r="E210" s="228" t="s">
        <v>6103</v>
      </c>
      <c r="F210" s="228" t="s">
        <v>6104</v>
      </c>
      <c r="G210" s="229" t="s">
        <v>6671</v>
      </c>
      <c r="H210" s="228" t="s">
        <v>6672</v>
      </c>
    </row>
    <row r="211" spans="1:8" ht="23">
      <c r="A211" s="223" t="str">
        <v>Conceptual Thinking</v>
      </c>
      <c r="B211" s="223" t="str">
        <v>Division Head</v>
      </c>
      <c r="C211" s="197">
        <v>2</v>
      </c>
      <c r="D211" s="228" t="s">
        <v>6673</v>
      </c>
      <c r="E211" s="228" t="s">
        <v>6674</v>
      </c>
      <c r="F211" s="228" t="s">
        <v>6675</v>
      </c>
      <c r="G211" s="229" t="s">
        <v>6676</v>
      </c>
      <c r="H211" s="228" t="s">
        <v>6677</v>
      </c>
    </row>
    <row r="212" spans="1:8" ht="23">
      <c r="A212" s="223" t="str">
        <v>Conceptual Thinking</v>
      </c>
      <c r="B212" s="223" t="str">
        <v>Division Head</v>
      </c>
      <c r="C212" s="197">
        <v>3</v>
      </c>
      <c r="D212" s="228" t="s">
        <v>6678</v>
      </c>
      <c r="E212" s="228" t="s">
        <v>6113</v>
      </c>
      <c r="F212" s="228" t="s">
        <v>6679</v>
      </c>
      <c r="G212" s="229" t="s">
        <v>6680</v>
      </c>
      <c r="H212" s="228" t="s">
        <v>6116</v>
      </c>
    </row>
    <row r="213" spans="1:8" ht="34.5">
      <c r="A213" s="223" t="str">
        <v>Conceptual Thinking</v>
      </c>
      <c r="B213" s="223" t="str">
        <v>Division Head</v>
      </c>
      <c r="C213" s="197">
        <v>4</v>
      </c>
      <c r="D213" s="228" t="s">
        <v>6681</v>
      </c>
      <c r="E213" s="228" t="s">
        <v>5774</v>
      </c>
      <c r="F213" s="228" t="s">
        <v>6682</v>
      </c>
      <c r="G213" s="229" t="s">
        <v>6683</v>
      </c>
      <c r="H213" s="228" t="s">
        <v>5778</v>
      </c>
    </row>
    <row r="214" spans="1:8" ht="23">
      <c r="A214" s="223" t="str">
        <v>Conceptual Thinking</v>
      </c>
      <c r="B214" s="223" t="str">
        <v>Director</v>
      </c>
      <c r="C214" s="197">
        <v>1</v>
      </c>
      <c r="D214" s="228" t="s">
        <v>6122</v>
      </c>
      <c r="E214" s="228" t="s">
        <v>6123</v>
      </c>
      <c r="F214" s="228" t="s">
        <v>6684</v>
      </c>
      <c r="G214" s="229" t="s">
        <v>6125</v>
      </c>
      <c r="H214" s="228" t="s">
        <v>6126</v>
      </c>
    </row>
    <row r="215" spans="1:8" ht="23">
      <c r="A215" s="223" t="str">
        <v>Conceptual Thinking</v>
      </c>
      <c r="B215" s="223" t="str">
        <v>Director</v>
      </c>
      <c r="C215" s="197">
        <v>2</v>
      </c>
      <c r="D215" s="228" t="s">
        <v>6685</v>
      </c>
      <c r="E215" s="228" t="s">
        <v>6686</v>
      </c>
      <c r="F215" s="228" t="s">
        <v>6687</v>
      </c>
      <c r="G215" s="229" t="s">
        <v>6688</v>
      </c>
      <c r="H215" s="228" t="s">
        <v>6689</v>
      </c>
    </row>
    <row r="216" spans="1:8" ht="23">
      <c r="A216" s="223" t="str">
        <v>Conceptual Thinking</v>
      </c>
      <c r="B216" s="223" t="str">
        <v>Director</v>
      </c>
      <c r="C216" s="197">
        <v>3</v>
      </c>
      <c r="D216" s="228" t="s">
        <v>6132</v>
      </c>
      <c r="E216" s="228" t="s">
        <v>6133</v>
      </c>
      <c r="F216" s="228" t="s">
        <v>6134</v>
      </c>
      <c r="G216" s="229" t="s">
        <v>6135</v>
      </c>
      <c r="H216" s="228" t="s">
        <v>6136</v>
      </c>
    </row>
    <row r="217" spans="1:8" ht="34.5">
      <c r="A217" s="223" t="str">
        <v>Conceptual Thinking</v>
      </c>
      <c r="B217" s="223" t="str">
        <v>Director</v>
      </c>
      <c r="C217" s="197">
        <v>4</v>
      </c>
      <c r="D217" s="228" t="s">
        <v>6690</v>
      </c>
      <c r="E217" s="228" t="s">
        <v>6691</v>
      </c>
      <c r="F217" s="228" t="s">
        <v>6692</v>
      </c>
      <c r="G217" s="229" t="s">
        <v>6693</v>
      </c>
      <c r="H217" s="228" t="s">
        <v>6694</v>
      </c>
    </row>
    <row r="218" spans="1:8" ht="23">
      <c r="A218" s="223" t="str">
        <v>Leadership</v>
      </c>
      <c r="B218" s="223" t="str">
        <v>Officer</v>
      </c>
      <c r="C218" s="197">
        <v>1</v>
      </c>
      <c r="D218" s="228" t="s">
        <v>6695</v>
      </c>
      <c r="E218" s="228" t="s">
        <v>6696</v>
      </c>
      <c r="F218" s="228" t="s">
        <v>6697</v>
      </c>
      <c r="G218" s="229" t="s">
        <v>6698</v>
      </c>
      <c r="H218" s="228" t="s">
        <v>6699</v>
      </c>
    </row>
    <row r="219" spans="1:8" ht="23">
      <c r="A219" s="223" t="str">
        <v>Leadership</v>
      </c>
      <c r="B219" s="223" t="str">
        <v>Officer</v>
      </c>
      <c r="C219" s="197">
        <v>2</v>
      </c>
      <c r="D219" s="228" t="s">
        <v>6700</v>
      </c>
      <c r="E219" s="228" t="s">
        <v>6701</v>
      </c>
      <c r="F219" s="228" t="s">
        <v>6702</v>
      </c>
      <c r="G219" s="229" t="s">
        <v>6703</v>
      </c>
      <c r="H219" s="228" t="s">
        <v>6704</v>
      </c>
    </row>
    <row r="220" spans="1:8" ht="23">
      <c r="A220" s="223" t="str">
        <v>Leadership</v>
      </c>
      <c r="B220" s="223" t="str">
        <v>Officer</v>
      </c>
      <c r="C220" s="197">
        <v>3</v>
      </c>
      <c r="D220" s="228" t="s">
        <v>6705</v>
      </c>
      <c r="E220" s="228" t="s">
        <v>5695</v>
      </c>
      <c r="F220" s="228" t="s">
        <v>5696</v>
      </c>
      <c r="G220" s="229" t="s">
        <v>6706</v>
      </c>
      <c r="H220" s="228" t="s">
        <v>6707</v>
      </c>
    </row>
    <row r="221" spans="1:8" ht="23">
      <c r="A221" s="223" t="str">
        <v>Leadership</v>
      </c>
      <c r="B221" s="223" t="str">
        <v>Officer</v>
      </c>
      <c r="C221" s="197">
        <v>4</v>
      </c>
      <c r="D221" s="228" t="s">
        <v>6708</v>
      </c>
      <c r="E221" s="228" t="s">
        <v>6709</v>
      </c>
      <c r="F221" s="228" t="s">
        <v>6710</v>
      </c>
      <c r="G221" s="229" t="s">
        <v>6711</v>
      </c>
      <c r="H221" s="228" t="s">
        <v>6712</v>
      </c>
    </row>
    <row r="222" spans="1:8" ht="23">
      <c r="A222" s="223" t="str">
        <v>Leadership</v>
      </c>
      <c r="B222" s="223" t="str">
        <v>Analyst</v>
      </c>
      <c r="C222" s="197">
        <v>1</v>
      </c>
      <c r="D222" s="228" t="s">
        <v>5944</v>
      </c>
      <c r="E222" s="228" t="s">
        <v>6713</v>
      </c>
      <c r="F222" s="228" t="s">
        <v>6714</v>
      </c>
      <c r="G222" s="229" t="s">
        <v>6715</v>
      </c>
      <c r="H222" s="228" t="s">
        <v>6716</v>
      </c>
    </row>
    <row r="223" spans="1:8" ht="23">
      <c r="A223" s="223" t="str">
        <v>Leadership</v>
      </c>
      <c r="B223" s="223" t="str">
        <v>Analyst</v>
      </c>
      <c r="C223" s="197">
        <v>2</v>
      </c>
      <c r="D223" s="228" t="s">
        <v>6717</v>
      </c>
      <c r="E223" s="228" t="s">
        <v>6718</v>
      </c>
      <c r="F223" s="228" t="s">
        <v>6719</v>
      </c>
      <c r="G223" s="229" t="s">
        <v>6720</v>
      </c>
      <c r="H223" s="228" t="s">
        <v>6721</v>
      </c>
    </row>
    <row r="224" spans="1:8" ht="23">
      <c r="A224" s="223" t="str">
        <v>Leadership</v>
      </c>
      <c r="B224" s="223" t="str">
        <v>Analyst</v>
      </c>
      <c r="C224" s="197">
        <v>3</v>
      </c>
      <c r="D224" s="228" t="s">
        <v>5954</v>
      </c>
      <c r="E224" s="228" t="s">
        <v>5955</v>
      </c>
      <c r="F224" s="228" t="s">
        <v>6722</v>
      </c>
      <c r="G224" s="229" t="s">
        <v>6723</v>
      </c>
      <c r="H224" s="228" t="s">
        <v>6724</v>
      </c>
    </row>
    <row r="225" spans="1:8" ht="23">
      <c r="A225" s="223" t="str">
        <v>Leadership</v>
      </c>
      <c r="B225" s="223" t="str">
        <v>Analyst</v>
      </c>
      <c r="C225" s="197">
        <v>4</v>
      </c>
      <c r="D225" s="228" t="s">
        <v>6725</v>
      </c>
      <c r="E225" s="228" t="s">
        <v>6726</v>
      </c>
      <c r="F225" s="228" t="s">
        <v>6727</v>
      </c>
      <c r="G225" s="229" t="s">
        <v>6728</v>
      </c>
      <c r="H225" s="228" t="s">
        <v>6729</v>
      </c>
    </row>
    <row r="226" spans="1:8" ht="23">
      <c r="A226" s="223" t="str">
        <v>Leadership</v>
      </c>
      <c r="B226" s="223" t="str">
        <v>Unit Head/Specialist</v>
      </c>
      <c r="C226" s="197">
        <v>1</v>
      </c>
      <c r="D226" s="228" t="s">
        <v>6730</v>
      </c>
      <c r="E226" s="228" t="s">
        <v>6731</v>
      </c>
      <c r="F226" s="228" t="s">
        <v>6732</v>
      </c>
      <c r="G226" s="229" t="s">
        <v>6733</v>
      </c>
      <c r="H226" s="228" t="s">
        <v>6734</v>
      </c>
    </row>
    <row r="227" spans="1:8" ht="23">
      <c r="A227" s="223" t="str">
        <v>Leadership</v>
      </c>
      <c r="B227" s="223" t="str">
        <v>Unit Head/Specialist</v>
      </c>
      <c r="C227" s="197">
        <v>2</v>
      </c>
      <c r="D227" s="228" t="s">
        <v>6735</v>
      </c>
      <c r="E227" s="228" t="s">
        <v>6736</v>
      </c>
      <c r="F227" s="228" t="s">
        <v>6737</v>
      </c>
      <c r="G227" s="229" t="s">
        <v>6738</v>
      </c>
      <c r="H227" s="228" t="s">
        <v>6739</v>
      </c>
    </row>
    <row r="228" spans="1:8" ht="23">
      <c r="A228" s="223" t="str">
        <v>Leadership</v>
      </c>
      <c r="B228" s="223" t="str">
        <v>Unit Head/Specialist</v>
      </c>
      <c r="C228" s="197">
        <v>3</v>
      </c>
      <c r="D228" s="228" t="s">
        <v>6740</v>
      </c>
      <c r="E228" s="228" t="s">
        <v>6741</v>
      </c>
      <c r="F228" s="228" t="s">
        <v>6742</v>
      </c>
      <c r="G228" s="229" t="s">
        <v>6743</v>
      </c>
      <c r="H228" s="228" t="s">
        <v>6744</v>
      </c>
    </row>
    <row r="229" spans="1:8" ht="23">
      <c r="A229" s="223" t="str">
        <v>Leadership</v>
      </c>
      <c r="B229" s="223" t="str">
        <v>Unit Head/Specialist</v>
      </c>
      <c r="C229" s="197">
        <v>4</v>
      </c>
      <c r="D229" s="228" t="s">
        <v>6745</v>
      </c>
      <c r="E229" s="228" t="s">
        <v>6746</v>
      </c>
      <c r="F229" s="228" t="s">
        <v>6747</v>
      </c>
      <c r="G229" s="229" t="s">
        <v>6748</v>
      </c>
      <c r="H229" s="228" t="s">
        <v>6749</v>
      </c>
    </row>
    <row r="230" spans="1:8" ht="23">
      <c r="A230" s="223" t="str">
        <v>Leadership</v>
      </c>
      <c r="B230" s="223" t="str">
        <v>Department Head</v>
      </c>
      <c r="C230" s="197">
        <v>1</v>
      </c>
      <c r="D230" s="228" t="s">
        <v>6750</v>
      </c>
      <c r="E230" s="228" t="s">
        <v>6751</v>
      </c>
      <c r="F230" s="228" t="s">
        <v>6752</v>
      </c>
      <c r="G230" s="229" t="s">
        <v>6753</v>
      </c>
      <c r="H230" s="228" t="s">
        <v>6754</v>
      </c>
    </row>
    <row r="231" spans="1:8" ht="23">
      <c r="A231" s="223" t="str">
        <v>Leadership</v>
      </c>
      <c r="B231" s="223" t="str">
        <v>Department Head</v>
      </c>
      <c r="C231" s="197">
        <v>2</v>
      </c>
      <c r="D231" s="228" t="s">
        <v>6755</v>
      </c>
      <c r="E231" s="228" t="s">
        <v>6756</v>
      </c>
      <c r="F231" s="228" t="s">
        <v>6757</v>
      </c>
      <c r="G231" s="229" t="s">
        <v>6758</v>
      </c>
      <c r="H231" s="228" t="s">
        <v>6759</v>
      </c>
    </row>
    <row r="232" spans="1:8" ht="23">
      <c r="A232" s="223" t="str">
        <v>Leadership</v>
      </c>
      <c r="B232" s="223" t="str">
        <v>Department Head</v>
      </c>
      <c r="C232" s="197">
        <v>3</v>
      </c>
      <c r="D232" s="228" t="s">
        <v>6760</v>
      </c>
      <c r="E232" s="228" t="s">
        <v>6761</v>
      </c>
      <c r="F232" s="228" t="s">
        <v>6762</v>
      </c>
      <c r="G232" s="229" t="s">
        <v>6763</v>
      </c>
      <c r="H232" s="228" t="s">
        <v>6764</v>
      </c>
    </row>
    <row r="233" spans="1:8" ht="23">
      <c r="A233" s="223" t="str">
        <v>Leadership</v>
      </c>
      <c r="B233" s="223" t="str">
        <v>Department Head</v>
      </c>
      <c r="C233" s="197">
        <v>4</v>
      </c>
      <c r="D233" s="228" t="s">
        <v>6765</v>
      </c>
      <c r="E233" s="228" t="s">
        <v>6766</v>
      </c>
      <c r="F233" s="228" t="s">
        <v>6767</v>
      </c>
      <c r="G233" s="229" t="s">
        <v>6768</v>
      </c>
      <c r="H233" s="228" t="s">
        <v>6769</v>
      </c>
    </row>
    <row r="234" spans="1:8" ht="23">
      <c r="A234" s="223" t="str">
        <v>Leadership</v>
      </c>
      <c r="B234" s="223" t="str">
        <v>Division Head</v>
      </c>
      <c r="C234" s="197">
        <v>1</v>
      </c>
      <c r="D234" s="228" t="s">
        <v>6770</v>
      </c>
      <c r="E234" s="228" t="s">
        <v>6771</v>
      </c>
      <c r="F234" s="228" t="s">
        <v>6772</v>
      </c>
      <c r="G234" s="229" t="s">
        <v>196</v>
      </c>
      <c r="H234" s="228" t="s">
        <v>6773</v>
      </c>
    </row>
    <row r="235" spans="1:8" ht="23">
      <c r="A235" s="223" t="str">
        <v>Leadership</v>
      </c>
      <c r="B235" s="223" t="str">
        <v>Division Head</v>
      </c>
      <c r="C235" s="197">
        <v>2</v>
      </c>
      <c r="D235" s="228" t="s">
        <v>5879</v>
      </c>
      <c r="E235" s="228" t="s">
        <v>5880</v>
      </c>
      <c r="F235" s="228" t="s">
        <v>6774</v>
      </c>
      <c r="G235" s="229" t="s">
        <v>6775</v>
      </c>
      <c r="H235" s="228" t="s">
        <v>6776</v>
      </c>
    </row>
    <row r="236" spans="1:8" ht="23">
      <c r="A236" s="223" t="str">
        <v>Leadership</v>
      </c>
      <c r="B236" s="223" t="str">
        <v>Division Head</v>
      </c>
      <c r="C236" s="197">
        <v>3</v>
      </c>
      <c r="D236" s="228" t="s">
        <v>6777</v>
      </c>
      <c r="E236" s="228" t="s">
        <v>6778</v>
      </c>
      <c r="F236" s="228" t="s">
        <v>6779</v>
      </c>
      <c r="G236" s="229" t="s">
        <v>6780</v>
      </c>
      <c r="H236" s="228" t="s">
        <v>6781</v>
      </c>
    </row>
    <row r="237" spans="1:8">
      <c r="A237" s="223" t="str">
        <v>Leadership</v>
      </c>
      <c r="B237" s="223" t="str">
        <v>Division Head</v>
      </c>
      <c r="C237" s="197">
        <v>4</v>
      </c>
      <c r="D237" s="228" t="s">
        <v>6782</v>
      </c>
      <c r="E237" s="228" t="s">
        <v>6783</v>
      </c>
      <c r="F237" s="228" t="s">
        <v>6784</v>
      </c>
      <c r="G237" s="229" t="s">
        <v>6785</v>
      </c>
      <c r="H237" s="228" t="s">
        <v>5893</v>
      </c>
    </row>
    <row r="238" spans="1:8" ht="23">
      <c r="A238" s="223" t="str">
        <v>Leadership</v>
      </c>
      <c r="B238" s="223" t="str">
        <v>Director</v>
      </c>
      <c r="C238" s="197">
        <v>1</v>
      </c>
      <c r="D238" s="228" t="s">
        <v>6786</v>
      </c>
      <c r="E238" s="228" t="s">
        <v>6787</v>
      </c>
      <c r="F238" s="228" t="s">
        <v>6788</v>
      </c>
      <c r="G238" s="229" t="s">
        <v>6789</v>
      </c>
      <c r="H238" s="228" t="s">
        <v>6790</v>
      </c>
    </row>
    <row r="239" spans="1:8" ht="34.5">
      <c r="A239" s="223" t="str">
        <v>Leadership</v>
      </c>
      <c r="B239" s="223" t="str">
        <v>Director</v>
      </c>
      <c r="C239" s="197">
        <v>2</v>
      </c>
      <c r="D239" s="228" t="s">
        <v>6791</v>
      </c>
      <c r="E239" s="228" t="s">
        <v>5780</v>
      </c>
      <c r="F239" s="228" t="s">
        <v>5781</v>
      </c>
      <c r="G239" s="229" t="s">
        <v>6792</v>
      </c>
      <c r="H239" s="228" t="s">
        <v>6793</v>
      </c>
    </row>
    <row r="240" spans="1:8" ht="23">
      <c r="A240" s="223" t="str">
        <v>Leadership</v>
      </c>
      <c r="B240" s="223" t="str">
        <v>Director</v>
      </c>
      <c r="C240" s="197">
        <v>3</v>
      </c>
      <c r="D240" s="228" t="s">
        <v>6794</v>
      </c>
      <c r="E240" s="228" t="s">
        <v>6795</v>
      </c>
      <c r="F240" s="228" t="s">
        <v>6796</v>
      </c>
      <c r="G240" s="229" t="s">
        <v>6797</v>
      </c>
      <c r="H240" s="228" t="s">
        <v>6798</v>
      </c>
    </row>
    <row r="241" spans="1:8" ht="23">
      <c r="A241" s="223" t="str">
        <v>Leadership</v>
      </c>
      <c r="B241" s="223" t="str">
        <v>Director</v>
      </c>
      <c r="C241" s="197">
        <v>4</v>
      </c>
      <c r="D241" s="228" t="s">
        <v>6015</v>
      </c>
      <c r="E241" s="228" t="s">
        <v>5785</v>
      </c>
      <c r="F241" s="228" t="s">
        <v>6016</v>
      </c>
      <c r="G241" s="229" t="s">
        <v>6017</v>
      </c>
      <c r="H241" s="228" t="s">
        <v>5788</v>
      </c>
    </row>
    <row r="242" spans="1:8" ht="23">
      <c r="A242" s="223" t="str">
        <v>Developing Others</v>
      </c>
      <c r="B242" s="223" t="str">
        <v>Officer</v>
      </c>
      <c r="C242" s="197">
        <v>1</v>
      </c>
      <c r="D242" s="228" t="s">
        <v>6799</v>
      </c>
      <c r="E242" s="228" t="s">
        <v>6800</v>
      </c>
      <c r="F242" s="228" t="s">
        <v>6801</v>
      </c>
      <c r="G242" s="229" t="s">
        <v>6802</v>
      </c>
      <c r="H242" s="228" t="s">
        <v>6803</v>
      </c>
    </row>
    <row r="243" spans="1:8" ht="23">
      <c r="A243" s="223" t="str">
        <v>Developing Others</v>
      </c>
      <c r="B243" s="223" t="str">
        <v>Officer</v>
      </c>
      <c r="C243" s="197">
        <v>2</v>
      </c>
      <c r="D243" s="228" t="s">
        <v>6804</v>
      </c>
      <c r="E243" s="228" t="s">
        <v>6805</v>
      </c>
      <c r="F243" s="228" t="s">
        <v>6806</v>
      </c>
      <c r="G243" s="229" t="s">
        <v>6807</v>
      </c>
      <c r="H243" s="228" t="s">
        <v>6808</v>
      </c>
    </row>
    <row r="244" spans="1:8" ht="23">
      <c r="A244" s="223" t="str">
        <v>Developing Others</v>
      </c>
      <c r="B244" s="223" t="str">
        <v>Officer</v>
      </c>
      <c r="C244" s="197">
        <v>3</v>
      </c>
      <c r="D244" s="228" t="s">
        <v>6809</v>
      </c>
      <c r="E244" s="228" t="s">
        <v>6810</v>
      </c>
      <c r="F244" s="228" t="s">
        <v>6811</v>
      </c>
      <c r="G244" s="229" t="s">
        <v>6812</v>
      </c>
      <c r="H244" s="228" t="s">
        <v>6813</v>
      </c>
    </row>
    <row r="245" spans="1:8" ht="23">
      <c r="A245" s="223" t="str">
        <v>Developing Others</v>
      </c>
      <c r="B245" s="223" t="str">
        <v>Officer</v>
      </c>
      <c r="C245" s="197">
        <v>4</v>
      </c>
      <c r="D245" s="228" t="s">
        <v>6814</v>
      </c>
      <c r="E245" s="228" t="s">
        <v>6815</v>
      </c>
      <c r="F245" s="228" t="s">
        <v>6816</v>
      </c>
      <c r="G245" s="229" t="s">
        <v>6817</v>
      </c>
      <c r="H245" s="228" t="s">
        <v>6818</v>
      </c>
    </row>
    <row r="246" spans="1:8" ht="23">
      <c r="A246" s="223" t="str">
        <v>Developing Others</v>
      </c>
      <c r="B246" s="223" t="str">
        <v>Analyst</v>
      </c>
      <c r="C246" s="197">
        <v>1</v>
      </c>
      <c r="D246" s="228" t="s">
        <v>6819</v>
      </c>
      <c r="E246" s="228" t="s">
        <v>6820</v>
      </c>
      <c r="F246" s="228" t="s">
        <v>6821</v>
      </c>
      <c r="G246" s="229" t="s">
        <v>6822</v>
      </c>
      <c r="H246" s="228" t="s">
        <v>6823</v>
      </c>
    </row>
    <row r="247" spans="1:8" ht="23">
      <c r="A247" s="223" t="str">
        <v>Developing Others</v>
      </c>
      <c r="B247" s="223" t="str">
        <v>Analyst</v>
      </c>
      <c r="C247" s="197">
        <v>2</v>
      </c>
      <c r="D247" s="228" t="s">
        <v>6824</v>
      </c>
      <c r="E247" s="228" t="s">
        <v>6825</v>
      </c>
      <c r="F247" s="228" t="s">
        <v>6826</v>
      </c>
      <c r="G247" s="229" t="s">
        <v>6827</v>
      </c>
      <c r="H247" s="228" t="s">
        <v>6828</v>
      </c>
    </row>
    <row r="248" spans="1:8" ht="23">
      <c r="A248" s="223" t="str">
        <v>Developing Others</v>
      </c>
      <c r="B248" s="223" t="str">
        <v>Analyst</v>
      </c>
      <c r="C248" s="197">
        <v>3</v>
      </c>
      <c r="D248" s="228" t="s">
        <v>6829</v>
      </c>
      <c r="E248" s="228" t="s">
        <v>6830</v>
      </c>
      <c r="F248" s="228" t="s">
        <v>6831</v>
      </c>
      <c r="G248" s="229" t="s">
        <v>6832</v>
      </c>
      <c r="H248" s="228" t="s">
        <v>6833</v>
      </c>
    </row>
    <row r="249" spans="1:8" ht="23">
      <c r="A249" s="223" t="str">
        <v>Developing Others</v>
      </c>
      <c r="B249" s="223" t="str">
        <v>Analyst</v>
      </c>
      <c r="C249" s="197">
        <v>4</v>
      </c>
      <c r="D249" s="228" t="s">
        <v>6834</v>
      </c>
      <c r="E249" s="228" t="s">
        <v>6835</v>
      </c>
      <c r="F249" s="228" t="s">
        <v>6836</v>
      </c>
      <c r="G249" s="229" t="s">
        <v>6837</v>
      </c>
      <c r="H249" s="228" t="s">
        <v>6838</v>
      </c>
    </row>
    <row r="250" spans="1:8" ht="23">
      <c r="A250" s="223" t="str">
        <v>Developing Others</v>
      </c>
      <c r="B250" s="223" t="str">
        <v>Unit Head/Specialist</v>
      </c>
      <c r="C250" s="197">
        <v>1</v>
      </c>
      <c r="D250" s="228" t="s">
        <v>6839</v>
      </c>
      <c r="E250" s="228" t="s">
        <v>6840</v>
      </c>
      <c r="F250" s="228" t="s">
        <v>6841</v>
      </c>
      <c r="G250" s="229" t="s">
        <v>6842</v>
      </c>
      <c r="H250" s="228" t="s">
        <v>6843</v>
      </c>
    </row>
    <row r="251" spans="1:8" ht="23">
      <c r="A251" s="223" t="str">
        <v>Developing Others</v>
      </c>
      <c r="B251" s="223" t="str">
        <v>Unit Head/Specialist</v>
      </c>
      <c r="C251" s="197">
        <v>2</v>
      </c>
      <c r="D251" s="228" t="s">
        <v>6844</v>
      </c>
      <c r="E251" s="228" t="s">
        <v>6845</v>
      </c>
      <c r="F251" s="228" t="s">
        <v>6846</v>
      </c>
      <c r="G251" s="229" t="s">
        <v>6847</v>
      </c>
      <c r="H251" s="228" t="s">
        <v>6848</v>
      </c>
    </row>
    <row r="252" spans="1:8" ht="23">
      <c r="A252" s="223" t="str">
        <v>Developing Others</v>
      </c>
      <c r="B252" s="223" t="str">
        <v>Unit Head/Specialist</v>
      </c>
      <c r="C252" s="197">
        <v>3</v>
      </c>
      <c r="D252" s="228" t="s">
        <v>6849</v>
      </c>
      <c r="E252" s="228" t="s">
        <v>6850</v>
      </c>
      <c r="F252" s="228" t="s">
        <v>6851</v>
      </c>
      <c r="G252" s="229" t="s">
        <v>6852</v>
      </c>
      <c r="H252" s="228" t="s">
        <v>6853</v>
      </c>
    </row>
    <row r="253" spans="1:8" ht="23">
      <c r="A253" s="223" t="str">
        <v>Developing Others</v>
      </c>
      <c r="B253" s="223" t="str">
        <v>Unit Head/Specialist</v>
      </c>
      <c r="C253" s="197">
        <v>4</v>
      </c>
      <c r="D253" s="228" t="s">
        <v>6854</v>
      </c>
      <c r="E253" s="228" t="s">
        <v>6855</v>
      </c>
      <c r="F253" s="228" t="s">
        <v>6856</v>
      </c>
      <c r="G253" s="229" t="s">
        <v>6857</v>
      </c>
      <c r="H253" s="228" t="s">
        <v>6858</v>
      </c>
    </row>
    <row r="254" spans="1:8" ht="23">
      <c r="A254" s="223" t="str">
        <v>Developing Others</v>
      </c>
      <c r="B254" s="223" t="str">
        <v>Department Head</v>
      </c>
      <c r="C254" s="197">
        <v>1</v>
      </c>
      <c r="D254" s="228" t="s">
        <v>6859</v>
      </c>
      <c r="E254" s="228" t="s">
        <v>6860</v>
      </c>
      <c r="F254" s="228" t="s">
        <v>6861</v>
      </c>
      <c r="G254" s="229" t="s">
        <v>6862</v>
      </c>
      <c r="H254" s="228" t="s">
        <v>6863</v>
      </c>
    </row>
    <row r="255" spans="1:8" ht="23">
      <c r="A255" s="223" t="str">
        <v>Developing Others</v>
      </c>
      <c r="B255" s="223" t="str">
        <v>Department Head</v>
      </c>
      <c r="C255" s="197">
        <v>2</v>
      </c>
      <c r="D255" s="228" t="s">
        <v>6864</v>
      </c>
      <c r="E255" s="228" t="s">
        <v>6865</v>
      </c>
      <c r="F255" s="228" t="s">
        <v>6866</v>
      </c>
      <c r="G255" s="229" t="s">
        <v>6867</v>
      </c>
      <c r="H255" s="228" t="s">
        <v>6868</v>
      </c>
    </row>
    <row r="256" spans="1:8" ht="23">
      <c r="A256" s="223" t="str">
        <v>Developing Others</v>
      </c>
      <c r="B256" s="223" t="str">
        <v>Department Head</v>
      </c>
      <c r="C256" s="197">
        <v>3</v>
      </c>
      <c r="D256" s="228" t="s">
        <v>6869</v>
      </c>
      <c r="E256" s="228" t="s">
        <v>6870</v>
      </c>
      <c r="F256" s="228" t="s">
        <v>6871</v>
      </c>
      <c r="G256" s="229" t="s">
        <v>6872</v>
      </c>
      <c r="H256" s="228" t="s">
        <v>6873</v>
      </c>
    </row>
    <row r="257" spans="1:8" ht="23">
      <c r="A257" s="223" t="str">
        <v>Developing Others</v>
      </c>
      <c r="B257" s="223" t="str">
        <v>Department Head</v>
      </c>
      <c r="C257" s="197">
        <v>4</v>
      </c>
      <c r="D257" s="228" t="s">
        <v>6874</v>
      </c>
      <c r="E257" s="228" t="s">
        <v>6875</v>
      </c>
      <c r="F257" s="228" t="s">
        <v>6876</v>
      </c>
      <c r="G257" s="229" t="s">
        <v>6877</v>
      </c>
      <c r="H257" s="228" t="s">
        <v>6878</v>
      </c>
    </row>
    <row r="258" spans="1:8" ht="23">
      <c r="A258" s="223" t="str">
        <v>Developing Others</v>
      </c>
      <c r="B258" s="223" t="str">
        <v>Division Head</v>
      </c>
      <c r="C258" s="197">
        <v>1</v>
      </c>
      <c r="D258" s="228" t="s">
        <v>6879</v>
      </c>
      <c r="E258" s="228" t="s">
        <v>6880</v>
      </c>
      <c r="F258" s="228" t="s">
        <v>6881</v>
      </c>
      <c r="G258" s="229" t="s">
        <v>6882</v>
      </c>
      <c r="H258" s="228" t="s">
        <v>6883</v>
      </c>
    </row>
    <row r="259" spans="1:8" ht="23">
      <c r="A259" s="223" t="str">
        <v>Developing Others</v>
      </c>
      <c r="B259" s="223" t="str">
        <v>Division Head</v>
      </c>
      <c r="C259" s="197">
        <v>2</v>
      </c>
      <c r="D259" s="228" t="s">
        <v>6884</v>
      </c>
      <c r="E259" s="228" t="s">
        <v>6885</v>
      </c>
      <c r="F259" s="228" t="s">
        <v>6886</v>
      </c>
      <c r="G259" s="229" t="s">
        <v>6887</v>
      </c>
      <c r="H259" s="228" t="s">
        <v>6888</v>
      </c>
    </row>
    <row r="260" spans="1:8" ht="23">
      <c r="A260" s="223" t="str">
        <v>Developing Others</v>
      </c>
      <c r="B260" s="223" t="str">
        <v>Division Head</v>
      </c>
      <c r="C260" s="197">
        <v>3</v>
      </c>
      <c r="D260" s="228" t="s">
        <v>6889</v>
      </c>
      <c r="E260" s="228" t="s">
        <v>6890</v>
      </c>
      <c r="F260" s="228" t="s">
        <v>6891</v>
      </c>
      <c r="G260" s="229" t="s">
        <v>6892</v>
      </c>
      <c r="H260" s="228" t="s">
        <v>6893</v>
      </c>
    </row>
    <row r="261" spans="1:8" ht="23">
      <c r="A261" s="223" t="str">
        <v>Developing Others</v>
      </c>
      <c r="B261" s="223" t="str">
        <v>Division Head</v>
      </c>
      <c r="C261" s="197">
        <v>4</v>
      </c>
      <c r="D261" s="228" t="s">
        <v>6894</v>
      </c>
      <c r="E261" s="228" t="s">
        <v>6895</v>
      </c>
      <c r="F261" s="228" t="s">
        <v>6896</v>
      </c>
      <c r="G261" s="229" t="s">
        <v>6897</v>
      </c>
      <c r="H261" s="228" t="s">
        <v>6898</v>
      </c>
    </row>
    <row r="262" spans="1:8" ht="23">
      <c r="A262" s="223" t="str">
        <v>Developing Others</v>
      </c>
      <c r="B262" s="223" t="str">
        <v>Director</v>
      </c>
      <c r="C262" s="197">
        <v>1</v>
      </c>
      <c r="D262" s="228" t="s">
        <v>6899</v>
      </c>
      <c r="E262" s="228" t="s">
        <v>6900</v>
      </c>
      <c r="F262" s="228" t="s">
        <v>6901</v>
      </c>
      <c r="G262" s="229" t="s">
        <v>6902</v>
      </c>
      <c r="H262" s="228" t="s">
        <v>6903</v>
      </c>
    </row>
    <row r="263" spans="1:8" ht="23">
      <c r="A263" s="223" t="str">
        <v>Developing Others</v>
      </c>
      <c r="B263" s="223" t="str">
        <v>Director</v>
      </c>
      <c r="C263" s="197">
        <v>2</v>
      </c>
      <c r="D263" s="228" t="s">
        <v>6904</v>
      </c>
      <c r="E263" s="228" t="s">
        <v>6905</v>
      </c>
      <c r="F263" s="228" t="s">
        <v>6906</v>
      </c>
      <c r="G263" s="229" t="s">
        <v>6907</v>
      </c>
      <c r="H263" s="228" t="s">
        <v>6908</v>
      </c>
    </row>
    <row r="264" spans="1:8" ht="23">
      <c r="A264" s="223" t="str">
        <v>Developing Others</v>
      </c>
      <c r="B264" s="223" t="str">
        <v>Director</v>
      </c>
      <c r="C264" s="197">
        <v>3</v>
      </c>
      <c r="D264" s="228" t="s">
        <v>6909</v>
      </c>
      <c r="E264" s="228" t="s">
        <v>6910</v>
      </c>
      <c r="F264" s="228" t="s">
        <v>6911</v>
      </c>
      <c r="G264" s="229" t="s">
        <v>6912</v>
      </c>
      <c r="H264" s="228" t="s">
        <v>6913</v>
      </c>
    </row>
    <row r="265" spans="1:8" ht="23">
      <c r="A265" s="223" t="str">
        <v>Developing Others</v>
      </c>
      <c r="B265" s="223" t="str">
        <v>Director</v>
      </c>
      <c r="C265" s="197">
        <v>4</v>
      </c>
      <c r="D265" s="228" t="s">
        <v>6914</v>
      </c>
      <c r="E265" s="228" t="s">
        <v>6915</v>
      </c>
      <c r="F265" s="228" t="s">
        <v>6916</v>
      </c>
      <c r="G265" s="229" t="s">
        <v>6917</v>
      </c>
      <c r="H265" s="228" t="s">
        <v>6918</v>
      </c>
    </row>
    <row r="266" spans="1:8" ht="23">
      <c r="A266" s="223" t="str">
        <v>Team Work</v>
      </c>
      <c r="B266" s="223" t="str">
        <v>Officer</v>
      </c>
      <c r="C266" s="197">
        <v>1</v>
      </c>
      <c r="D266" s="228" t="s">
        <v>6919</v>
      </c>
      <c r="E266" s="228" t="s">
        <v>6920</v>
      </c>
      <c r="F266" s="228" t="s">
        <v>6921</v>
      </c>
      <c r="G266" s="229" t="s">
        <v>6922</v>
      </c>
      <c r="H266" s="228" t="s">
        <v>6923</v>
      </c>
    </row>
    <row r="267" spans="1:8" ht="23">
      <c r="A267" s="223" t="str">
        <v>Team Work</v>
      </c>
      <c r="B267" s="223" t="str">
        <v>Officer</v>
      </c>
      <c r="C267" s="197">
        <v>2</v>
      </c>
      <c r="D267" s="228" t="s">
        <v>6924</v>
      </c>
      <c r="E267" s="228" t="s">
        <v>6925</v>
      </c>
      <c r="F267" s="228" t="s">
        <v>6926</v>
      </c>
      <c r="G267" s="229" t="s">
        <v>6927</v>
      </c>
      <c r="H267" s="228" t="s">
        <v>6928</v>
      </c>
    </row>
    <row r="268" spans="1:8" ht="23">
      <c r="A268" s="223" t="str">
        <v>Team Work</v>
      </c>
      <c r="B268" s="223" t="str">
        <v>Officer</v>
      </c>
      <c r="C268" s="197">
        <v>3</v>
      </c>
      <c r="D268" s="228" t="s">
        <v>6929</v>
      </c>
      <c r="E268" s="228" t="s">
        <v>6930</v>
      </c>
      <c r="F268" s="228" t="s">
        <v>6931</v>
      </c>
      <c r="G268" s="229" t="s">
        <v>6932</v>
      </c>
      <c r="H268" s="228" t="s">
        <v>6933</v>
      </c>
    </row>
    <row r="269" spans="1:8" ht="23">
      <c r="A269" s="223" t="str">
        <v>Team Work</v>
      </c>
      <c r="B269" s="223" t="str">
        <v>Officer</v>
      </c>
      <c r="C269" s="197">
        <v>4</v>
      </c>
      <c r="D269" s="228" t="s">
        <v>6934</v>
      </c>
      <c r="E269" s="228" t="s">
        <v>6935</v>
      </c>
      <c r="F269" s="228" t="s">
        <v>6936</v>
      </c>
      <c r="G269" s="229" t="s">
        <v>6937</v>
      </c>
      <c r="H269" s="228" t="s">
        <v>6938</v>
      </c>
    </row>
    <row r="270" spans="1:8" ht="23">
      <c r="A270" s="223" t="str">
        <v>Team Work</v>
      </c>
      <c r="B270" s="223" t="str">
        <v>Analyst</v>
      </c>
      <c r="C270" s="197">
        <v>1</v>
      </c>
      <c r="D270" s="228" t="s">
        <v>6939</v>
      </c>
      <c r="E270" s="228" t="s">
        <v>6940</v>
      </c>
      <c r="F270" s="228" t="s">
        <v>6941</v>
      </c>
      <c r="G270" s="229" t="s">
        <v>6942</v>
      </c>
      <c r="H270" s="228" t="s">
        <v>6943</v>
      </c>
    </row>
    <row r="271" spans="1:8" ht="34.5">
      <c r="A271" s="223" t="str">
        <v>Team Work</v>
      </c>
      <c r="B271" s="223" t="str">
        <v>Analyst</v>
      </c>
      <c r="C271" s="197">
        <v>2</v>
      </c>
      <c r="D271" s="228" t="s">
        <v>6944</v>
      </c>
      <c r="E271" s="228" t="s">
        <v>6945</v>
      </c>
      <c r="F271" s="228" t="s">
        <v>6946</v>
      </c>
      <c r="G271" s="229" t="s">
        <v>6947</v>
      </c>
      <c r="H271" s="228" t="s">
        <v>6948</v>
      </c>
    </row>
    <row r="272" spans="1:8" ht="23">
      <c r="A272" s="223" t="str">
        <v>Team Work</v>
      </c>
      <c r="B272" s="223" t="str">
        <v>Analyst</v>
      </c>
      <c r="C272" s="197">
        <v>3</v>
      </c>
      <c r="D272" s="228" t="s">
        <v>6949</v>
      </c>
      <c r="E272" s="228" t="s">
        <v>6950</v>
      </c>
      <c r="F272" s="228" t="s">
        <v>6951</v>
      </c>
      <c r="G272" s="229" t="s">
        <v>6952</v>
      </c>
      <c r="H272" s="228" t="s">
        <v>6953</v>
      </c>
    </row>
    <row r="273" spans="1:8" ht="23">
      <c r="A273" s="223" t="str">
        <v>Team Work</v>
      </c>
      <c r="B273" s="223" t="str">
        <v>Analyst</v>
      </c>
      <c r="C273" s="197">
        <v>4</v>
      </c>
      <c r="D273" s="228" t="s">
        <v>6954</v>
      </c>
      <c r="E273" s="228" t="s">
        <v>6955</v>
      </c>
      <c r="F273" s="228" t="s">
        <v>6956</v>
      </c>
      <c r="G273" s="229" t="s">
        <v>6957</v>
      </c>
      <c r="H273" s="228" t="s">
        <v>6958</v>
      </c>
    </row>
    <row r="274" spans="1:8" ht="34.5">
      <c r="A274" s="223" t="str">
        <v>Team Work</v>
      </c>
      <c r="B274" s="223" t="str">
        <v>Unit Head/Specialist</v>
      </c>
      <c r="C274" s="197">
        <v>1</v>
      </c>
      <c r="D274" s="228" t="s">
        <v>6959</v>
      </c>
      <c r="E274" s="228" t="s">
        <v>6960</v>
      </c>
      <c r="F274" s="228" t="s">
        <v>6961</v>
      </c>
      <c r="G274" s="229" t="s">
        <v>6962</v>
      </c>
      <c r="H274" s="228" t="s">
        <v>6963</v>
      </c>
    </row>
    <row r="275" spans="1:8" ht="34.5">
      <c r="A275" s="223" t="str">
        <v>Team Work</v>
      </c>
      <c r="B275" s="223" t="str">
        <v>Unit Head/Specialist</v>
      </c>
      <c r="C275" s="197">
        <v>2</v>
      </c>
      <c r="D275" s="228" t="s">
        <v>6964</v>
      </c>
      <c r="E275" s="228" t="s">
        <v>6965</v>
      </c>
      <c r="F275" s="228" t="s">
        <v>6966</v>
      </c>
      <c r="G275" s="229" t="s">
        <v>6967</v>
      </c>
      <c r="H275" s="228" t="s">
        <v>6968</v>
      </c>
    </row>
    <row r="276" spans="1:8" ht="34.5">
      <c r="A276" s="223" t="str">
        <v>Team Work</v>
      </c>
      <c r="B276" s="223" t="str">
        <v>Unit Head/Specialist</v>
      </c>
      <c r="C276" s="197">
        <v>3</v>
      </c>
      <c r="D276" s="228" t="s">
        <v>6969</v>
      </c>
      <c r="E276" s="228" t="s">
        <v>6970</v>
      </c>
      <c r="F276" s="228" t="s">
        <v>6971</v>
      </c>
      <c r="G276" s="229" t="s">
        <v>6972</v>
      </c>
      <c r="H276" s="228" t="s">
        <v>6973</v>
      </c>
    </row>
    <row r="277" spans="1:8" ht="34.5">
      <c r="A277" s="223" t="str">
        <v>Team Work</v>
      </c>
      <c r="B277" s="223" t="str">
        <v>Unit Head/Specialist</v>
      </c>
      <c r="C277" s="197">
        <v>4</v>
      </c>
      <c r="D277" s="228" t="s">
        <v>6974</v>
      </c>
      <c r="E277" s="228" t="s">
        <v>6975</v>
      </c>
      <c r="F277" s="228" t="s">
        <v>6976</v>
      </c>
      <c r="G277" s="229" t="s">
        <v>6977</v>
      </c>
      <c r="H277" s="228" t="s">
        <v>6978</v>
      </c>
    </row>
    <row r="278" spans="1:8" ht="23">
      <c r="A278" s="223" t="str">
        <v>Team Work</v>
      </c>
      <c r="B278" s="223" t="str">
        <v>Department Head</v>
      </c>
      <c r="C278" s="197">
        <v>1</v>
      </c>
      <c r="D278" s="228" t="s">
        <v>6979</v>
      </c>
      <c r="E278" s="228" t="s">
        <v>6083</v>
      </c>
      <c r="F278" s="228" t="s">
        <v>6980</v>
      </c>
      <c r="G278" s="229" t="s">
        <v>6981</v>
      </c>
      <c r="H278" s="228" t="s">
        <v>6982</v>
      </c>
    </row>
    <row r="279" spans="1:8" ht="34.5">
      <c r="A279" s="223" t="str">
        <v>Team Work</v>
      </c>
      <c r="B279" s="223" t="str">
        <v>Department Head</v>
      </c>
      <c r="C279" s="197">
        <v>2</v>
      </c>
      <c r="D279" s="228" t="s">
        <v>6983</v>
      </c>
      <c r="E279" s="228" t="s">
        <v>6984</v>
      </c>
      <c r="F279" s="228" t="s">
        <v>6985</v>
      </c>
      <c r="G279" s="229" t="s">
        <v>6986</v>
      </c>
      <c r="H279" s="228" t="s">
        <v>6987</v>
      </c>
    </row>
    <row r="280" spans="1:8" ht="23">
      <c r="A280" s="223" t="str">
        <v>Team Work</v>
      </c>
      <c r="B280" s="223" t="str">
        <v>Department Head</v>
      </c>
      <c r="C280" s="197">
        <v>3</v>
      </c>
      <c r="D280" s="228" t="s">
        <v>6988</v>
      </c>
      <c r="E280" s="228" t="s">
        <v>6093</v>
      </c>
      <c r="F280" s="228" t="s">
        <v>6989</v>
      </c>
      <c r="G280" s="229" t="s">
        <v>6990</v>
      </c>
      <c r="H280" s="228" t="s">
        <v>6991</v>
      </c>
    </row>
    <row r="281" spans="1:8" ht="23">
      <c r="A281" s="223" t="str">
        <v>Team Work</v>
      </c>
      <c r="B281" s="223" t="str">
        <v>Department Head</v>
      </c>
      <c r="C281" s="197">
        <v>4</v>
      </c>
      <c r="D281" s="228" t="s">
        <v>6992</v>
      </c>
      <c r="E281" s="228" t="s">
        <v>6993</v>
      </c>
      <c r="F281" s="228" t="s">
        <v>6994</v>
      </c>
      <c r="G281" s="229" t="s">
        <v>6995</v>
      </c>
      <c r="H281" s="228" t="s">
        <v>6996</v>
      </c>
    </row>
    <row r="282" spans="1:8" ht="23">
      <c r="A282" s="223" t="str">
        <v>Team Work</v>
      </c>
      <c r="B282" s="223" t="str">
        <v>Division Head</v>
      </c>
      <c r="C282" s="197">
        <v>1</v>
      </c>
      <c r="D282" s="228" t="s">
        <v>6997</v>
      </c>
      <c r="E282" s="228" t="s">
        <v>6998</v>
      </c>
      <c r="F282" s="228" t="s">
        <v>6999</v>
      </c>
      <c r="G282" s="229" t="s">
        <v>7000</v>
      </c>
      <c r="H282" s="228" t="s">
        <v>7001</v>
      </c>
    </row>
    <row r="283" spans="1:8" ht="23">
      <c r="A283" s="223" t="str">
        <v>Team Work</v>
      </c>
      <c r="B283" s="223" t="str">
        <v>Division Head</v>
      </c>
      <c r="C283" s="197">
        <v>2</v>
      </c>
      <c r="D283" s="228" t="s">
        <v>7002</v>
      </c>
      <c r="E283" s="228" t="s">
        <v>7003</v>
      </c>
      <c r="F283" s="228" t="s">
        <v>7004</v>
      </c>
      <c r="G283" s="229" t="s">
        <v>7005</v>
      </c>
      <c r="H283" s="228" t="s">
        <v>7006</v>
      </c>
    </row>
    <row r="284" spans="1:8" ht="23">
      <c r="A284" s="223" t="str">
        <v>Team Work</v>
      </c>
      <c r="B284" s="223" t="str">
        <v>Division Head</v>
      </c>
      <c r="C284" s="197">
        <v>3</v>
      </c>
      <c r="D284" s="228" t="s">
        <v>7007</v>
      </c>
      <c r="E284" s="228" t="s">
        <v>7008</v>
      </c>
      <c r="F284" s="228" t="s">
        <v>7009</v>
      </c>
      <c r="G284" s="229" t="s">
        <v>7010</v>
      </c>
      <c r="H284" s="228" t="s">
        <v>7011</v>
      </c>
    </row>
    <row r="285" spans="1:8" ht="23">
      <c r="A285" s="223" t="str">
        <v>Team Work</v>
      </c>
      <c r="B285" s="223" t="str">
        <v>Division Head</v>
      </c>
      <c r="C285" s="197">
        <v>4</v>
      </c>
      <c r="D285" s="228" t="s">
        <v>7012</v>
      </c>
      <c r="E285" s="228" t="s">
        <v>7013</v>
      </c>
      <c r="F285" s="228" t="s">
        <v>7014</v>
      </c>
      <c r="G285" s="229" t="s">
        <v>7015</v>
      </c>
      <c r="H285" s="228" t="s">
        <v>7016</v>
      </c>
    </row>
    <row r="286" spans="1:8" ht="23">
      <c r="A286" s="223" t="str">
        <v>Team Work</v>
      </c>
      <c r="B286" s="223" t="str">
        <v>Director</v>
      </c>
      <c r="C286" s="197">
        <v>1</v>
      </c>
      <c r="D286" s="228" t="s">
        <v>7017</v>
      </c>
      <c r="E286" s="228" t="s">
        <v>6787</v>
      </c>
      <c r="F286" s="228" t="s">
        <v>7018</v>
      </c>
      <c r="G286" s="229" t="s">
        <v>7019</v>
      </c>
      <c r="H286" s="228" t="s">
        <v>7020</v>
      </c>
    </row>
    <row r="287" spans="1:8" ht="23">
      <c r="A287" s="223" t="str">
        <v>Team Work</v>
      </c>
      <c r="B287" s="223" t="str">
        <v>Director</v>
      </c>
      <c r="C287" s="197">
        <v>2</v>
      </c>
      <c r="D287" s="228" t="s">
        <v>7021</v>
      </c>
      <c r="E287" s="228" t="s">
        <v>7022</v>
      </c>
      <c r="F287" s="228" t="s">
        <v>7023</v>
      </c>
      <c r="G287" s="229" t="s">
        <v>7024</v>
      </c>
      <c r="H287" s="228" t="s">
        <v>7025</v>
      </c>
    </row>
    <row r="288" spans="1:8" ht="23">
      <c r="A288" s="223" t="str">
        <v>Team Work</v>
      </c>
      <c r="B288" s="223" t="str">
        <v>Director</v>
      </c>
      <c r="C288" s="197">
        <v>3</v>
      </c>
      <c r="D288" s="228" t="s">
        <v>7026</v>
      </c>
      <c r="E288" s="228" t="s">
        <v>7027</v>
      </c>
      <c r="F288" s="228" t="s">
        <v>7028</v>
      </c>
      <c r="G288" s="229" t="s">
        <v>7029</v>
      </c>
      <c r="H288" s="228" t="s">
        <v>7030</v>
      </c>
    </row>
    <row r="289" spans="1:8" ht="34.5">
      <c r="A289" s="223" t="str">
        <v>Team Work</v>
      </c>
      <c r="B289" s="223" t="str">
        <v>Director</v>
      </c>
      <c r="C289" s="197">
        <v>4</v>
      </c>
      <c r="D289" s="228" t="s">
        <v>7031</v>
      </c>
      <c r="E289" s="228" t="s">
        <v>7032</v>
      </c>
      <c r="F289" s="228" t="s">
        <v>7033</v>
      </c>
      <c r="G289" s="229" t="s">
        <v>7034</v>
      </c>
      <c r="H289" s="228" t="s">
        <v>7035</v>
      </c>
    </row>
    <row r="290" spans="1:8" ht="34.5">
      <c r="A290" s="223" t="str">
        <v>Communication &amp; Deal with Others</v>
      </c>
      <c r="B290" s="223" t="str">
        <v>Officer</v>
      </c>
      <c r="C290" s="197">
        <v>1</v>
      </c>
      <c r="D290" s="228" t="s">
        <v>7036</v>
      </c>
      <c r="E290" s="228" t="s">
        <v>7037</v>
      </c>
      <c r="F290" s="228" t="s">
        <v>7038</v>
      </c>
      <c r="G290" s="229" t="s">
        <v>7039</v>
      </c>
      <c r="H290" s="228" t="s">
        <v>7040</v>
      </c>
    </row>
    <row r="291" spans="1:8" ht="34.5">
      <c r="A291" s="223" t="str">
        <v>Communication &amp; Deal with Others</v>
      </c>
      <c r="B291" s="223" t="str">
        <v>Officer</v>
      </c>
      <c r="C291" s="197">
        <v>2</v>
      </c>
      <c r="D291" s="228" t="s">
        <v>7041</v>
      </c>
      <c r="E291" s="228" t="s">
        <v>7042</v>
      </c>
      <c r="F291" s="228" t="s">
        <v>7043</v>
      </c>
      <c r="G291" s="229" t="s">
        <v>7044</v>
      </c>
      <c r="H291" s="228" t="s">
        <v>7045</v>
      </c>
    </row>
    <row r="292" spans="1:8" ht="34.5">
      <c r="A292" s="223" t="str">
        <v>Communication &amp; Deal with Others</v>
      </c>
      <c r="B292" s="223" t="str">
        <v>Officer</v>
      </c>
      <c r="C292" s="197">
        <v>3</v>
      </c>
      <c r="D292" s="228" t="s">
        <v>7046</v>
      </c>
      <c r="E292" s="228" t="s">
        <v>7047</v>
      </c>
      <c r="F292" s="228" t="s">
        <v>7048</v>
      </c>
      <c r="G292" s="229" t="s">
        <v>7049</v>
      </c>
      <c r="H292" s="228" t="s">
        <v>7050</v>
      </c>
    </row>
    <row r="293" spans="1:8" ht="34.5">
      <c r="A293" s="223" t="str">
        <v>Communication &amp; Deal with Others</v>
      </c>
      <c r="B293" s="223" t="str">
        <v>Officer</v>
      </c>
      <c r="C293" s="197">
        <v>4</v>
      </c>
      <c r="D293" s="228" t="s">
        <v>7051</v>
      </c>
      <c r="E293" s="228" t="s">
        <v>7052</v>
      </c>
      <c r="F293" s="228" t="s">
        <v>7053</v>
      </c>
      <c r="G293" s="229" t="s">
        <v>7054</v>
      </c>
      <c r="H293" s="228" t="s">
        <v>7055</v>
      </c>
    </row>
    <row r="294" spans="1:8" ht="34.5">
      <c r="A294" s="223" t="str">
        <v>Communication &amp; Deal with Others</v>
      </c>
      <c r="B294" s="223" t="str">
        <v>Analyst</v>
      </c>
      <c r="C294" s="197">
        <v>1</v>
      </c>
      <c r="D294" s="228" t="s">
        <v>7056</v>
      </c>
      <c r="E294" s="228" t="s">
        <v>7057</v>
      </c>
      <c r="F294" s="228" t="s">
        <v>7058</v>
      </c>
      <c r="G294" s="229" t="s">
        <v>7059</v>
      </c>
      <c r="H294" s="228" t="s">
        <v>7060</v>
      </c>
    </row>
    <row r="295" spans="1:8" ht="46">
      <c r="A295" s="223" t="str">
        <v>Communication &amp; Deal with Others</v>
      </c>
      <c r="B295" s="223" t="str">
        <v>Analyst</v>
      </c>
      <c r="C295" s="197">
        <v>2</v>
      </c>
      <c r="D295" s="228" t="s">
        <v>7061</v>
      </c>
      <c r="E295" s="228" t="s">
        <v>7062</v>
      </c>
      <c r="F295" s="228" t="s">
        <v>6510</v>
      </c>
      <c r="G295" s="229" t="s">
        <v>7063</v>
      </c>
      <c r="H295" s="228" t="s">
        <v>7064</v>
      </c>
    </row>
    <row r="296" spans="1:8" ht="34.5">
      <c r="A296" s="223" t="str">
        <v>Communication &amp; Deal with Others</v>
      </c>
      <c r="B296" s="223" t="str">
        <v>Analyst</v>
      </c>
      <c r="C296" s="197">
        <v>3</v>
      </c>
      <c r="D296" s="228" t="s">
        <v>7065</v>
      </c>
      <c r="E296" s="228" t="s">
        <v>7066</v>
      </c>
      <c r="F296" s="228" t="s">
        <v>7067</v>
      </c>
      <c r="G296" s="229" t="s">
        <v>7068</v>
      </c>
      <c r="H296" s="228" t="s">
        <v>7069</v>
      </c>
    </row>
    <row r="297" spans="1:8" ht="34.5">
      <c r="A297" s="223" t="str">
        <v>Communication &amp; Deal with Others</v>
      </c>
      <c r="B297" s="223" t="str">
        <v>Analyst</v>
      </c>
      <c r="C297" s="197">
        <v>4</v>
      </c>
      <c r="D297" s="228" t="s">
        <v>7070</v>
      </c>
      <c r="E297" s="228" t="s">
        <v>7071</v>
      </c>
      <c r="F297" s="228" t="s">
        <v>7072</v>
      </c>
      <c r="G297" s="229" t="s">
        <v>6521</v>
      </c>
      <c r="H297" s="228" t="s">
        <v>7073</v>
      </c>
    </row>
    <row r="298" spans="1:8" ht="34.5">
      <c r="A298" s="223" t="str">
        <v>Communication &amp; Deal with Others</v>
      </c>
      <c r="B298" s="223" t="str">
        <v>Unit Head/Specialist</v>
      </c>
      <c r="C298" s="197">
        <v>1</v>
      </c>
      <c r="D298" s="228" t="s">
        <v>7074</v>
      </c>
      <c r="E298" s="228" t="s">
        <v>7075</v>
      </c>
      <c r="F298" s="228" t="s">
        <v>7076</v>
      </c>
      <c r="G298" s="229" t="s">
        <v>7077</v>
      </c>
      <c r="H298" s="228" t="s">
        <v>7078</v>
      </c>
    </row>
    <row r="299" spans="1:8" ht="46">
      <c r="A299" s="223" t="str">
        <v>Communication &amp; Deal with Others</v>
      </c>
      <c r="B299" s="223" t="str">
        <v>Unit Head/Specialist</v>
      </c>
      <c r="C299" s="197">
        <v>2</v>
      </c>
      <c r="D299" s="228" t="s">
        <v>7079</v>
      </c>
      <c r="E299" s="228" t="s">
        <v>7080</v>
      </c>
      <c r="F299" s="228" t="s">
        <v>7081</v>
      </c>
      <c r="G299" s="229" t="s">
        <v>7082</v>
      </c>
      <c r="H299" s="228" t="s">
        <v>7083</v>
      </c>
    </row>
    <row r="300" spans="1:8" ht="34.5">
      <c r="A300" s="223" t="str">
        <v>Communication &amp; Deal with Others</v>
      </c>
      <c r="B300" s="223" t="str">
        <v>Unit Head/Specialist</v>
      </c>
      <c r="C300" s="197">
        <v>3</v>
      </c>
      <c r="D300" s="228" t="s">
        <v>7084</v>
      </c>
      <c r="E300" s="228" t="s">
        <v>7085</v>
      </c>
      <c r="F300" s="228" t="s">
        <v>7086</v>
      </c>
      <c r="G300" s="229" t="s">
        <v>7087</v>
      </c>
      <c r="H300" s="228" t="s">
        <v>7088</v>
      </c>
    </row>
    <row r="301" spans="1:8" ht="34.5">
      <c r="A301" s="223" t="str">
        <v>Communication &amp; Deal with Others</v>
      </c>
      <c r="B301" s="223" t="str">
        <v>Unit Head/Specialist</v>
      </c>
      <c r="C301" s="197">
        <v>4</v>
      </c>
      <c r="D301" s="228" t="s">
        <v>7089</v>
      </c>
      <c r="E301" s="228" t="s">
        <v>7090</v>
      </c>
      <c r="F301" s="228" t="s">
        <v>7091</v>
      </c>
      <c r="G301" s="229" t="s">
        <v>7092</v>
      </c>
      <c r="H301" s="228" t="s">
        <v>7093</v>
      </c>
    </row>
    <row r="302" spans="1:8" ht="34.5">
      <c r="A302" s="223" t="str">
        <v>Communication &amp; Deal with Others</v>
      </c>
      <c r="B302" s="223" t="str">
        <v>Department Head</v>
      </c>
      <c r="C302" s="197">
        <v>1</v>
      </c>
      <c r="D302" s="228" t="s">
        <v>7094</v>
      </c>
      <c r="E302" s="228" t="s">
        <v>7095</v>
      </c>
      <c r="F302" s="228" t="s">
        <v>7096</v>
      </c>
      <c r="G302" s="229" t="s">
        <v>7097</v>
      </c>
      <c r="H302" s="228" t="s">
        <v>7098</v>
      </c>
    </row>
    <row r="303" spans="1:8" ht="34.5">
      <c r="A303" s="223" t="str">
        <v>Communication &amp; Deal with Others</v>
      </c>
      <c r="B303" s="223" t="str">
        <v>Department Head</v>
      </c>
      <c r="C303" s="197">
        <v>2</v>
      </c>
      <c r="D303" s="228" t="s">
        <v>7099</v>
      </c>
      <c r="E303" s="228" t="s">
        <v>7100</v>
      </c>
      <c r="F303" s="228" t="s">
        <v>7101</v>
      </c>
      <c r="G303" s="229" t="s">
        <v>7102</v>
      </c>
      <c r="H303" s="228" t="s">
        <v>7103</v>
      </c>
    </row>
    <row r="304" spans="1:8" ht="34.5">
      <c r="A304" s="223" t="str">
        <v>Communication &amp; Deal with Others</v>
      </c>
      <c r="B304" s="223" t="str">
        <v>Department Head</v>
      </c>
      <c r="C304" s="197">
        <v>3</v>
      </c>
      <c r="D304" s="228" t="s">
        <v>7104</v>
      </c>
      <c r="E304" s="228" t="s">
        <v>7105</v>
      </c>
      <c r="F304" s="228" t="s">
        <v>7106</v>
      </c>
      <c r="G304" s="229" t="s">
        <v>7107</v>
      </c>
      <c r="H304" s="228" t="s">
        <v>7108</v>
      </c>
    </row>
    <row r="305" spans="1:8" ht="46">
      <c r="A305" s="223" t="str">
        <v>Communication &amp; Deal with Others</v>
      </c>
      <c r="B305" s="223" t="str">
        <v>Department Head</v>
      </c>
      <c r="C305" s="197">
        <v>4</v>
      </c>
      <c r="D305" s="228" t="s">
        <v>7109</v>
      </c>
      <c r="E305" s="228" t="s">
        <v>7110</v>
      </c>
      <c r="F305" s="228" t="s">
        <v>7111</v>
      </c>
      <c r="G305" s="229" t="s">
        <v>7112</v>
      </c>
      <c r="H305" s="228" t="s">
        <v>7113</v>
      </c>
    </row>
    <row r="306" spans="1:8" ht="46">
      <c r="A306" s="223" t="str">
        <v>Communication &amp; Deal with Others</v>
      </c>
      <c r="B306" s="223" t="str">
        <v>Division Head</v>
      </c>
      <c r="C306" s="197">
        <v>1</v>
      </c>
      <c r="D306" s="228" t="s">
        <v>7114</v>
      </c>
      <c r="E306" s="228" t="s">
        <v>7115</v>
      </c>
      <c r="F306" s="228" t="s">
        <v>7116</v>
      </c>
      <c r="G306" s="229" t="s">
        <v>7117</v>
      </c>
      <c r="H306" s="228" t="s">
        <v>7118</v>
      </c>
    </row>
    <row r="307" spans="1:8" ht="46">
      <c r="A307" s="223" t="str">
        <v>Communication &amp; Deal with Others</v>
      </c>
      <c r="B307" s="223" t="str">
        <v>Division Head</v>
      </c>
      <c r="C307" s="197">
        <v>2</v>
      </c>
      <c r="D307" s="228" t="s">
        <v>7119</v>
      </c>
      <c r="E307" s="228" t="s">
        <v>7120</v>
      </c>
      <c r="F307" s="228" t="s">
        <v>7121</v>
      </c>
      <c r="G307" s="229" t="s">
        <v>7122</v>
      </c>
      <c r="H307" s="228" t="s">
        <v>7123</v>
      </c>
    </row>
    <row r="308" spans="1:8" ht="34.5">
      <c r="A308" s="223" t="str">
        <v>Communication &amp; Deal with Others</v>
      </c>
      <c r="B308" s="223" t="str">
        <v>Division Head</v>
      </c>
      <c r="C308" s="197">
        <v>3</v>
      </c>
      <c r="D308" s="228" t="s">
        <v>7124</v>
      </c>
      <c r="E308" s="228" t="s">
        <v>7125</v>
      </c>
      <c r="F308" s="228" t="s">
        <v>7126</v>
      </c>
      <c r="G308" s="229" t="s">
        <v>7127</v>
      </c>
      <c r="H308" s="228" t="s">
        <v>7128</v>
      </c>
    </row>
    <row r="309" spans="1:8" ht="34.5">
      <c r="A309" s="223" t="str">
        <v>Communication &amp; Deal with Others</v>
      </c>
      <c r="B309" s="223" t="str">
        <v>Division Head</v>
      </c>
      <c r="C309" s="197">
        <v>4</v>
      </c>
      <c r="D309" s="228" t="s">
        <v>7129</v>
      </c>
      <c r="E309" s="228" t="s">
        <v>7130</v>
      </c>
      <c r="F309" s="228" t="s">
        <v>7131</v>
      </c>
      <c r="G309" s="229" t="s">
        <v>7132</v>
      </c>
      <c r="H309" s="228" t="s">
        <v>7133</v>
      </c>
    </row>
    <row r="310" spans="1:8" ht="34.5">
      <c r="A310" s="223" t="str">
        <v>Communication &amp; Deal with Others</v>
      </c>
      <c r="B310" s="223" t="str">
        <v>Director</v>
      </c>
      <c r="C310" s="197">
        <v>1</v>
      </c>
      <c r="D310" s="228" t="s">
        <v>7134</v>
      </c>
      <c r="E310" s="228" t="s">
        <v>7135</v>
      </c>
      <c r="F310" s="228" t="s">
        <v>7136</v>
      </c>
      <c r="G310" s="229" t="s">
        <v>7137</v>
      </c>
      <c r="H310" s="228" t="s">
        <v>7138</v>
      </c>
    </row>
    <row r="311" spans="1:8" ht="34.5">
      <c r="A311" s="223" t="str">
        <v>Communication &amp; Deal with Others</v>
      </c>
      <c r="B311" s="223" t="str">
        <v>Director</v>
      </c>
      <c r="C311" s="197">
        <v>2</v>
      </c>
      <c r="D311" s="228" t="s">
        <v>7139</v>
      </c>
      <c r="E311" s="228" t="s">
        <v>7140</v>
      </c>
      <c r="F311" s="228" t="s">
        <v>7141</v>
      </c>
      <c r="G311" s="229" t="s">
        <v>7142</v>
      </c>
      <c r="H311" s="228" t="s">
        <v>7143</v>
      </c>
    </row>
    <row r="312" spans="1:8" ht="46">
      <c r="A312" s="223" t="str">
        <v>Communication &amp; Deal with Others</v>
      </c>
      <c r="B312" s="223" t="str">
        <v>Director</v>
      </c>
      <c r="C312" s="197">
        <v>3</v>
      </c>
      <c r="D312" s="228" t="s">
        <v>7144</v>
      </c>
      <c r="E312" s="228" t="s">
        <v>7145</v>
      </c>
      <c r="F312" s="228" t="s">
        <v>7146</v>
      </c>
      <c r="G312" s="229" t="s">
        <v>7147</v>
      </c>
      <c r="H312" s="228" t="s">
        <v>7148</v>
      </c>
    </row>
    <row r="313" spans="1:8" ht="46">
      <c r="A313" s="223" t="str">
        <v>Communication &amp; Deal with Others</v>
      </c>
      <c r="B313" s="223" t="str">
        <v>Director</v>
      </c>
      <c r="C313" s="197">
        <v>4</v>
      </c>
      <c r="D313" s="228" t="s">
        <v>7149</v>
      </c>
      <c r="E313" s="228" t="s">
        <v>7150</v>
      </c>
      <c r="F313" s="228" t="s">
        <v>7151</v>
      </c>
      <c r="G313" s="229" t="s">
        <v>7152</v>
      </c>
      <c r="H313" s="228" t="s">
        <v>7153</v>
      </c>
    </row>
    <row r="314" spans="1:8" ht="34.5">
      <c r="A314" s="223" t="str">
        <v>Customer Focus</v>
      </c>
      <c r="B314" s="223" t="str">
        <v>Officer</v>
      </c>
      <c r="C314" s="197">
        <v>1</v>
      </c>
      <c r="D314" s="228" t="s">
        <v>7154</v>
      </c>
      <c r="E314" s="228" t="s">
        <v>7155</v>
      </c>
      <c r="F314" s="228" t="s">
        <v>7156</v>
      </c>
      <c r="G314" s="229" t="s">
        <v>7157</v>
      </c>
      <c r="H314" s="228" t="s">
        <v>7158</v>
      </c>
    </row>
    <row r="315" spans="1:8" ht="34.5">
      <c r="A315" s="223" t="str">
        <v>Customer Focus</v>
      </c>
      <c r="B315" s="223" t="str">
        <v>Officer</v>
      </c>
      <c r="C315" s="197">
        <v>2</v>
      </c>
      <c r="D315" s="228" t="s">
        <v>7159</v>
      </c>
      <c r="E315" s="228" t="s">
        <v>7160</v>
      </c>
      <c r="F315" s="228" t="s">
        <v>7161</v>
      </c>
      <c r="G315" s="229" t="s">
        <v>7162</v>
      </c>
      <c r="H315" s="228" t="s">
        <v>7163</v>
      </c>
    </row>
    <row r="316" spans="1:8" ht="34.5">
      <c r="A316" s="223" t="str">
        <v>Customer Focus</v>
      </c>
      <c r="B316" s="223" t="str">
        <v>Officer</v>
      </c>
      <c r="C316" s="197">
        <v>3</v>
      </c>
      <c r="D316" s="228" t="s">
        <v>7164</v>
      </c>
      <c r="E316" s="228" t="s">
        <v>7165</v>
      </c>
      <c r="F316" s="228" t="s">
        <v>7166</v>
      </c>
      <c r="G316" s="229" t="s">
        <v>7167</v>
      </c>
      <c r="H316" s="228" t="s">
        <v>7168</v>
      </c>
    </row>
    <row r="317" spans="1:8" ht="46">
      <c r="A317" s="223" t="str">
        <v>Customer Focus</v>
      </c>
      <c r="B317" s="223" t="str">
        <v>Officer</v>
      </c>
      <c r="C317" s="197">
        <v>4</v>
      </c>
      <c r="D317" s="228" t="s">
        <v>7169</v>
      </c>
      <c r="E317" s="228" t="s">
        <v>7170</v>
      </c>
      <c r="F317" s="228" t="s">
        <v>7171</v>
      </c>
      <c r="G317" s="229" t="s">
        <v>7172</v>
      </c>
      <c r="H317" s="228" t="s">
        <v>7173</v>
      </c>
    </row>
    <row r="318" spans="1:8" ht="34.5">
      <c r="A318" s="223" t="str">
        <v>Customer Focus</v>
      </c>
      <c r="B318" s="223" t="str">
        <v>Analyst</v>
      </c>
      <c r="C318" s="197">
        <v>1</v>
      </c>
      <c r="D318" s="228" t="s">
        <v>7174</v>
      </c>
      <c r="E318" s="228" t="s">
        <v>7175</v>
      </c>
      <c r="F318" s="228" t="s">
        <v>7176</v>
      </c>
      <c r="G318" s="229" t="s">
        <v>7177</v>
      </c>
      <c r="H318" s="228" t="s">
        <v>7178</v>
      </c>
    </row>
    <row r="319" spans="1:8" ht="34.5">
      <c r="A319" s="223" t="str">
        <v>Customer Focus</v>
      </c>
      <c r="B319" s="223" t="str">
        <v>Analyst</v>
      </c>
      <c r="C319" s="197">
        <v>2</v>
      </c>
      <c r="D319" s="228" t="s">
        <v>7179</v>
      </c>
      <c r="E319" s="228" t="s">
        <v>7180</v>
      </c>
      <c r="F319" s="228" t="s">
        <v>7181</v>
      </c>
      <c r="G319" s="229" t="s">
        <v>7182</v>
      </c>
      <c r="H319" s="228" t="s">
        <v>7183</v>
      </c>
    </row>
    <row r="320" spans="1:8" ht="34.5">
      <c r="A320" s="223" t="str">
        <v>Customer Focus</v>
      </c>
      <c r="B320" s="223" t="str">
        <v>Analyst</v>
      </c>
      <c r="C320" s="197">
        <v>3</v>
      </c>
      <c r="D320" s="228" t="s">
        <v>7184</v>
      </c>
      <c r="E320" s="228" t="s">
        <v>7185</v>
      </c>
      <c r="F320" s="228" t="s">
        <v>7186</v>
      </c>
      <c r="G320" s="229" t="s">
        <v>7187</v>
      </c>
      <c r="H320" s="228" t="s">
        <v>7188</v>
      </c>
    </row>
    <row r="321" spans="1:8" ht="34.5">
      <c r="A321" s="223" t="str">
        <v>Customer Focus</v>
      </c>
      <c r="B321" s="223" t="str">
        <v>Analyst</v>
      </c>
      <c r="C321" s="197">
        <v>4</v>
      </c>
      <c r="D321" s="228" t="s">
        <v>7189</v>
      </c>
      <c r="E321" s="228" t="s">
        <v>7190</v>
      </c>
      <c r="F321" s="228" t="s">
        <v>7191</v>
      </c>
      <c r="G321" s="229" t="s">
        <v>7192</v>
      </c>
      <c r="H321" s="228" t="s">
        <v>7193</v>
      </c>
    </row>
    <row r="322" spans="1:8" ht="34.5">
      <c r="A322" s="223" t="str">
        <v>Customer Focus</v>
      </c>
      <c r="B322" s="223" t="str">
        <v>Unit Head/Specialist</v>
      </c>
      <c r="C322" s="197">
        <v>1</v>
      </c>
      <c r="D322" s="228" t="s">
        <v>7194</v>
      </c>
      <c r="E322" s="228" t="s">
        <v>7195</v>
      </c>
      <c r="F322" s="228" t="s">
        <v>7196</v>
      </c>
      <c r="G322" s="229" t="s">
        <v>7197</v>
      </c>
      <c r="H322" s="228" t="s">
        <v>7198</v>
      </c>
    </row>
    <row r="323" spans="1:8" ht="34.5">
      <c r="A323" s="223" t="str">
        <v>Customer Focus</v>
      </c>
      <c r="B323" s="223" t="str">
        <v>Unit Head/Specialist</v>
      </c>
      <c r="C323" s="197">
        <v>2</v>
      </c>
      <c r="D323" s="228" t="s">
        <v>7199</v>
      </c>
      <c r="E323" s="228" t="s">
        <v>7200</v>
      </c>
      <c r="F323" s="228" t="s">
        <v>7201</v>
      </c>
      <c r="G323" s="229" t="s">
        <v>7202</v>
      </c>
      <c r="H323" s="228" t="s">
        <v>7203</v>
      </c>
    </row>
    <row r="324" spans="1:8" ht="46">
      <c r="A324" s="223" t="str">
        <v>Customer Focus</v>
      </c>
      <c r="B324" s="223" t="str">
        <v>Unit Head/Specialist</v>
      </c>
      <c r="C324" s="197">
        <v>3</v>
      </c>
      <c r="D324" s="228" t="s">
        <v>7204</v>
      </c>
      <c r="E324" s="228" t="s">
        <v>7205</v>
      </c>
      <c r="F324" s="228" t="s">
        <v>7206</v>
      </c>
      <c r="G324" s="229" t="s">
        <v>7207</v>
      </c>
      <c r="H324" s="228" t="s">
        <v>7208</v>
      </c>
    </row>
    <row r="325" spans="1:8" ht="34.5">
      <c r="A325" s="223" t="str">
        <v>Customer Focus</v>
      </c>
      <c r="B325" s="223" t="str">
        <v>Unit Head/Specialist</v>
      </c>
      <c r="C325" s="197">
        <v>4</v>
      </c>
      <c r="D325" s="228" t="s">
        <v>7209</v>
      </c>
      <c r="E325" s="228" t="s">
        <v>7210</v>
      </c>
      <c r="F325" s="228" t="s">
        <v>7211</v>
      </c>
      <c r="G325" s="229" t="s">
        <v>7212</v>
      </c>
      <c r="H325" s="228" t="s">
        <v>7213</v>
      </c>
    </row>
    <row r="326" spans="1:8" ht="34.5">
      <c r="A326" s="223" t="str">
        <v>Customer Focus</v>
      </c>
      <c r="B326" s="223" t="str">
        <v>Department Head</v>
      </c>
      <c r="C326" s="197">
        <v>1</v>
      </c>
      <c r="D326" s="228" t="s">
        <v>7214</v>
      </c>
      <c r="E326" s="228" t="s">
        <v>7215</v>
      </c>
      <c r="F326" s="228" t="s">
        <v>7216</v>
      </c>
      <c r="G326" s="229" t="s">
        <v>7217</v>
      </c>
      <c r="H326" s="228" t="s">
        <v>7218</v>
      </c>
    </row>
    <row r="327" spans="1:8" ht="46">
      <c r="A327" s="223" t="str">
        <v>Customer Focus</v>
      </c>
      <c r="B327" s="223" t="str">
        <v>Department Head</v>
      </c>
      <c r="C327" s="197">
        <v>2</v>
      </c>
      <c r="D327" s="228" t="s">
        <v>7219</v>
      </c>
      <c r="E327" s="228" t="s">
        <v>7220</v>
      </c>
      <c r="F327" s="228" t="s">
        <v>7221</v>
      </c>
      <c r="G327" s="229" t="s">
        <v>7222</v>
      </c>
      <c r="H327" s="228" t="s">
        <v>7223</v>
      </c>
    </row>
    <row r="328" spans="1:8" ht="34.5">
      <c r="A328" s="223" t="str">
        <v>Customer Focus</v>
      </c>
      <c r="B328" s="223" t="str">
        <v>Department Head</v>
      </c>
      <c r="C328" s="197">
        <v>3</v>
      </c>
      <c r="D328" s="228" t="s">
        <v>7224</v>
      </c>
      <c r="E328" s="228" t="s">
        <v>7225</v>
      </c>
      <c r="F328" s="228" t="s">
        <v>7226</v>
      </c>
      <c r="G328" s="229" t="s">
        <v>7227</v>
      </c>
      <c r="H328" s="228" t="s">
        <v>7228</v>
      </c>
    </row>
    <row r="329" spans="1:8" ht="34.5">
      <c r="A329" s="223" t="str">
        <v>Customer Focus</v>
      </c>
      <c r="B329" s="223" t="str">
        <v>Department Head</v>
      </c>
      <c r="C329" s="197">
        <v>4</v>
      </c>
      <c r="D329" s="228" t="s">
        <v>7229</v>
      </c>
      <c r="E329" s="228" t="s">
        <v>7230</v>
      </c>
      <c r="F329" s="228" t="s">
        <v>7231</v>
      </c>
      <c r="G329" s="229" t="s">
        <v>7232</v>
      </c>
      <c r="H329" s="228" t="s">
        <v>7233</v>
      </c>
    </row>
    <row r="330" spans="1:8" ht="57.5">
      <c r="A330" s="223" t="str">
        <v>Customer Focus</v>
      </c>
      <c r="B330" s="223" t="str">
        <v>Division Head</v>
      </c>
      <c r="C330" s="197">
        <v>1</v>
      </c>
      <c r="D330" s="228" t="s">
        <v>7234</v>
      </c>
      <c r="E330" s="228" t="s">
        <v>7235</v>
      </c>
      <c r="F330" s="228" t="s">
        <v>7236</v>
      </c>
      <c r="G330" s="229" t="s">
        <v>7237</v>
      </c>
      <c r="H330" s="228" t="s">
        <v>7238</v>
      </c>
    </row>
    <row r="331" spans="1:8" ht="46">
      <c r="A331" s="223" t="str">
        <v>Customer Focus</v>
      </c>
      <c r="B331" s="223" t="str">
        <v>Division Head</v>
      </c>
      <c r="C331" s="197">
        <v>2</v>
      </c>
      <c r="D331" s="228" t="s">
        <v>7239</v>
      </c>
      <c r="E331" s="228" t="s">
        <v>7240</v>
      </c>
      <c r="F331" s="228" t="s">
        <v>7241</v>
      </c>
      <c r="G331" s="229" t="s">
        <v>7242</v>
      </c>
      <c r="H331" s="228" t="s">
        <v>7243</v>
      </c>
    </row>
    <row r="332" spans="1:8" ht="46">
      <c r="A332" s="223" t="str">
        <v>Customer Focus</v>
      </c>
      <c r="B332" s="223" t="str">
        <v>Division Head</v>
      </c>
      <c r="C332" s="197">
        <v>3</v>
      </c>
      <c r="D332" s="228" t="s">
        <v>7244</v>
      </c>
      <c r="E332" s="228" t="s">
        <v>7245</v>
      </c>
      <c r="F332" s="228" t="s">
        <v>7246</v>
      </c>
      <c r="G332" s="229" t="s">
        <v>7247</v>
      </c>
      <c r="H332" s="228" t="s">
        <v>7248</v>
      </c>
    </row>
    <row r="333" spans="1:8" ht="34.5">
      <c r="A333" s="223" t="str">
        <v>Customer Focus</v>
      </c>
      <c r="B333" s="223" t="str">
        <v>Division Head</v>
      </c>
      <c r="C333" s="197">
        <v>4</v>
      </c>
      <c r="D333" s="228" t="s">
        <v>7249</v>
      </c>
      <c r="E333" s="228" t="s">
        <v>7250</v>
      </c>
      <c r="F333" s="228" t="s">
        <v>7251</v>
      </c>
      <c r="G333" s="229" t="s">
        <v>7252</v>
      </c>
      <c r="H333" s="228" t="s">
        <v>7253</v>
      </c>
    </row>
    <row r="334" spans="1:8" ht="34.5">
      <c r="A334" s="223" t="str">
        <v>Customer Focus</v>
      </c>
      <c r="B334" s="223" t="str">
        <v>Director</v>
      </c>
      <c r="C334" s="197">
        <v>1</v>
      </c>
      <c r="D334" s="228" t="s">
        <v>7254</v>
      </c>
      <c r="E334" s="228" t="s">
        <v>7255</v>
      </c>
      <c r="F334" s="228" t="s">
        <v>7256</v>
      </c>
      <c r="G334" s="229" t="s">
        <v>7257</v>
      </c>
      <c r="H334" s="228" t="s">
        <v>7258</v>
      </c>
    </row>
    <row r="335" spans="1:8" ht="46">
      <c r="A335" s="223" t="str">
        <v>Customer Focus</v>
      </c>
      <c r="B335" s="223" t="str">
        <v>Director</v>
      </c>
      <c r="C335" s="197">
        <v>2</v>
      </c>
      <c r="D335" s="228" t="s">
        <v>7259</v>
      </c>
      <c r="E335" s="228" t="s">
        <v>7260</v>
      </c>
      <c r="F335" s="228" t="s">
        <v>6236</v>
      </c>
      <c r="G335" s="229" t="s">
        <v>7261</v>
      </c>
      <c r="H335" s="228" t="s">
        <v>7262</v>
      </c>
    </row>
    <row r="336" spans="1:8" ht="34.5">
      <c r="A336" s="223" t="str">
        <v>Customer Focus</v>
      </c>
      <c r="B336" s="223" t="str">
        <v>Director</v>
      </c>
      <c r="C336" s="197">
        <v>3</v>
      </c>
      <c r="D336" s="228" t="s">
        <v>7263</v>
      </c>
      <c r="E336" s="228" t="s">
        <v>7264</v>
      </c>
      <c r="F336" s="228" t="s">
        <v>7265</v>
      </c>
      <c r="G336" s="229" t="s">
        <v>7266</v>
      </c>
      <c r="H336" s="228" t="s">
        <v>7267</v>
      </c>
    </row>
    <row r="337" spans="1:8" ht="46">
      <c r="A337" s="223" t="str">
        <v>Customer Focus</v>
      </c>
      <c r="B337" s="223" t="str">
        <v>Director</v>
      </c>
      <c r="C337" s="197">
        <v>4</v>
      </c>
      <c r="D337" s="228" t="s">
        <v>7268</v>
      </c>
      <c r="E337" s="228" t="s">
        <v>7269</v>
      </c>
      <c r="F337" s="228" t="s">
        <v>7270</v>
      </c>
      <c r="G337" s="229" t="s">
        <v>7271</v>
      </c>
      <c r="H337" s="228" t="s">
        <v>7272</v>
      </c>
    </row>
  </sheetData>
  <phoneticPr fontId="59"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E364-1A31-4004-865F-85CDDF97F630}">
  <dimension ref="A1:G1681"/>
  <sheetViews>
    <sheetView topLeftCell="B1" zoomScale="70" zoomScaleNormal="70" workbookViewId="0">
      <selection activeCell="B2" sqref="B2"/>
    </sheetView>
  </sheetViews>
  <sheetFormatPr defaultRowHeight="14"/>
  <cols>
    <col min="1" max="1" width="27.4140625" bestFit="1" customWidth="1"/>
    <col min="2" max="2" width="30.75" bestFit="1" customWidth="1"/>
    <col min="3" max="3" width="18" bestFit="1" customWidth="1"/>
    <col min="4" max="4" width="8" style="76" bestFit="1" customWidth="1"/>
    <col min="5" max="5" width="70.75" bestFit="1" customWidth="1"/>
    <col min="6" max="6" width="4.75" style="76" bestFit="1" customWidth="1"/>
    <col min="7" max="7" width="50.75" style="56" customWidth="1"/>
  </cols>
  <sheetData>
    <row r="1" spans="1:7">
      <c r="A1" t="s">
        <v>7273</v>
      </c>
      <c r="B1" t="s">
        <v>7274</v>
      </c>
      <c r="C1" t="s">
        <v>7275</v>
      </c>
      <c r="D1" s="76" t="s">
        <v>7276</v>
      </c>
      <c r="E1" t="s">
        <v>7277</v>
      </c>
      <c r="F1" s="76" t="s">
        <v>7278</v>
      </c>
      <c r="G1" s="56" t="s">
        <v>7279</v>
      </c>
    </row>
    <row r="2" spans="1:7">
      <c r="A2" t="str">
        <f>B2&amp;"|"&amp;C2&amp;"|"&amp;D2&amp;"|"&amp;F2</f>
        <v>Achievement Drive|Officer|1|1</v>
      </c>
      <c r="B2" t="str" cm="1">
        <f t="array" ref="B2:B1681">INDEX(list!$A$2:$A$15,INT((_xlfn.SEQUENCE(1680)-1)/120)+1)</f>
        <v>Achievement Drive</v>
      </c>
      <c r="C2" t="str" cm="1">
        <f t="array" ref="C2:C1681">INDEX(list!$B$2:$B$7,MOD(INT((_xlfn.SEQUENCE(1680)-1)/20),6)+1)</f>
        <v>Officer</v>
      </c>
      <c r="D2" s="76" cm="1">
        <f t="array" ref="D2:D1681">MOD(INT((_xlfn.SEQUENCE(1680)-1)/5),4)+1</f>
        <v>1</v>
      </c>
      <c r="E2" t="str" cm="1">
        <f t="array" ref="E2">INDEX(aspek!$D$2:$D$337,
   MATCH(1,(aspek!$A$2:$A$337=B2)*
           (aspek!$B$2:$B$337=C2)*
           (aspek!$C$2:$C$337=D2),0))</f>
        <v>Jarak antara melihat dan bertindak</v>
      </c>
      <c r="F2" s="76" cm="1">
        <f t="array" ref="F2:F1681">MOD(_xlfn.SEQUENCE(1680)-1,5)+1</f>
        <v>1</v>
      </c>
      <c r="G2" s="56" t="str" cm="1">
        <f t="array" ref="G2">INDEX(deskripsi!$D$2:$H$337,
   MATCH(1,(deskripsi!$A$2:$A$337=B2)*
           (deskripsi!$B$2:$B$337=C2)*
           (deskripsi!$C$2:$C$337=D2),0),
   F2)</f>
        <v>Menunggu instruksi eksplisit sebelum bertindak.</v>
      </c>
    </row>
    <row r="3" spans="1:7" ht="28">
      <c r="A3" t="str">
        <f t="shared" ref="A3:A66" si="0">B3&amp;"|"&amp;C3&amp;"|"&amp;D3&amp;"|"&amp;F3</f>
        <v>Achievement Drive|Officer|1|2</v>
      </c>
      <c r="B3" t="str">
        <v>Achievement Drive</v>
      </c>
      <c r="C3" t="str">
        <v>Officer</v>
      </c>
      <c r="D3" s="76">
        <v>1</v>
      </c>
      <c r="E3" t="str" cm="1">
        <f t="array" ref="E3">INDEX(aspek!$D$2:$D$337,
   MATCH(1,(aspek!$A$2:$A$337=B3)*
           (aspek!$B$2:$B$337=C3)*
           (aspek!$C$2:$C$337=D3),0))</f>
        <v>Jarak antara melihat dan bertindak</v>
      </c>
      <c r="F3" s="76">
        <v>2</v>
      </c>
      <c r="G3" s="56" t="str" cm="1">
        <f t="array" ref="G3">INDEX(deskripsi!$D$2:$H$337,
   MATCH(1,(deskripsi!$A$2:$A$337=B3)*
           (deskripsi!$B$2:$B$337=C3)*
           (deskripsi!$C$2:$C$337=D3),0),
   F3)</f>
        <v>Melihat kebutuhan tindakan, tetapi menunggu persetujuan meski jelas dalam kewenangannya.</v>
      </c>
    </row>
    <row r="4" spans="1:7" ht="28">
      <c r="A4" t="str">
        <f t="shared" si="0"/>
        <v>Achievement Drive|Officer|1|3</v>
      </c>
      <c r="B4" t="str">
        <v>Achievement Drive</v>
      </c>
      <c r="C4" t="str">
        <v>Officer</v>
      </c>
      <c r="D4" s="76">
        <v>1</v>
      </c>
      <c r="E4" t="str" cm="1">
        <f t="array" ref="E4">INDEX(aspek!$D$2:$D$337,
   MATCH(1,(aspek!$A$2:$A$337=B4)*
           (aspek!$B$2:$B$337=C4)*
           (aspek!$C$2:$C$337=D4),0))</f>
        <v>Jarak antara melihat dan bertindak</v>
      </c>
      <c r="F4" s="76">
        <v>3</v>
      </c>
      <c r="G4" s="56" t="str" cm="1">
        <f t="array" ref="G4">INDEX(deskripsi!$D$2:$H$337,
   MATCH(1,(deskripsi!$A$2:$A$337=B4)*
           (deskripsi!$B$2:$B$337=C4)*
           (deskripsi!$C$2:$C$337=D4),0),
   F4)</f>
        <v>Berinisiatif bertindak dalam area kerjanya sendiri tanpa menunggu.</v>
      </c>
    </row>
    <row r="5" spans="1:7" ht="28">
      <c r="A5" t="str">
        <f t="shared" si="0"/>
        <v>Achievement Drive|Officer|1|4</v>
      </c>
      <c r="B5" t="str">
        <v>Achievement Drive</v>
      </c>
      <c r="C5" t="str">
        <v>Officer</v>
      </c>
      <c r="D5" s="76">
        <v>1</v>
      </c>
      <c r="E5" t="str" cm="1">
        <f t="array" ref="E5">INDEX(aspek!$D$2:$D$337,
   MATCH(1,(aspek!$A$2:$A$337=B5)*
           (aspek!$B$2:$B$337=C5)*
           (aspek!$C$2:$C$337=D5),0))</f>
        <v>Jarak antara melihat dan bertindak</v>
      </c>
      <c r="F5" s="76">
        <v>4</v>
      </c>
      <c r="G5" s="56" t="str" cm="1">
        <f t="array" ref="G5">INDEX(deskripsi!$D$2:$H$337,
   MATCH(1,(deskripsi!$A$2:$A$337=B5)*
           (deskripsi!$B$2:$B$337=C5)*
           (deskripsi!$C$2:$C$337=D5),0),
   F5)</f>
        <v>Bertindak sebelum masalah berdampak, mengantisipasi kebutuhan tindakan lebih awal.</v>
      </c>
    </row>
    <row r="6" spans="1:7">
      <c r="A6" t="str">
        <f>B6&amp;"|"&amp;C6&amp;"|"&amp;D6&amp;"|"&amp;F6</f>
        <v>Achievement Drive|Officer|1|5</v>
      </c>
      <c r="B6" t="str">
        <v>Achievement Drive</v>
      </c>
      <c r="C6" t="str">
        <v>Officer</v>
      </c>
      <c r="D6" s="76">
        <v>1</v>
      </c>
      <c r="E6" t="str" cm="1">
        <f t="array" ref="E6">INDEX(aspek!$D$2:$D$337,
   MATCH(1,(aspek!$A$2:$A$337=B6)*
           (aspek!$B$2:$B$337=C6)*
           (aspek!$C$2:$C$337=D6),0))</f>
        <v>Jarak antara melihat dan bertindak</v>
      </c>
      <c r="F6" s="76">
        <v>5</v>
      </c>
      <c r="G6" s="56" t="str" cm="1">
        <f t="array" ref="G6">INDEX(deskripsi!$D$2:$H$337,
   MATCH(1,(deskripsi!$A$2:$A$337=B6)*
           (deskripsi!$B$2:$B$337=C6)*
           (deskripsi!$C$2:$C$337=D6),0),
   F6)</f>
        <v>Menggerakkan orang lain untuk juga bertindak lebih dulu.</v>
      </c>
    </row>
    <row r="7" spans="1:7">
      <c r="A7" t="str">
        <f t="shared" si="0"/>
        <v>Achievement Drive|Officer|2|1</v>
      </c>
      <c r="B7" t="str">
        <v>Achievement Drive</v>
      </c>
      <c r="C7" t="str">
        <v>Officer</v>
      </c>
      <c r="D7" s="76">
        <v>2</v>
      </c>
      <c r="E7" t="str" cm="1">
        <f t="array" ref="E7">INDEX(aspek!$D$2:$D$337,
   MATCH(1,(aspek!$A$2:$A$337=B7)*
           (aspek!$B$2:$B$337=C7)*
           (aspek!$C$2:$C$337=D7),0))</f>
        <v>Kemandirian memulai</v>
      </c>
      <c r="F7" s="76">
        <v>1</v>
      </c>
      <c r="G7" s="56" t="str" cm="1">
        <f t="array" ref="G7">INDEX(deskripsi!$D$2:$H$337,
   MATCH(1,(deskripsi!$A$2:$A$337=B7)*
           (deskripsi!$B$2:$B$337=C7)*
           (deskripsi!$C$2:$C$337=D7),0),
   F7)</f>
        <v>Tidak memulai apa pun tanpa arahan.</v>
      </c>
    </row>
    <row r="8" spans="1:7">
      <c r="A8" t="str">
        <f t="shared" si="0"/>
        <v>Achievement Drive|Officer|2|2</v>
      </c>
      <c r="B8" t="str">
        <v>Achievement Drive</v>
      </c>
      <c r="C8" t="str">
        <v>Officer</v>
      </c>
      <c r="D8" s="76">
        <v>2</v>
      </c>
      <c r="E8" t="str" cm="1">
        <f t="array" ref="E8">INDEX(aspek!$D$2:$D$337,
   MATCH(1,(aspek!$A$2:$A$337=B8)*
           (aspek!$B$2:$B$337=C8)*
           (aspek!$C$2:$C$337=D8),0))</f>
        <v>Kemandirian memulai</v>
      </c>
      <c r="F8" s="76">
        <v>2</v>
      </c>
      <c r="G8" s="56" t="str" cm="1">
        <f t="array" ref="G8">INDEX(deskripsi!$D$2:$H$337,
   MATCH(1,(deskripsi!$A$2:$A$337=B8)*
           (deskripsi!$B$2:$B$337=C8)*
           (deskripsi!$C$2:$C$337=D8),0),
   F8)</f>
        <v>Memulai hanya setelah diyakinkan atau disetujui.</v>
      </c>
    </row>
    <row r="9" spans="1:7">
      <c r="A9" t="str">
        <f t="shared" si="0"/>
        <v>Achievement Drive|Officer|2|3</v>
      </c>
      <c r="B9" t="str">
        <v>Achievement Drive</v>
      </c>
      <c r="C9" t="str">
        <v>Officer</v>
      </c>
      <c r="D9" s="76">
        <v>2</v>
      </c>
      <c r="E9" t="str" cm="1">
        <f t="array" ref="E9">INDEX(aspek!$D$2:$D$337,
   MATCH(1,(aspek!$A$2:$A$337=B9)*
           (aspek!$B$2:$B$337=C9)*
           (aspek!$C$2:$C$337=D9),0))</f>
        <v>Kemandirian memulai</v>
      </c>
      <c r="F9" s="76">
        <v>3</v>
      </c>
      <c r="G9" s="56" t="str" cm="1">
        <f t="array" ref="G9">INDEX(deskripsi!$D$2:$H$337,
   MATCH(1,(deskripsi!$A$2:$A$337=B9)*
           (deskripsi!$B$2:$B$337=C9)*
           (deskripsi!$C$2:$C$337=D9),0),
   F9)</f>
        <v>Memulai sendiri pada tugas rutin yang familiar.</v>
      </c>
    </row>
    <row r="10" spans="1:7" ht="28">
      <c r="A10" t="str">
        <f t="shared" si="0"/>
        <v>Achievement Drive|Officer|2|4</v>
      </c>
      <c r="B10" t="str">
        <v>Achievement Drive</v>
      </c>
      <c r="C10" t="str">
        <v>Officer</v>
      </c>
      <c r="D10" s="76">
        <v>2</v>
      </c>
      <c r="E10" t="str" cm="1">
        <f t="array" ref="E10">INDEX(aspek!$D$2:$D$337,
   MATCH(1,(aspek!$A$2:$A$337=B10)*
           (aspek!$B$2:$B$337=C10)*
           (aspek!$C$2:$C$337=D10),0))</f>
        <v>Kemandirian memulai</v>
      </c>
      <c r="F10" s="76">
        <v>4</v>
      </c>
      <c r="G10" s="56" t="str" cm="1">
        <f t="array" ref="G10">INDEX(deskripsi!$D$2:$H$337,
   MATCH(1,(deskripsi!$A$2:$A$337=B10)*
           (deskripsi!$B$2:$B$337=C10)*
           (deskripsi!$C$2:$C$337=D10),0),
   F10)</f>
        <v>Memulai sendiri pada situasi baru yang belum familiar, tanpa menunggu contoh atau arahan.</v>
      </c>
    </row>
    <row r="11" spans="1:7" ht="28">
      <c r="A11" t="str">
        <f t="shared" si="0"/>
        <v>Achievement Drive|Officer|2|5</v>
      </c>
      <c r="B11" t="str">
        <v>Achievement Drive</v>
      </c>
      <c r="C11" t="str">
        <v>Officer</v>
      </c>
      <c r="D11" s="76">
        <v>2</v>
      </c>
      <c r="E11" t="str" cm="1">
        <f t="array" ref="E11">INDEX(aspek!$D$2:$D$337,
   MATCH(1,(aspek!$A$2:$A$337=B11)*
           (aspek!$B$2:$B$337=C11)*
           (aspek!$C$2:$C$337=D11),0))</f>
        <v>Kemandirian memulai</v>
      </c>
      <c r="F11" s="76">
        <v>5</v>
      </c>
      <c r="G11" s="56" t="str" cm="1">
        <f t="array" ref="G11">INDEX(deskripsi!$D$2:$H$337,
   MATCH(1,(deskripsi!$A$2:$A$337=B11)*
           (deskripsi!$B$2:$B$337=C11)*
           (deskripsi!$C$2:$C$337=D11),0),
   F11)</f>
        <v>Menjadi contoh yang membuat orang lain berani memulai sendiri.</v>
      </c>
    </row>
    <row r="12" spans="1:7" ht="28">
      <c r="A12" t="str">
        <f t="shared" si="0"/>
        <v>Achievement Drive|Officer|3|1</v>
      </c>
      <c r="B12" t="str">
        <v>Achievement Drive</v>
      </c>
      <c r="C12" t="str">
        <v>Officer</v>
      </c>
      <c r="D12" s="76">
        <v>3</v>
      </c>
      <c r="E12" t="str" cm="1">
        <f t="array" ref="E12">INDEX(aspek!$D$2:$D$337,
   MATCH(1,(aspek!$A$2:$A$337=B12)*
           (aspek!$B$2:$B$337=C12)*
           (aspek!$C$2:$C$337=D12),0))</f>
        <v>Rencana kerja sebagai acuan</v>
      </c>
      <c r="F12" s="76">
        <v>1</v>
      </c>
      <c r="G12" s="56" t="str" cm="1">
        <f t="array" ref="G12">INDEX(deskripsi!$D$2:$H$337,
   MATCH(1,(deskripsi!$A$2:$A$337=B12)*
           (deskripsi!$B$2:$B$337=C12)*
           (deskripsi!$C$2:$C$337=D12),0),
   F12)</f>
        <v>Menyusun rencana kerja tetapi tidak pernah memakainya sebagai acuan.</v>
      </c>
    </row>
    <row r="13" spans="1:7" ht="28">
      <c r="A13" t="str">
        <f t="shared" si="0"/>
        <v>Achievement Drive|Officer|3|2</v>
      </c>
      <c r="B13" t="str">
        <v>Achievement Drive</v>
      </c>
      <c r="C13" t="str">
        <v>Officer</v>
      </c>
      <c r="D13" s="76">
        <v>3</v>
      </c>
      <c r="E13" t="str" cm="1">
        <f t="array" ref="E13">INDEX(aspek!$D$2:$D$337,
   MATCH(1,(aspek!$A$2:$A$337=B13)*
           (aspek!$B$2:$B$337=C13)*
           (aspek!$C$2:$C$337=D13),0))</f>
        <v>Rencana kerja sebagai acuan</v>
      </c>
      <c r="F13" s="76">
        <v>2</v>
      </c>
      <c r="G13" s="56" t="str" cm="1">
        <f t="array" ref="G13">INDEX(deskripsi!$D$2:$H$337,
   MATCH(1,(deskripsi!$A$2:$A$337=B13)*
           (deskripsi!$B$2:$B$337=C13)*
           (deskripsi!$C$2:$C$337=D13),0),
   F13)</f>
        <v>Memakai rencana kerja sesekali, sering menyimpang tanpa sadar.</v>
      </c>
    </row>
    <row r="14" spans="1:7">
      <c r="A14" t="str">
        <f t="shared" si="0"/>
        <v>Achievement Drive|Officer|3|3</v>
      </c>
      <c r="B14" t="str">
        <v>Achievement Drive</v>
      </c>
      <c r="C14" t="str">
        <v>Officer</v>
      </c>
      <c r="D14" s="76">
        <v>3</v>
      </c>
      <c r="E14" t="str" cm="1">
        <f t="array" ref="E14">INDEX(aspek!$D$2:$D$337,
   MATCH(1,(aspek!$A$2:$A$337=B14)*
           (aspek!$B$2:$B$337=C14)*
           (aspek!$C$2:$C$337=D14),0))</f>
        <v>Rencana kerja sebagai acuan</v>
      </c>
      <c r="F14" s="76">
        <v>3</v>
      </c>
      <c r="G14" s="56" t="str" cm="1">
        <f t="array" ref="G14">INDEX(deskripsi!$D$2:$H$337,
   MATCH(1,(deskripsi!$A$2:$A$337=B14)*
           (deskripsi!$B$2:$B$337=C14)*
           (deskripsi!$C$2:$C$337=D14),0),
   F14)</f>
        <v>Memakai rencana kerja sebagai acuan pada hari-hari normal.</v>
      </c>
    </row>
    <row r="15" spans="1:7" ht="28">
      <c r="A15" t="str">
        <f t="shared" si="0"/>
        <v>Achievement Drive|Officer|3|4</v>
      </c>
      <c r="B15" t="str">
        <v>Achievement Drive</v>
      </c>
      <c r="C15" t="str">
        <v>Officer</v>
      </c>
      <c r="D15" s="76">
        <v>3</v>
      </c>
      <c r="E15" t="str" cm="1">
        <f t="array" ref="E15">INDEX(aspek!$D$2:$D$337,
   MATCH(1,(aspek!$A$2:$A$337=B15)*
           (aspek!$B$2:$B$337=C15)*
           (aspek!$C$2:$C$337=D15),0))</f>
        <v>Rencana kerja sebagai acuan</v>
      </c>
      <c r="F15" s="76">
        <v>4</v>
      </c>
      <c r="G15" s="56" t="str" cm="1">
        <f t="array" ref="G15">INDEX(deskripsi!$D$2:$H$337,
   MATCH(1,(deskripsi!$A$2:$A$337=B15)*
           (deskripsi!$B$2:$B$337=C15)*
           (deskripsi!$C$2:$C$337=D15),0),
   F15)</f>
        <v>Memakai rencana kerja sebagai acuan utama secara konsisten, termasuk pada hari yang sibuk.</v>
      </c>
    </row>
    <row r="16" spans="1:7">
      <c r="A16" t="str">
        <f t="shared" si="0"/>
        <v>Achievement Drive|Officer|3|5</v>
      </c>
      <c r="B16" t="str">
        <v>Achievement Drive</v>
      </c>
      <c r="C16" t="str">
        <v>Officer</v>
      </c>
      <c r="D16" s="76">
        <v>3</v>
      </c>
      <c r="E16" t="str" cm="1">
        <f t="array" ref="E16">INDEX(aspek!$D$2:$D$337,
   MATCH(1,(aspek!$A$2:$A$337=B16)*
           (aspek!$B$2:$B$337=C16)*
           (aspek!$C$2:$C$337=D16),0))</f>
        <v>Rencana kerja sebagai acuan</v>
      </c>
      <c r="F16" s="76">
        <v>5</v>
      </c>
      <c r="G16" s="56" t="str" cm="1">
        <f t="array" ref="G16">INDEX(deskripsi!$D$2:$H$337,
   MATCH(1,(deskripsi!$A$2:$A$337=B16)*
           (deskripsi!$B$2:$B$337=C16)*
           (deskripsi!$C$2:$C$337=D16),0),
   F16)</f>
        <v>Rencana kerjanya menjadi contoh disiplin bagi rekan.</v>
      </c>
    </row>
    <row r="17" spans="1:7">
      <c r="A17" t="str">
        <f t="shared" si="0"/>
        <v>Achievement Drive|Officer|4|1</v>
      </c>
      <c r="B17" t="str">
        <v>Achievement Drive</v>
      </c>
      <c r="C17" t="str">
        <v>Officer</v>
      </c>
      <c r="D17" s="76">
        <v>4</v>
      </c>
      <c r="E17" t="str" cm="1">
        <f t="array" ref="E17">INDEX(aspek!$D$2:$D$337,
   MATCH(1,(aspek!$A$2:$A$337=B17)*
           (aspek!$B$2:$B$337=C17)*
           (aspek!$C$2:$C$337=D17),0))</f>
        <v>Antisipasi sebelum berdampak</v>
      </c>
      <c r="F17" s="76">
        <v>1</v>
      </c>
      <c r="G17" s="56" t="str" cm="1">
        <f t="array" ref="G17">INDEX(deskripsi!$D$2:$H$337,
   MATCH(1,(deskripsi!$A$2:$A$337=B17)*
           (deskripsi!$B$2:$B$337=C17)*
           (deskripsi!$C$2:$C$337=D17),0),
   F17)</f>
        <v>Bertindak hanya setelah masalah terjadi dan terlihat jelas.</v>
      </c>
    </row>
    <row r="18" spans="1:7">
      <c r="A18" t="str">
        <f t="shared" si="0"/>
        <v>Achievement Drive|Officer|4|2</v>
      </c>
      <c r="B18" t="str">
        <v>Achievement Drive</v>
      </c>
      <c r="C18" t="str">
        <v>Officer</v>
      </c>
      <c r="D18" s="76">
        <v>4</v>
      </c>
      <c r="E18" t="str" cm="1">
        <f t="array" ref="E18">INDEX(aspek!$D$2:$D$337,
   MATCH(1,(aspek!$A$2:$A$337=B18)*
           (aspek!$B$2:$B$337=C18)*
           (aspek!$C$2:$C$337=D18),0))</f>
        <v>Antisipasi sebelum berdampak</v>
      </c>
      <c r="F18" s="76">
        <v>2</v>
      </c>
      <c r="G18" s="56" t="str" cm="1">
        <f t="array" ref="G18">INDEX(deskripsi!$D$2:$H$337,
   MATCH(1,(deskripsi!$A$2:$A$337=B18)*
           (deskripsi!$B$2:$B$337=C18)*
           (deskripsi!$C$2:$C$337=D18),0),
   F18)</f>
        <v>Menyadari potensi masalah, tidak bertindak sebelum terjadi.</v>
      </c>
    </row>
    <row r="19" spans="1:7">
      <c r="A19" t="str">
        <f t="shared" si="0"/>
        <v>Achievement Drive|Officer|4|3</v>
      </c>
      <c r="B19" t="str">
        <v>Achievement Drive</v>
      </c>
      <c r="C19" t="str">
        <v>Officer</v>
      </c>
      <c r="D19" s="76">
        <v>4</v>
      </c>
      <c r="E19" t="str" cm="1">
        <f t="array" ref="E19">INDEX(aspek!$D$2:$D$337,
   MATCH(1,(aspek!$A$2:$A$337=B19)*
           (aspek!$B$2:$B$337=C19)*
           (aspek!$C$2:$C$337=D19),0))</f>
        <v>Antisipasi sebelum berdampak</v>
      </c>
      <c r="F19" s="76">
        <v>3</v>
      </c>
      <c r="G19" s="56" t="str" cm="1">
        <f t="array" ref="G19">INDEX(deskripsi!$D$2:$H$337,
   MATCH(1,(deskripsi!$A$2:$A$337=B19)*
           (deskripsi!$B$2:$B$337=C19)*
           (deskripsi!$C$2:$C$337=D19),0),
   F19)</f>
        <v>Bertindak mencegah masalah yang sudah sering terjadi.</v>
      </c>
    </row>
    <row r="20" spans="1:7" ht="28">
      <c r="A20" t="str">
        <f t="shared" si="0"/>
        <v>Achievement Drive|Officer|4|4</v>
      </c>
      <c r="B20" t="str">
        <v>Achievement Drive</v>
      </c>
      <c r="C20" t="str">
        <v>Officer</v>
      </c>
      <c r="D20" s="76">
        <v>4</v>
      </c>
      <c r="E20" t="str" cm="1">
        <f t="array" ref="E20">INDEX(aspek!$D$2:$D$337,
   MATCH(1,(aspek!$A$2:$A$337=B20)*
           (aspek!$B$2:$B$337=C20)*
           (aspek!$C$2:$C$337=D20),0))</f>
        <v>Antisipasi sebelum berdampak</v>
      </c>
      <c r="F20" s="76">
        <v>4</v>
      </c>
      <c r="G20" s="56" t="str" cm="1">
        <f t="array" ref="G20">INDEX(deskripsi!$D$2:$H$337,
   MATCH(1,(deskripsi!$A$2:$A$337=B20)*
           (deskripsi!$B$2:$B$337=C20)*
           (deskripsi!$C$2:$C$337=D20),0),
   F20)</f>
        <v>Bertindak mencegah masalah yang BELUM terjadi berdasarkan tanda-tanda awal.</v>
      </c>
    </row>
    <row r="21" spans="1:7">
      <c r="A21" t="str">
        <f t="shared" si="0"/>
        <v>Achievement Drive|Officer|4|5</v>
      </c>
      <c r="B21" t="str">
        <v>Achievement Drive</v>
      </c>
      <c r="C21" t="str">
        <v>Officer</v>
      </c>
      <c r="D21" s="76">
        <v>4</v>
      </c>
      <c r="E21" t="str" cm="1">
        <f t="array" ref="E21">INDEX(aspek!$D$2:$D$337,
   MATCH(1,(aspek!$A$2:$A$337=B21)*
           (aspek!$B$2:$B$337=C21)*
           (aspek!$C$2:$C$337=D21),0))</f>
        <v>Antisipasi sebelum berdampak</v>
      </c>
      <c r="F21" s="76">
        <v>5</v>
      </c>
      <c r="G21" s="56" t="str" cm="1">
        <f t="array" ref="G21">INDEX(deskripsi!$D$2:$H$337,
   MATCH(1,(deskripsi!$A$2:$A$337=B21)*
           (deskripsi!$B$2:$B$337=C21)*
           (deskripsi!$C$2:$C$337=D21),0),
   F21)</f>
        <v>Antisipasinya menjadi kebiasaan yang diikuti unit.</v>
      </c>
    </row>
    <row r="22" spans="1:7">
      <c r="A22" t="str">
        <f t="shared" si="0"/>
        <v>Achievement Drive|Analyst|1|1</v>
      </c>
      <c r="B22" t="str">
        <v>Achievement Drive</v>
      </c>
      <c r="C22" t="str">
        <v>Analyst</v>
      </c>
      <c r="D22" s="76">
        <v>1</v>
      </c>
      <c r="E22" t="str" cm="1">
        <f t="array" ref="E22">INDEX(aspek!$D$2:$D$337,
   MATCH(1,(aspek!$A$2:$A$337=B22)*
           (aspek!$B$2:$B$337=C22)*
           (aspek!$C$2:$C$337=D22),0))</f>
        <v>Daya tahan komitmen sepanjang waktu</v>
      </c>
      <c r="F22" s="76">
        <v>1</v>
      </c>
      <c r="G22" s="56" t="str" cm="1">
        <f t="array" ref="G22">INDEX(deskripsi!$D$2:$H$337,
   MATCH(1,(deskripsi!$A$2:$A$337=B22)*
           (deskripsi!$B$2:$B$337=C22)*
           (deskripsi!$C$2:$C$337=D22),0),
   F22)</f>
        <v>Menyerah setelah hambatan pertama yang berarti.</v>
      </c>
    </row>
    <row r="23" spans="1:7">
      <c r="A23" t="str">
        <f t="shared" si="0"/>
        <v>Achievement Drive|Analyst|1|2</v>
      </c>
      <c r="B23" t="str">
        <v>Achievement Drive</v>
      </c>
      <c r="C23" t="str">
        <v>Analyst</v>
      </c>
      <c r="D23" s="76">
        <v>1</v>
      </c>
      <c r="E23" t="str" cm="1">
        <f t="array" ref="E23">INDEX(aspek!$D$2:$D$337,
   MATCH(1,(aspek!$A$2:$A$337=B23)*
           (aspek!$B$2:$B$337=C23)*
           (aspek!$C$2:$C$337=D23),0))</f>
        <v>Daya tahan komitmen sepanjang waktu</v>
      </c>
      <c r="F23" s="76">
        <v>2</v>
      </c>
      <c r="G23" s="56" t="str" cm="1">
        <f t="array" ref="G23">INDEX(deskripsi!$D$2:$H$337,
   MATCH(1,(deskripsi!$A$2:$A$337=B23)*
           (deskripsi!$B$2:$B$337=C23)*
           (deskripsi!$C$2:$C$337=D23),0),
   F23)</f>
        <v>Bertahan sebentar, lalu melambat dan akhirnya berhenti.</v>
      </c>
    </row>
    <row r="24" spans="1:7">
      <c r="A24" t="str">
        <f t="shared" si="0"/>
        <v>Achievement Drive|Analyst|1|3</v>
      </c>
      <c r="B24" t="str">
        <v>Achievement Drive</v>
      </c>
      <c r="C24" t="str">
        <v>Analyst</v>
      </c>
      <c r="D24" s="76">
        <v>1</v>
      </c>
      <c r="E24" t="str" cm="1">
        <f t="array" ref="E24">INDEX(aspek!$D$2:$D$337,
   MATCH(1,(aspek!$A$2:$A$337=B24)*
           (aspek!$B$2:$B$337=C24)*
           (aspek!$C$2:$C$337=D24),0))</f>
        <v>Daya tahan komitmen sepanjang waktu</v>
      </c>
      <c r="F24" s="76">
        <v>3</v>
      </c>
      <c r="G24" s="56" t="str" cm="1">
        <f t="array" ref="G24">INDEX(deskripsi!$D$2:$H$337,
   MATCH(1,(deskripsi!$A$2:$A$337=B24)*
           (deskripsi!$B$2:$B$337=C24)*
           (deskripsi!$C$2:$C$337=D24),0),
   F24)</f>
        <v>Bertahan dengan dukungan rutin dari atasan atau mentor.</v>
      </c>
    </row>
    <row r="25" spans="1:7" ht="28">
      <c r="A25" t="str">
        <f t="shared" si="0"/>
        <v>Achievement Drive|Analyst|1|4</v>
      </c>
      <c r="B25" t="str">
        <v>Achievement Drive</v>
      </c>
      <c r="C25" t="str">
        <v>Analyst</v>
      </c>
      <c r="D25" s="76">
        <v>1</v>
      </c>
      <c r="E25" t="str" cm="1">
        <f t="array" ref="E25">INDEX(aspek!$D$2:$D$337,
   MATCH(1,(aspek!$A$2:$A$337=B25)*
           (aspek!$B$2:$B$337=C25)*
           (aspek!$C$2:$C$337=D25),0))</f>
        <v>Daya tahan komitmen sepanjang waktu</v>
      </c>
      <c r="F25" s="76">
        <v>4</v>
      </c>
      <c r="G25" s="56" t="str" cm="1">
        <f t="array" ref="G25">INDEX(deskripsi!$D$2:$H$337,
   MATCH(1,(deskripsi!$A$2:$A$337=B25)*
           (deskripsi!$B$2:$B$337=C25)*
           (deskripsi!$C$2:$C$337=D25),0),
   F25)</f>
        <v>Bertahan mandiri melewati hambatan berulang dalam rentang waktu berbulan-bulan.</v>
      </c>
    </row>
    <row r="26" spans="1:7">
      <c r="A26" t="str">
        <f t="shared" si="0"/>
        <v>Achievement Drive|Analyst|1|5</v>
      </c>
      <c r="B26" t="str">
        <v>Achievement Drive</v>
      </c>
      <c r="C26" t="str">
        <v>Analyst</v>
      </c>
      <c r="D26" s="76">
        <v>1</v>
      </c>
      <c r="E26" t="str" cm="1">
        <f t="array" ref="E26">INDEX(aspek!$D$2:$D$337,
   MATCH(1,(aspek!$A$2:$A$337=B26)*
           (aspek!$B$2:$B$337=C26)*
           (aspek!$C$2:$C$337=D26),0))</f>
        <v>Daya tahan komitmen sepanjang waktu</v>
      </c>
      <c r="F26" s="76">
        <v>5</v>
      </c>
      <c r="G26" s="56" t="str" cm="1">
        <f t="array" ref="G26">INDEX(deskripsi!$D$2:$H$337,
   MATCH(1,(deskripsi!$A$2:$A$337=B26)*
           (deskripsi!$B$2:$B$337=C26)*
           (deskripsi!$C$2:$C$337=D26),0),
   F26)</f>
        <v>Ketekunannya menular kepada rekan yang hampir menyerah.</v>
      </c>
    </row>
    <row r="27" spans="1:7">
      <c r="A27" t="str">
        <f t="shared" si="0"/>
        <v>Achievement Drive|Analyst|2|1</v>
      </c>
      <c r="B27" t="str">
        <v>Achievement Drive</v>
      </c>
      <c r="C27" t="str">
        <v>Analyst</v>
      </c>
      <c r="D27" s="76">
        <v>2</v>
      </c>
      <c r="E27" t="str" cm="1">
        <f t="array" ref="E27">INDEX(aspek!$D$2:$D$337,
   MATCH(1,(aspek!$A$2:$A$337=B27)*
           (aspek!$B$2:$B$337=C27)*
           (aspek!$C$2:$C$337=D27),0))</f>
        <v xml:space="preserve">Kemandirian mempertahankan usaha </v>
      </c>
      <c r="F27" s="76">
        <v>1</v>
      </c>
      <c r="G27" s="56" t="str" cm="1">
        <f t="array" ref="G27">INDEX(deskripsi!$D$2:$H$337,
   MATCH(1,(deskripsi!$A$2:$A$337=B27)*
           (deskripsi!$B$2:$B$337=C27)*
           (deskripsi!$C$2:$C$337=D27),0),
   F27)</f>
        <v>Berhenti tanpa mencoba cara lain ketika hambatan muncul.</v>
      </c>
    </row>
    <row r="28" spans="1:7">
      <c r="A28" t="str">
        <f t="shared" si="0"/>
        <v>Achievement Drive|Analyst|2|2</v>
      </c>
      <c r="B28" t="str">
        <v>Achievement Drive</v>
      </c>
      <c r="C28" t="str">
        <v>Analyst</v>
      </c>
      <c r="D28" s="76">
        <v>2</v>
      </c>
      <c r="E28" t="str" cm="1">
        <f t="array" ref="E28">INDEX(aspek!$D$2:$D$337,
   MATCH(1,(aspek!$A$2:$A$337=B28)*
           (aspek!$B$2:$B$337=C28)*
           (aspek!$C$2:$C$337=D28),0))</f>
        <v xml:space="preserve">Kemandirian mempertahankan usaha </v>
      </c>
      <c r="F28" s="76">
        <v>2</v>
      </c>
      <c r="G28" s="56" t="str" cm="1">
        <f t="array" ref="G28">INDEX(deskripsi!$D$2:$H$337,
   MATCH(1,(deskripsi!$A$2:$A$337=B28)*
           (deskripsi!$B$2:$B$337=C28)*
           (deskripsi!$C$2:$C$337=D28),0),
   F28)</f>
        <v>Melanjutkan hanya setelah didorong berulang oleh atasan.</v>
      </c>
    </row>
    <row r="29" spans="1:7">
      <c r="A29" t="str">
        <f t="shared" si="0"/>
        <v>Achievement Drive|Analyst|2|3</v>
      </c>
      <c r="B29" t="str">
        <v>Achievement Drive</v>
      </c>
      <c r="C29" t="str">
        <v>Analyst</v>
      </c>
      <c r="D29" s="76">
        <v>2</v>
      </c>
      <c r="E29" t="str" cm="1">
        <f t="array" ref="E29">INDEX(aspek!$D$2:$D$337,
   MATCH(1,(aspek!$A$2:$A$337=B29)*
           (aspek!$B$2:$B$337=C29)*
           (aspek!$C$2:$C$337=D29),0))</f>
        <v xml:space="preserve">Kemandirian mempertahankan usaha </v>
      </c>
      <c r="F29" s="76">
        <v>3</v>
      </c>
      <c r="G29" s="56" t="str" cm="1">
        <f t="array" ref="G29">INDEX(deskripsi!$D$2:$H$337,
   MATCH(1,(deskripsi!$A$2:$A$337=B29)*
           (deskripsi!$B$2:$B$337=C29)*
           (deskripsi!$C$2:$C$337=D29),0),
   F29)</f>
        <v>Melanjutkan dengan sesekali butuh dorongan.</v>
      </c>
    </row>
    <row r="30" spans="1:7" ht="28">
      <c r="A30" t="str">
        <f t="shared" si="0"/>
        <v>Achievement Drive|Analyst|2|4</v>
      </c>
      <c r="B30" t="str">
        <v>Achievement Drive</v>
      </c>
      <c r="C30" t="str">
        <v>Analyst</v>
      </c>
      <c r="D30" s="76">
        <v>2</v>
      </c>
      <c r="E30" t="str" cm="1">
        <f t="array" ref="E30">INDEX(aspek!$D$2:$D$337,
   MATCH(1,(aspek!$A$2:$A$337=B30)*
           (aspek!$B$2:$B$337=C30)*
           (aspek!$C$2:$C$337=D30),0))</f>
        <v xml:space="preserve">Kemandirian mempertahankan usaha </v>
      </c>
      <c r="F30" s="76">
        <v>4</v>
      </c>
      <c r="G30" s="56" t="str" cm="1">
        <f t="array" ref="G30">INDEX(deskripsi!$D$2:$H$337,
   MATCH(1,(deskripsi!$A$2:$A$337=B30)*
           (deskripsi!$B$2:$B$337=C30)*
           (deskripsi!$C$2:$C$337=D30),0),
   F30)</f>
        <v>Melanjutkan usaha atas kemauan sendiri, mencari cara baru tanpa harus terus didorong.</v>
      </c>
    </row>
    <row r="31" spans="1:7" ht="28">
      <c r="A31" t="str">
        <f t="shared" si="0"/>
        <v>Achievement Drive|Analyst|2|5</v>
      </c>
      <c r="B31" t="str">
        <v>Achievement Drive</v>
      </c>
      <c r="C31" t="str">
        <v>Analyst</v>
      </c>
      <c r="D31" s="76">
        <v>2</v>
      </c>
      <c r="E31" t="str" cm="1">
        <f t="array" ref="E31">INDEX(aspek!$D$2:$D$337,
   MATCH(1,(aspek!$A$2:$A$337=B31)*
           (aspek!$B$2:$B$337=C31)*
           (aspek!$C$2:$C$337=D31),0))</f>
        <v xml:space="preserve">Kemandirian mempertahankan usaha </v>
      </c>
      <c r="F31" s="76">
        <v>5</v>
      </c>
      <c r="G31" s="56" t="str" cm="1">
        <f t="array" ref="G31">INDEX(deskripsi!$D$2:$H$337,
   MATCH(1,(deskripsi!$A$2:$A$337=B31)*
           (deskripsi!$B$2:$B$337=C31)*
           (deskripsi!$C$2:$C$337=D31),0),
   F31)</f>
        <v>Menjadi sumber dorongan bagi rekan lain yang hampir menyerah.</v>
      </c>
    </row>
    <row r="32" spans="1:7" ht="28">
      <c r="A32" t="str">
        <f t="shared" si="0"/>
        <v>Achievement Drive|Analyst|3|1</v>
      </c>
      <c r="B32" t="str">
        <v>Achievement Drive</v>
      </c>
      <c r="C32" t="str">
        <v>Analyst</v>
      </c>
      <c r="D32" s="76">
        <v>3</v>
      </c>
      <c r="E32" t="str" cm="1">
        <f t="array" ref="E32">INDEX(aspek!$D$2:$D$337,
   MATCH(1,(aspek!$A$2:$A$337=B32)*
           (aspek!$B$2:$B$337=C32)*
           (aspek!$C$2:$C$337=D32),0))</f>
        <v>Ketekunan yang sehat, bukan keras kepala</v>
      </c>
      <c r="F32" s="76">
        <v>1</v>
      </c>
      <c r="G32" s="56" t="str" cm="1">
        <f t="array" ref="G32">INDEX(deskripsi!$D$2:$H$337,
   MATCH(1,(deskripsi!$A$2:$A$337=B32)*
           (deskripsi!$B$2:$B$337=C32)*
           (deskripsi!$C$2:$C$337=D32),0),
   F32)</f>
        <v>Mengulang cara yang sama meski terus gagal, tanpa mengevaluasi.</v>
      </c>
    </row>
    <row r="33" spans="1:7">
      <c r="A33" t="str">
        <f t="shared" si="0"/>
        <v>Achievement Drive|Analyst|3|2</v>
      </c>
      <c r="B33" t="str">
        <v>Achievement Drive</v>
      </c>
      <c r="C33" t="str">
        <v>Analyst</v>
      </c>
      <c r="D33" s="76">
        <v>3</v>
      </c>
      <c r="E33" t="str" cm="1">
        <f t="array" ref="E33">INDEX(aspek!$D$2:$D$337,
   MATCH(1,(aspek!$A$2:$A$337=B33)*
           (aspek!$B$2:$B$337=C33)*
           (aspek!$C$2:$C$337=D33),0))</f>
        <v>Ketekunan yang sehat, bukan keras kepala</v>
      </c>
      <c r="F33" s="76">
        <v>2</v>
      </c>
      <c r="G33" s="56" t="str" cm="1">
        <f t="array" ref="G33">INDEX(deskripsi!$D$2:$H$337,
   MATCH(1,(deskripsi!$A$2:$A$337=B33)*
           (deskripsi!$B$2:$B$337=C33)*
           (deskripsi!$C$2:$C$337=D33),0),
   F33)</f>
        <v>Menyadari cara tidak berhasil, tetapi tetap mengulanginya.</v>
      </c>
    </row>
    <row r="34" spans="1:7">
      <c r="A34" t="str">
        <f t="shared" si="0"/>
        <v>Achievement Drive|Analyst|3|3</v>
      </c>
      <c r="B34" t="str">
        <v>Achievement Drive</v>
      </c>
      <c r="C34" t="str">
        <v>Analyst</v>
      </c>
      <c r="D34" s="76">
        <v>3</v>
      </c>
      <c r="E34" t="str" cm="1">
        <f t="array" ref="E34">INDEX(aspek!$D$2:$D$337,
   MATCH(1,(aspek!$A$2:$A$337=B34)*
           (aspek!$B$2:$B$337=C34)*
           (aspek!$C$2:$C$337=D34),0))</f>
        <v>Ketekunan yang sehat, bukan keras kepala</v>
      </c>
      <c r="F34" s="76">
        <v>3</v>
      </c>
      <c r="G34" s="56" t="str" cm="1">
        <f t="array" ref="G34">INDEX(deskripsi!$D$2:$H$337,
   MATCH(1,(deskripsi!$A$2:$A$337=B34)*
           (deskripsi!$B$2:$B$337=C34)*
           (deskripsi!$C$2:$C$337=D34),0),
   F34)</f>
        <v>Mengubah taktik setelah gagal berulang kali.</v>
      </c>
    </row>
    <row r="35" spans="1:7" ht="42">
      <c r="A35" t="str">
        <f t="shared" si="0"/>
        <v>Achievement Drive|Analyst|3|4</v>
      </c>
      <c r="B35" t="str">
        <v>Achievement Drive</v>
      </c>
      <c r="C35" t="str">
        <v>Analyst</v>
      </c>
      <c r="D35" s="76">
        <v>3</v>
      </c>
      <c r="E35" t="str" cm="1">
        <f t="array" ref="E35">INDEX(aspek!$D$2:$D$337,
   MATCH(1,(aspek!$A$2:$A$337=B35)*
           (aspek!$B$2:$B$337=C35)*
           (aspek!$C$2:$C$337=D35),0))</f>
        <v>Ketekunan yang sehat, bukan keras kepala</v>
      </c>
      <c r="F35" s="76">
        <v>4</v>
      </c>
      <c r="G35" s="56" t="str" cm="1">
        <f t="array" ref="G35">INDEX(deskripsi!$D$2:$H$337,
   MATCH(1,(deskripsi!$A$2:$A$337=B35)*
           (deskripsi!$B$2:$B$337=C35)*
           (deskripsi!$C$2:$C$337=D35),0),
   F35)</f>
        <v>Membedakan kegagalan taktik dari kegagalan tujuan — mengubah cara secepat mungkin, tetap berkomitmen pada tujuan.</v>
      </c>
    </row>
    <row r="36" spans="1:7" ht="28">
      <c r="A36" t="str">
        <f t="shared" si="0"/>
        <v>Achievement Drive|Analyst|3|5</v>
      </c>
      <c r="B36" t="str">
        <v>Achievement Drive</v>
      </c>
      <c r="C36" t="str">
        <v>Analyst</v>
      </c>
      <c r="D36" s="76">
        <v>3</v>
      </c>
      <c r="E36" t="str" cm="1">
        <f t="array" ref="E36">INDEX(aspek!$D$2:$D$337,
   MATCH(1,(aspek!$A$2:$A$337=B36)*
           (aspek!$B$2:$B$337=C36)*
           (aspek!$C$2:$C$337=D36),0))</f>
        <v>Ketekunan yang sehat, bukan keras kepala</v>
      </c>
      <c r="F36" s="76">
        <v>5</v>
      </c>
      <c r="G36" s="56" t="str" cm="1">
        <f t="array" ref="G36">INDEX(deskripsi!$D$2:$H$337,
   MATCH(1,(deskripsi!$A$2:$A$337=B36)*
           (deskripsi!$B$2:$B$337=C36)*
           (deskripsi!$C$2:$C$337=D36),0),
   F36)</f>
        <v>Perubahan taktiknya menjadi contoh cara bertahan yang bijak, bukan sekadar ngotot.</v>
      </c>
    </row>
    <row r="37" spans="1:7">
      <c r="A37" t="str">
        <f t="shared" si="0"/>
        <v>Achievement Drive|Analyst|4|1</v>
      </c>
      <c r="B37" t="str">
        <v>Achievement Drive</v>
      </c>
      <c r="C37" t="str">
        <v>Analyst</v>
      </c>
      <c r="D37" s="76">
        <v>4</v>
      </c>
      <c r="E37" t="str" cm="1">
        <f t="array" ref="E37">INDEX(aspek!$D$2:$D$337,
   MATCH(1,(aspek!$A$2:$A$337=B37)*
           (aspek!$B$2:$B$337=C37)*
           (aspek!$C$2:$C$337=D37),0))</f>
        <v>Bangkit dari kegagalan signifikan</v>
      </c>
      <c r="F37" s="76">
        <v>1</v>
      </c>
      <c r="G37" s="56" t="str" cm="1">
        <f t="array" ref="G37">INDEX(deskripsi!$D$2:$H$337,
   MATCH(1,(deskripsi!$A$2:$A$337=B37)*
           (deskripsi!$B$2:$B$337=C37)*
           (deskripsi!$C$2:$C$337=D37),0),
   F37)</f>
        <v>Berhenti total setelah kegagalan besar.</v>
      </c>
    </row>
    <row r="38" spans="1:7" ht="28">
      <c r="A38" t="str">
        <f t="shared" si="0"/>
        <v>Achievement Drive|Analyst|4|2</v>
      </c>
      <c r="B38" t="str">
        <v>Achievement Drive</v>
      </c>
      <c r="C38" t="str">
        <v>Analyst</v>
      </c>
      <c r="D38" s="76">
        <v>4</v>
      </c>
      <c r="E38" t="str" cm="1">
        <f t="array" ref="E38">INDEX(aspek!$D$2:$D$337,
   MATCH(1,(aspek!$A$2:$A$337=B38)*
           (aspek!$B$2:$B$337=C38)*
           (aspek!$C$2:$C$337=D38),0))</f>
        <v>Bangkit dari kegagalan signifikan</v>
      </c>
      <c r="F38" s="76">
        <v>2</v>
      </c>
      <c r="G38" s="56" t="str" cm="1">
        <f t="array" ref="G38">INDEX(deskripsi!$D$2:$H$337,
   MATCH(1,(deskripsi!$A$2:$A$337=B38)*
           (deskripsi!$B$2:$B$337=C38)*
           (deskripsi!$C$2:$C$337=D38),0),
   F38)</f>
        <v>Butuh waktu lama dan dorongan kuat untuk melanjutkan setelah gagal besar.</v>
      </c>
    </row>
    <row r="39" spans="1:7">
      <c r="A39" t="str">
        <f t="shared" si="0"/>
        <v>Achievement Drive|Analyst|4|3</v>
      </c>
      <c r="B39" t="str">
        <v>Achievement Drive</v>
      </c>
      <c r="C39" t="str">
        <v>Analyst</v>
      </c>
      <c r="D39" s="76">
        <v>4</v>
      </c>
      <c r="E39" t="str" cm="1">
        <f t="array" ref="E39">INDEX(aspek!$D$2:$D$337,
   MATCH(1,(aspek!$A$2:$A$337=B39)*
           (aspek!$B$2:$B$337=C39)*
           (aspek!$C$2:$C$337=D39),0))</f>
        <v>Bangkit dari kegagalan signifikan</v>
      </c>
      <c r="F39" s="76">
        <v>3</v>
      </c>
      <c r="G39" s="56" t="str" cm="1">
        <f t="array" ref="G39">INDEX(deskripsi!$D$2:$H$337,
   MATCH(1,(deskripsi!$A$2:$A$337=B39)*
           (deskripsi!$B$2:$B$337=C39)*
           (deskripsi!$C$2:$C$337=D39),0),
   F39)</f>
        <v>Melanjutkan setelah kegagalan besar dengan dukungan.</v>
      </c>
    </row>
    <row r="40" spans="1:7" ht="28">
      <c r="A40" t="str">
        <f t="shared" si="0"/>
        <v>Achievement Drive|Analyst|4|4</v>
      </c>
      <c r="B40" t="str">
        <v>Achievement Drive</v>
      </c>
      <c r="C40" t="str">
        <v>Analyst</v>
      </c>
      <c r="D40" s="76">
        <v>4</v>
      </c>
      <c r="E40" t="str" cm="1">
        <f t="array" ref="E40">INDEX(aspek!$D$2:$D$337,
   MATCH(1,(aspek!$A$2:$A$337=B40)*
           (aspek!$B$2:$B$337=C40)*
           (aspek!$C$2:$C$337=D40),0))</f>
        <v>Bangkit dari kegagalan signifikan</v>
      </c>
      <c r="F40" s="76">
        <v>4</v>
      </c>
      <c r="G40" s="56" t="str" cm="1">
        <f t="array" ref="G40">INDEX(deskripsi!$D$2:$H$337,
   MATCH(1,(deskripsi!$A$2:$A$337=B40)*
           (deskripsi!$B$2:$B$337=C40)*
           (deskripsi!$C$2:$C$337=D40),0),
   F40)</f>
        <v>Memutuskan sendiri untuk melanjutkan setelah kegagalan signifikan, menyusun cara baru.</v>
      </c>
    </row>
    <row r="41" spans="1:7" ht="28">
      <c r="A41" t="str">
        <f t="shared" si="0"/>
        <v>Achievement Drive|Analyst|4|5</v>
      </c>
      <c r="B41" t="str">
        <v>Achievement Drive</v>
      </c>
      <c r="C41" t="str">
        <v>Analyst</v>
      </c>
      <c r="D41" s="76">
        <v>4</v>
      </c>
      <c r="E41" t="str" cm="1">
        <f t="array" ref="E41">INDEX(aspek!$D$2:$D$337,
   MATCH(1,(aspek!$A$2:$A$337=B41)*
           (aspek!$B$2:$B$337=C41)*
           (aspek!$C$2:$C$337=D41),0))</f>
        <v>Bangkit dari kegagalan signifikan</v>
      </c>
      <c r="F41" s="76">
        <v>5</v>
      </c>
      <c r="G41" s="56" t="str" cm="1">
        <f t="array" ref="G41">INDEX(deskripsi!$D$2:$H$337,
   MATCH(1,(deskripsi!$A$2:$A$337=B41)*
           (deskripsi!$B$2:$B$337=C41)*
           (deskripsi!$C$2:$C$337=D41),0),
   F41)</f>
        <v>Kegagalan besar justru menjadi titik balik yang memperkuat pencapaian berikutnya.</v>
      </c>
    </row>
    <row r="42" spans="1:7">
      <c r="A42" t="str">
        <f t="shared" si="0"/>
        <v>Achievement Drive|Unit Head/Specialist|1|1</v>
      </c>
      <c r="B42" t="str">
        <v>Achievement Drive</v>
      </c>
      <c r="C42" t="str">
        <v>Unit Head/Specialist</v>
      </c>
      <c r="D42" s="76">
        <v>1</v>
      </c>
      <c r="E42" t="str" cm="1">
        <f t="array" ref="E42">INDEX(aspek!$D$2:$D$337,
   MATCH(1,(aspek!$A$2:$A$337=B42)*
           (aspek!$B$2:$B$337=C42)*
           (aspek!$C$2:$C$337=D42),0))</f>
        <v>Kesadaran atas hasil terhadap target</v>
      </c>
      <c r="F42" s="76">
        <v>1</v>
      </c>
      <c r="G42" s="56" t="str" cm="1">
        <f t="array" ref="G42">INDEX(deskripsi!$D$2:$H$337,
   MATCH(1,(deskripsi!$A$2:$A$337=B42)*
           (deskripsi!$B$2:$B$337=C42)*
           (deskripsi!$C$2:$C$337=D42),0),
   F42)</f>
        <v>Tidak merefleksikan hasil target sama sekali.</v>
      </c>
    </row>
    <row r="43" spans="1:7" ht="28">
      <c r="A43" t="str">
        <f t="shared" si="0"/>
        <v>Achievement Drive|Unit Head/Specialist|1|2</v>
      </c>
      <c r="B43" t="str">
        <v>Achievement Drive</v>
      </c>
      <c r="C43" t="str">
        <v>Unit Head/Specialist</v>
      </c>
      <c r="D43" s="76">
        <v>1</v>
      </c>
      <c r="E43" t="str" cm="1">
        <f t="array" ref="E43">INDEX(aspek!$D$2:$D$337,
   MATCH(1,(aspek!$A$2:$A$337=B43)*
           (aspek!$B$2:$B$337=C43)*
           (aspek!$C$2:$C$337=D43),0))</f>
        <v>Kesadaran atas hasil terhadap target</v>
      </c>
      <c r="F43" s="76">
        <v>2</v>
      </c>
      <c r="G43" s="56" t="str" cm="1">
        <f t="array" ref="G43">INDEX(deskripsi!$D$2:$H$337,
   MATCH(1,(deskripsi!$A$2:$A$337=B43)*
           (deskripsi!$B$2:$B$337=C43)*
           (deskripsi!$C$2:$C$337=D43),0),
   F43)</f>
        <v>Menyadari target tercapai atau tidak, tidak menelusuri sebabnya.</v>
      </c>
    </row>
    <row r="44" spans="1:7" ht="28">
      <c r="A44" t="str">
        <f t="shared" si="0"/>
        <v>Achievement Drive|Unit Head/Specialist|1|3</v>
      </c>
      <c r="B44" t="str">
        <v>Achievement Drive</v>
      </c>
      <c r="C44" t="str">
        <v>Unit Head/Specialist</v>
      </c>
      <c r="D44" s="76">
        <v>1</v>
      </c>
      <c r="E44" t="str" cm="1">
        <f t="array" ref="E44">INDEX(aspek!$D$2:$D$337,
   MATCH(1,(aspek!$A$2:$A$337=B44)*
           (aspek!$B$2:$B$337=C44)*
           (aspek!$C$2:$C$337=D44),0))</f>
        <v>Kesadaran atas hasil terhadap target</v>
      </c>
      <c r="F44" s="76">
        <v>3</v>
      </c>
      <c r="G44" s="56" t="str" cm="1">
        <f t="array" ref="G44">INDEX(deskripsi!$D$2:$H$337,
   MATCH(1,(deskripsi!$A$2:$A$337=B44)*
           (deskripsi!$B$2:$B$337=C44)*
           (deskripsi!$C$2:$C$337=D44),0),
   F44)</f>
        <v>Menelusuri sebab target yang meleset pada pekerjaannya sendiri.</v>
      </c>
    </row>
    <row r="45" spans="1:7" ht="28">
      <c r="A45" t="str">
        <f t="shared" si="0"/>
        <v>Achievement Drive|Unit Head/Specialist|1|4</v>
      </c>
      <c r="B45" t="str">
        <v>Achievement Drive</v>
      </c>
      <c r="C45" t="str">
        <v>Unit Head/Specialist</v>
      </c>
      <c r="D45" s="76">
        <v>1</v>
      </c>
      <c r="E45" t="str" cm="1">
        <f t="array" ref="E45">INDEX(aspek!$D$2:$D$337,
   MATCH(1,(aspek!$A$2:$A$337=B45)*
           (aspek!$B$2:$B$337=C45)*
           (aspek!$C$2:$C$337=D45),0))</f>
        <v>Kesadaran atas hasil terhadap target</v>
      </c>
      <c r="F45" s="76">
        <v>4</v>
      </c>
      <c r="G45" s="56" t="str" cm="1">
        <f t="array" ref="G45">INDEX(deskripsi!$D$2:$H$337,
   MATCH(1,(deskripsi!$A$2:$A$337=B45)*
           (deskripsi!$B$2:$B$337=C45)*
           (deskripsi!$C$2:$C$337=D45),0),
   F45)</f>
        <v>Menelusuri sebab pada tingkat tim, termasuk target yang dianggap sudah cukup baik.</v>
      </c>
    </row>
    <row r="46" spans="1:7" ht="28">
      <c r="A46" t="str">
        <f t="shared" si="0"/>
        <v>Achievement Drive|Unit Head/Specialist|1|5</v>
      </c>
      <c r="B46" t="str">
        <v>Achievement Drive</v>
      </c>
      <c r="C46" t="str">
        <v>Unit Head/Specialist</v>
      </c>
      <c r="D46" s="76">
        <v>1</v>
      </c>
      <c r="E46" t="str" cm="1">
        <f t="array" ref="E46">INDEX(aspek!$D$2:$D$337,
   MATCH(1,(aspek!$A$2:$A$337=B46)*
           (aspek!$B$2:$B$337=C46)*
           (aspek!$C$2:$C$337=D46),0))</f>
        <v>Kesadaran atas hasil terhadap target</v>
      </c>
      <c r="F46" s="76">
        <v>5</v>
      </c>
      <c r="G46" s="56" t="str" cm="1">
        <f t="array" ref="G46">INDEX(deskripsi!$D$2:$H$337,
   MATCH(1,(deskripsi!$A$2:$A$337=B46)*
           (deskripsi!$B$2:$B$337=C46)*
           (deskripsi!$C$2:$C$337=D46),0),
   F46)</f>
        <v>Menjadi rujukan tim untuk memahami mengapa target tercapai atau gagal.</v>
      </c>
    </row>
    <row r="47" spans="1:7">
      <c r="A47" t="str">
        <f t="shared" si="0"/>
        <v>Achievement Drive|Unit Head/Specialist|2|1</v>
      </c>
      <c r="B47" t="str">
        <v>Achievement Drive</v>
      </c>
      <c r="C47" t="str">
        <v>Unit Head/Specialist</v>
      </c>
      <c r="D47" s="76">
        <v>2</v>
      </c>
      <c r="E47" t="str" cm="1">
        <f t="array" ref="E47">INDEX(aspek!$D$2:$D$337,
   MATCH(1,(aspek!$A$2:$A$337=B47)*
           (aspek!$B$2:$B$337=C47)*
           (aspek!$C$2:$C$337=D47),0))</f>
        <v>Refleksi berujung tindakan</v>
      </c>
      <c r="F47" s="76">
        <v>1</v>
      </c>
      <c r="G47" s="56" t="str" cm="1">
        <f t="array" ref="G47">INDEX(deskripsi!$D$2:$H$337,
   MATCH(1,(deskripsi!$A$2:$A$337=B47)*
           (deskripsi!$B$2:$B$337=C47)*
           (deskripsi!$C$2:$C$337=D47),0),
   F47)</f>
        <v>Tidak menarik pelajaran dari target yang meleset.</v>
      </c>
    </row>
    <row r="48" spans="1:7">
      <c r="A48" t="str">
        <f t="shared" si="0"/>
        <v>Achievement Drive|Unit Head/Specialist|2|2</v>
      </c>
      <c r="B48" t="str">
        <v>Achievement Drive</v>
      </c>
      <c r="C48" t="str">
        <v>Unit Head/Specialist</v>
      </c>
      <c r="D48" s="76">
        <v>2</v>
      </c>
      <c r="E48" t="str" cm="1">
        <f t="array" ref="E48">INDEX(aspek!$D$2:$D$337,
   MATCH(1,(aspek!$A$2:$A$337=B48)*
           (aspek!$B$2:$B$337=C48)*
           (aspek!$C$2:$C$337=D48),0))</f>
        <v>Refleksi berujung tindakan</v>
      </c>
      <c r="F48" s="76">
        <v>2</v>
      </c>
      <c r="G48" s="56" t="str" cm="1">
        <f t="array" ref="G48">INDEX(deskripsi!$D$2:$H$337,
   MATCH(1,(deskripsi!$A$2:$A$337=B48)*
           (deskripsi!$B$2:$B$337=C48)*
           (deskripsi!$C$2:$C$337=D48),0),
   F48)</f>
        <v>Menarik pelajaran, tetapi berhenti sebagai kesadaran.</v>
      </c>
    </row>
    <row r="49" spans="1:7" ht="28">
      <c r="A49" t="str">
        <f t="shared" si="0"/>
        <v>Achievement Drive|Unit Head/Specialist|2|3</v>
      </c>
      <c r="B49" t="str">
        <v>Achievement Drive</v>
      </c>
      <c r="C49" t="str">
        <v>Unit Head/Specialist</v>
      </c>
      <c r="D49" s="76">
        <v>2</v>
      </c>
      <c r="E49" t="str" cm="1">
        <f t="array" ref="E49">INDEX(aspek!$D$2:$D$337,
   MATCH(1,(aspek!$A$2:$A$337=B49)*
           (aspek!$B$2:$B$337=C49)*
           (aspek!$C$2:$C$337=D49),0))</f>
        <v>Refleksi berujung tindakan</v>
      </c>
      <c r="F49" s="76">
        <v>3</v>
      </c>
      <c r="G49" s="56" t="str" cm="1">
        <f t="array" ref="G49">INDEX(deskripsi!$D$2:$H$337,
   MATCH(1,(deskripsi!$A$2:$A$337=B49)*
           (deskripsi!$B$2:$B$337=C49)*
           (deskripsi!$C$2:$C$337=D49),0),
   F49)</f>
        <v>Menetapkan tindakan perbaikan, tidak selalu diterapkan pada target berikutnya.</v>
      </c>
    </row>
    <row r="50" spans="1:7" ht="28">
      <c r="A50" t="str">
        <f t="shared" si="0"/>
        <v>Achievement Drive|Unit Head/Specialist|2|4</v>
      </c>
      <c r="B50" t="str">
        <v>Achievement Drive</v>
      </c>
      <c r="C50" t="str">
        <v>Unit Head/Specialist</v>
      </c>
      <c r="D50" s="76">
        <v>2</v>
      </c>
      <c r="E50" t="str" cm="1">
        <f t="array" ref="E50">INDEX(aspek!$D$2:$D$337,
   MATCH(1,(aspek!$A$2:$A$337=B50)*
           (aspek!$B$2:$B$337=C50)*
           (aspek!$C$2:$C$337=D50),0))</f>
        <v>Refleksi berujung tindakan</v>
      </c>
      <c r="F50" s="76">
        <v>4</v>
      </c>
      <c r="G50" s="56" t="str" cm="1">
        <f t="array" ref="G50">INDEX(deskripsi!$D$2:$H$337,
   MATCH(1,(deskripsi!$A$2:$A$337=B50)*
           (deskripsi!$B$2:$B$337=C50)*
           (deskripsi!$C$2:$C$337=D50),0),
   F50)</f>
        <v>Pelajaran diubah menjadi tindakan yang dijalankan, dengan bukti pencapaian target membaik.</v>
      </c>
    </row>
    <row r="51" spans="1:7">
      <c r="A51" t="str">
        <f t="shared" si="0"/>
        <v>Achievement Drive|Unit Head/Specialist|2|5</v>
      </c>
      <c r="B51" t="str">
        <v>Achievement Drive</v>
      </c>
      <c r="C51" t="str">
        <v>Unit Head/Specialist</v>
      </c>
      <c r="D51" s="76">
        <v>2</v>
      </c>
      <c r="E51" t="str" cm="1">
        <f t="array" ref="E51">INDEX(aspek!$D$2:$D$337,
   MATCH(1,(aspek!$A$2:$A$337=B51)*
           (aspek!$B$2:$B$337=C51)*
           (aspek!$C$2:$C$337=D51),0))</f>
        <v>Refleksi berujung tindakan</v>
      </c>
      <c r="F51" s="76">
        <v>5</v>
      </c>
      <c r="G51" s="56" t="str" cm="1">
        <f t="array" ref="G51">INDEX(deskripsi!$D$2:$H$337,
   MATCH(1,(deskripsi!$A$2:$A$337=B51)*
           (deskripsi!$B$2:$B$337=C51)*
           (deskripsi!$C$2:$C$337=D51),0),
   F51)</f>
        <v>Tindakan perbaikannya menjadi kebiasaan baku tim.</v>
      </c>
    </row>
    <row r="52" spans="1:7" ht="28">
      <c r="A52" t="str">
        <f t="shared" si="0"/>
        <v>Achievement Drive|Unit Head/Specialist|3|1</v>
      </c>
      <c r="B52" t="str">
        <v>Achievement Drive</v>
      </c>
      <c r="C52" t="str">
        <v>Unit Head/Specialist</v>
      </c>
      <c r="D52" s="76">
        <v>3</v>
      </c>
      <c r="E52" t="str" cm="1">
        <f t="array" ref="E52">INDEX(aspek!$D$2:$D$337,
   MATCH(1,(aspek!$A$2:$A$337=B52)*
           (aspek!$B$2:$B$337=C52)*
           (aspek!$C$2:$C$337=D52),0))</f>
        <v>Pembelajaran kolektif tanpa kambing hitam</v>
      </c>
      <c r="F52" s="76">
        <v>1</v>
      </c>
      <c r="G52" s="56" t="str" cm="1">
        <f t="array" ref="G52">INDEX(deskripsi!$D$2:$H$337,
   MATCH(1,(deskripsi!$A$2:$A$337=B52)*
           (deskripsi!$B$2:$B$337=C52)*
           (deskripsi!$C$2:$C$337=D52),0),
   F52)</f>
        <v>Target tim yang gagal dibahas dengan mencari siapa yang salah.</v>
      </c>
    </row>
    <row r="53" spans="1:7" ht="28">
      <c r="A53" t="str">
        <f t="shared" si="0"/>
        <v>Achievement Drive|Unit Head/Specialist|3|2</v>
      </c>
      <c r="B53" t="str">
        <v>Achievement Drive</v>
      </c>
      <c r="C53" t="str">
        <v>Unit Head/Specialist</v>
      </c>
      <c r="D53" s="76">
        <v>3</v>
      </c>
      <c r="E53" t="str" cm="1">
        <f t="array" ref="E53">INDEX(aspek!$D$2:$D$337,
   MATCH(1,(aspek!$A$2:$A$337=B53)*
           (aspek!$B$2:$B$337=C53)*
           (aspek!$C$2:$C$337=D53),0))</f>
        <v>Pembelajaran kolektif tanpa kambing hitam</v>
      </c>
      <c r="F53" s="76">
        <v>2</v>
      </c>
      <c r="G53" s="56" t="str" cm="1">
        <f t="array" ref="G53">INDEX(deskripsi!$D$2:$H$337,
   MATCH(1,(deskripsi!$A$2:$A$337=B53)*
           (deskripsi!$B$2:$B$337=C53)*
           (deskripsi!$C$2:$C$337=D53),0),
   F53)</f>
        <v>Dibahas, tetapi anggota tim menahan diri karena takut disalahkan.</v>
      </c>
    </row>
    <row r="54" spans="1:7">
      <c r="A54" t="str">
        <f t="shared" si="0"/>
        <v>Achievement Drive|Unit Head/Specialist|3|3</v>
      </c>
      <c r="B54" t="str">
        <v>Achievement Drive</v>
      </c>
      <c r="C54" t="str">
        <v>Unit Head/Specialist</v>
      </c>
      <c r="D54" s="76">
        <v>3</v>
      </c>
      <c r="E54" t="str" cm="1">
        <f t="array" ref="E54">INDEX(aspek!$D$2:$D$337,
   MATCH(1,(aspek!$A$2:$A$337=B54)*
           (aspek!$B$2:$B$337=C54)*
           (aspek!$C$2:$C$337=D54),0))</f>
        <v>Pembelajaran kolektif tanpa kambing hitam</v>
      </c>
      <c r="F54" s="76">
        <v>3</v>
      </c>
      <c r="G54" s="56" t="str" cm="1">
        <f t="array" ref="G54">INDEX(deskripsi!$D$2:$H$337,
   MATCH(1,(deskripsi!$A$2:$A$337=B54)*
           (deskripsi!$B$2:$B$337=C54)*
           (deskripsi!$C$2:$C$337=D54),0),
   F54)</f>
        <v>Dibahas terbuka pada kasus yang tidak terlalu sensitif.</v>
      </c>
    </row>
    <row r="55" spans="1:7" ht="28">
      <c r="A55" t="str">
        <f t="shared" si="0"/>
        <v>Achievement Drive|Unit Head/Specialist|3|4</v>
      </c>
      <c r="B55" t="str">
        <v>Achievement Drive</v>
      </c>
      <c r="C55" t="str">
        <v>Unit Head/Specialist</v>
      </c>
      <c r="D55" s="76">
        <v>3</v>
      </c>
      <c r="E55" t="str" cm="1">
        <f t="array" ref="E55">INDEX(aspek!$D$2:$D$337,
   MATCH(1,(aspek!$A$2:$A$337=B55)*
           (aspek!$B$2:$B$337=C55)*
           (aspek!$C$2:$C$337=D55),0))</f>
        <v>Pembelajaran kolektif tanpa kambing hitam</v>
      </c>
      <c r="F55" s="76">
        <v>4</v>
      </c>
      <c r="G55" s="56" t="str" cm="1">
        <f t="array" ref="G55">INDEX(deskripsi!$D$2:$H$337,
   MATCH(1,(deskripsi!$A$2:$A$337=B55)*
           (deskripsi!$B$2:$B$337=C55)*
           (deskripsi!$C$2:$C$337=D55),0),
   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76">
        <v>3</v>
      </c>
      <c r="E56" t="str" cm="1">
        <f t="array" ref="E56">INDEX(aspek!$D$2:$D$337,
   MATCH(1,(aspek!$A$2:$A$337=B56)*
           (aspek!$B$2:$B$337=C56)*
           (aspek!$C$2:$C$337=D56),0))</f>
        <v>Pembelajaran kolektif tanpa kambing hitam</v>
      </c>
      <c r="F56" s="76">
        <v>5</v>
      </c>
      <c r="G56" s="56" t="str" cm="1">
        <f t="array" ref="G56">INDEX(deskripsi!$D$2:$H$337,
   MATCH(1,(deskripsi!$A$2:$A$337=B56)*
           (deskripsi!$B$2:$B$337=C56)*
           (deskripsi!$C$2:$C$337=D56),0),
   F56)</f>
        <v>Tim secara mandiri membahas kegagalan target mereka tanpa perlu dipimpin.</v>
      </c>
    </row>
    <row r="57" spans="1:7">
      <c r="A57" t="str">
        <f t="shared" si="0"/>
        <v>Achievement Drive|Unit Head/Specialist|4|1</v>
      </c>
      <c r="B57" t="str">
        <v>Achievement Drive</v>
      </c>
      <c r="C57" t="str">
        <v>Unit Head/Specialist</v>
      </c>
      <c r="D57" s="76">
        <v>4</v>
      </c>
      <c r="E57" t="str" cm="1">
        <f t="array" ref="E57">INDEX(aspek!$D$2:$D$337,
   MATCH(1,(aspek!$A$2:$A$337=B57)*
           (aspek!$B$2:$B$337=C57)*
           (aspek!$C$2:$C$337=D57),0))</f>
        <v>Pelembagaan perbaikan</v>
      </c>
      <c r="F57" s="76">
        <v>1</v>
      </c>
      <c r="G57" s="56" t="str" cm="1">
        <f t="array" ref="G57">INDEX(deskripsi!$D$2:$H$337,
   MATCH(1,(deskripsi!$A$2:$A$337=B57)*
           (deskripsi!$B$2:$B$337=C57)*
           (deskripsi!$C$2:$C$337=D57),0),
   F57)</f>
        <v>Perbaikan hanya berupa pengingat lisan kepada individu.</v>
      </c>
    </row>
    <row r="58" spans="1:7">
      <c r="A58" t="str">
        <f t="shared" si="0"/>
        <v>Achievement Drive|Unit Head/Specialist|4|2</v>
      </c>
      <c r="B58" t="str">
        <v>Achievement Drive</v>
      </c>
      <c r="C58" t="str">
        <v>Unit Head/Specialist</v>
      </c>
      <c r="D58" s="76">
        <v>4</v>
      </c>
      <c r="E58" t="str" cm="1">
        <f t="array" ref="E58">INDEX(aspek!$D$2:$D$337,
   MATCH(1,(aspek!$A$2:$A$337=B58)*
           (aspek!$B$2:$B$337=C58)*
           (aspek!$C$2:$C$337=D58),0))</f>
        <v>Pelembagaan perbaikan</v>
      </c>
      <c r="F58" s="76">
        <v>2</v>
      </c>
      <c r="G58" s="56" t="str" cm="1">
        <f t="array" ref="G58">INDEX(deskripsi!$D$2:$H$337,
   MATCH(1,(deskripsi!$A$2:$A$337=B58)*
           (deskripsi!$B$2:$B$337=C58)*
           (deskripsi!$C$2:$C$337=D58),0),
   F58)</f>
        <v>Perbaikan dicatat, tidak ada perubahan cara kerja tim.</v>
      </c>
    </row>
    <row r="59" spans="1:7">
      <c r="A59" t="str">
        <f t="shared" si="0"/>
        <v>Achievement Drive|Unit Head/Specialist|4|3</v>
      </c>
      <c r="B59" t="str">
        <v>Achievement Drive</v>
      </c>
      <c r="C59" t="str">
        <v>Unit Head/Specialist</v>
      </c>
      <c r="D59" s="76">
        <v>4</v>
      </c>
      <c r="E59" t="str" cm="1">
        <f t="array" ref="E59">INDEX(aspek!$D$2:$D$337,
   MATCH(1,(aspek!$A$2:$A$337=B59)*
           (aspek!$B$2:$B$337=C59)*
           (aspek!$C$2:$C$337=D59),0))</f>
        <v>Pelembagaan perbaikan</v>
      </c>
      <c r="F59" s="76">
        <v>3</v>
      </c>
      <c r="G59" s="56" t="str" cm="1">
        <f t="array" ref="G59">INDEX(deskripsi!$D$2:$H$337,
   MATCH(1,(deskripsi!$A$2:$A$337=B59)*
           (deskripsi!$B$2:$B$337=C59)*
           (deskripsi!$C$2:$C$337=D59),0),
   F59)</f>
        <v>Perbaikan diterapkan pada kasus yang sama bila muncul lagi.</v>
      </c>
    </row>
    <row r="60" spans="1:7" ht="28">
      <c r="A60" t="str">
        <f t="shared" si="0"/>
        <v>Achievement Drive|Unit Head/Specialist|4|4</v>
      </c>
      <c r="B60" t="str">
        <v>Achievement Drive</v>
      </c>
      <c r="C60" t="str">
        <v>Unit Head/Specialist</v>
      </c>
      <c r="D60" s="76">
        <v>4</v>
      </c>
      <c r="E60" t="str" cm="1">
        <f t="array" ref="E60">INDEX(aspek!$D$2:$D$337,
   MATCH(1,(aspek!$A$2:$A$337=B60)*
           (aspek!$B$2:$B$337=C60)*
           (aspek!$C$2:$C$337=D60),0))</f>
        <v>Pelembagaan perbaikan</v>
      </c>
      <c r="F60" s="76">
        <v>4</v>
      </c>
      <c r="G60" s="56" t="str" cm="1">
        <f t="array" ref="G60">INDEX(deskripsi!$D$2:$H$337,
   MATCH(1,(deskripsi!$A$2:$A$337=B60)*
           (deskripsi!$B$2:$B$337=C60)*
           (deskripsi!$C$2:$C$337=D60),0),
   F60)</f>
        <v>Perbaikan diubah menjadi perubahan cara kerja tim, sehingga target yang sama tidak berulang gagal.</v>
      </c>
    </row>
    <row r="61" spans="1:7">
      <c r="A61" t="str">
        <f t="shared" si="0"/>
        <v>Achievement Drive|Unit Head/Specialist|4|5</v>
      </c>
      <c r="B61" t="str">
        <v>Achievement Drive</v>
      </c>
      <c r="C61" t="str">
        <v>Unit Head/Specialist</v>
      </c>
      <c r="D61" s="76">
        <v>4</v>
      </c>
      <c r="E61" t="str" cm="1">
        <f t="array" ref="E61">INDEX(aspek!$D$2:$D$337,
   MATCH(1,(aspek!$A$2:$A$337=B61)*
           (aspek!$B$2:$B$337=C61)*
           (aspek!$C$2:$C$337=D61),0))</f>
        <v>Pelembagaan perbaikan</v>
      </c>
      <c r="F61" s="76">
        <v>5</v>
      </c>
      <c r="G61" s="56" t="str" cm="1">
        <f t="array" ref="G61">INDEX(deskripsi!$D$2:$H$337,
   MATCH(1,(deskripsi!$A$2:$A$337=B61)*
           (deskripsi!$B$2:$B$337=C61)*
           (deskripsi!$C$2:$C$337=D61),0),
   F61)</f>
        <v>Cara kerja yang diperbaikinya diadopsi unit lain.</v>
      </c>
    </row>
    <row r="62" spans="1:7">
      <c r="A62" t="str">
        <f t="shared" si="0"/>
        <v>Achievement Drive|Department Head|1|1</v>
      </c>
      <c r="B62" t="str">
        <v>Achievement Drive</v>
      </c>
      <c r="C62" t="str">
        <v>Department Head</v>
      </c>
      <c r="D62" s="76">
        <v>1</v>
      </c>
      <c r="E62" t="str" cm="1">
        <f t="array" ref="E62">INDEX(aspek!$D$2:$D$337,
   MATCH(1,(aspek!$A$2:$A$337=B62)*
           (aspek!$B$2:$B$337=C62)*
           (aspek!$C$2:$C$337=D62),0))</f>
        <v>Stabilitas atensi saat beban meningkat</v>
      </c>
      <c r="F62" s="76">
        <v>1</v>
      </c>
      <c r="G62" s="56" t="str" cm="1">
        <f t="array" ref="G62">INDEX(deskripsi!$D$2:$H$337,
   MATCH(1,(deskripsi!$A$2:$A$337=B62)*
           (deskripsi!$B$2:$B$337=C62)*
           (deskripsi!$C$2:$C$337=D62),0),
   F62)</f>
        <v>Kehilangan fokus sepenuhnya saat tertekan.</v>
      </c>
    </row>
    <row r="63" spans="1:7">
      <c r="A63" t="str">
        <f t="shared" si="0"/>
        <v>Achievement Drive|Department Head|1|2</v>
      </c>
      <c r="B63" t="str">
        <v>Achievement Drive</v>
      </c>
      <c r="C63" t="str">
        <v>Department Head</v>
      </c>
      <c r="D63" s="76">
        <v>1</v>
      </c>
      <c r="E63" t="str" cm="1">
        <f t="array" ref="E63">INDEX(aspek!$D$2:$D$337,
   MATCH(1,(aspek!$A$2:$A$337=B63)*
           (aspek!$B$2:$B$337=C63)*
           (aspek!$C$2:$C$337=D63),0))</f>
        <v>Stabilitas atensi saat beban meningkat</v>
      </c>
      <c r="F63" s="76">
        <v>2</v>
      </c>
      <c r="G63" s="56" t="str" cm="1">
        <f t="array" ref="G63">INDEX(deskripsi!$D$2:$H$337,
   MATCH(1,(deskripsi!$A$2:$A$337=B63)*
           (deskripsi!$B$2:$B$337=C63)*
           (deskripsi!$C$2:$C$337=D63),0),
   F63)</f>
        <v>Sering terganggu, sulit menyelesaikan tugas kritis.</v>
      </c>
    </row>
    <row r="64" spans="1:7">
      <c r="A64" t="str">
        <f t="shared" si="0"/>
        <v>Achievement Drive|Department Head|1|3</v>
      </c>
      <c r="B64" t="str">
        <v>Achievement Drive</v>
      </c>
      <c r="C64" t="str">
        <v>Department Head</v>
      </c>
      <c r="D64" s="76">
        <v>1</v>
      </c>
      <c r="E64" t="str" cm="1">
        <f t="array" ref="E64">INDEX(aspek!$D$2:$D$337,
   MATCH(1,(aspek!$A$2:$A$337=B64)*
           (aspek!$B$2:$B$337=C64)*
           (aspek!$C$2:$C$337=D64),0))</f>
        <v>Stabilitas atensi saat beban meningkat</v>
      </c>
      <c r="F64" s="76">
        <v>3</v>
      </c>
      <c r="G64" s="56" t="str" cm="1">
        <f t="array" ref="G64">INDEX(deskripsi!$D$2:$H$337,
   MATCH(1,(deskripsi!$A$2:$A$337=B64)*
           (deskripsi!$B$2:$B$337=C64)*
           (deskripsi!$C$2:$C$337=D64),0),
   F64)</f>
        <v>Tetap fokus dengan dukungan atasan atau rekan.</v>
      </c>
    </row>
    <row r="65" spans="1:7" ht="28">
      <c r="A65" t="str">
        <f t="shared" si="0"/>
        <v>Achievement Drive|Department Head|1|4</v>
      </c>
      <c r="B65" t="str">
        <v>Achievement Drive</v>
      </c>
      <c r="C65" t="str">
        <v>Department Head</v>
      </c>
      <c r="D65" s="76">
        <v>1</v>
      </c>
      <c r="E65" t="str" cm="1">
        <f t="array" ref="E65">INDEX(aspek!$D$2:$D$337,
   MATCH(1,(aspek!$A$2:$A$337=B65)*
           (aspek!$B$2:$B$337=C65)*
           (aspek!$C$2:$C$337=D65),0))</f>
        <v>Stabilitas atensi saat beban meningkat</v>
      </c>
      <c r="F65" s="76">
        <v>4</v>
      </c>
      <c r="G65" s="56" t="str" cm="1">
        <f t="array" ref="G65">INDEX(deskripsi!$D$2:$H$337,
   MATCH(1,(deskripsi!$A$2:$A$337=B65)*
           (deskripsi!$B$2:$B$337=C65)*
           (deskripsi!$C$2:$C$337=D65),0),
   F65)</f>
        <v>Tetap fokus secara mandiri meski beban tinggi, tanpa dukungan terus-menerus.</v>
      </c>
    </row>
    <row r="66" spans="1:7" ht="28">
      <c r="A66" t="str">
        <f t="shared" si="0"/>
        <v>Achievement Drive|Department Head|1|5</v>
      </c>
      <c r="B66" t="str">
        <v>Achievement Drive</v>
      </c>
      <c r="C66" t="str">
        <v>Department Head</v>
      </c>
      <c r="D66" s="76">
        <v>1</v>
      </c>
      <c r="E66" t="str" cm="1">
        <f t="array" ref="E66">INDEX(aspek!$D$2:$D$337,
   MATCH(1,(aspek!$A$2:$A$337=B66)*
           (aspek!$B$2:$B$337=C66)*
           (aspek!$C$2:$C$337=D66),0))</f>
        <v>Stabilitas atensi saat beban meningkat</v>
      </c>
      <c r="F66" s="76">
        <v>5</v>
      </c>
      <c r="G66" s="56" t="str" cm="1">
        <f t="array" ref="G66">INDEX(deskripsi!$D$2:$H$337,
   MATCH(1,(deskripsi!$A$2:$A$337=B66)*
           (deskripsi!$B$2:$B$337=C66)*
           (deskripsi!$C$2:$C$337=D66),0),
   F66)</f>
        <v>Fokusnya menenangkan orang lain di sekitarnya yang ikut tertekan.</v>
      </c>
    </row>
    <row r="67" spans="1:7">
      <c r="A67" t="str">
        <f t="shared" ref="A67:A130" si="1">B67&amp;"|"&amp;C67&amp;"|"&amp;D67&amp;"|"&amp;F67</f>
        <v>Achievement Drive|Department Head|2|1</v>
      </c>
      <c r="B67" t="str">
        <v>Achievement Drive</v>
      </c>
      <c r="C67" t="str">
        <v>Department Head</v>
      </c>
      <c r="D67" s="76">
        <v>2</v>
      </c>
      <c r="E67" t="str" cm="1">
        <f t="array" ref="E67">INDEX(aspek!$D$2:$D$337,
   MATCH(1,(aspek!$A$2:$A$337=B67)*
           (aspek!$B$2:$B$337=C67)*
           (aspek!$C$2:$C$337=D67),0))</f>
        <v>Kualitas output saat tertekan</v>
      </c>
      <c r="F67" s="76">
        <v>1</v>
      </c>
      <c r="G67" s="56" t="str" cm="1">
        <f t="array" ref="G67">INDEX(deskripsi!$D$2:$H$337,
   MATCH(1,(deskripsi!$A$2:$A$337=B67)*
           (deskripsi!$B$2:$B$337=C67)*
           (deskripsi!$C$2:$C$337=D67),0),
   F67)</f>
        <v>Kualitas turun drastis saat beban tinggi.</v>
      </c>
    </row>
    <row r="68" spans="1:7">
      <c r="A68" t="str">
        <f t="shared" si="1"/>
        <v>Achievement Drive|Department Head|2|2</v>
      </c>
      <c r="B68" t="str">
        <v>Achievement Drive</v>
      </c>
      <c r="C68" t="str">
        <v>Department Head</v>
      </c>
      <c r="D68" s="76">
        <v>2</v>
      </c>
      <c r="E68" t="str" cm="1">
        <f t="array" ref="E68">INDEX(aspek!$D$2:$D$337,
   MATCH(1,(aspek!$A$2:$A$337=B68)*
           (aspek!$B$2:$B$337=C68)*
           (aspek!$C$2:$C$337=D68),0))</f>
        <v>Kualitas output saat tertekan</v>
      </c>
      <c r="F68" s="76">
        <v>2</v>
      </c>
      <c r="G68" s="56" t="str" cm="1">
        <f t="array" ref="G68">INDEX(deskripsi!$D$2:$H$337,
   MATCH(1,(deskripsi!$A$2:$A$337=B68)*
           (deskripsi!$B$2:$B$337=C68)*
           (deskripsi!$C$2:$C$337=D68),0),
   F68)</f>
        <v>Kualitas turun cukup terasa, meski pekerjaan selesai.</v>
      </c>
    </row>
    <row r="69" spans="1:7">
      <c r="A69" t="str">
        <f t="shared" si="1"/>
        <v>Achievement Drive|Department Head|2|3</v>
      </c>
      <c r="B69" t="str">
        <v>Achievement Drive</v>
      </c>
      <c r="C69" t="str">
        <v>Department Head</v>
      </c>
      <c r="D69" s="76">
        <v>2</v>
      </c>
      <c r="E69" t="str" cm="1">
        <f t="array" ref="E69">INDEX(aspek!$D$2:$D$337,
   MATCH(1,(aspek!$A$2:$A$337=B69)*
           (aspek!$B$2:$B$337=C69)*
           (aspek!$C$2:$C$337=D69),0))</f>
        <v>Kualitas output saat tertekan</v>
      </c>
      <c r="F69" s="76">
        <v>3</v>
      </c>
      <c r="G69" s="56" t="str" cm="1">
        <f t="array" ref="G69">INDEX(deskripsi!$D$2:$H$337,
   MATCH(1,(deskripsi!$A$2:$A$337=B69)*
           (deskripsi!$B$2:$B$337=C69)*
           (deskripsi!$C$2:$C$337=D69),0),
   F69)</f>
        <v>Kualitas relatif terjaga pada beban yang familiar.</v>
      </c>
    </row>
    <row r="70" spans="1:7" ht="28">
      <c r="A70" t="str">
        <f t="shared" si="1"/>
        <v>Achievement Drive|Department Head|2|4</v>
      </c>
      <c r="B70" t="str">
        <v>Achievement Drive</v>
      </c>
      <c r="C70" t="str">
        <v>Department Head</v>
      </c>
      <c r="D70" s="76">
        <v>2</v>
      </c>
      <c r="E70" t="str" cm="1">
        <f t="array" ref="E70">INDEX(aspek!$D$2:$D$337,
   MATCH(1,(aspek!$A$2:$A$337=B70)*
           (aspek!$B$2:$B$337=C70)*
           (aspek!$C$2:$C$337=D70),0))</f>
        <v>Kualitas output saat tertekan</v>
      </c>
      <c r="F70" s="76">
        <v>4</v>
      </c>
      <c r="G70" s="56" t="str" cm="1">
        <f t="array" ref="G70">INDEX(deskripsi!$D$2:$H$337,
   MATCH(1,(deskripsi!$A$2:$A$337=B70)*
           (deskripsi!$B$2:$B$337=C70)*
           (deskripsi!$C$2:$C$337=D70),0),
   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76">
        <v>2</v>
      </c>
      <c r="E71" t="str" cm="1">
        <f t="array" ref="E71">INDEX(aspek!$D$2:$D$337,
   MATCH(1,(aspek!$A$2:$A$337=B71)*
           (aspek!$B$2:$B$337=C71)*
           (aspek!$C$2:$C$337=D71),0))</f>
        <v>Kualitas output saat tertekan</v>
      </c>
      <c r="F71" s="76">
        <v>5</v>
      </c>
      <c r="G71" s="56" t="str" cm="1">
        <f t="array" ref="G71">INDEX(deskripsi!$D$2:$H$337,
   MATCH(1,(deskripsi!$A$2:$A$337=B71)*
           (deskripsi!$B$2:$B$337=C71)*
           (deskripsi!$C$2:$C$337=D71),0),
   F71)</f>
        <v>Kualitasnya justru meningkat saat tertekan, karena prioritas menjadi lebih jelas.</v>
      </c>
    </row>
    <row r="72" spans="1:7">
      <c r="A72" t="str">
        <f t="shared" si="1"/>
        <v>Achievement Drive|Department Head|3|1</v>
      </c>
      <c r="B72" t="str">
        <v>Achievement Drive</v>
      </c>
      <c r="C72" t="str">
        <v>Department Head</v>
      </c>
      <c r="D72" s="76">
        <v>3</v>
      </c>
      <c r="E72" t="str" cm="1">
        <f t="array" ref="E72">INDEX(aspek!$D$2:$D$337,
   MATCH(1,(aspek!$A$2:$A$337=B72)*
           (aspek!$B$2:$B$337=C72)*
           (aspek!$C$2:$C$337=D72),0))</f>
        <v>Menenangkan situasi</v>
      </c>
      <c r="F72" s="76">
        <v>1</v>
      </c>
      <c r="G72" s="56" t="str" cm="1">
        <f t="array" ref="G72">INDEX(deskripsi!$D$2:$H$337,
   MATCH(1,(deskripsi!$A$2:$A$337=B72)*
           (deskripsi!$B$2:$B$337=C72)*
           (deskripsi!$C$2:$C$337=D72),0),
   F72)</f>
        <v>Menambah kepanikan saat situasi sudah tertekan.</v>
      </c>
    </row>
    <row r="73" spans="1:7" ht="28">
      <c r="A73" t="str">
        <f t="shared" si="1"/>
        <v>Achievement Drive|Department Head|3|2</v>
      </c>
      <c r="B73" t="str">
        <v>Achievement Drive</v>
      </c>
      <c r="C73" t="str">
        <v>Department Head</v>
      </c>
      <c r="D73" s="76">
        <v>3</v>
      </c>
      <c r="E73" t="str" cm="1">
        <f t="array" ref="E73">INDEX(aspek!$D$2:$D$337,
   MATCH(1,(aspek!$A$2:$A$337=B73)*
           (aspek!$B$2:$B$337=C73)*
           (aspek!$C$2:$C$337=D73),0))</f>
        <v>Menenangkan situasi</v>
      </c>
      <c r="F73" s="76">
        <v>2</v>
      </c>
      <c r="G73" s="56" t="str" cm="1">
        <f t="array" ref="G73">INDEX(deskripsi!$D$2:$H$337,
   MATCH(1,(deskripsi!$A$2:$A$337=B73)*
           (deskripsi!$B$2:$B$337=C73)*
           (deskripsi!$C$2:$C$337=D73),0),
   F73)</f>
        <v>Tetap tenang untuk dirinya sendiri, tidak menenangkan orang lain.</v>
      </c>
    </row>
    <row r="74" spans="1:7">
      <c r="A74" t="str">
        <f t="shared" si="1"/>
        <v>Achievement Drive|Department Head|3|3</v>
      </c>
      <c r="B74" t="str">
        <v>Achievement Drive</v>
      </c>
      <c r="C74" t="str">
        <v>Department Head</v>
      </c>
      <c r="D74" s="76">
        <v>3</v>
      </c>
      <c r="E74" t="str" cm="1">
        <f t="array" ref="E74">INDEX(aspek!$D$2:$D$337,
   MATCH(1,(aspek!$A$2:$A$337=B74)*
           (aspek!$B$2:$B$337=C74)*
           (aspek!$C$2:$C$337=D74),0))</f>
        <v>Menenangkan situasi</v>
      </c>
      <c r="F74" s="76">
        <v>3</v>
      </c>
      <c r="G74" s="56" t="str" cm="1">
        <f t="array" ref="G74">INDEX(deskripsi!$D$2:$H$337,
   MATCH(1,(deskripsi!$A$2:$A$337=B74)*
           (deskripsi!$B$2:$B$337=C74)*
           (deskripsi!$C$2:$C$337=D74),0),
   F74)</f>
        <v>Menenangkan sebagian orang di sekitarnya.</v>
      </c>
    </row>
    <row r="75" spans="1:7" ht="28">
      <c r="A75" t="str">
        <f t="shared" si="1"/>
        <v>Achievement Drive|Department Head|3|4</v>
      </c>
      <c r="B75" t="str">
        <v>Achievement Drive</v>
      </c>
      <c r="C75" t="str">
        <v>Department Head</v>
      </c>
      <c r="D75" s="76">
        <v>3</v>
      </c>
      <c r="E75" t="str" cm="1">
        <f t="array" ref="E75">INDEX(aspek!$D$2:$D$337,
   MATCH(1,(aspek!$A$2:$A$337=B75)*
           (aspek!$B$2:$B$337=C75)*
           (aspek!$C$2:$C$337=D75),0))</f>
        <v>Menenangkan situasi</v>
      </c>
      <c r="F75" s="76">
        <v>4</v>
      </c>
      <c r="G75" s="56" t="str" cm="1">
        <f t="array" ref="G75">INDEX(deskripsi!$D$2:$H$337,
   MATCH(1,(deskripsi!$A$2:$A$337=B75)*
           (deskripsi!$B$2:$B$337=C75)*
           (deskripsi!$C$2:$C$337=D75),0),
   F75)</f>
        <v>Secara aktif menenangkan situasi dan orang di sekitarnya saat tekanan tinggi.</v>
      </c>
    </row>
    <row r="76" spans="1:7">
      <c r="A76" t="str">
        <f t="shared" si="1"/>
        <v>Achievement Drive|Department Head|3|5</v>
      </c>
      <c r="B76" t="str">
        <v>Achievement Drive</v>
      </c>
      <c r="C76" t="str">
        <v>Department Head</v>
      </c>
      <c r="D76" s="76">
        <v>3</v>
      </c>
      <c r="E76" t="str" cm="1">
        <f t="array" ref="E76">INDEX(aspek!$D$2:$D$337,
   MATCH(1,(aspek!$A$2:$A$337=B76)*
           (aspek!$B$2:$B$337=C76)*
           (aspek!$C$2:$C$337=D76),0))</f>
        <v>Menenangkan situasi</v>
      </c>
      <c r="F76" s="76">
        <v>5</v>
      </c>
      <c r="G76" s="56" t="str" cm="1">
        <f t="array" ref="G76">INDEX(deskripsi!$D$2:$H$337,
   MATCH(1,(deskripsi!$A$2:$A$337=B76)*
           (deskripsi!$B$2:$B$337=C76)*
           (deskripsi!$C$2:$C$337=D76),0),
   F76)</f>
        <v>Kehadirannya menjadi jangkar ketenangan bagi seluruh tim.</v>
      </c>
    </row>
    <row r="77" spans="1:7">
      <c r="A77" t="str">
        <f t="shared" si="1"/>
        <v>Achievement Drive|Department Head|4|1</v>
      </c>
      <c r="B77" t="str">
        <v>Achievement Drive</v>
      </c>
      <c r="C77" t="str">
        <v>Department Head</v>
      </c>
      <c r="D77" s="76">
        <v>4</v>
      </c>
      <c r="E77" t="str" cm="1">
        <f t="array" ref="E77">INDEX(aspek!$D$2:$D$337,
   MATCH(1,(aspek!$A$2:$A$337=B77)*
           (aspek!$B$2:$B$337=C77)*
           (aspek!$C$2:$C$337=D77),0))</f>
        <v>Mengubah hambatan menjadi momentum</v>
      </c>
      <c r="F77" s="76">
        <v>1</v>
      </c>
      <c r="G77" s="56" t="str" cm="1">
        <f t="array" ref="G77">INDEX(deskripsi!$D$2:$H$337,
   MATCH(1,(deskripsi!$A$2:$A$337=B77)*
           (deskripsi!$B$2:$B$337=C77)*
           (deskripsi!$C$2:$C$337=D77),0),
   F77)</f>
        <v>Hambatan hanya dilewati, tidak dimanfaatkan.</v>
      </c>
    </row>
    <row r="78" spans="1:7" ht="28">
      <c r="A78" t="str">
        <f t="shared" si="1"/>
        <v>Achievement Drive|Department Head|4|2</v>
      </c>
      <c r="B78" t="str">
        <v>Achievement Drive</v>
      </c>
      <c r="C78" t="str">
        <v>Department Head</v>
      </c>
      <c r="D78" s="76">
        <v>4</v>
      </c>
      <c r="E78" t="str" cm="1">
        <f t="array" ref="E78">INDEX(aspek!$D$2:$D$337,
   MATCH(1,(aspek!$A$2:$A$337=B78)*
           (aspek!$B$2:$B$337=C78)*
           (aspek!$C$2:$C$337=D78),0))</f>
        <v>Mengubah hambatan menjadi momentum</v>
      </c>
      <c r="F78" s="76">
        <v>2</v>
      </c>
      <c r="G78" s="56" t="str" cm="1">
        <f t="array" ref="G78">INDEX(deskripsi!$D$2:$H$337,
   MATCH(1,(deskripsi!$A$2:$A$337=B78)*
           (deskripsi!$B$2:$B$337=C78)*
           (deskripsi!$C$2:$C$337=D78),0),
   F78)</f>
        <v>Menyadari ada peluang dalam hambatan, tidak menindaklanjuti.</v>
      </c>
    </row>
    <row r="79" spans="1:7">
      <c r="A79" t="str">
        <f t="shared" si="1"/>
        <v>Achievement Drive|Department Head|4|3</v>
      </c>
      <c r="B79" t="str">
        <v>Achievement Drive</v>
      </c>
      <c r="C79" t="str">
        <v>Department Head</v>
      </c>
      <c r="D79" s="76">
        <v>4</v>
      </c>
      <c r="E79" t="str" cm="1">
        <f t="array" ref="E79">INDEX(aspek!$D$2:$D$337,
   MATCH(1,(aspek!$A$2:$A$337=B79)*
           (aspek!$B$2:$B$337=C79)*
           (aspek!$C$2:$C$337=D79),0))</f>
        <v>Mengubah hambatan menjadi momentum</v>
      </c>
      <c r="F79" s="76">
        <v>3</v>
      </c>
      <c r="G79" s="56" t="str" cm="1">
        <f t="array" ref="G79">INDEX(deskripsi!$D$2:$H$337,
   MATCH(1,(deskripsi!$A$2:$A$337=B79)*
           (deskripsi!$B$2:$B$337=C79)*
           (deskripsi!$C$2:$C$337=D79),0),
   F79)</f>
        <v>Memanfaatkan sebagian peluang dari hambatan.</v>
      </c>
    </row>
    <row r="80" spans="1:7" ht="28">
      <c r="A80" t="str">
        <f t="shared" si="1"/>
        <v>Achievement Drive|Department Head|4|4</v>
      </c>
      <c r="B80" t="str">
        <v>Achievement Drive</v>
      </c>
      <c r="C80" t="str">
        <v>Department Head</v>
      </c>
      <c r="D80" s="76">
        <v>4</v>
      </c>
      <c r="E80" t="str" cm="1">
        <f t="array" ref="E80">INDEX(aspek!$D$2:$D$337,
   MATCH(1,(aspek!$A$2:$A$337=B80)*
           (aspek!$B$2:$B$337=C80)*
           (aspek!$C$2:$C$337=D80),0))</f>
        <v>Mengubah hambatan menjadi momentum</v>
      </c>
      <c r="F80" s="76">
        <v>4</v>
      </c>
      <c r="G80" s="56" t="str" cm="1">
        <f t="array" ref="G80">INDEX(deskripsi!$D$2:$H$337,
   MATCH(1,(deskripsi!$A$2:$A$337=B80)*
           (deskripsi!$B$2:$B$337=C80)*
           (deskripsi!$C$2:$C$337=D80),0),
   F80)</f>
        <v>Mengubah hambatan bertekanan menjadi momentum yang mendorong hasil lebih baik dari perkiraan awal.</v>
      </c>
    </row>
    <row r="81" spans="1:7" ht="28">
      <c r="A81" t="str">
        <f t="shared" si="1"/>
        <v>Achievement Drive|Department Head|4|5</v>
      </c>
      <c r="B81" t="str">
        <v>Achievement Drive</v>
      </c>
      <c r="C81" t="str">
        <v>Department Head</v>
      </c>
      <c r="D81" s="76">
        <v>4</v>
      </c>
      <c r="E81" t="str" cm="1">
        <f t="array" ref="E81">INDEX(aspek!$D$2:$D$337,
   MATCH(1,(aspek!$A$2:$A$337=B81)*
           (aspek!$B$2:$B$337=C81)*
           (aspek!$C$2:$C$337=D81),0))</f>
        <v>Mengubah hambatan menjadi momentum</v>
      </c>
      <c r="F81" s="76">
        <v>5</v>
      </c>
      <c r="G81" s="56" t="str" cm="1">
        <f t="array" ref="G81">INDEX(deskripsi!$D$2:$H$337,
   MATCH(1,(deskripsi!$A$2:$A$337=B81)*
           (deskripsi!$B$2:$B$337=C81)*
           (deskripsi!$C$2:$C$337=D81),0),
   F81)</f>
        <v>Pola ini menjadi kebiasaan tim: hambatan besar justru menjadi titik lompatan.</v>
      </c>
    </row>
    <row r="82" spans="1:7" ht="28">
      <c r="A82" t="str">
        <f t="shared" si="1"/>
        <v>Achievement Drive|Division Head|1|1</v>
      </c>
      <c r="B82" t="str">
        <v>Achievement Drive</v>
      </c>
      <c r="C82" t="str">
        <v>Division Head</v>
      </c>
      <c r="D82" s="76">
        <v>1</v>
      </c>
      <c r="E82" t="str" cm="1">
        <f t="array" ref="E82">INDEX(aspek!$D$2:$D$337,
   MATCH(1,(aspek!$A$2:$A$337=B82)*
           (aspek!$B$2:$B$337=C82)*
           (aspek!$C$2:$C$337=D82),0))</f>
        <v>Kapan kebutuhan sumber daya dipikirkan</v>
      </c>
      <c r="F82" s="76">
        <v>1</v>
      </c>
      <c r="G82" s="56" t="str" cm="1">
        <f t="array" ref="G82">INDEX(deskripsi!$D$2:$H$337,
   MATCH(1,(deskripsi!$A$2:$A$337=B82)*
           (deskripsi!$B$2:$B$337=C82)*
           (deskripsi!$C$2:$C$337=D82),0),
   F82)</f>
        <v>Ditangani sambil berjalan; kekurangan baru terlihat setelah mulai.</v>
      </c>
    </row>
    <row r="83" spans="1:7">
      <c r="A83" t="str">
        <f t="shared" si="1"/>
        <v>Achievement Drive|Division Head|1|2</v>
      </c>
      <c r="B83" t="str">
        <v>Achievement Drive</v>
      </c>
      <c r="C83" t="str">
        <v>Division Head</v>
      </c>
      <c r="D83" s="76">
        <v>1</v>
      </c>
      <c r="E83" t="str" cm="1">
        <f t="array" ref="E83">INDEX(aspek!$D$2:$D$337,
   MATCH(1,(aspek!$A$2:$A$337=B83)*
           (aspek!$B$2:$B$337=C83)*
           (aspek!$C$2:$C$337=D83),0))</f>
        <v>Kapan kebutuhan sumber daya dipikirkan</v>
      </c>
      <c r="F83" s="76">
        <v>2</v>
      </c>
      <c r="G83" s="56" t="str" cm="1">
        <f t="array" ref="G83">INDEX(deskripsi!$D$2:$H$337,
   MATCH(1,(deskripsi!$A$2:$A$337=B83)*
           (deskripsi!$B$2:$B$337=C83)*
           (deskripsi!$C$2:$C$337=D83),0),
   F83)</f>
        <v>Diperkirakan garis besar sebelum mulai.</v>
      </c>
    </row>
    <row r="84" spans="1:7">
      <c r="A84" t="str">
        <f t="shared" si="1"/>
        <v>Achievement Drive|Division Head|1|3</v>
      </c>
      <c r="B84" t="str">
        <v>Achievement Drive</v>
      </c>
      <c r="C84" t="str">
        <v>Division Head</v>
      </c>
      <c r="D84" s="76">
        <v>1</v>
      </c>
      <c r="E84" t="str" cm="1">
        <f t="array" ref="E84">INDEX(aspek!$D$2:$D$337,
   MATCH(1,(aspek!$A$2:$A$337=B84)*
           (aspek!$B$2:$B$337=C84)*
           (aspek!$C$2:$C$337=D84),0))</f>
        <v>Kapan kebutuhan sumber daya dipikirkan</v>
      </c>
      <c r="F84" s="76">
        <v>3</v>
      </c>
      <c r="G84" s="56" t="str" cm="1">
        <f t="array" ref="G84">INDEX(deskripsi!$D$2:$H$337,
   MATCH(1,(deskripsi!$A$2:$A$337=B84)*
           (deskripsi!$B$2:$B$337=C84)*
           (deskripsi!$C$2:$C$337=D84),0),
   F84)</f>
        <v>Dihitung rinci sebelum pelaksanaan, untuk keempat kategori.</v>
      </c>
    </row>
    <row r="85" spans="1:7" ht="28">
      <c r="A85" t="str">
        <f t="shared" si="1"/>
        <v>Achievement Drive|Division Head|1|4</v>
      </c>
      <c r="B85" t="str">
        <v>Achievement Drive</v>
      </c>
      <c r="C85" t="str">
        <v>Division Head</v>
      </c>
      <c r="D85" s="76">
        <v>1</v>
      </c>
      <c r="E85" t="str" cm="1">
        <f t="array" ref="E85">INDEX(aspek!$D$2:$D$337,
   MATCH(1,(aspek!$A$2:$A$337=B85)*
           (aspek!$B$2:$B$337=C85)*
           (aspek!$C$2:$C$337=D85),0))</f>
        <v>Kapan kebutuhan sumber daya dipikirkan</v>
      </c>
      <c r="F85" s="76">
        <v>4</v>
      </c>
      <c r="G85" s="56" t="str" cm="1">
        <f t="array" ref="G85">INDEX(deskripsi!$D$2:$H$337,
   MATCH(1,(deskripsi!$A$2:$A$337=B85)*
           (deskripsi!$B$2:$B$337=C85)*
           (deskripsi!$C$2:$C$337=D85),0),
   F85)</f>
        <v>Perhitungan rinci sebelum mulai menjadi kebiasaan tetap, termasuk untuk target yang menantang.</v>
      </c>
    </row>
    <row r="86" spans="1:7">
      <c r="A86" t="str">
        <f t="shared" si="1"/>
        <v>Achievement Drive|Division Head|1|5</v>
      </c>
      <c r="B86" t="str">
        <v>Achievement Drive</v>
      </c>
      <c r="C86" t="str">
        <v>Division Head</v>
      </c>
      <c r="D86" s="76">
        <v>1</v>
      </c>
      <c r="E86" t="str" cm="1">
        <f t="array" ref="E86">INDEX(aspek!$D$2:$D$337,
   MATCH(1,(aspek!$A$2:$A$337=B86)*
           (aspek!$B$2:$B$337=C86)*
           (aspek!$C$2:$C$337=D86),0))</f>
        <v>Kapan kebutuhan sumber daya dipikirkan</v>
      </c>
      <c r="F86" s="76">
        <v>5</v>
      </c>
      <c r="G86" s="56" t="str" cm="1">
        <f t="array" ref="G86">INDEX(deskripsi!$D$2:$H$337,
   MATCH(1,(deskripsi!$A$2:$A$337=B86)*
           (deskripsi!$B$2:$B$337=C86)*
           (deskripsi!$C$2:$C$337=D86),0),
   F86)</f>
        <v>Metode perhitungannya dipakai unit lain.</v>
      </c>
    </row>
    <row r="87" spans="1:7">
      <c r="A87" t="str">
        <f t="shared" si="1"/>
        <v>Achievement Drive|Division Head|2|1</v>
      </c>
      <c r="B87" t="str">
        <v>Achievement Drive</v>
      </c>
      <c r="C87" t="str">
        <v>Division Head</v>
      </c>
      <c r="D87" s="76">
        <v>2</v>
      </c>
      <c r="E87" t="str" cm="1">
        <f t="array" ref="E87">INDEX(aspek!$D$2:$D$337,
   MATCH(1,(aspek!$A$2:$A$337=B87)*
           (aspek!$B$2:$B$337=C87)*
           (aspek!$C$2:$C$337=D87),0))</f>
        <v>Alokasi sesuai prioritas</v>
      </c>
      <c r="F87" s="76">
        <v>1</v>
      </c>
      <c r="G87" s="56" t="str" cm="1">
        <f t="array" ref="G87">INDEX(deskripsi!$D$2:$H$337,
   MATCH(1,(deskripsi!$A$2:$A$337=B87)*
           (deskripsi!$B$2:$B$337=C87)*
           (deskripsi!$C$2:$C$337=D87),0),
   F87)</f>
        <v>Mengalokasikan berdasarkan siapa yang meminta lebih dulu.</v>
      </c>
    </row>
    <row r="88" spans="1:7">
      <c r="A88" t="str">
        <f t="shared" si="1"/>
        <v>Achievement Drive|Division Head|2|2</v>
      </c>
      <c r="B88" t="str">
        <v>Achievement Drive</v>
      </c>
      <c r="C88" t="str">
        <v>Division Head</v>
      </c>
      <c r="D88" s="76">
        <v>2</v>
      </c>
      <c r="E88" t="str" cm="1">
        <f t="array" ref="E88">INDEX(aspek!$D$2:$D$337,
   MATCH(1,(aspek!$A$2:$A$337=B88)*
           (aspek!$B$2:$B$337=C88)*
           (aspek!$C$2:$C$337=D88),0))</f>
        <v>Alokasi sesuai prioritas</v>
      </c>
      <c r="F88" s="76">
        <v>2</v>
      </c>
      <c r="G88" s="56" t="str" cm="1">
        <f t="array" ref="G88">INDEX(deskripsi!$D$2:$H$337,
   MATCH(1,(deskripsi!$A$2:$A$337=B88)*
           (deskripsi!$B$2:$B$337=C88)*
           (deskripsi!$C$2:$C$337=D88),0),
   F88)</f>
        <v>Menyadari perlunya prioritas, keputusan tetap tidak konsisten.</v>
      </c>
    </row>
    <row r="89" spans="1:7" ht="28">
      <c r="A89" t="str">
        <f t="shared" si="1"/>
        <v>Achievement Drive|Division Head|2|3</v>
      </c>
      <c r="B89" t="str">
        <v>Achievement Drive</v>
      </c>
      <c r="C89" t="str">
        <v>Division Head</v>
      </c>
      <c r="D89" s="76">
        <v>2</v>
      </c>
      <c r="E89" t="str" cm="1">
        <f t="array" ref="E89">INDEX(aspek!$D$2:$D$337,
   MATCH(1,(aspek!$A$2:$A$337=B89)*
           (aspek!$B$2:$B$337=C89)*
           (aspek!$C$2:$C$337=D89),0))</f>
        <v>Alokasi sesuai prioritas</v>
      </c>
      <c r="F89" s="76">
        <v>3</v>
      </c>
      <c r="G89" s="56" t="str" cm="1">
        <f t="array" ref="G89">INDEX(deskripsi!$D$2:$H$337,
   MATCH(1,(deskripsi!$A$2:$A$337=B89)*
           (deskripsi!$B$2:$B$337=C89)*
           (deskripsi!$C$2:$C$337=D89),0),
   F89)</f>
        <v>Mengalokasikan berdasarkan prioritas yang ditetapkan atasan.</v>
      </c>
    </row>
    <row r="90" spans="1:7" ht="28">
      <c r="A90" t="str">
        <f t="shared" si="1"/>
        <v>Achievement Drive|Division Head|2|4</v>
      </c>
      <c r="B90" t="str">
        <v>Achievement Drive</v>
      </c>
      <c r="C90" t="str">
        <v>Division Head</v>
      </c>
      <c r="D90" s="76">
        <v>2</v>
      </c>
      <c r="E90" t="str" cm="1">
        <f t="array" ref="E90">INDEX(aspek!$D$2:$D$337,
   MATCH(1,(aspek!$A$2:$A$337=B90)*
           (aspek!$B$2:$B$337=C90)*
           (aspek!$C$2:$C$337=D90),0))</f>
        <v>Alokasi sesuai prioritas</v>
      </c>
      <c r="F90" s="76">
        <v>4</v>
      </c>
      <c r="G90" s="56" t="str" cm="1">
        <f t="array" ref="G90">INDEX(deskripsi!$D$2:$H$337,
   MATCH(1,(deskripsi!$A$2:$A$337=B90)*
           (deskripsi!$B$2:$B$337=C90)*
           (deskripsi!$C$2:$C$337=D90),0),
   F90)</f>
        <v>Menetapkan kriteria prioritas sendiri dan menerapkannya konsisten meski mengecewakan pihak tertentu.</v>
      </c>
    </row>
    <row r="91" spans="1:7">
      <c r="A91" t="str">
        <f t="shared" si="1"/>
        <v>Achievement Drive|Division Head|2|5</v>
      </c>
      <c r="B91" t="str">
        <v>Achievement Drive</v>
      </c>
      <c r="C91" t="str">
        <v>Division Head</v>
      </c>
      <c r="D91" s="76">
        <v>2</v>
      </c>
      <c r="E91" t="str" cm="1">
        <f t="array" ref="E91">INDEX(aspek!$D$2:$D$337,
   MATCH(1,(aspek!$A$2:$A$337=B91)*
           (aspek!$B$2:$B$337=C91)*
           (aspek!$C$2:$C$337=D91),0))</f>
        <v>Alokasi sesuai prioritas</v>
      </c>
      <c r="F91" s="76">
        <v>5</v>
      </c>
      <c r="G91" s="56" t="str" cm="1">
        <f t="array" ref="G91">INDEX(deskripsi!$D$2:$H$337,
   MATCH(1,(deskripsi!$A$2:$A$337=B91)*
           (deskripsi!$B$2:$B$337=C91)*
           (deskripsi!$C$2:$C$337=D91),0),
   F91)</f>
        <v>Kriteria prioritasnya diadopsi sebagai standar organisasi.</v>
      </c>
    </row>
    <row r="92" spans="1:7">
      <c r="A92" t="str">
        <f t="shared" si="1"/>
        <v>Achievement Drive|Division Head|3|1</v>
      </c>
      <c r="B92" t="str">
        <v>Achievement Drive</v>
      </c>
      <c r="C92" t="str">
        <v>Division Head</v>
      </c>
      <c r="D92" s="76">
        <v>3</v>
      </c>
      <c r="E92" t="str" cm="1">
        <f t="array" ref="E92">INDEX(aspek!$D$2:$D$337,
   MATCH(1,(aspek!$A$2:$A$337=B92)*
           (aspek!$B$2:$B$337=C92)*
           (aspek!$C$2:$C$337=D92),0))</f>
        <v>Antisipasi kendala pelaksanaan</v>
      </c>
      <c r="F92" s="76">
        <v>1</v>
      </c>
      <c r="G92" s="56" t="str" cm="1">
        <f t="array" ref="G92">INDEX(deskripsi!$D$2:$H$337,
   MATCH(1,(deskripsi!$A$2:$A$337=B92)*
           (deskripsi!$B$2:$B$337=C92)*
           (deskripsi!$C$2:$C$337=D92),0),
   F92)</f>
        <v>Tidak mempertimbangkan kemungkinan gagal.</v>
      </c>
    </row>
    <row r="93" spans="1:7">
      <c r="A93" t="str">
        <f t="shared" si="1"/>
        <v>Achievement Drive|Division Head|3|2</v>
      </c>
      <c r="B93" t="str">
        <v>Achievement Drive</v>
      </c>
      <c r="C93" t="str">
        <v>Division Head</v>
      </c>
      <c r="D93" s="76">
        <v>3</v>
      </c>
      <c r="E93" t="str" cm="1">
        <f t="array" ref="E93">INDEX(aspek!$D$2:$D$337,
   MATCH(1,(aspek!$A$2:$A$337=B93)*
           (aspek!$B$2:$B$337=C93)*
           (aspek!$C$2:$C$337=D93),0))</f>
        <v>Antisipasi kendala pelaksanaan</v>
      </c>
      <c r="F93" s="76">
        <v>2</v>
      </c>
      <c r="G93" s="56" t="str" cm="1">
        <f t="array" ref="G93">INDEX(deskripsi!$D$2:$H$337,
   MATCH(1,(deskripsi!$A$2:$A$337=B93)*
           (deskripsi!$B$2:$B$337=C93)*
           (deskripsi!$C$2:$C$337=D93),0),
   F93)</f>
        <v>Menyadari risiko, tidak menyiapkan langkah apa pun.</v>
      </c>
    </row>
    <row r="94" spans="1:7">
      <c r="A94" t="str">
        <f t="shared" si="1"/>
        <v>Achievement Drive|Division Head|3|3</v>
      </c>
      <c r="B94" t="str">
        <v>Achievement Drive</v>
      </c>
      <c r="C94" t="str">
        <v>Division Head</v>
      </c>
      <c r="D94" s="76">
        <v>3</v>
      </c>
      <c r="E94" t="str" cm="1">
        <f t="array" ref="E94">INDEX(aspek!$D$2:$D$337,
   MATCH(1,(aspek!$A$2:$A$337=B94)*
           (aspek!$B$2:$B$337=C94)*
           (aspek!$C$2:$C$337=D94),0))</f>
        <v>Antisipasi kendala pelaksanaan</v>
      </c>
      <c r="F94" s="76">
        <v>3</v>
      </c>
      <c r="G94" s="56" t="str" cm="1">
        <f t="array" ref="G94">INDEX(deskripsi!$D$2:$H$337,
   MATCH(1,(deskripsi!$A$2:$A$337=B94)*
           (deskripsi!$B$2:$B$337=C94)*
           (deskripsi!$C$2:$C$337=D94),0),
   F94)</f>
        <v>Mencatat daftar risiko generik tanpa langkah cadangan.</v>
      </c>
    </row>
    <row r="95" spans="1:7" ht="28">
      <c r="A95" t="str">
        <f t="shared" si="1"/>
        <v>Achievement Drive|Division Head|3|4</v>
      </c>
      <c r="B95" t="str">
        <v>Achievement Drive</v>
      </c>
      <c r="C95" t="str">
        <v>Division Head</v>
      </c>
      <c r="D95" s="76">
        <v>3</v>
      </c>
      <c r="E95" t="str" cm="1">
        <f t="array" ref="E95">INDEX(aspek!$D$2:$D$337,
   MATCH(1,(aspek!$A$2:$A$337=B95)*
           (aspek!$B$2:$B$337=C95)*
           (aspek!$C$2:$C$337=D95),0))</f>
        <v>Antisipasi kendala pelaksanaan</v>
      </c>
      <c r="F95" s="76">
        <v>4</v>
      </c>
      <c r="G95" s="56" t="str" cm="1">
        <f t="array" ref="G95">INDEX(deskripsi!$D$2:$H$337,
   MATCH(1,(deskripsi!$A$2:$A$337=B95)*
           (deskripsi!$B$2:$B$337=C95)*
           (deskripsi!$C$2:$C$337=D95),0),
   F95)</f>
        <v>Mengidentifikasi kendala PALING MUNGKIN berdasarkan riwayat dan menyiapkan langkah cadangan spesifik.</v>
      </c>
    </row>
    <row r="96" spans="1:7">
      <c r="A96" t="str">
        <f t="shared" si="1"/>
        <v>Achievement Drive|Division Head|3|5</v>
      </c>
      <c r="B96" t="str">
        <v>Achievement Drive</v>
      </c>
      <c r="C96" t="str">
        <v>Division Head</v>
      </c>
      <c r="D96" s="76">
        <v>3</v>
      </c>
      <c r="E96" t="str" cm="1">
        <f t="array" ref="E96">INDEX(aspek!$D$2:$D$337,
   MATCH(1,(aspek!$A$2:$A$337=B96)*
           (aspek!$B$2:$B$337=C96)*
           (aspek!$C$2:$C$337=D96),0))</f>
        <v>Antisipasi kendala pelaksanaan</v>
      </c>
      <c r="F96" s="76">
        <v>5</v>
      </c>
      <c r="G96" s="56" t="str" cm="1">
        <f t="array" ref="G96">INDEX(deskripsi!$D$2:$H$337,
   MATCH(1,(deskripsi!$A$2:$A$337=B96)*
           (deskripsi!$B$2:$B$337=C96)*
           (deskripsi!$C$2:$C$337=D96),0),
   F96)</f>
        <v>Daftar kendala dan cadangannya menjadi rujukan unit lain.</v>
      </c>
    </row>
    <row r="97" spans="1:7" ht="28">
      <c r="A97" t="str">
        <f t="shared" si="1"/>
        <v>Achievement Drive|Division Head|4|1</v>
      </c>
      <c r="B97" t="str">
        <v>Achievement Drive</v>
      </c>
      <c r="C97" t="str">
        <v>Division Head</v>
      </c>
      <c r="D97" s="76">
        <v>4</v>
      </c>
      <c r="E97" t="str" cm="1">
        <f t="array" ref="E97">INDEX(aspek!$D$2:$D$337,
   MATCH(1,(aspek!$A$2:$A$337=B97)*
           (aspek!$B$2:$B$337=C97)*
           (aspek!$C$2:$C$337=D97),0))</f>
        <v>Target di atas standar yang didukung perhitungan</v>
      </c>
      <c r="F97" s="76">
        <v>1</v>
      </c>
      <c r="G97" s="56" t="str" cm="1">
        <f t="array" ref="G97">INDEX(deskripsi!$D$2:$H$337,
   MATCH(1,(deskripsi!$A$2:$A$337=B97)*
           (deskripsi!$B$2:$B$337=C97)*
           (deskripsi!$C$2:$C$337=D97),0),
   F97)</f>
        <v>Menetapkan target sesuai standar organisasi, tidak melampauinya.</v>
      </c>
    </row>
    <row r="98" spans="1:7" ht="28">
      <c r="A98" t="str">
        <f t="shared" si="1"/>
        <v>Achievement Drive|Division Head|4|2</v>
      </c>
      <c r="B98" t="str">
        <v>Achievement Drive</v>
      </c>
      <c r="C98" t="str">
        <v>Division Head</v>
      </c>
      <c r="D98" s="76">
        <v>4</v>
      </c>
      <c r="E98" t="str" cm="1">
        <f t="array" ref="E98">INDEX(aspek!$D$2:$D$337,
   MATCH(1,(aspek!$A$2:$A$337=B98)*
           (aspek!$B$2:$B$337=C98)*
           (aspek!$C$2:$C$337=D98),0))</f>
        <v>Target di atas standar yang didukung perhitungan</v>
      </c>
      <c r="F98" s="76">
        <v>2</v>
      </c>
      <c r="G98" s="56" t="str" cm="1">
        <f t="array" ref="G98">INDEX(deskripsi!$D$2:$H$337,
   MATCH(1,(deskripsi!$A$2:$A$337=B98)*
           (deskripsi!$B$2:$B$337=C98)*
           (deskripsi!$C$2:$C$337=D98),0),
   F98)</f>
        <v>Menetapkan target lebih tinggi tanpa menghitung sumber dayanya.</v>
      </c>
    </row>
    <row r="99" spans="1:7" ht="28">
      <c r="A99" t="str">
        <f t="shared" si="1"/>
        <v>Achievement Drive|Division Head|4|3</v>
      </c>
      <c r="B99" t="str">
        <v>Achievement Drive</v>
      </c>
      <c r="C99" t="str">
        <v>Division Head</v>
      </c>
      <c r="D99" s="76">
        <v>4</v>
      </c>
      <c r="E99" t="str" cm="1">
        <f t="array" ref="E99">INDEX(aspek!$D$2:$D$337,
   MATCH(1,(aspek!$A$2:$A$337=B99)*
           (aspek!$B$2:$B$337=C99)*
           (aspek!$C$2:$C$337=D99),0))</f>
        <v>Target di atas standar yang didukung perhitungan</v>
      </c>
      <c r="F99" s="76">
        <v>3</v>
      </c>
      <c r="G99" s="56" t="str" cm="1">
        <f t="array" ref="G99">INDEX(deskripsi!$D$2:$H$337,
   MATCH(1,(deskripsi!$A$2:$A$337=B99)*
           (deskripsi!$B$2:$B$337=C99)*
           (deskripsi!$C$2:$C$337=D99),0),
   F99)</f>
        <v>Menetapkan target lebih tinggi dengan perhitungan sumber daya kasar.</v>
      </c>
    </row>
    <row r="100" spans="1:7" ht="28">
      <c r="A100" t="str">
        <f t="shared" si="1"/>
        <v>Achievement Drive|Division Head|4|4</v>
      </c>
      <c r="B100" t="str">
        <v>Achievement Drive</v>
      </c>
      <c r="C100" t="str">
        <v>Division Head</v>
      </c>
      <c r="D100" s="76">
        <v>4</v>
      </c>
      <c r="E100" t="str" cm="1">
        <f t="array" ref="E100">INDEX(aspek!$D$2:$D$337,
   MATCH(1,(aspek!$A$2:$A$337=B100)*
           (aspek!$B$2:$B$337=C100)*
           (aspek!$C$2:$C$337=D100),0))</f>
        <v>Target di atas standar yang didukung perhitungan</v>
      </c>
      <c r="F100" s="76">
        <v>4</v>
      </c>
      <c r="G100" s="56" t="str" cm="1">
        <f t="array" ref="G100">INDEX(deskripsi!$D$2:$H$337,
   MATCH(1,(deskripsi!$A$2:$A$337=B100)*
           (deskripsi!$B$2:$B$337=C100)*
           (deskripsi!$C$2:$C$337=D100),0),
   F100)</f>
        <v>Menetapkan target di atas standar manajemen dengan perhitungan sumber daya yang rinci dan mencapainya.</v>
      </c>
    </row>
    <row r="101" spans="1:7">
      <c r="A101" t="str">
        <f t="shared" si="1"/>
        <v>Achievement Drive|Division Head|4|5</v>
      </c>
      <c r="B101" t="str">
        <v>Achievement Drive</v>
      </c>
      <c r="C101" t="str">
        <v>Division Head</v>
      </c>
      <c r="D101" s="76">
        <v>4</v>
      </c>
      <c r="E101" t="str" cm="1">
        <f t="array" ref="E101">INDEX(aspek!$D$2:$D$337,
   MATCH(1,(aspek!$A$2:$A$337=B101)*
           (aspek!$B$2:$B$337=C101)*
           (aspek!$C$2:$C$337=D101),0))</f>
        <v>Target di atas standar yang didukung perhitungan</v>
      </c>
      <c r="F101" s="76">
        <v>5</v>
      </c>
      <c r="G101" s="56" t="str" cm="1">
        <f t="array" ref="G101">INDEX(deskripsi!$D$2:$H$337,
   MATCH(1,(deskripsi!$A$2:$A$337=B101)*
           (deskripsi!$B$2:$B$337=C101)*
           (deskripsi!$C$2:$C$337=D101),0),
   F101)</f>
        <v>Target yang ditetapkan menjadi acuan baru bagi organisasi.</v>
      </c>
    </row>
    <row r="102" spans="1:7">
      <c r="A102" t="str">
        <f t="shared" si="1"/>
        <v>Achievement Drive|Director|1|1</v>
      </c>
      <c r="B102" t="str">
        <v>Achievement Drive</v>
      </c>
      <c r="C102" t="str">
        <v>Director</v>
      </c>
      <c r="D102" s="76">
        <v>1</v>
      </c>
      <c r="E102" t="str" cm="1">
        <f t="array" ref="E102">INDEX(aspek!$D$2:$D$337,
   MATCH(1,(aspek!$A$2:$A$337=B102)*
           (aspek!$B$2:$B$337=C102)*
           (aspek!$C$2:$C$337=D102),0))</f>
        <v>Ketinggian standar kinerja yang ditetapkan</v>
      </c>
      <c r="F102" s="76">
        <v>1</v>
      </c>
      <c r="G102" s="56" t="str" cm="1">
        <f t="array" ref="G102">INDEX(deskripsi!$D$2:$H$337,
   MATCH(1,(deskripsi!$A$2:$A$337=B102)*
           (deskripsi!$B$2:$B$337=C102)*
           (deskripsi!$C$2:$C$337=D102),0),
   F102)</f>
        <v>Menerima standar yang berlaku apa adanya.</v>
      </c>
    </row>
    <row r="103" spans="1:7">
      <c r="A103" t="str">
        <f t="shared" si="1"/>
        <v>Achievement Drive|Director|1|2</v>
      </c>
      <c r="B103" t="str">
        <v>Achievement Drive</v>
      </c>
      <c r="C103" t="str">
        <v>Director</v>
      </c>
      <c r="D103" s="76">
        <v>1</v>
      </c>
      <c r="E103" t="str" cm="1">
        <f t="array" ref="E103">INDEX(aspek!$D$2:$D$337,
   MATCH(1,(aspek!$A$2:$A$337=B103)*
           (aspek!$B$2:$B$337=C103)*
           (aspek!$C$2:$C$337=D103),0))</f>
        <v>Ketinggian standar kinerja yang ditetapkan</v>
      </c>
      <c r="F103" s="76">
        <v>2</v>
      </c>
      <c r="G103" s="56" t="str" cm="1">
        <f t="array" ref="G103">INDEX(deskripsi!$D$2:$H$337,
   MATCH(1,(deskripsi!$A$2:$A$337=B103)*
           (deskripsi!$B$2:$B$337=C103)*
           (deskripsi!$C$2:$C$337=D103),0),
   F103)</f>
        <v>Menaikkan standar hanya ketika diminta.</v>
      </c>
    </row>
    <row r="104" spans="1:7">
      <c r="A104" t="str">
        <f t="shared" si="1"/>
        <v>Achievement Drive|Director|1|3</v>
      </c>
      <c r="B104" t="str">
        <v>Achievement Drive</v>
      </c>
      <c r="C104" t="str">
        <v>Director</v>
      </c>
      <c r="D104" s="76">
        <v>1</v>
      </c>
      <c r="E104" t="str" cm="1">
        <f t="array" ref="E104">INDEX(aspek!$D$2:$D$337,
   MATCH(1,(aspek!$A$2:$A$337=B104)*
           (aspek!$B$2:$B$337=C104)*
           (aspek!$C$2:$C$337=D104),0))</f>
        <v>Ketinggian standar kinerja yang ditetapkan</v>
      </c>
      <c r="F104" s="76">
        <v>3</v>
      </c>
      <c r="G104" s="56" t="str" cm="1">
        <f t="array" ref="G104">INDEX(deskripsi!$D$2:$H$337,
   MATCH(1,(deskripsi!$A$2:$A$337=B104)*
           (deskripsi!$B$2:$B$337=C104)*
           (deskripsi!$C$2:$C$337=D104),0),
   F104)</f>
        <v>Menaikkan standar dengan pembanding kinerja sendiri.</v>
      </c>
    </row>
    <row r="105" spans="1:7" ht="28">
      <c r="A105" t="str">
        <f t="shared" si="1"/>
        <v>Achievement Drive|Director|1|4</v>
      </c>
      <c r="B105" t="str">
        <v>Achievement Drive</v>
      </c>
      <c r="C105" t="str">
        <v>Director</v>
      </c>
      <c r="D105" s="76">
        <v>1</v>
      </c>
      <c r="E105" t="str" cm="1">
        <f t="array" ref="E105">INDEX(aspek!$D$2:$D$337,
   MATCH(1,(aspek!$A$2:$A$337=B105)*
           (aspek!$B$2:$B$337=C105)*
           (aspek!$C$2:$C$337=D105),0))</f>
        <v>Ketinggian standar kinerja yang ditetapkan</v>
      </c>
      <c r="F105" s="76">
        <v>4</v>
      </c>
      <c r="G105" s="56" t="str" cm="1">
        <f t="array" ref="G105">INDEX(deskripsi!$D$2:$H$337,
   MATCH(1,(deskripsi!$A$2:$A$337=B105)*
           (deskripsi!$B$2:$B$337=C105)*
           (deskripsi!$C$2:$C$337=D105),0),
   F105)</f>
        <v>Menetapkan standar berdasarkan pembanding eksternal, dan mampu menjelaskan mengapa batas itu dipilih.</v>
      </c>
    </row>
    <row r="106" spans="1:7">
      <c r="A106" t="str">
        <f t="shared" si="1"/>
        <v>Achievement Drive|Director|1|5</v>
      </c>
      <c r="B106" t="str">
        <v>Achievement Drive</v>
      </c>
      <c r="C106" t="str">
        <v>Director</v>
      </c>
      <c r="D106" s="76">
        <v>1</v>
      </c>
      <c r="E106" t="str" cm="1">
        <f t="array" ref="E106">INDEX(aspek!$D$2:$D$337,
   MATCH(1,(aspek!$A$2:$A$337=B106)*
           (aspek!$B$2:$B$337=C106)*
           (aspek!$C$2:$C$337=D106),0))</f>
        <v>Ketinggian standar kinerja yang ditetapkan</v>
      </c>
      <c r="F106" s="76">
        <v>5</v>
      </c>
      <c r="G106" s="56" t="str" cm="1">
        <f t="array" ref="G106">INDEX(deskripsi!$D$2:$H$337,
   MATCH(1,(deskripsi!$A$2:$A$337=B106)*
           (deskripsi!$B$2:$B$337=C106)*
           (deskripsi!$C$2:$C$337=D106),0),
   F106)</f>
        <v>Standar yang ia tetapkan menjadi acuan bagi organisasi.</v>
      </c>
    </row>
    <row r="107" spans="1:7" ht="28">
      <c r="A107" t="str">
        <f t="shared" si="1"/>
        <v>Achievement Drive|Director|2|1</v>
      </c>
      <c r="B107" t="str">
        <v>Achievement Drive</v>
      </c>
      <c r="C107" t="str">
        <v>Director</v>
      </c>
      <c r="D107" s="76">
        <v>2</v>
      </c>
      <c r="E107" t="str" cm="1">
        <f t="array" ref="E107">INDEX(aspek!$D$2:$D$337,
   MATCH(1,(aspek!$A$2:$A$337=B107)*
           (aspek!$B$2:$B$337=C107)*
           (aspek!$C$2:$C$337=D107),0))</f>
        <v>Standar bagi diri sendiri</v>
      </c>
      <c r="F107" s="76">
        <v>1</v>
      </c>
      <c r="G107" s="56" t="str" cm="1">
        <f t="array" ref="G107">INDEX(deskripsi!$D$2:$H$337,
   MATCH(1,(deskripsi!$A$2:$A$337=B107)*
           (deskripsi!$B$2:$B$337=C107)*
           (deskripsi!$C$2:$C$337=D107),0),
   F107)</f>
        <v>Menuntut standar tinggi dari orang lain tanpa menerapkannya sendiri.</v>
      </c>
    </row>
    <row r="108" spans="1:7">
      <c r="A108" t="str">
        <f t="shared" si="1"/>
        <v>Achievement Drive|Director|2|2</v>
      </c>
      <c r="B108" t="str">
        <v>Achievement Drive</v>
      </c>
      <c r="C108" t="str">
        <v>Director</v>
      </c>
      <c r="D108" s="76">
        <v>2</v>
      </c>
      <c r="E108" t="str" cm="1">
        <f t="array" ref="E108">INDEX(aspek!$D$2:$D$337,
   MATCH(1,(aspek!$A$2:$A$337=B108)*
           (aspek!$B$2:$B$337=C108)*
           (aspek!$C$2:$C$337=D108),0))</f>
        <v>Standar bagi diri sendiri</v>
      </c>
      <c r="F108" s="76">
        <v>2</v>
      </c>
      <c r="G108" s="56" t="str" cm="1">
        <f t="array" ref="G108">INDEX(deskripsi!$D$2:$H$337,
   MATCH(1,(deskripsi!$A$2:$A$337=B108)*
           (deskripsi!$B$2:$B$337=C108)*
           (deskripsi!$C$2:$C$337=D108),0),
   F108)</f>
        <v>Menerapkan standar yang sama dengan timnya.</v>
      </c>
    </row>
    <row r="109" spans="1:7" ht="28">
      <c r="A109" t="str">
        <f t="shared" si="1"/>
        <v>Achievement Drive|Director|2|3</v>
      </c>
      <c r="B109" t="str">
        <v>Achievement Drive</v>
      </c>
      <c r="C109" t="str">
        <v>Director</v>
      </c>
      <c r="D109" s="76">
        <v>2</v>
      </c>
      <c r="E109" t="str" cm="1">
        <f t="array" ref="E109">INDEX(aspek!$D$2:$D$337,
   MATCH(1,(aspek!$A$2:$A$337=B109)*
           (aspek!$B$2:$B$337=C109)*
           (aspek!$C$2:$C$337=D109),0))</f>
        <v>Standar bagi diri sendiri</v>
      </c>
      <c r="F109" s="76">
        <v>3</v>
      </c>
      <c r="G109" s="56" t="str" cm="1">
        <f t="array" ref="G109">INDEX(deskripsi!$D$2:$H$337,
   MATCH(1,(deskripsi!$A$2:$A$337=B109)*
           (deskripsi!$B$2:$B$337=C109)*
           (deskripsi!$C$2:$C$337=D109),0),
   F109)</f>
        <v>Menetapkan standar pribadi lebih tinggi, disimpan untuk diri sendiri.</v>
      </c>
    </row>
    <row r="110" spans="1:7" ht="28">
      <c r="A110" t="str">
        <f t="shared" si="1"/>
        <v>Achievement Drive|Director|2|4</v>
      </c>
      <c r="B110" t="str">
        <v>Achievement Drive</v>
      </c>
      <c r="C110" t="str">
        <v>Director</v>
      </c>
      <c r="D110" s="76">
        <v>2</v>
      </c>
      <c r="E110" t="str" cm="1">
        <f t="array" ref="E110">INDEX(aspek!$D$2:$D$337,
   MATCH(1,(aspek!$A$2:$A$337=B110)*
           (aspek!$B$2:$B$337=C110)*
           (aspek!$C$2:$C$337=D110),0))</f>
        <v>Standar bagi diri sendiri</v>
      </c>
      <c r="F110" s="76">
        <v>4</v>
      </c>
      <c r="G110" s="56" t="str" cm="1">
        <f t="array" ref="G110">INDEX(deskripsi!$D$2:$H$337,
   MATCH(1,(deskripsi!$A$2:$A$337=B110)*
           (deskripsi!$B$2:$B$337=C110)*
           (deskripsi!$C$2:$C$337=D110),0),
   F110)</f>
        <v>Menetapkan standar pribadi lebih tinggi, mengumumkannya, dan melaporkan hasilnya apa adanya.</v>
      </c>
    </row>
    <row r="111" spans="1:7">
      <c r="A111" t="str">
        <f t="shared" si="1"/>
        <v>Achievement Drive|Director|2|5</v>
      </c>
      <c r="B111" t="str">
        <v>Achievement Drive</v>
      </c>
      <c r="C111" t="str">
        <v>Director</v>
      </c>
      <c r="D111" s="76">
        <v>2</v>
      </c>
      <c r="E111" t="str" cm="1">
        <f t="array" ref="E111">INDEX(aspek!$D$2:$D$337,
   MATCH(1,(aspek!$A$2:$A$337=B111)*
           (aspek!$B$2:$B$337=C111)*
           (aspek!$C$2:$C$337=D111),0))</f>
        <v>Standar bagi diri sendiri</v>
      </c>
      <c r="F111" s="76">
        <v>5</v>
      </c>
      <c r="G111" s="56" t="str" cm="1">
        <f t="array" ref="G111">INDEX(deskripsi!$D$2:$H$337,
   MATCH(1,(deskripsi!$A$2:$A$337=B111)*
           (deskripsi!$B$2:$B$337=C111)*
           (deskripsi!$C$2:$C$337=D111),0),
   F111)</f>
        <v>Standar pribadinya menjadi rujukan yang ditiru tanpa diminta.</v>
      </c>
    </row>
    <row r="112" spans="1:7">
      <c r="A112" t="str">
        <f t="shared" si="1"/>
        <v>Achievement Drive|Director|3|1</v>
      </c>
      <c r="B112" t="str">
        <v>Achievement Drive</v>
      </c>
      <c r="C112" t="str">
        <v>Director</v>
      </c>
      <c r="D112" s="76">
        <v>3</v>
      </c>
      <c r="E112" t="str" cm="1">
        <f t="array" ref="E112">INDEX(aspek!$D$2:$D$337,
   MATCH(1,(aspek!$A$2:$A$337=B112)*
           (aspek!$B$2:$B$337=C112)*
           (aspek!$C$2:$C$337=D112),0))</f>
        <v>Pelembagaan menjadi sistem dan budaya</v>
      </c>
      <c r="F112" s="76">
        <v>1</v>
      </c>
      <c r="G112" s="56" t="str" cm="1">
        <f t="array" ref="G112">INDEX(deskripsi!$D$2:$H$337,
   MATCH(1,(deskripsi!$A$2:$A$337=B112)*
           (deskripsi!$B$2:$B$337=C112)*
           (deskripsi!$C$2:$C$337=D112),0),
   F112)</f>
        <v>Standar bergantung sepenuhnya pada pengawasannya.</v>
      </c>
    </row>
    <row r="113" spans="1:7">
      <c r="A113" t="str">
        <f t="shared" si="1"/>
        <v>Achievement Drive|Director|3|2</v>
      </c>
      <c r="B113" t="str">
        <v>Achievement Drive</v>
      </c>
      <c r="C113" t="str">
        <v>Director</v>
      </c>
      <c r="D113" s="76">
        <v>3</v>
      </c>
      <c r="E113" t="str" cm="1">
        <f t="array" ref="E113">INDEX(aspek!$D$2:$D$337,
   MATCH(1,(aspek!$A$2:$A$337=B113)*
           (aspek!$B$2:$B$337=C113)*
           (aspek!$C$2:$C$337=D113),0))</f>
        <v>Pelembagaan menjadi sistem dan budaya</v>
      </c>
      <c r="F113" s="76">
        <v>2</v>
      </c>
      <c r="G113" s="56" t="str" cm="1">
        <f t="array" ref="G113">INDEX(deskripsi!$D$2:$H$337,
   MATCH(1,(deskripsi!$A$2:$A$337=B113)*
           (deskripsi!$B$2:$B$337=C113)*
           (deskripsi!$C$2:$C$337=D113),0),
   F113)</f>
        <v>Standar dituliskan tanpa pemeriksaan dan konsekuensi.</v>
      </c>
    </row>
    <row r="114" spans="1:7">
      <c r="A114" t="str">
        <f t="shared" si="1"/>
        <v>Achievement Drive|Director|3|3</v>
      </c>
      <c r="B114" t="str">
        <v>Achievement Drive</v>
      </c>
      <c r="C114" t="str">
        <v>Director</v>
      </c>
      <c r="D114" s="76">
        <v>3</v>
      </c>
      <c r="E114" t="str" cm="1">
        <f t="array" ref="E114">INDEX(aspek!$D$2:$D$337,
   MATCH(1,(aspek!$A$2:$A$337=B114)*
           (aspek!$B$2:$B$337=C114)*
           (aspek!$C$2:$C$337=D114),0))</f>
        <v>Pelembagaan menjadi sistem dan budaya</v>
      </c>
      <c r="F114" s="76">
        <v>3</v>
      </c>
      <c r="G114" s="56" t="str" cm="1">
        <f t="array" ref="G114">INDEX(deskripsi!$D$2:$H$337,
   MATCH(1,(deskripsi!$A$2:$A$337=B114)*
           (deskripsi!$B$2:$B$337=C114)*
           (deskripsi!$C$2:$C$337=D114),0),
   F114)</f>
        <v>Standar berjalan dengan peserta sebagai pemeriksanya.</v>
      </c>
    </row>
    <row r="115" spans="1:7" ht="28">
      <c r="A115" t="str">
        <f t="shared" si="1"/>
        <v>Achievement Drive|Director|3|4</v>
      </c>
      <c r="B115" t="str">
        <v>Achievement Drive</v>
      </c>
      <c r="C115" t="str">
        <v>Director</v>
      </c>
      <c r="D115" s="76">
        <v>3</v>
      </c>
      <c r="E115" t="str" cm="1">
        <f t="array" ref="E115">INDEX(aspek!$D$2:$D$337,
   MATCH(1,(aspek!$A$2:$A$337=B115)*
           (aspek!$B$2:$B$337=C115)*
           (aspek!$C$2:$C$337=D115),0))</f>
        <v>Pelembagaan menjadi sistem dan budaya</v>
      </c>
      <c r="F115" s="76">
        <v>4</v>
      </c>
      <c r="G115" s="56" t="str" cm="1">
        <f t="array" ref="G115">INDEX(deskripsi!$D$2:$H$337,
   MATCH(1,(deskripsi!$A$2:$A$337=B115)*
           (deskripsi!$B$2:$B$337=C115)*
           (deskripsi!$C$2:$C$337=D115),0),
   F115)</f>
        <v>Standar memiliki pemilik selain dirinya, irama peninjauan, konsekuensi, dan terbukti berjalan tanpa keterlibatannya.</v>
      </c>
    </row>
    <row r="116" spans="1:7" ht="28">
      <c r="A116" t="str">
        <f t="shared" si="1"/>
        <v>Achievement Drive|Director|3|5</v>
      </c>
      <c r="B116" t="str">
        <v>Achievement Drive</v>
      </c>
      <c r="C116" t="str">
        <v>Director</v>
      </c>
      <c r="D116" s="76">
        <v>3</v>
      </c>
      <c r="E116" t="str" cm="1">
        <f t="array" ref="E116">INDEX(aspek!$D$2:$D$337,
   MATCH(1,(aspek!$A$2:$A$337=B116)*
           (aspek!$B$2:$B$337=C116)*
           (aspek!$C$2:$C$337=D116),0))</f>
        <v>Pelembagaan menjadi sistem dan budaya</v>
      </c>
      <c r="F116" s="76">
        <v>5</v>
      </c>
      <c r="G116" s="56" t="str" cm="1">
        <f t="array" ref="G116">INDEX(deskripsi!$D$2:$H$337,
   MATCH(1,(deskripsi!$A$2:$A$337=B116)*
           (deskripsi!$B$2:$B$337=C116)*
           (deskripsi!$C$2:$C$337=D116),0),
   F116)</f>
        <v>Standar menjadi budaya kerja yang dijaga sendiri oleh pelaksananya.</v>
      </c>
    </row>
    <row r="117" spans="1:7">
      <c r="A117" t="str">
        <f t="shared" si="1"/>
        <v>Achievement Drive|Director|4|1</v>
      </c>
      <c r="B117" t="str">
        <v>Achievement Drive</v>
      </c>
      <c r="C117" t="str">
        <v>Director</v>
      </c>
      <c r="D117" s="76">
        <v>4</v>
      </c>
      <c r="E117" t="str" cm="1">
        <f t="array" ref="E117">INDEX(aspek!$D$2:$D$337,
   MATCH(1,(aspek!$A$2:$A$337=B117)*
           (aspek!$B$2:$B$337=C117)*
           (aspek!$C$2:$C$337=D117),0))</f>
        <v>Standar tetap berlandaskan integritas</v>
      </c>
      <c r="F117" s="76">
        <v>1</v>
      </c>
      <c r="G117" s="56" t="str" cm="1">
        <f t="array" ref="G117">INDEX(deskripsi!$D$2:$H$337,
   MATCH(1,(deskripsi!$A$2:$A$337=B117)*
           (deskripsi!$B$2:$B$337=C117)*
           (deskripsi!$C$2:$C$337=D117),0),
   F117)</f>
        <v>Standar dikorbankan atau dilanggar demi mencapai target.</v>
      </c>
    </row>
    <row r="118" spans="1:7" ht="28">
      <c r="A118" t="str">
        <f t="shared" si="1"/>
        <v>Achievement Drive|Director|4|2</v>
      </c>
      <c r="B118" t="str">
        <v>Achievement Drive</v>
      </c>
      <c r="C118" t="str">
        <v>Director</v>
      </c>
      <c r="D118" s="76">
        <v>4</v>
      </c>
      <c r="E118" t="str" cm="1">
        <f t="array" ref="E118">INDEX(aspek!$D$2:$D$337,
   MATCH(1,(aspek!$A$2:$A$337=B118)*
           (aspek!$B$2:$B$337=C118)*
           (aspek!$C$2:$C$337=D118),0))</f>
        <v>Standar tetap berlandaskan integritas</v>
      </c>
      <c r="F118" s="76">
        <v>2</v>
      </c>
      <c r="G118" s="56" t="str" cm="1">
        <f t="array" ref="G118">INDEX(deskripsi!$D$2:$H$337,
   MATCH(1,(deskripsi!$A$2:$A$337=B118)*
           (deskripsi!$B$2:$B$337=C118)*
           (deskripsi!$C$2:$C$337=D118),0),
   F118)</f>
        <v>Standar dipertahankan tetapi integritas kadang dikompromikan di bawah tekanan.</v>
      </c>
    </row>
    <row r="119" spans="1:7">
      <c r="A119" t="str">
        <f t="shared" si="1"/>
        <v>Achievement Drive|Director|4|3</v>
      </c>
      <c r="B119" t="str">
        <v>Achievement Drive</v>
      </c>
      <c r="C119" t="str">
        <v>Director</v>
      </c>
      <c r="D119" s="76">
        <v>4</v>
      </c>
      <c r="E119" t="str" cm="1">
        <f t="array" ref="E119">INDEX(aspek!$D$2:$D$337,
   MATCH(1,(aspek!$A$2:$A$337=B119)*
           (aspek!$B$2:$B$337=C119)*
           (aspek!$C$2:$C$337=D119),0))</f>
        <v>Standar tetap berlandaskan integritas</v>
      </c>
      <c r="F119" s="76">
        <v>3</v>
      </c>
      <c r="G119" s="56" t="str" cm="1">
        <f t="array" ref="G119">INDEX(deskripsi!$D$2:$H$337,
   MATCH(1,(deskripsi!$A$2:$A$337=B119)*
           (deskripsi!$B$2:$B$337=C119)*
           (deskripsi!$C$2:$C$337=D119),0),
   F119)</f>
        <v>Standar dan integritas keduanya dijaga pada situasi normal.</v>
      </c>
    </row>
    <row r="120" spans="1:7" ht="28">
      <c r="A120" t="str">
        <f t="shared" si="1"/>
        <v>Achievement Drive|Director|4|4</v>
      </c>
      <c r="B120" t="str">
        <v>Achievement Drive</v>
      </c>
      <c r="C120" t="str">
        <v>Director</v>
      </c>
      <c r="D120" s="76">
        <v>4</v>
      </c>
      <c r="E120" t="str" cm="1">
        <f t="array" ref="E120">INDEX(aspek!$D$2:$D$337,
   MATCH(1,(aspek!$A$2:$A$337=B120)*
           (aspek!$B$2:$B$337=C120)*
           (aspek!$C$2:$C$337=D120),0))</f>
        <v>Standar tetap berlandaskan integritas</v>
      </c>
      <c r="F120" s="76">
        <v>4</v>
      </c>
      <c r="G120" s="56" t="str" cm="1">
        <f t="array" ref="G120">INDEX(deskripsi!$D$2:$H$337,
   MATCH(1,(deskripsi!$A$2:$A$337=B120)*
           (deskripsi!$B$2:$B$337=C120)*
           (deskripsi!$C$2:$C$337=D120),0),
   F120)</f>
        <v>Standar dan integritas keduanya dijaga bahkan di bawah tekanan pencapaian target yang tinggi.</v>
      </c>
    </row>
    <row r="121" spans="1:7" ht="28">
      <c r="A121" t="str">
        <f t="shared" si="1"/>
        <v>Achievement Drive|Director|4|5</v>
      </c>
      <c r="B121" t="str">
        <v>Achievement Drive</v>
      </c>
      <c r="C121" t="str">
        <v>Director</v>
      </c>
      <c r="D121" s="76">
        <v>4</v>
      </c>
      <c r="E121" t="str" cm="1">
        <f t="array" ref="E121">INDEX(aspek!$D$2:$D$337,
   MATCH(1,(aspek!$A$2:$A$337=B121)*
           (aspek!$B$2:$B$337=C121)*
           (aspek!$C$2:$C$337=D121),0))</f>
        <v>Standar tetap berlandaskan integritas</v>
      </c>
      <c r="F121" s="76">
        <v>5</v>
      </c>
      <c r="G121" s="56" t="str" cm="1">
        <f t="array" ref="G121">INDEX(deskripsi!$D$2:$H$337,
   MATCH(1,(deskripsi!$A$2:$A$337=B121)*
           (deskripsi!$B$2:$B$337=C121)*
           (deskripsi!$C$2:$C$337=D121),0),
   F121)</f>
        <v>Organisasi dikenal mencapai hasil terbaik tanpa mengorbankan integritas, bahkan oleh pihak eksternal.</v>
      </c>
    </row>
    <row r="122" spans="1:7">
      <c r="A122" t="str">
        <f t="shared" si="1"/>
        <v>Developing Oneself|Officer|1|1</v>
      </c>
      <c r="B122" t="str">
        <v>Developing Oneself</v>
      </c>
      <c r="C122" t="str">
        <v>Officer</v>
      </c>
      <c r="D122" s="76">
        <v>1</v>
      </c>
      <c r="E122" t="str" cm="1">
        <f t="array" ref="E122">INDEX(aspek!$D$2:$D$337,
   MATCH(1,(aspek!$A$2:$A$337=B122)*
           (aspek!$B$2:$B$337=C122)*
           (aspek!$C$2:$C$337=D122),0))</f>
        <v>Reaksi emosional awal terhadap kritik</v>
      </c>
      <c r="F122" s="76">
        <v>1</v>
      </c>
      <c r="G122" s="56" t="str" cm="1">
        <f t="array" ref="G122">INDEX(deskripsi!$D$2:$H$337,
   MATCH(1,(deskripsi!$A$2:$A$337=B122)*
           (deskripsi!$B$2:$B$337=C122)*
           (deskripsi!$C$2:$C$337=D122),0),
   F122)</f>
        <v>Defensif; membenarkan diri saat dikritik.</v>
      </c>
    </row>
    <row r="123" spans="1:7">
      <c r="A123" t="str">
        <f t="shared" si="1"/>
        <v>Developing Oneself|Officer|1|2</v>
      </c>
      <c r="B123" t="str">
        <v>Developing Oneself</v>
      </c>
      <c r="C123" t="str">
        <v>Officer</v>
      </c>
      <c r="D123" s="76">
        <v>1</v>
      </c>
      <c r="E123" t="str" cm="1">
        <f t="array" ref="E123">INDEX(aspek!$D$2:$D$337,
   MATCH(1,(aspek!$A$2:$A$337=B123)*
           (aspek!$B$2:$B$337=C123)*
           (aspek!$C$2:$C$337=D123),0))</f>
        <v>Reaksi emosional awal terhadap kritik</v>
      </c>
      <c r="F123" s="76">
        <v>2</v>
      </c>
      <c r="G123" s="56" t="str" cm="1">
        <f t="array" ref="G123">INDEX(deskripsi!$D$2:$H$337,
   MATCH(1,(deskripsi!$A$2:$A$337=B123)*
           (deskripsi!$B$2:$B$337=C123)*
           (deskripsi!$C$2:$C$337=D123),0),
   F123)</f>
        <v>Menerima meski terasa tidak nyaman, tanpa membantah.</v>
      </c>
    </row>
    <row r="124" spans="1:7">
      <c r="A124" t="str">
        <f t="shared" si="1"/>
        <v>Developing Oneself|Officer|1|3</v>
      </c>
      <c r="B124" t="str">
        <v>Developing Oneself</v>
      </c>
      <c r="C124" t="str">
        <v>Officer</v>
      </c>
      <c r="D124" s="76">
        <v>1</v>
      </c>
      <c r="E124" t="str" cm="1">
        <f t="array" ref="E124">INDEX(aspek!$D$2:$D$337,
   MATCH(1,(aspek!$A$2:$A$337=B124)*
           (aspek!$B$2:$B$337=C124)*
           (aspek!$C$2:$C$337=D124),0))</f>
        <v>Reaksi emosional awal terhadap kritik</v>
      </c>
      <c r="F124" s="76">
        <v>3</v>
      </c>
      <c r="G124" s="56" t="str" cm="1">
        <f t="array" ref="G124">INDEX(deskripsi!$D$2:$H$337,
   MATCH(1,(deskripsi!$A$2:$A$337=B124)*
           (deskripsi!$B$2:$B$337=C124)*
           (deskripsi!$C$2:$C$337=D124),0),
   F124)</f>
        <v>Cukup terbuka dan memahami inti kritik.</v>
      </c>
    </row>
    <row r="125" spans="1:7" ht="28">
      <c r="A125" t="str">
        <f t="shared" si="1"/>
        <v>Developing Oneself|Officer|1|4</v>
      </c>
      <c r="B125" t="str">
        <v>Developing Oneself</v>
      </c>
      <c r="C125" t="str">
        <v>Officer</v>
      </c>
      <c r="D125" s="76">
        <v>1</v>
      </c>
      <c r="E125" t="str" cm="1">
        <f t="array" ref="E125">INDEX(aspek!$D$2:$D$337,
   MATCH(1,(aspek!$A$2:$A$337=B125)*
           (aspek!$B$2:$B$337=C125)*
           (aspek!$C$2:$C$337=D125),0))</f>
        <v>Reaksi emosional awal terhadap kritik</v>
      </c>
      <c r="F125" s="76">
        <v>4</v>
      </c>
      <c r="G125" s="56" t="str" cm="1">
        <f t="array" ref="G125">INDEX(deskripsi!$D$2:$H$337,
   MATCH(1,(deskripsi!$A$2:$A$337=B125)*
           (deskripsi!$B$2:$B$337=C125)*
           (deskripsi!$C$2:$C$337=D125),0),
   F125)</f>
        <v>Meminta klarifikasi untuk memahami lebih dalam dan memperbaiki diri berdasarkan kritik itu.</v>
      </c>
    </row>
    <row r="126" spans="1:7">
      <c r="A126" t="str">
        <f t="shared" si="1"/>
        <v>Developing Oneself|Officer|1|5</v>
      </c>
      <c r="B126" t="str">
        <v>Developing Oneself</v>
      </c>
      <c r="C126" t="str">
        <v>Officer</v>
      </c>
      <c r="D126" s="76">
        <v>1</v>
      </c>
      <c r="E126" t="str" cm="1">
        <f t="array" ref="E126">INDEX(aspek!$D$2:$D$337,
   MATCH(1,(aspek!$A$2:$A$337=B126)*
           (aspek!$B$2:$B$337=C126)*
           (aspek!$C$2:$C$337=D126),0))</f>
        <v>Reaksi emosional awal terhadap kritik</v>
      </c>
      <c r="F126" s="76">
        <v>5</v>
      </c>
      <c r="G126" s="56" t="str" cm="1">
        <f t="array" ref="G126">INDEX(deskripsi!$D$2:$H$337,
   MATCH(1,(deskripsi!$A$2:$A$337=B126)*
           (deskripsi!$B$2:$B$337=C126)*
           (deskripsi!$C$2:$C$337=D126),0),
   F126)</f>
        <v>Secara aktif mencari kritik, tidak menunggu diberi.</v>
      </c>
    </row>
    <row r="127" spans="1:7">
      <c r="A127" t="str">
        <f t="shared" si="1"/>
        <v>Developing Oneself|Officer|2|1</v>
      </c>
      <c r="B127" t="str">
        <v>Developing Oneself</v>
      </c>
      <c r="C127" t="str">
        <v>Officer</v>
      </c>
      <c r="D127" s="76">
        <v>2</v>
      </c>
      <c r="E127" t="str" cm="1">
        <f t="array" ref="E127">INDEX(aspek!$D$2:$D$337,
   MATCH(1,(aspek!$A$2:$A$337=B127)*
           (aspek!$B$2:$B$337=C127)*
           (aspek!$C$2:$C$337=D127),0))</f>
        <v>Kepemilikan atas kesalahan</v>
      </c>
      <c r="F127" s="76">
        <v>1</v>
      </c>
      <c r="G127" s="56" t="str" cm="1">
        <f t="array" ref="G127">INDEX(deskripsi!$D$2:$H$337,
   MATCH(1,(deskripsi!$A$2:$A$337=B127)*
           (deskripsi!$B$2:$B$337=C127)*
           (deskripsi!$C$2:$C$337=D127),0),
   F127)</f>
        <v>Menyalahkan faktor eksternal atau orang lain.</v>
      </c>
    </row>
    <row r="128" spans="1:7">
      <c r="A128" t="str">
        <f t="shared" si="1"/>
        <v>Developing Oneself|Officer|2|2</v>
      </c>
      <c r="B128" t="str">
        <v>Developing Oneself</v>
      </c>
      <c r="C128" t="str">
        <v>Officer</v>
      </c>
      <c r="D128" s="76">
        <v>2</v>
      </c>
      <c r="E128" t="str" cm="1">
        <f t="array" ref="E128">INDEX(aspek!$D$2:$D$337,
   MATCH(1,(aspek!$A$2:$A$337=B128)*
           (aspek!$B$2:$B$337=C128)*
           (aspek!$C$2:$C$337=D128),0))</f>
        <v>Kepemilikan atas kesalahan</v>
      </c>
      <c r="F128" s="76">
        <v>2</v>
      </c>
      <c r="G128" s="56" t="str" cm="1">
        <f t="array" ref="G128">INDEX(deskripsi!$D$2:$H$337,
   MATCH(1,(deskripsi!$A$2:$A$337=B128)*
           (deskripsi!$B$2:$B$337=C128)*
           (deskripsi!$C$2:$C$337=D128),0),
   F128)</f>
        <v>Mengakui hanya kesalahan yang kecil dan tidak berisiko.</v>
      </c>
    </row>
    <row r="129" spans="1:7">
      <c r="A129" t="str">
        <f t="shared" si="1"/>
        <v>Developing Oneself|Officer|2|3</v>
      </c>
      <c r="B129" t="str">
        <v>Developing Oneself</v>
      </c>
      <c r="C129" t="str">
        <v>Officer</v>
      </c>
      <c r="D129" s="76">
        <v>2</v>
      </c>
      <c r="E129" t="str" cm="1">
        <f t="array" ref="E129">INDEX(aspek!$D$2:$D$337,
   MATCH(1,(aspek!$A$2:$A$337=B129)*
           (aspek!$B$2:$B$337=C129)*
           (aspek!$C$2:$C$337=D129),0))</f>
        <v>Kepemilikan atas kesalahan</v>
      </c>
      <c r="F129" s="76">
        <v>3</v>
      </c>
      <c r="G129" s="56" t="str" cm="1">
        <f t="array" ref="G129">INDEX(deskripsi!$D$2:$H$337,
   MATCH(1,(deskripsi!$A$2:$A$337=B129)*
           (deskripsi!$B$2:$B$337=C129)*
           (deskripsi!$C$2:$C$337=D129),0),
   F129)</f>
        <v>Mengakui di sebagian besar situasi.</v>
      </c>
    </row>
    <row r="130" spans="1:7" ht="28">
      <c r="A130" t="str">
        <f t="shared" si="1"/>
        <v>Developing Oneself|Officer|2|4</v>
      </c>
      <c r="B130" t="str">
        <v>Developing Oneself</v>
      </c>
      <c r="C130" t="str">
        <v>Officer</v>
      </c>
      <c r="D130" s="76">
        <v>2</v>
      </c>
      <c r="E130" t="str" cm="1">
        <f t="array" ref="E130">INDEX(aspek!$D$2:$D$337,
   MATCH(1,(aspek!$A$2:$A$337=B130)*
           (aspek!$B$2:$B$337=C130)*
           (aspek!$C$2:$C$337=D130),0))</f>
        <v>Kepemilikan atas kesalahan</v>
      </c>
      <c r="F130" s="76">
        <v>4</v>
      </c>
      <c r="G130" s="56" t="str" cm="1">
        <f t="array" ref="G130">INDEX(deskripsi!$D$2:$H$337,
   MATCH(1,(deskripsi!$A$2:$A$337=B130)*
           (deskripsi!$B$2:$B$337=C130)*
           (deskripsi!$C$2:$C$337=D130),0),
   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76">
        <v>2</v>
      </c>
      <c r="E131" t="str" cm="1">
        <f t="array" ref="E131">INDEX(aspek!$D$2:$D$337,
   MATCH(1,(aspek!$A$2:$A$337=B131)*
           (aspek!$B$2:$B$337=C131)*
           (aspek!$C$2:$C$337=D131),0))</f>
        <v>Kepemilikan atas kesalahan</v>
      </c>
      <c r="F131" s="76">
        <v>5</v>
      </c>
      <c r="G131" s="56" t="str" cm="1">
        <f t="array" ref="G131">INDEX(deskripsi!$D$2:$H$337,
   MATCH(1,(deskripsi!$A$2:$A$337=B131)*
           (deskripsi!$B$2:$B$337=C131)*
           (deskripsi!$C$2:$C$337=D131),0),
   F131)</f>
        <v>Menjadikan kesalahannya pembelajaran terbuka bagi orang lain.</v>
      </c>
    </row>
    <row r="132" spans="1:7" ht="28">
      <c r="A132" t="str">
        <f t="shared" si="2"/>
        <v>Developing Oneself|Officer|3|1</v>
      </c>
      <c r="B132" t="str">
        <v>Developing Oneself</v>
      </c>
      <c r="C132" t="str">
        <v>Officer</v>
      </c>
      <c r="D132" s="76">
        <v>3</v>
      </c>
      <c r="E132" t="str" cm="1">
        <f t="array" ref="E132">INDEX(aspek!$D$2:$D$337,
   MATCH(1,(aspek!$A$2:$A$337=B132)*
           (aspek!$B$2:$B$337=C132)*
           (aspek!$C$2:$C$337=D132),0))</f>
        <v>Konsistensi lintas situasi</v>
      </c>
      <c r="F132" s="76">
        <v>1</v>
      </c>
      <c r="G132" s="56" t="str" cm="1">
        <f t="array" ref="G132">INDEX(deskripsi!$D$2:$H$337,
   MATCH(1,(deskripsi!$A$2:$A$337=B132)*
           (deskripsi!$B$2:$B$337=C132)*
           (deskripsi!$C$2:$C$337=D132),0),
   F132)</f>
        <v>Reaksi berubah-ubah tergantung siapa yang mengkritik atau seberapa besar kesalahannya.</v>
      </c>
    </row>
    <row r="133" spans="1:7">
      <c r="A133" t="str">
        <f t="shared" si="2"/>
        <v>Developing Oneself|Officer|3|2</v>
      </c>
      <c r="B133" t="str">
        <v>Developing Oneself</v>
      </c>
      <c r="C133" t="str">
        <v>Officer</v>
      </c>
      <c r="D133" s="76">
        <v>3</v>
      </c>
      <c r="E133" t="str" cm="1">
        <f t="array" ref="E133">INDEX(aspek!$D$2:$D$337,
   MATCH(1,(aspek!$A$2:$A$337=B133)*
           (aspek!$B$2:$B$337=C133)*
           (aspek!$C$2:$C$337=D133),0))</f>
        <v>Konsistensi lintas situasi</v>
      </c>
      <c r="F133" s="76">
        <v>2</v>
      </c>
      <c r="G133" s="56" t="str" cm="1">
        <f t="array" ref="G133">INDEX(deskripsi!$D$2:$H$337,
   MATCH(1,(deskripsi!$A$2:$A$337=B133)*
           (deskripsi!$B$2:$B$337=C133)*
           (deskripsi!$C$2:$C$337=D133),0),
   F133)</f>
        <v>Konsisten hanya pada situasi yang tidak mengancam.</v>
      </c>
    </row>
    <row r="134" spans="1:7">
      <c r="A134" t="str">
        <f t="shared" si="2"/>
        <v>Developing Oneself|Officer|3|3</v>
      </c>
      <c r="B134" t="str">
        <v>Developing Oneself</v>
      </c>
      <c r="C134" t="str">
        <v>Officer</v>
      </c>
      <c r="D134" s="76">
        <v>3</v>
      </c>
      <c r="E134" t="str" cm="1">
        <f t="array" ref="E134">INDEX(aspek!$D$2:$D$337,
   MATCH(1,(aspek!$A$2:$A$337=B134)*
           (aspek!$B$2:$B$337=C134)*
           (aspek!$C$2:$C$337=D134),0))</f>
        <v>Konsistensi lintas situasi</v>
      </c>
      <c r="F134" s="76">
        <v>3</v>
      </c>
      <c r="G134" s="56" t="str" cm="1">
        <f t="array" ref="G134">INDEX(deskripsi!$D$2:$H$337,
   MATCH(1,(deskripsi!$A$2:$A$337=B134)*
           (deskripsi!$B$2:$B$337=C134)*
           (deskripsi!$C$2:$C$337=D134),0),
   F134)</f>
        <v>Konsisten pada sebagian besar situasi rutin.</v>
      </c>
    </row>
    <row r="135" spans="1:7" ht="42">
      <c r="A135" t="str">
        <f t="shared" si="2"/>
        <v>Developing Oneself|Officer|3|4</v>
      </c>
      <c r="B135" t="str">
        <v>Developing Oneself</v>
      </c>
      <c r="C135" t="str">
        <v>Officer</v>
      </c>
      <c r="D135" s="76">
        <v>3</v>
      </c>
      <c r="E135" t="str" cm="1">
        <f t="array" ref="E135">INDEX(aspek!$D$2:$D$337,
   MATCH(1,(aspek!$A$2:$A$337=B135)*
           (aspek!$B$2:$B$337=C135)*
           (aspek!$C$2:$C$337=D135),0))</f>
        <v>Konsistensi lintas situasi</v>
      </c>
      <c r="F135" s="76">
        <v>4</v>
      </c>
      <c r="G135" s="56" t="str" cm="1">
        <f t="array" ref="G135">INDEX(deskripsi!$D$2:$H$337,
   MATCH(1,(deskripsi!$A$2:$A$337=B135)*
           (deskripsi!$B$2:$B$337=C135)*
           (deskripsi!$C$2:$C$337=D135),0),
   F135)</f>
        <v>Konsisten menerima kritik dan mengakui kesalahan bahkan pada situasi yang mengancam reputasi atau berdampak besar.</v>
      </c>
    </row>
    <row r="136" spans="1:7">
      <c r="A136" t="str">
        <f t="shared" si="2"/>
        <v>Developing Oneself|Officer|3|5</v>
      </c>
      <c r="B136" t="str">
        <v>Developing Oneself</v>
      </c>
      <c r="C136" t="str">
        <v>Officer</v>
      </c>
      <c r="D136" s="76">
        <v>3</v>
      </c>
      <c r="E136" t="str" cm="1">
        <f t="array" ref="E136">INDEX(aspek!$D$2:$D$337,
   MATCH(1,(aspek!$A$2:$A$337=B136)*
           (aspek!$B$2:$B$337=C136)*
           (aspek!$C$2:$C$337=D136),0))</f>
        <v>Konsistensi lintas situasi</v>
      </c>
      <c r="F136" s="76">
        <v>5</v>
      </c>
      <c r="G136" s="56" t="str" cm="1">
        <f t="array" ref="G136">INDEX(deskripsi!$D$2:$H$337,
   MATCH(1,(deskripsi!$A$2:$A$337=B136)*
           (deskripsi!$B$2:$B$337=C136)*
           (deskripsi!$C$2:$C$337=D136),0),
   F136)</f>
        <v>Konsistensinya menjadi contoh bagi rekan kerja.</v>
      </c>
    </row>
    <row r="137" spans="1:7" ht="28">
      <c r="A137" t="str">
        <f t="shared" si="2"/>
        <v>Developing Oneself|Officer|4|1</v>
      </c>
      <c r="B137" t="str">
        <v>Developing Oneself</v>
      </c>
      <c r="C137" t="str">
        <v>Officer</v>
      </c>
      <c r="D137" s="76">
        <v>4</v>
      </c>
      <c r="E137" t="str" cm="1">
        <f t="array" ref="E137">INDEX(aspek!$D$2:$D$337,
   MATCH(1,(aspek!$A$2:$A$337=B137)*
           (aspek!$B$2:$B$337=C137)*
           (aspek!$C$2:$C$337=D137),0))</f>
        <v xml:space="preserve"> Verifikasi dari pihak lain</v>
      </c>
      <c r="F137" s="76">
        <v>1</v>
      </c>
      <c r="G137" s="56" t="str" cm="1">
        <f t="array" ref="G137">INDEX(deskripsi!$D$2:$H$337,
   MATCH(1,(deskripsi!$A$2:$A$337=B137)*
           (deskripsi!$B$2:$B$337=C137)*
           (deskripsi!$C$2:$C$337=D137),0),
   F137)</f>
        <v>Pihak lain menganggapnya defensif dan sulit menerima masukan.</v>
      </c>
    </row>
    <row r="138" spans="1:7" ht="28">
      <c r="A138" t="str">
        <f t="shared" si="2"/>
        <v>Developing Oneself|Officer|4|2</v>
      </c>
      <c r="B138" t="str">
        <v>Developing Oneself</v>
      </c>
      <c r="C138" t="str">
        <v>Officer</v>
      </c>
      <c r="D138" s="76">
        <v>4</v>
      </c>
      <c r="E138" t="str" cm="1">
        <f t="array" ref="E138">INDEX(aspek!$D$2:$D$337,
   MATCH(1,(aspek!$A$2:$A$337=B138)*
           (aspek!$B$2:$B$337=C138)*
           (aspek!$C$2:$C$337=D138),0))</f>
        <v xml:space="preserve"> Verifikasi dari pihak lain</v>
      </c>
      <c r="F138" s="76">
        <v>2</v>
      </c>
      <c r="G138" s="56" t="str" cm="1">
        <f t="array" ref="G138">INDEX(deskripsi!$D$2:$H$337,
   MATCH(1,(deskripsi!$A$2:$A$337=B138)*
           (deskripsi!$B$2:$B$337=C138)*
           (deskripsi!$C$2:$C$337=D138),0),
   F138)</f>
        <v>Pihak lain menganggapnya menerima secara pasif tanpa perubahan nyata.</v>
      </c>
    </row>
    <row r="139" spans="1:7" ht="28">
      <c r="A139" t="str">
        <f t="shared" si="2"/>
        <v>Developing Oneself|Officer|4|3</v>
      </c>
      <c r="B139" t="str">
        <v>Developing Oneself</v>
      </c>
      <c r="C139" t="str">
        <v>Officer</v>
      </c>
      <c r="D139" s="76">
        <v>4</v>
      </c>
      <c r="E139" t="str" cm="1">
        <f t="array" ref="E139">INDEX(aspek!$D$2:$D$337,
   MATCH(1,(aspek!$A$2:$A$337=B139)*
           (aspek!$B$2:$B$337=C139)*
           (aspek!$C$2:$C$337=D139),0))</f>
        <v xml:space="preserve"> Verifikasi dari pihak lain</v>
      </c>
      <c r="F139" s="76">
        <v>3</v>
      </c>
      <c r="G139" s="56" t="str" cm="1">
        <f t="array" ref="G139">INDEX(deskripsi!$D$2:$H$337,
   MATCH(1,(deskripsi!$A$2:$A$337=B139)*
           (deskripsi!$B$2:$B$337=C139)*
           (deskripsi!$C$2:$C$337=D139),0),
   F139)</f>
        <v>Pihak lain menganggapnya cukup terbuka pada sebagian kesempatan.</v>
      </c>
    </row>
    <row r="140" spans="1:7" ht="28">
      <c r="A140" t="str">
        <f t="shared" si="2"/>
        <v>Developing Oneself|Officer|4|4</v>
      </c>
      <c r="B140" t="str">
        <v>Developing Oneself</v>
      </c>
      <c r="C140" t="str">
        <v>Officer</v>
      </c>
      <c r="D140" s="76">
        <v>4</v>
      </c>
      <c r="E140" t="str" cm="1">
        <f t="array" ref="E140">INDEX(aspek!$D$2:$D$337,
   MATCH(1,(aspek!$A$2:$A$337=B140)*
           (aspek!$B$2:$B$337=C140)*
           (aspek!$C$2:$C$337=D140),0))</f>
        <v xml:space="preserve"> Verifikasi dari pihak lain</v>
      </c>
      <c r="F140" s="76">
        <v>4</v>
      </c>
      <c r="G140" s="56" t="str" cm="1">
        <f t="array" ref="G140">INDEX(deskripsi!$D$2:$H$337,
   MATCH(1,(deskripsi!$A$2:$A$337=B140)*
           (deskripsi!$B$2:$B$337=C140)*
           (deskripsi!$C$2:$C$337=D140),0),
   F140)</f>
        <v>Pihak lain secara konsisten mengonfirmasi keterbukaan dan ownership-nya.</v>
      </c>
    </row>
    <row r="141" spans="1:7" ht="28">
      <c r="A141" t="str">
        <f t="shared" si="2"/>
        <v>Developing Oneself|Officer|4|5</v>
      </c>
      <c r="B141" t="str">
        <v>Developing Oneself</v>
      </c>
      <c r="C141" t="str">
        <v>Officer</v>
      </c>
      <c r="D141" s="76">
        <v>4</v>
      </c>
      <c r="E141" t="str" cm="1">
        <f t="array" ref="E141">INDEX(aspek!$D$2:$D$337,
   MATCH(1,(aspek!$A$2:$A$337=B141)*
           (aspek!$B$2:$B$337=C141)*
           (aspek!$C$2:$C$337=D141),0))</f>
        <v xml:space="preserve"> Verifikasi dari pihak lain</v>
      </c>
      <c r="F141" s="76">
        <v>5</v>
      </c>
      <c r="G141" s="56" t="str" cm="1">
        <f t="array" ref="G141">INDEX(deskripsi!$D$2:$H$337,
   MATCH(1,(deskripsi!$A$2:$A$337=B141)*
           (deskripsi!$B$2:$B$337=C141)*
           (deskripsi!$C$2:$C$337=D141),0),
   F141)</f>
        <v>Pihak lain merasa nyaman memberi kritik jujur karena responsnya yang selalu terbuka.</v>
      </c>
    </row>
    <row r="142" spans="1:7">
      <c r="A142" t="str">
        <f t="shared" si="2"/>
        <v>Developing Oneself|Analyst|1|1</v>
      </c>
      <c r="B142" t="str">
        <v>Developing Oneself</v>
      </c>
      <c r="C142" t="str">
        <v>Analyst</v>
      </c>
      <c r="D142" s="76">
        <v>1</v>
      </c>
      <c r="E142" t="str" cm="1">
        <f t="array" ref="E142">INDEX(aspek!$D$2:$D$337,
   MATCH(1,(aspek!$A$2:$A$337=B142)*
           (aspek!$B$2:$B$337=C142)*
           (aspek!$C$2:$C$337=D142),0))</f>
        <v>Inisiatif dan frekuensi mencari feedback</v>
      </c>
      <c r="F142" s="76">
        <v>1</v>
      </c>
      <c r="G142" s="56" t="str" cm="1">
        <f t="array" ref="G142">INDEX(deskripsi!$D$2:$H$337,
   MATCH(1,(deskripsi!$A$2:$A$337=B142)*
           (deskripsi!$B$2:$B$337=C142)*
           (deskripsi!$C$2:$C$337=D142),0),
   F142)</f>
        <v>Tidak pernah meminta feedback sendiri.</v>
      </c>
    </row>
    <row r="143" spans="1:7">
      <c r="A143" t="str">
        <f t="shared" si="2"/>
        <v>Developing Oneself|Analyst|1|2</v>
      </c>
      <c r="B143" t="str">
        <v>Developing Oneself</v>
      </c>
      <c r="C143" t="str">
        <v>Analyst</v>
      </c>
      <c r="D143" s="76">
        <v>1</v>
      </c>
      <c r="E143" t="str" cm="1">
        <f t="array" ref="E143">INDEX(aspek!$D$2:$D$337,
   MATCH(1,(aspek!$A$2:$A$337=B143)*
           (aspek!$B$2:$B$337=C143)*
           (aspek!$C$2:$C$337=D143),0))</f>
        <v>Inisiatif dan frekuensi mencari feedback</v>
      </c>
      <c r="F143" s="76">
        <v>2</v>
      </c>
      <c r="G143" s="56" t="str" cm="1">
        <f t="array" ref="G143">INDEX(deskripsi!$D$2:$H$337,
   MATCH(1,(deskripsi!$A$2:$A$337=B143)*
           (deskripsi!$B$2:$B$337=C143)*
           (deskripsi!$C$2:$C$337=D143),0),
   F143)</f>
        <v>Meminta feedback hanya jika diminta atasan.</v>
      </c>
    </row>
    <row r="144" spans="1:7">
      <c r="A144" t="str">
        <f t="shared" si="2"/>
        <v>Developing Oneself|Analyst|1|3</v>
      </c>
      <c r="B144" t="str">
        <v>Developing Oneself</v>
      </c>
      <c r="C144" t="str">
        <v>Analyst</v>
      </c>
      <c r="D144" s="76">
        <v>1</v>
      </c>
      <c r="E144" t="str" cm="1">
        <f t="array" ref="E144">INDEX(aspek!$D$2:$D$337,
   MATCH(1,(aspek!$A$2:$A$337=B144)*
           (aspek!$B$2:$B$337=C144)*
           (aspek!$C$2:$C$337=D144),0))</f>
        <v>Inisiatif dan frekuensi mencari feedback</v>
      </c>
      <c r="F144" s="76">
        <v>3</v>
      </c>
      <c r="G144" s="56" t="str" cm="1">
        <f t="array" ref="G144">INDEX(deskripsi!$D$2:$H$337,
   MATCH(1,(deskripsi!$A$2:$A$337=B144)*
           (deskripsi!$B$2:$B$337=C144)*
           (deskripsi!$C$2:$C$337=D144),0),
   F144)</f>
        <v>Meminta feedback secara rutin dari sumber yang umum.</v>
      </c>
    </row>
    <row r="145" spans="1:7" ht="28">
      <c r="A145" t="str">
        <f t="shared" si="2"/>
        <v>Developing Oneself|Analyst|1|4</v>
      </c>
      <c r="B145" t="str">
        <v>Developing Oneself</v>
      </c>
      <c r="C145" t="str">
        <v>Analyst</v>
      </c>
      <c r="D145" s="76">
        <v>1</v>
      </c>
      <c r="E145" t="str" cm="1">
        <f t="array" ref="E145">INDEX(aspek!$D$2:$D$337,
   MATCH(1,(aspek!$A$2:$A$337=B145)*
           (aspek!$B$2:$B$337=C145)*
           (aspek!$C$2:$C$337=D145),0))</f>
        <v>Inisiatif dan frekuensi mencari feedback</v>
      </c>
      <c r="F145" s="76">
        <v>4</v>
      </c>
      <c r="G145" s="56" t="str" cm="1">
        <f t="array" ref="G145">INDEX(deskripsi!$D$2:$H$337,
   MATCH(1,(deskripsi!$A$2:$A$337=B145)*
           (deskripsi!$B$2:$B$337=C145)*
           (deskripsi!$C$2:$C$337=D145),0),
   F145)</f>
        <v>Meminta feedback secara rutin, spesifik, dan dari sumber yang beragam.</v>
      </c>
    </row>
    <row r="146" spans="1:7">
      <c r="A146" t="str">
        <f t="shared" si="2"/>
        <v>Developing Oneself|Analyst|1|5</v>
      </c>
      <c r="B146" t="str">
        <v>Developing Oneself</v>
      </c>
      <c r="C146" t="str">
        <v>Analyst</v>
      </c>
      <c r="D146" s="76">
        <v>1</v>
      </c>
      <c r="E146" t="str" cm="1">
        <f t="array" ref="E146">INDEX(aspek!$D$2:$D$337,
   MATCH(1,(aspek!$A$2:$A$337=B146)*
           (aspek!$B$2:$B$337=C146)*
           (aspek!$C$2:$C$337=D146),0))</f>
        <v>Inisiatif dan frekuensi mencari feedback</v>
      </c>
      <c r="F146" s="76">
        <v>5</v>
      </c>
      <c r="G146" s="56" t="str" cm="1">
        <f t="array" ref="G146">INDEX(deskripsi!$D$2:$H$337,
   MATCH(1,(deskripsi!$A$2:$A$337=B146)*
           (deskripsi!$B$2:$B$337=C146)*
           (deskripsi!$C$2:$C$337=D146),0),
   F146)</f>
        <v>Mencari feedback menjadi kebiasaan yang berjalan otomatis.</v>
      </c>
    </row>
    <row r="147" spans="1:7" ht="28">
      <c r="A147" t="str">
        <f t="shared" si="2"/>
        <v>Developing Oneself|Analyst|2|1</v>
      </c>
      <c r="B147" t="str">
        <v>Developing Oneself</v>
      </c>
      <c r="C147" t="str">
        <v>Analyst</v>
      </c>
      <c r="D147" s="76">
        <v>2</v>
      </c>
      <c r="E147" t="str" cm="1">
        <f t="array" ref="E147">INDEX(aspek!$D$2:$D$337,
   MATCH(1,(aspek!$A$2:$A$337=B147)*
           (aspek!$B$2:$B$337=C147)*
           (aspek!$C$2:$C$337=D147),0))</f>
        <v>Akurasi gambaran diri</v>
      </c>
      <c r="F147" s="76">
        <v>1</v>
      </c>
      <c r="G147" s="56" t="str" cm="1">
        <f t="array" ref="G147">INDEX(deskripsi!$D$2:$H$337,
   MATCH(1,(deskripsi!$A$2:$A$337=B147)*
           (deskripsi!$B$2:$B$337=C147)*
           (deskripsi!$C$2:$C$337=D147),0),
   F147)</f>
        <v>Tidak memiliki gambaran tentang kekuatan dan kelemahan diri.</v>
      </c>
    </row>
    <row r="148" spans="1:7" ht="28">
      <c r="A148" t="str">
        <f t="shared" si="2"/>
        <v>Developing Oneself|Analyst|2|2</v>
      </c>
      <c r="B148" t="str">
        <v>Developing Oneself</v>
      </c>
      <c r="C148" t="str">
        <v>Analyst</v>
      </c>
      <c r="D148" s="76">
        <v>2</v>
      </c>
      <c r="E148" t="str" cm="1">
        <f t="array" ref="E148">INDEX(aspek!$D$2:$D$337,
   MATCH(1,(aspek!$A$2:$A$337=B148)*
           (aspek!$B$2:$B$337=C148)*
           (aspek!$C$2:$C$337=D148),0))</f>
        <v>Akurasi gambaran diri</v>
      </c>
      <c r="F148" s="76">
        <v>2</v>
      </c>
      <c r="G148" s="56" t="str" cm="1">
        <f t="array" ref="G148">INDEX(deskripsi!$D$2:$H$337,
   MATCH(1,(deskripsi!$A$2:$A$337=B148)*
           (deskripsi!$B$2:$B$337=C148)*
           (deskripsi!$C$2:$C$337=D148),0),
   F148)</f>
        <v>Memiliki gambaran diri hanya berdasarkan asesmen formal sesekali.</v>
      </c>
    </row>
    <row r="149" spans="1:7">
      <c r="A149" t="str">
        <f t="shared" si="2"/>
        <v>Developing Oneself|Analyst|2|3</v>
      </c>
      <c r="B149" t="str">
        <v>Developing Oneself</v>
      </c>
      <c r="C149" t="str">
        <v>Analyst</v>
      </c>
      <c r="D149" s="76">
        <v>2</v>
      </c>
      <c r="E149" t="str" cm="1">
        <f t="array" ref="E149">INDEX(aspek!$D$2:$D$337,
   MATCH(1,(aspek!$A$2:$A$337=B149)*
           (aspek!$B$2:$B$337=C149)*
           (aspek!$C$2:$C$337=D149),0))</f>
        <v>Akurasi gambaran diri</v>
      </c>
      <c r="F149" s="76">
        <v>3</v>
      </c>
      <c r="G149" s="56" t="str" cm="1">
        <f t="array" ref="G149">INDEX(deskripsi!$D$2:$H$337,
   MATCH(1,(deskripsi!$A$2:$A$337=B149)*
           (deskripsi!$B$2:$B$337=C149)*
           (deskripsi!$C$2:$C$337=D149),0),
   F149)</f>
        <v>Merefleksikan gambaran diri setelah pengalaman penting.</v>
      </c>
    </row>
    <row r="150" spans="1:7" ht="28">
      <c r="A150" t="str">
        <f t="shared" si="2"/>
        <v>Developing Oneself|Analyst|2|4</v>
      </c>
      <c r="B150" t="str">
        <v>Developing Oneself</v>
      </c>
      <c r="C150" t="str">
        <v>Analyst</v>
      </c>
      <c r="D150" s="76">
        <v>2</v>
      </c>
      <c r="E150" t="str" cm="1">
        <f t="array" ref="E150">INDEX(aspek!$D$2:$D$337,
   MATCH(1,(aspek!$A$2:$A$337=B150)*
           (aspek!$B$2:$B$337=C150)*
           (aspek!$C$2:$C$337=D150),0))</f>
        <v>Akurasi gambaran diri</v>
      </c>
      <c r="F150" s="76">
        <v>4</v>
      </c>
      <c r="G150" s="56" t="str" cm="1">
        <f t="array" ref="G150">INDEX(deskripsi!$D$2:$H$337,
   MATCH(1,(deskripsi!$A$2:$A$337=B150)*
           (deskripsi!$B$2:$B$337=C150)*
           (deskripsi!$C$2:$C$337=D150),0),
   F150)</f>
        <v>Mengevaluasi gambaran diri secara rutin dan didukung bukti, dikonfirmasi akurat oleh pihak ketiga.</v>
      </c>
    </row>
    <row r="151" spans="1:7" ht="28">
      <c r="A151" t="str">
        <f t="shared" si="2"/>
        <v>Developing Oneself|Analyst|2|5</v>
      </c>
      <c r="B151" t="str">
        <v>Developing Oneself</v>
      </c>
      <c r="C151" t="str">
        <v>Analyst</v>
      </c>
      <c r="D151" s="76">
        <v>2</v>
      </c>
      <c r="E151" t="str" cm="1">
        <f t="array" ref="E151">INDEX(aspek!$D$2:$D$337,
   MATCH(1,(aspek!$A$2:$A$337=B151)*
           (aspek!$B$2:$B$337=C151)*
           (aspek!$C$2:$C$337=D151),0))</f>
        <v>Akurasi gambaran diri</v>
      </c>
      <c r="F151" s="76">
        <v>5</v>
      </c>
      <c r="G151" s="56" t="str" cm="1">
        <f t="array" ref="G151">INDEX(deskripsi!$D$2:$H$337,
   MATCH(1,(deskripsi!$A$2:$A$337=B151)*
           (deskripsi!$B$2:$B$337=C151)*
           (deskripsi!$C$2:$C$337=D151),0),
   F151)</f>
        <v>Gambaran dirinya menjadi rujukan yang dipercaya bahkan oleh orang lain.</v>
      </c>
    </row>
    <row r="152" spans="1:7" ht="28">
      <c r="A152" t="str">
        <f t="shared" si="2"/>
        <v>Developing Oneself|Analyst|3|1</v>
      </c>
      <c r="B152" t="str">
        <v>Developing Oneself</v>
      </c>
      <c r="C152" t="str">
        <v>Analyst</v>
      </c>
      <c r="D152" s="76">
        <v>3</v>
      </c>
      <c r="E152" t="str" cm="1">
        <f t="array" ref="E152">INDEX(aspek!$D$2:$D$337,
   MATCH(1,(aspek!$A$2:$A$337=B152)*
           (aspek!$B$2:$B$337=C152)*
           (aspek!$C$2:$C$337=D152),0))</f>
        <v>Penggunaan praktis gambaran diri</v>
      </c>
      <c r="F152" s="76">
        <v>1</v>
      </c>
      <c r="G152" s="56" t="str" cm="1">
        <f t="array" ref="G152">INDEX(deskripsi!$D$2:$H$337,
   MATCH(1,(deskripsi!$A$2:$A$337=B152)*
           (deskripsi!$B$2:$B$337=C152)*
           (deskripsi!$C$2:$C$337=D152),0),
   F152)</f>
        <v>Gambaran diri tidak pernah dipakai untuk memutuskan apa pun.</v>
      </c>
    </row>
    <row r="153" spans="1:7" ht="28">
      <c r="A153" t="str">
        <f t="shared" si="2"/>
        <v>Developing Oneself|Analyst|3|2</v>
      </c>
      <c r="B153" t="str">
        <v>Developing Oneself</v>
      </c>
      <c r="C153" t="str">
        <v>Analyst</v>
      </c>
      <c r="D153" s="76">
        <v>3</v>
      </c>
      <c r="E153" t="str" cm="1">
        <f t="array" ref="E153">INDEX(aspek!$D$2:$D$337,
   MATCH(1,(aspek!$A$2:$A$337=B153)*
           (aspek!$B$2:$B$337=C153)*
           (aspek!$C$2:$C$337=D153),0))</f>
        <v>Penggunaan praktis gambaran diri</v>
      </c>
      <c r="F153" s="76">
        <v>2</v>
      </c>
      <c r="G153" s="56" t="str" cm="1">
        <f t="array" ref="G153">INDEX(deskripsi!$D$2:$H$337,
   MATCH(1,(deskripsi!$A$2:$A$337=B153)*
           (deskripsi!$B$2:$B$337=C153)*
           (deskripsi!$C$2:$C$337=D153),0),
   F153)</f>
        <v>Gambaran diri dipakai hanya ketika ditanya dalam asesmen formal.</v>
      </c>
    </row>
    <row r="154" spans="1:7" ht="28">
      <c r="A154" t="str">
        <f t="shared" si="2"/>
        <v>Developing Oneself|Analyst|3|3</v>
      </c>
      <c r="B154" t="str">
        <v>Developing Oneself</v>
      </c>
      <c r="C154" t="str">
        <v>Analyst</v>
      </c>
      <c r="D154" s="76">
        <v>3</v>
      </c>
      <c r="E154" t="str" cm="1">
        <f t="array" ref="E154">INDEX(aspek!$D$2:$D$337,
   MATCH(1,(aspek!$A$2:$A$337=B154)*
           (aspek!$B$2:$B$337=C154)*
           (aspek!$C$2:$C$337=D154),0))</f>
        <v>Penggunaan praktis gambaran diri</v>
      </c>
      <c r="F154" s="76">
        <v>3</v>
      </c>
      <c r="G154" s="56" t="str" cm="1">
        <f t="array" ref="G154">INDEX(deskripsi!$D$2:$H$337,
   MATCH(1,(deskripsi!$A$2:$A$337=B154)*
           (deskripsi!$B$2:$B$337=C154)*
           (deskripsi!$C$2:$C$337=D154),0),
   F154)</f>
        <v>Gambaran diri kadang mempengaruhi pilihan tugas sehari-hari.</v>
      </c>
    </row>
    <row r="155" spans="1:7" ht="28">
      <c r="A155" t="str">
        <f t="shared" si="2"/>
        <v>Developing Oneself|Analyst|3|4</v>
      </c>
      <c r="B155" t="str">
        <v>Developing Oneself</v>
      </c>
      <c r="C155" t="str">
        <v>Analyst</v>
      </c>
      <c r="D155" s="76">
        <v>3</v>
      </c>
      <c r="E155" t="str" cm="1">
        <f t="array" ref="E155">INDEX(aspek!$D$2:$D$337,
   MATCH(1,(aspek!$A$2:$A$337=B155)*
           (aspek!$B$2:$B$337=C155)*
           (aspek!$C$2:$C$337=D155),0))</f>
        <v>Penggunaan praktis gambaran diri</v>
      </c>
      <c r="F155" s="76">
        <v>4</v>
      </c>
      <c r="G155" s="56" t="str" cm="1">
        <f t="array" ref="G155">INDEX(deskripsi!$D$2:$H$337,
   MATCH(1,(deskripsi!$A$2:$A$337=B155)*
           (deskripsi!$B$2:$B$337=C155)*
           (deskripsi!$C$2:$C$337=D155),0),
   F155)</f>
        <v>Gambaran diri secara sadar dipakai untuk memilih peran, tugas, atau rencana pengembangan.</v>
      </c>
    </row>
    <row r="156" spans="1:7" ht="28">
      <c r="A156" t="str">
        <f t="shared" si="2"/>
        <v>Developing Oneself|Analyst|3|5</v>
      </c>
      <c r="B156" t="str">
        <v>Developing Oneself</v>
      </c>
      <c r="C156" t="str">
        <v>Analyst</v>
      </c>
      <c r="D156" s="76">
        <v>3</v>
      </c>
      <c r="E156" t="str" cm="1">
        <f t="array" ref="E156">INDEX(aspek!$D$2:$D$337,
   MATCH(1,(aspek!$A$2:$A$337=B156)*
           (aspek!$B$2:$B$337=C156)*
           (aspek!$C$2:$C$337=D156),0))</f>
        <v>Penggunaan praktis gambaran diri</v>
      </c>
      <c r="F156" s="76">
        <v>5</v>
      </c>
      <c r="G156" s="56" t="str" cm="1">
        <f t="array" ref="G156">INDEX(deskripsi!$D$2:$H$337,
   MATCH(1,(deskripsi!$A$2:$A$337=B156)*
           (deskripsi!$B$2:$B$337=C156)*
           (deskripsi!$C$2:$C$337=D156),0),
   F156)</f>
        <v>Menjadi dasar keputusan karier yang konsisten dari waktu ke waktu.</v>
      </c>
    </row>
    <row r="157" spans="1:7">
      <c r="A157" t="str">
        <f t="shared" si="2"/>
        <v>Developing Oneself|Analyst|4|1</v>
      </c>
      <c r="B157" t="str">
        <v>Developing Oneself</v>
      </c>
      <c r="C157" t="str">
        <v>Analyst</v>
      </c>
      <c r="D157" s="76">
        <v>4</v>
      </c>
      <c r="E157" t="str" cm="1">
        <f t="array" ref="E157">INDEX(aspek!$D$2:$D$337,
   MATCH(1,(aspek!$A$2:$A$337=B157)*
           (aspek!$B$2:$B$337=C157)*
           (aspek!$C$2:$C$337=D157),0))</f>
        <v>Keragaman dan spesifisitas sumber</v>
      </c>
      <c r="F157" s="76">
        <v>1</v>
      </c>
      <c r="G157" s="56" t="str" cm="1">
        <f t="array" ref="G157">INDEX(deskripsi!$D$2:$H$337,
   MATCH(1,(deskripsi!$A$2:$A$337=B157)*
           (deskripsi!$B$2:$B$337=C157)*
           (deskripsi!$C$2:$C$337=D157),0),
   F157)</f>
        <v>Hanya bertanya kepada satu sumber yang sama.</v>
      </c>
    </row>
    <row r="158" spans="1:7" ht="28">
      <c r="A158" t="str">
        <f t="shared" si="2"/>
        <v>Developing Oneself|Analyst|4|2</v>
      </c>
      <c r="B158" t="str">
        <v>Developing Oneself</v>
      </c>
      <c r="C158" t="str">
        <v>Analyst</v>
      </c>
      <c r="D158" s="76">
        <v>4</v>
      </c>
      <c r="E158" t="str" cm="1">
        <f t="array" ref="E158">INDEX(aspek!$D$2:$D$337,
   MATCH(1,(aspek!$A$2:$A$337=B158)*
           (aspek!$B$2:$B$337=C158)*
           (aspek!$C$2:$C$337=D158),0))</f>
        <v>Keragaman dan spesifisitas sumber</v>
      </c>
      <c r="F158" s="76">
        <v>2</v>
      </c>
      <c r="G158" s="56" t="str" cm="1">
        <f t="array" ref="G158">INDEX(deskripsi!$D$2:$H$337,
   MATCH(1,(deskripsi!$A$2:$A$337=B158)*
           (deskripsi!$B$2:$B$337=C158)*
           (deskripsi!$C$2:$C$337=D158),0),
   F158)</f>
        <v>Bertanya kepada beberapa sumber dengan pertanyaan umum.</v>
      </c>
    </row>
    <row r="159" spans="1:7">
      <c r="A159" t="str">
        <f t="shared" si="2"/>
        <v>Developing Oneself|Analyst|4|3</v>
      </c>
      <c r="B159" t="str">
        <v>Developing Oneself</v>
      </c>
      <c r="C159" t="str">
        <v>Analyst</v>
      </c>
      <c r="D159" s="76">
        <v>4</v>
      </c>
      <c r="E159" t="str" cm="1">
        <f t="array" ref="E159">INDEX(aspek!$D$2:$D$337,
   MATCH(1,(aspek!$A$2:$A$337=B159)*
           (aspek!$B$2:$B$337=C159)*
           (aspek!$C$2:$C$337=D159),0))</f>
        <v>Keragaman dan spesifisitas sumber</v>
      </c>
      <c r="F159" s="76">
        <v>3</v>
      </c>
      <c r="G159" s="56" t="str" cm="1">
        <f t="array" ref="G159">INDEX(deskripsi!$D$2:$H$337,
   MATCH(1,(deskripsi!$A$2:$A$337=B159)*
           (deskripsi!$B$2:$B$337=C159)*
           (deskripsi!$C$2:$C$337=D159),0),
   F159)</f>
        <v>Bertanya spesifik kepada sumber yang familiar.</v>
      </c>
    </row>
    <row r="160" spans="1:7" ht="28">
      <c r="A160" t="str">
        <f t="shared" si="2"/>
        <v>Developing Oneself|Analyst|4|4</v>
      </c>
      <c r="B160" t="str">
        <v>Developing Oneself</v>
      </c>
      <c r="C160" t="str">
        <v>Analyst</v>
      </c>
      <c r="D160" s="76">
        <v>4</v>
      </c>
      <c r="E160" t="str" cm="1">
        <f t="array" ref="E160">INDEX(aspek!$D$2:$D$337,
   MATCH(1,(aspek!$A$2:$A$337=B160)*
           (aspek!$B$2:$B$337=C160)*
           (aspek!$C$2:$C$337=D160),0))</f>
        <v>Keragaman dan spesifisitas sumber</v>
      </c>
      <c r="F160" s="76">
        <v>4</v>
      </c>
      <c r="G160" s="56" t="str" cm="1">
        <f t="array" ref="G160">INDEX(deskripsi!$D$2:$H$337,
   MATCH(1,(deskripsi!$A$2:$A$337=B160)*
           (deskripsi!$B$2:$B$337=C160)*
           (deskripsi!$C$2:$C$337=D160),0),
   F160)</f>
        <v>Bertanya spesifik kepada sumber yang beragam, termasuk yang di luar struktur hierarki biasa.</v>
      </c>
    </row>
    <row r="161" spans="1:7" ht="28">
      <c r="A161" t="str">
        <f t="shared" si="2"/>
        <v>Developing Oneself|Analyst|4|5</v>
      </c>
      <c r="B161" t="str">
        <v>Developing Oneself</v>
      </c>
      <c r="C161" t="str">
        <v>Analyst</v>
      </c>
      <c r="D161" s="76">
        <v>4</v>
      </c>
      <c r="E161" t="str" cm="1">
        <f t="array" ref="E161">INDEX(aspek!$D$2:$D$337,
   MATCH(1,(aspek!$A$2:$A$337=B161)*
           (aspek!$B$2:$B$337=C161)*
           (aspek!$C$2:$C$337=D161),0))</f>
        <v>Keragaman dan spesifisitas sumber</v>
      </c>
      <c r="F161" s="76">
        <v>5</v>
      </c>
      <c r="G161" s="56" t="str" cm="1">
        <f t="array" ref="G161">INDEX(deskripsi!$D$2:$H$337,
   MATCH(1,(deskripsi!$A$2:$A$337=B161)*
           (deskripsi!$B$2:$B$337=C161)*
           (deskripsi!$C$2:$C$337=D161),0),
   F161)</f>
        <v>Dikenal sebagai orang yang secara terbuka mencari masukan dari siapa pun yang relevan.</v>
      </c>
    </row>
    <row r="162" spans="1:7">
      <c r="A162" t="str">
        <f t="shared" si="2"/>
        <v>Developing Oneself|Unit Head/Specialist|1|1</v>
      </c>
      <c r="B162" t="str">
        <v>Developing Oneself</v>
      </c>
      <c r="C162" t="str">
        <v>Unit Head/Specialist</v>
      </c>
      <c r="D162" s="76">
        <v>1</v>
      </c>
      <c r="E162" t="str" cm="1">
        <f t="array" ref="E162">INDEX(aspek!$D$2:$D$337,
   MATCH(1,(aspek!$A$2:$A$337=B162)*
           (aspek!$B$2:$B$337=C162)*
           (aspek!$C$2:$C$337=D162),0))</f>
        <v>Keteraturan dan kedalaman refleksi</v>
      </c>
      <c r="F162" s="76">
        <v>1</v>
      </c>
      <c r="G162" s="56" t="str" cm="1">
        <f t="array" ref="G162">INDEX(deskripsi!$D$2:$H$337,
   MATCH(1,(deskripsi!$A$2:$A$337=B162)*
           (deskripsi!$B$2:$B$337=C162)*
           (deskripsi!$C$2:$C$337=D162),0),
   F162)</f>
        <v>Tidak pernah merefleksikan pengalaman kerja.</v>
      </c>
    </row>
    <row r="163" spans="1:7">
      <c r="A163" t="str">
        <f t="shared" si="2"/>
        <v>Developing Oneself|Unit Head/Specialist|1|2</v>
      </c>
      <c r="B163" t="str">
        <v>Developing Oneself</v>
      </c>
      <c r="C163" t="str">
        <v>Unit Head/Specialist</v>
      </c>
      <c r="D163" s="76">
        <v>1</v>
      </c>
      <c r="E163" t="str" cm="1">
        <f t="array" ref="E163">INDEX(aspek!$D$2:$D$337,
   MATCH(1,(aspek!$A$2:$A$337=B163)*
           (aspek!$B$2:$B$337=C163)*
           (aspek!$C$2:$C$337=D163),0))</f>
        <v>Keteraturan dan kedalaman refleksi</v>
      </c>
      <c r="F163" s="76">
        <v>2</v>
      </c>
      <c r="G163" s="56" t="str" cm="1">
        <f t="array" ref="G163">INDEX(deskripsi!$D$2:$H$337,
   MATCH(1,(deskripsi!$A$2:$A$337=B163)*
           (deskripsi!$B$2:$B$337=C163)*
           (deskripsi!$C$2:$C$337=D163),0),
   F163)</f>
        <v>Merefleksikan jarang, hanya insiden besar.</v>
      </c>
    </row>
    <row r="164" spans="1:7">
      <c r="A164" t="str">
        <f t="shared" si="2"/>
        <v>Developing Oneself|Unit Head/Specialist|1|3</v>
      </c>
      <c r="B164" t="str">
        <v>Developing Oneself</v>
      </c>
      <c r="C164" t="str">
        <v>Unit Head/Specialist</v>
      </c>
      <c r="D164" s="76">
        <v>1</v>
      </c>
      <c r="E164" t="str" cm="1">
        <f t="array" ref="E164">INDEX(aspek!$D$2:$D$337,
   MATCH(1,(aspek!$A$2:$A$337=B164)*
           (aspek!$B$2:$B$337=C164)*
           (aspek!$C$2:$C$337=D164),0))</f>
        <v>Keteraturan dan kedalaman refleksi</v>
      </c>
      <c r="F164" s="76">
        <v>3</v>
      </c>
      <c r="G164" s="56" t="str" cm="1">
        <f t="array" ref="G164">INDEX(deskripsi!$D$2:$H$337,
   MATCH(1,(deskripsi!$A$2:$A$337=B164)*
           (deskripsi!$B$2:$B$337=C164)*
           (deskripsi!$C$2:$C$337=D164),0),
   F164)</f>
        <v>Merefleksikan setelah pengalaman penting.</v>
      </c>
    </row>
    <row r="165" spans="1:7" ht="28">
      <c r="A165" t="str">
        <f t="shared" si="2"/>
        <v>Developing Oneself|Unit Head/Specialist|1|4</v>
      </c>
      <c r="B165" t="str">
        <v>Developing Oneself</v>
      </c>
      <c r="C165" t="str">
        <v>Unit Head/Specialist</v>
      </c>
      <c r="D165" s="76">
        <v>1</v>
      </c>
      <c r="E165" t="str" cm="1">
        <f t="array" ref="E165">INDEX(aspek!$D$2:$D$337,
   MATCH(1,(aspek!$A$2:$A$337=B165)*
           (aspek!$B$2:$B$337=C165)*
           (aspek!$C$2:$C$337=D165),0))</f>
        <v>Keteraturan dan kedalaman refleksi</v>
      </c>
      <c r="F165" s="76">
        <v>4</v>
      </c>
      <c r="G165" s="56" t="str" cm="1">
        <f t="array" ref="G165">INDEX(deskripsi!$D$2:$H$337,
   MATCH(1,(deskripsi!$A$2:$A$337=B165)*
           (deskripsi!$B$2:$B$337=C165)*
           (deskripsi!$C$2:$C$337=D165),0),
   F165)</f>
        <v>Merefleksikan secara rutin dengan kedalaman yang menghasilkan perubahan tindakan nyata.</v>
      </c>
    </row>
    <row r="166" spans="1:7" ht="28">
      <c r="A166" t="str">
        <f t="shared" si="2"/>
        <v>Developing Oneself|Unit Head/Specialist|1|5</v>
      </c>
      <c r="B166" t="str">
        <v>Developing Oneself</v>
      </c>
      <c r="C166" t="str">
        <v>Unit Head/Specialist</v>
      </c>
      <c r="D166" s="76">
        <v>1</v>
      </c>
      <c r="E166" t="str" cm="1">
        <f t="array" ref="E166">INDEX(aspek!$D$2:$D$337,
   MATCH(1,(aspek!$A$2:$A$337=B166)*
           (aspek!$B$2:$B$337=C166)*
           (aspek!$C$2:$C$337=D166),0))</f>
        <v>Keteraturan dan kedalaman refleksi</v>
      </c>
      <c r="F166" s="76">
        <v>5</v>
      </c>
      <c r="G166" s="56" t="str" cm="1">
        <f t="array" ref="G166">INDEX(deskripsi!$D$2:$H$337,
   MATCH(1,(deskripsi!$A$2:$A$337=B166)*
           (deskripsi!$B$2:$B$337=C166)*
           (deskripsi!$C$2:$C$337=D166),0),
   F166)</f>
        <v>Refleksi menjadi kebiasaan otomatis yang tidak perlu diingatkan.</v>
      </c>
    </row>
    <row r="167" spans="1:7" ht="28">
      <c r="A167" t="str">
        <f t="shared" si="2"/>
        <v>Developing Oneself|Unit Head/Specialist|2|1</v>
      </c>
      <c r="B167" t="str">
        <v>Developing Oneself</v>
      </c>
      <c r="C167" t="str">
        <v>Unit Head/Specialist</v>
      </c>
      <c r="D167" s="76">
        <v>2</v>
      </c>
      <c r="E167" t="str" cm="1">
        <f t="array" ref="E167">INDEX(aspek!$D$2:$D$337,
   MATCH(1,(aspek!$A$2:$A$337=B167)*
           (aspek!$B$2:$B$337=C167)*
           (aspek!$C$2:$C$337=D167),0))</f>
        <v>Kepemilikan atas pengembangan diri</v>
      </c>
      <c r="F167" s="76">
        <v>1</v>
      </c>
      <c r="G167" s="56" t="str" cm="1">
        <f t="array" ref="G167">INDEX(deskripsi!$D$2:$H$337,
   MATCH(1,(deskripsi!$A$2:$A$337=B167)*
           (deskripsi!$B$2:$B$337=C167)*
           (deskripsi!$C$2:$C$337=D167),0),
   F167)</f>
        <v>Menganggap pengembangan dirinya tanggung jawab perusahaan atau HC.</v>
      </c>
    </row>
    <row r="168" spans="1:7" ht="28">
      <c r="A168" t="str">
        <f t="shared" si="2"/>
        <v>Developing Oneself|Unit Head/Specialist|2|2</v>
      </c>
      <c r="B168" t="str">
        <v>Developing Oneself</v>
      </c>
      <c r="C168" t="str">
        <v>Unit Head/Specialist</v>
      </c>
      <c r="D168" s="76">
        <v>2</v>
      </c>
      <c r="E168" t="str" cm="1">
        <f t="array" ref="E168">INDEX(aspek!$D$2:$D$337,
   MATCH(1,(aspek!$A$2:$A$337=B168)*
           (aspek!$B$2:$B$337=C168)*
           (aspek!$C$2:$C$337=D168),0))</f>
        <v>Kepemilikan atas pengembangan diri</v>
      </c>
      <c r="F168" s="76">
        <v>2</v>
      </c>
      <c r="G168" s="56" t="str" cm="1">
        <f t="array" ref="G168">INDEX(deskripsi!$D$2:$H$337,
   MATCH(1,(deskripsi!$A$2:$A$337=B168)*
           (deskripsi!$B$2:$B$337=C168)*
           (deskripsi!$C$2:$C$337=D168),0),
   F168)</f>
        <v>Merencanakan pengembangan hanya ketika diminta secara formal.</v>
      </c>
    </row>
    <row r="169" spans="1:7" ht="28">
      <c r="A169" t="str">
        <f t="shared" si="2"/>
        <v>Developing Oneself|Unit Head/Specialist|2|3</v>
      </c>
      <c r="B169" t="str">
        <v>Developing Oneself</v>
      </c>
      <c r="C169" t="str">
        <v>Unit Head/Specialist</v>
      </c>
      <c r="D169" s="76">
        <v>2</v>
      </c>
      <c r="E169" t="str" cm="1">
        <f t="array" ref="E169">INDEX(aspek!$D$2:$D$337,
   MATCH(1,(aspek!$A$2:$A$337=B169)*
           (aspek!$B$2:$B$337=C169)*
           (aspek!$C$2:$C$337=D169),0))</f>
        <v>Kepemilikan atas pengembangan diri</v>
      </c>
      <c r="F169" s="76">
        <v>3</v>
      </c>
      <c r="G169" s="56" t="str" cm="1">
        <f t="array" ref="G169">INDEX(deskripsi!$D$2:$H$337,
   MATCH(1,(deskripsi!$A$2:$A$337=B169)*
           (deskripsi!$B$2:$B$337=C169)*
           (deskripsi!$C$2:$C$337=D169),0),
   F169)</f>
        <v>Mandiri mencari pengembangan yang relevan dengan tugas saat ini.</v>
      </c>
    </row>
    <row r="170" spans="1:7" ht="42">
      <c r="A170" t="str">
        <f t="shared" si="2"/>
        <v>Developing Oneself|Unit Head/Specialist|2|4</v>
      </c>
      <c r="B170" t="str">
        <v>Developing Oneself</v>
      </c>
      <c r="C170" t="str">
        <v>Unit Head/Specialist</v>
      </c>
      <c r="D170" s="76">
        <v>2</v>
      </c>
      <c r="E170" t="str" cm="1">
        <f t="array" ref="E170">INDEX(aspek!$D$2:$D$337,
   MATCH(1,(aspek!$A$2:$A$337=B170)*
           (aspek!$B$2:$B$337=C170)*
           (aspek!$C$2:$C$337=D170),0))</f>
        <v>Kepemilikan atas pengembangan diri</v>
      </c>
      <c r="F170" s="76">
        <v>4</v>
      </c>
      <c r="G170" s="56" t="str" cm="1">
        <f t="array" ref="G170">INDEX(deskripsi!$D$2:$H$337,
   MATCH(1,(deskripsi!$A$2:$A$337=B170)*
           (deskripsi!$B$2:$B$337=C170)*
           (deskripsi!$C$2:$C$337=D170),0),
   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76">
        <v>2</v>
      </c>
      <c r="E171" t="str" cm="1">
        <f t="array" ref="E171">INDEX(aspek!$D$2:$D$337,
   MATCH(1,(aspek!$A$2:$A$337=B171)*
           (aspek!$B$2:$B$337=C171)*
           (aspek!$C$2:$C$337=D171),0))</f>
        <v>Kepemilikan atas pengembangan diri</v>
      </c>
      <c r="F171" s="76">
        <v>5</v>
      </c>
      <c r="G171" s="56" t="str" cm="1">
        <f t="array" ref="G171">INDEX(deskripsi!$D$2:$H$337,
   MATCH(1,(deskripsi!$A$2:$A$337=B171)*
           (deskripsi!$B$2:$B$337=C171)*
           (deskripsi!$C$2:$C$337=D171),0),
   F171)</f>
        <v>Terus mengembangkan diri melampaui kebutuhan perannya saat ini.</v>
      </c>
    </row>
    <row r="172" spans="1:7" ht="28">
      <c r="A172" t="str">
        <f t="shared" si="2"/>
        <v>Developing Oneself|Unit Head/Specialist|3|1</v>
      </c>
      <c r="B172" t="str">
        <v>Developing Oneself</v>
      </c>
      <c r="C172" t="str">
        <v>Unit Head/Specialist</v>
      </c>
      <c r="D172" s="76">
        <v>3</v>
      </c>
      <c r="E172" t="str" cm="1">
        <f t="array" ref="E172">INDEX(aspek!$D$2:$D$337,
   MATCH(1,(aspek!$A$2:$A$337=B172)*
           (aspek!$B$2:$B$337=C172)*
           (aspek!$C$2:$C$337=D172),0))</f>
        <v>Orientasi waktu pengembangan</v>
      </c>
      <c r="F172" s="76">
        <v>1</v>
      </c>
      <c r="G172" s="56" t="str" cm="1">
        <f t="array" ref="G172">INDEX(deskripsi!$D$2:$H$337,
   MATCH(1,(deskripsi!$A$2:$A$337=B172)*
           (deskripsi!$B$2:$B$337=C172)*
           (deskripsi!$C$2:$C$337=D172),0),
   F172)</f>
        <v>Tidak memikirkan pengembangan sama sekali, baik masa lalu maupun masa depan.</v>
      </c>
    </row>
    <row r="173" spans="1:7">
      <c r="A173" t="str">
        <f t="shared" si="2"/>
        <v>Developing Oneself|Unit Head/Specialist|3|2</v>
      </c>
      <c r="B173" t="str">
        <v>Developing Oneself</v>
      </c>
      <c r="C173" t="str">
        <v>Unit Head/Specialist</v>
      </c>
      <c r="D173" s="76">
        <v>3</v>
      </c>
      <c r="E173" t="str" cm="1">
        <f t="array" ref="E173">INDEX(aspek!$D$2:$D$337,
   MATCH(1,(aspek!$A$2:$A$337=B173)*
           (aspek!$B$2:$B$337=C173)*
           (aspek!$C$2:$C$337=D173),0))</f>
        <v>Orientasi waktu pengembangan</v>
      </c>
      <c r="F173" s="76">
        <v>2</v>
      </c>
      <c r="G173" s="56" t="str" cm="1">
        <f t="array" ref="G173">INDEX(deskripsi!$D$2:$H$337,
   MATCH(1,(deskripsi!$A$2:$A$337=B173)*
           (deskripsi!$B$2:$B$337=C173)*
           (deskripsi!$C$2:$C$337=D173),0),
   F173)</f>
        <v>Hanya bereaksi atas pengalaman yang sudah terjadi.</v>
      </c>
    </row>
    <row r="174" spans="1:7" ht="28">
      <c r="A174" t="str">
        <f t="shared" si="2"/>
        <v>Developing Oneself|Unit Head/Specialist|3|3</v>
      </c>
      <c r="B174" t="str">
        <v>Developing Oneself</v>
      </c>
      <c r="C174" t="str">
        <v>Unit Head/Specialist</v>
      </c>
      <c r="D174" s="76">
        <v>3</v>
      </c>
      <c r="E174" t="str" cm="1">
        <f t="array" ref="E174">INDEX(aspek!$D$2:$D$337,
   MATCH(1,(aspek!$A$2:$A$337=B174)*
           (aspek!$B$2:$B$337=C174)*
           (aspek!$C$2:$C$337=D174),0))</f>
        <v>Orientasi waktu pengembangan</v>
      </c>
      <c r="F174" s="76">
        <v>3</v>
      </c>
      <c r="G174" s="56" t="str" cm="1">
        <f t="array" ref="G174">INDEX(deskripsi!$D$2:$H$337,
   MATCH(1,(deskripsi!$A$2:$A$337=B174)*
           (deskripsi!$B$2:$B$337=C174)*
           (deskripsi!$C$2:$C$337=D174),0),
   F174)</f>
        <v>Sesekali memikirkan kebutuhan masa depan, tanpa rencana konkret.</v>
      </c>
    </row>
    <row r="175" spans="1:7" ht="28">
      <c r="A175" t="str">
        <f t="shared" si="2"/>
        <v>Developing Oneself|Unit Head/Specialist|3|4</v>
      </c>
      <c r="B175" t="str">
        <v>Developing Oneself</v>
      </c>
      <c r="C175" t="str">
        <v>Unit Head/Specialist</v>
      </c>
      <c r="D175" s="76">
        <v>3</v>
      </c>
      <c r="E175" t="str" cm="1">
        <f t="array" ref="E175">INDEX(aspek!$D$2:$D$337,
   MATCH(1,(aspek!$A$2:$A$337=B175)*
           (aspek!$B$2:$B$337=C175)*
           (aspek!$C$2:$C$337=D175),0))</f>
        <v>Orientasi waktu pengembangan</v>
      </c>
      <c r="F175" s="76">
        <v>4</v>
      </c>
      <c r="G175" s="56" t="str" cm="1">
        <f t="array" ref="G175">INDEX(deskripsi!$D$2:$H$337,
   MATCH(1,(deskripsi!$A$2:$A$337=B175)*
           (deskripsi!$B$2:$B$337=C175)*
           (deskripsi!$C$2:$C$337=D175),0),
   F175)</f>
        <v>Secara seimbang merefleksikan pengalaman lalu DAN merencanakan kebutuhan masa depan.</v>
      </c>
    </row>
    <row r="176" spans="1:7" ht="28">
      <c r="A176" t="str">
        <f t="shared" si="2"/>
        <v>Developing Oneself|Unit Head/Specialist|3|5</v>
      </c>
      <c r="B176" t="str">
        <v>Developing Oneself</v>
      </c>
      <c r="C176" t="str">
        <v>Unit Head/Specialist</v>
      </c>
      <c r="D176" s="76">
        <v>3</v>
      </c>
      <c r="E176" t="str" cm="1">
        <f t="array" ref="E176">INDEX(aspek!$D$2:$D$337,
   MATCH(1,(aspek!$A$2:$A$337=B176)*
           (aspek!$B$2:$B$337=C176)*
           (aspek!$C$2:$C$337=D176),0))</f>
        <v>Orientasi waktu pengembangan</v>
      </c>
      <c r="F176" s="76">
        <v>5</v>
      </c>
      <c r="G176" s="56" t="str" cm="1">
        <f t="array" ref="G176">INDEX(deskripsi!$D$2:$H$337,
   MATCH(1,(deskripsi!$A$2:$A$337=B176)*
           (deskripsi!$B$2:$B$337=C176)*
           (deskripsi!$C$2:$C$337=D176),0),
   F176)</f>
        <v>Kesadaran masa depan menjadi pendorong utama pembelajaran sehari-harinya.</v>
      </c>
    </row>
    <row r="177" spans="1:7">
      <c r="A177" t="str">
        <f t="shared" si="2"/>
        <v>Developing Oneself|Unit Head/Specialist|4|1</v>
      </c>
      <c r="B177" t="str">
        <v>Developing Oneself</v>
      </c>
      <c r="C177" t="str">
        <v>Unit Head/Specialist</v>
      </c>
      <c r="D177" s="76">
        <v>4</v>
      </c>
      <c r="E177" t="str" cm="1">
        <f t="array" ref="E177">INDEX(aspek!$D$2:$D$337,
   MATCH(1,(aspek!$A$2:$A$337=B177)*
           (aspek!$B$2:$B$337=C177)*
           (aspek!$C$2:$C$337=D177),0))</f>
        <v>Dampak pada perkembangan nyata</v>
      </c>
      <c r="F177" s="76">
        <v>1</v>
      </c>
      <c r="G177" s="56" t="str" cm="1">
        <f t="array" ref="G177">INDEX(deskripsi!$D$2:$H$337,
   MATCH(1,(deskripsi!$A$2:$A$337=B177)*
           (deskripsi!$B$2:$B$337=C177)*
           (deskripsi!$C$2:$C$337=D177),0),
   F177)</f>
        <v>Pembelajaran dan rencana tidak pernah diterapkan.</v>
      </c>
    </row>
    <row r="178" spans="1:7">
      <c r="A178" t="str">
        <f t="shared" si="2"/>
        <v>Developing Oneself|Unit Head/Specialist|4|2</v>
      </c>
      <c r="B178" t="str">
        <v>Developing Oneself</v>
      </c>
      <c r="C178" t="str">
        <v>Unit Head/Specialist</v>
      </c>
      <c r="D178" s="76">
        <v>4</v>
      </c>
      <c r="E178" t="str" cm="1">
        <f t="array" ref="E178">INDEX(aspek!$D$2:$D$337,
   MATCH(1,(aspek!$A$2:$A$337=B178)*
           (aspek!$B$2:$B$337=C178)*
           (aspek!$C$2:$C$337=D178),0))</f>
        <v>Dampak pada perkembangan nyata</v>
      </c>
      <c r="F178" s="76">
        <v>2</v>
      </c>
      <c r="G178" s="56" t="str" cm="1">
        <f t="array" ref="G178">INDEX(deskripsi!$D$2:$H$337,
   MATCH(1,(deskripsi!$A$2:$A$337=B178)*
           (deskripsi!$B$2:$B$337=C178)*
           (deskripsi!$C$2:$C$337=D178),0),
   F178)</f>
        <v>Diterapkan sesekali tanpa hasil yang terlihat.</v>
      </c>
    </row>
    <row r="179" spans="1:7">
      <c r="A179" t="str">
        <f t="shared" si="2"/>
        <v>Developing Oneself|Unit Head/Specialist|4|3</v>
      </c>
      <c r="B179" t="str">
        <v>Developing Oneself</v>
      </c>
      <c r="C179" t="str">
        <v>Unit Head/Specialist</v>
      </c>
      <c r="D179" s="76">
        <v>4</v>
      </c>
      <c r="E179" t="str" cm="1">
        <f t="array" ref="E179">INDEX(aspek!$D$2:$D$337,
   MATCH(1,(aspek!$A$2:$A$337=B179)*
           (aspek!$B$2:$B$337=C179)*
           (aspek!$C$2:$C$337=D179),0))</f>
        <v>Dampak pada perkembangan nyata</v>
      </c>
      <c r="F179" s="76">
        <v>3</v>
      </c>
      <c r="G179" s="56" t="str" cm="1">
        <f t="array" ref="G179">INDEX(deskripsi!$D$2:$H$337,
   MATCH(1,(deskripsi!$A$2:$A$337=B179)*
           (deskripsi!$B$2:$B$337=C179)*
           (deskripsi!$C$2:$C$337=D179),0),
   F179)</f>
        <v>Diterapkan dan menghasilkan perbaikan kecil.</v>
      </c>
    </row>
    <row r="180" spans="1:7" ht="28">
      <c r="A180" t="str">
        <f t="shared" si="2"/>
        <v>Developing Oneself|Unit Head/Specialist|4|4</v>
      </c>
      <c r="B180" t="str">
        <v>Developing Oneself</v>
      </c>
      <c r="C180" t="str">
        <v>Unit Head/Specialist</v>
      </c>
      <c r="D180" s="76">
        <v>4</v>
      </c>
      <c r="E180" t="str" cm="1">
        <f t="array" ref="E180">INDEX(aspek!$D$2:$D$337,
   MATCH(1,(aspek!$A$2:$A$337=B180)*
           (aspek!$B$2:$B$337=C180)*
           (aspek!$C$2:$C$337=D180),0))</f>
        <v>Dampak pada perkembangan nyata</v>
      </c>
      <c r="F180" s="76">
        <v>4</v>
      </c>
      <c r="G180" s="56" t="str" cm="1">
        <f t="array" ref="G180">INDEX(deskripsi!$D$2:$H$337,
   MATCH(1,(deskripsi!$A$2:$A$337=B180)*
           (deskripsi!$B$2:$B$337=C180)*
           (deskripsi!$C$2:$C$337=D180),0),
   F180)</f>
        <v>Diterapkan secara konsisten dan menghasilkan perkembangan kapasitas yang terlihat jelas.</v>
      </c>
    </row>
    <row r="181" spans="1:7">
      <c r="A181" t="str">
        <f t="shared" si="2"/>
        <v>Developing Oneself|Unit Head/Specialist|4|5</v>
      </c>
      <c r="B181" t="str">
        <v>Developing Oneself</v>
      </c>
      <c r="C181" t="str">
        <v>Unit Head/Specialist</v>
      </c>
      <c r="D181" s="76">
        <v>4</v>
      </c>
      <c r="E181" t="str" cm="1">
        <f t="array" ref="E181">INDEX(aspek!$D$2:$D$337,
   MATCH(1,(aspek!$A$2:$A$337=B181)*
           (aspek!$B$2:$B$337=C181)*
           (aspek!$C$2:$C$337=D181),0))</f>
        <v>Dampak pada perkembangan nyata</v>
      </c>
      <c r="F181" s="76">
        <v>5</v>
      </c>
      <c r="G181" s="56" t="str" cm="1">
        <f t="array" ref="G181">INDEX(deskripsi!$D$2:$H$337,
   MATCH(1,(deskripsi!$A$2:$A$337=B181)*
           (deskripsi!$B$2:$B$337=C181)*
           (deskripsi!$C$2:$C$337=D181),0),
   F181)</f>
        <v>Perkembangannya menjadi contoh bagi rekan sejawat.</v>
      </c>
    </row>
    <row r="182" spans="1:7" ht="28">
      <c r="A182" t="str">
        <f t="shared" si="2"/>
        <v>Developing Oneself|Department Head|1|1</v>
      </c>
      <c r="B182" t="str">
        <v>Developing Oneself</v>
      </c>
      <c r="C182" t="str">
        <v>Department Head</v>
      </c>
      <c r="D182" s="76">
        <v>1</v>
      </c>
      <c r="E182" t="str" cm="1">
        <f t="array" ref="E182">INDEX(aspek!$D$2:$D$337,
   MATCH(1,(aspek!$A$2:$A$337=B182)*
           (aspek!$B$2:$B$337=C182)*
           (aspek!$C$2:$C$337=D182),0))</f>
        <v>Dasar penilaian: bukti vs persepsi</v>
      </c>
      <c r="F182" s="76">
        <v>1</v>
      </c>
      <c r="G182" s="56" t="str" cm="1">
        <f t="array" ref="G182">INDEX(deskripsi!$D$2:$H$337,
   MATCH(1,(deskripsi!$A$2:$A$337=B182)*
           (deskripsi!$B$2:$B$337=C182)*
           (deskripsi!$C$2:$C$337=D182),0),
   F182)</f>
        <v>Menilai diri sepenuhnya berdasarkan perasaan atau asumsi pribadi.</v>
      </c>
    </row>
    <row r="183" spans="1:7">
      <c r="A183" t="str">
        <f t="shared" si="2"/>
        <v>Developing Oneself|Department Head|1|2</v>
      </c>
      <c r="B183" t="str">
        <v>Developing Oneself</v>
      </c>
      <c r="C183" t="str">
        <v>Department Head</v>
      </c>
      <c r="D183" s="76">
        <v>1</v>
      </c>
      <c r="E183" t="str" cm="1">
        <f t="array" ref="E183">INDEX(aspek!$D$2:$D$337,
   MATCH(1,(aspek!$A$2:$A$337=B183)*
           (aspek!$B$2:$B$337=C183)*
           (aspek!$C$2:$C$337=D183),0))</f>
        <v>Dasar penilaian: bukti vs persepsi</v>
      </c>
      <c r="F183" s="76">
        <v>2</v>
      </c>
      <c r="G183" s="56" t="str" cm="1">
        <f t="array" ref="G183">INDEX(deskripsi!$D$2:$H$337,
   MATCH(1,(deskripsi!$A$2:$A$337=B183)*
           (deskripsi!$B$2:$B$337=C183)*
           (deskripsi!$C$2:$C$337=D183),0),
   F183)</f>
        <v>Memakai bukti hanya ketika diminta dalam asesmen formal.</v>
      </c>
    </row>
    <row r="184" spans="1:7" ht="28">
      <c r="A184" t="str">
        <f t="shared" si="2"/>
        <v>Developing Oneself|Department Head|1|3</v>
      </c>
      <c r="B184" t="str">
        <v>Developing Oneself</v>
      </c>
      <c r="C184" t="str">
        <v>Department Head</v>
      </c>
      <c r="D184" s="76">
        <v>1</v>
      </c>
      <c r="E184" t="str" cm="1">
        <f t="array" ref="E184">INDEX(aspek!$D$2:$D$337,
   MATCH(1,(aspek!$A$2:$A$337=B184)*
           (aspek!$B$2:$B$337=C184)*
           (aspek!$C$2:$C$337=D184),0))</f>
        <v>Dasar penilaian: bukti vs persepsi</v>
      </c>
      <c r="F184" s="76">
        <v>3</v>
      </c>
      <c r="G184" s="56" t="str" cm="1">
        <f t="array" ref="G184">INDEX(deskripsi!$D$2:$H$337,
   MATCH(1,(deskripsi!$A$2:$A$337=B184)*
           (deskripsi!$B$2:$B$337=C184)*
           (deskripsi!$C$2:$C$337=D184),0),
   F184)</f>
        <v>Memakai bukti pada sebagian aspek, sisanya masih berbasis persepsi.</v>
      </c>
    </row>
    <row r="185" spans="1:7" ht="28">
      <c r="A185" t="str">
        <f t="shared" si="2"/>
        <v>Developing Oneself|Department Head|1|4</v>
      </c>
      <c r="B185" t="str">
        <v>Developing Oneself</v>
      </c>
      <c r="C185" t="str">
        <v>Department Head</v>
      </c>
      <c r="D185" s="76">
        <v>1</v>
      </c>
      <c r="E185" t="str" cm="1">
        <f t="array" ref="E185">INDEX(aspek!$D$2:$D$337,
   MATCH(1,(aspek!$A$2:$A$337=B185)*
           (aspek!$B$2:$B$337=C185)*
           (aspek!$C$2:$C$337=D185),0))</f>
        <v>Dasar penilaian: bukti vs persepsi</v>
      </c>
      <c r="F185" s="76">
        <v>4</v>
      </c>
      <c r="G185" s="56" t="str" cm="1">
        <f t="array" ref="G185">INDEX(deskripsi!$D$2:$H$337,
   MATCH(1,(deskripsi!$A$2:$A$337=B185)*
           (deskripsi!$B$2:$B$337=C185)*
           (deskripsi!$C$2:$C$337=D185),0),
   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76">
        <v>1</v>
      </c>
      <c r="E186" t="str" cm="1">
        <f t="array" ref="E186">INDEX(aspek!$D$2:$D$337,
   MATCH(1,(aspek!$A$2:$A$337=B186)*
           (aspek!$B$2:$B$337=C186)*
           (aspek!$C$2:$C$337=D186),0))</f>
        <v>Dasar penilaian: bukti vs persepsi</v>
      </c>
      <c r="F186" s="76">
        <v>5</v>
      </c>
      <c r="G186" s="56" t="str" cm="1">
        <f t="array" ref="G186">INDEX(deskripsi!$D$2:$H$337,
   MATCH(1,(deskripsi!$A$2:$A$337=B186)*
           (deskripsi!$B$2:$B$337=C186)*
           (deskripsi!$C$2:$C$337=D186),0),
   F186)</f>
        <v>Penilaiannya menjadi rujukan karena selalu didukung bukti yang kuat.</v>
      </c>
    </row>
    <row r="187" spans="1:7">
      <c r="A187" t="str">
        <f t="shared" si="2"/>
        <v>Developing Oneself|Department Head|2|1</v>
      </c>
      <c r="B187" t="str">
        <v>Developing Oneself</v>
      </c>
      <c r="C187" t="str">
        <v>Department Head</v>
      </c>
      <c r="D187" s="76">
        <v>2</v>
      </c>
      <c r="E187" t="str" cm="1">
        <f t="array" ref="E187">INDEX(aspek!$D$2:$D$337,
   MATCH(1,(aspek!$A$2:$A$337=B187)*
           (aspek!$B$2:$B$337=C187)*
           (aspek!$C$2:$C$337=D187),0))</f>
        <v>Ketajaman kalibrasi diri</v>
      </c>
      <c r="F187" s="76">
        <v>1</v>
      </c>
      <c r="G187" s="56" t="str" cm="1">
        <f t="array" ref="G187">INDEX(deskripsi!$D$2:$H$337,
   MATCH(1,(deskripsi!$A$2:$A$337=B187)*
           (deskripsi!$B$2:$B$337=C187)*
           (deskripsi!$C$2:$C$337=D187),0),
   F187)</f>
        <v>Gambaran dirinya jauh berbeda dari penilaian pihak ketiga.</v>
      </c>
    </row>
    <row r="188" spans="1:7" ht="28">
      <c r="A188" t="str">
        <f t="shared" si="2"/>
        <v>Developing Oneself|Department Head|2|2</v>
      </c>
      <c r="B188" t="str">
        <v>Developing Oneself</v>
      </c>
      <c r="C188" t="str">
        <v>Department Head</v>
      </c>
      <c r="D188" s="76">
        <v>2</v>
      </c>
      <c r="E188" t="str" cm="1">
        <f t="array" ref="E188">INDEX(aspek!$D$2:$D$337,
   MATCH(1,(aspek!$A$2:$A$337=B188)*
           (aspek!$B$2:$B$337=C188)*
           (aspek!$C$2:$C$337=D188),0))</f>
        <v>Ketajaman kalibrasi diri</v>
      </c>
      <c r="F188" s="76">
        <v>2</v>
      </c>
      <c r="G188" s="56" t="str" cm="1">
        <f t="array" ref="G188">INDEX(deskripsi!$D$2:$H$337,
   MATCH(1,(deskripsi!$A$2:$A$337=B188)*
           (deskripsi!$B$2:$B$337=C188)*
           (deskripsi!$C$2:$C$337=D188),0),
   F188)</f>
        <v>Gambaran dirinya cukup berbeda, terkoreksi hanya setelah diberi tahu.</v>
      </c>
    </row>
    <row r="189" spans="1:7" ht="28">
      <c r="A189" t="str">
        <f t="shared" si="2"/>
        <v>Developing Oneself|Department Head|2|3</v>
      </c>
      <c r="B189" t="str">
        <v>Developing Oneself</v>
      </c>
      <c r="C189" t="str">
        <v>Department Head</v>
      </c>
      <c r="D189" s="76">
        <v>2</v>
      </c>
      <c r="E189" t="str" cm="1">
        <f t="array" ref="E189">INDEX(aspek!$D$2:$D$337,
   MATCH(1,(aspek!$A$2:$A$337=B189)*
           (aspek!$B$2:$B$337=C189)*
           (aspek!$C$2:$C$337=D189),0))</f>
        <v>Ketajaman kalibrasi diri</v>
      </c>
      <c r="F189" s="76">
        <v>3</v>
      </c>
      <c r="G189" s="56" t="str" cm="1">
        <f t="array" ref="G189">INDEX(deskripsi!$D$2:$H$337,
   MATCH(1,(deskripsi!$A$2:$A$337=B189)*
           (deskripsi!$B$2:$B$337=C189)*
           (deskripsi!$C$2:$C$337=D189),0),
   F189)</f>
        <v>Gambaran dirinya mendekati penilaian pihak ketiga pada aspek yang familiar.</v>
      </c>
    </row>
    <row r="190" spans="1:7" ht="28">
      <c r="A190" t="str">
        <f t="shared" si="2"/>
        <v>Developing Oneself|Department Head|2|4</v>
      </c>
      <c r="B190" t="str">
        <v>Developing Oneself</v>
      </c>
      <c r="C190" t="str">
        <v>Department Head</v>
      </c>
      <c r="D190" s="76">
        <v>2</v>
      </c>
      <c r="E190" t="str" cm="1">
        <f t="array" ref="E190">INDEX(aspek!$D$2:$D$337,
   MATCH(1,(aspek!$A$2:$A$337=B190)*
           (aspek!$B$2:$B$337=C190)*
           (aspek!$C$2:$C$337=D190),0))</f>
        <v>Ketajaman kalibrasi diri</v>
      </c>
      <c r="F190" s="76">
        <v>4</v>
      </c>
      <c r="G190" s="56" t="str" cm="1">
        <f t="array" ref="G190">INDEX(deskripsi!$D$2:$H$337,
   MATCH(1,(deskripsi!$A$2:$A$337=B190)*
           (deskripsi!$B$2:$B$337=C190)*
           (deskripsi!$C$2:$C$337=D190),0),
   F190)</f>
        <v>Gambaran dirinya konsisten mendekati atau sama dengan penilaian pihak ketiga yang independen.</v>
      </c>
    </row>
    <row r="191" spans="1:7" ht="28">
      <c r="A191" t="str">
        <f t="shared" si="2"/>
        <v>Developing Oneself|Department Head|2|5</v>
      </c>
      <c r="B191" t="str">
        <v>Developing Oneself</v>
      </c>
      <c r="C191" t="str">
        <v>Department Head</v>
      </c>
      <c r="D191" s="76">
        <v>2</v>
      </c>
      <c r="E191" t="str" cm="1">
        <f t="array" ref="E191">INDEX(aspek!$D$2:$D$337,
   MATCH(1,(aspek!$A$2:$A$337=B191)*
           (aspek!$B$2:$B$337=C191)*
           (aspek!$C$2:$C$337=D191),0))</f>
        <v>Ketajaman kalibrasi diri</v>
      </c>
      <c r="F191" s="76">
        <v>5</v>
      </c>
      <c r="G191" s="56" t="str" cm="1">
        <f t="array" ref="G191">INDEX(deskripsi!$D$2:$H$337,
   MATCH(1,(deskripsi!$A$2:$A$337=B191)*
           (deskripsi!$B$2:$B$337=C191)*
           (deskripsi!$C$2:$C$337=D191),0),
   F191)</f>
        <v>Kalibrasinya begitu tajam sehingga dapat memprediksi penilaian pihak ketiga sebelum diberikan.</v>
      </c>
    </row>
    <row r="192" spans="1:7">
      <c r="A192" t="str">
        <f t="shared" si="2"/>
        <v>Developing Oneself|Department Head|3|1</v>
      </c>
      <c r="B192" t="str">
        <v>Developing Oneself</v>
      </c>
      <c r="C192" t="str">
        <v>Department Head</v>
      </c>
      <c r="D192" s="76">
        <v>3</v>
      </c>
      <c r="E192" t="str" cm="1">
        <f t="array" ref="E192">INDEX(aspek!$D$2:$D$337,
   MATCH(1,(aspek!$A$2:$A$337=B192)*
           (aspek!$B$2:$B$337=C192)*
           (aspek!$C$2:$C$337=D192),0))</f>
        <v>Kesiapan menghadapi standar peran yang lebih tinggi</v>
      </c>
      <c r="F192" s="76">
        <v>1</v>
      </c>
      <c r="G192" s="56" t="str" cm="1">
        <f t="array" ref="G192">INDEX(deskripsi!$D$2:$H$337,
   MATCH(1,(deskripsi!$A$2:$A$337=B192)*
           (deskripsi!$B$2:$B$337=C192)*
           (deskripsi!$C$2:$C$337=D192),0),
   F192)</f>
        <v>Menilai diri hanya terhadap standar peran saat ini.</v>
      </c>
    </row>
    <row r="193" spans="1:7" ht="28">
      <c r="A193" t="str">
        <f t="shared" si="2"/>
        <v>Developing Oneself|Department Head|3|2</v>
      </c>
      <c r="B193" t="str">
        <v>Developing Oneself</v>
      </c>
      <c r="C193" t="str">
        <v>Department Head</v>
      </c>
      <c r="D193" s="76">
        <v>3</v>
      </c>
      <c r="E193" t="str" cm="1">
        <f t="array" ref="E193">INDEX(aspek!$D$2:$D$337,
   MATCH(1,(aspek!$A$2:$A$337=B193)*
           (aspek!$B$2:$B$337=C193)*
           (aspek!$C$2:$C$337=D193),0))</f>
        <v>Kesiapan menghadapi standar peran yang lebih tinggi</v>
      </c>
      <c r="F193" s="76">
        <v>2</v>
      </c>
      <c r="G193" s="56" t="str" cm="1">
        <f t="array" ref="G193">INDEX(deskripsi!$D$2:$H$337,
   MATCH(1,(deskripsi!$A$2:$A$337=B193)*
           (deskripsi!$B$2:$B$337=C193)*
           (deskripsi!$C$2:$C$337=D193),0),
   F193)</f>
        <v>Menyadari standar peran lebih tinggi ada, tidak menilai diri terhadapnya.</v>
      </c>
    </row>
    <row r="194" spans="1:7" ht="28">
      <c r="A194" t="str">
        <f t="shared" si="2"/>
        <v>Developing Oneself|Department Head|3|3</v>
      </c>
      <c r="B194" t="str">
        <v>Developing Oneself</v>
      </c>
      <c r="C194" t="str">
        <v>Department Head</v>
      </c>
      <c r="D194" s="76">
        <v>3</v>
      </c>
      <c r="E194" t="str" cm="1">
        <f t="array" ref="E194">INDEX(aspek!$D$2:$D$337,
   MATCH(1,(aspek!$A$2:$A$337=B194)*
           (aspek!$B$2:$B$337=C194)*
           (aspek!$C$2:$C$337=D194),0))</f>
        <v>Kesiapan menghadapi standar peran yang lebih tinggi</v>
      </c>
      <c r="F194" s="76">
        <v>3</v>
      </c>
      <c r="G194" s="56" t="str" cm="1">
        <f t="array" ref="G194">INDEX(deskripsi!$D$2:$H$337,
   MATCH(1,(deskripsi!$A$2:$A$337=B194)*
           (deskripsi!$B$2:$B$337=C194)*
           (deskripsi!$C$2:$C$337=D194),0),
   F194)</f>
        <v>Menilai diri terhadap standar peran lebih tinggi pada sebagian aspek.</v>
      </c>
    </row>
    <row r="195" spans="1:7" ht="28">
      <c r="A195" t="str">
        <f t="shared" ref="A195:A258" si="3">B195&amp;"|"&amp;C195&amp;"|"&amp;D195&amp;"|"&amp;F195</f>
        <v>Developing Oneself|Department Head|3|4</v>
      </c>
      <c r="B195" t="str">
        <v>Developing Oneself</v>
      </c>
      <c r="C195" t="str">
        <v>Department Head</v>
      </c>
      <c r="D195" s="76">
        <v>3</v>
      </c>
      <c r="E195" t="str" cm="1">
        <f t="array" ref="E195">INDEX(aspek!$D$2:$D$337,
   MATCH(1,(aspek!$A$2:$A$337=B195)*
           (aspek!$B$2:$B$337=C195)*
           (aspek!$C$2:$C$337=D195),0))</f>
        <v>Kesiapan menghadapi standar peran yang lebih tinggi</v>
      </c>
      <c r="F195" s="76">
        <v>4</v>
      </c>
      <c r="G195" s="56" t="str" cm="1">
        <f t="array" ref="G195">INDEX(deskripsi!$D$2:$H$337,
   MATCH(1,(deskripsi!$A$2:$A$337=B195)*
           (deskripsi!$B$2:$B$337=C195)*
           (deskripsi!$C$2:$C$337=D195),0),
   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76">
        <v>3</v>
      </c>
      <c r="E196" t="str" cm="1">
        <f t="array" ref="E196">INDEX(aspek!$D$2:$D$337,
   MATCH(1,(aspek!$A$2:$A$337=B196)*
           (aspek!$B$2:$B$337=C196)*
           (aspek!$C$2:$C$337=D196),0))</f>
        <v>Kesiapan menghadapi standar peran yang lebih tinggi</v>
      </c>
      <c r="F196" s="76">
        <v>5</v>
      </c>
      <c r="G196" s="56" t="str" cm="1">
        <f t="array" ref="G196">INDEX(deskripsi!$D$2:$H$337,
   MATCH(1,(deskripsi!$A$2:$A$337=B196)*
           (deskripsi!$B$2:$B$337=C196)*
           (deskripsi!$C$2:$C$337=D196),0),
   F196)</f>
        <v>Penilaian kesiapannya menjadi dasar keputusan promosi yang objektif.</v>
      </c>
    </row>
    <row r="197" spans="1:7" ht="28">
      <c r="A197" t="str">
        <f t="shared" si="3"/>
        <v>Developing Oneself|Department Head|4|1</v>
      </c>
      <c r="B197" t="str">
        <v>Developing Oneself</v>
      </c>
      <c r="C197" t="str">
        <v>Department Head</v>
      </c>
      <c r="D197" s="76">
        <v>4</v>
      </c>
      <c r="E197" t="str" cm="1">
        <f t="array" ref="E197">INDEX(aspek!$D$2:$D$337,
   MATCH(1,(aspek!$A$2:$A$337=B197)*
           (aspek!$B$2:$B$337=C197)*
           (aspek!$C$2:$C$337=D197),0))</f>
        <v>Ketahanan terhadap fakta yang tidak menyenangkan</v>
      </c>
      <c r="F197" s="76">
        <v>1</v>
      </c>
      <c r="G197" s="56" t="str" cm="1">
        <f t="array" ref="G197">INDEX(deskripsi!$D$2:$H$337,
   MATCH(1,(deskripsi!$A$2:$A$337=B197)*
           (deskripsi!$B$2:$B$337=C197)*
           (deskripsi!$C$2:$C$337=D197),0),
   F197)</f>
        <v>Menolak atau membantah fakta yang tidak menyenangkan tentang dirinya.</v>
      </c>
    </row>
    <row r="198" spans="1:7" ht="28">
      <c r="A198" t="str">
        <f t="shared" si="3"/>
        <v>Developing Oneself|Department Head|4|2</v>
      </c>
      <c r="B198" t="str">
        <v>Developing Oneself</v>
      </c>
      <c r="C198" t="str">
        <v>Department Head</v>
      </c>
      <c r="D198" s="76">
        <v>4</v>
      </c>
      <c r="E198" t="str" cm="1">
        <f t="array" ref="E198">INDEX(aspek!$D$2:$D$337,
   MATCH(1,(aspek!$A$2:$A$337=B198)*
           (aspek!$B$2:$B$337=C198)*
           (aspek!$C$2:$C$337=D198),0))</f>
        <v>Ketahanan terhadap fakta yang tidak menyenangkan</v>
      </c>
      <c r="F198" s="76">
        <v>2</v>
      </c>
      <c r="G198" s="56" t="str" cm="1">
        <f t="array" ref="G198">INDEX(deskripsi!$D$2:$H$337,
   MATCH(1,(deskripsi!$A$2:$A$337=B198)*
           (deskripsi!$B$2:$B$337=C198)*
           (deskripsi!$C$2:$C$337=D198),0),
   F198)</f>
        <v>Menerima fakta tidak menyenangkan dengan berat hati, tanpa tindak lanjut.</v>
      </c>
    </row>
    <row r="199" spans="1:7" ht="28">
      <c r="A199" t="str">
        <f t="shared" si="3"/>
        <v>Developing Oneself|Department Head|4|3</v>
      </c>
      <c r="B199" t="str">
        <v>Developing Oneself</v>
      </c>
      <c r="C199" t="str">
        <v>Department Head</v>
      </c>
      <c r="D199" s="76">
        <v>4</v>
      </c>
      <c r="E199" t="str" cm="1">
        <f t="array" ref="E199">INDEX(aspek!$D$2:$D$337,
   MATCH(1,(aspek!$A$2:$A$337=B199)*
           (aspek!$B$2:$B$337=C199)*
           (aspek!$C$2:$C$337=D199),0))</f>
        <v>Ketahanan terhadap fakta yang tidak menyenangkan</v>
      </c>
      <c r="F199" s="76">
        <v>3</v>
      </c>
      <c r="G199" s="56" t="str" cm="1">
        <f t="array" ref="G199">INDEX(deskripsi!$D$2:$H$337,
   MATCH(1,(deskripsi!$A$2:$A$337=B199)*
           (deskripsi!$B$2:$B$337=C199)*
           (deskripsi!$C$2:$C$337=D199),0),
   F199)</f>
        <v>Menerima dan menindaklanjuti fakta yang tidak terlalu mengancam.</v>
      </c>
    </row>
    <row r="200" spans="1:7" ht="42">
      <c r="A200" t="str">
        <f t="shared" si="3"/>
        <v>Developing Oneself|Department Head|4|4</v>
      </c>
      <c r="B200" t="str">
        <v>Developing Oneself</v>
      </c>
      <c r="C200" t="str">
        <v>Department Head</v>
      </c>
      <c r="D200" s="76">
        <v>4</v>
      </c>
      <c r="E200" t="str" cm="1">
        <f t="array" ref="E200">INDEX(aspek!$D$2:$D$337,
   MATCH(1,(aspek!$A$2:$A$337=B200)*
           (aspek!$B$2:$B$337=C200)*
           (aspek!$C$2:$C$337=D200),0))</f>
        <v>Ketahanan terhadap fakta yang tidak menyenangkan</v>
      </c>
      <c r="F200" s="76">
        <v>4</v>
      </c>
      <c r="G200" s="56" t="str" cm="1">
        <f t="array" ref="G200">INDEX(deskripsi!$D$2:$H$337,
   MATCH(1,(deskripsi!$A$2:$A$337=B200)*
           (deskripsi!$B$2:$B$337=C200)*
           (deskripsi!$C$2:$C$337=D200),0),
   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76">
        <v>4</v>
      </c>
      <c r="E201" t="str" cm="1">
        <f t="array" ref="E201">INDEX(aspek!$D$2:$D$337,
   MATCH(1,(aspek!$A$2:$A$337=B201)*
           (aspek!$B$2:$B$337=C201)*
           (aspek!$C$2:$C$337=D201),0))</f>
        <v>Ketahanan terhadap fakta yang tidak menyenangkan</v>
      </c>
      <c r="F201" s="76">
        <v>5</v>
      </c>
      <c r="G201" s="56" t="str" cm="1">
        <f t="array" ref="G201">INDEX(deskripsi!$D$2:$H$337,
   MATCH(1,(deskripsi!$A$2:$A$337=B201)*
           (deskripsi!$B$2:$B$337=C201)*
           (deskripsi!$C$2:$C$337=D201),0),
   F201)</f>
        <v>Secara aktif mencari fakta yang tidak menyenangkan sebagai bahan kalibrasi.</v>
      </c>
    </row>
    <row r="202" spans="1:7">
      <c r="A202" t="str">
        <f t="shared" si="3"/>
        <v>Developing Oneself|Division Head|1|1</v>
      </c>
      <c r="B202" t="str">
        <v>Developing Oneself</v>
      </c>
      <c r="C202" t="str">
        <v>Division Head</v>
      </c>
      <c r="D202" s="76">
        <v>1</v>
      </c>
      <c r="E202" t="str" cm="1">
        <f t="array" ref="E202">INDEX(aspek!$D$2:$D$337,
   MATCH(1,(aspek!$A$2:$A$337=B202)*
           (aspek!$B$2:$B$337=C202)*
           (aspek!$C$2:$C$337=D202),0))</f>
        <v>Jeda antara stimulus dan respons</v>
      </c>
      <c r="F202" s="76">
        <v>1</v>
      </c>
      <c r="G202" s="56" t="str" cm="1">
        <f t="array" ref="G202">INDEX(deskripsi!$D$2:$H$337,
   MATCH(1,(deskripsi!$A$2:$A$337=B202)*
           (deskripsi!$B$2:$B$337=C202)*
           (deskripsi!$C$2:$C$337=D202),0),
   F202)</f>
        <v>Bereaksi impulsif tanpa jeda.</v>
      </c>
    </row>
    <row r="203" spans="1:7">
      <c r="A203" t="str">
        <f t="shared" si="3"/>
        <v>Developing Oneself|Division Head|1|2</v>
      </c>
      <c r="B203" t="str">
        <v>Developing Oneself</v>
      </c>
      <c r="C203" t="str">
        <v>Division Head</v>
      </c>
      <c r="D203" s="76">
        <v>1</v>
      </c>
      <c r="E203" t="str" cm="1">
        <f t="array" ref="E203">INDEX(aspek!$D$2:$D$337,
   MATCH(1,(aspek!$A$2:$A$337=B203)*
           (aspek!$B$2:$B$337=C203)*
           (aspek!$C$2:$C$337=D203),0))</f>
        <v>Jeda antara stimulus dan respons</v>
      </c>
      <c r="F203" s="76">
        <v>2</v>
      </c>
      <c r="G203" s="56" t="str" cm="1">
        <f t="array" ref="G203">INDEX(deskripsi!$D$2:$H$337,
   MATCH(1,(deskripsi!$A$2:$A$337=B203)*
           (deskripsi!$B$2:$B$337=C203)*
           (deskripsi!$C$2:$C$337=D203),0),
   F203)</f>
        <v>Menyadari reaksi berlebihan setelah terjadi.</v>
      </c>
    </row>
    <row r="204" spans="1:7" ht="28">
      <c r="A204" t="str">
        <f t="shared" si="3"/>
        <v>Developing Oneself|Division Head|1|3</v>
      </c>
      <c r="B204" t="str">
        <v>Developing Oneself</v>
      </c>
      <c r="C204" t="str">
        <v>Division Head</v>
      </c>
      <c r="D204" s="76">
        <v>1</v>
      </c>
      <c r="E204" t="str" cm="1">
        <f t="array" ref="E204">INDEX(aspek!$D$2:$D$337,
   MATCH(1,(aspek!$A$2:$A$337=B204)*
           (aspek!$B$2:$B$337=C204)*
           (aspek!$C$2:$C$337=D204),0))</f>
        <v>Jeda antara stimulus dan respons</v>
      </c>
      <c r="F204" s="76">
        <v>3</v>
      </c>
      <c r="G204" s="56" t="str" cm="1">
        <f t="array" ref="G204">INDEX(deskripsi!$D$2:$H$337,
   MATCH(1,(deskripsi!$A$2:$A$337=B204)*
           (deskripsi!$B$2:$B$337=C204)*
           (deskripsi!$C$2:$C$337=D204),0),
   F204)</f>
        <v>Mengenali emosi yang muncul dan memilih responsnya, meski butuh usaha.</v>
      </c>
    </row>
    <row r="205" spans="1:7" ht="28">
      <c r="A205" t="str">
        <f t="shared" si="3"/>
        <v>Developing Oneself|Division Head|1|4</v>
      </c>
      <c r="B205" t="str">
        <v>Developing Oneself</v>
      </c>
      <c r="C205" t="str">
        <v>Division Head</v>
      </c>
      <c r="D205" s="76">
        <v>1</v>
      </c>
      <c r="E205" t="str" cm="1">
        <f t="array" ref="E205">INDEX(aspek!$D$2:$D$337,
   MATCH(1,(aspek!$A$2:$A$337=B205)*
           (aspek!$B$2:$B$337=C205)*
           (aspek!$C$2:$C$337=D205),0))</f>
        <v>Jeda antara stimulus dan respons</v>
      </c>
      <c r="F205" s="76">
        <v>4</v>
      </c>
      <c r="G205" s="56" t="str" cm="1">
        <f t="array" ref="G205">INDEX(deskripsi!$D$2:$H$337,
   MATCH(1,(deskripsi!$A$2:$A$337=B205)*
           (deskripsi!$B$2:$B$337=C205)*
           (deskripsi!$C$2:$C$337=D205),0),
   F205)</f>
        <v>Secara konsisten memberi jeda sebelum merespons, tetap tenang dan profesional.</v>
      </c>
    </row>
    <row r="206" spans="1:7" ht="28">
      <c r="A206" t="str">
        <f t="shared" si="3"/>
        <v>Developing Oneself|Division Head|1|5</v>
      </c>
      <c r="B206" t="str">
        <v>Developing Oneself</v>
      </c>
      <c r="C206" t="str">
        <v>Division Head</v>
      </c>
      <c r="D206" s="76">
        <v>1</v>
      </c>
      <c r="E206" t="str" cm="1">
        <f t="array" ref="E206">INDEX(aspek!$D$2:$D$337,
   MATCH(1,(aspek!$A$2:$A$337=B206)*
           (aspek!$B$2:$B$337=C206)*
           (aspek!$C$2:$C$337=D206),0))</f>
        <v>Jeda antara stimulus dan respons</v>
      </c>
      <c r="F206" s="76">
        <v>5</v>
      </c>
      <c r="G206" s="56" t="str" cm="1">
        <f t="array" ref="G206">INDEX(deskripsi!$D$2:$H$337,
   MATCH(1,(deskripsi!$A$2:$A$337=B206)*
           (deskripsi!$B$2:$B$337=C206)*
           (deskripsi!$C$2:$C$337=D206),0),
   F206)</f>
        <v>Jedanya menjadi kebiasaan otomatis bahkan pada tekanan ekstrem.</v>
      </c>
    </row>
    <row r="207" spans="1:7" ht="28">
      <c r="A207" t="str">
        <f t="shared" si="3"/>
        <v>Developing Oneself|Division Head|2|1</v>
      </c>
      <c r="B207" t="str">
        <v>Developing Oneself</v>
      </c>
      <c r="C207" t="str">
        <v>Division Head</v>
      </c>
      <c r="D207" s="76">
        <v>2</v>
      </c>
      <c r="E207" t="str" cm="1">
        <f t="array" ref="E207">INDEX(aspek!$D$2:$D$337,
   MATCH(1,(aspek!$A$2:$A$337=B207)*
           (aspek!$B$2:$B$337=C207)*
           (aspek!$C$2:$C$337=D207),0))</f>
        <v>Kualitas keputusan saat emosi tinggi</v>
      </c>
      <c r="F207" s="76">
        <v>1</v>
      </c>
      <c r="G207" s="56" t="str" cm="1">
        <f t="array" ref="G207">INDEX(deskripsi!$D$2:$H$337,
   MATCH(1,(deskripsi!$A$2:$A$337=B207)*
           (deskripsi!$B$2:$B$337=C207)*
           (deskripsi!$C$2:$C$337=D207),0),
   F207)</f>
        <v>Keputusan yang diambil saat emosi tinggi sering keliru atau terburu-buru.</v>
      </c>
    </row>
    <row r="208" spans="1:7" ht="28">
      <c r="A208" t="str">
        <f t="shared" si="3"/>
        <v>Developing Oneself|Division Head|2|2</v>
      </c>
      <c r="B208" t="str">
        <v>Developing Oneself</v>
      </c>
      <c r="C208" t="str">
        <v>Division Head</v>
      </c>
      <c r="D208" s="76">
        <v>2</v>
      </c>
      <c r="E208" t="str" cm="1">
        <f t="array" ref="E208">INDEX(aspek!$D$2:$D$337,
   MATCH(1,(aspek!$A$2:$A$337=B208)*
           (aspek!$B$2:$B$337=C208)*
           (aspek!$C$2:$C$337=D208),0))</f>
        <v>Kualitas keputusan saat emosi tinggi</v>
      </c>
      <c r="F208" s="76">
        <v>2</v>
      </c>
      <c r="G208" s="56" t="str" cm="1">
        <f t="array" ref="G208">INDEX(deskripsi!$D$2:$H$337,
   MATCH(1,(deskripsi!$A$2:$A$337=B208)*
           (deskripsi!$B$2:$B$337=C208)*
           (deskripsi!$C$2:$C$337=D208),0),
   F208)</f>
        <v>Keputusan tertunda karena emosi, diambil setelah tenang kembali.</v>
      </c>
    </row>
    <row r="209" spans="1:7">
      <c r="A209" t="str">
        <f t="shared" si="3"/>
        <v>Developing Oneself|Division Head|2|3</v>
      </c>
      <c r="B209" t="str">
        <v>Developing Oneself</v>
      </c>
      <c r="C209" t="str">
        <v>Division Head</v>
      </c>
      <c r="D209" s="76">
        <v>2</v>
      </c>
      <c r="E209" t="str" cm="1">
        <f t="array" ref="E209">INDEX(aspek!$D$2:$D$337,
   MATCH(1,(aspek!$A$2:$A$337=B209)*
           (aspek!$B$2:$B$337=C209)*
           (aspek!$C$2:$C$337=D209),0))</f>
        <v>Kualitas keputusan saat emosi tinggi</v>
      </c>
      <c r="F209" s="76">
        <v>3</v>
      </c>
      <c r="G209" s="56" t="str" cm="1">
        <f t="array" ref="G209">INDEX(deskripsi!$D$2:$H$337,
   MATCH(1,(deskripsi!$A$2:$A$337=B209)*
           (deskripsi!$B$2:$B$337=C209)*
           (deskripsi!$C$2:$C$337=D209),0),
   F209)</f>
        <v>Keputusan cukup baik pada tekanan yang sedang.</v>
      </c>
    </row>
    <row r="210" spans="1:7" ht="28">
      <c r="A210" t="str">
        <f t="shared" si="3"/>
        <v>Developing Oneself|Division Head|2|4</v>
      </c>
      <c r="B210" t="str">
        <v>Developing Oneself</v>
      </c>
      <c r="C210" t="str">
        <v>Division Head</v>
      </c>
      <c r="D210" s="76">
        <v>2</v>
      </c>
      <c r="E210" t="str" cm="1">
        <f t="array" ref="E210">INDEX(aspek!$D$2:$D$337,
   MATCH(1,(aspek!$A$2:$A$337=B210)*
           (aspek!$B$2:$B$337=C210)*
           (aspek!$C$2:$C$337=D210),0))</f>
        <v>Kualitas keputusan saat emosi tinggi</v>
      </c>
      <c r="F210" s="76">
        <v>4</v>
      </c>
      <c r="G210" s="56" t="str" cm="1">
        <f t="array" ref="G210">INDEX(deskripsi!$D$2:$H$337,
   MATCH(1,(deskripsi!$A$2:$A$337=B210)*
           (deskripsi!$B$2:$B$337=C210)*
           (deskripsi!$C$2:$C$337=D210),0),
   F210)</f>
        <v>Keputusan tetap berkualitas meski diambil saat emosi tinggi, dikonfirmasi hasilnya.</v>
      </c>
    </row>
    <row r="211" spans="1:7" ht="28">
      <c r="A211" t="str">
        <f t="shared" si="3"/>
        <v>Developing Oneself|Division Head|2|5</v>
      </c>
      <c r="B211" t="str">
        <v>Developing Oneself</v>
      </c>
      <c r="C211" t="str">
        <v>Division Head</v>
      </c>
      <c r="D211" s="76">
        <v>2</v>
      </c>
      <c r="E211" t="str" cm="1">
        <f t="array" ref="E211">INDEX(aspek!$D$2:$D$337,
   MATCH(1,(aspek!$A$2:$A$337=B211)*
           (aspek!$B$2:$B$337=C211)*
           (aspek!$C$2:$C$337=D211),0))</f>
        <v>Kualitas keputusan saat emosi tinggi</v>
      </c>
      <c r="F211" s="76">
        <v>5</v>
      </c>
      <c r="G211" s="56" t="str" cm="1">
        <f t="array" ref="G211">INDEX(deskripsi!$D$2:$H$337,
   MATCH(1,(deskripsi!$A$2:$A$337=B211)*
           (deskripsi!$B$2:$B$337=C211)*
           (deskripsi!$C$2:$C$337=D211),0),
   F211)</f>
        <v>Keputusannya justru lebih tajam karena mampu memanfaatkan energi dari tekanan.</v>
      </c>
    </row>
    <row r="212" spans="1:7">
      <c r="A212" t="str">
        <f t="shared" si="3"/>
        <v>Developing Oneself|Division Head|3|1</v>
      </c>
      <c r="B212" t="str">
        <v>Developing Oneself</v>
      </c>
      <c r="C212" t="str">
        <v>Division Head</v>
      </c>
      <c r="D212" s="76">
        <v>3</v>
      </c>
      <c r="E212" t="str" cm="1">
        <f t="array" ref="E212">INDEX(aspek!$D$2:$D$337,
   MATCH(1,(aspek!$A$2:$A$337=B212)*
           (aspek!$B$2:$B$337=C212)*
           (aspek!$C$2:$C$337=D212),0))</f>
        <v>Ketenangan yang dipersepsikan</v>
      </c>
      <c r="F212" s="76">
        <v>1</v>
      </c>
      <c r="G212" s="56" t="str" cm="1">
        <f t="array" ref="G212">INDEX(deskripsi!$D$2:$H$337,
   MATCH(1,(deskripsi!$A$2:$A$337=B212)*
           (deskripsi!$B$2:$B$337=C212)*
           (deskripsi!$C$2:$C$337=D212),0),
   F212)</f>
        <v>Terlihat panik atau reaktif oleh orang di sekitarnya.</v>
      </c>
    </row>
    <row r="213" spans="1:7">
      <c r="A213" t="str">
        <f t="shared" si="3"/>
        <v>Developing Oneself|Division Head|3|2</v>
      </c>
      <c r="B213" t="str">
        <v>Developing Oneself</v>
      </c>
      <c r="C213" t="str">
        <v>Division Head</v>
      </c>
      <c r="D213" s="76">
        <v>3</v>
      </c>
      <c r="E213" t="str" cm="1">
        <f t="array" ref="E213">INDEX(aspek!$D$2:$D$337,
   MATCH(1,(aspek!$A$2:$A$337=B213)*
           (aspek!$B$2:$B$337=C213)*
           (aspek!$C$2:$C$337=D213),0))</f>
        <v>Ketenangan yang dipersepsikan</v>
      </c>
      <c r="F213" s="76">
        <v>2</v>
      </c>
      <c r="G213" s="56" t="str" cm="1">
        <f t="array" ref="G213">INDEX(deskripsi!$D$2:$H$337,
   MATCH(1,(deskripsi!$A$2:$A$337=B213)*
           (deskripsi!$B$2:$B$337=C213)*
           (deskripsi!$C$2:$C$337=D213),0),
   F213)</f>
        <v>Terlihat tenang di permukaan, tetapi ketegangan terasa.</v>
      </c>
    </row>
    <row r="214" spans="1:7">
      <c r="A214" t="str">
        <f t="shared" si="3"/>
        <v>Developing Oneself|Division Head|3|3</v>
      </c>
      <c r="B214" t="str">
        <v>Developing Oneself</v>
      </c>
      <c r="C214" t="str">
        <v>Division Head</v>
      </c>
      <c r="D214" s="76">
        <v>3</v>
      </c>
      <c r="E214" t="str" cm="1">
        <f t="array" ref="E214">INDEX(aspek!$D$2:$D$337,
   MATCH(1,(aspek!$A$2:$A$337=B214)*
           (aspek!$B$2:$B$337=C214)*
           (aspek!$C$2:$C$337=D214),0))</f>
        <v>Ketenangan yang dipersepsikan</v>
      </c>
      <c r="F214" s="76">
        <v>3</v>
      </c>
      <c r="G214" s="56" t="str" cm="1">
        <f t="array" ref="G214">INDEX(deskripsi!$D$2:$H$337,
   MATCH(1,(deskripsi!$A$2:$A$337=B214)*
           (deskripsi!$B$2:$B$337=C214)*
           (deskripsi!$C$2:$C$337=D214),0),
   F214)</f>
        <v>Terlihat tenang pada situasi yang tidak terlalu berat.</v>
      </c>
    </row>
    <row r="215" spans="1:7" ht="28">
      <c r="A215" t="str">
        <f t="shared" si="3"/>
        <v>Developing Oneself|Division Head|3|4</v>
      </c>
      <c r="B215" t="str">
        <v>Developing Oneself</v>
      </c>
      <c r="C215" t="str">
        <v>Division Head</v>
      </c>
      <c r="D215" s="76">
        <v>3</v>
      </c>
      <c r="E215" t="str" cm="1">
        <f t="array" ref="E215">INDEX(aspek!$D$2:$D$337,
   MATCH(1,(aspek!$A$2:$A$337=B215)*
           (aspek!$B$2:$B$337=C215)*
           (aspek!$C$2:$C$337=D215),0))</f>
        <v>Ketenangan yang dipersepsikan</v>
      </c>
      <c r="F215" s="76">
        <v>4</v>
      </c>
      <c r="G215" s="56" t="str" cm="1">
        <f t="array" ref="G215">INDEX(deskripsi!$D$2:$H$337,
   MATCH(1,(deskripsi!$A$2:$A$337=B215)*
           (deskripsi!$B$2:$B$337=C215)*
           (deskripsi!$C$2:$C$337=D215),0),
   F215)</f>
        <v>Konsisten terlihat tenang dan profesional bahkan pada situasi yang berat.</v>
      </c>
    </row>
    <row r="216" spans="1:7">
      <c r="A216" t="str">
        <f t="shared" si="3"/>
        <v>Developing Oneself|Division Head|3|5</v>
      </c>
      <c r="B216" t="str">
        <v>Developing Oneself</v>
      </c>
      <c r="C216" t="str">
        <v>Division Head</v>
      </c>
      <c r="D216" s="76">
        <v>3</v>
      </c>
      <c r="E216" t="str" cm="1">
        <f t="array" ref="E216">INDEX(aspek!$D$2:$D$337,
   MATCH(1,(aspek!$A$2:$A$337=B216)*
           (aspek!$B$2:$B$337=C216)*
           (aspek!$C$2:$C$337=D216),0))</f>
        <v>Ketenangan yang dipersepsikan</v>
      </c>
      <c r="F216" s="76">
        <v>5</v>
      </c>
      <c r="G216" s="56" t="str" cm="1">
        <f t="array" ref="G216">INDEX(deskripsi!$D$2:$H$337,
   MATCH(1,(deskripsi!$A$2:$A$337=B216)*
           (deskripsi!$B$2:$B$337=C216)*
           (deskripsi!$C$2:$C$337=D216),0),
   F216)</f>
        <v>Ketenangannya menjadi jangkar bagi tim di sekitarnya.</v>
      </c>
    </row>
    <row r="217" spans="1:7">
      <c r="A217" t="str">
        <f t="shared" si="3"/>
        <v>Developing Oneself|Division Head|4|1</v>
      </c>
      <c r="B217" t="str">
        <v>Developing Oneself</v>
      </c>
      <c r="C217" t="str">
        <v>Division Head</v>
      </c>
      <c r="D217" s="76">
        <v>4</v>
      </c>
      <c r="E217" t="str" cm="1">
        <f t="array" ref="E217">INDEX(aspek!$D$2:$D$337,
   MATCH(1,(aspek!$A$2:$A$337=B217)*
           (aspek!$B$2:$B$337=C217)*
           (aspek!$C$2:$C$337=D217),0))</f>
        <v>Menenangkan orang lain</v>
      </c>
      <c r="F217" s="76">
        <v>1</v>
      </c>
      <c r="G217" s="56" t="str" cm="1">
        <f t="array" ref="G217">INDEX(deskripsi!$D$2:$H$337,
   MATCH(1,(deskripsi!$A$2:$A$337=B217)*
           (deskripsi!$B$2:$B$337=C217)*
           (deskripsi!$C$2:$C$337=D217),0),
   F217)</f>
        <v>Ikut terpengaruh emosi orang lain di sekitarnya.</v>
      </c>
    </row>
    <row r="218" spans="1:7" ht="28">
      <c r="A218" t="str">
        <f t="shared" si="3"/>
        <v>Developing Oneself|Division Head|4|2</v>
      </c>
      <c r="B218" t="str">
        <v>Developing Oneself</v>
      </c>
      <c r="C218" t="str">
        <v>Division Head</v>
      </c>
      <c r="D218" s="76">
        <v>4</v>
      </c>
      <c r="E218" t="str" cm="1">
        <f t="array" ref="E218">INDEX(aspek!$D$2:$D$337,
   MATCH(1,(aspek!$A$2:$A$337=B218)*
           (aspek!$B$2:$B$337=C218)*
           (aspek!$C$2:$C$337=D218),0))</f>
        <v>Menenangkan orang lain</v>
      </c>
      <c r="F218" s="76">
        <v>2</v>
      </c>
      <c r="G218" s="56" t="str" cm="1">
        <f t="array" ref="G218">INDEX(deskripsi!$D$2:$H$337,
   MATCH(1,(deskripsi!$A$2:$A$337=B218)*
           (deskripsi!$B$2:$B$337=C218)*
           (deskripsi!$C$2:$C$337=D218),0),
   F218)</f>
        <v>Menjaga emosinya sendiri, tidak memperhatikan emosi orang lain.</v>
      </c>
    </row>
    <row r="219" spans="1:7" ht="28">
      <c r="A219" t="str">
        <f t="shared" si="3"/>
        <v>Developing Oneself|Division Head|4|3</v>
      </c>
      <c r="B219" t="str">
        <v>Developing Oneself</v>
      </c>
      <c r="C219" t="str">
        <v>Division Head</v>
      </c>
      <c r="D219" s="76">
        <v>4</v>
      </c>
      <c r="E219" t="str" cm="1">
        <f t="array" ref="E219">INDEX(aspek!$D$2:$D$337,
   MATCH(1,(aspek!$A$2:$A$337=B219)*
           (aspek!$B$2:$B$337=C219)*
           (aspek!$C$2:$C$337=D219),0))</f>
        <v>Menenangkan orang lain</v>
      </c>
      <c r="F219" s="76">
        <v>3</v>
      </c>
      <c r="G219" s="56" t="str" cm="1">
        <f t="array" ref="G219">INDEX(deskripsi!$D$2:$H$337,
   MATCH(1,(deskripsi!$A$2:$A$337=B219)*
           (deskripsi!$B$2:$B$337=C219)*
           (deskripsi!$C$2:$C$337=D219),0),
   F219)</f>
        <v>Sesekali membantu menenangkan orang lain pada situasi ringan.</v>
      </c>
    </row>
    <row r="220" spans="1:7" ht="28">
      <c r="A220" t="str">
        <f t="shared" si="3"/>
        <v>Developing Oneself|Division Head|4|4</v>
      </c>
      <c r="B220" t="str">
        <v>Developing Oneself</v>
      </c>
      <c r="C220" t="str">
        <v>Division Head</v>
      </c>
      <c r="D220" s="76">
        <v>4</v>
      </c>
      <c r="E220" t="str" cm="1">
        <f t="array" ref="E220">INDEX(aspek!$D$2:$D$337,
   MATCH(1,(aspek!$A$2:$A$337=B220)*
           (aspek!$B$2:$B$337=C220)*
           (aspek!$C$2:$C$337=D220),0))</f>
        <v>Menenangkan orang lain</v>
      </c>
      <c r="F220" s="76">
        <v>4</v>
      </c>
      <c r="G220" s="56" t="str" cm="1">
        <f t="array" ref="G220">INDEX(deskripsi!$D$2:$H$337,
   MATCH(1,(deskripsi!$A$2:$A$337=B220)*
           (deskripsi!$B$2:$B$337=C220)*
           (deskripsi!$C$2:$C$337=D220),0),
   F220)</f>
        <v>Secara aktif menenangkan orang lain yang emosional, dikonfirmasi pihak yang ditenangkan.</v>
      </c>
    </row>
    <row r="221" spans="1:7" ht="28">
      <c r="A221" t="str">
        <f t="shared" si="3"/>
        <v>Developing Oneself|Division Head|4|5</v>
      </c>
      <c r="B221" t="str">
        <v>Developing Oneself</v>
      </c>
      <c r="C221" t="str">
        <v>Division Head</v>
      </c>
      <c r="D221" s="76">
        <v>4</v>
      </c>
      <c r="E221" t="str" cm="1">
        <f t="array" ref="E221">INDEX(aspek!$D$2:$D$337,
   MATCH(1,(aspek!$A$2:$A$337=B221)*
           (aspek!$B$2:$B$337=C221)*
           (aspek!$C$2:$C$337=D221),0))</f>
        <v>Menenangkan orang lain</v>
      </c>
      <c r="F221" s="76">
        <v>5</v>
      </c>
      <c r="G221" s="56" t="str" cm="1">
        <f t="array" ref="G221">INDEX(deskripsi!$D$2:$H$337,
   MATCH(1,(deskripsi!$A$2:$A$337=B221)*
           (deskripsi!$B$2:$B$337=C221)*
           (deskripsi!$C$2:$C$337=D221),0),
   F221)</f>
        <v>Menjadi orang yang secara otomatis dicari saat situasi memanas.</v>
      </c>
    </row>
    <row r="222" spans="1:7" ht="28">
      <c r="A222" t="str">
        <f t="shared" si="3"/>
        <v>Developing Oneself|Director|1|1</v>
      </c>
      <c r="B222" t="str">
        <v>Developing Oneself</v>
      </c>
      <c r="C222" t="str">
        <v>Director</v>
      </c>
      <c r="D222" s="76">
        <v>1</v>
      </c>
      <c r="E222" t="str" cm="1">
        <f t="array" ref="E222">INDEX(aspek!$D$2:$D$337,
   MATCH(1,(aspek!$A$2:$A$337=B222)*
           (aspek!$B$2:$B$337=C222)*
           (aspek!$C$2:$C$337=D222),0))</f>
        <v>Kedalaman refleksi: dari peristiwa ke pola ke bias</v>
      </c>
      <c r="F222" s="76">
        <v>1</v>
      </c>
      <c r="G222" s="56" t="str" cm="1">
        <f t="array" ref="G222">INDEX(deskripsi!$D$2:$H$337,
   MATCH(1,(deskripsi!$A$2:$A$337=B222)*
           (deskripsi!$B$2:$B$337=C222)*
           (deskripsi!$C$2:$C$337=D222),0),
   F222)</f>
        <v>Hanya melihat peristiwa tunggal, tidak melihat keterkaitan antar peristiwa.</v>
      </c>
    </row>
    <row r="223" spans="1:7" ht="28">
      <c r="A223" t="str">
        <f t="shared" si="3"/>
        <v>Developing Oneself|Director|1|2</v>
      </c>
      <c r="B223" t="str">
        <v>Developing Oneself</v>
      </c>
      <c r="C223" t="str">
        <v>Director</v>
      </c>
      <c r="D223" s="76">
        <v>1</v>
      </c>
      <c r="E223" t="str" cm="1">
        <f t="array" ref="E223">INDEX(aspek!$D$2:$D$337,
   MATCH(1,(aspek!$A$2:$A$337=B223)*
           (aspek!$B$2:$B$337=C223)*
           (aspek!$C$2:$C$337=D223),0))</f>
        <v>Kedalaman refleksi: dari peristiwa ke pola ke bias</v>
      </c>
      <c r="F223" s="76">
        <v>2</v>
      </c>
      <c r="G223" s="56" t="str" cm="1">
        <f t="array" ref="G223">INDEX(deskripsi!$D$2:$H$337,
   MATCH(1,(deskripsi!$A$2:$A$337=B223)*
           (deskripsi!$B$2:$B$337=C223)*
           (deskripsi!$C$2:$C$337=D223),0),
   F223)</f>
        <v>Menyadari ada pola, tidak menganalisis bias yang mendasarinya.</v>
      </c>
    </row>
    <row r="224" spans="1:7">
      <c r="A224" t="str">
        <f t="shared" si="3"/>
        <v>Developing Oneself|Director|1|3</v>
      </c>
      <c r="B224" t="str">
        <v>Developing Oneself</v>
      </c>
      <c r="C224" t="str">
        <v>Director</v>
      </c>
      <c r="D224" s="76">
        <v>1</v>
      </c>
      <c r="E224" t="str" cm="1">
        <f t="array" ref="E224">INDEX(aspek!$D$2:$D$337,
   MATCH(1,(aspek!$A$2:$A$337=B224)*
           (aspek!$B$2:$B$337=C224)*
           (aspek!$C$2:$C$337=D224),0))</f>
        <v>Kedalaman refleksi: dari peristiwa ke pola ke bias</v>
      </c>
      <c r="F224" s="76">
        <v>3</v>
      </c>
      <c r="G224" s="56" t="str" cm="1">
        <f t="array" ref="G224">INDEX(deskripsi!$D$2:$H$337,
   MATCH(1,(deskripsi!$A$2:$A$337=B224)*
           (deskripsi!$B$2:$B$337=C224)*
           (deskripsi!$C$2:$C$337=D224),0),
   F224)</f>
        <v>Mengenali bias yang mendasari sebagian pola.</v>
      </c>
    </row>
    <row r="225" spans="1:7" ht="28">
      <c r="A225" t="str">
        <f t="shared" si="3"/>
        <v>Developing Oneself|Director|1|4</v>
      </c>
      <c r="B225" t="str">
        <v>Developing Oneself</v>
      </c>
      <c r="C225" t="str">
        <v>Director</v>
      </c>
      <c r="D225" s="76">
        <v>1</v>
      </c>
      <c r="E225" t="str" cm="1">
        <f t="array" ref="E225">INDEX(aspek!$D$2:$D$337,
   MATCH(1,(aspek!$A$2:$A$337=B225)*
           (aspek!$B$2:$B$337=C225)*
           (aspek!$C$2:$C$337=D225),0))</f>
        <v>Kedalaman refleksi: dari peristiwa ke pola ke bias</v>
      </c>
      <c r="F225" s="76">
        <v>4</v>
      </c>
      <c r="G225" s="56" t="str" cm="1">
        <f t="array" ref="G225">INDEX(deskripsi!$D$2:$H$337,
   MATCH(1,(deskripsi!$A$2:$A$337=B225)*
           (deskripsi!$B$2:$B$337=C225)*
           (deskripsi!$C$2:$C$337=D225),0),
   F225)</f>
        <v>Menyintesis banyak peristiwa menjadi pola yang jelas dan mengidentifikasi bias yang mendasarinya secara akurat.</v>
      </c>
    </row>
    <row r="226" spans="1:7" ht="28">
      <c r="A226" t="str">
        <f t="shared" si="3"/>
        <v>Developing Oneself|Director|1|5</v>
      </c>
      <c r="B226" t="str">
        <v>Developing Oneself</v>
      </c>
      <c r="C226" t="str">
        <v>Director</v>
      </c>
      <c r="D226" s="76">
        <v>1</v>
      </c>
      <c r="E226" t="str" cm="1">
        <f t="array" ref="E226">INDEX(aspek!$D$2:$D$337,
   MATCH(1,(aspek!$A$2:$A$337=B226)*
           (aspek!$B$2:$B$337=C226)*
           (aspek!$C$2:$C$337=D226),0))</f>
        <v>Kedalaman refleksi: dari peristiwa ke pola ke bias</v>
      </c>
      <c r="F226" s="76">
        <v>5</v>
      </c>
      <c r="G226" s="56" t="str" cm="1">
        <f t="array" ref="G226">INDEX(deskripsi!$D$2:$H$337,
   MATCH(1,(deskripsi!$A$2:$A$337=B226)*
           (deskripsi!$B$2:$B$337=C226)*
           (deskripsi!$C$2:$C$337=D226),0),
   F226)</f>
        <v>Kemampuannya melihat pola menjadi rujukan bagi orang lain yang ingin memahami dirinya sendiri.</v>
      </c>
    </row>
    <row r="227" spans="1:7">
      <c r="A227" t="str">
        <f t="shared" si="3"/>
        <v>Developing Oneself|Director|2|1</v>
      </c>
      <c r="B227" t="str">
        <v>Developing Oneself</v>
      </c>
      <c r="C227" t="str">
        <v>Director</v>
      </c>
      <c r="D227" s="76">
        <v>2</v>
      </c>
      <c r="E227" t="str" cm="1">
        <f t="array" ref="E227">INDEX(aspek!$D$2:$D$337,
   MATCH(1,(aspek!$A$2:$A$337=B227)*
           (aspek!$B$2:$B$337=C227)*
           (aspek!$C$2:$C$337=D227),0))</f>
        <v>Kemampuan memprediksi reaksi diri</v>
      </c>
      <c r="F227" s="76">
        <v>1</v>
      </c>
      <c r="G227" s="56" t="str" cm="1">
        <f t="array" ref="G227">INDEX(deskripsi!$D$2:$H$337,
   MATCH(1,(deskripsi!$A$2:$A$337=B227)*
           (deskripsi!$B$2:$B$337=C227)*
           (deskripsi!$C$2:$C$337=D227),0),
   F227)</f>
        <v>Tidak dapat memprediksi bagaimana dirinya akan bereaksi.</v>
      </c>
    </row>
    <row r="228" spans="1:7">
      <c r="A228" t="str">
        <f t="shared" si="3"/>
        <v>Developing Oneself|Director|2|2</v>
      </c>
      <c r="B228" t="str">
        <v>Developing Oneself</v>
      </c>
      <c r="C228" t="str">
        <v>Director</v>
      </c>
      <c r="D228" s="76">
        <v>2</v>
      </c>
      <c r="E228" t="str" cm="1">
        <f t="array" ref="E228">INDEX(aspek!$D$2:$D$337,
   MATCH(1,(aspek!$A$2:$A$337=B228)*
           (aspek!$B$2:$B$337=C228)*
           (aspek!$C$2:$C$337=D228),0))</f>
        <v>Kemampuan memprediksi reaksi diri</v>
      </c>
      <c r="F228" s="76">
        <v>2</v>
      </c>
      <c r="G228" s="56" t="str" cm="1">
        <f t="array" ref="G228">INDEX(deskripsi!$D$2:$H$337,
   MATCH(1,(deskripsi!$A$2:$A$337=B228)*
           (deskripsi!$B$2:$B$337=C228)*
           (deskripsi!$C$2:$C$337=D228),0),
   F228)</f>
        <v>Memprediksi setelah kejadian terjadi, bukan sebelumnya.</v>
      </c>
    </row>
    <row r="229" spans="1:7">
      <c r="A229" t="str">
        <f t="shared" si="3"/>
        <v>Developing Oneself|Director|2|3</v>
      </c>
      <c r="B229" t="str">
        <v>Developing Oneself</v>
      </c>
      <c r="C229" t="str">
        <v>Director</v>
      </c>
      <c r="D229" s="76">
        <v>2</v>
      </c>
      <c r="E229" t="str" cm="1">
        <f t="array" ref="E229">INDEX(aspek!$D$2:$D$337,
   MATCH(1,(aspek!$A$2:$A$337=B229)*
           (aspek!$B$2:$B$337=C229)*
           (aspek!$C$2:$C$337=D229),0))</f>
        <v>Kemampuan memprediksi reaksi diri</v>
      </c>
      <c r="F229" s="76">
        <v>3</v>
      </c>
      <c r="G229" s="56" t="str" cm="1">
        <f t="array" ref="G229">INDEX(deskripsi!$D$2:$H$337,
   MATCH(1,(deskripsi!$A$2:$A$337=B229)*
           (deskripsi!$B$2:$B$337=C229)*
           (deskripsi!$C$2:$C$337=D229),0),
   F229)</f>
        <v>Memprediksi pada situasi yang sudah sangat familiar.</v>
      </c>
    </row>
    <row r="230" spans="1:7" ht="28">
      <c r="A230" t="str">
        <f t="shared" si="3"/>
        <v>Developing Oneself|Director|2|4</v>
      </c>
      <c r="B230" t="str">
        <v>Developing Oneself</v>
      </c>
      <c r="C230" t="str">
        <v>Director</v>
      </c>
      <c r="D230" s="76">
        <v>2</v>
      </c>
      <c r="E230" t="str" cm="1">
        <f t="array" ref="E230">INDEX(aspek!$D$2:$D$337,
   MATCH(1,(aspek!$A$2:$A$337=B230)*
           (aspek!$B$2:$B$337=C230)*
           (aspek!$C$2:$C$337=D230),0))</f>
        <v>Kemampuan memprediksi reaksi diri</v>
      </c>
      <c r="F230" s="76">
        <v>4</v>
      </c>
      <c r="G230" s="56" t="str" cm="1">
        <f t="array" ref="G230">INDEX(deskripsi!$D$2:$H$337,
   MATCH(1,(deskripsi!$A$2:$A$337=B230)*
           (deskripsi!$B$2:$B$337=C230)*
           (deskripsi!$C$2:$C$337=D230),0),
   F230)</f>
        <v>Memprediksi reaksi diri secara akurat pada situasi baru yang bertekanan, berdasarkan pola yang dikenali.</v>
      </c>
    </row>
    <row r="231" spans="1:7" ht="28">
      <c r="A231" t="str">
        <f t="shared" si="3"/>
        <v>Developing Oneself|Director|2|5</v>
      </c>
      <c r="B231" t="str">
        <v>Developing Oneself</v>
      </c>
      <c r="C231" t="str">
        <v>Director</v>
      </c>
      <c r="D231" s="76">
        <v>2</v>
      </c>
      <c r="E231" t="str" cm="1">
        <f t="array" ref="E231">INDEX(aspek!$D$2:$D$337,
   MATCH(1,(aspek!$A$2:$A$337=B231)*
           (aspek!$B$2:$B$337=C231)*
           (aspek!$C$2:$C$337=D231),0))</f>
        <v>Kemampuan memprediksi reaksi diri</v>
      </c>
      <c r="F231" s="76">
        <v>5</v>
      </c>
      <c r="G231" s="56" t="str" cm="1">
        <f t="array" ref="G231">INDEX(deskripsi!$D$2:$H$337,
   MATCH(1,(deskripsi!$A$2:$A$337=B231)*
           (deskripsi!$B$2:$B$337=C231)*
           (deskripsi!$C$2:$C$337=D231),0),
   F231)</f>
        <v>Prediksinya memungkinkan mengelola reaksi sebelum situasi bahkan dimulai.</v>
      </c>
    </row>
    <row r="232" spans="1:7" ht="28">
      <c r="A232" t="str">
        <f t="shared" si="3"/>
        <v>Developing Oneself|Director|3|1</v>
      </c>
      <c r="B232" t="str">
        <v>Developing Oneself</v>
      </c>
      <c r="C232" t="str">
        <v>Director</v>
      </c>
      <c r="D232" s="76">
        <v>3</v>
      </c>
      <c r="E232" t="str" cm="1">
        <f t="array" ref="E232">INDEX(aspek!$D$2:$D$337,
   MATCH(1,(aspek!$A$2:$A$337=B232)*
           (aspek!$B$2:$B$337=C232)*
           (aspek!$C$2:$C$337=D232),0))</f>
        <v>Autentisitas</v>
      </c>
      <c r="F232" s="76">
        <v>1</v>
      </c>
      <c r="G232" s="56" t="str" cm="1">
        <f t="array" ref="G232">INDEX(deskripsi!$D$2:$H$337,
   MATCH(1,(deskripsi!$A$2:$A$337=B232)*
           (deskripsi!$B$2:$B$337=C232)*
           (deskripsi!$C$2:$C$337=D232),0),
   F232)</f>
        <v>Perilaku sehari-hari sering tidak konsisten dengan nilai yang diucapkan.</v>
      </c>
    </row>
    <row r="233" spans="1:7">
      <c r="A233" t="str">
        <f t="shared" si="3"/>
        <v>Developing Oneself|Director|3|2</v>
      </c>
      <c r="B233" t="str">
        <v>Developing Oneself</v>
      </c>
      <c r="C233" t="str">
        <v>Director</v>
      </c>
      <c r="D233" s="76">
        <v>3</v>
      </c>
      <c r="E233" t="str" cm="1">
        <f t="array" ref="E233">INDEX(aspek!$D$2:$D$337,
   MATCH(1,(aspek!$A$2:$A$337=B233)*
           (aspek!$B$2:$B$337=C233)*
           (aspek!$C$2:$C$337=D233),0))</f>
        <v>Autentisitas</v>
      </c>
      <c r="F233" s="76">
        <v>2</v>
      </c>
      <c r="G233" s="56" t="str" cm="1">
        <f t="array" ref="G233">INDEX(deskripsi!$D$2:$H$337,
   MATCH(1,(deskripsi!$A$2:$A$337=B233)*
           (deskripsi!$B$2:$B$337=C233)*
           (deskripsi!$C$2:$C$337=D233),0),
   F233)</f>
        <v>Konsisten hanya ketika diawasi atau dalam situasi formal.</v>
      </c>
    </row>
    <row r="234" spans="1:7">
      <c r="A234" t="str">
        <f t="shared" si="3"/>
        <v>Developing Oneself|Director|3|3</v>
      </c>
      <c r="B234" t="str">
        <v>Developing Oneself</v>
      </c>
      <c r="C234" t="str">
        <v>Director</v>
      </c>
      <c r="D234" s="76">
        <v>3</v>
      </c>
      <c r="E234" t="str" cm="1">
        <f t="array" ref="E234">INDEX(aspek!$D$2:$D$337,
   MATCH(1,(aspek!$A$2:$A$337=B234)*
           (aspek!$B$2:$B$337=C234)*
           (aspek!$C$2:$C$337=D234),0))</f>
        <v>Autentisitas</v>
      </c>
      <c r="F234" s="76">
        <v>3</v>
      </c>
      <c r="G234" s="56" t="str" cm="1">
        <f t="array" ref="G234">INDEX(deskripsi!$D$2:$H$337,
   MATCH(1,(deskripsi!$A$2:$A$337=B234)*
           (deskripsi!$B$2:$B$337=C234)*
           (deskripsi!$C$2:$C$337=D234),0),
   F234)</f>
        <v>Konsisten pada situasi normal, goyah saat tertekan.</v>
      </c>
    </row>
    <row r="235" spans="1:7" ht="28">
      <c r="A235" t="str">
        <f t="shared" si="3"/>
        <v>Developing Oneself|Director|3|4</v>
      </c>
      <c r="B235" t="str">
        <v>Developing Oneself</v>
      </c>
      <c r="C235" t="str">
        <v>Director</v>
      </c>
      <c r="D235" s="76">
        <v>3</v>
      </c>
      <c r="E235" t="str" cm="1">
        <f t="array" ref="E235">INDEX(aspek!$D$2:$D$337,
   MATCH(1,(aspek!$A$2:$A$337=B235)*
           (aspek!$B$2:$B$337=C235)*
           (aspek!$C$2:$C$337=D235),0))</f>
        <v>Autentisitas</v>
      </c>
      <c r="F235" s="76">
        <v>4</v>
      </c>
      <c r="G235" s="56" t="str" cm="1">
        <f t="array" ref="G235">INDEX(deskripsi!$D$2:$H$337,
   MATCH(1,(deskripsi!$A$2:$A$337=B235)*
           (deskripsi!$B$2:$B$337=C235)*
           (deskripsi!$C$2:$C$337=D235),0),
   F235)</f>
        <v>Perilaku tetap konsisten dengan nilai yang diyakini bahkan di bawah tekanan tinggi.</v>
      </c>
    </row>
    <row r="236" spans="1:7" ht="28">
      <c r="A236" t="str">
        <f t="shared" si="3"/>
        <v>Developing Oneself|Director|3|5</v>
      </c>
      <c r="B236" t="str">
        <v>Developing Oneself</v>
      </c>
      <c r="C236" t="str">
        <v>Director</v>
      </c>
      <c r="D236" s="76">
        <v>3</v>
      </c>
      <c r="E236" t="str" cm="1">
        <f t="array" ref="E236">INDEX(aspek!$D$2:$D$337,
   MATCH(1,(aspek!$A$2:$A$337=B236)*
           (aspek!$B$2:$B$337=C236)*
           (aspek!$C$2:$C$337=D236),0))</f>
        <v>Autentisitas</v>
      </c>
      <c r="F236" s="76">
        <v>5</v>
      </c>
      <c r="G236" s="56" t="str" cm="1">
        <f t="array" ref="G236">INDEX(deskripsi!$D$2:$H$337,
   MATCH(1,(deskripsi!$A$2:$A$337=B236)*
           (deskripsi!$B$2:$B$337=C236)*
           (deskripsi!$C$2:$C$337=D236),0),
   F236)</f>
        <v>Menjadi role model autentisitas yang diakui secara luas di organisasi.</v>
      </c>
    </row>
    <row r="237" spans="1:7">
      <c r="A237" t="str">
        <f t="shared" si="3"/>
        <v>Developing Oneself|Director|4|1</v>
      </c>
      <c r="B237" t="str">
        <v>Developing Oneself</v>
      </c>
      <c r="C237" t="str">
        <v>Director</v>
      </c>
      <c r="D237" s="76">
        <v>4</v>
      </c>
      <c r="E237" t="str" cm="1">
        <f t="array" ref="E237">INDEX(aspek!$D$2:$D$337,
   MATCH(1,(aspek!$A$2:$A$337=B237)*
           (aspek!$B$2:$B$337=C237)*
           (aspek!$C$2:$C$337=D237),0))</f>
        <v>Membagikan pembelajaran kepada orang lain</v>
      </c>
      <c r="F237" s="76">
        <v>1</v>
      </c>
      <c r="G237" s="56" t="str" cm="1">
        <f t="array" ref="G237">INDEX(deskripsi!$D$2:$H$337,
   MATCH(1,(deskripsi!$A$2:$A$337=B237)*
           (deskripsi!$B$2:$B$337=C237)*
           (deskripsi!$C$2:$C$337=D237),0),
   F237)</f>
        <v>Pembelajaran tentang diri hanya untuk kepentingan sendiri.</v>
      </c>
    </row>
    <row r="238" spans="1:7">
      <c r="A238" t="str">
        <f t="shared" si="3"/>
        <v>Developing Oneself|Director|4|2</v>
      </c>
      <c r="B238" t="str">
        <v>Developing Oneself</v>
      </c>
      <c r="C238" t="str">
        <v>Director</v>
      </c>
      <c r="D238" s="76">
        <v>4</v>
      </c>
      <c r="E238" t="str" cm="1">
        <f t="array" ref="E238">INDEX(aspek!$D$2:$D$337,
   MATCH(1,(aspek!$A$2:$A$337=B238)*
           (aspek!$B$2:$B$337=C238)*
           (aspek!$C$2:$C$337=D238),0))</f>
        <v>Membagikan pembelajaran kepada orang lain</v>
      </c>
      <c r="F238" s="76">
        <v>2</v>
      </c>
      <c r="G238" s="56" t="str" cm="1">
        <f t="array" ref="G238">INDEX(deskripsi!$D$2:$H$337,
   MATCH(1,(deskripsi!$A$2:$A$337=B238)*
           (deskripsi!$B$2:$B$337=C238)*
           (deskripsi!$C$2:$C$337=D238),0),
   F238)</f>
        <v>Membagikan pembelajaran hanya ketika ditanya langsung.</v>
      </c>
    </row>
    <row r="239" spans="1:7" ht="28">
      <c r="A239" t="str">
        <f t="shared" si="3"/>
        <v>Developing Oneself|Director|4|3</v>
      </c>
      <c r="B239" t="str">
        <v>Developing Oneself</v>
      </c>
      <c r="C239" t="str">
        <v>Director</v>
      </c>
      <c r="D239" s="76">
        <v>4</v>
      </c>
      <c r="E239" t="str" cm="1">
        <f t="array" ref="E239">INDEX(aspek!$D$2:$D$337,
   MATCH(1,(aspek!$A$2:$A$337=B239)*
           (aspek!$B$2:$B$337=C239)*
           (aspek!$C$2:$C$337=D239),0))</f>
        <v>Membagikan pembelajaran kepada orang lain</v>
      </c>
      <c r="F239" s="76">
        <v>3</v>
      </c>
      <c r="G239" s="56" t="str" cm="1">
        <f t="array" ref="G239">INDEX(deskripsi!$D$2:$H$337,
   MATCH(1,(deskripsi!$A$2:$A$337=B239)*
           (deskripsi!$B$2:$B$337=C239)*
           (deskripsi!$C$2:$C$337=D239),0),
   F239)</f>
        <v>Membagikan pembelajaran pada kesempatan informal yang terbatas.</v>
      </c>
    </row>
    <row r="240" spans="1:7" ht="42">
      <c r="A240" t="str">
        <f t="shared" si="3"/>
        <v>Developing Oneself|Director|4|4</v>
      </c>
      <c r="B240" t="str">
        <v>Developing Oneself</v>
      </c>
      <c r="C240" t="str">
        <v>Director</v>
      </c>
      <c r="D240" s="76">
        <v>4</v>
      </c>
      <c r="E240" t="str" cm="1">
        <f t="array" ref="E240">INDEX(aspek!$D$2:$D$337,
   MATCH(1,(aspek!$A$2:$A$337=B240)*
           (aspek!$B$2:$B$337=C240)*
           (aspek!$C$2:$C$337=D240),0))</f>
        <v>Membagikan pembelajaran kepada orang lain</v>
      </c>
      <c r="F240" s="76">
        <v>4</v>
      </c>
      <c r="G240" s="56" t="str" cm="1">
        <f t="array" ref="G240">INDEX(deskripsi!$D$2:$H$337,
   MATCH(1,(deskripsi!$A$2:$A$337=B240)*
           (deskripsi!$B$2:$B$337=C240)*
           (deskripsi!$C$2:$C$337=D240),0),
   F240)</f>
        <v>Secara aktif berperan sebagai mentor/coach/narasumber, membagikan pola dan pembelajaran pribadi secara terstruktur.</v>
      </c>
    </row>
    <row r="241" spans="1:7" ht="28">
      <c r="A241" t="str">
        <f t="shared" si="3"/>
        <v>Developing Oneself|Director|4|5</v>
      </c>
      <c r="B241" t="str">
        <v>Developing Oneself</v>
      </c>
      <c r="C241" t="str">
        <v>Director</v>
      </c>
      <c r="D241" s="76">
        <v>4</v>
      </c>
      <c r="E241" t="str" cm="1">
        <f t="array" ref="E241">INDEX(aspek!$D$2:$D$337,
   MATCH(1,(aspek!$A$2:$A$337=B241)*
           (aspek!$B$2:$B$337=C241)*
           (aspek!$C$2:$C$337=D241),0))</f>
        <v>Membagikan pembelajaran kepada orang lain</v>
      </c>
      <c r="F241" s="76">
        <v>5</v>
      </c>
      <c r="G241" s="56" t="str" cm="1">
        <f t="array" ref="G241">INDEX(deskripsi!$D$2:$H$337,
   MATCH(1,(deskripsi!$A$2:$A$337=B241)*
           (deskripsi!$B$2:$B$337=C241)*
           (deskripsi!$C$2:$C$337=D241),0),
   F241)</f>
        <v>Menjadi rujukan organisasi untuk pengembangan kesadaran diri bagi talent lain.</v>
      </c>
    </row>
    <row r="242" spans="1:7">
      <c r="A242" t="str">
        <f t="shared" si="3"/>
        <v>Planning &amp; Organizing|Officer|1|1</v>
      </c>
      <c r="B242" t="str">
        <v>Planning &amp; Organizing</v>
      </c>
      <c r="C242" t="str">
        <v>Officer</v>
      </c>
      <c r="D242" s="76">
        <v>1</v>
      </c>
      <c r="E242" t="str" cm="1">
        <f t="array" ref="E242">INDEX(aspek!$D$2:$D$337,
   MATCH(1,(aspek!$A$2:$A$337=B242)*
           (aspek!$B$2:$B$337=C242)*
           (aspek!$C$2:$C$337=D242),0))</f>
        <v>Kualitas output</v>
      </c>
      <c r="F242" s="76">
        <v>1</v>
      </c>
      <c r="G242" s="56" t="str" cm="1">
        <f t="array" ref="G242">INDEX(deskripsi!$D$2:$H$337,
   MATCH(1,(deskripsi!$A$2:$A$337=B242)*
           (deskripsi!$B$2:$B$337=C242)*
           (deskripsi!$C$2:$C$337=D242),0),
   F242)</f>
        <v>Hasil kerja sering tidak memenuhi standar.</v>
      </c>
    </row>
    <row r="243" spans="1:7" ht="28">
      <c r="A243" t="str">
        <f t="shared" si="3"/>
        <v>Planning &amp; Organizing|Officer|1|2</v>
      </c>
      <c r="B243" t="str">
        <v>Planning &amp; Organizing</v>
      </c>
      <c r="C243" t="str">
        <v>Officer</v>
      </c>
      <c r="D243" s="76">
        <v>1</v>
      </c>
      <c r="E243" t="str" cm="1">
        <f t="array" ref="E243">INDEX(aspek!$D$2:$D$337,
   MATCH(1,(aspek!$A$2:$A$337=B243)*
           (aspek!$B$2:$B$337=C243)*
           (aspek!$C$2:$C$337=D243),0))</f>
        <v>Kualitas output</v>
      </c>
      <c r="F243" s="76">
        <v>2</v>
      </c>
      <c r="G243" s="56" t="str" cm="1">
        <f t="array" ref="G243">INDEX(deskripsi!$D$2:$H$337,
   MATCH(1,(deskripsi!$A$2:$A$337=B243)*
           (deskripsi!$B$2:$B$337=C243)*
           (deskripsi!$C$2:$C$337=D243),0),
   F243)</f>
        <v>Memenuhi standar pada tugas familiar, menurun pada tugas baru.</v>
      </c>
    </row>
    <row r="244" spans="1:7" ht="28">
      <c r="A244" t="str">
        <f t="shared" si="3"/>
        <v>Planning &amp; Organizing|Officer|1|3</v>
      </c>
      <c r="B244" t="str">
        <v>Planning &amp; Organizing</v>
      </c>
      <c r="C244" t="str">
        <v>Officer</v>
      </c>
      <c r="D244" s="76">
        <v>1</v>
      </c>
      <c r="E244" t="str" cm="1">
        <f t="array" ref="E244">INDEX(aspek!$D$2:$D$337,
   MATCH(1,(aspek!$A$2:$A$337=B244)*
           (aspek!$B$2:$B$337=C244)*
           (aspek!$C$2:$C$337=D244),0))</f>
        <v>Kualitas output</v>
      </c>
      <c r="F244" s="76">
        <v>3</v>
      </c>
      <c r="G244" s="56" t="str" cm="1">
        <f t="array" ref="G244">INDEX(deskripsi!$D$2:$H$337,
   MATCH(1,(deskripsi!$A$2:$A$337=B244)*
           (deskripsi!$B$2:$B$337=C244)*
           (deskripsi!$C$2:$C$337=D244),0),
   F244)</f>
        <v>Hasil kerja stabil memenuhi standar; revisi masih terjadi pada hal kecil.</v>
      </c>
    </row>
    <row r="245" spans="1:7">
      <c r="A245" t="str">
        <f t="shared" si="3"/>
        <v>Planning &amp; Organizing|Officer|1|4</v>
      </c>
      <c r="B245" t="str">
        <v>Planning &amp; Organizing</v>
      </c>
      <c r="C245" t="str">
        <v>Officer</v>
      </c>
      <c r="D245" s="76">
        <v>1</v>
      </c>
      <c r="E245" t="str" cm="1">
        <f t="array" ref="E245">INDEX(aspek!$D$2:$D$337,
   MATCH(1,(aspek!$A$2:$A$337=B245)*
           (aspek!$B$2:$B$337=C245)*
           (aspek!$C$2:$C$337=D245),0))</f>
        <v>Kualitas output</v>
      </c>
      <c r="F245" s="76">
        <v>4</v>
      </c>
      <c r="G245" s="56" t="str" cm="1">
        <f t="array" ref="G245">INDEX(deskripsi!$D$2:$H$337,
   MATCH(1,(deskripsi!$A$2:$A$337=B245)*
           (deskripsi!$B$2:$B$337=C245)*
           (deskripsi!$C$2:$C$337=D245),0),
   F245)</f>
        <v>Diterima tanpa revisi pada sebagian besar penyerahan.</v>
      </c>
    </row>
    <row r="246" spans="1:7">
      <c r="A246" t="str">
        <f t="shared" si="3"/>
        <v>Planning &amp; Organizing|Officer|1|5</v>
      </c>
      <c r="B246" t="str">
        <v>Planning &amp; Organizing</v>
      </c>
      <c r="C246" t="str">
        <v>Officer</v>
      </c>
      <c r="D246" s="76">
        <v>1</v>
      </c>
      <c r="E246" t="str" cm="1">
        <f t="array" ref="E246">INDEX(aspek!$D$2:$D$337,
   MATCH(1,(aspek!$A$2:$A$337=B246)*
           (aspek!$B$2:$B$337=C246)*
           (aspek!$C$2:$C$337=D246),0))</f>
        <v>Kualitas output</v>
      </c>
      <c r="F246" s="76">
        <v>5</v>
      </c>
      <c r="G246" s="56" t="str" cm="1">
        <f t="array" ref="G246">INDEX(deskripsi!$D$2:$H$337,
   MATCH(1,(deskripsi!$A$2:$A$337=B246)*
           (deskripsi!$B$2:$B$337=C246)*
           (deskripsi!$C$2:$C$337=D246),0),
   F246)</f>
        <v>Hasil kerjanya dipakai sebagai contoh standar.</v>
      </c>
    </row>
    <row r="247" spans="1:7">
      <c r="A247" t="str">
        <f t="shared" si="3"/>
        <v>Planning &amp; Organizing|Officer|2|1</v>
      </c>
      <c r="B247" t="str">
        <v>Planning &amp; Organizing</v>
      </c>
      <c r="C247" t="str">
        <v>Officer</v>
      </c>
      <c r="D247" s="76">
        <v>2</v>
      </c>
      <c r="E247" t="str" cm="1">
        <f t="array" ref="E247">INDEX(aspek!$D$2:$D$337,
   MATCH(1,(aspek!$A$2:$A$337=B247)*
           (aspek!$B$2:$B$337=C247)*
           (aspek!$C$2:$C$337=D247),0))</f>
        <v>Ketepatan waktu</v>
      </c>
      <c r="F247" s="76">
        <v>1</v>
      </c>
      <c r="G247" s="56" t="str" cm="1">
        <f t="array" ref="G247">INDEX(deskripsi!$D$2:$H$337,
   MATCH(1,(deskripsi!$A$2:$A$337=B247)*
           (deskripsi!$B$2:$B$337=C247)*
           (deskripsi!$C$2:$C$337=D247),0),
   F247)</f>
        <v>Sering terlambat.</v>
      </c>
    </row>
    <row r="248" spans="1:7">
      <c r="A248" t="str">
        <f t="shared" si="3"/>
        <v>Planning &amp; Organizing|Officer|2|2</v>
      </c>
      <c r="B248" t="str">
        <v>Planning &amp; Organizing</v>
      </c>
      <c r="C248" t="str">
        <v>Officer</v>
      </c>
      <c r="D248" s="76">
        <v>2</v>
      </c>
      <c r="E248" t="str" cm="1">
        <f t="array" ref="E248">INDEX(aspek!$D$2:$D$337,
   MATCH(1,(aspek!$A$2:$A$337=B248)*
           (aspek!$B$2:$B$337=C248)*
           (aspek!$C$2:$C$337=D248),0))</f>
        <v>Ketepatan waktu</v>
      </c>
      <c r="F248" s="76">
        <v>2</v>
      </c>
      <c r="G248" s="56" t="str" cm="1">
        <f t="array" ref="G248">INDEX(deskripsi!$D$2:$H$337,
   MATCH(1,(deskripsi!$A$2:$A$337=B248)*
           (deskripsi!$B$2:$B$337=C248)*
           (deskripsi!$C$2:$C$337=D248),0),
   F248)</f>
        <v>Tepat waktu bila hanya satu tugas.</v>
      </c>
    </row>
    <row r="249" spans="1:7">
      <c r="A249" t="str">
        <f t="shared" si="3"/>
        <v>Planning &amp; Organizing|Officer|2|3</v>
      </c>
      <c r="B249" t="str">
        <v>Planning &amp; Organizing</v>
      </c>
      <c r="C249" t="str">
        <v>Officer</v>
      </c>
      <c r="D249" s="76">
        <v>2</v>
      </c>
      <c r="E249" t="str" cm="1">
        <f t="array" ref="E249">INDEX(aspek!$D$2:$D$337,
   MATCH(1,(aspek!$A$2:$A$337=B249)*
           (aspek!$B$2:$B$337=C249)*
           (aspek!$C$2:$C$337=D249),0))</f>
        <v>Ketepatan waktu</v>
      </c>
      <c r="F249" s="76">
        <v>3</v>
      </c>
      <c r="G249" s="56" t="str" cm="1">
        <f t="array" ref="G249">INDEX(deskripsi!$D$2:$H$337,
   MATCH(1,(deskripsi!$A$2:$A$337=B249)*
           (deskripsi!$B$2:$B$337=C249)*
           (deskripsi!$C$2:$C$337=D249),0),
   F249)</f>
        <v>Sebagian besar penyerahan tepat waktu.</v>
      </c>
    </row>
    <row r="250" spans="1:7" ht="28">
      <c r="A250" t="str">
        <f t="shared" si="3"/>
        <v>Planning &amp; Organizing|Officer|2|4</v>
      </c>
      <c r="B250" t="str">
        <v>Planning &amp; Organizing</v>
      </c>
      <c r="C250" t="str">
        <v>Officer</v>
      </c>
      <c r="D250" s="76">
        <v>2</v>
      </c>
      <c r="E250" t="str" cm="1">
        <f t="array" ref="E250">INDEX(aspek!$D$2:$D$337,
   MATCH(1,(aspek!$A$2:$A$337=B250)*
           (aspek!$B$2:$B$337=C250)*
           (aspek!$C$2:$C$337=D250),0))</f>
        <v>Ketepatan waktu</v>
      </c>
      <c r="F250" s="76">
        <v>4</v>
      </c>
      <c r="G250" s="56" t="str" cm="1">
        <f t="array" ref="G250">INDEX(deskripsi!$D$2:$H$337,
   MATCH(1,(deskripsi!$A$2:$A$337=B250)*
           (deskripsi!$B$2:$B$337=C250)*
           (deskripsi!$C$2:$C$337=D250),0),
   F250)</f>
        <v>Hampir seluruh penyerahan tepat waktu termasuk saat beban bertambah.</v>
      </c>
    </row>
    <row r="251" spans="1:7">
      <c r="A251" t="str">
        <f t="shared" si="3"/>
        <v>Planning &amp; Organizing|Officer|2|5</v>
      </c>
      <c r="B251" t="str">
        <v>Planning &amp; Organizing</v>
      </c>
      <c r="C251" t="str">
        <v>Officer</v>
      </c>
      <c r="D251" s="76">
        <v>2</v>
      </c>
      <c r="E251" t="str" cm="1">
        <f t="array" ref="E251">INDEX(aspek!$D$2:$D$337,
   MATCH(1,(aspek!$A$2:$A$337=B251)*
           (aspek!$B$2:$B$337=C251)*
           (aspek!$C$2:$C$337=D251),0))</f>
        <v>Ketepatan waktu</v>
      </c>
      <c r="F251" s="76">
        <v>5</v>
      </c>
      <c r="G251" s="56" t="str" cm="1">
        <f t="array" ref="G251">INDEX(deskripsi!$D$2:$H$337,
   MATCH(1,(deskripsi!$A$2:$A$337=B251)*
           (deskripsi!$B$2:$B$337=C251)*
           (deskripsi!$C$2:$C$337=D251),0),
   F251)</f>
        <v>Menyelesaikan lebih awal secara konsisten.</v>
      </c>
    </row>
    <row r="252" spans="1:7">
      <c r="A252" t="str">
        <f t="shared" si="3"/>
        <v>Planning &amp; Organizing|Officer|3|1</v>
      </c>
      <c r="B252" t="str">
        <v>Planning &amp; Organizing</v>
      </c>
      <c r="C252" t="str">
        <v>Officer</v>
      </c>
      <c r="D252" s="76">
        <v>3</v>
      </c>
      <c r="E252" t="str" cm="1">
        <f t="array" ref="E252">INDEX(aspek!$D$2:$D$337,
   MATCH(1,(aspek!$A$2:$A$337=B252)*
           (aspek!$B$2:$B$337=C252)*
           (aspek!$C$2:$C$337=D252),0))</f>
        <v>Keandalan dan konsistensi</v>
      </c>
      <c r="F252" s="76">
        <v>1</v>
      </c>
      <c r="G252" s="56" t="str" cm="1">
        <f t="array" ref="G252">INDEX(deskripsi!$D$2:$H$337,
   MATCH(1,(deskripsi!$A$2:$A$337=B252)*
           (deskripsi!$B$2:$B$337=C252)*
           (deskripsi!$C$2:$C$337=D252),0),
   F252)</f>
        <v>Mutu dan waktu tidak dapat diperkirakan.</v>
      </c>
    </row>
    <row r="253" spans="1:7">
      <c r="A253" t="str">
        <f t="shared" si="3"/>
        <v>Planning &amp; Organizing|Officer|3|2</v>
      </c>
      <c r="B253" t="str">
        <v>Planning &amp; Organizing</v>
      </c>
      <c r="C253" t="str">
        <v>Officer</v>
      </c>
      <c r="D253" s="76">
        <v>3</v>
      </c>
      <c r="E253" t="str" cm="1">
        <f t="array" ref="E253">INDEX(aspek!$D$2:$D$337,
   MATCH(1,(aspek!$A$2:$A$337=B253)*
           (aspek!$B$2:$B$337=C253)*
           (aspek!$C$2:$C$337=D253),0))</f>
        <v>Keandalan dan konsistensi</v>
      </c>
      <c r="F253" s="76">
        <v>2</v>
      </c>
      <c r="G253" s="56" t="str" cm="1">
        <f t="array" ref="G253">INDEX(deskripsi!$D$2:$H$337,
   MATCH(1,(deskripsi!$A$2:$A$337=B253)*
           (deskripsi!$B$2:$B$337=C253)*
           (deskripsi!$C$2:$C$337=D253),0),
   F253)</f>
        <v>Baik pada sebagian periode, menurun pada periode lain.</v>
      </c>
    </row>
    <row r="254" spans="1:7">
      <c r="A254" t="str">
        <f t="shared" si="3"/>
        <v>Planning &amp; Organizing|Officer|3|3</v>
      </c>
      <c r="B254" t="str">
        <v>Planning &amp; Organizing</v>
      </c>
      <c r="C254" t="str">
        <v>Officer</v>
      </c>
      <c r="D254" s="76">
        <v>3</v>
      </c>
      <c r="E254" t="str" cm="1">
        <f t="array" ref="E254">INDEX(aspek!$D$2:$D$337,
   MATCH(1,(aspek!$A$2:$A$337=B254)*
           (aspek!$B$2:$B$337=C254)*
           (aspek!$C$2:$C$337=D254),0))</f>
        <v>Keandalan dan konsistensi</v>
      </c>
      <c r="F254" s="76">
        <v>3</v>
      </c>
      <c r="G254" s="56" t="str" cm="1">
        <f t="array" ref="G254">INDEX(deskripsi!$D$2:$H$337,
   MATCH(1,(deskripsi!$A$2:$A$337=B254)*
           (deskripsi!$B$2:$B$337=C254)*
           (deskripsi!$C$2:$C$337=D254),0),
   F254)</f>
        <v>Cukup diandalkan pada pekerjaan rutin.</v>
      </c>
    </row>
    <row r="255" spans="1:7" ht="28">
      <c r="A255" t="str">
        <f t="shared" si="3"/>
        <v>Planning &amp; Organizing|Officer|3|4</v>
      </c>
      <c r="B255" t="str">
        <v>Planning &amp; Organizing</v>
      </c>
      <c r="C255" t="str">
        <v>Officer</v>
      </c>
      <c r="D255" s="76">
        <v>3</v>
      </c>
      <c r="E255" t="str" cm="1">
        <f t="array" ref="E255">INDEX(aspek!$D$2:$D$337,
   MATCH(1,(aspek!$A$2:$A$337=B255)*
           (aspek!$B$2:$B$337=C255)*
           (aspek!$C$2:$C$337=D255),0))</f>
        <v>Keandalan dan konsistensi</v>
      </c>
      <c r="F255" s="76">
        <v>4</v>
      </c>
      <c r="G255" s="56" t="str" cm="1">
        <f t="array" ref="G255">INDEX(deskripsi!$D$2:$H$337,
   MATCH(1,(deskripsi!$A$2:$A$337=B255)*
           (deskripsi!$B$2:$B$337=C255)*
           (deskripsi!$C$2:$C$337=D255),0),
   F255)</f>
        <v>Angka ketepatan waktu dan bebas-revisi bertahan tinggi beberapa bulan berturut-turut.</v>
      </c>
    </row>
    <row r="256" spans="1:7">
      <c r="A256" t="str">
        <f t="shared" si="3"/>
        <v>Planning &amp; Organizing|Officer|3|5</v>
      </c>
      <c r="B256" t="str">
        <v>Planning &amp; Organizing</v>
      </c>
      <c r="C256" t="str">
        <v>Officer</v>
      </c>
      <c r="D256" s="76">
        <v>3</v>
      </c>
      <c r="E256" t="str" cm="1">
        <f t="array" ref="E256">INDEX(aspek!$D$2:$D$337,
   MATCH(1,(aspek!$A$2:$A$337=B256)*
           (aspek!$B$2:$B$337=C256)*
           (aspek!$C$2:$C$337=D256),0))</f>
        <v>Keandalan dan konsistensi</v>
      </c>
      <c r="F256" s="76">
        <v>5</v>
      </c>
      <c r="G256" s="56" t="str" cm="1">
        <f t="array" ref="G256">INDEX(deskripsi!$D$2:$H$337,
   MATCH(1,(deskripsi!$A$2:$A$337=B256)*
           (deskripsi!$B$2:$B$337=C256)*
           (deskripsi!$C$2:$C$337=D256),0),
   F256)</f>
        <v>Diberi pekerjaan paling kritis karena keandalannya.</v>
      </c>
    </row>
    <row r="257" spans="1:7">
      <c r="A257" t="str">
        <f t="shared" si="3"/>
        <v>Planning &amp; Organizing|Officer|4|1</v>
      </c>
      <c r="B257" t="str">
        <v>Planning &amp; Organizing</v>
      </c>
      <c r="C257" t="str">
        <v>Officer</v>
      </c>
      <c r="D257" s="76">
        <v>4</v>
      </c>
      <c r="E257" t="str" cm="1">
        <f t="array" ref="E257">INDEX(aspek!$D$2:$D$337,
   MATCH(1,(aspek!$A$2:$A$337=B257)*
           (aspek!$B$2:$B$337=C257)*
           (aspek!$C$2:$C$337=D257),0))</f>
        <v>Kesepakatan standar dan tenggat di muka</v>
      </c>
      <c r="F257" s="76">
        <v>1</v>
      </c>
      <c r="G257" s="56" t="str" cm="1">
        <f t="array" ref="G257">INDEX(deskripsi!$D$2:$H$337,
   MATCH(1,(deskripsi!$A$2:$A$337=B257)*
           (deskripsi!$B$2:$B$337=C257)*
           (deskripsi!$C$2:$C$337=D257),0),
   F257)</f>
        <v>Mulai mengerjakan tanpa memastikan standar dan tenggat.</v>
      </c>
    </row>
    <row r="258" spans="1:7">
      <c r="A258" t="str">
        <f t="shared" si="3"/>
        <v>Planning &amp; Organizing|Officer|4|2</v>
      </c>
      <c r="B258" t="str">
        <v>Planning &amp; Organizing</v>
      </c>
      <c r="C258" t="str">
        <v>Officer</v>
      </c>
      <c r="D258" s="76">
        <v>4</v>
      </c>
      <c r="E258" t="str" cm="1">
        <f t="array" ref="E258">INDEX(aspek!$D$2:$D$337,
   MATCH(1,(aspek!$A$2:$A$337=B258)*
           (aspek!$B$2:$B$337=C258)*
           (aspek!$C$2:$C$337=D258),0))</f>
        <v>Kesepakatan standar dan tenggat di muka</v>
      </c>
      <c r="F258" s="76">
        <v>2</v>
      </c>
      <c r="G258" s="56" t="str" cm="1">
        <f t="array" ref="G258">INDEX(deskripsi!$D$2:$H$337,
   MATCH(1,(deskripsi!$A$2:$A$337=B258)*
           (deskripsi!$B$2:$B$337=C258)*
           (deskripsi!$C$2:$C$337=D258),0),
   F258)</f>
        <v>Menanyakan tenggat, tidak menyepakati kriteria selesai.</v>
      </c>
    </row>
    <row r="259" spans="1:7" ht="28">
      <c r="A259" t="str">
        <f t="shared" ref="A259:A322" si="4">B259&amp;"|"&amp;C259&amp;"|"&amp;D259&amp;"|"&amp;F259</f>
        <v>Planning &amp; Organizing|Officer|4|3</v>
      </c>
      <c r="B259" t="str">
        <v>Planning &amp; Organizing</v>
      </c>
      <c r="C259" t="str">
        <v>Officer</v>
      </c>
      <c r="D259" s="76">
        <v>4</v>
      </c>
      <c r="E259" t="str" cm="1">
        <f t="array" ref="E259">INDEX(aspek!$D$2:$D$337,
   MATCH(1,(aspek!$A$2:$A$337=B259)*
           (aspek!$B$2:$B$337=C259)*
           (aspek!$C$2:$C$337=D259),0))</f>
        <v>Kesepakatan standar dan tenggat di muka</v>
      </c>
      <c r="F259" s="76">
        <v>3</v>
      </c>
      <c r="G259" s="56" t="str" cm="1">
        <f t="array" ref="G259">INDEX(deskripsi!$D$2:$H$337,
   MATCH(1,(deskripsi!$A$2:$A$337=B259)*
           (deskripsi!$B$2:$B$337=C259)*
           (deskripsi!$C$2:$C$337=D259),0),
   F259)</f>
        <v>Menyepakati hasil dan tenggat di muka pada permintaan penting.</v>
      </c>
    </row>
    <row r="260" spans="1:7" ht="28">
      <c r="A260" t="str">
        <f t="shared" si="4"/>
        <v>Planning &amp; Organizing|Officer|4|4</v>
      </c>
      <c r="B260" t="str">
        <v>Planning &amp; Organizing</v>
      </c>
      <c r="C260" t="str">
        <v>Officer</v>
      </c>
      <c r="D260" s="76">
        <v>4</v>
      </c>
      <c r="E260" t="str" cm="1">
        <f t="array" ref="E260">INDEX(aspek!$D$2:$D$337,
   MATCH(1,(aspek!$A$2:$A$337=B260)*
           (aspek!$B$2:$B$337=C260)*
           (aspek!$C$2:$C$337=D260),0))</f>
        <v>Kesepakatan standar dan tenggat di muka</v>
      </c>
      <c r="F260" s="76">
        <v>4</v>
      </c>
      <c r="G260" s="56" t="str" cm="1">
        <f t="array" ref="G260">INDEX(deskripsi!$D$2:$H$337,
   MATCH(1,(deskripsi!$A$2:$A$337=B260)*
           (deskripsi!$B$2:$B$337=C260)*
           (deskripsi!$C$2:$C$337=D260),0),
   F260)</f>
        <v>Menyepakati kriteria dan tenggat di muka pada hampir seluruh permintaan.</v>
      </c>
    </row>
    <row r="261" spans="1:7">
      <c r="A261" t="str">
        <f t="shared" si="4"/>
        <v>Planning &amp; Organizing|Officer|4|5</v>
      </c>
      <c r="B261" t="str">
        <v>Planning &amp; Organizing</v>
      </c>
      <c r="C261" t="str">
        <v>Officer</v>
      </c>
      <c r="D261" s="76">
        <v>4</v>
      </c>
      <c r="E261" t="str" cm="1">
        <f t="array" ref="E261">INDEX(aspek!$D$2:$D$337,
   MATCH(1,(aspek!$A$2:$A$337=B261)*
           (aspek!$B$2:$B$337=C261)*
           (aspek!$C$2:$C$337=D261),0))</f>
        <v>Kesepakatan standar dan tenggat di muka</v>
      </c>
      <c r="F261" s="76">
        <v>5</v>
      </c>
      <c r="G261" s="56" t="str" cm="1">
        <f t="array" ref="G261">INDEX(deskripsi!$D$2:$H$337,
   MATCH(1,(deskripsi!$A$2:$A$337=B261)*
           (deskripsi!$B$2:$B$337=C261)*
           (deskripsi!$C$2:$C$337=D261),0),
   F261)</f>
        <v>Kriteria yang disepakati menjadi acuan baku antar unit.</v>
      </c>
    </row>
    <row r="262" spans="1:7">
      <c r="A262" t="str">
        <f t="shared" si="4"/>
        <v>Planning &amp; Organizing|Analyst|1|1</v>
      </c>
      <c r="B262" t="str">
        <v>Planning &amp; Organizing</v>
      </c>
      <c r="C262" t="str">
        <v>Analyst</v>
      </c>
      <c r="D262" s="76">
        <v>1</v>
      </c>
      <c r="E262" t="str" cm="1">
        <f t="array" ref="E262">INDEX(aspek!$D$2:$D$337,
   MATCH(1,(aspek!$A$2:$A$337=B262)*
           (aspek!$B$2:$B$337=C262)*
           (aspek!$C$2:$C$337=D262),0))</f>
        <v>Kedalaman pertanyaan</v>
      </c>
      <c r="F262" s="76">
        <v>1</v>
      </c>
      <c r="G262" s="56" t="str" cm="1">
        <f t="array" ref="G262">INDEX(deskripsi!$D$2:$H$337,
   MATCH(1,(deskripsi!$A$2:$A$337=B262)*
           (deskripsi!$B$2:$B$337=C262)*
           (deskripsi!$C$2:$C$337=D262),0),
   F262)</f>
        <v>Menerima rencana kerja apa adanya tanpa menguji.</v>
      </c>
    </row>
    <row r="263" spans="1:7">
      <c r="A263" t="str">
        <f t="shared" si="4"/>
        <v>Planning &amp; Organizing|Analyst|1|2</v>
      </c>
      <c r="B263" t="str">
        <v>Planning &amp; Organizing</v>
      </c>
      <c r="C263" t="str">
        <v>Analyst</v>
      </c>
      <c r="D263" s="76">
        <v>1</v>
      </c>
      <c r="E263" t="str" cm="1">
        <f t="array" ref="E263">INDEX(aspek!$D$2:$D$337,
   MATCH(1,(aspek!$A$2:$A$337=B263)*
           (aspek!$B$2:$B$337=C263)*
           (aspek!$C$2:$C$337=D263),0))</f>
        <v>Kedalaman pertanyaan</v>
      </c>
      <c r="F263" s="76">
        <v>2</v>
      </c>
      <c r="G263" s="56" t="str" cm="1">
        <f t="array" ref="G263">INDEX(deskripsi!$D$2:$H$337,
   MATCH(1,(deskripsi!$A$2:$A$337=B263)*
           (deskripsi!$B$2:$B$337=C263)*
           (deskripsi!$C$2:$C$337=D263),0),
   F263)</f>
        <v>Bertanya untuk memastikan fakta dasar rencana.</v>
      </c>
    </row>
    <row r="264" spans="1:7">
      <c r="A264" t="str">
        <f t="shared" si="4"/>
        <v>Planning &amp; Organizing|Analyst|1|3</v>
      </c>
      <c r="B264" t="str">
        <v>Planning &amp; Organizing</v>
      </c>
      <c r="C264" t="str">
        <v>Analyst</v>
      </c>
      <c r="D264" s="76">
        <v>1</v>
      </c>
      <c r="E264" t="str" cm="1">
        <f t="array" ref="E264">INDEX(aspek!$D$2:$D$337,
   MATCH(1,(aspek!$A$2:$A$337=B264)*
           (aspek!$B$2:$B$337=C264)*
           (aspek!$C$2:$C$337=D264),0))</f>
        <v>Kedalaman pertanyaan</v>
      </c>
      <c r="F264" s="76">
        <v>3</v>
      </c>
      <c r="G264" s="56" t="str" cm="1">
        <f t="array" ref="G264">INDEX(deskripsi!$D$2:$H$337,
   MATCH(1,(deskripsi!$A$2:$A$337=B264)*
           (deskripsi!$B$2:$B$337=C264)*
           (deskripsi!$C$2:$C$337=D264),0),
   F264)</f>
        <v>Bertanya untuk memahami alasan di balik rencana.</v>
      </c>
    </row>
    <row r="265" spans="1:7" ht="28">
      <c r="A265" t="str">
        <f t="shared" si="4"/>
        <v>Planning &amp; Organizing|Analyst|1|4</v>
      </c>
      <c r="B265" t="str">
        <v>Planning &amp; Organizing</v>
      </c>
      <c r="C265" t="str">
        <v>Analyst</v>
      </c>
      <c r="D265" s="76">
        <v>1</v>
      </c>
      <c r="E265" t="str" cm="1">
        <f t="array" ref="E265">INDEX(aspek!$D$2:$D$337,
   MATCH(1,(aspek!$A$2:$A$337=B265)*
           (aspek!$B$2:$B$337=C265)*
           (aspek!$C$2:$C$337=D265),0))</f>
        <v>Kedalaman pertanyaan</v>
      </c>
      <c r="F265" s="76">
        <v>4</v>
      </c>
      <c r="G265" s="56" t="str" cm="1">
        <f t="array" ref="G265">INDEX(deskripsi!$D$2:$H$337,
   MATCH(1,(deskripsi!$A$2:$A$337=B265)*
           (deskripsi!$B$2:$B$337=C265)*
           (deskripsi!$C$2:$C$337=D265),0),
   F265)</f>
        <v>Menguji asumsi yang mendasari rencana kerja sebelum dijalankan.</v>
      </c>
    </row>
    <row r="266" spans="1:7" ht="28">
      <c r="A266" t="str">
        <f t="shared" si="4"/>
        <v>Planning &amp; Organizing|Analyst|1|5</v>
      </c>
      <c r="B266" t="str">
        <v>Planning &amp; Organizing</v>
      </c>
      <c r="C266" t="str">
        <v>Analyst</v>
      </c>
      <c r="D266" s="76">
        <v>1</v>
      </c>
      <c r="E266" t="str" cm="1">
        <f t="array" ref="E266">INDEX(aspek!$D$2:$D$337,
   MATCH(1,(aspek!$A$2:$A$337=B266)*
           (aspek!$B$2:$B$337=C266)*
           (aspek!$C$2:$C$337=D266),0))</f>
        <v>Kedalaman pertanyaan</v>
      </c>
      <c r="F266" s="76">
        <v>5</v>
      </c>
      <c r="G266" s="56" t="str" cm="1">
        <f t="array" ref="G266">INDEX(deskripsi!$D$2:$H$337,
   MATCH(1,(deskripsi!$A$2:$A$337=B266)*
           (deskripsi!$B$2:$B$337=C266)*
           (deskripsi!$C$2:$C$337=D266),0),
   F266)</f>
        <v>Membangun kerangka berpikir baru saat informasi yang ada saling bertentangan.</v>
      </c>
    </row>
    <row r="267" spans="1:7">
      <c r="A267" t="str">
        <f t="shared" si="4"/>
        <v>Planning &amp; Organizing|Analyst|2|1</v>
      </c>
      <c r="B267" t="str">
        <v>Planning &amp; Organizing</v>
      </c>
      <c r="C267" t="str">
        <v>Analyst</v>
      </c>
      <c r="D267" s="76">
        <v>2</v>
      </c>
      <c r="E267" t="str" cm="1">
        <f t="array" ref="E267">INDEX(aspek!$D$2:$D$337,
   MATCH(1,(aspek!$A$2:$A$337=B267)*
           (aspek!$B$2:$B$337=C267)*
           (aspek!$C$2:$C$337=D267),0))</f>
        <v>Dasar pengurutan pekerjaan</v>
      </c>
      <c r="F267" s="76">
        <v>1</v>
      </c>
      <c r="G267" s="56" t="str" cm="1">
        <f t="array" ref="G267">INDEX(deskripsi!$D$2:$H$337,
   MATCH(1,(deskripsi!$A$2:$A$337=B267)*
           (deskripsi!$B$2:$B$337=C267)*
           (deskripsi!$C$2:$C$337=D267),0),
   F267)</f>
        <v>Mengurutkan berdasarkan yang datang lebih dulu.</v>
      </c>
    </row>
    <row r="268" spans="1:7" ht="28">
      <c r="A268" t="str">
        <f t="shared" si="4"/>
        <v>Planning &amp; Organizing|Analyst|2|2</v>
      </c>
      <c r="B268" t="str">
        <v>Planning &amp; Organizing</v>
      </c>
      <c r="C268" t="str">
        <v>Analyst</v>
      </c>
      <c r="D268" s="76">
        <v>2</v>
      </c>
      <c r="E268" t="str" cm="1">
        <f t="array" ref="E268">INDEX(aspek!$D$2:$D$337,
   MATCH(1,(aspek!$A$2:$A$337=B268)*
           (aspek!$B$2:$B$337=C268)*
           (aspek!$C$2:$C$337=D268),0))</f>
        <v>Dasar pengurutan pekerjaan</v>
      </c>
      <c r="F268" s="76">
        <v>2</v>
      </c>
      <c r="G268" s="56" t="str" cm="1">
        <f t="array" ref="G268">INDEX(deskripsi!$D$2:$H$337,
   MATCH(1,(deskripsi!$A$2:$A$337=B268)*
           (deskripsi!$B$2:$B$337=C268)*
           (deskripsi!$C$2:$C$337=D268),0),
   F268)</f>
        <v>Mengurutkan berdasarkan kemudahan atau siapa yang paling banyak menanyakan.</v>
      </c>
    </row>
    <row r="269" spans="1:7" ht="28">
      <c r="A269" t="str">
        <f t="shared" si="4"/>
        <v>Planning &amp; Organizing|Analyst|2|3</v>
      </c>
      <c r="B269" t="str">
        <v>Planning &amp; Organizing</v>
      </c>
      <c r="C269" t="str">
        <v>Analyst</v>
      </c>
      <c r="D269" s="76">
        <v>2</v>
      </c>
      <c r="E269" t="str" cm="1">
        <f t="array" ref="E269">INDEX(aspek!$D$2:$D$337,
   MATCH(1,(aspek!$A$2:$A$337=B269)*
           (aspek!$B$2:$B$337=C269)*
           (aspek!$C$2:$C$337=D269),0))</f>
        <v>Dasar pengurutan pekerjaan</v>
      </c>
      <c r="F269" s="76">
        <v>3</v>
      </c>
      <c r="G269" s="56" t="str" cm="1">
        <f t="array" ref="G269">INDEX(deskripsi!$D$2:$H$337,
   MATCH(1,(deskripsi!$A$2:$A$337=B269)*
           (deskripsi!$B$2:$B$337=C269)*
           (deskripsi!$C$2:$C$337=D269),0),
   F269)</f>
        <v>Mengurutkan berdasarkan tenggat waktu dan tingkat kepentingan.</v>
      </c>
    </row>
    <row r="270" spans="1:7" ht="28">
      <c r="A270" t="str">
        <f t="shared" si="4"/>
        <v>Planning &amp; Organizing|Analyst|2|4</v>
      </c>
      <c r="B270" t="str">
        <v>Planning &amp; Organizing</v>
      </c>
      <c r="C270" t="str">
        <v>Analyst</v>
      </c>
      <c r="D270" s="76">
        <v>2</v>
      </c>
      <c r="E270" t="str" cm="1">
        <f t="array" ref="E270">INDEX(aspek!$D$2:$D$337,
   MATCH(1,(aspek!$A$2:$A$337=B270)*
           (aspek!$B$2:$B$337=C270)*
           (aspek!$C$2:$C$337=D270),0))</f>
        <v>Dasar pengurutan pekerjaan</v>
      </c>
      <c r="F270" s="76">
        <v>4</v>
      </c>
      <c r="G270" s="56" t="str" cm="1">
        <f t="array" ref="G270">INDEX(deskripsi!$D$2:$H$337,
   MATCH(1,(deskripsi!$A$2:$A$337=B270)*
           (deskripsi!$B$2:$B$337=C270)*
           (deskripsi!$C$2:$C$337=D270),0),
   F270)</f>
        <v>Mengurutkan dengan mempertimbangkan keterkaitan antar tugas dan ketergantungan pada pihak lain.</v>
      </c>
    </row>
    <row r="271" spans="1:7" ht="28">
      <c r="A271" t="str">
        <f t="shared" si="4"/>
        <v>Planning &amp; Organizing|Analyst|2|5</v>
      </c>
      <c r="B271" t="str">
        <v>Planning &amp; Organizing</v>
      </c>
      <c r="C271" t="str">
        <v>Analyst</v>
      </c>
      <c r="D271" s="76">
        <v>2</v>
      </c>
      <c r="E271" t="str" cm="1">
        <f t="array" ref="E271">INDEX(aspek!$D$2:$D$337,
   MATCH(1,(aspek!$A$2:$A$337=B271)*
           (aspek!$B$2:$B$337=C271)*
           (aspek!$C$2:$C$337=D271),0))</f>
        <v>Dasar pengurutan pekerjaan</v>
      </c>
      <c r="F271" s="76">
        <v>5</v>
      </c>
      <c r="G271" s="56" t="str" cm="1">
        <f t="array" ref="G271">INDEX(deskripsi!$D$2:$H$337,
   MATCH(1,(deskripsi!$A$2:$A$337=B271)*
           (deskripsi!$B$2:$B$337=C271)*
           (deskripsi!$C$2:$C$337=D271),0),
   F271)</f>
        <v>Mengurutkan berdasarkan dampak terhadap tujuan yang lebih besar, dan meninjau ulang saat situasi berubah.</v>
      </c>
    </row>
    <row r="272" spans="1:7">
      <c r="A272" t="str">
        <f t="shared" si="4"/>
        <v>Planning &amp; Organizing|Analyst|3|1</v>
      </c>
      <c r="B272" t="str">
        <v>Planning &amp; Organizing</v>
      </c>
      <c r="C272" t="str">
        <v>Analyst</v>
      </c>
      <c r="D272" s="76">
        <v>3</v>
      </c>
      <c r="E272" t="str" cm="1">
        <f t="array" ref="E272">INDEX(aspek!$D$2:$D$337,
   MATCH(1,(aspek!$A$2:$A$337=B272)*
           (aspek!$B$2:$B$337=C272)*
           (aspek!$C$2:$C$337=D272),0))</f>
        <v>Kemandirian menguji dan mengurutkan</v>
      </c>
      <c r="F272" s="76">
        <v>1</v>
      </c>
      <c r="G272" s="56" t="str" cm="1">
        <f t="array" ref="G272">INDEX(deskripsi!$D$2:$H$337,
   MATCH(1,(deskripsi!$A$2:$A$337=B272)*
           (deskripsi!$B$2:$B$337=C272)*
           (deskripsi!$C$2:$C$337=D272),0),
   F272)</f>
        <v>Menunggu diarahkan untuk menguji atau mengurutkan.</v>
      </c>
    </row>
    <row r="273" spans="1:7">
      <c r="A273" t="str">
        <f t="shared" si="4"/>
        <v>Planning &amp; Organizing|Analyst|3|2</v>
      </c>
      <c r="B273" t="str">
        <v>Planning &amp; Organizing</v>
      </c>
      <c r="C273" t="str">
        <v>Analyst</v>
      </c>
      <c r="D273" s="76">
        <v>3</v>
      </c>
      <c r="E273" t="str" cm="1">
        <f t="array" ref="E273">INDEX(aspek!$D$2:$D$337,
   MATCH(1,(aspek!$A$2:$A$337=B273)*
           (aspek!$B$2:$B$337=C273)*
           (aspek!$C$2:$C$337=D273),0))</f>
        <v>Kemandirian menguji dan mengurutkan</v>
      </c>
      <c r="F273" s="76">
        <v>2</v>
      </c>
      <c r="G273" s="56" t="str" cm="1">
        <f t="array" ref="G273">INDEX(deskripsi!$D$2:$H$337,
   MATCH(1,(deskripsi!$A$2:$A$337=B273)*
           (deskripsi!$B$2:$B$337=C273)*
           (deskripsi!$C$2:$C$337=D273),0),
   F273)</f>
        <v>Menguji/mengurutkan dengan bimbingan penuh.</v>
      </c>
    </row>
    <row r="274" spans="1:7">
      <c r="A274" t="str">
        <f t="shared" si="4"/>
        <v>Planning &amp; Organizing|Analyst|3|3</v>
      </c>
      <c r="B274" t="str">
        <v>Planning &amp; Organizing</v>
      </c>
      <c r="C274" t="str">
        <v>Analyst</v>
      </c>
      <c r="D274" s="76">
        <v>3</v>
      </c>
      <c r="E274" t="str" cm="1">
        <f t="array" ref="E274">INDEX(aspek!$D$2:$D$337,
   MATCH(1,(aspek!$A$2:$A$337=B274)*
           (aspek!$B$2:$B$337=C274)*
           (aspek!$C$2:$C$337=D274),0))</f>
        <v>Kemandirian menguji dan mengurutkan</v>
      </c>
      <c r="F274" s="76">
        <v>3</v>
      </c>
      <c r="G274" s="56" t="str" cm="1">
        <f t="array" ref="G274">INDEX(deskripsi!$D$2:$H$337,
   MATCH(1,(deskripsi!$A$2:$A$337=B274)*
           (deskripsi!$B$2:$B$337=C274)*
           (deskripsi!$C$2:$C$337=D274),0),
   F274)</f>
        <v>Menguji/mengurutkan mandiri pada situasi familiar.</v>
      </c>
    </row>
    <row r="275" spans="1:7" ht="28">
      <c r="A275" t="str">
        <f t="shared" si="4"/>
        <v>Planning &amp; Organizing|Analyst|3|4</v>
      </c>
      <c r="B275" t="str">
        <v>Planning &amp; Organizing</v>
      </c>
      <c r="C275" t="str">
        <v>Analyst</v>
      </c>
      <c r="D275" s="76">
        <v>3</v>
      </c>
      <c r="E275" t="str" cm="1">
        <f t="array" ref="E275">INDEX(aspek!$D$2:$D$337,
   MATCH(1,(aspek!$A$2:$A$337=B275)*
           (aspek!$B$2:$B$337=C275)*
           (aspek!$C$2:$C$337=D275),0))</f>
        <v>Kemandirian menguji dan mengurutkan</v>
      </c>
      <c r="F275" s="76">
        <v>4</v>
      </c>
      <c r="G275" s="56" t="str" cm="1">
        <f t="array" ref="G275">INDEX(deskripsi!$D$2:$H$337,
   MATCH(1,(deskripsi!$A$2:$A$337=B275)*
           (deskripsi!$B$2:$B$337=C275)*
           (deskripsi!$C$2:$C$337=D275),0),
   F275)</f>
        <v>Menguji/mengurutkan mandiri pada situasi baru, meminta verifikasi bukan bimbingan.</v>
      </c>
    </row>
    <row r="276" spans="1:7" ht="28">
      <c r="A276" t="str">
        <f t="shared" si="4"/>
        <v>Planning &amp; Organizing|Analyst|3|5</v>
      </c>
      <c r="B276" t="str">
        <v>Planning &amp; Organizing</v>
      </c>
      <c r="C276" t="str">
        <v>Analyst</v>
      </c>
      <c r="D276" s="76">
        <v>3</v>
      </c>
      <c r="E276" t="str" cm="1">
        <f t="array" ref="E276">INDEX(aspek!$D$2:$D$337,
   MATCH(1,(aspek!$A$2:$A$337=B276)*
           (aspek!$B$2:$B$337=C276)*
           (aspek!$C$2:$C$337=D276),0))</f>
        <v>Kemandirian menguji dan mengurutkan</v>
      </c>
      <c r="F276" s="76">
        <v>5</v>
      </c>
      <c r="G276" s="56" t="str" cm="1">
        <f t="array" ref="G276">INDEX(deskripsi!$D$2:$H$337,
   MATCH(1,(deskripsi!$A$2:$A$337=B276)*
           (deskripsi!$B$2:$B$337=C276)*
           (deskripsi!$C$2:$C$337=D276),0),
   F276)</f>
        <v>Menjadi tempat rekan meminta verifikasi atas pengujian dan pengurutan mereka.</v>
      </c>
    </row>
    <row r="277" spans="1:7">
      <c r="A277" t="str">
        <f t="shared" si="4"/>
        <v>Planning &amp; Organizing|Analyst|4|1</v>
      </c>
      <c r="B277" t="str">
        <v>Planning &amp; Organizing</v>
      </c>
      <c r="C277" t="str">
        <v>Analyst</v>
      </c>
      <c r="D277" s="76">
        <v>4</v>
      </c>
      <c r="E277" t="str" cm="1">
        <f t="array" ref="E277">INDEX(aspek!$D$2:$D$337,
   MATCH(1,(aspek!$A$2:$A$337=B277)*
           (aspek!$B$2:$B$337=C277)*
           (aspek!$C$2:$C$337=D277),0))</f>
        <v>Kesediaan meninjau ulang</v>
      </c>
      <c r="F277" s="76">
        <v>1</v>
      </c>
      <c r="G277" s="56" t="str" cm="1">
        <f t="array" ref="G277">INDEX(deskripsi!$D$2:$H$337,
   MATCH(1,(deskripsi!$A$2:$A$337=B277)*
           (deskripsi!$B$2:$B$337=C277)*
           (deskripsi!$C$2:$C$337=D277),0),
   F277)</f>
        <v>Bertahan pada urutan lama meski situasi berubah.</v>
      </c>
    </row>
    <row r="278" spans="1:7">
      <c r="A278" t="str">
        <f t="shared" si="4"/>
        <v>Planning &amp; Organizing|Analyst|4|2</v>
      </c>
      <c r="B278" t="str">
        <v>Planning &amp; Organizing</v>
      </c>
      <c r="C278" t="str">
        <v>Analyst</v>
      </c>
      <c r="D278" s="76">
        <v>4</v>
      </c>
      <c r="E278" t="str" cm="1">
        <f t="array" ref="E278">INDEX(aspek!$D$2:$D$337,
   MATCH(1,(aspek!$A$2:$A$337=B278)*
           (aspek!$B$2:$B$337=C278)*
           (aspek!$C$2:$C$337=D278),0))</f>
        <v>Kesediaan meninjau ulang</v>
      </c>
      <c r="F278" s="76">
        <v>2</v>
      </c>
      <c r="G278" s="56" t="str" cm="1">
        <f t="array" ref="G278">INDEX(deskripsi!$D$2:$H$337,
   MATCH(1,(deskripsi!$A$2:$A$337=B278)*
           (deskripsi!$B$2:$B$337=C278)*
           (deskripsi!$C$2:$C$337=D278),0),
   F278)</f>
        <v>Meninjau ulang hanya ketika diperintahkan.</v>
      </c>
    </row>
    <row r="279" spans="1:7">
      <c r="A279" t="str">
        <f t="shared" si="4"/>
        <v>Planning &amp; Organizing|Analyst|4|3</v>
      </c>
      <c r="B279" t="str">
        <v>Planning &amp; Organizing</v>
      </c>
      <c r="C279" t="str">
        <v>Analyst</v>
      </c>
      <c r="D279" s="76">
        <v>4</v>
      </c>
      <c r="E279" t="str" cm="1">
        <f t="array" ref="E279">INDEX(aspek!$D$2:$D$337,
   MATCH(1,(aspek!$A$2:$A$337=B279)*
           (aspek!$B$2:$B$337=C279)*
           (aspek!$C$2:$C$337=D279),0))</f>
        <v>Kesediaan meninjau ulang</v>
      </c>
      <c r="F279" s="76">
        <v>3</v>
      </c>
      <c r="G279" s="56" t="str" cm="1">
        <f t="array" ref="G279">INDEX(deskripsi!$D$2:$H$337,
   MATCH(1,(deskripsi!$A$2:$A$337=B279)*
           (deskripsi!$B$2:$B$337=C279)*
           (deskripsi!$C$2:$C$337=D279),0),
   F279)</f>
        <v>Meninjau ulang pada perubahan yang jelas terlihat.</v>
      </c>
    </row>
    <row r="280" spans="1:7" ht="28">
      <c r="A280" t="str">
        <f t="shared" si="4"/>
        <v>Planning &amp; Organizing|Analyst|4|4</v>
      </c>
      <c r="B280" t="str">
        <v>Planning &amp; Organizing</v>
      </c>
      <c r="C280" t="str">
        <v>Analyst</v>
      </c>
      <c r="D280" s="76">
        <v>4</v>
      </c>
      <c r="E280" t="str" cm="1">
        <f t="array" ref="E280">INDEX(aspek!$D$2:$D$337,
   MATCH(1,(aspek!$A$2:$A$337=B280)*
           (aspek!$B$2:$B$337=C280)*
           (aspek!$C$2:$C$337=D280),0))</f>
        <v>Kesediaan meninjau ulang</v>
      </c>
      <c r="F280" s="76">
        <v>4</v>
      </c>
      <c r="G280" s="56" t="str" cm="1">
        <f t="array" ref="G280">INDEX(deskripsi!$D$2:$H$337,
   MATCH(1,(deskripsi!$A$2:$A$337=B280)*
           (deskripsi!$B$2:$B$337=C280)*
           (deskripsi!$C$2:$C$337=D280),0),
   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76">
        <v>4</v>
      </c>
      <c r="E281" t="str" cm="1">
        <f t="array" ref="E281">INDEX(aspek!$D$2:$D$337,
   MATCH(1,(aspek!$A$2:$A$337=B281)*
           (aspek!$B$2:$B$337=C281)*
           (aspek!$C$2:$C$337=D281),0))</f>
        <v>Kesediaan meninjau ulang</v>
      </c>
      <c r="F281" s="76">
        <v>5</v>
      </c>
      <c r="G281" s="56" t="str" cm="1">
        <f t="array" ref="G281">INDEX(deskripsi!$D$2:$H$337,
   MATCH(1,(deskripsi!$A$2:$A$337=B281)*
           (deskripsi!$B$2:$B$337=C281)*
           (deskripsi!$C$2:$C$337=D281),0),
   F281)</f>
        <v>Peninjauan ulangnya menjadi kebiasaan yang membuat unit tetap adaptif.</v>
      </c>
    </row>
    <row r="282" spans="1:7">
      <c r="A282" t="str">
        <f t="shared" si="4"/>
        <v>Planning &amp; Organizing|Unit Head/Specialist|1|1</v>
      </c>
      <c r="B282" t="str">
        <v>Planning &amp; Organizing</v>
      </c>
      <c r="C282" t="str">
        <v>Unit Head/Specialist</v>
      </c>
      <c r="D282" s="76">
        <v>1</v>
      </c>
      <c r="E282" t="str" cm="1">
        <f t="array" ref="E282">INDEX(aspek!$D$2:$D$337,
   MATCH(1,(aspek!$A$2:$A$337=B282)*
           (aspek!$B$2:$B$337=C282)*
           (aspek!$C$2:$C$337=D282),0))</f>
        <v>Kesediaan memutuskan tanpa kepastian penuh</v>
      </c>
      <c r="F282" s="76">
        <v>1</v>
      </c>
      <c r="G282" s="56" t="str" cm="1">
        <f t="array" ref="G282">INDEX(deskripsi!$D$2:$H$337,
   MATCH(1,(deskripsi!$A$2:$A$337=B282)*
           (deskripsi!$B$2:$B$337=C282)*
           (deskripsi!$C$2:$C$337=D282),0),
   F282)</f>
        <v>Menunda keputusan sampai data lengkap.</v>
      </c>
    </row>
    <row r="283" spans="1:7">
      <c r="A283" t="str">
        <f t="shared" si="4"/>
        <v>Planning &amp; Organizing|Unit Head/Specialist|1|2</v>
      </c>
      <c r="B283" t="str">
        <v>Planning &amp; Organizing</v>
      </c>
      <c r="C283" t="str">
        <v>Unit Head/Specialist</v>
      </c>
      <c r="D283" s="76">
        <v>1</v>
      </c>
      <c r="E283" t="str" cm="1">
        <f t="array" ref="E283">INDEX(aspek!$D$2:$D$337,
   MATCH(1,(aspek!$A$2:$A$337=B283)*
           (aspek!$B$2:$B$337=C283)*
           (aspek!$C$2:$C$337=D283),0))</f>
        <v>Kesediaan memutuskan tanpa kepastian penuh</v>
      </c>
      <c r="F283" s="76">
        <v>2</v>
      </c>
      <c r="G283" s="56" t="str" cm="1">
        <f t="array" ref="G283">INDEX(deskripsi!$D$2:$H$337,
   MATCH(1,(deskripsi!$A$2:$A$337=B283)*
           (deskripsi!$B$2:$B$337=C283)*
           (deskripsi!$C$2:$C$337=D283),0),
   F283)</f>
        <v>Memutuskan setelah menunggu, meski tenggat terlewat.</v>
      </c>
    </row>
    <row r="284" spans="1:7">
      <c r="A284" t="str">
        <f t="shared" si="4"/>
        <v>Planning &amp; Organizing|Unit Head/Specialist|1|3</v>
      </c>
      <c r="B284" t="str">
        <v>Planning &amp; Organizing</v>
      </c>
      <c r="C284" t="str">
        <v>Unit Head/Specialist</v>
      </c>
      <c r="D284" s="76">
        <v>1</v>
      </c>
      <c r="E284" t="str" cm="1">
        <f t="array" ref="E284">INDEX(aspek!$D$2:$D$337,
   MATCH(1,(aspek!$A$2:$A$337=B284)*
           (aspek!$B$2:$B$337=C284)*
           (aspek!$C$2:$C$337=D284),0))</f>
        <v>Kesediaan memutuskan tanpa kepastian penuh</v>
      </c>
      <c r="F284" s="76">
        <v>3</v>
      </c>
      <c r="G284" s="56" t="str" cm="1">
        <f t="array" ref="G284">INDEX(deskripsi!$D$2:$H$337,
   MATCH(1,(deskripsi!$A$2:$A$337=B284)*
           (deskripsi!$B$2:$B$337=C284)*
           (deskripsi!$C$2:$C$337=D284),0),
   F284)</f>
        <v>Memutuskan tepat waktu pada perkara familiar.</v>
      </c>
    </row>
    <row r="285" spans="1:7" ht="28">
      <c r="A285" t="str">
        <f t="shared" si="4"/>
        <v>Planning &amp; Organizing|Unit Head/Specialist|1|4</v>
      </c>
      <c r="B285" t="str">
        <v>Planning &amp; Organizing</v>
      </c>
      <c r="C285" t="str">
        <v>Unit Head/Specialist</v>
      </c>
      <c r="D285" s="76">
        <v>1</v>
      </c>
      <c r="E285" t="str" cm="1">
        <f t="array" ref="E285">INDEX(aspek!$D$2:$D$337,
   MATCH(1,(aspek!$A$2:$A$337=B285)*
           (aspek!$B$2:$B$337=C285)*
           (aspek!$C$2:$C$337=D285),0))</f>
        <v>Kesediaan memutuskan tanpa kepastian penuh</v>
      </c>
      <c r="F285" s="76">
        <v>4</v>
      </c>
      <c r="G285" s="56" t="str" cm="1">
        <f t="array" ref="G285">INDEX(deskripsi!$D$2:$H$337,
   MATCH(1,(deskripsi!$A$2:$A$337=B285)*
           (deskripsi!$B$2:$B$337=C285)*
           (deskripsi!$C$2:$C$337=D285),0),
   F285)</f>
        <v>Menetapkan sendiri batas informasi minimum dan bergerak pada batas itu, termasuk perkara baru.</v>
      </c>
    </row>
    <row r="286" spans="1:7">
      <c r="A286" t="str">
        <f t="shared" si="4"/>
        <v>Planning &amp; Organizing|Unit Head/Specialist|1|5</v>
      </c>
      <c r="B286" t="str">
        <v>Planning &amp; Organizing</v>
      </c>
      <c r="C286" t="str">
        <v>Unit Head/Specialist</v>
      </c>
      <c r="D286" s="76">
        <v>1</v>
      </c>
      <c r="E286" t="str" cm="1">
        <f t="array" ref="E286">INDEX(aspek!$D$2:$D$337,
   MATCH(1,(aspek!$A$2:$A$337=B286)*
           (aspek!$B$2:$B$337=C286)*
           (aspek!$C$2:$C$337=D286),0))</f>
        <v>Kesediaan memutuskan tanpa kepastian penuh</v>
      </c>
      <c r="F286" s="76">
        <v>5</v>
      </c>
      <c r="G286" s="56" t="str" cm="1">
        <f t="array" ref="G286">INDEX(deskripsi!$D$2:$H$337,
   MATCH(1,(deskripsi!$A$2:$A$337=B286)*
           (deskripsi!$B$2:$B$337=C286)*
           (deskripsi!$C$2:$C$337=D286),0),
   F286)</f>
        <v>Memutuskan lebih awal ketika penundaan justru lebih berisiko.</v>
      </c>
    </row>
    <row r="287" spans="1:7">
      <c r="A287" t="str">
        <f t="shared" si="4"/>
        <v>Planning &amp; Organizing|Unit Head/Specialist|2|1</v>
      </c>
      <c r="B287" t="str">
        <v>Planning &amp; Organizing</v>
      </c>
      <c r="C287" t="str">
        <v>Unit Head/Specialist</v>
      </c>
      <c r="D287" s="76">
        <v>2</v>
      </c>
      <c r="E287" t="str" cm="1">
        <f t="array" ref="E287">INDEX(aspek!$D$2:$D$337,
   MATCH(1,(aspek!$A$2:$A$337=B287)*
           (aspek!$B$2:$B$337=C287)*
           (aspek!$C$2:$C$337=D287),0))</f>
        <v>Kualitas proses pertimbangan</v>
      </c>
      <c r="F287" s="76">
        <v>1</v>
      </c>
      <c r="G287" s="56" t="str" cm="1">
        <f t="array" ref="G287">INDEX(deskripsi!$D$2:$H$337,
   MATCH(1,(deskripsi!$A$2:$A$337=B287)*
           (deskripsi!$B$2:$B$337=C287)*
           (deskripsi!$C$2:$C$337=D287),0),
   F287)</f>
        <v>Memutuskan berdasarkan kebiasaan tanpa dasar jelas.</v>
      </c>
    </row>
    <row r="288" spans="1:7">
      <c r="A288" t="str">
        <f t="shared" si="4"/>
        <v>Planning &amp; Organizing|Unit Head/Specialist|2|2</v>
      </c>
      <c r="B288" t="str">
        <v>Planning &amp; Organizing</v>
      </c>
      <c r="C288" t="str">
        <v>Unit Head/Specialist</v>
      </c>
      <c r="D288" s="76">
        <v>2</v>
      </c>
      <c r="E288" t="str" cm="1">
        <f t="array" ref="E288">INDEX(aspek!$D$2:$D$337,
   MATCH(1,(aspek!$A$2:$A$337=B288)*
           (aspek!$B$2:$B$337=C288)*
           (aspek!$C$2:$C$337=D288),0))</f>
        <v>Kualitas proses pertimbangan</v>
      </c>
      <c r="F288" s="76">
        <v>2</v>
      </c>
      <c r="G288" s="56" t="str" cm="1">
        <f t="array" ref="G288">INDEX(deskripsi!$D$2:$H$337,
   MATCH(1,(deskripsi!$A$2:$A$337=B288)*
           (deskripsi!$B$2:$B$337=C288)*
           (deskripsi!$C$2:$C$337=D288),0),
   F288)</f>
        <v>Memilih opsi yang terpikir lebih dulu tanpa membandingkan.</v>
      </c>
    </row>
    <row r="289" spans="1:7" ht="28">
      <c r="A289" t="str">
        <f t="shared" si="4"/>
        <v>Planning &amp; Organizing|Unit Head/Specialist|2|3</v>
      </c>
      <c r="B289" t="str">
        <v>Planning &amp; Organizing</v>
      </c>
      <c r="C289" t="str">
        <v>Unit Head/Specialist</v>
      </c>
      <c r="D289" s="76">
        <v>2</v>
      </c>
      <c r="E289" t="str" cm="1">
        <f t="array" ref="E289">INDEX(aspek!$D$2:$D$337,
   MATCH(1,(aspek!$A$2:$A$337=B289)*
           (aspek!$B$2:$B$337=C289)*
           (aspek!$C$2:$C$337=D289),0))</f>
        <v>Kualitas proses pertimbangan</v>
      </c>
      <c r="F289" s="76">
        <v>3</v>
      </c>
      <c r="G289" s="56" t="str" cm="1">
        <f t="array" ref="G289">INDEX(deskripsi!$D$2:$H$337,
   MATCH(1,(deskripsi!$A$2:$A$337=B289)*
           (deskripsi!$B$2:$B$337=C289)*
           (deskripsi!$C$2:$C$337=D289),0),
   F289)</f>
        <v>Memilih opsi paling masuk akal dengan pertimbangan yang dapat dijelaskan.</v>
      </c>
    </row>
    <row r="290" spans="1:7" ht="28">
      <c r="A290" t="str">
        <f t="shared" si="4"/>
        <v>Planning &amp; Organizing|Unit Head/Specialist|2|4</v>
      </c>
      <c r="B290" t="str">
        <v>Planning &amp; Organizing</v>
      </c>
      <c r="C290" t="str">
        <v>Unit Head/Specialist</v>
      </c>
      <c r="D290" s="76">
        <v>2</v>
      </c>
      <c r="E290" t="str" cm="1">
        <f t="array" ref="E290">INDEX(aspek!$D$2:$D$337,
   MATCH(1,(aspek!$A$2:$A$337=B290)*
           (aspek!$B$2:$B$337=C290)*
           (aspek!$C$2:$C$337=D290),0))</f>
        <v>Kualitas proses pertimbangan</v>
      </c>
      <c r="F290" s="76">
        <v>4</v>
      </c>
      <c r="G290" s="56" t="str" cm="1">
        <f t="array" ref="G290">INDEX(deskripsi!$D$2:$H$337,
   MATCH(1,(deskripsi!$A$2:$A$337=B290)*
           (deskripsi!$B$2:$B$337=C290)*
           (deskripsi!$C$2:$C$337=D290),0),
   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76">
        <v>2</v>
      </c>
      <c r="E291" t="str" cm="1">
        <f t="array" ref="E291">INDEX(aspek!$D$2:$D$337,
   MATCH(1,(aspek!$A$2:$A$337=B291)*
           (aspek!$B$2:$B$337=C291)*
           (aspek!$C$2:$C$337=D291),0))</f>
        <v>Kualitas proses pertimbangan</v>
      </c>
      <c r="F291" s="76">
        <v>5</v>
      </c>
      <c r="G291" s="56" t="str" cm="1">
        <f t="array" ref="G291">INDEX(deskripsi!$D$2:$H$337,
   MATCH(1,(deskripsi!$A$2:$A$337=B291)*
           (deskripsi!$B$2:$B$337=C291)*
           (deskripsi!$C$2:$C$337=D291),0),
   F291)</f>
        <v>Memakai pelajaran sebelumnya dan pertimbangan jangka panjang.</v>
      </c>
    </row>
    <row r="292" spans="1:7" ht="28">
      <c r="A292" t="str">
        <f t="shared" si="4"/>
        <v>Planning &amp; Organizing|Unit Head/Specialist|3|1</v>
      </c>
      <c r="B292" t="str">
        <v>Planning &amp; Organizing</v>
      </c>
      <c r="C292" t="str">
        <v>Unit Head/Specialist</v>
      </c>
      <c r="D292" s="76">
        <v>3</v>
      </c>
      <c r="E292" t="str" cm="1">
        <f t="array" ref="E292">INDEX(aspek!$D$2:$D$337,
   MATCH(1,(aspek!$A$2:$A$337=B292)*
           (aspek!$B$2:$B$337=C292)*
           (aspek!$C$2:$C$337=D292),0))</f>
        <v>Rencana jangka panjang dengan asumsi eksplisit</v>
      </c>
      <c r="F292" s="76">
        <v>1</v>
      </c>
      <c r="G292" s="56" t="str" cm="1">
        <f t="array" ref="G292">INDEX(deskripsi!$D$2:$H$337,
   MATCH(1,(deskripsi!$A$2:$A$337=B292)*
           (deskripsi!$B$2:$B$337=C292)*
           (deskripsi!$C$2:$C$337=D292),0),
   F292)</f>
        <v>Menyusun rencana tanpa menyadari bagian mana yang berupa asumsi.</v>
      </c>
    </row>
    <row r="293" spans="1:7">
      <c r="A293" t="str">
        <f t="shared" si="4"/>
        <v>Planning &amp; Organizing|Unit Head/Specialist|3|2</v>
      </c>
      <c r="B293" t="str">
        <v>Planning &amp; Organizing</v>
      </c>
      <c r="C293" t="str">
        <v>Unit Head/Specialist</v>
      </c>
      <c r="D293" s="76">
        <v>3</v>
      </c>
      <c r="E293" t="str" cm="1">
        <f t="array" ref="E293">INDEX(aspek!$D$2:$D$337,
   MATCH(1,(aspek!$A$2:$A$337=B293)*
           (aspek!$B$2:$B$337=C293)*
           (aspek!$C$2:$C$337=D293),0))</f>
        <v>Rencana jangka panjang dengan asumsi eksplisit</v>
      </c>
      <c r="F293" s="76">
        <v>2</v>
      </c>
      <c r="G293" s="56" t="str" cm="1">
        <f t="array" ref="G293">INDEX(deskripsi!$D$2:$H$337,
   MATCH(1,(deskripsi!$A$2:$A$337=B293)*
           (deskripsi!$B$2:$B$337=C293)*
           (deskripsi!$C$2:$C$337=D293),0),
   F293)</f>
        <v>Menyadari ada asumsi, tidak menandainya secara eksplisit.</v>
      </c>
    </row>
    <row r="294" spans="1:7">
      <c r="A294" t="str">
        <f t="shared" si="4"/>
        <v>Planning &amp; Organizing|Unit Head/Specialist|3|3</v>
      </c>
      <c r="B294" t="str">
        <v>Planning &amp; Organizing</v>
      </c>
      <c r="C294" t="str">
        <v>Unit Head/Specialist</v>
      </c>
      <c r="D294" s="76">
        <v>3</v>
      </c>
      <c r="E294" t="str" cm="1">
        <f t="array" ref="E294">INDEX(aspek!$D$2:$D$337,
   MATCH(1,(aspek!$A$2:$A$337=B294)*
           (aspek!$B$2:$B$337=C294)*
           (aspek!$C$2:$C$337=D294),0))</f>
        <v>Rencana jangka panjang dengan asumsi eksplisit</v>
      </c>
      <c r="F294" s="76">
        <v>3</v>
      </c>
      <c r="G294" s="56" t="str" cm="1">
        <f t="array" ref="G294">INDEX(deskripsi!$D$2:$H$337,
   MATCH(1,(deskripsi!$A$2:$A$337=B294)*
           (deskripsi!$B$2:$B$337=C294)*
           (deskripsi!$C$2:$C$337=D294),0),
   F294)</f>
        <v>Menandai sebagian asumsi pada rencana yang penting.</v>
      </c>
    </row>
    <row r="295" spans="1:7" ht="28">
      <c r="A295" t="str">
        <f t="shared" si="4"/>
        <v>Planning &amp; Organizing|Unit Head/Specialist|3|4</v>
      </c>
      <c r="B295" t="str">
        <v>Planning &amp; Organizing</v>
      </c>
      <c r="C295" t="str">
        <v>Unit Head/Specialist</v>
      </c>
      <c r="D295" s="76">
        <v>3</v>
      </c>
      <c r="E295" t="str" cm="1">
        <f t="array" ref="E295">INDEX(aspek!$D$2:$D$337,
   MATCH(1,(aspek!$A$2:$A$337=B295)*
           (aspek!$B$2:$B$337=C295)*
           (aspek!$C$2:$C$337=D295),0))</f>
        <v>Rencana jangka panjang dengan asumsi eksplisit</v>
      </c>
      <c r="F295" s="76">
        <v>4</v>
      </c>
      <c r="G295" s="56" t="str" cm="1">
        <f t="array" ref="G295">INDEX(deskripsi!$D$2:$H$337,
   MATCH(1,(deskripsi!$A$2:$A$337=B295)*
           (deskripsi!$B$2:$B$337=C295)*
           (deskripsi!$C$2:$C$337=D295),0),
   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76">
        <v>3</v>
      </c>
      <c r="E296" t="str" cm="1">
        <f t="array" ref="E296">INDEX(aspek!$D$2:$D$337,
   MATCH(1,(aspek!$A$2:$A$337=B296)*
           (aspek!$B$2:$B$337=C296)*
           (aspek!$C$2:$C$337=D296),0))</f>
        <v>Rencana jangka panjang dengan asumsi eksplisit</v>
      </c>
      <c r="F296" s="76">
        <v>5</v>
      </c>
      <c r="G296" s="56" t="str" cm="1">
        <f t="array" ref="G296">INDEX(deskripsi!$D$2:$H$337,
   MATCH(1,(deskripsi!$A$2:$A$337=B296)*
           (deskripsi!$B$2:$B$337=C296)*
           (deskripsi!$C$2:$C$337=D296),0),
   F296)</f>
        <v>Kerangka penandaan asumsinya dipakai unit lain.</v>
      </c>
    </row>
    <row r="297" spans="1:7">
      <c r="A297" t="str">
        <f t="shared" si="4"/>
        <v>Planning &amp; Organizing|Unit Head/Specialist|4|1</v>
      </c>
      <c r="B297" t="str">
        <v>Planning &amp; Organizing</v>
      </c>
      <c r="C297" t="str">
        <v>Unit Head/Specialist</v>
      </c>
      <c r="D297" s="76">
        <v>4</v>
      </c>
      <c r="E297" t="str" cm="1">
        <f t="array" ref="E297">INDEX(aspek!$D$2:$D$337,
   MATCH(1,(aspek!$A$2:$A$337=B297)*
           (aspek!$B$2:$B$337=C297)*
           (aspek!$C$2:$C$337=D297),0))</f>
        <v>Ketepatan berdasarkan informasi saat itu</v>
      </c>
      <c r="F297" s="76">
        <v>1</v>
      </c>
      <c r="G297" s="56" t="str" cm="1">
        <f t="array" ref="G297">INDEX(deskripsi!$D$2:$H$337,
   MATCH(1,(deskripsi!$A$2:$A$337=B297)*
           (deskripsi!$B$2:$B$337=C297)*
           (deskripsi!$C$2:$C$337=D297),0),
   F297)</f>
        <v>Keputusan sering meleset jauh dari informasi yang tersedia.</v>
      </c>
    </row>
    <row r="298" spans="1:7">
      <c r="A298" t="str">
        <f t="shared" si="4"/>
        <v>Planning &amp; Organizing|Unit Head/Specialist|4|2</v>
      </c>
      <c r="B298" t="str">
        <v>Planning &amp; Organizing</v>
      </c>
      <c r="C298" t="str">
        <v>Unit Head/Specialist</v>
      </c>
      <c r="D298" s="76">
        <v>4</v>
      </c>
      <c r="E298" t="str" cm="1">
        <f t="array" ref="E298">INDEX(aspek!$D$2:$D$337,
   MATCH(1,(aspek!$A$2:$A$337=B298)*
           (aspek!$B$2:$B$337=C298)*
           (aspek!$C$2:$C$337=D298),0))</f>
        <v>Ketepatan berdasarkan informasi saat itu</v>
      </c>
      <c r="F298" s="76">
        <v>2</v>
      </c>
      <c r="G298" s="56" t="str" cm="1">
        <f t="array" ref="G298">INDEX(deskripsi!$D$2:$H$337,
   MATCH(1,(deskripsi!$A$2:$A$337=B298)*
           (deskripsi!$B$2:$B$337=C298)*
           (deskripsi!$C$2:$C$337=D298),0),
   F298)</f>
        <v>Keputusan cukup tepat pada situasi sederhana.</v>
      </c>
    </row>
    <row r="299" spans="1:7">
      <c r="A299" t="str">
        <f t="shared" si="4"/>
        <v>Planning &amp; Organizing|Unit Head/Specialist|4|3</v>
      </c>
      <c r="B299" t="str">
        <v>Planning &amp; Organizing</v>
      </c>
      <c r="C299" t="str">
        <v>Unit Head/Specialist</v>
      </c>
      <c r="D299" s="76">
        <v>4</v>
      </c>
      <c r="E299" t="str" cm="1">
        <f t="array" ref="E299">INDEX(aspek!$D$2:$D$337,
   MATCH(1,(aspek!$A$2:$A$337=B299)*
           (aspek!$B$2:$B$337=C299)*
           (aspek!$C$2:$C$337=D299),0))</f>
        <v>Ketepatan berdasarkan informasi saat itu</v>
      </c>
      <c r="F299" s="76">
        <v>3</v>
      </c>
      <c r="G299" s="56" t="str" cm="1">
        <f t="array" ref="G299">INDEX(deskripsi!$D$2:$H$337,
   MATCH(1,(deskripsi!$A$2:$A$337=B299)*
           (deskripsi!$B$2:$B$337=C299)*
           (deskripsi!$C$2:$C$337=D299),0),
   F299)</f>
        <v>Keputusan tepat pada sebagian besar situasi familiar.</v>
      </c>
    </row>
    <row r="300" spans="1:7" ht="28">
      <c r="A300" t="str">
        <f t="shared" si="4"/>
        <v>Planning &amp; Organizing|Unit Head/Specialist|4|4</v>
      </c>
      <c r="B300" t="str">
        <v>Planning &amp; Organizing</v>
      </c>
      <c r="C300" t="str">
        <v>Unit Head/Specialist</v>
      </c>
      <c r="D300" s="76">
        <v>4</v>
      </c>
      <c r="E300" t="str" cm="1">
        <f t="array" ref="E300">INDEX(aspek!$D$2:$D$337,
   MATCH(1,(aspek!$A$2:$A$337=B300)*
           (aspek!$B$2:$B$337=C300)*
           (aspek!$C$2:$C$337=D300),0))</f>
        <v>Ketepatan berdasarkan informasi saat itu</v>
      </c>
      <c r="F300" s="76">
        <v>4</v>
      </c>
      <c r="G300" s="56" t="str" cm="1">
        <f t="array" ref="G300">INDEX(deskripsi!$D$2:$H$337,
   MATCH(1,(deskripsi!$A$2:$A$337=B300)*
           (deskripsi!$B$2:$B$337=C300)*
           (deskripsi!$C$2:$C$337=D300),0),
   F300)</f>
        <v>Keputusan konsisten tepat berdasarkan informasi yang tersedia SAAT diambil.</v>
      </c>
    </row>
    <row r="301" spans="1:7" ht="28">
      <c r="A301" t="str">
        <f t="shared" si="4"/>
        <v>Planning &amp; Organizing|Unit Head/Specialist|4|5</v>
      </c>
      <c r="B301" t="str">
        <v>Planning &amp; Organizing</v>
      </c>
      <c r="C301" t="str">
        <v>Unit Head/Specialist</v>
      </c>
      <c r="D301" s="76">
        <v>4</v>
      </c>
      <c r="E301" t="str" cm="1">
        <f t="array" ref="E301">INDEX(aspek!$D$2:$D$337,
   MATCH(1,(aspek!$A$2:$A$337=B301)*
           (aspek!$B$2:$B$337=C301)*
           (aspek!$C$2:$C$337=D301),0))</f>
        <v>Ketepatan berdasarkan informasi saat itu</v>
      </c>
      <c r="F301" s="76">
        <v>5</v>
      </c>
      <c r="G301" s="56" t="str" cm="1">
        <f t="array" ref="G301">INDEX(deskripsi!$D$2:$H$337,
   MATCH(1,(deskripsi!$A$2:$A$337=B301)*
           (deskripsi!$B$2:$B$337=C301)*
           (deskripsi!$C$2:$C$337=D301),0),
   F301)</f>
        <v>Keputusannya menjadi rujukan cara memutuskan pada situasi serupa.</v>
      </c>
    </row>
    <row r="302" spans="1:7">
      <c r="A302" t="str">
        <f t="shared" si="4"/>
        <v>Planning &amp; Organizing|Department Head|1|1</v>
      </c>
      <c r="B302" t="str">
        <v>Planning &amp; Organizing</v>
      </c>
      <c r="C302" t="str">
        <v>Department Head</v>
      </c>
      <c r="D302" s="76">
        <v>1</v>
      </c>
      <c r="E302" t="str" cm="1">
        <f t="array" ref="E302">INDEX(aspek!$D$2:$D$337,
   MATCH(1,(aspek!$A$2:$A$337=B302)*
           (aspek!$B$2:$B$337=C302)*
           (aspek!$C$2:$C$337=D302),0))</f>
        <v>Kepekaan mendeteksi ketidakefektifan</v>
      </c>
      <c r="F302" s="76">
        <v>1</v>
      </c>
      <c r="G302" s="56" t="str" cm="1">
        <f t="array" ref="G302">INDEX(deskripsi!$D$2:$H$337,
   MATCH(1,(deskripsi!$A$2:$A$337=B302)*
           (deskripsi!$B$2:$B$337=C302)*
           (deskripsi!$C$2:$C$337=D302),0),
   F302)</f>
        <v>Bertahan pada strategi yang sudah jelas gagal.</v>
      </c>
    </row>
    <row r="303" spans="1:7">
      <c r="A303" t="str">
        <f t="shared" si="4"/>
        <v>Planning &amp; Organizing|Department Head|1|2</v>
      </c>
      <c r="B303" t="str">
        <v>Planning &amp; Organizing</v>
      </c>
      <c r="C303" t="str">
        <v>Department Head</v>
      </c>
      <c r="D303" s="76">
        <v>1</v>
      </c>
      <c r="E303" t="str" cm="1">
        <f t="array" ref="E303">INDEX(aspek!$D$2:$D$337,
   MATCH(1,(aspek!$A$2:$A$337=B303)*
           (aspek!$B$2:$B$337=C303)*
           (aspek!$C$2:$C$337=D303),0))</f>
        <v>Kepekaan mendeteksi ketidakefektifan</v>
      </c>
      <c r="F303" s="76">
        <v>2</v>
      </c>
      <c r="G303" s="56" t="str" cm="1">
        <f t="array" ref="G303">INDEX(deskripsi!$D$2:$H$337,
   MATCH(1,(deskripsi!$A$2:$A$337=B303)*
           (deskripsi!$B$2:$B$337=C303)*
           (deskripsi!$C$2:$C$337=D303),0),
   F303)</f>
        <v>Menyadari setelah dampaknya besar.</v>
      </c>
    </row>
    <row r="304" spans="1:7">
      <c r="A304" t="str">
        <f t="shared" si="4"/>
        <v>Planning &amp; Organizing|Department Head|1|3</v>
      </c>
      <c r="B304" t="str">
        <v>Planning &amp; Organizing</v>
      </c>
      <c r="C304" t="str">
        <v>Department Head</v>
      </c>
      <c r="D304" s="76">
        <v>1</v>
      </c>
      <c r="E304" t="str" cm="1">
        <f t="array" ref="E304">INDEX(aspek!$D$2:$D$337,
   MATCH(1,(aspek!$A$2:$A$337=B304)*
           (aspek!$B$2:$B$337=C304)*
           (aspek!$C$2:$C$337=D304),0))</f>
        <v>Kepekaan mendeteksi ketidakefektifan</v>
      </c>
      <c r="F304" s="76">
        <v>3</v>
      </c>
      <c r="G304" s="56" t="str" cm="1">
        <f t="array" ref="G304">INDEX(deskripsi!$D$2:$H$337,
   MATCH(1,(deskripsi!$A$2:$A$337=B304)*
           (deskripsi!$B$2:$B$337=C304)*
           (deskripsi!$C$2:$C$337=D304),0),
   F304)</f>
        <v>Menyadari setelah diarahkan pihak lain.</v>
      </c>
    </row>
    <row r="305" spans="1:7" ht="28">
      <c r="A305" t="str">
        <f t="shared" si="4"/>
        <v>Planning &amp; Organizing|Department Head|1|4</v>
      </c>
      <c r="B305" t="str">
        <v>Planning &amp; Organizing</v>
      </c>
      <c r="C305" t="str">
        <v>Department Head</v>
      </c>
      <c r="D305" s="76">
        <v>1</v>
      </c>
      <c r="E305" t="str" cm="1">
        <f t="array" ref="E305">INDEX(aspek!$D$2:$D$337,
   MATCH(1,(aspek!$A$2:$A$337=B305)*
           (aspek!$B$2:$B$337=C305)*
           (aspek!$C$2:$C$337=D305),0))</f>
        <v>Kepekaan mendeteksi ketidakefektifan</v>
      </c>
      <c r="F305" s="76">
        <v>4</v>
      </c>
      <c r="G305" s="56" t="str" cm="1">
        <f t="array" ref="G305">INDEX(deskripsi!$D$2:$H$337,
   MATCH(1,(deskripsi!$A$2:$A$337=B305)*
           (deskripsi!$B$2:$B$337=C305)*
           (deskripsi!$C$2:$C$337=D305),0),
   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76">
        <v>1</v>
      </c>
      <c r="E306" t="str" cm="1">
        <f t="array" ref="E306">INDEX(aspek!$D$2:$D$337,
   MATCH(1,(aspek!$A$2:$A$337=B306)*
           (aspek!$B$2:$B$337=C306)*
           (aspek!$C$2:$C$337=D306),0))</f>
        <v>Kepekaan mendeteksi ketidakefektifan</v>
      </c>
      <c r="F306" s="76">
        <v>5</v>
      </c>
      <c r="G306" s="56" t="str" cm="1">
        <f t="array" ref="G306">INDEX(deskripsi!$D$2:$H$337,
   MATCH(1,(deskripsi!$A$2:$A$337=B306)*
           (deskripsi!$B$2:$B$337=C306)*
           (deskripsi!$C$2:$C$337=D306),0),
   F306)</f>
        <v>Mendeteksi dan mengubah sebelum dampaknya terasa oleh pihak lain.</v>
      </c>
    </row>
    <row r="307" spans="1:7">
      <c r="A307" t="str">
        <f t="shared" si="4"/>
        <v>Planning &amp; Organizing|Department Head|2|1</v>
      </c>
      <c r="B307" t="str">
        <v>Planning &amp; Organizing</v>
      </c>
      <c r="C307" t="str">
        <v>Department Head</v>
      </c>
      <c r="D307" s="76">
        <v>2</v>
      </c>
      <c r="E307" t="str" cm="1">
        <f t="array" ref="E307">INDEX(aspek!$D$2:$D$337,
   MATCH(1,(aspek!$A$2:$A$337=B307)*
           (aspek!$B$2:$B$337=C307)*
           (aspek!$C$2:$C$337=D307),0))</f>
        <v>Kemandirian mengubah arah</v>
      </c>
      <c r="F307" s="76">
        <v>1</v>
      </c>
      <c r="G307" s="56" t="str" cm="1">
        <f t="array" ref="G307">INDEX(deskripsi!$D$2:$H$337,
   MATCH(1,(deskripsi!$A$2:$A$337=B307)*
           (deskripsi!$B$2:$B$337=C307)*
           (deskripsi!$C$2:$C$337=D307),0),
   F307)</f>
        <v>Tidak mengubah strategi tanpa diperintah.</v>
      </c>
    </row>
    <row r="308" spans="1:7">
      <c r="A308" t="str">
        <f t="shared" si="4"/>
        <v>Planning &amp; Organizing|Department Head|2|2</v>
      </c>
      <c r="B308" t="str">
        <v>Planning &amp; Organizing</v>
      </c>
      <c r="C308" t="str">
        <v>Department Head</v>
      </c>
      <c r="D308" s="76">
        <v>2</v>
      </c>
      <c r="E308" t="str" cm="1">
        <f t="array" ref="E308">INDEX(aspek!$D$2:$D$337,
   MATCH(1,(aspek!$A$2:$A$337=B308)*
           (aspek!$B$2:$B$337=C308)*
           (aspek!$C$2:$C$337=D308),0))</f>
        <v>Kemandirian mengubah arah</v>
      </c>
      <c r="F308" s="76">
        <v>2</v>
      </c>
      <c r="G308" s="56" t="str" cm="1">
        <f t="array" ref="G308">INDEX(deskripsi!$D$2:$H$337,
   MATCH(1,(deskripsi!$A$2:$A$337=B308)*
           (deskripsi!$B$2:$B$337=C308)*
           (deskripsi!$C$2:$C$337=D308),0),
   F308)</f>
        <v>Mengubah hanya setelah diminta secara eksplisit.</v>
      </c>
    </row>
    <row r="309" spans="1:7">
      <c r="A309" t="str">
        <f t="shared" si="4"/>
        <v>Planning &amp; Organizing|Department Head|2|3</v>
      </c>
      <c r="B309" t="str">
        <v>Planning &amp; Organizing</v>
      </c>
      <c r="C309" t="str">
        <v>Department Head</v>
      </c>
      <c r="D309" s="76">
        <v>2</v>
      </c>
      <c r="E309" t="str" cm="1">
        <f t="array" ref="E309">INDEX(aspek!$D$2:$D$337,
   MATCH(1,(aspek!$A$2:$A$337=B309)*
           (aspek!$B$2:$B$337=C309)*
           (aspek!$C$2:$C$337=D309),0))</f>
        <v>Kemandirian mengubah arah</v>
      </c>
      <c r="F309" s="76">
        <v>3</v>
      </c>
      <c r="G309" s="56" t="str" cm="1">
        <f t="array" ref="G309">INDEX(deskripsi!$D$2:$H$337,
   MATCH(1,(deskripsi!$A$2:$A$337=B309)*
           (deskripsi!$B$2:$B$337=C309)*
           (deskripsi!$C$2:$C$337=D309),0),
   F309)</f>
        <v>Mengubah setelah diarahkan, dengan sedikit inisiatif sendiri.</v>
      </c>
    </row>
    <row r="310" spans="1:7" ht="28">
      <c r="A310" t="str">
        <f t="shared" si="4"/>
        <v>Planning &amp; Organizing|Department Head|2|4</v>
      </c>
      <c r="B310" t="str">
        <v>Planning &amp; Organizing</v>
      </c>
      <c r="C310" t="str">
        <v>Department Head</v>
      </c>
      <c r="D310" s="76">
        <v>2</v>
      </c>
      <c r="E310" t="str" cm="1">
        <f t="array" ref="E310">INDEX(aspek!$D$2:$D$337,
   MATCH(1,(aspek!$A$2:$A$337=B310)*
           (aspek!$B$2:$B$337=C310)*
           (aspek!$C$2:$C$337=D310),0))</f>
        <v>Kemandirian mengubah arah</v>
      </c>
      <c r="F310" s="76">
        <v>4</v>
      </c>
      <c r="G310" s="56" t="str" cm="1">
        <f t="array" ref="G310">INDEX(deskripsi!$D$2:$H$337,
   MATCH(1,(deskripsi!$A$2:$A$337=B310)*
           (deskripsi!$B$2:$B$337=C310)*
           (deskripsi!$C$2:$C$337=D310),0),
   F310)</f>
        <v>Mengubah pendekatan secara mandiri tanpa menunggu diminta, dalam batas kewenangannya.</v>
      </c>
    </row>
    <row r="311" spans="1:7" ht="28">
      <c r="A311" t="str">
        <f t="shared" si="4"/>
        <v>Planning &amp; Organizing|Department Head|2|5</v>
      </c>
      <c r="B311" t="str">
        <v>Planning &amp; Organizing</v>
      </c>
      <c r="C311" t="str">
        <v>Department Head</v>
      </c>
      <c r="D311" s="76">
        <v>2</v>
      </c>
      <c r="E311" t="str" cm="1">
        <f t="array" ref="E311">INDEX(aspek!$D$2:$D$337,
   MATCH(1,(aspek!$A$2:$A$337=B311)*
           (aspek!$B$2:$B$337=C311)*
           (aspek!$C$2:$C$337=D311),0))</f>
        <v>Kemandirian mengubah arah</v>
      </c>
      <c r="F311" s="76">
        <v>5</v>
      </c>
      <c r="G311" s="56" t="str" cm="1">
        <f t="array" ref="G311">INDEX(deskripsi!$D$2:$H$337,
   MATCH(1,(deskripsi!$A$2:$A$337=B311)*
           (deskripsi!$B$2:$B$337=C311)*
           (deskripsi!$C$2:$C$337=D311),0),
   F311)</f>
        <v>Kemandiriannya menular; tim ikut berani mengubah pendekatan tanpa menunggu arahan.</v>
      </c>
    </row>
    <row r="312" spans="1:7">
      <c r="A312" t="str">
        <f t="shared" si="4"/>
        <v>Planning &amp; Organizing|Department Head|3|1</v>
      </c>
      <c r="B312" t="str">
        <v>Planning &amp; Organizing</v>
      </c>
      <c r="C312" t="str">
        <v>Department Head</v>
      </c>
      <c r="D312" s="76">
        <v>3</v>
      </c>
      <c r="E312" t="str" cm="1">
        <f t="array" ref="E312">INDEX(aspek!$D$2:$D$337,
   MATCH(1,(aspek!$A$2:$A$337=B312)*
           (aspek!$B$2:$B$337=C312)*
           (aspek!$C$2:$C$337=D312),0))</f>
        <v>Kecepatan respons</v>
      </c>
      <c r="F312" s="76">
        <v>1</v>
      </c>
      <c r="G312" s="56" t="str" cm="1">
        <f t="array" ref="G312">INDEX(deskripsi!$D$2:$H$337,
   MATCH(1,(deskripsi!$A$2:$A$337=B312)*
           (deskripsi!$B$2:$B$337=C312)*
           (deskripsi!$C$2:$C$337=D312),0),
   F312)</f>
        <v>Merespons jauh setelah kerugian terjadi.</v>
      </c>
    </row>
    <row r="313" spans="1:7">
      <c r="A313" t="str">
        <f t="shared" si="4"/>
        <v>Planning &amp; Organizing|Department Head|3|2</v>
      </c>
      <c r="B313" t="str">
        <v>Planning &amp; Organizing</v>
      </c>
      <c r="C313" t="str">
        <v>Department Head</v>
      </c>
      <c r="D313" s="76">
        <v>3</v>
      </c>
      <c r="E313" t="str" cm="1">
        <f t="array" ref="E313">INDEX(aspek!$D$2:$D$337,
   MATCH(1,(aspek!$A$2:$A$337=B313)*
           (aspek!$B$2:$B$337=C313)*
           (aspek!$C$2:$C$337=D313),0))</f>
        <v>Kecepatan respons</v>
      </c>
      <c r="F313" s="76">
        <v>2</v>
      </c>
      <c r="G313" s="56" t="str" cm="1">
        <f t="array" ref="G313">INDEX(deskripsi!$D$2:$H$337,
   MATCH(1,(deskripsi!$A$2:$A$337=B313)*
           (deskripsi!$B$2:$B$337=C313)*
           (deskripsi!$C$2:$C$337=D313),0),
   F313)</f>
        <v>Merespons setelah kerugian cukup terasa.</v>
      </c>
    </row>
    <row r="314" spans="1:7">
      <c r="A314" t="str">
        <f t="shared" si="4"/>
        <v>Planning &amp; Organizing|Department Head|3|3</v>
      </c>
      <c r="B314" t="str">
        <v>Planning &amp; Organizing</v>
      </c>
      <c r="C314" t="str">
        <v>Department Head</v>
      </c>
      <c r="D314" s="76">
        <v>3</v>
      </c>
      <c r="E314" t="str" cm="1">
        <f t="array" ref="E314">INDEX(aspek!$D$2:$D$337,
   MATCH(1,(aspek!$A$2:$A$337=B314)*
           (aspek!$B$2:$B$337=C314)*
           (aspek!$C$2:$C$337=D314),0))</f>
        <v>Kecepatan respons</v>
      </c>
      <c r="F314" s="76">
        <v>3</v>
      </c>
      <c r="G314" s="56" t="str" cm="1">
        <f t="array" ref="G314">INDEX(deskripsi!$D$2:$H$337,
   MATCH(1,(deskripsi!$A$2:$A$337=B314)*
           (deskripsi!$B$2:$B$337=C314)*
           (deskripsi!$C$2:$C$337=D314),0),
   F314)</f>
        <v>Merespons dalam waktu wajar setelah tanda muncul.</v>
      </c>
    </row>
    <row r="315" spans="1:7" ht="28">
      <c r="A315" t="str">
        <f t="shared" si="4"/>
        <v>Planning &amp; Organizing|Department Head|3|4</v>
      </c>
      <c r="B315" t="str">
        <v>Planning &amp; Organizing</v>
      </c>
      <c r="C315" t="str">
        <v>Department Head</v>
      </c>
      <c r="D315" s="76">
        <v>3</v>
      </c>
      <c r="E315" t="str" cm="1">
        <f t="array" ref="E315">INDEX(aspek!$D$2:$D$337,
   MATCH(1,(aspek!$A$2:$A$337=B315)*
           (aspek!$B$2:$B$337=C315)*
           (aspek!$C$2:$C$337=D315),0))</f>
        <v>Kecepatan respons</v>
      </c>
      <c r="F315" s="76">
        <v>4</v>
      </c>
      <c r="G315" s="56" t="str" cm="1">
        <f t="array" ref="G315">INDEX(deskripsi!$D$2:$H$337,
   MATCH(1,(deskripsi!$A$2:$A$337=B315)*
           (deskripsi!$B$2:$B$337=C315)*
           (deskripsi!$C$2:$C$337=D315),0),
   F315)</f>
        <v>Merespons cepat begitu tanda ketidakefektifan terlihat, sebelum kerugian membesar.</v>
      </c>
    </row>
    <row r="316" spans="1:7">
      <c r="A316" t="str">
        <f t="shared" si="4"/>
        <v>Planning &amp; Organizing|Department Head|3|5</v>
      </c>
      <c r="B316" t="str">
        <v>Planning &amp; Organizing</v>
      </c>
      <c r="C316" t="str">
        <v>Department Head</v>
      </c>
      <c r="D316" s="76">
        <v>3</v>
      </c>
      <c r="E316" t="str" cm="1">
        <f t="array" ref="E316">INDEX(aspek!$D$2:$D$337,
   MATCH(1,(aspek!$A$2:$A$337=B316)*
           (aspek!$B$2:$B$337=C316)*
           (aspek!$C$2:$C$337=D316),0))</f>
        <v>Kecepatan respons</v>
      </c>
      <c r="F316" s="76">
        <v>5</v>
      </c>
      <c r="G316" s="56" t="str" cm="1">
        <f t="array" ref="G316">INDEX(deskripsi!$D$2:$H$337,
   MATCH(1,(deskripsi!$A$2:$A$337=B316)*
           (deskripsi!$B$2:$B$337=C316)*
           (deskripsi!$C$2:$C$337=D316),0),
   F316)</f>
        <v>Responsnya menjadi standar kecepatan bagi unit.</v>
      </c>
    </row>
    <row r="317" spans="1:7" ht="28">
      <c r="A317" t="str">
        <f t="shared" si="4"/>
        <v>Planning &amp; Organizing|Department Head|4|1</v>
      </c>
      <c r="B317" t="str">
        <v>Planning &amp; Organizing</v>
      </c>
      <c r="C317" t="str">
        <v>Department Head</v>
      </c>
      <c r="D317" s="76">
        <v>4</v>
      </c>
      <c r="E317" t="str" cm="1">
        <f t="array" ref="E317">INDEX(aspek!$D$2:$D$337,
   MATCH(1,(aspek!$A$2:$A$337=B317)*
           (aspek!$B$2:$B$337=C317)*
           (aspek!$C$2:$C$337=D317),0))</f>
        <v>Rencana alternatif untuk kendala strategis</v>
      </c>
      <c r="F317" s="76">
        <v>1</v>
      </c>
      <c r="G317" s="56" t="str" cm="1">
        <f t="array" ref="G317">INDEX(deskripsi!$D$2:$H$337,
   MATCH(1,(deskripsi!$A$2:$A$337=B317)*
           (deskripsi!$B$2:$B$337=C317)*
           (deskripsi!$C$2:$C$337=D317),0),
   F317)</f>
        <v>Tidak menyiapkan rencana alternatif untuk kendala jangka panjang.</v>
      </c>
    </row>
    <row r="318" spans="1:7" ht="28">
      <c r="A318" t="str">
        <f t="shared" si="4"/>
        <v>Planning &amp; Organizing|Department Head|4|2</v>
      </c>
      <c r="B318" t="str">
        <v>Planning &amp; Organizing</v>
      </c>
      <c r="C318" t="str">
        <v>Department Head</v>
      </c>
      <c r="D318" s="76">
        <v>4</v>
      </c>
      <c r="E318" t="str" cm="1">
        <f t="array" ref="E318">INDEX(aspek!$D$2:$D$337,
   MATCH(1,(aspek!$A$2:$A$337=B318)*
           (aspek!$B$2:$B$337=C318)*
           (aspek!$C$2:$C$337=D318),0))</f>
        <v>Rencana alternatif untuk kendala strategis</v>
      </c>
      <c r="F318" s="76">
        <v>2</v>
      </c>
      <c r="G318" s="56" t="str" cm="1">
        <f t="array" ref="G318">INDEX(deskripsi!$D$2:$H$337,
   MATCH(1,(deskripsi!$A$2:$A$337=B318)*
           (deskripsi!$B$2:$B$337=C318)*
           (deskripsi!$C$2:$C$337=D318),0),
   F318)</f>
        <v>Menyiapkan rencana alternatif hanya setelah kendala benar-benar terjadi.</v>
      </c>
    </row>
    <row r="319" spans="1:7">
      <c r="A319" t="str">
        <f t="shared" si="4"/>
        <v>Planning &amp; Organizing|Department Head|4|3</v>
      </c>
      <c r="B319" t="str">
        <v>Planning &amp; Organizing</v>
      </c>
      <c r="C319" t="str">
        <v>Department Head</v>
      </c>
      <c r="D319" s="76">
        <v>4</v>
      </c>
      <c r="E319" t="str" cm="1">
        <f t="array" ref="E319">INDEX(aspek!$D$2:$D$337,
   MATCH(1,(aspek!$A$2:$A$337=B319)*
           (aspek!$B$2:$B$337=C319)*
           (aspek!$C$2:$C$337=D319),0))</f>
        <v>Rencana alternatif untuk kendala strategis</v>
      </c>
      <c r="F319" s="76">
        <v>3</v>
      </c>
      <c r="G319" s="56" t="str" cm="1">
        <f t="array" ref="G319">INDEX(deskripsi!$D$2:$H$337,
   MATCH(1,(deskripsi!$A$2:$A$337=B319)*
           (deskripsi!$B$2:$B$337=C319)*
           (deskripsi!$C$2:$C$337=D319),0),
   F319)</f>
        <v>Menyiapkan rencana alternatif untuk kendala yang sudah jelas.</v>
      </c>
    </row>
    <row r="320" spans="1:7" ht="28">
      <c r="A320" t="str">
        <f t="shared" si="4"/>
        <v>Planning &amp; Organizing|Department Head|4|4</v>
      </c>
      <c r="B320" t="str">
        <v>Planning &amp; Organizing</v>
      </c>
      <c r="C320" t="str">
        <v>Department Head</v>
      </c>
      <c r="D320" s="76">
        <v>4</v>
      </c>
      <c r="E320" t="str" cm="1">
        <f t="array" ref="E320">INDEX(aspek!$D$2:$D$337,
   MATCH(1,(aspek!$A$2:$A$337=B320)*
           (aspek!$B$2:$B$337=C320)*
           (aspek!$C$2:$C$337=D320),0))</f>
        <v>Rencana alternatif untuk kendala strategis</v>
      </c>
      <c r="F320" s="76">
        <v>4</v>
      </c>
      <c r="G320" s="56" t="str" cm="1">
        <f t="array" ref="G320">INDEX(deskripsi!$D$2:$H$337,
   MATCH(1,(deskripsi!$A$2:$A$337=B320)*
           (deskripsi!$B$2:$B$337=C320)*
           (deskripsi!$C$2:$C$337=D320),0),
   F320)</f>
        <v>Mengidentifikasi kendala strategis jangka panjang dan menyusun rencana alternatif di muka.</v>
      </c>
    </row>
    <row r="321" spans="1:7">
      <c r="A321" t="str">
        <f t="shared" si="4"/>
        <v>Planning &amp; Organizing|Department Head|4|5</v>
      </c>
      <c r="B321" t="str">
        <v>Planning &amp; Organizing</v>
      </c>
      <c r="C321" t="str">
        <v>Department Head</v>
      </c>
      <c r="D321" s="76">
        <v>4</v>
      </c>
      <c r="E321" t="str" cm="1">
        <f t="array" ref="E321">INDEX(aspek!$D$2:$D$337,
   MATCH(1,(aspek!$A$2:$A$337=B321)*
           (aspek!$B$2:$B$337=C321)*
           (aspek!$C$2:$C$337=D321),0))</f>
        <v>Rencana alternatif untuk kendala strategis</v>
      </c>
      <c r="F321" s="76">
        <v>5</v>
      </c>
      <c r="G321" s="56" t="str" cm="1">
        <f t="array" ref="G321">INDEX(deskripsi!$D$2:$H$337,
   MATCH(1,(deskripsi!$A$2:$A$337=B321)*
           (deskripsi!$B$2:$B$337=C321)*
           (deskripsi!$C$2:$C$337=D321),0),
   F321)</f>
        <v>Rencana alternatifnya menjadi acuan bagi unit lain.</v>
      </c>
    </row>
    <row r="322" spans="1:7">
      <c r="A322" t="str">
        <f t="shared" si="4"/>
        <v>Planning &amp; Organizing|Division Head|1|1</v>
      </c>
      <c r="B322" t="str">
        <v>Planning &amp; Organizing</v>
      </c>
      <c r="C322" t="str">
        <v>Division Head</v>
      </c>
      <c r="D322" s="76">
        <v>1</v>
      </c>
      <c r="E322" t="str" cm="1">
        <f t="array" ref="E322">INDEX(aspek!$D$2:$D$337,
   MATCH(1,(aspek!$A$2:$A$337=B322)*
           (aspek!$B$2:$B$337=C322)*
           (aspek!$C$2:$C$337=D322),0))</f>
        <v>Kapan kebutuhan sumber daya dipikirkan</v>
      </c>
      <c r="F322" s="76">
        <v>1</v>
      </c>
      <c r="G322" s="56" t="str" cm="1">
        <f t="array" ref="G322">INDEX(deskripsi!$D$2:$H$337,
   MATCH(1,(deskripsi!$A$2:$A$337=B322)*
           (deskripsi!$B$2:$B$337=C322)*
           (deskripsi!$C$2:$C$337=D322),0),
   F322)</f>
        <v>Ditangani sambil berjalan.</v>
      </c>
    </row>
    <row r="323" spans="1:7">
      <c r="A323" t="str">
        <f t="shared" ref="A323:A386" si="5">B323&amp;"|"&amp;C323&amp;"|"&amp;D323&amp;"|"&amp;F323</f>
        <v>Planning &amp; Organizing|Division Head|1|2</v>
      </c>
      <c r="B323" t="str">
        <v>Planning &amp; Organizing</v>
      </c>
      <c r="C323" t="str">
        <v>Division Head</v>
      </c>
      <c r="D323" s="76">
        <v>1</v>
      </c>
      <c r="E323" t="str" cm="1">
        <f t="array" ref="E323">INDEX(aspek!$D$2:$D$337,
   MATCH(1,(aspek!$A$2:$A$337=B323)*
           (aspek!$B$2:$B$337=C323)*
           (aspek!$C$2:$C$337=D323),0))</f>
        <v>Kapan kebutuhan sumber daya dipikirkan</v>
      </c>
      <c r="F323" s="76">
        <v>2</v>
      </c>
      <c r="G323" s="56" t="str" cm="1">
        <f t="array" ref="G323">INDEX(deskripsi!$D$2:$H$337,
   MATCH(1,(deskripsi!$A$2:$A$337=B323)*
           (deskripsi!$B$2:$B$337=C323)*
           (deskripsi!$C$2:$C$337=D323),0),
   F323)</f>
        <v>Diperkirakan garis besar sebelum mulai.</v>
      </c>
    </row>
    <row r="324" spans="1:7">
      <c r="A324" t="str">
        <f t="shared" si="5"/>
        <v>Planning &amp; Organizing|Division Head|1|3</v>
      </c>
      <c r="B324" t="str">
        <v>Planning &amp; Organizing</v>
      </c>
      <c r="C324" t="str">
        <v>Division Head</v>
      </c>
      <c r="D324" s="76">
        <v>1</v>
      </c>
      <c r="E324" t="str" cm="1">
        <f t="array" ref="E324">INDEX(aspek!$D$2:$D$337,
   MATCH(1,(aspek!$A$2:$A$337=B324)*
           (aspek!$B$2:$B$337=C324)*
           (aspek!$C$2:$C$337=D324),0))</f>
        <v>Kapan kebutuhan sumber daya dipikirkan</v>
      </c>
      <c r="F324" s="76">
        <v>3</v>
      </c>
      <c r="G324" s="56" t="str" cm="1">
        <f t="array" ref="G324">INDEX(deskripsi!$D$2:$H$337,
   MATCH(1,(deskripsi!$A$2:$A$337=B324)*
           (deskripsi!$B$2:$B$337=C324)*
           (deskripsi!$C$2:$C$337=D324),0),
   F324)</f>
        <v>Dihitung rinci sebelum pelaksanaan, keempat kategori.</v>
      </c>
    </row>
    <row r="325" spans="1:7">
      <c r="A325" t="str">
        <f t="shared" si="5"/>
        <v>Planning &amp; Organizing|Division Head|1|4</v>
      </c>
      <c r="B325" t="str">
        <v>Planning &amp; Organizing</v>
      </c>
      <c r="C325" t="str">
        <v>Division Head</v>
      </c>
      <c r="D325" s="76">
        <v>1</v>
      </c>
      <c r="E325" t="str" cm="1">
        <f t="array" ref="E325">INDEX(aspek!$D$2:$D$337,
   MATCH(1,(aspek!$A$2:$A$337=B325)*
           (aspek!$B$2:$B$337=C325)*
           (aspek!$C$2:$C$337=D325),0))</f>
        <v>Kapan kebutuhan sumber daya dipikirkan</v>
      </c>
      <c r="F325" s="76">
        <v>4</v>
      </c>
      <c r="G325" s="56" t="str" cm="1">
        <f t="array" ref="G325">INDEX(deskripsi!$D$2:$H$337,
   MATCH(1,(deskripsi!$A$2:$A$337=B325)*
           (deskripsi!$B$2:$B$337=C325)*
           (deskripsi!$C$2:$C$337=D325),0),
   F325)</f>
        <v>Perhitungan rinci sebelum mulai menjadi kebiasaan tetap.</v>
      </c>
    </row>
    <row r="326" spans="1:7">
      <c r="A326" t="str">
        <f t="shared" si="5"/>
        <v>Planning &amp; Organizing|Division Head|1|5</v>
      </c>
      <c r="B326" t="str">
        <v>Planning &amp; Organizing</v>
      </c>
      <c r="C326" t="str">
        <v>Division Head</v>
      </c>
      <c r="D326" s="76">
        <v>1</v>
      </c>
      <c r="E326" t="str" cm="1">
        <f t="array" ref="E326">INDEX(aspek!$D$2:$D$337,
   MATCH(1,(aspek!$A$2:$A$337=B326)*
           (aspek!$B$2:$B$337=C326)*
           (aspek!$C$2:$C$337=D326),0))</f>
        <v>Kapan kebutuhan sumber daya dipikirkan</v>
      </c>
      <c r="F326" s="76">
        <v>5</v>
      </c>
      <c r="G326" s="56" t="str" cm="1">
        <f t="array" ref="G326">INDEX(deskripsi!$D$2:$H$337,
   MATCH(1,(deskripsi!$A$2:$A$337=B326)*
           (deskripsi!$B$2:$B$337=C326)*
           (deskripsi!$C$2:$C$337=D326),0),
   F326)</f>
        <v>Metode perhitungannya dipakai unit lain.</v>
      </c>
    </row>
    <row r="327" spans="1:7">
      <c r="A327" t="str">
        <f t="shared" si="5"/>
        <v>Planning &amp; Organizing|Division Head|2|1</v>
      </c>
      <c r="B327" t="str">
        <v>Planning &amp; Organizing</v>
      </c>
      <c r="C327" t="str">
        <v>Division Head</v>
      </c>
      <c r="D327" s="76">
        <v>2</v>
      </c>
      <c r="E327" t="str" cm="1">
        <f t="array" ref="E327">INDEX(aspek!$D$2:$D$337,
   MATCH(1,(aspek!$A$2:$A$337=B327)*
           (aspek!$B$2:$B$337=C327)*
           (aspek!$C$2:$C$337=D327),0))</f>
        <v>Alokasi sesuai prioritas</v>
      </c>
      <c r="F327" s="76">
        <v>1</v>
      </c>
      <c r="G327" s="56" t="str" cm="1">
        <f t="array" ref="G327">INDEX(deskripsi!$D$2:$H$337,
   MATCH(1,(deskripsi!$A$2:$A$337=B327)*
           (deskripsi!$B$2:$B$337=C327)*
           (deskripsi!$C$2:$C$337=D327),0),
   F327)</f>
        <v>Mengalokasikan berdasarkan siapa yang meminta lebih dulu.</v>
      </c>
    </row>
    <row r="328" spans="1:7">
      <c r="A328" t="str">
        <f t="shared" si="5"/>
        <v>Planning &amp; Organizing|Division Head|2|2</v>
      </c>
      <c r="B328" t="str">
        <v>Planning &amp; Organizing</v>
      </c>
      <c r="C328" t="str">
        <v>Division Head</v>
      </c>
      <c r="D328" s="76">
        <v>2</v>
      </c>
      <c r="E328" t="str" cm="1">
        <f t="array" ref="E328">INDEX(aspek!$D$2:$D$337,
   MATCH(1,(aspek!$A$2:$A$337=B328)*
           (aspek!$B$2:$B$337=C328)*
           (aspek!$C$2:$C$337=D328),0))</f>
        <v>Alokasi sesuai prioritas</v>
      </c>
      <c r="F328" s="76">
        <v>2</v>
      </c>
      <c r="G328" s="56" t="str" cm="1">
        <f t="array" ref="G328">INDEX(deskripsi!$D$2:$H$337,
   MATCH(1,(deskripsi!$A$2:$A$337=B328)*
           (deskripsi!$B$2:$B$337=C328)*
           (deskripsi!$C$2:$C$337=D328),0),
   F328)</f>
        <v>Menyadari perlunya prioritas, keputusan tidak konsisten.</v>
      </c>
    </row>
    <row r="329" spans="1:7">
      <c r="A329" t="str">
        <f t="shared" si="5"/>
        <v>Planning &amp; Organizing|Division Head|2|3</v>
      </c>
      <c r="B329" t="str">
        <v>Planning &amp; Organizing</v>
      </c>
      <c r="C329" t="str">
        <v>Division Head</v>
      </c>
      <c r="D329" s="76">
        <v>2</v>
      </c>
      <c r="E329" t="str" cm="1">
        <f t="array" ref="E329">INDEX(aspek!$D$2:$D$337,
   MATCH(1,(aspek!$A$2:$A$337=B329)*
           (aspek!$B$2:$B$337=C329)*
           (aspek!$C$2:$C$337=D329),0))</f>
        <v>Alokasi sesuai prioritas</v>
      </c>
      <c r="F329" s="76">
        <v>3</v>
      </c>
      <c r="G329" s="56" t="str" cm="1">
        <f t="array" ref="G329">INDEX(deskripsi!$D$2:$H$337,
   MATCH(1,(deskripsi!$A$2:$A$337=B329)*
           (deskripsi!$B$2:$B$337=C329)*
           (deskripsi!$C$2:$C$337=D329),0),
   F329)</f>
        <v>Mengalokasikan berdasarkan prioritas atasan.</v>
      </c>
    </row>
    <row r="330" spans="1:7" ht="28">
      <c r="A330" t="str">
        <f t="shared" si="5"/>
        <v>Planning &amp; Organizing|Division Head|2|4</v>
      </c>
      <c r="B330" t="str">
        <v>Planning &amp; Organizing</v>
      </c>
      <c r="C330" t="str">
        <v>Division Head</v>
      </c>
      <c r="D330" s="76">
        <v>2</v>
      </c>
      <c r="E330" t="str" cm="1">
        <f t="array" ref="E330">INDEX(aspek!$D$2:$D$337,
   MATCH(1,(aspek!$A$2:$A$337=B330)*
           (aspek!$B$2:$B$337=C330)*
           (aspek!$C$2:$C$337=D330),0))</f>
        <v>Alokasi sesuai prioritas</v>
      </c>
      <c r="F330" s="76">
        <v>4</v>
      </c>
      <c r="G330" s="56" t="str" cm="1">
        <f t="array" ref="G330">INDEX(deskripsi!$D$2:$H$337,
   MATCH(1,(deskripsi!$A$2:$A$337=B330)*
           (deskripsi!$B$2:$B$337=C330)*
           (deskripsi!$C$2:$C$337=D330),0),
   F330)</f>
        <v>Menetapkan kriteria prioritas sendiri dan konsisten menerapkannya.</v>
      </c>
    </row>
    <row r="331" spans="1:7">
      <c r="A331" t="str">
        <f t="shared" si="5"/>
        <v>Planning &amp; Organizing|Division Head|2|5</v>
      </c>
      <c r="B331" t="str">
        <v>Planning &amp; Organizing</v>
      </c>
      <c r="C331" t="str">
        <v>Division Head</v>
      </c>
      <c r="D331" s="76">
        <v>2</v>
      </c>
      <c r="E331" t="str" cm="1">
        <f t="array" ref="E331">INDEX(aspek!$D$2:$D$337,
   MATCH(1,(aspek!$A$2:$A$337=B331)*
           (aspek!$B$2:$B$337=C331)*
           (aspek!$C$2:$C$337=D331),0))</f>
        <v>Alokasi sesuai prioritas</v>
      </c>
      <c r="F331" s="76">
        <v>5</v>
      </c>
      <c r="G331" s="56" t="str" cm="1">
        <f t="array" ref="G331">INDEX(deskripsi!$D$2:$H$337,
   MATCH(1,(deskripsi!$A$2:$A$337=B331)*
           (deskripsi!$B$2:$B$337=C331)*
           (deskripsi!$C$2:$C$337=D331),0),
   F331)</f>
        <v>Kriteria prioritasnya diadopsi sebagai standar organisasi.</v>
      </c>
    </row>
    <row r="332" spans="1:7">
      <c r="A332" t="str">
        <f t="shared" si="5"/>
        <v>Planning &amp; Organizing|Division Head|3|1</v>
      </c>
      <c r="B332" t="str">
        <v>Planning &amp; Organizing</v>
      </c>
      <c r="C332" t="str">
        <v>Division Head</v>
      </c>
      <c r="D332" s="76">
        <v>3</v>
      </c>
      <c r="E332" t="str" cm="1">
        <f t="array" ref="E332">INDEX(aspek!$D$2:$D$337,
   MATCH(1,(aspek!$A$2:$A$337=B332)*
           (aspek!$B$2:$B$337=C332)*
           (aspek!$C$2:$C$337=D332),0))</f>
        <v>Antisipasi kendala pelaksanaan</v>
      </c>
      <c r="F332" s="76">
        <v>1</v>
      </c>
      <c r="G332" s="56" t="str" cm="1">
        <f t="array" ref="G332">INDEX(deskripsi!$D$2:$H$337,
   MATCH(1,(deskripsi!$A$2:$A$337=B332)*
           (deskripsi!$B$2:$B$337=C332)*
           (deskripsi!$C$2:$C$337=D332),0),
   F332)</f>
        <v>Tidak mempertimbangkan kemungkinan gagal.</v>
      </c>
    </row>
    <row r="333" spans="1:7">
      <c r="A333" t="str">
        <f t="shared" si="5"/>
        <v>Planning &amp; Organizing|Division Head|3|2</v>
      </c>
      <c r="B333" t="str">
        <v>Planning &amp; Organizing</v>
      </c>
      <c r="C333" t="str">
        <v>Division Head</v>
      </c>
      <c r="D333" s="76">
        <v>3</v>
      </c>
      <c r="E333" t="str" cm="1">
        <f t="array" ref="E333">INDEX(aspek!$D$2:$D$337,
   MATCH(1,(aspek!$A$2:$A$337=B333)*
           (aspek!$B$2:$B$337=C333)*
           (aspek!$C$2:$C$337=D333),0))</f>
        <v>Antisipasi kendala pelaksanaan</v>
      </c>
      <c r="F333" s="76">
        <v>2</v>
      </c>
      <c r="G333" s="56" t="str" cm="1">
        <f t="array" ref="G333">INDEX(deskripsi!$D$2:$H$337,
   MATCH(1,(deskripsi!$A$2:$A$337=B333)*
           (deskripsi!$B$2:$B$337=C333)*
           (deskripsi!$C$2:$C$337=D333),0),
   F333)</f>
        <v>Menyadari risiko, tidak menyiapkan langkah.</v>
      </c>
    </row>
    <row r="334" spans="1:7">
      <c r="A334" t="str">
        <f t="shared" si="5"/>
        <v>Planning &amp; Organizing|Division Head|3|3</v>
      </c>
      <c r="B334" t="str">
        <v>Planning &amp; Organizing</v>
      </c>
      <c r="C334" t="str">
        <v>Division Head</v>
      </c>
      <c r="D334" s="76">
        <v>3</v>
      </c>
      <c r="E334" t="str" cm="1">
        <f t="array" ref="E334">INDEX(aspek!$D$2:$D$337,
   MATCH(1,(aspek!$A$2:$A$337=B334)*
           (aspek!$B$2:$B$337=C334)*
           (aspek!$C$2:$C$337=D334),0))</f>
        <v>Antisipasi kendala pelaksanaan</v>
      </c>
      <c r="F334" s="76">
        <v>3</v>
      </c>
      <c r="G334" s="56" t="str" cm="1">
        <f t="array" ref="G334">INDEX(deskripsi!$D$2:$H$337,
   MATCH(1,(deskripsi!$A$2:$A$337=B334)*
           (deskripsi!$B$2:$B$337=C334)*
           (deskripsi!$C$2:$C$337=D334),0),
   F334)</f>
        <v>Mencatat daftar risiko generik tanpa langkah cadangan.</v>
      </c>
    </row>
    <row r="335" spans="1:7" ht="28">
      <c r="A335" t="str">
        <f t="shared" si="5"/>
        <v>Planning &amp; Organizing|Division Head|3|4</v>
      </c>
      <c r="B335" t="str">
        <v>Planning &amp; Organizing</v>
      </c>
      <c r="C335" t="str">
        <v>Division Head</v>
      </c>
      <c r="D335" s="76">
        <v>3</v>
      </c>
      <c r="E335" t="str" cm="1">
        <f t="array" ref="E335">INDEX(aspek!$D$2:$D$337,
   MATCH(1,(aspek!$A$2:$A$337=B335)*
           (aspek!$B$2:$B$337=C335)*
           (aspek!$C$2:$C$337=D335),0))</f>
        <v>Antisipasi kendala pelaksanaan</v>
      </c>
      <c r="F335" s="76">
        <v>4</v>
      </c>
      <c r="G335" s="56" t="str" cm="1">
        <f t="array" ref="G335">INDEX(deskripsi!$D$2:$H$337,
   MATCH(1,(deskripsi!$A$2:$A$337=B335)*
           (deskripsi!$B$2:$B$337=C335)*
           (deskripsi!$C$2:$C$337=D335),0),
   F335)</f>
        <v>Mengidentifikasi kendala PALING MUNGKIN berdasarkan riwayat dan menyiapkan cadangan.</v>
      </c>
    </row>
    <row r="336" spans="1:7">
      <c r="A336" t="str">
        <f t="shared" si="5"/>
        <v>Planning &amp; Organizing|Division Head|3|5</v>
      </c>
      <c r="B336" t="str">
        <v>Planning &amp; Organizing</v>
      </c>
      <c r="C336" t="str">
        <v>Division Head</v>
      </c>
      <c r="D336" s="76">
        <v>3</v>
      </c>
      <c r="E336" t="str" cm="1">
        <f t="array" ref="E336">INDEX(aspek!$D$2:$D$337,
   MATCH(1,(aspek!$A$2:$A$337=B336)*
           (aspek!$B$2:$B$337=C336)*
           (aspek!$C$2:$C$337=D336),0))</f>
        <v>Antisipasi kendala pelaksanaan</v>
      </c>
      <c r="F336" s="76">
        <v>5</v>
      </c>
      <c r="G336" s="56" t="str" cm="1">
        <f t="array" ref="G336">INDEX(deskripsi!$D$2:$H$337,
   MATCH(1,(deskripsi!$A$2:$A$337=B336)*
           (deskripsi!$B$2:$B$337=C336)*
           (deskripsi!$C$2:$C$337=D336),0),
   F336)</f>
        <v>Daftar kendala dan cadangannya menjadi rujukan unit lain.</v>
      </c>
    </row>
    <row r="337" spans="1:7">
      <c r="A337" t="str">
        <f t="shared" si="5"/>
        <v>Planning &amp; Organizing|Division Head|4|1</v>
      </c>
      <c r="B337" t="str">
        <v>Planning &amp; Organizing</v>
      </c>
      <c r="C337" t="str">
        <v>Division Head</v>
      </c>
      <c r="D337" s="76">
        <v>4</v>
      </c>
      <c r="E337" t="str" cm="1">
        <f t="array" ref="E337">INDEX(aspek!$D$2:$D$337,
   MATCH(1,(aspek!$A$2:$A$337=B337)*
           (aspek!$B$2:$B$337=C337)*
           (aspek!$C$2:$C$337=D337),0))</f>
        <v>Rencana cadangan yang benar-benar dipakai</v>
      </c>
      <c r="F337" s="76">
        <v>1</v>
      </c>
      <c r="G337" s="56" t="str" cm="1">
        <f t="array" ref="G337">INDEX(deskripsi!$D$2:$H$337,
   MATCH(1,(deskripsi!$A$2:$A$337=B337)*
           (deskripsi!$B$2:$B$337=C337)*
           (deskripsi!$C$2:$C$337=D337),0),
   F337)</f>
        <v>Kendala ditangani ad hoc.</v>
      </c>
    </row>
    <row r="338" spans="1:7">
      <c r="A338" t="str">
        <f t="shared" si="5"/>
        <v>Planning &amp; Organizing|Division Head|4|2</v>
      </c>
      <c r="B338" t="str">
        <v>Planning &amp; Organizing</v>
      </c>
      <c r="C338" t="str">
        <v>Division Head</v>
      </c>
      <c r="D338" s="76">
        <v>4</v>
      </c>
      <c r="E338" t="str" cm="1">
        <f t="array" ref="E338">INDEX(aspek!$D$2:$D$337,
   MATCH(1,(aspek!$A$2:$A$337=B338)*
           (aspek!$B$2:$B$337=C338)*
           (aspek!$C$2:$C$337=D338),0))</f>
        <v>Rencana cadangan yang benar-benar dipakai</v>
      </c>
      <c r="F338" s="76">
        <v>2</v>
      </c>
      <c r="G338" s="56" t="str" cm="1">
        <f t="array" ref="G338">INDEX(deskripsi!$D$2:$H$337,
   MATCH(1,(deskripsi!$A$2:$A$337=B338)*
           (deskripsi!$B$2:$B$337=C338)*
           (deskripsi!$C$2:$C$337=D338),0),
   F338)</f>
        <v>Rencana cadangan disusun tetapi tidak diperiksa lagi.</v>
      </c>
    </row>
    <row r="339" spans="1:7">
      <c r="A339" t="str">
        <f t="shared" si="5"/>
        <v>Planning &amp; Organizing|Division Head|4|3</v>
      </c>
      <c r="B339" t="str">
        <v>Planning &amp; Organizing</v>
      </c>
      <c r="C339" t="str">
        <v>Division Head</v>
      </c>
      <c r="D339" s="76">
        <v>4</v>
      </c>
      <c r="E339" t="str" cm="1">
        <f t="array" ref="E339">INDEX(aspek!$D$2:$D$337,
   MATCH(1,(aspek!$A$2:$A$337=B339)*
           (aspek!$B$2:$B$337=C339)*
           (aspek!$C$2:$C$337=D339),0))</f>
        <v>Rencana cadangan yang benar-benar dipakai</v>
      </c>
      <c r="F339" s="76">
        <v>3</v>
      </c>
      <c r="G339" s="56" t="str" cm="1">
        <f t="array" ref="G339">INDEX(deskripsi!$D$2:$H$337,
   MATCH(1,(deskripsi!$A$2:$A$337=B339)*
           (deskripsi!$B$2:$B$337=C339)*
           (deskripsi!$C$2:$C$337=D339),0),
   F339)</f>
        <v>Rencana cadangan dipakai ketika kendala terjadi.</v>
      </c>
    </row>
    <row r="340" spans="1:7" ht="28">
      <c r="A340" t="str">
        <f t="shared" si="5"/>
        <v>Planning &amp; Organizing|Division Head|4|4</v>
      </c>
      <c r="B340" t="str">
        <v>Planning &amp; Organizing</v>
      </c>
      <c r="C340" t="str">
        <v>Division Head</v>
      </c>
      <c r="D340" s="76">
        <v>4</v>
      </c>
      <c r="E340" t="str" cm="1">
        <f t="array" ref="E340">INDEX(aspek!$D$2:$D$337,
   MATCH(1,(aspek!$A$2:$A$337=B340)*
           (aspek!$B$2:$B$337=C340)*
           (aspek!$C$2:$C$337=D340),0))</f>
        <v>Rencana cadangan yang benar-benar dipakai</v>
      </c>
      <c r="F340" s="76">
        <v>4</v>
      </c>
      <c r="G340" s="56" t="str" cm="1">
        <f t="array" ref="G340">INDEX(deskripsi!$D$2:$H$337,
   MATCH(1,(deskripsi!$A$2:$A$337=B340)*
           (deskripsi!$B$2:$B$337=C340)*
           (deskripsi!$C$2:$C$337=D340),0),
   F340)</f>
        <v>Rencana cadangan berhasil menjaga pekerjaan tetap berjalan tanpa henti berarti.</v>
      </c>
    </row>
    <row r="341" spans="1:7" ht="28">
      <c r="A341" t="str">
        <f t="shared" si="5"/>
        <v>Planning &amp; Organizing|Division Head|4|5</v>
      </c>
      <c r="B341" t="str">
        <v>Planning &amp; Organizing</v>
      </c>
      <c r="C341" t="str">
        <v>Division Head</v>
      </c>
      <c r="D341" s="76">
        <v>4</v>
      </c>
      <c r="E341" t="str" cm="1">
        <f t="array" ref="E341">INDEX(aspek!$D$2:$D$337,
   MATCH(1,(aspek!$A$2:$A$337=B341)*
           (aspek!$B$2:$B$337=C341)*
           (aspek!$C$2:$C$337=D341),0))</f>
        <v>Rencana cadangan yang benar-benar dipakai</v>
      </c>
      <c r="F341" s="76">
        <v>5</v>
      </c>
      <c r="G341" s="56" t="str" cm="1">
        <f t="array" ref="G341">INDEX(deskripsi!$D$2:$H$337,
   MATCH(1,(deskripsi!$A$2:$A$337=B341)*
           (deskripsi!$B$2:$B$337=C341)*
           (deskripsi!$C$2:$C$337=D341),0),
   F341)</f>
        <v>Rencana cadangannya menjadi standar penanganan kendala sejenis di luar unitnya.</v>
      </c>
    </row>
    <row r="342" spans="1:7">
      <c r="A342" t="str">
        <f t="shared" si="5"/>
        <v>Planning &amp; Organizing|Director|1|1</v>
      </c>
      <c r="B342" t="str">
        <v>Planning &amp; Organizing</v>
      </c>
      <c r="C342" t="str">
        <v>Director</v>
      </c>
      <c r="D342" s="76">
        <v>1</v>
      </c>
      <c r="E342" t="str" cm="1">
        <f t="array" ref="E342">INDEX(aspek!$D$2:$D$337,
   MATCH(1,(aspek!$A$2:$A$337=B342)*
           (aspek!$B$2:$B$337=C342)*
           (aspek!$C$2:$C$337=D342),0))</f>
        <v>Ketinggian standar perencanaan</v>
      </c>
      <c r="F342" s="76">
        <v>1</v>
      </c>
      <c r="G342" s="56" t="str" cm="1">
        <f t="array" ref="G342">INDEX(deskripsi!$D$2:$H$337,
   MATCH(1,(deskripsi!$A$2:$A$337=B342)*
           (deskripsi!$B$2:$B$337=C342)*
           (deskripsi!$C$2:$C$337=D342),0),
   F342)</f>
        <v>Menerima standar perencanaan yang berlaku apa adanya.</v>
      </c>
    </row>
    <row r="343" spans="1:7">
      <c r="A343" t="str">
        <f t="shared" si="5"/>
        <v>Planning &amp; Organizing|Director|1|2</v>
      </c>
      <c r="B343" t="str">
        <v>Planning &amp; Organizing</v>
      </c>
      <c r="C343" t="str">
        <v>Director</v>
      </c>
      <c r="D343" s="76">
        <v>1</v>
      </c>
      <c r="E343" t="str" cm="1">
        <f t="array" ref="E343">INDEX(aspek!$D$2:$D$337,
   MATCH(1,(aspek!$A$2:$A$337=B343)*
           (aspek!$B$2:$B$337=C343)*
           (aspek!$C$2:$C$337=D343),0))</f>
        <v>Ketinggian standar perencanaan</v>
      </c>
      <c r="F343" s="76">
        <v>2</v>
      </c>
      <c r="G343" s="56" t="str" cm="1">
        <f t="array" ref="G343">INDEX(deskripsi!$D$2:$H$337,
   MATCH(1,(deskripsi!$A$2:$A$337=B343)*
           (deskripsi!$B$2:$B$337=C343)*
           (deskripsi!$C$2:$C$337=D343),0),
   F343)</f>
        <v>Menaikkan standar hanya ketika diminta.</v>
      </c>
    </row>
    <row r="344" spans="1:7">
      <c r="A344" t="str">
        <f t="shared" si="5"/>
        <v>Planning &amp; Organizing|Director|1|3</v>
      </c>
      <c r="B344" t="str">
        <v>Planning &amp; Organizing</v>
      </c>
      <c r="C344" t="str">
        <v>Director</v>
      </c>
      <c r="D344" s="76">
        <v>1</v>
      </c>
      <c r="E344" t="str" cm="1">
        <f t="array" ref="E344">INDEX(aspek!$D$2:$D$337,
   MATCH(1,(aspek!$A$2:$A$337=B344)*
           (aspek!$B$2:$B$337=C344)*
           (aspek!$C$2:$C$337=D344),0))</f>
        <v>Ketinggian standar perencanaan</v>
      </c>
      <c r="F344" s="76">
        <v>3</v>
      </c>
      <c r="G344" s="56" t="str" cm="1">
        <f t="array" ref="G344">INDEX(deskripsi!$D$2:$H$337,
   MATCH(1,(deskripsi!$A$2:$A$337=B344)*
           (deskripsi!$B$2:$B$337=C344)*
           (deskripsi!$C$2:$C$337=D344),0),
   F344)</f>
        <v>Menaikkan standar dengan pembanding kinerja sendiri.</v>
      </c>
    </row>
    <row r="345" spans="1:7" ht="28">
      <c r="A345" t="str">
        <f t="shared" si="5"/>
        <v>Planning &amp; Organizing|Director|1|4</v>
      </c>
      <c r="B345" t="str">
        <v>Planning &amp; Organizing</v>
      </c>
      <c r="C345" t="str">
        <v>Director</v>
      </c>
      <c r="D345" s="76">
        <v>1</v>
      </c>
      <c r="E345" t="str" cm="1">
        <f t="array" ref="E345">INDEX(aspek!$D$2:$D$337,
   MATCH(1,(aspek!$A$2:$A$337=B345)*
           (aspek!$B$2:$B$337=C345)*
           (aspek!$C$2:$C$337=D345),0))</f>
        <v>Ketinggian standar perencanaan</v>
      </c>
      <c r="F345" s="76">
        <v>4</v>
      </c>
      <c r="G345" s="56" t="str" cm="1">
        <f t="array" ref="G345">INDEX(deskripsi!$D$2:$H$337,
   MATCH(1,(deskripsi!$A$2:$A$337=B345)*
           (deskripsi!$B$2:$B$337=C345)*
           (deskripsi!$C$2:$C$337=D345),0),
   F345)</f>
        <v>Menetapkan standar perencanaan berdasarkan pembanding eksternal.</v>
      </c>
    </row>
    <row r="346" spans="1:7">
      <c r="A346" t="str">
        <f t="shared" si="5"/>
        <v>Planning &amp; Organizing|Director|1|5</v>
      </c>
      <c r="B346" t="str">
        <v>Planning &amp; Organizing</v>
      </c>
      <c r="C346" t="str">
        <v>Director</v>
      </c>
      <c r="D346" s="76">
        <v>1</v>
      </c>
      <c r="E346" t="str" cm="1">
        <f t="array" ref="E346">INDEX(aspek!$D$2:$D$337,
   MATCH(1,(aspek!$A$2:$A$337=B346)*
           (aspek!$B$2:$B$337=C346)*
           (aspek!$C$2:$C$337=D346),0))</f>
        <v>Ketinggian standar perencanaan</v>
      </c>
      <c r="F346" s="76">
        <v>5</v>
      </c>
      <c r="G346" s="56" t="str" cm="1">
        <f t="array" ref="G346">INDEX(deskripsi!$D$2:$H$337,
   MATCH(1,(deskripsi!$A$2:$A$337=B346)*
           (deskripsi!$B$2:$B$337=C346)*
           (deskripsi!$C$2:$C$337=D346),0),
   F346)</f>
        <v>Standar yang ia tetapkan menjadi acuan organisasi.</v>
      </c>
    </row>
    <row r="347" spans="1:7">
      <c r="A347" t="str">
        <f t="shared" si="5"/>
        <v>Planning &amp; Organizing|Director|2|1</v>
      </c>
      <c r="B347" t="str">
        <v>Planning &amp; Organizing</v>
      </c>
      <c r="C347" t="str">
        <v>Director</v>
      </c>
      <c r="D347" s="76">
        <v>2</v>
      </c>
      <c r="E347" t="str" cm="1">
        <f t="array" ref="E347">INDEX(aspek!$D$2:$D$337,
   MATCH(1,(aspek!$A$2:$A$337=B347)*
           (aspek!$B$2:$B$337=C347)*
           (aspek!$C$2:$C$337=D347),0))</f>
        <v>Standar bagi diri sendiri</v>
      </c>
      <c r="F347" s="76">
        <v>1</v>
      </c>
      <c r="G347" s="56" t="str" cm="1">
        <f t="array" ref="G347">INDEX(deskripsi!$D$2:$H$337,
   MATCH(1,(deskripsi!$A$2:$A$337=B347)*
           (deskripsi!$B$2:$B$337=C347)*
           (deskripsi!$C$2:$C$337=D347),0),
   F347)</f>
        <v>Menuntut standar tinggi tanpa menerapkannya sendiri.</v>
      </c>
    </row>
    <row r="348" spans="1:7">
      <c r="A348" t="str">
        <f t="shared" si="5"/>
        <v>Planning &amp; Organizing|Director|2|2</v>
      </c>
      <c r="B348" t="str">
        <v>Planning &amp; Organizing</v>
      </c>
      <c r="C348" t="str">
        <v>Director</v>
      </c>
      <c r="D348" s="76">
        <v>2</v>
      </c>
      <c r="E348" t="str" cm="1">
        <f t="array" ref="E348">INDEX(aspek!$D$2:$D$337,
   MATCH(1,(aspek!$A$2:$A$337=B348)*
           (aspek!$B$2:$B$337=C348)*
           (aspek!$C$2:$C$337=D348),0))</f>
        <v>Standar bagi diri sendiri</v>
      </c>
      <c r="F348" s="76">
        <v>2</v>
      </c>
      <c r="G348" s="56" t="str" cm="1">
        <f t="array" ref="G348">INDEX(deskripsi!$D$2:$H$337,
   MATCH(1,(deskripsi!$A$2:$A$337=B348)*
           (deskripsi!$B$2:$B$337=C348)*
           (deskripsi!$C$2:$C$337=D348),0),
   F348)</f>
        <v>Menerapkan standar yang sama dengan timnya.</v>
      </c>
    </row>
    <row r="349" spans="1:7">
      <c r="A349" t="str">
        <f t="shared" si="5"/>
        <v>Planning &amp; Organizing|Director|2|3</v>
      </c>
      <c r="B349" t="str">
        <v>Planning &amp; Organizing</v>
      </c>
      <c r="C349" t="str">
        <v>Director</v>
      </c>
      <c r="D349" s="76">
        <v>2</v>
      </c>
      <c r="E349" t="str" cm="1">
        <f t="array" ref="E349">INDEX(aspek!$D$2:$D$337,
   MATCH(1,(aspek!$A$2:$A$337=B349)*
           (aspek!$B$2:$B$337=C349)*
           (aspek!$C$2:$C$337=D349),0))</f>
        <v>Standar bagi diri sendiri</v>
      </c>
      <c r="F349" s="76">
        <v>3</v>
      </c>
      <c r="G349" s="56" t="str" cm="1">
        <f t="array" ref="G349">INDEX(deskripsi!$D$2:$H$337,
   MATCH(1,(deskripsi!$A$2:$A$337=B349)*
           (deskripsi!$B$2:$B$337=C349)*
           (deskripsi!$C$2:$C$337=D349),0),
   F349)</f>
        <v>Menetapkan standar pribadi lebih tinggi, disimpan sendiri.</v>
      </c>
    </row>
    <row r="350" spans="1:7" ht="28">
      <c r="A350" t="str">
        <f t="shared" si="5"/>
        <v>Planning &amp; Organizing|Director|2|4</v>
      </c>
      <c r="B350" t="str">
        <v>Planning &amp; Organizing</v>
      </c>
      <c r="C350" t="str">
        <v>Director</v>
      </c>
      <c r="D350" s="76">
        <v>2</v>
      </c>
      <c r="E350" t="str" cm="1">
        <f t="array" ref="E350">INDEX(aspek!$D$2:$D$337,
   MATCH(1,(aspek!$A$2:$A$337=B350)*
           (aspek!$B$2:$B$337=C350)*
           (aspek!$C$2:$C$337=D350),0))</f>
        <v>Standar bagi diri sendiri</v>
      </c>
      <c r="F350" s="76">
        <v>4</v>
      </c>
      <c r="G350" s="56" t="str" cm="1">
        <f t="array" ref="G350">INDEX(deskripsi!$D$2:$H$337,
   MATCH(1,(deskripsi!$A$2:$A$337=B350)*
           (deskripsi!$B$2:$B$337=C350)*
           (deskripsi!$C$2:$C$337=D350),0),
   F350)</f>
        <v>Menetapkan standar pribadi lebih tinggi, mengumumkannya, melaporkan hasilnya apa adanya.</v>
      </c>
    </row>
    <row r="351" spans="1:7">
      <c r="A351" t="str">
        <f t="shared" si="5"/>
        <v>Planning &amp; Organizing|Director|2|5</v>
      </c>
      <c r="B351" t="str">
        <v>Planning &amp; Organizing</v>
      </c>
      <c r="C351" t="str">
        <v>Director</v>
      </c>
      <c r="D351" s="76">
        <v>2</v>
      </c>
      <c r="E351" t="str" cm="1">
        <f t="array" ref="E351">INDEX(aspek!$D$2:$D$337,
   MATCH(1,(aspek!$A$2:$A$337=B351)*
           (aspek!$B$2:$B$337=C351)*
           (aspek!$C$2:$C$337=D351),0))</f>
        <v>Standar bagi diri sendiri</v>
      </c>
      <c r="F351" s="76">
        <v>5</v>
      </c>
      <c r="G351" s="56" t="str" cm="1">
        <f t="array" ref="G351">INDEX(deskripsi!$D$2:$H$337,
   MATCH(1,(deskripsi!$A$2:$A$337=B351)*
           (deskripsi!$B$2:$B$337=C351)*
           (deskripsi!$C$2:$C$337=D351),0),
   F351)</f>
        <v>Standar pribadinya menjadi rujukan yang ditiru tanpa diminta.</v>
      </c>
    </row>
    <row r="352" spans="1:7" ht="28">
      <c r="A352" t="str">
        <f t="shared" si="5"/>
        <v>Planning &amp; Organizing|Director|3|1</v>
      </c>
      <c r="B352" t="str">
        <v>Planning &amp; Organizing</v>
      </c>
      <c r="C352" t="str">
        <v>Director</v>
      </c>
      <c r="D352" s="76">
        <v>3</v>
      </c>
      <c r="E352" t="str" cm="1">
        <f t="array" ref="E352">INDEX(aspek!$D$2:$D$337,
   MATCH(1,(aspek!$A$2:$A$337=B352)*
           (aspek!$B$2:$B$337=C352)*
           (aspek!$C$2:$C$337=D352),0))</f>
        <v>Pelembagaan sistem perencanaan</v>
      </c>
      <c r="F352" s="76">
        <v>1</v>
      </c>
      <c r="G352" s="56" t="str" cm="1">
        <f t="array" ref="G352">INDEX(deskripsi!$D$2:$H$337,
   MATCH(1,(deskripsi!$A$2:$A$337=B352)*
           (deskripsi!$B$2:$B$337=C352)*
           (deskripsi!$C$2:$C$337=D352),0),
   F352)</f>
        <v>Sistem perencanaan bergantung sepenuhnya pada pengawasannya.</v>
      </c>
    </row>
    <row r="353" spans="1:7">
      <c r="A353" t="str">
        <f t="shared" si="5"/>
        <v>Planning &amp; Organizing|Director|3|2</v>
      </c>
      <c r="B353" t="str">
        <v>Planning &amp; Organizing</v>
      </c>
      <c r="C353" t="str">
        <v>Director</v>
      </c>
      <c r="D353" s="76">
        <v>3</v>
      </c>
      <c r="E353" t="str" cm="1">
        <f t="array" ref="E353">INDEX(aspek!$D$2:$D$337,
   MATCH(1,(aspek!$A$2:$A$337=B353)*
           (aspek!$B$2:$B$337=C353)*
           (aspek!$C$2:$C$337=D353),0))</f>
        <v>Pelembagaan sistem perencanaan</v>
      </c>
      <c r="F353" s="76">
        <v>2</v>
      </c>
      <c r="G353" s="56" t="str" cm="1">
        <f t="array" ref="G353">INDEX(deskripsi!$D$2:$H$337,
   MATCH(1,(deskripsi!$A$2:$A$337=B353)*
           (deskripsi!$B$2:$B$337=C353)*
           (deskripsi!$C$2:$C$337=D353),0),
   F353)</f>
        <v>Sistem dituliskan tanpa pemeriksaan dan konsekuensi.</v>
      </c>
    </row>
    <row r="354" spans="1:7">
      <c r="A354" t="str">
        <f t="shared" si="5"/>
        <v>Planning &amp; Organizing|Director|3|3</v>
      </c>
      <c r="B354" t="str">
        <v>Planning &amp; Organizing</v>
      </c>
      <c r="C354" t="str">
        <v>Director</v>
      </c>
      <c r="D354" s="76">
        <v>3</v>
      </c>
      <c r="E354" t="str" cm="1">
        <f t="array" ref="E354">INDEX(aspek!$D$2:$D$337,
   MATCH(1,(aspek!$A$2:$A$337=B354)*
           (aspek!$B$2:$B$337=C354)*
           (aspek!$C$2:$C$337=D354),0))</f>
        <v>Pelembagaan sistem perencanaan</v>
      </c>
      <c r="F354" s="76">
        <v>3</v>
      </c>
      <c r="G354" s="56" t="str" cm="1">
        <f t="array" ref="G354">INDEX(deskripsi!$D$2:$H$337,
   MATCH(1,(deskripsi!$A$2:$A$337=B354)*
           (deskripsi!$B$2:$B$337=C354)*
           (deskripsi!$C$2:$C$337=D354),0),
   F354)</f>
        <v>Sistem berjalan dengan peserta sebagai pemeriksanya.</v>
      </c>
    </row>
    <row r="355" spans="1:7" ht="28">
      <c r="A355" t="str">
        <f t="shared" si="5"/>
        <v>Planning &amp; Organizing|Director|3|4</v>
      </c>
      <c r="B355" t="str">
        <v>Planning &amp; Organizing</v>
      </c>
      <c r="C355" t="str">
        <v>Director</v>
      </c>
      <c r="D355" s="76">
        <v>3</v>
      </c>
      <c r="E355" t="str" cm="1">
        <f t="array" ref="E355">INDEX(aspek!$D$2:$D$337,
   MATCH(1,(aspek!$A$2:$A$337=B355)*
           (aspek!$B$2:$B$337=C355)*
           (aspek!$C$2:$C$337=D355),0))</f>
        <v>Pelembagaan sistem perencanaan</v>
      </c>
      <c r="F355" s="76">
        <v>4</v>
      </c>
      <c r="G355" s="56" t="str" cm="1">
        <f t="array" ref="G355">INDEX(deskripsi!$D$2:$H$337,
   MATCH(1,(deskripsi!$A$2:$A$337=B355)*
           (deskripsi!$B$2:$B$337=C355)*
           (deskripsi!$C$2:$C$337=D355),0),
   F355)</f>
        <v>Sistem memiliki pemilik selain dirinya, irama peninjauan, dan terbukti berjalan tanpa keterlibatannya.</v>
      </c>
    </row>
    <row r="356" spans="1:7" ht="28">
      <c r="A356" t="str">
        <f t="shared" si="5"/>
        <v>Planning &amp; Organizing|Director|3|5</v>
      </c>
      <c r="B356" t="str">
        <v>Planning &amp; Organizing</v>
      </c>
      <c r="C356" t="str">
        <v>Director</v>
      </c>
      <c r="D356" s="76">
        <v>3</v>
      </c>
      <c r="E356" t="str" cm="1">
        <f t="array" ref="E356">INDEX(aspek!$D$2:$D$337,
   MATCH(1,(aspek!$A$2:$A$337=B356)*
           (aspek!$B$2:$B$337=C356)*
           (aspek!$C$2:$C$337=D356),0))</f>
        <v>Pelembagaan sistem perencanaan</v>
      </c>
      <c r="F356" s="76">
        <v>5</v>
      </c>
      <c r="G356" s="56" t="str" cm="1">
        <f t="array" ref="G356">INDEX(deskripsi!$D$2:$H$337,
   MATCH(1,(deskripsi!$A$2:$A$337=B356)*
           (deskripsi!$B$2:$B$337=C356)*
           (deskripsi!$C$2:$C$337=D356),0),
   F356)</f>
        <v>Sistem menjadi kebiasaan kerja yang dijaga sendiri oleh pelaksananya.</v>
      </c>
    </row>
    <row r="357" spans="1:7">
      <c r="A357" t="str">
        <f t="shared" si="5"/>
        <v>Planning &amp; Organizing|Director|4|1</v>
      </c>
      <c r="B357" t="str">
        <v>Planning &amp; Organizing</v>
      </c>
      <c r="C357" t="str">
        <v>Director</v>
      </c>
      <c r="D357" s="76">
        <v>4</v>
      </c>
      <c r="E357" t="str" cm="1">
        <f t="array" ref="E357">INDEX(aspek!$D$2:$D$337,
   MATCH(1,(aspek!$A$2:$A$337=B357)*
           (aspek!$B$2:$B$337=C357)*
           (aspek!$C$2:$C$337=D357),0))</f>
        <v>Integrasi dan responsivitas lintas fungsi</v>
      </c>
      <c r="F357" s="76">
        <v>1</v>
      </c>
      <c r="G357" s="56" t="str" cm="1">
        <f t="array" ref="G357">INDEX(deskripsi!$D$2:$H$337,
   MATCH(1,(deskripsi!$A$2:$A$337=B357)*
           (deskripsi!$B$2:$B$337=C357)*
           (deskripsi!$C$2:$C$337=D357),0),
   F357)</f>
        <v>Rencana kerja fungsi berjalan sendiri-sendiri tanpa integrasi.</v>
      </c>
    </row>
    <row r="358" spans="1:7">
      <c r="A358" t="str">
        <f t="shared" si="5"/>
        <v>Planning &amp; Organizing|Director|4|2</v>
      </c>
      <c r="B358" t="str">
        <v>Planning &amp; Organizing</v>
      </c>
      <c r="C358" t="str">
        <v>Director</v>
      </c>
      <c r="D358" s="76">
        <v>4</v>
      </c>
      <c r="E358" t="str" cm="1">
        <f t="array" ref="E358">INDEX(aspek!$D$2:$D$337,
   MATCH(1,(aspek!$A$2:$A$337=B358)*
           (aspek!$B$2:$B$337=C358)*
           (aspek!$C$2:$C$337=D358),0))</f>
        <v>Integrasi dan responsivitas lintas fungsi</v>
      </c>
      <c r="F358" s="76">
        <v>2</v>
      </c>
      <c r="G358" s="56" t="str" cm="1">
        <f t="array" ref="G358">INDEX(deskripsi!$D$2:$H$337,
   MATCH(1,(deskripsi!$A$2:$A$337=B358)*
           (deskripsi!$B$2:$B$337=C358)*
           (deskripsi!$C$2:$C$337=D358),0),
   F358)</f>
        <v>Integrasi dilakukan hanya saat diminta.</v>
      </c>
    </row>
    <row r="359" spans="1:7" ht="28">
      <c r="A359" t="str">
        <f t="shared" si="5"/>
        <v>Planning &amp; Organizing|Director|4|3</v>
      </c>
      <c r="B359" t="str">
        <v>Planning &amp; Organizing</v>
      </c>
      <c r="C359" t="str">
        <v>Director</v>
      </c>
      <c r="D359" s="76">
        <v>4</v>
      </c>
      <c r="E359" t="str" cm="1">
        <f t="array" ref="E359">INDEX(aspek!$D$2:$D$337,
   MATCH(1,(aspek!$A$2:$A$337=B359)*
           (aspek!$B$2:$B$337=C359)*
           (aspek!$C$2:$C$337=D359),0))</f>
        <v>Integrasi dan responsivitas lintas fungsi</v>
      </c>
      <c r="F359" s="76">
        <v>3</v>
      </c>
      <c r="G359" s="56" t="str" cm="1">
        <f t="array" ref="G359">INDEX(deskripsi!$D$2:$H$337,
   MATCH(1,(deskripsi!$A$2:$A$337=B359)*
           (deskripsi!$B$2:$B$337=C359)*
           (deskripsi!$C$2:$C$337=D359),0),
   F359)</f>
        <v>Rencana terintegrasi pada level dokumen, tidak diuji responsivitasnya.</v>
      </c>
    </row>
    <row r="360" spans="1:7" ht="28">
      <c r="A360" t="str">
        <f t="shared" si="5"/>
        <v>Planning &amp; Organizing|Director|4|4</v>
      </c>
      <c r="B360" t="str">
        <v>Planning &amp; Organizing</v>
      </c>
      <c r="C360" t="str">
        <v>Director</v>
      </c>
      <c r="D360" s="76">
        <v>4</v>
      </c>
      <c r="E360" t="str" cm="1">
        <f t="array" ref="E360">INDEX(aspek!$D$2:$D$337,
   MATCH(1,(aspek!$A$2:$A$337=B360)*
           (aspek!$B$2:$B$337=C360)*
           (aspek!$C$2:$C$337=D360),0))</f>
        <v>Integrasi dan responsivitas lintas fungsi</v>
      </c>
      <c r="F360" s="76">
        <v>4</v>
      </c>
      <c r="G360" s="56" t="str" cm="1">
        <f t="array" ref="G360">INDEX(deskripsi!$D$2:$H$337,
   MATCH(1,(deskripsi!$A$2:$A$337=B360)*
           (deskripsi!$B$2:$B$337=C360)*
           (deskripsi!$C$2:$C$337=D360),0),
   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76">
        <v>4</v>
      </c>
      <c r="E361" t="str" cm="1">
        <f t="array" ref="E361">INDEX(aspek!$D$2:$D$337,
   MATCH(1,(aspek!$A$2:$A$337=B361)*
           (aspek!$B$2:$B$337=C361)*
           (aspek!$C$2:$C$337=D361),0))</f>
        <v>Integrasi dan responsivitas lintas fungsi</v>
      </c>
      <c r="F361" s="76">
        <v>5</v>
      </c>
      <c r="G361" s="56" t="str" cm="1">
        <f t="array" ref="G361">INDEX(deskripsi!$D$2:$H$337,
   MATCH(1,(deskripsi!$A$2:$A$337=B361)*
           (deskripsi!$B$2:$B$337=C361)*
           (deskripsi!$C$2:$C$337=D361),0),
   F361)</f>
        <v>Menjadi model integrasi rencana kerja yang diadopsi organisasi secara luas.</v>
      </c>
    </row>
    <row r="362" spans="1:7" ht="28">
      <c r="A362" t="str">
        <f t="shared" si="5"/>
        <v>Problem Solving &amp; Decision Making|Officer|1|1</v>
      </c>
      <c r="B362" t="str">
        <v>Problem Solving &amp; Decision Making</v>
      </c>
      <c r="C362" t="str">
        <v>Officer</v>
      </c>
      <c r="D362" s="76">
        <v>1</v>
      </c>
      <c r="E362" t="str" cm="1">
        <f t="array" ref="E362">INDEX(aspek!$D$2:$D$337,
   MATCH(1,(aspek!$A$2:$A$337=B362)*
           (aspek!$B$2:$B$337=C362)*
           (aspek!$C$2:$C$337=D362),0))</f>
        <v>Kedalaman penelusuran</v>
      </c>
      <c r="F362" s="76">
        <v>1</v>
      </c>
      <c r="G362" s="56" t="str" cm="1">
        <f t="array" ref="G362">INDEX(deskripsi!$D$2:$H$337,
   MATCH(1,(deskripsi!$A$2:$A$337=B362)*
           (deskripsi!$B$2:$B$337=C362)*
           (deskripsi!$C$2:$C$337=D362),0),
   F362)</f>
        <v>Berhenti pada gejala yang terlihat; mengambil tindakan atas gejala itu.</v>
      </c>
    </row>
    <row r="363" spans="1:7" ht="28">
      <c r="A363" t="str">
        <f t="shared" si="5"/>
        <v>Problem Solving &amp; Decision Making|Officer|1|2</v>
      </c>
      <c r="B363" t="str">
        <v>Problem Solving &amp; Decision Making</v>
      </c>
      <c r="C363" t="str">
        <v>Officer</v>
      </c>
      <c r="D363" s="76">
        <v>1</v>
      </c>
      <c r="E363" t="str" cm="1">
        <f t="array" ref="E363">INDEX(aspek!$D$2:$D$337,
   MATCH(1,(aspek!$A$2:$A$337=B363)*
           (aspek!$B$2:$B$337=C363)*
           (aspek!$C$2:$C$337=D363),0))</f>
        <v>Kedalaman penelusuran</v>
      </c>
      <c r="F363" s="76">
        <v>2</v>
      </c>
      <c r="G363" s="56" t="str" cm="1">
        <f t="array" ref="G363">INDEX(deskripsi!$D$2:$H$337,
   MATCH(1,(deskripsi!$A$2:$A$337=B363)*
           (deskripsi!$B$2:$B$337=C363)*
           (deskripsi!$C$2:$C$337=D363),0),
   F363)</f>
        <v>Menelusuri lebih dalam ketika diarahkan, sampai penyebab yang sederhana.</v>
      </c>
    </row>
    <row r="364" spans="1:7" ht="28">
      <c r="A364" t="str">
        <f t="shared" si="5"/>
        <v>Problem Solving &amp; Decision Making|Officer|1|3</v>
      </c>
      <c r="B364" t="str">
        <v>Problem Solving &amp; Decision Making</v>
      </c>
      <c r="C364" t="str">
        <v>Officer</v>
      </c>
      <c r="D364" s="76">
        <v>1</v>
      </c>
      <c r="E364" t="str" cm="1">
        <f t="array" ref="E364">INDEX(aspek!$D$2:$D$337,
   MATCH(1,(aspek!$A$2:$A$337=B364)*
           (aspek!$B$2:$B$337=C364)*
           (aspek!$C$2:$C$337=D364),0))</f>
        <v>Kedalaman penelusuran</v>
      </c>
      <c r="F364" s="76">
        <v>3</v>
      </c>
      <c r="G364" s="56" t="str" cm="1">
        <f t="array" ref="G364">INDEX(deskripsi!$D$2:$H$337,
   MATCH(1,(deskripsi!$A$2:$A$337=B364)*
           (deskripsi!$B$2:$B$337=C364)*
           (deskripsi!$C$2:$C$337=D364),0),
   F364)</f>
        <v>Menelusuri sampai akar masalah pada kasus yang tidak terlalu kompleks, tanpa arahan.</v>
      </c>
    </row>
    <row r="365" spans="1:7" ht="28">
      <c r="A365" t="str">
        <f t="shared" si="5"/>
        <v>Problem Solving &amp; Decision Making|Officer|1|4</v>
      </c>
      <c r="B365" t="str">
        <v>Problem Solving &amp; Decision Making</v>
      </c>
      <c r="C365" t="str">
        <v>Officer</v>
      </c>
      <c r="D365" s="76">
        <v>1</v>
      </c>
      <c r="E365" t="str" cm="1">
        <f t="array" ref="E365">INDEX(aspek!$D$2:$D$337,
   MATCH(1,(aspek!$A$2:$A$337=B365)*
           (aspek!$B$2:$B$337=C365)*
           (aspek!$C$2:$C$337=D365),0))</f>
        <v>Kedalaman penelusuran</v>
      </c>
      <c r="F365" s="76">
        <v>4</v>
      </c>
      <c r="G365" s="56" t="str" cm="1">
        <f t="array" ref="G365">INDEX(deskripsi!$D$2:$H$337,
   MATCH(1,(deskripsi!$A$2:$A$337=B365)*
           (deskripsi!$B$2:$B$337=C365)*
           (deskripsi!$C$2:$C$337=D365),0),
   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76">
        <v>1</v>
      </c>
      <c r="E366" t="str" cm="1">
        <f t="array" ref="E366">INDEX(aspek!$D$2:$D$337,
   MATCH(1,(aspek!$A$2:$A$337=B366)*
           (aspek!$B$2:$B$337=C366)*
           (aspek!$C$2:$C$337=D366),0))</f>
        <v>Kedalaman penelusuran</v>
      </c>
      <c r="F366" s="76">
        <v>5</v>
      </c>
      <c r="G366" s="56" t="str" cm="1">
        <f t="array" ref="G366">INDEX(deskripsi!$D$2:$H$337,
   MATCH(1,(deskripsi!$A$2:$A$337=B366)*
           (deskripsi!$B$2:$B$337=C366)*
           (deskripsi!$C$2:$C$337=D366),0),
   F366)</f>
        <v>Menelusuri akar masalah lintas fungsi dengan cepat dan akurat.</v>
      </c>
    </row>
    <row r="367" spans="1:7">
      <c r="A367" t="str">
        <f t="shared" si="5"/>
        <v>Problem Solving &amp; Decision Making|Officer|2|1</v>
      </c>
      <c r="B367" t="str">
        <v>Problem Solving &amp; Decision Making</v>
      </c>
      <c r="C367" t="str">
        <v>Officer</v>
      </c>
      <c r="D367" s="76">
        <v>2</v>
      </c>
      <c r="E367" t="str" cm="1">
        <f t="array" ref="E367">INDEX(aspek!$D$2:$D$337,
   MATCH(1,(aspek!$A$2:$A$337=B367)*
           (aspek!$B$2:$B$337=C367)*
           (aspek!$C$2:$C$337=D367),0))</f>
        <v>Memisahkan gejala, penyebab, dan dampak</v>
      </c>
      <c r="F367" s="76">
        <v>1</v>
      </c>
      <c r="G367" s="56" t="str" cm="1">
        <f t="array" ref="G367">INDEX(deskripsi!$D$2:$H$337,
   MATCH(1,(deskripsi!$A$2:$A$337=B367)*
           (deskripsi!$B$2:$B$337=C367)*
           (deskripsi!$C$2:$C$337=D367),0),
   F367)</f>
        <v>Mencampur ketiganya; menyebut gejala sebagai penyebab.</v>
      </c>
    </row>
    <row r="368" spans="1:7">
      <c r="A368" t="str">
        <f t="shared" si="5"/>
        <v>Problem Solving &amp; Decision Making|Officer|2|2</v>
      </c>
      <c r="B368" t="str">
        <v>Problem Solving &amp; Decision Making</v>
      </c>
      <c r="C368" t="str">
        <v>Officer</v>
      </c>
      <c r="D368" s="76">
        <v>2</v>
      </c>
      <c r="E368" t="str" cm="1">
        <f t="array" ref="E368">INDEX(aspek!$D$2:$D$337,
   MATCH(1,(aspek!$A$2:$A$337=B368)*
           (aspek!$B$2:$B$337=C368)*
           (aspek!$C$2:$C$337=D368),0))</f>
        <v>Memisahkan gejala, penyebab, dan dampak</v>
      </c>
      <c r="F368" s="76">
        <v>2</v>
      </c>
      <c r="G368" s="56" t="str" cm="1">
        <f t="array" ref="G368">INDEX(deskripsi!$D$2:$H$337,
   MATCH(1,(deskripsi!$A$2:$A$337=B368)*
           (deskripsi!$B$2:$B$337=C368)*
           (deskripsi!$C$2:$C$337=D368),0),
   F368)</f>
        <v>Membedakan ketiganya dengan bantuan mentor.</v>
      </c>
    </row>
    <row r="369" spans="1:7">
      <c r="A369" t="str">
        <f t="shared" si="5"/>
        <v>Problem Solving &amp; Decision Making|Officer|2|3</v>
      </c>
      <c r="B369" t="str">
        <v>Problem Solving &amp; Decision Making</v>
      </c>
      <c r="C369" t="str">
        <v>Officer</v>
      </c>
      <c r="D369" s="76">
        <v>2</v>
      </c>
      <c r="E369" t="str" cm="1">
        <f t="array" ref="E369">INDEX(aspek!$D$2:$D$337,
   MATCH(1,(aspek!$A$2:$A$337=B369)*
           (aspek!$B$2:$B$337=C369)*
           (aspek!$C$2:$C$337=D369),0))</f>
        <v>Memisahkan gejala, penyebab, dan dampak</v>
      </c>
      <c r="F369" s="76">
        <v>3</v>
      </c>
      <c r="G369" s="56" t="str" cm="1">
        <f t="array" ref="G369">INDEX(deskripsi!$D$2:$H$337,
   MATCH(1,(deskripsi!$A$2:$A$337=B369)*
           (deskripsi!$B$2:$B$337=C369)*
           (deskripsi!$C$2:$C$337=D369),0),
   F369)</f>
        <v>Membedakan ketiganya sendiri pada kasus sederhana.</v>
      </c>
    </row>
    <row r="370" spans="1:7" ht="28">
      <c r="A370" t="str">
        <f t="shared" si="5"/>
        <v>Problem Solving &amp; Decision Making|Officer|2|4</v>
      </c>
      <c r="B370" t="str">
        <v>Problem Solving &amp; Decision Making</v>
      </c>
      <c r="C370" t="str">
        <v>Officer</v>
      </c>
      <c r="D370" s="76">
        <v>2</v>
      </c>
      <c r="E370" t="str" cm="1">
        <f t="array" ref="E370">INDEX(aspek!$D$2:$D$337,
   MATCH(1,(aspek!$A$2:$A$337=B370)*
           (aspek!$B$2:$B$337=C370)*
           (aspek!$C$2:$C$337=D370),0))</f>
        <v>Memisahkan gejala, penyebab, dan dampak</v>
      </c>
      <c r="F370" s="76">
        <v>4</v>
      </c>
      <c r="G370" s="56" t="str" cm="1">
        <f t="array" ref="G370">INDEX(deskripsi!$D$2:$H$337,
   MATCH(1,(deskripsi!$A$2:$A$337=B370)*
           (deskripsi!$B$2:$B$337=C370)*
           (deskripsi!$C$2:$C$337=D370),0),
   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76">
        <v>2</v>
      </c>
      <c r="E371" t="str" cm="1">
        <f t="array" ref="E371">INDEX(aspek!$D$2:$D$337,
   MATCH(1,(aspek!$A$2:$A$337=B371)*
           (aspek!$B$2:$B$337=C371)*
           (aspek!$C$2:$C$337=D371),0))</f>
        <v>Memisahkan gejala, penyebab, dan dampak</v>
      </c>
      <c r="F371" s="76">
        <v>5</v>
      </c>
      <c r="G371" s="56" t="str" cm="1">
        <f t="array" ref="G371">INDEX(deskripsi!$D$2:$H$337,
   MATCH(1,(deskripsi!$A$2:$A$337=B371)*
           (deskripsi!$B$2:$B$337=C371)*
           (deskripsi!$C$2:$C$337=D371),0),
   F371)</f>
        <v>Pemisahannya menjadi acuan bagi rekan saat menganalisis masalah serupa.</v>
      </c>
    </row>
    <row r="372" spans="1:7">
      <c r="A372" t="str">
        <f t="shared" si="5"/>
        <v>Problem Solving &amp; Decision Making|Officer|3|1</v>
      </c>
      <c r="B372" t="str">
        <v>Problem Solving &amp; Decision Making</v>
      </c>
      <c r="C372" t="str">
        <v>Officer</v>
      </c>
      <c r="D372" s="76">
        <v>3</v>
      </c>
      <c r="E372" t="str" cm="1">
        <f t="array" ref="E372">INDEX(aspek!$D$2:$D$337,
   MATCH(1,(aspek!$A$2:$A$337=B372)*
           (aspek!$B$2:$B$337=C372)*
           (aspek!$C$2:$C$337=D372),0))</f>
        <v>Kemandirian</v>
      </c>
      <c r="F372" s="76">
        <v>1</v>
      </c>
      <c r="G372" s="56" t="str" cm="1">
        <f t="array" ref="G372">INDEX(deskripsi!$D$2:$H$337,
   MATCH(1,(deskripsi!$A$2:$A$337=B372)*
           (deskripsi!$B$2:$B$337=C372)*
           (deskripsi!$C$2:$C$337=D372),0),
   F372)</f>
        <v>Selalu menunggu diarahkan untuk mulai menelusuri.</v>
      </c>
    </row>
    <row r="373" spans="1:7">
      <c r="A373" t="str">
        <f t="shared" si="5"/>
        <v>Problem Solving &amp; Decision Making|Officer|3|2</v>
      </c>
      <c r="B373" t="str">
        <v>Problem Solving &amp; Decision Making</v>
      </c>
      <c r="C373" t="str">
        <v>Officer</v>
      </c>
      <c r="D373" s="76">
        <v>3</v>
      </c>
      <c r="E373" t="str" cm="1">
        <f t="array" ref="E373">INDEX(aspek!$D$2:$D$337,
   MATCH(1,(aspek!$A$2:$A$337=B373)*
           (aspek!$B$2:$B$337=C373)*
           (aspek!$C$2:$C$337=D373),0))</f>
        <v>Kemandirian</v>
      </c>
      <c r="F373" s="76">
        <v>2</v>
      </c>
      <c r="G373" s="56" t="str" cm="1">
        <f t="array" ref="G373">INDEX(deskripsi!$D$2:$H$337,
   MATCH(1,(deskripsi!$A$2:$A$337=B373)*
           (deskripsi!$B$2:$B$337=C373)*
           (deskripsi!$C$2:$C$337=D373),0),
   F373)</f>
        <v>Menelusuri dengan bimbingan penuh dari mentor.</v>
      </c>
    </row>
    <row r="374" spans="1:7" ht="28">
      <c r="A374" t="str">
        <f t="shared" si="5"/>
        <v>Problem Solving &amp; Decision Making|Officer|3|3</v>
      </c>
      <c r="B374" t="str">
        <v>Problem Solving &amp; Decision Making</v>
      </c>
      <c r="C374" t="str">
        <v>Officer</v>
      </c>
      <c r="D374" s="76">
        <v>3</v>
      </c>
      <c r="E374" t="str" cm="1">
        <f t="array" ref="E374">INDEX(aspek!$D$2:$D$337,
   MATCH(1,(aspek!$A$2:$A$337=B374)*
           (aspek!$B$2:$B$337=C374)*
           (aspek!$C$2:$C$337=D374),0))</f>
        <v>Kemandirian</v>
      </c>
      <c r="F374" s="76">
        <v>3</v>
      </c>
      <c r="G374" s="56" t="str" cm="1">
        <f t="array" ref="G374">INDEX(deskripsi!$D$2:$H$337,
   MATCH(1,(deskripsi!$A$2:$A$337=B374)*
           (deskripsi!$B$2:$B$337=C374)*
           (deskripsi!$C$2:$C$337=D374),0),
   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76">
        <v>3</v>
      </c>
      <c r="E375" t="str" cm="1">
        <f t="array" ref="E375">INDEX(aspek!$D$2:$D$337,
   MATCH(1,(aspek!$A$2:$A$337=B375)*
           (aspek!$B$2:$B$337=C375)*
           (aspek!$C$2:$C$337=D375),0))</f>
        <v>Kemandirian</v>
      </c>
      <c r="F375" s="76">
        <v>4</v>
      </c>
      <c r="G375" s="56" t="str" cm="1">
        <f t="array" ref="G375">INDEX(deskripsi!$D$2:$H$337,
   MATCH(1,(deskripsi!$A$2:$A$337=B375)*
           (deskripsi!$B$2:$B$337=C375)*
           (deskripsi!$C$2:$C$337=D375),0),
   F375)</f>
        <v>Menelusuri mandiri pada kasus baru sekalipun, meminta verifikasi bukan bimbingan.</v>
      </c>
    </row>
    <row r="376" spans="1:7" ht="28">
      <c r="A376" t="str">
        <f t="shared" si="5"/>
        <v>Problem Solving &amp; Decision Making|Officer|3|5</v>
      </c>
      <c r="B376" t="str">
        <v>Problem Solving &amp; Decision Making</v>
      </c>
      <c r="C376" t="str">
        <v>Officer</v>
      </c>
      <c r="D376" s="76">
        <v>3</v>
      </c>
      <c r="E376" t="str" cm="1">
        <f t="array" ref="E376">INDEX(aspek!$D$2:$D$337,
   MATCH(1,(aspek!$A$2:$A$337=B376)*
           (aspek!$B$2:$B$337=C376)*
           (aspek!$C$2:$C$337=D376),0))</f>
        <v>Kemandirian</v>
      </c>
      <c r="F376" s="76">
        <v>5</v>
      </c>
      <c r="G376" s="56" t="str" cm="1">
        <f t="array" ref="G376">INDEX(deskripsi!$D$2:$H$337,
   MATCH(1,(deskripsi!$A$2:$A$337=B376)*
           (deskripsi!$B$2:$B$337=C376)*
           (deskripsi!$C$2:$C$337=D376),0),
   F376)</f>
        <v>Menjadi tempat rekan meminta verifikasi atas analisis akar masalah mereka.</v>
      </c>
    </row>
    <row r="377" spans="1:7" ht="28">
      <c r="A377" t="str">
        <f t="shared" si="5"/>
        <v>Problem Solving &amp; Decision Making|Officer|4|1</v>
      </c>
      <c r="B377" t="str">
        <v>Problem Solving &amp; Decision Making</v>
      </c>
      <c r="C377" t="str">
        <v>Officer</v>
      </c>
      <c r="D377" s="76">
        <v>4</v>
      </c>
      <c r="E377" t="str" cm="1">
        <f t="array" ref="E377">INDEX(aspek!$D$2:$D$337,
   MATCH(1,(aspek!$A$2:$A$337=B377)*
           (aspek!$B$2:$B$337=C377)*
           (aspek!$C$2:$C$337=D377),0))</f>
        <v>Verifikasi temuan</v>
      </c>
      <c r="F377" s="76">
        <v>1</v>
      </c>
      <c r="G377" s="56" t="str" cm="1">
        <f t="array" ref="G377">INDEX(deskripsi!$D$2:$H$337,
   MATCH(1,(deskripsi!$A$2:$A$337=B377)*
           (deskripsi!$B$2:$B$337=C377)*
           (deskripsi!$C$2:$C$337=D377),0),
   F377)</f>
        <v>Menyimpulkan akar masalah tanpa memverifikasi ke pihak terkait.</v>
      </c>
    </row>
    <row r="378" spans="1:7">
      <c r="A378" t="str">
        <f t="shared" si="5"/>
        <v>Problem Solving &amp; Decision Making|Officer|4|2</v>
      </c>
      <c r="B378" t="str">
        <v>Problem Solving &amp; Decision Making</v>
      </c>
      <c r="C378" t="str">
        <v>Officer</v>
      </c>
      <c r="D378" s="76">
        <v>4</v>
      </c>
      <c r="E378" t="str" cm="1">
        <f t="array" ref="E378">INDEX(aspek!$D$2:$D$337,
   MATCH(1,(aspek!$A$2:$A$337=B378)*
           (aspek!$B$2:$B$337=C378)*
           (aspek!$C$2:$C$337=D378),0))</f>
        <v>Verifikasi temuan</v>
      </c>
      <c r="F378" s="76">
        <v>2</v>
      </c>
      <c r="G378" s="56" t="str" cm="1">
        <f t="array" ref="G378">INDEX(deskripsi!$D$2:$H$337,
   MATCH(1,(deskripsi!$A$2:$A$337=B378)*
           (deskripsi!$B$2:$B$337=C378)*
           (deskripsi!$C$2:$C$337=D378),0),
   F378)</f>
        <v>Memverifikasi hanya ketika diminta.</v>
      </c>
    </row>
    <row r="379" spans="1:7">
      <c r="A379" t="str">
        <f t="shared" si="5"/>
        <v>Problem Solving &amp; Decision Making|Officer|4|3</v>
      </c>
      <c r="B379" t="str">
        <v>Problem Solving &amp; Decision Making</v>
      </c>
      <c r="C379" t="str">
        <v>Officer</v>
      </c>
      <c r="D379" s="76">
        <v>4</v>
      </c>
      <c r="E379" t="str" cm="1">
        <f t="array" ref="E379">INDEX(aspek!$D$2:$D$337,
   MATCH(1,(aspek!$A$2:$A$337=B379)*
           (aspek!$B$2:$B$337=C379)*
           (aspek!$C$2:$C$337=D379),0))</f>
        <v>Verifikasi temuan</v>
      </c>
      <c r="F379" s="76">
        <v>3</v>
      </c>
      <c r="G379" s="56" t="str" cm="1">
        <f t="array" ref="G379">INDEX(deskripsi!$D$2:$H$337,
   MATCH(1,(deskripsi!$A$2:$A$337=B379)*
           (deskripsi!$B$2:$B$337=C379)*
           (deskripsi!$C$2:$C$337=D379),0),
   F379)</f>
        <v>Memverifikasi temuan pada kasus yang penting.</v>
      </c>
    </row>
    <row r="380" spans="1:7" ht="42">
      <c r="A380" t="str">
        <f t="shared" si="5"/>
        <v>Problem Solving &amp; Decision Making|Officer|4|4</v>
      </c>
      <c r="B380" t="str">
        <v>Problem Solving &amp; Decision Making</v>
      </c>
      <c r="C380" t="str">
        <v>Officer</v>
      </c>
      <c r="D380" s="76">
        <v>4</v>
      </c>
      <c r="E380" t="str" cm="1">
        <f t="array" ref="E380">INDEX(aspek!$D$2:$D$337,
   MATCH(1,(aspek!$A$2:$A$337=B380)*
           (aspek!$B$2:$B$337=C380)*
           (aspek!$C$2:$C$337=D380),0))</f>
        <v>Verifikasi temuan</v>
      </c>
      <c r="F380" s="76">
        <v>4</v>
      </c>
      <c r="G380" s="56" t="str" cm="1">
        <f t="array" ref="G380">INDEX(deskripsi!$D$2:$H$337,
   MATCH(1,(deskripsi!$A$2:$A$337=B380)*
           (deskripsi!$B$2:$B$337=C380)*
           (deskripsi!$C$2:$C$337=D380),0),
   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76">
        <v>4</v>
      </c>
      <c r="E381" t="str" cm="1">
        <f t="array" ref="E381">INDEX(aspek!$D$2:$D$337,
   MATCH(1,(aspek!$A$2:$A$337=B381)*
           (aspek!$B$2:$B$337=C381)*
           (aspek!$C$2:$C$337=D381),0))</f>
        <v>Verifikasi temuan</v>
      </c>
      <c r="F381" s="76">
        <v>5</v>
      </c>
      <c r="G381" s="56" t="str" cm="1">
        <f t="array" ref="G381">INDEX(deskripsi!$D$2:$H$337,
   MATCH(1,(deskripsi!$A$2:$A$337=B381)*
           (deskripsi!$B$2:$B$337=C381)*
           (deskripsi!$C$2:$C$337=D381),0),
   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76">
        <v>1</v>
      </c>
      <c r="E382" t="str" cm="1">
        <f t="array" ref="E382">INDEX(aspek!$D$2:$D$337,
   MATCH(1,(aspek!$A$2:$A$337=B382)*
           (aspek!$B$2:$B$337=C382)*
           (aspek!$C$2:$C$337=D382),0))</f>
        <v>Kedalaman pertanyaan</v>
      </c>
      <c r="F382" s="76">
        <v>1</v>
      </c>
      <c r="G382" s="56" t="str" cm="1">
        <f t="array" ref="G382">INDEX(deskripsi!$D$2:$H$337,
   MATCH(1,(deskripsi!$A$2:$A$337=B382)*
           (deskripsi!$B$2:$B$337=C382)*
           (deskripsi!$C$2:$C$337=D382),0),
   F382)</f>
        <v>Menerima informasi dan pengalaman sendiri sebagai kebenaran tanpa diuji.</v>
      </c>
    </row>
    <row r="383" spans="1:7" ht="28">
      <c r="A383" t="str">
        <f t="shared" si="5"/>
        <v>Problem Solving &amp; Decision Making|Analyst|1|2</v>
      </c>
      <c r="B383" t="str">
        <v>Problem Solving &amp; Decision Making</v>
      </c>
      <c r="C383" t="str">
        <v>Analyst</v>
      </c>
      <c r="D383" s="76">
        <v>1</v>
      </c>
      <c r="E383" t="str" cm="1">
        <f t="array" ref="E383">INDEX(aspek!$D$2:$D$337,
   MATCH(1,(aspek!$A$2:$A$337=B383)*
           (aspek!$B$2:$B$337=C383)*
           (aspek!$C$2:$C$337=D383),0))</f>
        <v>Kedalaman pertanyaan</v>
      </c>
      <c r="F383" s="76">
        <v>2</v>
      </c>
      <c r="G383" s="56" t="str" cm="1">
        <f t="array" ref="G383">INDEX(deskripsi!$D$2:$H$337,
   MATCH(1,(deskripsi!$A$2:$A$337=B383)*
           (deskripsi!$B$2:$B$337=C383)*
           (deskripsi!$C$2:$C$337=D383),0),
   F383)</f>
        <v>Bertanya untuk memastikan fakta dasar sebelum memutuskan.</v>
      </c>
    </row>
    <row r="384" spans="1:7" ht="28">
      <c r="A384" t="str">
        <f t="shared" si="5"/>
        <v>Problem Solving &amp; Decision Making|Analyst|1|3</v>
      </c>
      <c r="B384" t="str">
        <v>Problem Solving &amp; Decision Making</v>
      </c>
      <c r="C384" t="str">
        <v>Analyst</v>
      </c>
      <c r="D384" s="76">
        <v>1</v>
      </c>
      <c r="E384" t="str" cm="1">
        <f t="array" ref="E384">INDEX(aspek!$D$2:$D$337,
   MATCH(1,(aspek!$A$2:$A$337=B384)*
           (aspek!$B$2:$B$337=C384)*
           (aspek!$C$2:$C$337=D384),0))</f>
        <v>Kedalaman pertanyaan</v>
      </c>
      <c r="F384" s="76">
        <v>3</v>
      </c>
      <c r="G384" s="56" t="str" cm="1">
        <f t="array" ref="G384">INDEX(deskripsi!$D$2:$H$337,
   MATCH(1,(deskripsi!$A$2:$A$337=B384)*
           (deskripsi!$B$2:$B$337=C384)*
           (deskripsi!$C$2:$C$337=D384),0),
   F384)</f>
        <v>Bertanya untuk memahami alasan di balik sebuah pengalaman atau kebiasaan.</v>
      </c>
    </row>
    <row r="385" spans="1:7" ht="28">
      <c r="A385" t="str">
        <f t="shared" si="5"/>
        <v>Problem Solving &amp; Decision Making|Analyst|1|4</v>
      </c>
      <c r="B385" t="str">
        <v>Problem Solving &amp; Decision Making</v>
      </c>
      <c r="C385" t="str">
        <v>Analyst</v>
      </c>
      <c r="D385" s="76">
        <v>1</v>
      </c>
      <c r="E385" t="str" cm="1">
        <f t="array" ref="E385">INDEX(aspek!$D$2:$D$337,
   MATCH(1,(aspek!$A$2:$A$337=B385)*
           (aspek!$B$2:$B$337=C385)*
           (aspek!$C$2:$C$337=D385),0))</f>
        <v>Kedalaman pertanyaan</v>
      </c>
      <c r="F385" s="76">
        <v>4</v>
      </c>
      <c r="G385" s="56" t="str" cm="1">
        <f t="array" ref="G385">INDEX(deskripsi!$D$2:$H$337,
   MATCH(1,(deskripsi!$A$2:$A$337=B385)*
           (deskripsi!$B$2:$B$337=C385)*
           (deskripsi!$C$2:$C$337=D385),0),
   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76">
        <v>1</v>
      </c>
      <c r="E386" t="str" cm="1">
        <f t="array" ref="E386">INDEX(aspek!$D$2:$D$337,
   MATCH(1,(aspek!$A$2:$A$337=B386)*
           (aspek!$B$2:$B$337=C386)*
           (aspek!$C$2:$C$337=D386),0))</f>
        <v>Kedalaman pertanyaan</v>
      </c>
      <c r="F386" s="76">
        <v>5</v>
      </c>
      <c r="G386" s="56" t="str" cm="1">
        <f t="array" ref="G386">INDEX(deskripsi!$D$2:$H$337,
   MATCH(1,(deskripsi!$A$2:$A$337=B386)*
           (deskripsi!$B$2:$B$337=C386)*
           (deskripsi!$C$2:$C$337=D386),0),
   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76">
        <v>2</v>
      </c>
      <c r="E387" t="str" cm="1">
        <f t="array" ref="E387">INDEX(aspek!$D$2:$D$337,
   MATCH(1,(aspek!$A$2:$A$337=B387)*
           (aspek!$B$2:$B$337=C387)*
           (aspek!$C$2:$C$337=D387),0))</f>
        <v>Keberanian menguji</v>
      </c>
      <c r="F387" s="76">
        <v>1</v>
      </c>
      <c r="G387" s="56" t="str" cm="1">
        <f t="array" ref="G387">INDEX(deskripsi!$D$2:$H$337,
   MATCH(1,(deskripsi!$A$2:$A$337=B387)*
           (deskripsi!$B$2:$B$337=C387)*
           (deskripsi!$C$2:$C$337=D387),0),
   F387)</f>
        <v>Tidak mempertanyakan cara kerja yang sudah lazim.</v>
      </c>
    </row>
    <row r="388" spans="1:7" ht="28">
      <c r="A388" t="str">
        <f t="shared" si="6"/>
        <v>Problem Solving &amp; Decision Making|Analyst|2|2</v>
      </c>
      <c r="B388" t="str">
        <v>Problem Solving &amp; Decision Making</v>
      </c>
      <c r="C388" t="str">
        <v>Analyst</v>
      </c>
      <c r="D388" s="76">
        <v>2</v>
      </c>
      <c r="E388" t="str" cm="1">
        <f t="array" ref="E388">INDEX(aspek!$D$2:$D$337,
   MATCH(1,(aspek!$A$2:$A$337=B388)*
           (aspek!$B$2:$B$337=C388)*
           (aspek!$C$2:$C$337=D388),0))</f>
        <v>Keberanian menguji</v>
      </c>
      <c r="F388" s="76">
        <v>2</v>
      </c>
      <c r="G388" s="56" t="str" cm="1">
        <f t="array" ref="G388">INDEX(deskripsi!$D$2:$H$337,
   MATCH(1,(deskripsi!$A$2:$A$337=B388)*
           (deskripsi!$B$2:$B$337=C388)*
           (deskripsi!$C$2:$C$337=D388),0),
   F388)</f>
        <v>Mempertanyakan hanya di belakang, tidak kepada sumbernya.</v>
      </c>
    </row>
    <row r="389" spans="1:7">
      <c r="A389" t="str">
        <f t="shared" si="6"/>
        <v>Problem Solving &amp; Decision Making|Analyst|2|3</v>
      </c>
      <c r="B389" t="str">
        <v>Problem Solving &amp; Decision Making</v>
      </c>
      <c r="C389" t="str">
        <v>Analyst</v>
      </c>
      <c r="D389" s="76">
        <v>2</v>
      </c>
      <c r="E389" t="str" cm="1">
        <f t="array" ref="E389">INDEX(aspek!$D$2:$D$337,
   MATCH(1,(aspek!$A$2:$A$337=B389)*
           (aspek!$B$2:$B$337=C389)*
           (aspek!$C$2:$C$337=D389),0))</f>
        <v>Keberanian menguji</v>
      </c>
      <c r="F389" s="76">
        <v>3</v>
      </c>
      <c r="G389" s="56" t="str" cm="1">
        <f t="array" ref="G389">INDEX(deskripsi!$D$2:$H$337,
   MATCH(1,(deskripsi!$A$2:$A$337=B389)*
           (deskripsi!$B$2:$B$337=C389)*
           (deskripsi!$C$2:$C$337=D389),0),
   F389)</f>
        <v>Mempertanyakan secara terbuka pada hal yang jelas keliru.</v>
      </c>
    </row>
    <row r="390" spans="1:7" ht="42">
      <c r="A390" t="str">
        <f t="shared" si="6"/>
        <v>Problem Solving &amp; Decision Making|Analyst|2|4</v>
      </c>
      <c r="B390" t="str">
        <v>Problem Solving &amp; Decision Making</v>
      </c>
      <c r="C390" t="str">
        <v>Analyst</v>
      </c>
      <c r="D390" s="76">
        <v>2</v>
      </c>
      <c r="E390" t="str" cm="1">
        <f t="array" ref="E390">INDEX(aspek!$D$2:$D$337,
   MATCH(1,(aspek!$A$2:$A$337=B390)*
           (aspek!$B$2:$B$337=C390)*
           (aspek!$C$2:$C$337=D390),0))</f>
        <v>Keberanian menguji</v>
      </c>
      <c r="F390" s="76">
        <v>4</v>
      </c>
      <c r="G390" s="56" t="str" cm="1">
        <f t="array" ref="G390">INDEX(deskripsi!$D$2:$H$337,
   MATCH(1,(deskripsi!$A$2:$A$337=B390)*
           (deskripsi!$B$2:$B$337=C390)*
           (deskripsi!$C$2:$C$337=D390),0),
   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76">
        <v>2</v>
      </c>
      <c r="E391" t="str" cm="1">
        <f t="array" ref="E391">INDEX(aspek!$D$2:$D$337,
   MATCH(1,(aspek!$A$2:$A$337=B391)*
           (aspek!$B$2:$B$337=C391)*
           (aspek!$C$2:$C$337=D391),0))</f>
        <v>Keberanian menguji</v>
      </c>
      <c r="F391" s="76">
        <v>5</v>
      </c>
      <c r="G391" s="56" t="str" cm="1">
        <f t="array" ref="G391">INDEX(deskripsi!$D$2:$H$337,
   MATCH(1,(deskripsi!$A$2:$A$337=B391)*
           (deskripsi!$B$2:$B$337=C391)*
           (deskripsi!$C$2:$C$337=D391),0),
   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76">
        <v>3</v>
      </c>
      <c r="E392" t="str" cm="1">
        <f t="array" ref="E392">INDEX(aspek!$D$2:$D$337,
   MATCH(1,(aspek!$A$2:$A$337=B392)*
           (aspek!$B$2:$B$337=C392)*
           (aspek!$C$2:$C$337=D392),0))</f>
        <v>Pencarian pembanding</v>
      </c>
      <c r="F392" s="76">
        <v>1</v>
      </c>
      <c r="G392" s="56" t="str" cm="1">
        <f t="array" ref="G392">INDEX(deskripsi!$D$2:$H$337,
   MATCH(1,(deskripsi!$A$2:$A$337=B392)*
           (deskripsi!$B$2:$B$337=C392)*
           (deskripsi!$C$2:$C$337=D392),0),
   F392)</f>
        <v>Memakai satu sumber, biasanya pengalaman sendiri.</v>
      </c>
    </row>
    <row r="393" spans="1:7" ht="28">
      <c r="A393" t="str">
        <f t="shared" si="6"/>
        <v>Problem Solving &amp; Decision Making|Analyst|3|2</v>
      </c>
      <c r="B393" t="str">
        <v>Problem Solving &amp; Decision Making</v>
      </c>
      <c r="C393" t="str">
        <v>Analyst</v>
      </c>
      <c r="D393" s="76">
        <v>3</v>
      </c>
      <c r="E393" t="str" cm="1">
        <f t="array" ref="E393">INDEX(aspek!$D$2:$D$337,
   MATCH(1,(aspek!$A$2:$A$337=B393)*
           (aspek!$B$2:$B$337=C393)*
           (aspek!$C$2:$C$337=D393),0))</f>
        <v>Pencarian pembanding</v>
      </c>
      <c r="F393" s="76">
        <v>2</v>
      </c>
      <c r="G393" s="56" t="str" cm="1">
        <f t="array" ref="G393">INDEX(deskripsi!$D$2:$H$337,
   MATCH(1,(deskripsi!$A$2:$A$337=B393)*
           (deskripsi!$B$2:$B$337=C393)*
           (deskripsi!$C$2:$C$337=D393),0),
   F393)</f>
        <v>Memakai beberapa sumber yang seluruhnya menguatkan pengalamannya.</v>
      </c>
    </row>
    <row r="394" spans="1:7">
      <c r="A394" t="str">
        <f t="shared" si="6"/>
        <v>Problem Solving &amp; Decision Making|Analyst|3|3</v>
      </c>
      <c r="B394" t="str">
        <v>Problem Solving &amp; Decision Making</v>
      </c>
      <c r="C394" t="str">
        <v>Analyst</v>
      </c>
      <c r="D394" s="76">
        <v>3</v>
      </c>
      <c r="E394" t="str" cm="1">
        <f t="array" ref="E394">INDEX(aspek!$D$2:$D$337,
   MATCH(1,(aspek!$A$2:$A$337=B394)*
           (aspek!$B$2:$B$337=C394)*
           (aspek!$C$2:$C$337=D394),0))</f>
        <v>Pencarian pembanding</v>
      </c>
      <c r="F394" s="76">
        <v>3</v>
      </c>
      <c r="G394" s="56" t="str" cm="1">
        <f t="array" ref="G394">INDEX(deskripsi!$D$2:$H$337,
   MATCH(1,(deskripsi!$A$2:$A$337=B394)*
           (deskripsi!$B$2:$B$337=C394)*
           (deskripsi!$C$2:$C$337=D394),0),
   F394)</f>
        <v>Membandingkan beberapa sumber sebelum menyimpulkan.</v>
      </c>
    </row>
    <row r="395" spans="1:7" ht="42">
      <c r="A395" t="str">
        <f t="shared" si="6"/>
        <v>Problem Solving &amp; Decision Making|Analyst|3|4</v>
      </c>
      <c r="B395" t="str">
        <v>Problem Solving &amp; Decision Making</v>
      </c>
      <c r="C395" t="str">
        <v>Analyst</v>
      </c>
      <c r="D395" s="76">
        <v>3</v>
      </c>
      <c r="E395" t="str" cm="1">
        <f t="array" ref="E395">INDEX(aspek!$D$2:$D$337,
   MATCH(1,(aspek!$A$2:$A$337=B395)*
           (aspek!$B$2:$B$337=C395)*
           (aspek!$C$2:$C$337=D395),0))</f>
        <v>Pencarian pembanding</v>
      </c>
      <c r="F395" s="76">
        <v>4</v>
      </c>
      <c r="G395" s="56" t="str" cm="1">
        <f t="array" ref="G395">INDEX(deskripsi!$D$2:$H$337,
   MATCH(1,(deskripsi!$A$2:$A$337=B395)*
           (deskripsi!$B$2:$B$337=C395)*
           (deskripsi!$C$2:$C$337=D395),0),
   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76">
        <v>3</v>
      </c>
      <c r="E396" t="str" cm="1">
        <f t="array" ref="E396">INDEX(aspek!$D$2:$D$337,
   MATCH(1,(aspek!$A$2:$A$337=B396)*
           (aspek!$B$2:$B$337=C396)*
           (aspek!$C$2:$C$337=D396),0))</f>
        <v>Pencarian pembanding</v>
      </c>
      <c r="F396" s="76">
        <v>5</v>
      </c>
      <c r="G396" s="56" t="str" cm="1">
        <f t="array" ref="G396">INDEX(deskripsi!$D$2:$H$337,
   MATCH(1,(deskripsi!$A$2:$A$337=B396)*
           (deskripsi!$B$2:$B$337=C396)*
           (deskripsi!$C$2:$C$337=D396),0),
   F396)</f>
        <v>Menemukan sumber pembanding yang sebelumnya tidak terpikir dipakai di unitnya.</v>
      </c>
    </row>
    <row r="397" spans="1:7">
      <c r="A397" t="str">
        <f t="shared" si="6"/>
        <v>Problem Solving &amp; Decision Making|Analyst|4|1</v>
      </c>
      <c r="B397" t="str">
        <v>Problem Solving &amp; Decision Making</v>
      </c>
      <c r="C397" t="str">
        <v>Analyst</v>
      </c>
      <c r="D397" s="76">
        <v>4</v>
      </c>
      <c r="E397" t="str" cm="1">
        <f t="array" ref="E397">INDEX(aspek!$D$2:$D$337,
   MATCH(1,(aspek!$A$2:$A$337=B397)*
           (aspek!$B$2:$B$337=C397)*
           (aspek!$C$2:$C$337=D397),0))</f>
        <v>Keingintahuan yang berkelanjutan</v>
      </c>
      <c r="F397" s="76">
        <v>1</v>
      </c>
      <c r="G397" s="56" t="str" cm="1">
        <f t="array" ref="G397">INDEX(deskripsi!$D$2:$H$337,
   MATCH(1,(deskripsi!$A$2:$A$337=B397)*
           (deskripsi!$B$2:$B$337=C397)*
           (deskripsi!$C$2:$C$337=D397),0),
   F397)</f>
        <v>Bertanya hanya ketika terpaksa.</v>
      </c>
    </row>
    <row r="398" spans="1:7">
      <c r="A398" t="str">
        <f t="shared" si="6"/>
        <v>Problem Solving &amp; Decision Making|Analyst|4|2</v>
      </c>
      <c r="B398" t="str">
        <v>Problem Solving &amp; Decision Making</v>
      </c>
      <c r="C398" t="str">
        <v>Analyst</v>
      </c>
      <c r="D398" s="76">
        <v>4</v>
      </c>
      <c r="E398" t="str" cm="1">
        <f t="array" ref="E398">INDEX(aspek!$D$2:$D$337,
   MATCH(1,(aspek!$A$2:$A$337=B398)*
           (aspek!$B$2:$B$337=C398)*
           (aspek!$C$2:$C$337=D398),0))</f>
        <v>Keingintahuan yang berkelanjutan</v>
      </c>
      <c r="F398" s="76">
        <v>2</v>
      </c>
      <c r="G398" s="56" t="str" cm="1">
        <f t="array" ref="G398">INDEX(deskripsi!$D$2:$H$337,
   MATCH(1,(deskripsi!$A$2:$A$337=B398)*
           (deskripsi!$B$2:$B$337=C398)*
           (deskripsi!$C$2:$C$337=D398),0),
   F398)</f>
        <v>Bertanya pada hal yang berkaitan langsung dengan tugasnya.</v>
      </c>
    </row>
    <row r="399" spans="1:7">
      <c r="A399" t="str">
        <f t="shared" si="6"/>
        <v>Problem Solving &amp; Decision Making|Analyst|4|3</v>
      </c>
      <c r="B399" t="str">
        <v>Problem Solving &amp; Decision Making</v>
      </c>
      <c r="C399" t="str">
        <v>Analyst</v>
      </c>
      <c r="D399" s="76">
        <v>4</v>
      </c>
      <c r="E399" t="str" cm="1">
        <f t="array" ref="E399">INDEX(aspek!$D$2:$D$337,
   MATCH(1,(aspek!$A$2:$A$337=B399)*
           (aspek!$B$2:$B$337=C399)*
           (aspek!$C$2:$C$337=D399),0))</f>
        <v>Keingintahuan yang berkelanjutan</v>
      </c>
      <c r="F399" s="76">
        <v>3</v>
      </c>
      <c r="G399" s="56" t="str" cm="1">
        <f t="array" ref="G399">INDEX(deskripsi!$D$2:$H$337,
   MATCH(1,(deskripsi!$A$2:$A$337=B399)*
           (deskripsi!$B$2:$B$337=C399)*
           (deskripsi!$C$2:$C$337=D399),0),
   F399)</f>
        <v>Menunjukkan minat menggali alasan di balik pekerjaan.</v>
      </c>
    </row>
    <row r="400" spans="1:7" ht="28">
      <c r="A400" t="str">
        <f t="shared" si="6"/>
        <v>Problem Solving &amp; Decision Making|Analyst|4|4</v>
      </c>
      <c r="B400" t="str">
        <v>Problem Solving &amp; Decision Making</v>
      </c>
      <c r="C400" t="str">
        <v>Analyst</v>
      </c>
      <c r="D400" s="76">
        <v>4</v>
      </c>
      <c r="E400" t="str" cm="1">
        <f t="array" ref="E400">INDEX(aspek!$D$2:$D$337,
   MATCH(1,(aspek!$A$2:$A$337=B400)*
           (aspek!$B$2:$B$337=C400)*
           (aspek!$C$2:$C$337=D400),0))</f>
        <v>Keingintahuan yang berkelanjutan</v>
      </c>
      <c r="F400" s="76">
        <v>4</v>
      </c>
      <c r="G400" s="56" t="str" cm="1">
        <f t="array" ref="G400">INDEX(deskripsi!$D$2:$H$337,
   MATCH(1,(deskripsi!$A$2:$A$337=B400)*
           (deskripsi!$B$2:$B$337=C400)*
           (deskripsi!$C$2:$C$337=D400),0),
   F400)</f>
        <v>Secara rutin memeriksa keputusan berbasis pengalaman yang selama ini tidak dipertanyakan, tanpa diminta.</v>
      </c>
    </row>
    <row r="401" spans="1:7" ht="28">
      <c r="A401" t="str">
        <f t="shared" si="6"/>
        <v>Problem Solving &amp; Decision Making|Analyst|4|5</v>
      </c>
      <c r="B401" t="str">
        <v>Problem Solving &amp; Decision Making</v>
      </c>
      <c r="C401" t="str">
        <v>Analyst</v>
      </c>
      <c r="D401" s="76">
        <v>4</v>
      </c>
      <c r="E401" t="str" cm="1">
        <f t="array" ref="E401">INDEX(aspek!$D$2:$D$337,
   MATCH(1,(aspek!$A$2:$A$337=B401)*
           (aspek!$B$2:$B$337=C401)*
           (aspek!$C$2:$C$337=D401),0))</f>
        <v>Keingintahuan yang berkelanjutan</v>
      </c>
      <c r="F401" s="76">
        <v>5</v>
      </c>
      <c r="G401" s="56" t="str" cm="1">
        <f t="array" ref="G401">INDEX(deskripsi!$D$2:$H$337,
   MATCH(1,(deskripsi!$A$2:$A$337=B401)*
           (deskripsi!$B$2:$B$337=C401)*
           (deskripsi!$C$2:$C$337=D401),0),
   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76">
        <v>1</v>
      </c>
      <c r="E402" t="str" cm="1">
        <f t="array" ref="E402">INDEX(aspek!$D$2:$D$337,
   MATCH(1,(aspek!$A$2:$A$337=B402)*
           (aspek!$B$2:$B$337=C402)*
           (aspek!$C$2:$C$337=D402),0))</f>
        <v>Kesediaan memutuskan tanpa kepastian penuh</v>
      </c>
      <c r="F402" s="76">
        <v>1</v>
      </c>
      <c r="G402" s="56" t="str" cm="1">
        <f t="array" ref="G402">INDEX(deskripsi!$D$2:$H$337,
   MATCH(1,(deskripsi!$A$2:$A$337=B402)*
           (deskripsi!$B$2:$B$337=C402)*
           (deskripsi!$C$2:$C$337=D402),0),
   F402)</f>
        <v>Menunda keputusan sampai data lengkap.</v>
      </c>
    </row>
    <row r="403" spans="1:7">
      <c r="A403" t="str">
        <f t="shared" si="6"/>
        <v>Problem Solving &amp; Decision Making|Unit Head/Specialist|1|2</v>
      </c>
      <c r="B403" t="str">
        <v>Problem Solving &amp; Decision Making</v>
      </c>
      <c r="C403" t="str">
        <v>Unit Head/Specialist</v>
      </c>
      <c r="D403" s="76">
        <v>1</v>
      </c>
      <c r="E403" t="str" cm="1">
        <f t="array" ref="E403">INDEX(aspek!$D$2:$D$337,
   MATCH(1,(aspek!$A$2:$A$337=B403)*
           (aspek!$B$2:$B$337=C403)*
           (aspek!$C$2:$C$337=D403),0))</f>
        <v>Kesediaan memutuskan tanpa kepastian penuh</v>
      </c>
      <c r="F403" s="76">
        <v>2</v>
      </c>
      <c r="G403" s="56" t="str" cm="1">
        <f t="array" ref="G403">INDEX(deskripsi!$D$2:$H$337,
   MATCH(1,(deskripsi!$A$2:$A$337=B403)*
           (deskripsi!$B$2:$B$337=C403)*
           (deskripsi!$C$2:$C$337=D403),0),
   F403)</f>
        <v>Memutuskan setelah menunggu, meski tenggatnya terlewat.</v>
      </c>
    </row>
    <row r="404" spans="1:7">
      <c r="A404" t="str">
        <f t="shared" si="6"/>
        <v>Problem Solving &amp; Decision Making|Unit Head/Specialist|1|3</v>
      </c>
      <c r="B404" t="str">
        <v>Problem Solving &amp; Decision Making</v>
      </c>
      <c r="C404" t="str">
        <v>Unit Head/Specialist</v>
      </c>
      <c r="D404" s="76">
        <v>1</v>
      </c>
      <c r="E404" t="str" cm="1">
        <f t="array" ref="E404">INDEX(aspek!$D$2:$D$337,
   MATCH(1,(aspek!$A$2:$A$337=B404)*
           (aspek!$B$2:$B$337=C404)*
           (aspek!$C$2:$C$337=D404),0))</f>
        <v>Kesediaan memutuskan tanpa kepastian penuh</v>
      </c>
      <c r="F404" s="76">
        <v>3</v>
      </c>
      <c r="G404" s="56" t="str" cm="1">
        <f t="array" ref="G404">INDEX(deskripsi!$D$2:$H$337,
   MATCH(1,(deskripsi!$A$2:$A$337=B404)*
           (deskripsi!$B$2:$B$337=C404)*
           (deskripsi!$C$2:$C$337=D404),0),
   F404)</f>
        <v>Memutuskan tepat waktu pada perkara yang sudah familiar.</v>
      </c>
    </row>
    <row r="405" spans="1:7" ht="28">
      <c r="A405" t="str">
        <f t="shared" si="6"/>
        <v>Problem Solving &amp; Decision Making|Unit Head/Specialist|1|4</v>
      </c>
      <c r="B405" t="str">
        <v>Problem Solving &amp; Decision Making</v>
      </c>
      <c r="C405" t="str">
        <v>Unit Head/Specialist</v>
      </c>
      <c r="D405" s="76">
        <v>1</v>
      </c>
      <c r="E405" t="str" cm="1">
        <f t="array" ref="E405">INDEX(aspek!$D$2:$D$337,
   MATCH(1,(aspek!$A$2:$A$337=B405)*
           (aspek!$B$2:$B$337=C405)*
           (aspek!$C$2:$C$337=D405),0))</f>
        <v>Kesediaan memutuskan tanpa kepastian penuh</v>
      </c>
      <c r="F405" s="76">
        <v>4</v>
      </c>
      <c r="G405" s="56" t="str" cm="1">
        <f t="array" ref="G405">INDEX(deskripsi!$D$2:$H$337,
   MATCH(1,(deskripsi!$A$2:$A$337=B405)*
           (deskripsi!$B$2:$B$337=C405)*
           (deskripsi!$C$2:$C$337=D405),0),
   F405)</f>
        <v>Menetapkan sendiri batas informasi minimum dan bergerak pada batas itu, termasuk pada perkara baru.</v>
      </c>
    </row>
    <row r="406" spans="1:7">
      <c r="A406" t="str">
        <f t="shared" si="6"/>
        <v>Problem Solving &amp; Decision Making|Unit Head/Specialist|1|5</v>
      </c>
      <c r="B406" t="str">
        <v>Problem Solving &amp; Decision Making</v>
      </c>
      <c r="C406" t="str">
        <v>Unit Head/Specialist</v>
      </c>
      <c r="D406" s="76">
        <v>1</v>
      </c>
      <c r="E406" t="str" cm="1">
        <f t="array" ref="E406">INDEX(aspek!$D$2:$D$337,
   MATCH(1,(aspek!$A$2:$A$337=B406)*
           (aspek!$B$2:$B$337=C406)*
           (aspek!$C$2:$C$337=D406),0))</f>
        <v>Kesediaan memutuskan tanpa kepastian penuh</v>
      </c>
      <c r="F406" s="76">
        <v>5</v>
      </c>
      <c r="G406" s="56" t="str" cm="1">
        <f t="array" ref="G406">INDEX(deskripsi!$D$2:$H$337,
   MATCH(1,(deskripsi!$A$2:$A$337=B406)*
           (deskripsi!$B$2:$B$337=C406)*
           (deskripsi!$C$2:$C$337=D406),0),
   F406)</f>
        <v>Memutuskan lebih awal ketika penundaan justru lebih berisiko.</v>
      </c>
    </row>
    <row r="407" spans="1:7">
      <c r="A407" t="str">
        <f t="shared" si="6"/>
        <v>Problem Solving &amp; Decision Making|Unit Head/Specialist|2|1</v>
      </c>
      <c r="B407" t="str">
        <v>Problem Solving &amp; Decision Making</v>
      </c>
      <c r="C407" t="str">
        <v>Unit Head/Specialist</v>
      </c>
      <c r="D407" s="76">
        <v>2</v>
      </c>
      <c r="E407" t="str" cm="1">
        <f t="array" ref="E407">INDEX(aspek!$D$2:$D$337,
   MATCH(1,(aspek!$A$2:$A$337=B407)*
           (aspek!$B$2:$B$337=C407)*
           (aspek!$C$2:$C$337=D407),0))</f>
        <v>Kualitas proses pertimbangan</v>
      </c>
      <c r="F407" s="76">
        <v>1</v>
      </c>
      <c r="G407" s="56" t="str" cm="1">
        <f t="array" ref="G407">INDEX(deskripsi!$D$2:$H$337,
   MATCH(1,(deskripsi!$A$2:$A$337=B407)*
           (deskripsi!$B$2:$B$337=C407)*
           (deskripsi!$C$2:$C$337=D407),0),
   F407)</f>
        <v>Memutuskan berdasarkan kebiasaan tanpa dasar yang jelas.</v>
      </c>
    </row>
    <row r="408" spans="1:7">
      <c r="A408" t="str">
        <f t="shared" si="6"/>
        <v>Problem Solving &amp; Decision Making|Unit Head/Specialist|2|2</v>
      </c>
      <c r="B408" t="str">
        <v>Problem Solving &amp; Decision Making</v>
      </c>
      <c r="C408" t="str">
        <v>Unit Head/Specialist</v>
      </c>
      <c r="D408" s="76">
        <v>2</v>
      </c>
      <c r="E408" t="str" cm="1">
        <f t="array" ref="E408">INDEX(aspek!$D$2:$D$337,
   MATCH(1,(aspek!$A$2:$A$337=B408)*
           (aspek!$B$2:$B$337=C408)*
           (aspek!$C$2:$C$337=D408),0))</f>
        <v>Kualitas proses pertimbangan</v>
      </c>
      <c r="F408" s="76">
        <v>2</v>
      </c>
      <c r="G408" s="56" t="str" cm="1">
        <f t="array" ref="G408">INDEX(deskripsi!$D$2:$H$337,
   MATCH(1,(deskripsi!$A$2:$A$337=B408)*
           (deskripsi!$B$2:$B$337=C408)*
           (deskripsi!$C$2:$C$337=D408),0),
   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76">
        <v>2</v>
      </c>
      <c r="E409" t="str" cm="1">
        <f t="array" ref="E409">INDEX(aspek!$D$2:$D$337,
   MATCH(1,(aspek!$A$2:$A$337=B409)*
           (aspek!$B$2:$B$337=C409)*
           (aspek!$C$2:$C$337=D409),0))</f>
        <v>Kualitas proses pertimbangan</v>
      </c>
      <c r="F409" s="76">
        <v>3</v>
      </c>
      <c r="G409" s="56" t="str" cm="1">
        <f t="array" ref="G409">INDEX(deskripsi!$D$2:$H$337,
   MATCH(1,(deskripsi!$A$2:$A$337=B409)*
           (deskripsi!$B$2:$B$337=C409)*
           (deskripsi!$C$2:$C$337=D409),0),
   F409)</f>
        <v>Memilih opsi yang paling masuk akal dengan pertimbangan yang dapat dijelaskan.</v>
      </c>
    </row>
    <row r="410" spans="1:7" ht="28">
      <c r="A410" t="str">
        <f t="shared" si="6"/>
        <v>Problem Solving &amp; Decision Making|Unit Head/Specialist|2|4</v>
      </c>
      <c r="B410" t="str">
        <v>Problem Solving &amp; Decision Making</v>
      </c>
      <c r="C410" t="str">
        <v>Unit Head/Specialist</v>
      </c>
      <c r="D410" s="76">
        <v>2</v>
      </c>
      <c r="E410" t="str" cm="1">
        <f t="array" ref="E410">INDEX(aspek!$D$2:$D$337,
   MATCH(1,(aspek!$A$2:$A$337=B410)*
           (aspek!$B$2:$B$337=C410)*
           (aspek!$C$2:$C$337=D410),0))</f>
        <v>Kualitas proses pertimbangan</v>
      </c>
      <c r="F410" s="76">
        <v>4</v>
      </c>
      <c r="G410" s="56" t="str" cm="1">
        <f t="array" ref="G410">INDEX(deskripsi!$D$2:$H$337,
   MATCH(1,(deskripsi!$A$2:$A$337=B410)*
           (deskripsi!$B$2:$B$337=C410)*
           (deskripsi!$C$2:$C$337=D410),0),
   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76">
        <v>2</v>
      </c>
      <c r="E411" t="str" cm="1">
        <f t="array" ref="E411">INDEX(aspek!$D$2:$D$337,
   MATCH(1,(aspek!$A$2:$A$337=B411)*
           (aspek!$B$2:$B$337=C411)*
           (aspek!$C$2:$C$337=D411),0))</f>
        <v>Kualitas proses pertimbangan</v>
      </c>
      <c r="F411" s="76">
        <v>5</v>
      </c>
      <c r="G411" s="56" t="str" cm="1">
        <f t="array" ref="G411">INDEX(deskripsi!$D$2:$H$337,
   MATCH(1,(deskripsi!$A$2:$A$337=B411)*
           (deskripsi!$B$2:$B$337=C411)*
           (deskripsi!$C$2:$C$337=D411),0),
   F411)</f>
        <v>Memakai pelajaran sebelumnya dan pertimbangan jangka panjang.</v>
      </c>
    </row>
    <row r="412" spans="1:7">
      <c r="A412" t="str">
        <f t="shared" si="6"/>
        <v>Problem Solving &amp; Decision Making|Unit Head/Specialist|3|1</v>
      </c>
      <c r="B412" t="str">
        <v>Problem Solving &amp; Decision Making</v>
      </c>
      <c r="C412" t="str">
        <v>Unit Head/Specialist</v>
      </c>
      <c r="D412" s="76">
        <v>3</v>
      </c>
      <c r="E412" t="str" cm="1">
        <f t="array" ref="E412">INDEX(aspek!$D$2:$D$337,
   MATCH(1,(aspek!$A$2:$A$337=B412)*
           (aspek!$B$2:$B$337=C412)*
           (aspek!$C$2:$C$337=D412),0))</f>
        <v>Tanggung jawab atas keputusan</v>
      </c>
      <c r="F412" s="76">
        <v>1</v>
      </c>
      <c r="G412" s="56" t="str" cm="1">
        <f t="array" ref="G412">INDEX(deskripsi!$D$2:$H$337,
   MATCH(1,(deskripsi!$A$2:$A$337=B412)*
           (deskripsi!$B$2:$B$337=C412)*
           (deskripsi!$C$2:$C$337=D412),0),
   F412)</f>
        <v>Menghindari keputusan agar tidak menanggung akibatnya.</v>
      </c>
    </row>
    <row r="413" spans="1:7" ht="28">
      <c r="A413" t="str">
        <f t="shared" si="6"/>
        <v>Problem Solving &amp; Decision Making|Unit Head/Specialist|3|2</v>
      </c>
      <c r="B413" t="str">
        <v>Problem Solving &amp; Decision Making</v>
      </c>
      <c r="C413" t="str">
        <v>Unit Head/Specialist</v>
      </c>
      <c r="D413" s="76">
        <v>3</v>
      </c>
      <c r="E413" t="str" cm="1">
        <f t="array" ref="E413">INDEX(aspek!$D$2:$D$337,
   MATCH(1,(aspek!$A$2:$A$337=B413)*
           (aspek!$B$2:$B$337=C413)*
           (aspek!$C$2:$C$337=D413),0))</f>
        <v>Tanggung jawab atas keputusan</v>
      </c>
      <c r="F413" s="76">
        <v>2</v>
      </c>
      <c r="G413" s="56" t="str" cm="1">
        <f t="array" ref="G413">INDEX(deskripsi!$D$2:$H$337,
   MATCH(1,(deskripsi!$A$2:$A$337=B413)*
           (deskripsi!$B$2:$B$337=C413)*
           (deskripsi!$C$2:$C$337=D413),0),
   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76">
        <v>3</v>
      </c>
      <c r="E414" t="str" cm="1">
        <f t="array" ref="E414">INDEX(aspek!$D$2:$D$337,
   MATCH(1,(aspek!$A$2:$A$337=B414)*
           (aspek!$B$2:$B$337=C414)*
           (aspek!$C$2:$C$337=D414),0))</f>
        <v>Tanggung jawab atas keputusan</v>
      </c>
      <c r="F414" s="76">
        <v>3</v>
      </c>
      <c r="G414" s="56" t="str" cm="1">
        <f t="array" ref="G414">INDEX(deskripsi!$D$2:$H$337,
   MATCH(1,(deskripsi!$A$2:$A$337=B414)*
           (deskripsi!$B$2:$B$337=C414)*
           (deskripsi!$C$2:$C$337=D414),0),
   F414)</f>
        <v>Bertanggung jawab dan mampu menjelaskan dasarnya.</v>
      </c>
    </row>
    <row r="415" spans="1:7" ht="42">
      <c r="A415" t="str">
        <f t="shared" si="6"/>
        <v>Problem Solving &amp; Decision Making|Unit Head/Specialist|3|4</v>
      </c>
      <c r="B415" t="str">
        <v>Problem Solving &amp; Decision Making</v>
      </c>
      <c r="C415" t="str">
        <v>Unit Head/Specialist</v>
      </c>
      <c r="D415" s="76">
        <v>3</v>
      </c>
      <c r="E415" t="str" cm="1">
        <f t="array" ref="E415">INDEX(aspek!$D$2:$D$337,
   MATCH(1,(aspek!$A$2:$A$337=B415)*
           (aspek!$B$2:$B$337=C415)*
           (aspek!$C$2:$C$337=D415),0))</f>
        <v>Tanggung jawab atas keputusan</v>
      </c>
      <c r="F415" s="76">
        <v>4</v>
      </c>
      <c r="G415" s="56" t="str" cm="1">
        <f t="array" ref="G415">INDEX(deskripsi!$D$2:$H$337,
   MATCH(1,(deskripsi!$A$2:$A$337=B415)*
           (deskripsi!$B$2:$B$337=C415)*
           (deskripsi!$C$2:$C$337=D415),0),
   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76">
        <v>3</v>
      </c>
      <c r="E416" t="str" cm="1">
        <f t="array" ref="E416">INDEX(aspek!$D$2:$D$337,
   MATCH(1,(aspek!$A$2:$A$337=B416)*
           (aspek!$B$2:$B$337=C416)*
           (aspek!$C$2:$C$337=D416),0))</f>
        <v>Tanggung jawab atas keputusan</v>
      </c>
      <c r="F416" s="76">
        <v>5</v>
      </c>
      <c r="G416" s="56" t="str" cm="1">
        <f t="array" ref="G416">INDEX(deskripsi!$D$2:$H$337,
   MATCH(1,(deskripsi!$A$2:$A$337=B416)*
           (deskripsi!$B$2:$B$337=C416)*
           (deskripsi!$C$2:$C$337=D416),0),
   F416)</f>
        <v>Dipercayakan perkara yang lebih berisiko karena kesediaannya menanggung keputusan.</v>
      </c>
    </row>
    <row r="417" spans="1:7">
      <c r="A417" t="str">
        <f t="shared" si="6"/>
        <v>Problem Solving &amp; Decision Making|Unit Head/Specialist|4|1</v>
      </c>
      <c r="B417" t="str">
        <v>Problem Solving &amp; Decision Making</v>
      </c>
      <c r="C417" t="str">
        <v>Unit Head/Specialist</v>
      </c>
      <c r="D417" s="76">
        <v>4</v>
      </c>
      <c r="E417" t="str" cm="1">
        <f t="array" ref="E417">INDEX(aspek!$D$2:$D$337,
   MATCH(1,(aspek!$A$2:$A$337=B417)*
           (aspek!$B$2:$B$337=C417)*
           (aspek!$C$2:$C$337=D417),0))</f>
        <v>Ketepatan berdasarkan informasi saat itu</v>
      </c>
      <c r="F417" s="76">
        <v>1</v>
      </c>
      <c r="G417" s="56" t="str" cm="1">
        <f t="array" ref="G417">INDEX(deskripsi!$D$2:$H$337,
   MATCH(1,(deskripsi!$A$2:$A$337=B417)*
           (deskripsi!$B$2:$B$337=C417)*
           (deskripsi!$C$2:$C$337=D417),0),
   F417)</f>
        <v>Keputusan sering meleset jauh dari informasi yang tersedia.</v>
      </c>
    </row>
    <row r="418" spans="1:7">
      <c r="A418" t="str">
        <f t="shared" si="6"/>
        <v>Problem Solving &amp; Decision Making|Unit Head/Specialist|4|2</v>
      </c>
      <c r="B418" t="str">
        <v>Problem Solving &amp; Decision Making</v>
      </c>
      <c r="C418" t="str">
        <v>Unit Head/Specialist</v>
      </c>
      <c r="D418" s="76">
        <v>4</v>
      </c>
      <c r="E418" t="str" cm="1">
        <f t="array" ref="E418">INDEX(aspek!$D$2:$D$337,
   MATCH(1,(aspek!$A$2:$A$337=B418)*
           (aspek!$B$2:$B$337=C418)*
           (aspek!$C$2:$C$337=D418),0))</f>
        <v>Ketepatan berdasarkan informasi saat itu</v>
      </c>
      <c r="F418" s="76">
        <v>2</v>
      </c>
      <c r="G418" s="56" t="str" cm="1">
        <f t="array" ref="G418">INDEX(deskripsi!$D$2:$H$337,
   MATCH(1,(deskripsi!$A$2:$A$337=B418)*
           (deskripsi!$B$2:$B$337=C418)*
           (deskripsi!$C$2:$C$337=D418),0),
   F418)</f>
        <v>Keputusan cukup tepat pada situasi yang sederhana.</v>
      </c>
    </row>
    <row r="419" spans="1:7">
      <c r="A419" t="str">
        <f t="shared" si="6"/>
        <v>Problem Solving &amp; Decision Making|Unit Head/Specialist|4|3</v>
      </c>
      <c r="B419" t="str">
        <v>Problem Solving &amp; Decision Making</v>
      </c>
      <c r="C419" t="str">
        <v>Unit Head/Specialist</v>
      </c>
      <c r="D419" s="76">
        <v>4</v>
      </c>
      <c r="E419" t="str" cm="1">
        <f t="array" ref="E419">INDEX(aspek!$D$2:$D$337,
   MATCH(1,(aspek!$A$2:$A$337=B419)*
           (aspek!$B$2:$B$337=C419)*
           (aspek!$C$2:$C$337=D419),0))</f>
        <v>Ketepatan berdasarkan informasi saat itu</v>
      </c>
      <c r="F419" s="76">
        <v>3</v>
      </c>
      <c r="G419" s="56" t="str" cm="1">
        <f t="array" ref="G419">INDEX(deskripsi!$D$2:$H$337,
   MATCH(1,(deskripsi!$A$2:$A$337=B419)*
           (deskripsi!$B$2:$B$337=C419)*
           (deskripsi!$C$2:$C$337=D419),0),
   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76">
        <v>4</v>
      </c>
      <c r="E420" t="str" cm="1">
        <f t="array" ref="E420">INDEX(aspek!$D$2:$D$337,
   MATCH(1,(aspek!$A$2:$A$337=B420)*
           (aspek!$B$2:$B$337=C420)*
           (aspek!$C$2:$C$337=D420),0))</f>
        <v>Ketepatan berdasarkan informasi saat itu</v>
      </c>
      <c r="F420" s="76">
        <v>4</v>
      </c>
      <c r="G420" s="56" t="str" cm="1">
        <f t="array" ref="G420">INDEX(deskripsi!$D$2:$H$337,
   MATCH(1,(deskripsi!$A$2:$A$337=B420)*
           (deskripsi!$B$2:$B$337=C420)*
           (deskripsi!$C$2:$C$337=D420),0),
   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76">
        <v>4</v>
      </c>
      <c r="E421" t="str" cm="1">
        <f t="array" ref="E421">INDEX(aspek!$D$2:$D$337,
   MATCH(1,(aspek!$A$2:$A$337=B421)*
           (aspek!$B$2:$B$337=C421)*
           (aspek!$C$2:$C$337=D421),0))</f>
        <v>Ketepatan berdasarkan informasi saat itu</v>
      </c>
      <c r="F421" s="76">
        <v>5</v>
      </c>
      <c r="G421" s="56" t="str" cm="1">
        <f t="array" ref="G421">INDEX(deskripsi!$D$2:$H$337,
   MATCH(1,(deskripsi!$A$2:$A$337=B421)*
           (deskripsi!$B$2:$B$337=C421)*
           (deskripsi!$C$2:$C$337=D421),0),
   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76">
        <v>1</v>
      </c>
      <c r="E422" t="str" cm="1">
        <f t="array" ref="E422">INDEX(aspek!$D$2:$D$337,
   MATCH(1,(aspek!$A$2:$A$337=B422)*
           (aspek!$B$2:$B$337=C422)*
           (aspek!$C$2:$C$337=D422),0))</f>
        <v>Kesediaan mengambil risiko</v>
      </c>
      <c r="F422" s="76">
        <v>1</v>
      </c>
      <c r="G422" s="56" t="str" cm="1">
        <f t="array" ref="G422">INDEX(deskripsi!$D$2:$H$337,
   MATCH(1,(deskripsi!$A$2:$A$337=B422)*
           (deskripsi!$B$2:$B$337=C422)*
           (deskripsi!$C$2:$C$337=D422),0),
   F422)</f>
        <v>Menghindari risiko; bertahan pada cara yang sudah pasti aman.</v>
      </c>
    </row>
    <row r="423" spans="1:7" ht="28">
      <c r="A423" t="str">
        <f t="shared" si="6"/>
        <v>Problem Solving &amp; Decision Making|Department Head|1|2</v>
      </c>
      <c r="B423" t="str">
        <v>Problem Solving &amp; Decision Making</v>
      </c>
      <c r="C423" t="str">
        <v>Department Head</v>
      </c>
      <c r="D423" s="76">
        <v>1</v>
      </c>
      <c r="E423" t="str" cm="1">
        <f t="array" ref="E423">INDEX(aspek!$D$2:$D$337,
   MATCH(1,(aspek!$A$2:$A$337=B423)*
           (aspek!$B$2:$B$337=C423)*
           (aspek!$C$2:$C$337=D423),0))</f>
        <v>Kesediaan mengambil risiko</v>
      </c>
      <c r="F423" s="76">
        <v>2</v>
      </c>
      <c r="G423" s="56" t="str" cm="1">
        <f t="array" ref="G423">INDEX(deskripsi!$D$2:$H$337,
   MATCH(1,(deskripsi!$A$2:$A$337=B423)*
           (deskripsi!$B$2:$B$337=C423)*
           (deskripsi!$C$2:$C$337=D423),0),
   F423)</f>
        <v>Mempertimbangkan mencoba, tetapi ragu dan kembali ke cara lama.</v>
      </c>
    </row>
    <row r="424" spans="1:7" ht="28">
      <c r="A424" t="str">
        <f t="shared" si="6"/>
        <v>Problem Solving &amp; Decision Making|Department Head|1|3</v>
      </c>
      <c r="B424" t="str">
        <v>Problem Solving &amp; Decision Making</v>
      </c>
      <c r="C424" t="str">
        <v>Department Head</v>
      </c>
      <c r="D424" s="76">
        <v>1</v>
      </c>
      <c r="E424" t="str" cm="1">
        <f t="array" ref="E424">INDEX(aspek!$D$2:$D$337,
   MATCH(1,(aspek!$A$2:$A$337=B424)*
           (aspek!$B$2:$B$337=C424)*
           (aspek!$C$2:$C$337=D424),0))</f>
        <v>Kesediaan mengambil risiko</v>
      </c>
      <c r="F424" s="76">
        <v>3</v>
      </c>
      <c r="G424" s="56" t="str" cm="1">
        <f t="array" ref="G424">INDEX(deskripsi!$D$2:$H$337,
   MATCH(1,(deskripsi!$A$2:$A$337=B424)*
           (deskripsi!$B$2:$B$337=C424)*
           (deskripsi!$C$2:$C$337=D424),0),
   F424)</f>
        <v>Mencoba pendekatan baru setelah risikonya dihitung dan dinilai kecil.</v>
      </c>
    </row>
    <row r="425" spans="1:7" ht="28">
      <c r="A425" t="str">
        <f t="shared" si="6"/>
        <v>Problem Solving &amp; Decision Making|Department Head|1|4</v>
      </c>
      <c r="B425" t="str">
        <v>Problem Solving &amp; Decision Making</v>
      </c>
      <c r="C425" t="str">
        <v>Department Head</v>
      </c>
      <c r="D425" s="76">
        <v>1</v>
      </c>
      <c r="E425" t="str" cm="1">
        <f t="array" ref="E425">INDEX(aspek!$D$2:$D$337,
   MATCH(1,(aspek!$A$2:$A$337=B425)*
           (aspek!$B$2:$B$337=C425)*
           (aspek!$C$2:$C$337=D425),0))</f>
        <v>Kesediaan mengambil risiko</v>
      </c>
      <c r="F425" s="76">
        <v>4</v>
      </c>
      <c r="G425" s="56" t="str" cm="1">
        <f t="array" ref="G425">INDEX(deskripsi!$D$2:$H$337,
   MATCH(1,(deskripsi!$A$2:$A$337=B425)*
           (deskripsi!$B$2:$B$337=C425)*
           (deskripsi!$C$2:$C$337=D425),0),
   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76">
        <v>1</v>
      </c>
      <c r="E426" t="str" cm="1">
        <f t="array" ref="E426">INDEX(aspek!$D$2:$D$337,
   MATCH(1,(aspek!$A$2:$A$337=B426)*
           (aspek!$B$2:$B$337=C426)*
           (aspek!$C$2:$C$337=D426),0))</f>
        <v>Kesediaan mengambil risiko</v>
      </c>
      <c r="F426" s="76">
        <v>5</v>
      </c>
      <c r="G426" s="56" t="str" cm="1">
        <f t="array" ref="G426">INDEX(deskripsi!$D$2:$H$337,
   MATCH(1,(deskripsi!$A$2:$A$337=B426)*
           (deskripsi!$B$2:$B$337=C426)*
           (deskripsi!$C$2:$C$337=D426),0),
   F426)</f>
        <v>Mendorong orang lain untuk berani mencoba dengan cara yang sama.</v>
      </c>
    </row>
    <row r="427" spans="1:7" ht="28">
      <c r="A427" t="str">
        <f t="shared" si="6"/>
        <v>Problem Solving &amp; Decision Making|Department Head|2|1</v>
      </c>
      <c r="B427" t="str">
        <v>Problem Solving &amp; Decision Making</v>
      </c>
      <c r="C427" t="str">
        <v>Department Head</v>
      </c>
      <c r="D427" s="76">
        <v>2</v>
      </c>
      <c r="E427" t="str" cm="1">
        <f t="array" ref="E427">INDEX(aspek!$D$2:$D$337,
   MATCH(1,(aspek!$A$2:$A$337=B427)*
           (aspek!$B$2:$B$337=C427)*
           (aspek!$C$2:$C$337=D427),0))</f>
        <v xml:space="preserve">Kualitas perhitungan risiko </v>
      </c>
      <c r="F427" s="76">
        <v>1</v>
      </c>
      <c r="G427" s="56" t="str" cm="1">
        <f t="array" ref="G427">INDEX(deskripsi!$D$2:$H$337,
   MATCH(1,(deskripsi!$A$2:$A$337=B427)*
           (deskripsi!$B$2:$B$337=C427)*
           (deskripsi!$C$2:$C$337=D427),0),
   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76">
        <v>2</v>
      </c>
      <c r="E428" t="str" cm="1">
        <f t="array" ref="E428">INDEX(aspek!$D$2:$D$337,
   MATCH(1,(aspek!$A$2:$A$337=B428)*
           (aspek!$B$2:$B$337=C428)*
           (aspek!$C$2:$C$337=D428),0))</f>
        <v xml:space="preserve">Kualitas perhitungan risiko </v>
      </c>
      <c r="F428" s="76">
        <v>2</v>
      </c>
      <c r="G428" s="56" t="str" cm="1">
        <f t="array" ref="G428">INDEX(deskripsi!$D$2:$H$337,
   MATCH(1,(deskripsi!$A$2:$A$337=B428)*
           (deskripsi!$B$2:$B$337=C428)*
           (deskripsi!$C$2:$C$337=D428),0),
   F428)</f>
        <v>Menghitung risiko tetapi terlalu berhati-hati sehingga tidak pernah benar-benar mencoba.</v>
      </c>
    </row>
    <row r="429" spans="1:7">
      <c r="A429" t="str">
        <f t="shared" si="6"/>
        <v>Problem Solving &amp; Decision Making|Department Head|2|3</v>
      </c>
      <c r="B429" t="str">
        <v>Problem Solving &amp; Decision Making</v>
      </c>
      <c r="C429" t="str">
        <v>Department Head</v>
      </c>
      <c r="D429" s="76">
        <v>2</v>
      </c>
      <c r="E429" t="str" cm="1">
        <f t="array" ref="E429">INDEX(aspek!$D$2:$D$337,
   MATCH(1,(aspek!$A$2:$A$337=B429)*
           (aspek!$B$2:$B$337=C429)*
           (aspek!$C$2:$C$337=D429),0))</f>
        <v xml:space="preserve">Kualitas perhitungan risiko </v>
      </c>
      <c r="F429" s="76">
        <v>3</v>
      </c>
      <c r="G429" s="56" t="str" cm="1">
        <f t="array" ref="G429">INDEX(deskripsi!$D$2:$H$337,
   MATCH(1,(deskripsi!$A$2:$A$337=B429)*
           (deskripsi!$B$2:$B$337=C429)*
           (deskripsi!$C$2:$C$337=D429),0),
   F429)</f>
        <v>Menghitung risiko secara wajar untuk uji coba skala kecil.</v>
      </c>
    </row>
    <row r="430" spans="1:7" ht="28">
      <c r="A430" t="str">
        <f t="shared" si="6"/>
        <v>Problem Solving &amp; Decision Making|Department Head|2|4</v>
      </c>
      <c r="B430" t="str">
        <v>Problem Solving &amp; Decision Making</v>
      </c>
      <c r="C430" t="str">
        <v>Department Head</v>
      </c>
      <c r="D430" s="76">
        <v>2</v>
      </c>
      <c r="E430" t="str" cm="1">
        <f t="array" ref="E430">INDEX(aspek!$D$2:$D$337,
   MATCH(1,(aspek!$A$2:$A$337=B430)*
           (aspek!$B$2:$B$337=C430)*
           (aspek!$C$2:$C$337=D430),0))</f>
        <v xml:space="preserve">Kualitas perhitungan risiko </v>
      </c>
      <c r="F430" s="76">
        <v>4</v>
      </c>
      <c r="G430" s="56" t="str" cm="1">
        <f t="array" ref="G430">INDEX(deskripsi!$D$2:$H$337,
   MATCH(1,(deskripsi!$A$2:$A$337=B430)*
           (deskripsi!$B$2:$B$337=C430)*
           (deskripsi!$C$2:$C$337=D430),0),
   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76">
        <v>2</v>
      </c>
      <c r="E431" t="str" cm="1">
        <f t="array" ref="E431">INDEX(aspek!$D$2:$D$337,
   MATCH(1,(aspek!$A$2:$A$337=B431)*
           (aspek!$B$2:$B$337=C431)*
           (aspek!$C$2:$C$337=D431),0))</f>
        <v xml:space="preserve">Kualitas perhitungan risiko </v>
      </c>
      <c r="F431" s="76">
        <v>5</v>
      </c>
      <c r="G431" s="56" t="str" cm="1">
        <f t="array" ref="G431">INDEX(deskripsi!$D$2:$H$337,
   MATCH(1,(deskripsi!$A$2:$A$337=B431)*
           (deskripsi!$B$2:$B$337=C431)*
           (deskripsi!$C$2:$C$337=D431),0),
   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76">
        <v>3</v>
      </c>
      <c r="E432" t="str" cm="1">
        <f t="array" ref="E432">INDEX(aspek!$D$2:$D$337,
   MATCH(1,(aspek!$A$2:$A$337=B432)*
           (aspek!$B$2:$B$337=C432)*
           (aspek!$C$2:$C$337=D432),0))</f>
        <v>Pengelolaan kegagalan</v>
      </c>
      <c r="F432" s="76">
        <v>1</v>
      </c>
      <c r="G432" s="56" t="str" cm="1">
        <f t="array" ref="G432">INDEX(deskripsi!$D$2:$H$337,
   MATCH(1,(deskripsi!$A$2:$A$337=B432)*
           (deskripsi!$B$2:$B$337=C432)*
           (deskripsi!$C$2:$C$337=D432),0),
   F432)</f>
        <v>Menyembunyikan atau menutupi kegagalan uji coba.</v>
      </c>
    </row>
    <row r="433" spans="1:7">
      <c r="A433" t="str">
        <f t="shared" si="6"/>
        <v>Problem Solving &amp; Decision Making|Department Head|3|2</v>
      </c>
      <c r="B433" t="str">
        <v>Problem Solving &amp; Decision Making</v>
      </c>
      <c r="C433" t="str">
        <v>Department Head</v>
      </c>
      <c r="D433" s="76">
        <v>3</v>
      </c>
      <c r="E433" t="str" cm="1">
        <f t="array" ref="E433">INDEX(aspek!$D$2:$D$337,
   MATCH(1,(aspek!$A$2:$A$337=B433)*
           (aspek!$B$2:$B$337=C433)*
           (aspek!$C$2:$C$337=D433),0))</f>
        <v>Pengelolaan kegagalan</v>
      </c>
      <c r="F433" s="76">
        <v>2</v>
      </c>
      <c r="G433" s="56" t="str" cm="1">
        <f t="array" ref="G433">INDEX(deskripsi!$D$2:$H$337,
   MATCH(1,(deskripsi!$A$2:$A$337=B433)*
           (deskripsi!$B$2:$B$337=C433)*
           (deskripsi!$C$2:$C$337=D433),0),
   F433)</f>
        <v>Melaporkan kegagalan hanya ketika ditanya.</v>
      </c>
    </row>
    <row r="434" spans="1:7">
      <c r="A434" t="str">
        <f t="shared" si="6"/>
        <v>Problem Solving &amp; Decision Making|Department Head|3|3</v>
      </c>
      <c r="B434" t="str">
        <v>Problem Solving &amp; Decision Making</v>
      </c>
      <c r="C434" t="str">
        <v>Department Head</v>
      </c>
      <c r="D434" s="76">
        <v>3</v>
      </c>
      <c r="E434" t="str" cm="1">
        <f t="array" ref="E434">INDEX(aspek!$D$2:$D$337,
   MATCH(1,(aspek!$A$2:$A$337=B434)*
           (aspek!$B$2:$B$337=C434)*
           (aspek!$C$2:$C$337=D434),0))</f>
        <v>Pengelolaan kegagalan</v>
      </c>
      <c r="F434" s="76">
        <v>3</v>
      </c>
      <c r="G434" s="56" t="str" cm="1">
        <f t="array" ref="G434">INDEX(deskripsi!$D$2:$H$337,
   MATCH(1,(deskripsi!$A$2:$A$337=B434)*
           (deskripsi!$B$2:$B$337=C434)*
           (deskripsi!$C$2:$C$337=D434),0),
   F434)</f>
        <v>Melaporkan kegagalan secara terbuka pada kasus yang kecil.</v>
      </c>
    </row>
    <row r="435" spans="1:7" ht="28">
      <c r="A435" t="str">
        <f t="shared" si="6"/>
        <v>Problem Solving &amp; Decision Making|Department Head|3|4</v>
      </c>
      <c r="B435" t="str">
        <v>Problem Solving &amp; Decision Making</v>
      </c>
      <c r="C435" t="str">
        <v>Department Head</v>
      </c>
      <c r="D435" s="76">
        <v>3</v>
      </c>
      <c r="E435" t="str" cm="1">
        <f t="array" ref="E435">INDEX(aspek!$D$2:$D$337,
   MATCH(1,(aspek!$A$2:$A$337=B435)*
           (aspek!$B$2:$B$337=C435)*
           (aspek!$C$2:$C$337=D435),0))</f>
        <v>Pengelolaan kegagalan</v>
      </c>
      <c r="F435" s="76">
        <v>4</v>
      </c>
      <c r="G435" s="56" t="str" cm="1">
        <f t="array" ref="G435">INDEX(deskripsi!$D$2:$H$337,
   MATCH(1,(deskripsi!$A$2:$A$337=B435)*
           (deskripsi!$B$2:$B$337=C435)*
           (deskripsi!$C$2:$C$337=D435),0),
   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76">
        <v>3</v>
      </c>
      <c r="E436" t="str" cm="1">
        <f t="array" ref="E436">INDEX(aspek!$D$2:$D$337,
   MATCH(1,(aspek!$A$2:$A$337=B436)*
           (aspek!$B$2:$B$337=C436)*
           (aspek!$C$2:$C$337=D436),0))</f>
        <v>Pengelolaan kegagalan</v>
      </c>
      <c r="F436" s="76">
        <v>5</v>
      </c>
      <c r="G436" s="56" t="str" cm="1">
        <f t="array" ref="G436">INDEX(deskripsi!$D$2:$H$337,
   MATCH(1,(deskripsi!$A$2:$A$337=B436)*
           (deskripsi!$B$2:$B$337=C436)*
           (deskripsi!$C$2:$C$337=D436),0),
   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76">
        <v>4</v>
      </c>
      <c r="E437" t="str" cm="1">
        <f t="array" ref="E437">INDEX(aspek!$D$2:$D$337,
   MATCH(1,(aspek!$A$2:$A$337=B437)*
           (aspek!$B$2:$B$337=C437)*
           (aspek!$C$2:$C$337=D437),0))</f>
        <v>Mendorong eksperimen dalam tim</v>
      </c>
      <c r="F437" s="76">
        <v>1</v>
      </c>
      <c r="G437" s="56" t="str" cm="1">
        <f t="array" ref="G437">INDEX(deskripsi!$D$2:$H$337,
   MATCH(1,(deskripsi!$A$2:$A$337=B437)*
           (deskripsi!$B$2:$B$337=C437)*
           (deskripsi!$C$2:$C$337=D437),0),
   F437)</f>
        <v>Hanya dirinya yang berani mencoba; tim tetap menghindari risiko.</v>
      </c>
    </row>
    <row r="438" spans="1:7">
      <c r="A438" t="str">
        <f t="shared" si="6"/>
        <v>Problem Solving &amp; Decision Making|Department Head|4|2</v>
      </c>
      <c r="B438" t="str">
        <v>Problem Solving &amp; Decision Making</v>
      </c>
      <c r="C438" t="str">
        <v>Department Head</v>
      </c>
      <c r="D438" s="76">
        <v>4</v>
      </c>
      <c r="E438" t="str" cm="1">
        <f t="array" ref="E438">INDEX(aspek!$D$2:$D$337,
   MATCH(1,(aspek!$A$2:$A$337=B438)*
           (aspek!$B$2:$B$337=C438)*
           (aspek!$C$2:$C$337=D438),0))</f>
        <v>Mendorong eksperimen dalam tim</v>
      </c>
      <c r="F438" s="76">
        <v>2</v>
      </c>
      <c r="G438" s="56" t="str" cm="1">
        <f t="array" ref="G438">INDEX(deskripsi!$D$2:$H$337,
   MATCH(1,(deskripsi!$A$2:$A$337=B438)*
           (deskripsi!$B$2:$B$337=C438)*
           (deskripsi!$C$2:$C$337=D438),0),
   F438)</f>
        <v>Mengizinkan tim mencoba bila diminta, tanpa mendorong.</v>
      </c>
    </row>
    <row r="439" spans="1:7">
      <c r="A439" t="str">
        <f t="shared" si="6"/>
        <v>Problem Solving &amp; Decision Making|Department Head|4|3</v>
      </c>
      <c r="B439" t="str">
        <v>Problem Solving &amp; Decision Making</v>
      </c>
      <c r="C439" t="str">
        <v>Department Head</v>
      </c>
      <c r="D439" s="76">
        <v>4</v>
      </c>
      <c r="E439" t="str" cm="1">
        <f t="array" ref="E439">INDEX(aspek!$D$2:$D$337,
   MATCH(1,(aspek!$A$2:$A$337=B439)*
           (aspek!$B$2:$B$337=C439)*
           (aspek!$C$2:$C$337=D439),0))</f>
        <v>Mendorong eksperimen dalam tim</v>
      </c>
      <c r="F439" s="76">
        <v>3</v>
      </c>
      <c r="G439" s="56" t="str" cm="1">
        <f t="array" ref="G439">INDEX(deskripsi!$D$2:$H$337,
   MATCH(1,(deskripsi!$A$2:$A$337=B439)*
           (deskripsi!$B$2:$B$337=C439)*
           (deskripsi!$C$2:$C$337=D439),0),
   F439)</f>
        <v>Mendorong tim mencoba pada kesempatan tertentu.</v>
      </c>
    </row>
    <row r="440" spans="1:7" ht="28">
      <c r="A440" t="str">
        <f t="shared" si="6"/>
        <v>Problem Solving &amp; Decision Making|Department Head|4|4</v>
      </c>
      <c r="B440" t="str">
        <v>Problem Solving &amp; Decision Making</v>
      </c>
      <c r="C440" t="str">
        <v>Department Head</v>
      </c>
      <c r="D440" s="76">
        <v>4</v>
      </c>
      <c r="E440" t="str" cm="1">
        <f t="array" ref="E440">INDEX(aspek!$D$2:$D$337,
   MATCH(1,(aspek!$A$2:$A$337=B440)*
           (aspek!$B$2:$B$337=C440)*
           (aspek!$C$2:$C$337=D440),0))</f>
        <v>Mendorong eksperimen dalam tim</v>
      </c>
      <c r="F440" s="76">
        <v>4</v>
      </c>
      <c r="G440" s="56" t="str" cm="1">
        <f t="array" ref="G440">INDEX(deskripsi!$D$2:$H$337,
   MATCH(1,(deskripsi!$A$2:$A$337=B440)*
           (deskripsi!$B$2:$B$337=C440)*
           (deskripsi!$C$2:$C$337=D440),0),
   F440)</f>
        <v>Secara aktif mendampingi anggota tim yang menghindari risiko untuk berani mencoba dengan risiko terukur.</v>
      </c>
    </row>
    <row r="441" spans="1:7" ht="28">
      <c r="A441" t="str">
        <f t="shared" si="6"/>
        <v>Problem Solving &amp; Decision Making|Department Head|4|5</v>
      </c>
      <c r="B441" t="str">
        <v>Problem Solving &amp; Decision Making</v>
      </c>
      <c r="C441" t="str">
        <v>Department Head</v>
      </c>
      <c r="D441" s="76">
        <v>4</v>
      </c>
      <c r="E441" t="str" cm="1">
        <f t="array" ref="E441">INDEX(aspek!$D$2:$D$337,
   MATCH(1,(aspek!$A$2:$A$337=B441)*
           (aspek!$B$2:$B$337=C441)*
           (aspek!$C$2:$C$337=D441),0))</f>
        <v>Mendorong eksperimen dalam tim</v>
      </c>
      <c r="F441" s="76">
        <v>5</v>
      </c>
      <c r="G441" s="56" t="str" cm="1">
        <f t="array" ref="G441">INDEX(deskripsi!$D$2:$H$337,
   MATCH(1,(deskripsi!$A$2:$A$337=B441)*
           (deskripsi!$B$2:$B$337=C441)*
           (deskripsi!$C$2:$C$337=D441),0),
   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76">
        <v>1</v>
      </c>
      <c r="E442" t="str" cm="1">
        <f t="array" ref="E442">INDEX(aspek!$D$2:$D$337,
   MATCH(1,(aspek!$A$2:$A$337=B442)*
           (aspek!$B$2:$B$337=C442)*
           (aspek!$C$2:$C$337=D442),0))</f>
        <v>Kesediaan bergerak tanpa kepastian</v>
      </c>
      <c r="F442" s="76">
        <v>1</v>
      </c>
      <c r="G442" s="56" t="str" cm="1">
        <f t="array" ref="G442">INDEX(deskripsi!$D$2:$H$337,
   MATCH(1,(deskripsi!$A$2:$A$337=B442)*
           (deskripsi!$B$2:$B$337=C442)*
           (deskripsi!$C$2:$C$337=D442),0),
   F442)</f>
        <v>Pekerjaan berhenti sampai arah atau data jelas.</v>
      </c>
    </row>
    <row r="443" spans="1:7">
      <c r="A443" t="str">
        <f t="shared" si="6"/>
        <v>Problem Solving &amp; Decision Making|Division Head|1|2</v>
      </c>
      <c r="B443" t="str">
        <v>Problem Solving &amp; Decision Making</v>
      </c>
      <c r="C443" t="str">
        <v>Division Head</v>
      </c>
      <c r="D443" s="76">
        <v>1</v>
      </c>
      <c r="E443" t="str" cm="1">
        <f t="array" ref="E443">INDEX(aspek!$D$2:$D$337,
   MATCH(1,(aspek!$A$2:$A$337=B443)*
           (aspek!$B$2:$B$337=C443)*
           (aspek!$C$2:$C$337=D443),0))</f>
        <v>Kesediaan bergerak tanpa kepastian</v>
      </c>
      <c r="F443" s="76">
        <v>2</v>
      </c>
      <c r="G443" s="56" t="str" cm="1">
        <f t="array" ref="G443">INDEX(deskripsi!$D$2:$H$337,
   MATCH(1,(deskripsi!$A$2:$A$337=B443)*
           (deskripsi!$B$2:$B$337=C443)*
           (deskripsi!$C$2:$C$337=D443),0),
   F443)</f>
        <v>Bergerak hanya pada bagian yang sudah pasti.</v>
      </c>
    </row>
    <row r="444" spans="1:7">
      <c r="A444" t="str">
        <f t="shared" si="6"/>
        <v>Problem Solving &amp; Decision Making|Division Head|1|3</v>
      </c>
      <c r="B444" t="str">
        <v>Problem Solving &amp; Decision Making</v>
      </c>
      <c r="C444" t="str">
        <v>Division Head</v>
      </c>
      <c r="D444" s="76">
        <v>1</v>
      </c>
      <c r="E444" t="str" cm="1">
        <f t="array" ref="E444">INDEX(aspek!$D$2:$D$337,
   MATCH(1,(aspek!$A$2:$A$337=B444)*
           (aspek!$B$2:$B$337=C444)*
           (aspek!$C$2:$C$337=D444),0))</f>
        <v>Kesediaan bergerak tanpa kepastian</v>
      </c>
      <c r="F444" s="76">
        <v>3</v>
      </c>
      <c r="G444" s="56" t="str" cm="1">
        <f t="array" ref="G444">INDEX(deskripsi!$D$2:$H$337,
   MATCH(1,(deskripsi!$A$2:$A$337=B444)*
           (deskripsi!$B$2:$B$337=C444)*
           (deskripsi!$C$2:$C$337=D444),0),
   F444)</f>
        <v>Memutuskan setelah menunggu waktu yang wajar.</v>
      </c>
    </row>
    <row r="445" spans="1:7" ht="28">
      <c r="A445" t="str">
        <f t="shared" si="6"/>
        <v>Problem Solving &amp; Decision Making|Division Head|1|4</v>
      </c>
      <c r="B445" t="str">
        <v>Problem Solving &amp; Decision Making</v>
      </c>
      <c r="C445" t="str">
        <v>Division Head</v>
      </c>
      <c r="D445" s="76">
        <v>1</v>
      </c>
      <c r="E445" t="str" cm="1">
        <f t="array" ref="E445">INDEX(aspek!$D$2:$D$337,
   MATCH(1,(aspek!$A$2:$A$337=B445)*
           (aspek!$B$2:$B$337=C445)*
           (aspek!$C$2:$C$337=D445),0))</f>
        <v>Kesediaan bergerak tanpa kepastian</v>
      </c>
      <c r="F445" s="76">
        <v>4</v>
      </c>
      <c r="G445" s="56" t="str" cm="1">
        <f t="array" ref="G445">INDEX(deskripsi!$D$2:$H$337,
   MATCH(1,(deskripsi!$A$2:$A$337=B445)*
           (deskripsi!$B$2:$B$337=C445)*
           (deskripsi!$C$2:$C$337=D445),0),
   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76">
        <v>1</v>
      </c>
      <c r="E446" t="str" cm="1">
        <f t="array" ref="E446">INDEX(aspek!$D$2:$D$337,
   MATCH(1,(aspek!$A$2:$A$337=B446)*
           (aspek!$B$2:$B$337=C446)*
           (aspek!$C$2:$C$337=D446),0))</f>
        <v>Kesediaan bergerak tanpa kepastian</v>
      </c>
      <c r="F446" s="76">
        <v>5</v>
      </c>
      <c r="G446" s="56" t="str" cm="1">
        <f t="array" ref="G446">INDEX(deskripsi!$D$2:$H$337,
   MATCH(1,(deskripsi!$A$2:$A$337=B446)*
           (deskripsi!$B$2:$B$337=C446)*
           (deskripsi!$C$2:$C$337=D446),0),
   F446)</f>
        <v>Melihat periode belum jelas sebagai kesempatan bergerak lebih dulu.</v>
      </c>
    </row>
    <row r="447" spans="1:7">
      <c r="A447" t="str">
        <f t="shared" si="6"/>
        <v>Problem Solving &amp; Decision Making|Division Head|2|1</v>
      </c>
      <c r="B447" t="str">
        <v>Problem Solving &amp; Decision Making</v>
      </c>
      <c r="C447" t="str">
        <v>Division Head</v>
      </c>
      <c r="D447" s="76">
        <v>2</v>
      </c>
      <c r="E447" t="str" cm="1">
        <f t="array" ref="E447">INDEX(aspek!$D$2:$D$337,
   MATCH(1,(aspek!$A$2:$A$337=B447)*
           (aspek!$B$2:$B$337=C447)*
           (aspek!$C$2:$C$337=D447),0))</f>
        <v>Produktivitas kognitif dalam ketidakjelasan</v>
      </c>
      <c r="F447" s="76">
        <v>1</v>
      </c>
      <c r="G447" s="56" t="str" cm="1">
        <f t="array" ref="G447">INDEX(deskripsi!$D$2:$H$337,
   MATCH(1,(deskripsi!$A$2:$A$337=B447)*
           (deskripsi!$B$2:$B$337=C447)*
           (deskripsi!$C$2:$C$337=D447),0),
   F447)</f>
        <v>Berhenti berpikir jernih ketika keadaan membingungkan.</v>
      </c>
    </row>
    <row r="448" spans="1:7" ht="28">
      <c r="A448" t="str">
        <f t="shared" si="6"/>
        <v>Problem Solving &amp; Decision Making|Division Head|2|2</v>
      </c>
      <c r="B448" t="str">
        <v>Problem Solving &amp; Decision Making</v>
      </c>
      <c r="C448" t="str">
        <v>Division Head</v>
      </c>
      <c r="D448" s="76">
        <v>2</v>
      </c>
      <c r="E448" t="str" cm="1">
        <f t="array" ref="E448">INDEX(aspek!$D$2:$D$337,
   MATCH(1,(aspek!$A$2:$A$337=B448)*
           (aspek!$B$2:$B$337=C448)*
           (aspek!$C$2:$C$337=D448),0))</f>
        <v>Produktivitas kognitif dalam ketidakjelasan</v>
      </c>
      <c r="F448" s="76">
        <v>2</v>
      </c>
      <c r="G448" s="56" t="str" cm="1">
        <f t="array" ref="G448">INDEX(deskripsi!$D$2:$H$337,
   MATCH(1,(deskripsi!$A$2:$A$337=B448)*
           (deskripsi!$B$2:$B$337=C448)*
           (deskripsi!$C$2:$C$337=D448),0),
   F448)</f>
        <v>Masih berpikir, tetapi hanya menghasilkan daftar hal belum diketahui.</v>
      </c>
    </row>
    <row r="449" spans="1:7" ht="28">
      <c r="A449" t="str">
        <f t="shared" si="6"/>
        <v>Problem Solving &amp; Decision Making|Division Head|2|3</v>
      </c>
      <c r="B449" t="str">
        <v>Problem Solving &amp; Decision Making</v>
      </c>
      <c r="C449" t="str">
        <v>Division Head</v>
      </c>
      <c r="D449" s="76">
        <v>2</v>
      </c>
      <c r="E449" t="str" cm="1">
        <f t="array" ref="E449">INDEX(aspek!$D$2:$D$337,
   MATCH(1,(aspek!$A$2:$A$337=B449)*
           (aspek!$B$2:$B$337=C449)*
           (aspek!$C$2:$C$337=D449),0))</f>
        <v>Produktivitas kognitif dalam ketidakjelasan</v>
      </c>
      <c r="F449" s="76">
        <v>3</v>
      </c>
      <c r="G449" s="56" t="str" cm="1">
        <f t="array" ref="G449">INDEX(deskripsi!$D$2:$H$337,
   MATCH(1,(deskripsi!$A$2:$A$337=B449)*
           (deskripsi!$B$2:$B$337=C449)*
           (deskripsi!$C$2:$C$337=D449),0),
   F449)</f>
        <v>Menghasilkan analisis rapi, kesimpulan tetap menunggu data tambahan.</v>
      </c>
    </row>
    <row r="450" spans="1:7" ht="28">
      <c r="A450" t="str">
        <f t="shared" si="6"/>
        <v>Problem Solving &amp; Decision Making|Division Head|2|4</v>
      </c>
      <c r="B450" t="str">
        <v>Problem Solving &amp; Decision Making</v>
      </c>
      <c r="C450" t="str">
        <v>Division Head</v>
      </c>
      <c r="D450" s="76">
        <v>2</v>
      </c>
      <c r="E450" t="str" cm="1">
        <f t="array" ref="E450">INDEX(aspek!$D$2:$D$337,
   MATCH(1,(aspek!$A$2:$A$337=B450)*
           (aspek!$B$2:$B$337=C450)*
           (aspek!$C$2:$C$337=D450),0))</f>
        <v>Produktivitas kognitif dalam ketidakjelasan</v>
      </c>
      <c r="F450" s="76">
        <v>4</v>
      </c>
      <c r="G450" s="56" t="str" cm="1">
        <f t="array" ref="G450">INDEX(deskripsi!$D$2:$H$337,
   MATCH(1,(deskripsi!$A$2:$A$337=B450)*
           (deskripsi!$B$2:$B$337=C450)*
           (deskripsi!$C$2:$C$337=D450),0),
   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76">
        <v>2</v>
      </c>
      <c r="E451" t="str" cm="1">
        <f t="array" ref="E451">INDEX(aspek!$D$2:$D$337,
   MATCH(1,(aspek!$A$2:$A$337=B451)*
           (aspek!$B$2:$B$337=C451)*
           (aspek!$C$2:$C$337=D451),0))</f>
        <v>Produktivitas kognitif dalam ketidakjelasan</v>
      </c>
      <c r="F451" s="76">
        <v>5</v>
      </c>
      <c r="G451" s="56" t="str" cm="1">
        <f t="array" ref="G451">INDEX(deskripsi!$D$2:$H$337,
   MATCH(1,(deskripsi!$A$2:$A$337=B451)*
           (deskripsi!$B$2:$B$337=C451)*
           (deskripsi!$C$2:$C$337=D451),0),
   F451)</f>
        <v>Menemukan peluang yang tidak terlihat ketika keadaan sudah jelas.</v>
      </c>
    </row>
    <row r="452" spans="1:7">
      <c r="A452" t="str">
        <f t="shared" si="7"/>
        <v>Problem Solving &amp; Decision Making|Division Head|3|1</v>
      </c>
      <c r="B452" t="str">
        <v>Problem Solving &amp; Decision Making</v>
      </c>
      <c r="C452" t="str">
        <v>Division Head</v>
      </c>
      <c r="D452" s="76">
        <v>3</v>
      </c>
      <c r="E452" t="str" cm="1">
        <f t="array" ref="E452">INDEX(aspek!$D$2:$D$337,
   MATCH(1,(aspek!$A$2:$A$337=B452)*
           (aspek!$B$2:$B$337=C452)*
           (aspek!$C$2:$C$337=D452),0))</f>
        <v xml:space="preserve">Menjaga unit tetap berjalan </v>
      </c>
      <c r="F452" s="76">
        <v>1</v>
      </c>
      <c r="G452" s="56" t="str" cm="1">
        <f t="array" ref="G452">INDEX(deskripsi!$D$2:$H$337,
   MATCH(1,(deskripsi!$A$2:$A$337=B452)*
           (deskripsi!$B$2:$B$337=C452)*
           (deskripsi!$C$2:$C$337=D452),0),
   F452)</f>
        <v>Unit ikut berhenti ketika arah belum turun.</v>
      </c>
    </row>
    <row r="453" spans="1:7">
      <c r="A453" t="str">
        <f t="shared" si="7"/>
        <v>Problem Solving &amp; Decision Making|Division Head|3|2</v>
      </c>
      <c r="B453" t="str">
        <v>Problem Solving &amp; Decision Making</v>
      </c>
      <c r="C453" t="str">
        <v>Division Head</v>
      </c>
      <c r="D453" s="76">
        <v>3</v>
      </c>
      <c r="E453" t="str" cm="1">
        <f t="array" ref="E453">INDEX(aspek!$D$2:$D$337,
   MATCH(1,(aspek!$A$2:$A$337=B453)*
           (aspek!$B$2:$B$337=C453)*
           (aspek!$C$2:$C$337=D453),0))</f>
        <v xml:space="preserve">Menjaga unit tetap berjalan </v>
      </c>
      <c r="F453" s="76">
        <v>2</v>
      </c>
      <c r="G453" s="56" t="str" cm="1">
        <f t="array" ref="G453">INDEX(deskripsi!$D$2:$H$337,
   MATCH(1,(deskripsi!$A$2:$A$337=B453)*
           (deskripsi!$B$2:$B$337=C453)*
           (deskripsi!$C$2:$C$337=D453),0),
   F453)</f>
        <v>Unit mengerjakan rutinitas, pekerjaan penting tertahan.</v>
      </c>
    </row>
    <row r="454" spans="1:7">
      <c r="A454" t="str">
        <f t="shared" si="7"/>
        <v>Problem Solving &amp; Decision Making|Division Head|3|3</v>
      </c>
      <c r="B454" t="str">
        <v>Problem Solving &amp; Decision Making</v>
      </c>
      <c r="C454" t="str">
        <v>Division Head</v>
      </c>
      <c r="D454" s="76">
        <v>3</v>
      </c>
      <c r="E454" t="str" cm="1">
        <f t="array" ref="E454">INDEX(aspek!$D$2:$D$337,
   MATCH(1,(aspek!$A$2:$A$337=B454)*
           (aspek!$B$2:$B$337=C454)*
           (aspek!$C$2:$C$337=D454),0))</f>
        <v xml:space="preserve">Menjaga unit tetap berjalan </v>
      </c>
      <c r="F454" s="76">
        <v>3</v>
      </c>
      <c r="G454" s="56" t="str" cm="1">
        <f t="array" ref="G454">INDEX(deskripsi!$D$2:$H$337,
   MATCH(1,(deskripsi!$A$2:$A$337=B454)*
           (deskripsi!$B$2:$B$337=C454)*
           (deskripsi!$C$2:$C$337=D454),0),
   F454)</f>
        <v>Unit tetap berjalan karena diberi pekerjaan seadanya.</v>
      </c>
    </row>
    <row r="455" spans="1:7" ht="28">
      <c r="A455" t="str">
        <f t="shared" si="7"/>
        <v>Problem Solving &amp; Decision Making|Division Head|3|4</v>
      </c>
      <c r="B455" t="str">
        <v>Problem Solving &amp; Decision Making</v>
      </c>
      <c r="C455" t="str">
        <v>Division Head</v>
      </c>
      <c r="D455" s="76">
        <v>3</v>
      </c>
      <c r="E455" t="str" cm="1">
        <f t="array" ref="E455">INDEX(aspek!$D$2:$D$337,
   MATCH(1,(aspek!$A$2:$A$337=B455)*
           (aspek!$B$2:$B$337=C455)*
           (aspek!$C$2:$C$337=D455),0))</f>
        <v xml:space="preserve">Menjaga unit tetap berjalan </v>
      </c>
      <c r="F455" s="76">
        <v>4</v>
      </c>
      <c r="G455" s="56" t="str" cm="1">
        <f t="array" ref="G455">INDEX(deskripsi!$D$2:$H$337,
   MATCH(1,(deskripsi!$A$2:$A$337=B455)*
           (deskripsi!$B$2:$B$337=C455)*
           (deskripsi!$C$2:$C$337=D455),0),
   F455)</f>
        <v>Unit tetap menghasilkan pada periode belum jelas, disertai penjelasan jujur bahwa arah belum pasti.</v>
      </c>
    </row>
    <row r="456" spans="1:7">
      <c r="A456" t="str">
        <f t="shared" si="7"/>
        <v>Problem Solving &amp; Decision Making|Division Head|3|5</v>
      </c>
      <c r="B456" t="str">
        <v>Problem Solving &amp; Decision Making</v>
      </c>
      <c r="C456" t="str">
        <v>Division Head</v>
      </c>
      <c r="D456" s="76">
        <v>3</v>
      </c>
      <c r="E456" t="str" cm="1">
        <f t="array" ref="E456">INDEX(aspek!$D$2:$D$337,
   MATCH(1,(aspek!$A$2:$A$337=B456)*
           (aspek!$B$2:$B$337=C456)*
           (aspek!$C$2:$C$337=D456),0))</f>
        <v xml:space="preserve">Menjaga unit tetap berjalan </v>
      </c>
      <c r="F456" s="76">
        <v>5</v>
      </c>
      <c r="G456" s="56" t="str" cm="1">
        <f t="array" ref="G456">INDEX(deskripsi!$D$2:$H$337,
   MATCH(1,(deskripsi!$A$2:$A$337=B456)*
           (deskripsi!$B$2:$B$337=C456)*
           (deskripsi!$C$2:$C$337=D456),0),
   F456)</f>
        <v>Anggota unit menemukan sendiri pekerjaan yang tetap benar.</v>
      </c>
    </row>
    <row r="457" spans="1:7">
      <c r="A457" t="str">
        <f t="shared" si="7"/>
        <v>Problem Solving &amp; Decision Making|Division Head|4|1</v>
      </c>
      <c r="B457" t="str">
        <v>Problem Solving &amp; Decision Making</v>
      </c>
      <c r="C457" t="str">
        <v>Division Head</v>
      </c>
      <c r="D457" s="76">
        <v>4</v>
      </c>
      <c r="E457" t="str" cm="1">
        <f t="array" ref="E457">INDEX(aspek!$D$2:$D$337,
   MATCH(1,(aspek!$A$2:$A$337=B457)*
           (aspek!$B$2:$B$337=C457)*
           (aspek!$C$2:$C$337=D457),0))</f>
        <v>Urgensi, biaya, dan risiko sebagai dasar bergerak</v>
      </c>
      <c r="F457" s="76">
        <v>1</v>
      </c>
      <c r="G457" s="56" t="str" cm="1">
        <f t="array" ref="G457">INDEX(deskripsi!$D$2:$H$337,
   MATCH(1,(deskripsi!$A$2:$A$337=B457)*
           (deskripsi!$B$2:$B$337=C457)*
           (deskripsi!$C$2:$C$337=D457),0),
   F457)</f>
        <v>Tidak mempertimbangkan urgensi maupun biaya penundaan.</v>
      </c>
    </row>
    <row r="458" spans="1:7" ht="28">
      <c r="A458" t="str">
        <f t="shared" si="7"/>
        <v>Problem Solving &amp; Decision Making|Division Head|4|2</v>
      </c>
      <c r="B458" t="str">
        <v>Problem Solving &amp; Decision Making</v>
      </c>
      <c r="C458" t="str">
        <v>Division Head</v>
      </c>
      <c r="D458" s="76">
        <v>4</v>
      </c>
      <c r="E458" t="str" cm="1">
        <f t="array" ref="E458">INDEX(aspek!$D$2:$D$337,
   MATCH(1,(aspek!$A$2:$A$337=B458)*
           (aspek!$B$2:$B$337=C458)*
           (aspek!$C$2:$C$337=D458),0))</f>
        <v>Urgensi, biaya, dan risiko sebagai dasar bergerak</v>
      </c>
      <c r="F458" s="76">
        <v>2</v>
      </c>
      <c r="G458" s="56" t="str" cm="1">
        <f t="array" ref="G458">INDEX(deskripsi!$D$2:$H$337,
   MATCH(1,(deskripsi!$A$2:$A$337=B458)*
           (deskripsi!$B$2:$B$337=C458)*
           (deskripsi!$C$2:$C$337=D458),0),
   F458)</f>
        <v>Mempertimbangkan salah satu — urgensi atau biaya — tidak keduanya.</v>
      </c>
    </row>
    <row r="459" spans="1:7">
      <c r="A459" t="str">
        <f t="shared" si="7"/>
        <v>Problem Solving &amp; Decision Making|Division Head|4|3</v>
      </c>
      <c r="B459" t="str">
        <v>Problem Solving &amp; Decision Making</v>
      </c>
      <c r="C459" t="str">
        <v>Division Head</v>
      </c>
      <c r="D459" s="76">
        <v>4</v>
      </c>
      <c r="E459" t="str" cm="1">
        <f t="array" ref="E459">INDEX(aspek!$D$2:$D$337,
   MATCH(1,(aspek!$A$2:$A$337=B459)*
           (aspek!$B$2:$B$337=C459)*
           (aspek!$C$2:$C$337=D459),0))</f>
        <v>Urgensi, biaya, dan risiko sebagai dasar bergerak</v>
      </c>
      <c r="F459" s="76">
        <v>3</v>
      </c>
      <c r="G459" s="56" t="str" cm="1">
        <f t="array" ref="G459">INDEX(deskripsi!$D$2:$H$337,
   MATCH(1,(deskripsi!$A$2:$A$337=B459)*
           (deskripsi!$B$2:$B$337=C459)*
           (deskripsi!$C$2:$C$337=D459),0),
   F459)</f>
        <v>Mempertimbangkan urgensi dan biaya pada keputusan besar.</v>
      </c>
    </row>
    <row r="460" spans="1:7" ht="42">
      <c r="A460" t="str">
        <f t="shared" si="7"/>
        <v>Problem Solving &amp; Decision Making|Division Head|4|4</v>
      </c>
      <c r="B460" t="str">
        <v>Problem Solving &amp; Decision Making</v>
      </c>
      <c r="C460" t="str">
        <v>Division Head</v>
      </c>
      <c r="D460" s="76">
        <v>4</v>
      </c>
      <c r="E460" t="str" cm="1">
        <f t="array" ref="E460">INDEX(aspek!$D$2:$D$337,
   MATCH(1,(aspek!$A$2:$A$337=B460)*
           (aspek!$B$2:$B$337=C460)*
           (aspek!$C$2:$C$337=D460),0))</f>
        <v>Urgensi, biaya, dan risiko sebagai dasar bergerak</v>
      </c>
      <c r="F460" s="76">
        <v>4</v>
      </c>
      <c r="G460" s="56" t="str" cm="1">
        <f t="array" ref="G460">INDEX(deskripsi!$D$2:$H$337,
   MATCH(1,(deskripsi!$A$2:$A$337=B460)*
           (deskripsi!$B$2:$B$337=C460)*
           (deskripsi!$C$2:$C$337=D460),0),
   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76">
        <v>4</v>
      </c>
      <c r="E461" t="str" cm="1">
        <f t="array" ref="E461">INDEX(aspek!$D$2:$D$337,
   MATCH(1,(aspek!$A$2:$A$337=B461)*
           (aspek!$B$2:$B$337=C461)*
           (aspek!$C$2:$C$337=D461),0))</f>
        <v>Urgensi, biaya, dan risiko sebagai dasar bergerak</v>
      </c>
      <c r="F461" s="76">
        <v>5</v>
      </c>
      <c r="G461" s="56" t="str" cm="1">
        <f t="array" ref="G461">INDEX(deskripsi!$D$2:$H$337,
   MATCH(1,(deskripsi!$A$2:$A$337=B461)*
           (deskripsi!$B$2:$B$337=C461)*
           (deskripsi!$C$2:$C$337=D461),0),
   F461)</f>
        <v>Kerangkanya dipakai unit lain untuk memutuskan pada situasi serupa.</v>
      </c>
    </row>
    <row r="462" spans="1:7">
      <c r="A462" t="str">
        <f t="shared" si="7"/>
        <v>Problem Solving &amp; Decision Making|Director|1|1</v>
      </c>
      <c r="B462" t="str">
        <v>Problem Solving &amp; Decision Making</v>
      </c>
      <c r="C462" t="str">
        <v>Director</v>
      </c>
      <c r="D462" s="76">
        <v>1</v>
      </c>
      <c r="E462" t="str" cm="1">
        <f t="array" ref="E462">INDEX(aspek!$D$2:$D$337,
   MATCH(1,(aspek!$A$2:$A$337=B462)*
           (aspek!$B$2:$B$337=C462)*
           (aspek!$C$2:$C$337=D462),0))</f>
        <v>Memberi arah saat arah belum ada</v>
      </c>
      <c r="F462" s="76">
        <v>1</v>
      </c>
      <c r="G462" s="56" t="str" cm="1">
        <f t="array" ref="G462">INDEX(deskripsi!$D$2:$H$337,
   MATCH(1,(deskripsi!$A$2:$A$337=B462)*
           (deskripsi!$B$2:$B$337=C462)*
           (deskripsi!$C$2:$C$337=D462),0),
   F462)</f>
        <v>Ikut menunggu bersama organisasi.</v>
      </c>
    </row>
    <row r="463" spans="1:7">
      <c r="A463" t="str">
        <f t="shared" si="7"/>
        <v>Problem Solving &amp; Decision Making|Director|1|2</v>
      </c>
      <c r="B463" t="str">
        <v>Problem Solving &amp; Decision Making</v>
      </c>
      <c r="C463" t="str">
        <v>Director</v>
      </c>
      <c r="D463" s="76">
        <v>1</v>
      </c>
      <c r="E463" t="str" cm="1">
        <f t="array" ref="E463">INDEX(aspek!$D$2:$D$337,
   MATCH(1,(aspek!$A$2:$A$337=B463)*
           (aspek!$B$2:$B$337=C463)*
           (aspek!$C$2:$C$337=D463),0))</f>
        <v>Memberi arah saat arah belum ada</v>
      </c>
      <c r="F463" s="76">
        <v>2</v>
      </c>
      <c r="G463" s="56" t="str" cm="1">
        <f t="array" ref="G463">INDEX(deskripsi!$D$2:$H$337,
   MATCH(1,(deskripsi!$A$2:$A$337=B463)*
           (deskripsi!$B$2:$B$337=C463)*
           (deskripsi!$C$2:$C$337=D463),0),
   F463)</f>
        <v>Meneruskan ketidakjelasan apa adanya.</v>
      </c>
    </row>
    <row r="464" spans="1:7">
      <c r="A464" t="str">
        <f t="shared" si="7"/>
        <v>Problem Solving &amp; Decision Making|Director|1|3</v>
      </c>
      <c r="B464" t="str">
        <v>Problem Solving &amp; Decision Making</v>
      </c>
      <c r="C464" t="str">
        <v>Director</v>
      </c>
      <c r="D464" s="76">
        <v>1</v>
      </c>
      <c r="E464" t="str" cm="1">
        <f t="array" ref="E464">INDEX(aspek!$D$2:$D$337,
   MATCH(1,(aspek!$A$2:$A$337=B464)*
           (aspek!$B$2:$B$337=C464)*
           (aspek!$C$2:$C$337=D464),0))</f>
        <v>Memberi arah saat arah belum ada</v>
      </c>
      <c r="F464" s="76">
        <v>3</v>
      </c>
      <c r="G464" s="56" t="str" cm="1">
        <f t="array" ref="G464">INDEX(deskripsi!$D$2:$H$337,
   MATCH(1,(deskripsi!$A$2:$A$337=B464)*
           (deskripsi!$B$2:$B$337=C464)*
           (deskripsi!$C$2:$C$337=D464),0),
   F464)</f>
        <v>Memberi arah segera setelah kejelasan datang.</v>
      </c>
    </row>
    <row r="465" spans="1:7" ht="28">
      <c r="A465" t="str">
        <f t="shared" si="7"/>
        <v>Problem Solving &amp; Decision Making|Director|1|4</v>
      </c>
      <c r="B465" t="str">
        <v>Problem Solving &amp; Decision Making</v>
      </c>
      <c r="C465" t="str">
        <v>Director</v>
      </c>
      <c r="D465" s="76">
        <v>1</v>
      </c>
      <c r="E465" t="str" cm="1">
        <f t="array" ref="E465">INDEX(aspek!$D$2:$D$337,
   MATCH(1,(aspek!$A$2:$A$337=B465)*
           (aspek!$B$2:$B$337=C465)*
           (aspek!$C$2:$C$337=D465),0))</f>
        <v>Memberi arah saat arah belum ada</v>
      </c>
      <c r="F465" s="76">
        <v>4</v>
      </c>
      <c r="G465" s="56" t="str" cm="1">
        <f t="array" ref="G465">INDEX(deskripsi!$D$2:$H$337,
   MATCH(1,(deskripsi!$A$2:$A$337=B465)*
           (deskripsi!$B$2:$B$337=C465)*
           (deskripsi!$C$2:$C$337=D465),0),
   F465)</f>
        <v>Memberi arah SEBELUM kejelasan datang, jujur tentang yang belum pasti.</v>
      </c>
    </row>
    <row r="466" spans="1:7" ht="28">
      <c r="A466" t="str">
        <f t="shared" si="7"/>
        <v>Problem Solving &amp; Decision Making|Director|1|5</v>
      </c>
      <c r="B466" t="str">
        <v>Problem Solving &amp; Decision Making</v>
      </c>
      <c r="C466" t="str">
        <v>Director</v>
      </c>
      <c r="D466" s="76">
        <v>1</v>
      </c>
      <c r="E466" t="str" cm="1">
        <f t="array" ref="E466">INDEX(aspek!$D$2:$D$337,
   MATCH(1,(aspek!$A$2:$A$337=B466)*
           (aspek!$B$2:$B$337=C466)*
           (aspek!$C$2:$C$337=D466),0))</f>
        <v>Memberi arah saat arah belum ada</v>
      </c>
      <c r="F466" s="76">
        <v>5</v>
      </c>
      <c r="G466" s="56" t="str" cm="1">
        <f t="array" ref="G466">INDEX(deskripsi!$D$2:$H$337,
   MATCH(1,(deskripsi!$A$2:$A$337=B466)*
           (deskripsi!$B$2:$B$337=C466)*
           (deskripsi!$C$2:$C$337=D466),0),
   F466)</f>
        <v>Fungsi-fungsi menentukan sendiri pekerjaan yang tetap benar tanpa menunggu arahan.</v>
      </c>
    </row>
    <row r="467" spans="1:7">
      <c r="A467" t="str">
        <f t="shared" si="7"/>
        <v>Problem Solving &amp; Decision Making|Director|2|1</v>
      </c>
      <c r="B467" t="str">
        <v>Problem Solving &amp; Decision Making</v>
      </c>
      <c r="C467" t="str">
        <v>Director</v>
      </c>
      <c r="D467" s="76">
        <v>2</v>
      </c>
      <c r="E467" t="str" cm="1">
        <f t="array" ref="E467">INDEX(aspek!$D$2:$D$337,
   MATCH(1,(aspek!$A$2:$A$337=B467)*
           (aspek!$B$2:$B$337=C467)*
           (aspek!$C$2:$C$337=D467),0))</f>
        <v xml:space="preserve">Menjaga orang lain tetap produktif </v>
      </c>
      <c r="F467" s="76">
        <v>1</v>
      </c>
      <c r="G467" s="56" t="str" cm="1">
        <f t="array" ref="G467">INDEX(deskripsi!$D$2:$H$337,
   MATCH(1,(deskripsi!$A$2:$A$337=B467)*
           (deskripsi!$B$2:$B$337=C467)*
           (deskripsi!$C$2:$C$337=D467),0),
   F467)</f>
        <v>Fungsi ikut berhenti.</v>
      </c>
    </row>
    <row r="468" spans="1:7">
      <c r="A468" t="str">
        <f t="shared" si="7"/>
        <v>Problem Solving &amp; Decision Making|Director|2|2</v>
      </c>
      <c r="B468" t="str">
        <v>Problem Solving &amp; Decision Making</v>
      </c>
      <c r="C468" t="str">
        <v>Director</v>
      </c>
      <c r="D468" s="76">
        <v>2</v>
      </c>
      <c r="E468" t="str" cm="1">
        <f t="array" ref="E468">INDEX(aspek!$D$2:$D$337,
   MATCH(1,(aspek!$A$2:$A$337=B468)*
           (aspek!$B$2:$B$337=C468)*
           (aspek!$C$2:$C$337=D468),0))</f>
        <v xml:space="preserve">Menjaga orang lain tetap produktif </v>
      </c>
      <c r="F468" s="76">
        <v>2</v>
      </c>
      <c r="G468" s="56" t="str" cm="1">
        <f t="array" ref="G468">INDEX(deskripsi!$D$2:$H$337,
   MATCH(1,(deskripsi!$A$2:$A$337=B468)*
           (deskripsi!$B$2:$B$337=C468)*
           (deskripsi!$C$2:$C$337=D468),0),
   F468)</f>
        <v>Rutinitas berjalan, pekerjaan penting tertahan.</v>
      </c>
    </row>
    <row r="469" spans="1:7">
      <c r="A469" t="str">
        <f t="shared" si="7"/>
        <v>Problem Solving &amp; Decision Making|Director|2|3</v>
      </c>
      <c r="B469" t="str">
        <v>Problem Solving &amp; Decision Making</v>
      </c>
      <c r="C469" t="str">
        <v>Director</v>
      </c>
      <c r="D469" s="76">
        <v>2</v>
      </c>
      <c r="E469" t="str" cm="1">
        <f t="array" ref="E469">INDEX(aspek!$D$2:$D$337,
   MATCH(1,(aspek!$A$2:$A$337=B469)*
           (aspek!$B$2:$B$337=C469)*
           (aspek!$C$2:$C$337=D469),0))</f>
        <v xml:space="preserve">Menjaga orang lain tetap produktif </v>
      </c>
      <c r="F469" s="76">
        <v>3</v>
      </c>
      <c r="G469" s="56" t="str" cm="1">
        <f t="array" ref="G469">INDEX(deskripsi!$D$2:$H$337,
   MATCH(1,(deskripsi!$A$2:$A$337=B469)*
           (deskripsi!$B$2:$B$337=C469)*
           (deskripsi!$C$2:$C$337=D469),0),
   F469)</f>
        <v>Fungsi tetap berjalan tanpa penjelasan mengapa.</v>
      </c>
    </row>
    <row r="470" spans="1:7" ht="28">
      <c r="A470" t="str">
        <f t="shared" si="7"/>
        <v>Problem Solving &amp; Decision Making|Director|2|4</v>
      </c>
      <c r="B470" t="str">
        <v>Problem Solving &amp; Decision Making</v>
      </c>
      <c r="C470" t="str">
        <v>Director</v>
      </c>
      <c r="D470" s="76">
        <v>2</v>
      </c>
      <c r="E470" t="str" cm="1">
        <f t="array" ref="E470">INDEX(aspek!$D$2:$D$337,
   MATCH(1,(aspek!$A$2:$A$337=B470)*
           (aspek!$B$2:$B$337=C470)*
           (aspek!$C$2:$C$337=D470),0))</f>
        <v xml:space="preserve">Menjaga orang lain tetap produktif </v>
      </c>
      <c r="F470" s="76">
        <v>4</v>
      </c>
      <c r="G470" s="56" t="str" cm="1">
        <f t="array" ref="G470">INDEX(deskripsi!$D$2:$H$337,
   MATCH(1,(deskripsi!$A$2:$A$337=B470)*
           (deskripsi!$B$2:$B$337=C470)*
           (deskripsi!$C$2:$C$337=D470),0),
   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76">
        <v>2</v>
      </c>
      <c r="E471" t="str" cm="1">
        <f t="array" ref="E471">INDEX(aspek!$D$2:$D$337,
   MATCH(1,(aspek!$A$2:$A$337=B471)*
           (aspek!$B$2:$B$337=C471)*
           (aspek!$C$2:$C$337=D471),0))</f>
        <v xml:space="preserve">Menjaga orang lain tetap produktif </v>
      </c>
      <c r="F471" s="76">
        <v>5</v>
      </c>
      <c r="G471" s="56" t="str" cm="1">
        <f t="array" ref="G471">INDEX(deskripsi!$D$2:$H$337,
   MATCH(1,(deskripsi!$A$2:$A$337=B471)*
           (deskripsi!$B$2:$B$337=C471)*
           (deskripsi!$C$2:$C$337=D471),0),
   F471)</f>
        <v>Fungsi di luar tanggung jawabnya ikut bergerak karena arahnya.</v>
      </c>
    </row>
    <row r="472" spans="1:7">
      <c r="A472" t="str">
        <f t="shared" si="7"/>
        <v>Problem Solving &amp; Decision Making|Director|3|1</v>
      </c>
      <c r="B472" t="str">
        <v>Problem Solving &amp; Decision Making</v>
      </c>
      <c r="C472" t="str">
        <v>Director</v>
      </c>
      <c r="D472" s="76">
        <v>3</v>
      </c>
      <c r="E472" t="str" cm="1">
        <f t="array" ref="E472">INDEX(aspek!$D$2:$D$337,
   MATCH(1,(aspek!$A$2:$A$337=B472)*
           (aspek!$B$2:$B$337=C472)*
           (aspek!$C$2:$C$337=D472),0))</f>
        <v>Mengubah ketidakpastian menjadi peluang</v>
      </c>
      <c r="F472" s="76">
        <v>1</v>
      </c>
      <c r="G472" s="56" t="str" cm="1">
        <f t="array" ref="G472">INDEX(deskripsi!$D$2:$H$337,
   MATCH(1,(deskripsi!$A$2:$A$337=B472)*
           (deskripsi!$B$2:$B$337=C472)*
           (deskripsi!$C$2:$C$337=D472),0),
   F472)</f>
        <v>Membaca ketidakpastian hanya sebagai risiko.</v>
      </c>
    </row>
    <row r="473" spans="1:7">
      <c r="A473" t="str">
        <f t="shared" si="7"/>
        <v>Problem Solving &amp; Decision Making|Director|3|2</v>
      </c>
      <c r="B473" t="str">
        <v>Problem Solving &amp; Decision Making</v>
      </c>
      <c r="C473" t="str">
        <v>Director</v>
      </c>
      <c r="D473" s="76">
        <v>3</v>
      </c>
      <c r="E473" t="str" cm="1">
        <f t="array" ref="E473">INDEX(aspek!$D$2:$D$337,
   MATCH(1,(aspek!$A$2:$A$337=B473)*
           (aspek!$B$2:$B$337=C473)*
           (aspek!$C$2:$C$337=D473),0))</f>
        <v>Mengubah ketidakpastian menjadi peluang</v>
      </c>
      <c r="F473" s="76">
        <v>2</v>
      </c>
      <c r="G473" s="56" t="str" cm="1">
        <f t="array" ref="G473">INDEX(deskripsi!$D$2:$H$337,
   MATCH(1,(deskripsi!$A$2:$A$337=B473)*
           (deskripsi!$B$2:$B$337=C473)*
           (deskripsi!$C$2:$C$337=D473),0),
   F473)</f>
        <v>Menyusun mitigasi, tidak melihat kemungkinan.</v>
      </c>
    </row>
    <row r="474" spans="1:7">
      <c r="A474" t="str">
        <f t="shared" si="7"/>
        <v>Problem Solving &amp; Decision Making|Director|3|3</v>
      </c>
      <c r="B474" t="str">
        <v>Problem Solving &amp; Decision Making</v>
      </c>
      <c r="C474" t="str">
        <v>Director</v>
      </c>
      <c r="D474" s="76">
        <v>3</v>
      </c>
      <c r="E474" t="str" cm="1">
        <f t="array" ref="E474">INDEX(aspek!$D$2:$D$337,
   MATCH(1,(aspek!$A$2:$A$337=B474)*
           (aspek!$B$2:$B$337=C474)*
           (aspek!$C$2:$C$337=D474),0))</f>
        <v>Mengubah ketidakpastian menjadi peluang</v>
      </c>
      <c r="F474" s="76">
        <v>3</v>
      </c>
      <c r="G474" s="56" t="str" cm="1">
        <f t="array" ref="G474">INDEX(deskripsi!$D$2:$H$337,
   MATCH(1,(deskripsi!$A$2:$A$337=B474)*
           (deskripsi!$B$2:$B$337=C474)*
           (deskripsi!$C$2:$C$337=D474),0),
   F474)</f>
        <v>Mengenali peluang, tidak menindaklanjuti.</v>
      </c>
    </row>
    <row r="475" spans="1:7" ht="28">
      <c r="A475" t="str">
        <f t="shared" si="7"/>
        <v>Problem Solving &amp; Decision Making|Director|3|4</v>
      </c>
      <c r="B475" t="str">
        <v>Problem Solving &amp; Decision Making</v>
      </c>
      <c r="C475" t="str">
        <v>Director</v>
      </c>
      <c r="D475" s="76">
        <v>3</v>
      </c>
      <c r="E475" t="str" cm="1">
        <f t="array" ref="E475">INDEX(aspek!$D$2:$D$337,
   MATCH(1,(aspek!$A$2:$A$337=B475)*
           (aspek!$B$2:$B$337=C475)*
           (aspek!$C$2:$C$337=D475),0))</f>
        <v>Mengubah ketidakpastian menjadi peluang</v>
      </c>
      <c r="F475" s="76">
        <v>4</v>
      </c>
      <c r="G475" s="56" t="str" cm="1">
        <f t="array" ref="G475">INDEX(deskripsi!$D$2:$H$337,
   MATCH(1,(deskripsi!$A$2:$A$337=B475)*
           (deskripsi!$B$2:$B$337=C475)*
           (deskripsi!$C$2:$C$337=D475),0),
   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76">
        <v>3</v>
      </c>
      <c r="E476" t="str" cm="1">
        <f t="array" ref="E476">INDEX(aspek!$D$2:$D$337,
   MATCH(1,(aspek!$A$2:$A$337=B476)*
           (aspek!$B$2:$B$337=C476)*
           (aspek!$C$2:$C$337=D476),0))</f>
        <v>Mengubah ketidakpastian menjadi peluang</v>
      </c>
      <c r="F476" s="76">
        <v>5</v>
      </c>
      <c r="G476" s="56" t="str" cm="1">
        <f t="array" ref="G476">INDEX(deskripsi!$D$2:$H$337,
   MATCH(1,(deskripsi!$A$2:$A$337=B476)*
           (deskripsi!$B$2:$B$337=C476)*
           (deskripsi!$C$2:$C$337=D476),0),
   F476)</f>
        <v>Organisasi memperoleh posisi lebih baik justru karena ketidakpastian itu.</v>
      </c>
    </row>
    <row r="477" spans="1:7" ht="28">
      <c r="A477" t="str">
        <f t="shared" si="7"/>
        <v>Problem Solving &amp; Decision Making|Director|4|1</v>
      </c>
      <c r="B477" t="str">
        <v>Problem Solving &amp; Decision Making</v>
      </c>
      <c r="C477" t="str">
        <v>Director</v>
      </c>
      <c r="D477" s="76">
        <v>4</v>
      </c>
      <c r="E477" t="str" cm="1">
        <f t="array" ref="E477">INDEX(aspek!$D$2:$D$337,
   MATCH(1,(aspek!$A$2:$A$337=B477)*
           (aspek!$B$2:$B$337=C477)*
           (aspek!$C$2:$C$337=D477),0))</f>
        <v>Kerangka keputusan yang dipakai orang lain</v>
      </c>
      <c r="F477" s="76">
        <v>1</v>
      </c>
      <c r="G477" s="56" t="str" cm="1">
        <f t="array" ref="G477">INDEX(deskripsi!$D$2:$H$337,
   MATCH(1,(deskripsi!$A$2:$A$337=B477)*
           (deskripsi!$B$2:$B$337=C477)*
           (deskripsi!$C$2:$C$337=D477),0),
   F477)</f>
        <v>Tidak memiliki kerangka; setiap persoalan ditangani menurut kebiasaan.</v>
      </c>
    </row>
    <row r="478" spans="1:7">
      <c r="A478" t="str">
        <f t="shared" si="7"/>
        <v>Problem Solving &amp; Decision Making|Director|4|2</v>
      </c>
      <c r="B478" t="str">
        <v>Problem Solving &amp; Decision Making</v>
      </c>
      <c r="C478" t="str">
        <v>Director</v>
      </c>
      <c r="D478" s="76">
        <v>4</v>
      </c>
      <c r="E478" t="str" cm="1">
        <f t="array" ref="E478">INDEX(aspek!$D$2:$D$337,
   MATCH(1,(aspek!$A$2:$A$337=B478)*
           (aspek!$B$2:$B$337=C478)*
           (aspek!$C$2:$C$337=D478),0))</f>
        <v>Kerangka keputusan yang dipakai orang lain</v>
      </c>
      <c r="F478" s="76">
        <v>2</v>
      </c>
      <c r="G478" s="56" t="str" cm="1">
        <f t="array" ref="G478">INDEX(deskripsi!$D$2:$H$337,
   MATCH(1,(deskripsi!$A$2:$A$337=B478)*
           (deskripsi!$B$2:$B$337=C478)*
           (deskripsi!$C$2:$C$337=D478),0),
   F478)</f>
        <v>Memakai kerangka yang sudah ada tanpa menyesuaikan.</v>
      </c>
    </row>
    <row r="479" spans="1:7" ht="28">
      <c r="A479" t="str">
        <f t="shared" si="7"/>
        <v>Problem Solving &amp; Decision Making|Director|4|3</v>
      </c>
      <c r="B479" t="str">
        <v>Problem Solving &amp; Decision Making</v>
      </c>
      <c r="C479" t="str">
        <v>Director</v>
      </c>
      <c r="D479" s="76">
        <v>4</v>
      </c>
      <c r="E479" t="str" cm="1">
        <f t="array" ref="E479">INDEX(aspek!$D$2:$D$337,
   MATCH(1,(aspek!$A$2:$A$337=B479)*
           (aspek!$B$2:$B$337=C479)*
           (aspek!$C$2:$C$337=D479),0))</f>
        <v>Kerangka keputusan yang dipakai orang lain</v>
      </c>
      <c r="F479" s="76">
        <v>3</v>
      </c>
      <c r="G479" s="56" t="str" cm="1">
        <f t="array" ref="G479">INDEX(deskripsi!$D$2:$H$337,
   MATCH(1,(deskripsi!$A$2:$A$337=B479)*
           (deskripsi!$B$2:$B$337=C479)*
           (deskripsi!$C$2:$C$337=D479),0),
   F479)</f>
        <v>Menyusun kerangka sendiri, memakainya untuk keputusannya sendiri.</v>
      </c>
    </row>
    <row r="480" spans="1:7" ht="28">
      <c r="A480" t="str">
        <f t="shared" si="7"/>
        <v>Problem Solving &amp; Decision Making|Director|4|4</v>
      </c>
      <c r="B480" t="str">
        <v>Problem Solving &amp; Decision Making</v>
      </c>
      <c r="C480" t="str">
        <v>Director</v>
      </c>
      <c r="D480" s="76">
        <v>4</v>
      </c>
      <c r="E480" t="str" cm="1">
        <f t="array" ref="E480">INDEX(aspek!$D$2:$D$337,
   MATCH(1,(aspek!$A$2:$A$337=B480)*
           (aspek!$B$2:$B$337=C480)*
           (aspek!$C$2:$C$337=D480),0))</f>
        <v>Kerangka keputusan yang dipakai orang lain</v>
      </c>
      <c r="F480" s="76">
        <v>4</v>
      </c>
      <c r="G480" s="56" t="str" cm="1">
        <f t="array" ref="G480">INDEX(deskripsi!$D$2:$H$337,
   MATCH(1,(deskripsi!$A$2:$A$337=B480)*
           (deskripsi!$B$2:$B$337=C480)*
           (deskripsi!$C$2:$C$337=D480),0),
   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76">
        <v>4</v>
      </c>
      <c r="E481" t="str" cm="1">
        <f t="array" ref="E481">INDEX(aspek!$D$2:$D$337,
   MATCH(1,(aspek!$A$2:$A$337=B481)*
           (aspek!$B$2:$B$337=C481)*
           (aspek!$C$2:$C$337=D481),0))</f>
        <v>Kerangka keputusan yang dipakai orang lain</v>
      </c>
      <c r="F481" s="76">
        <v>5</v>
      </c>
      <c r="G481" s="56" t="str" cm="1">
        <f t="array" ref="G481">INDEX(deskripsi!$D$2:$H$337,
   MATCH(1,(deskripsi!$A$2:$A$337=B481)*
           (deskripsi!$B$2:$B$337=C481)*
           (deskripsi!$C$2:$C$337=D481),0),
   F481)</f>
        <v>Kerangkanya menjadi cara baku organisasi menangani persoalan sejenis.</v>
      </c>
    </row>
    <row r="482" spans="1:7">
      <c r="A482" t="str">
        <f t="shared" si="7"/>
        <v>Controlling &amp; Corrective Action|Officer|1|1</v>
      </c>
      <c r="B482" t="str">
        <v>Controlling &amp; Corrective Action</v>
      </c>
      <c r="C482" t="str">
        <v>Officer</v>
      </c>
      <c r="D482" s="76">
        <v>1</v>
      </c>
      <c r="E482" t="str" cm="1">
        <f t="array" ref="E482">INDEX(aspek!$D$2:$D$337,
   MATCH(1,(aspek!$A$2:$A$337=B482)*
           (aspek!$B$2:$B$337=C482)*
           (aspek!$C$2:$C$337=D482),0))</f>
        <v>Kualitas output</v>
      </c>
      <c r="F482" s="76">
        <v>1</v>
      </c>
      <c r="G482" s="56" t="str" cm="1">
        <f t="array" ref="G482">INDEX(deskripsi!$D$2:$H$337,
   MATCH(1,(deskripsi!$A$2:$A$337=B482)*
           (deskripsi!$B$2:$B$337=C482)*
           (deskripsi!$C$2:$C$337=D482),0),
   F482)</f>
        <v>Hasil kerja sering tidak memenuhi standar SOP.</v>
      </c>
    </row>
    <row r="483" spans="1:7" ht="28">
      <c r="A483" t="str">
        <f t="shared" si="7"/>
        <v>Controlling &amp; Corrective Action|Officer|1|2</v>
      </c>
      <c r="B483" t="str">
        <v>Controlling &amp; Corrective Action</v>
      </c>
      <c r="C483" t="str">
        <v>Officer</v>
      </c>
      <c r="D483" s="76">
        <v>1</v>
      </c>
      <c r="E483" t="str" cm="1">
        <f t="array" ref="E483">INDEX(aspek!$D$2:$D$337,
   MATCH(1,(aspek!$A$2:$A$337=B483)*
           (aspek!$B$2:$B$337=C483)*
           (aspek!$C$2:$C$337=D483),0))</f>
        <v>Kualitas output</v>
      </c>
      <c r="F483" s="76">
        <v>2</v>
      </c>
      <c r="G483" s="56" t="str" cm="1">
        <f t="array" ref="G483">INDEX(deskripsi!$D$2:$H$337,
   MATCH(1,(deskripsi!$A$2:$A$337=B483)*
           (deskripsi!$B$2:$B$337=C483)*
           (deskripsi!$C$2:$C$337=D483),0),
   F483)</f>
        <v>Memenuhi standar pada tugas familiar, menurun pada tugas baru atau saat beban tinggi.</v>
      </c>
    </row>
    <row r="484" spans="1:7" ht="28">
      <c r="A484" t="str">
        <f t="shared" si="7"/>
        <v>Controlling &amp; Corrective Action|Officer|1|3</v>
      </c>
      <c r="B484" t="str">
        <v>Controlling &amp; Corrective Action</v>
      </c>
      <c r="C484" t="str">
        <v>Officer</v>
      </c>
      <c r="D484" s="76">
        <v>1</v>
      </c>
      <c r="E484" t="str" cm="1">
        <f t="array" ref="E484">INDEX(aspek!$D$2:$D$337,
   MATCH(1,(aspek!$A$2:$A$337=B484)*
           (aspek!$B$2:$B$337=C484)*
           (aspek!$C$2:$C$337=D484),0))</f>
        <v>Kualitas output</v>
      </c>
      <c r="F484" s="76">
        <v>3</v>
      </c>
      <c r="G484" s="56" t="str" cm="1">
        <f t="array" ref="G484">INDEX(deskripsi!$D$2:$H$337,
   MATCH(1,(deskripsi!$A$2:$A$337=B484)*
           (deskripsi!$B$2:$B$337=C484)*
           (deskripsi!$C$2:$C$337=D484),0),
   F484)</f>
        <v>Hasil kerja stabil memenuhi standar; revisi masih terjadi pada hal kecil.</v>
      </c>
    </row>
    <row r="485" spans="1:7" ht="28">
      <c r="A485" t="str">
        <f t="shared" si="7"/>
        <v>Controlling &amp; Corrective Action|Officer|1|4</v>
      </c>
      <c r="B485" t="str">
        <v>Controlling &amp; Corrective Action</v>
      </c>
      <c r="C485" t="str">
        <v>Officer</v>
      </c>
      <c r="D485" s="76">
        <v>1</v>
      </c>
      <c r="E485" t="str" cm="1">
        <f t="array" ref="E485">INDEX(aspek!$D$2:$D$337,
   MATCH(1,(aspek!$A$2:$A$337=B485)*
           (aspek!$B$2:$B$337=C485)*
           (aspek!$C$2:$C$337=D485),0))</f>
        <v>Kualitas output</v>
      </c>
      <c r="F485" s="76">
        <v>4</v>
      </c>
      <c r="G485" s="56" t="str" cm="1">
        <f t="array" ref="G485">INDEX(deskripsi!$D$2:$H$337,
   MATCH(1,(deskripsi!$A$2:$A$337=B485)*
           (deskripsi!$B$2:$B$337=C485)*
           (deskripsi!$C$2:$C$337=D485),0),
   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76">
        <v>1</v>
      </c>
      <c r="E486" t="str" cm="1">
        <f t="array" ref="E486">INDEX(aspek!$D$2:$D$337,
   MATCH(1,(aspek!$A$2:$A$337=B486)*
           (aspek!$B$2:$B$337=C486)*
           (aspek!$C$2:$C$337=D486),0))</f>
        <v>Kualitas output</v>
      </c>
      <c r="F486" s="76">
        <v>5</v>
      </c>
      <c r="G486" s="56" t="str" cm="1">
        <f t="array" ref="G486">INDEX(deskripsi!$D$2:$H$337,
   MATCH(1,(deskripsi!$A$2:$A$337=B486)*
           (deskripsi!$B$2:$B$337=C486)*
           (deskripsi!$C$2:$C$337=D486),0),
   F486)</f>
        <v>Hasil kerjanya dipakai sebagai contoh standar; checklist-nya diadopsi rekan.</v>
      </c>
    </row>
    <row r="487" spans="1:7" ht="28">
      <c r="A487" t="str">
        <f t="shared" si="7"/>
        <v>Controlling &amp; Corrective Action|Officer|2|1</v>
      </c>
      <c r="B487" t="str">
        <v>Controlling &amp; Corrective Action</v>
      </c>
      <c r="C487" t="str">
        <v>Officer</v>
      </c>
      <c r="D487" s="76">
        <v>2</v>
      </c>
      <c r="E487" t="str" cm="1">
        <f t="array" ref="E487">INDEX(aspek!$D$2:$D$337,
   MATCH(1,(aspek!$A$2:$A$337=B487)*
           (aspek!$B$2:$B$337=C487)*
           (aspek!$C$2:$C$337=D487),0))</f>
        <v>Ketepatan waktu</v>
      </c>
      <c r="F487" s="76">
        <v>1</v>
      </c>
      <c r="G487" s="56" t="str" cm="1">
        <f t="array" ref="G487">INDEX(deskripsi!$D$2:$H$337,
   MATCH(1,(deskripsi!$A$2:$A$337=B487)*
           (deskripsi!$B$2:$B$337=C487)*
           (deskripsi!$C$2:$C$337=D487),0),
   F487)</f>
        <v>Sering terlambat; keterlambatan baru diketahui setelah tenggat lewat.</v>
      </c>
    </row>
    <row r="488" spans="1:7" ht="28">
      <c r="A488" t="str">
        <f t="shared" si="7"/>
        <v>Controlling &amp; Corrective Action|Officer|2|2</v>
      </c>
      <c r="B488" t="str">
        <v>Controlling &amp; Corrective Action</v>
      </c>
      <c r="C488" t="str">
        <v>Officer</v>
      </c>
      <c r="D488" s="76">
        <v>2</v>
      </c>
      <c r="E488" t="str" cm="1">
        <f t="array" ref="E488">INDEX(aspek!$D$2:$D$337,
   MATCH(1,(aspek!$A$2:$A$337=B488)*
           (aspek!$B$2:$B$337=C488)*
           (aspek!$C$2:$C$337=D488),0))</f>
        <v>Ketepatan waktu</v>
      </c>
      <c r="F488" s="76">
        <v>2</v>
      </c>
      <c r="G488" s="56" t="str" cm="1">
        <f t="array" ref="G488">INDEX(deskripsi!$D$2:$H$337,
   MATCH(1,(deskripsi!$A$2:$A$337=B488)*
           (deskripsi!$B$2:$B$337=C488)*
           (deskripsi!$C$2:$C$337=D488),0),
   F488)</f>
        <v>Tepat waktu bila hanya satu tugas; meleset saat beberapa tenggat bersamaan.</v>
      </c>
    </row>
    <row r="489" spans="1:7">
      <c r="A489" t="str">
        <f t="shared" si="7"/>
        <v>Controlling &amp; Corrective Action|Officer|2|3</v>
      </c>
      <c r="B489" t="str">
        <v>Controlling &amp; Corrective Action</v>
      </c>
      <c r="C489" t="str">
        <v>Officer</v>
      </c>
      <c r="D489" s="76">
        <v>2</v>
      </c>
      <c r="E489" t="str" cm="1">
        <f t="array" ref="E489">INDEX(aspek!$D$2:$D$337,
   MATCH(1,(aspek!$A$2:$A$337=B489)*
           (aspek!$B$2:$B$337=C489)*
           (aspek!$C$2:$C$337=D489),0))</f>
        <v>Ketepatan waktu</v>
      </c>
      <c r="F489" s="76">
        <v>3</v>
      </c>
      <c r="G489" s="56" t="str" cm="1">
        <f t="array" ref="G489">INDEX(deskripsi!$D$2:$H$337,
   MATCH(1,(deskripsi!$A$2:$A$337=B489)*
           (deskripsi!$B$2:$B$337=C489)*
           (deskripsi!$C$2:$C$337=D489),0),
   F489)</f>
        <v>Sebagian besar penyerahan tepat waktu.</v>
      </c>
    </row>
    <row r="490" spans="1:7" ht="28">
      <c r="A490" t="str">
        <f t="shared" si="7"/>
        <v>Controlling &amp; Corrective Action|Officer|2|4</v>
      </c>
      <c r="B490" t="str">
        <v>Controlling &amp; Corrective Action</v>
      </c>
      <c r="C490" t="str">
        <v>Officer</v>
      </c>
      <c r="D490" s="76">
        <v>2</v>
      </c>
      <c r="E490" t="str" cm="1">
        <f t="array" ref="E490">INDEX(aspek!$D$2:$D$337,
   MATCH(1,(aspek!$A$2:$A$337=B490)*
           (aspek!$B$2:$B$337=C490)*
           (aspek!$C$2:$C$337=D490),0))</f>
        <v>Ketepatan waktu</v>
      </c>
      <c r="F490" s="76">
        <v>4</v>
      </c>
      <c r="G490" s="56" t="str" cm="1">
        <f t="array" ref="G490">INDEX(deskripsi!$D$2:$H$337,
   MATCH(1,(deskripsi!$A$2:$A$337=B490)*
           (deskripsi!$B$2:$B$337=C490)*
           (deskripsi!$C$2:$C$337=D490),0),
   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76">
        <v>2</v>
      </c>
      <c r="E491" t="str" cm="1">
        <f t="array" ref="E491">INDEX(aspek!$D$2:$D$337,
   MATCH(1,(aspek!$A$2:$A$337=B491)*
           (aspek!$B$2:$B$337=C491)*
           (aspek!$C$2:$C$337=D491),0))</f>
        <v>Ketepatan waktu</v>
      </c>
      <c r="F491" s="76">
        <v>5</v>
      </c>
      <c r="G491" s="56" t="str" cm="1">
        <f t="array" ref="G491">INDEX(deskripsi!$D$2:$H$337,
   MATCH(1,(deskripsi!$A$2:$A$337=B491)*
           (deskripsi!$B$2:$B$337=C491)*
           (deskripsi!$C$2:$C$337=D491),0),
   F491)</f>
        <v>Menyelesaikan lebih awal secara konsisten.</v>
      </c>
    </row>
    <row r="492" spans="1:7">
      <c r="A492" t="str">
        <f t="shared" si="7"/>
        <v>Controlling &amp; Corrective Action|Officer|3|1</v>
      </c>
      <c r="B492" t="str">
        <v>Controlling &amp; Corrective Action</v>
      </c>
      <c r="C492" t="str">
        <v>Officer</v>
      </c>
      <c r="D492" s="76">
        <v>3</v>
      </c>
      <c r="E492" t="str" cm="1">
        <f t="array" ref="E492">INDEX(aspek!$D$2:$D$337,
   MATCH(1,(aspek!$A$2:$A$337=B492)*
           (aspek!$B$2:$B$337=C492)*
           (aspek!$C$2:$C$337=D492),0))</f>
        <v>Keandalan dan konsistensi</v>
      </c>
      <c r="F492" s="76">
        <v>1</v>
      </c>
      <c r="G492" s="56" t="str" cm="1">
        <f t="array" ref="G492">INDEX(deskripsi!$D$2:$H$337,
   MATCH(1,(deskripsi!$A$2:$A$337=B492)*
           (deskripsi!$B$2:$B$337=C492)*
           (deskripsi!$C$2:$C$337=D492),0),
   F492)</f>
        <v>Mutu dan waktu tidak dapat diperkirakan.</v>
      </c>
    </row>
    <row r="493" spans="1:7">
      <c r="A493" t="str">
        <f t="shared" si="7"/>
        <v>Controlling &amp; Corrective Action|Officer|3|2</v>
      </c>
      <c r="B493" t="str">
        <v>Controlling &amp; Corrective Action</v>
      </c>
      <c r="C493" t="str">
        <v>Officer</v>
      </c>
      <c r="D493" s="76">
        <v>3</v>
      </c>
      <c r="E493" t="str" cm="1">
        <f t="array" ref="E493">INDEX(aspek!$D$2:$D$337,
   MATCH(1,(aspek!$A$2:$A$337=B493)*
           (aspek!$B$2:$B$337=C493)*
           (aspek!$C$2:$C$337=D493),0))</f>
        <v>Keandalan dan konsistensi</v>
      </c>
      <c r="F493" s="76">
        <v>2</v>
      </c>
      <c r="G493" s="56" t="str" cm="1">
        <f t="array" ref="G493">INDEX(deskripsi!$D$2:$H$337,
   MATCH(1,(deskripsi!$A$2:$A$337=B493)*
           (deskripsi!$B$2:$B$337=C493)*
           (deskripsi!$C$2:$C$337=D493),0),
   F493)</f>
        <v>Baik pada sebagian periode, menurun pada periode lain.</v>
      </c>
    </row>
    <row r="494" spans="1:7">
      <c r="A494" t="str">
        <f t="shared" si="7"/>
        <v>Controlling &amp; Corrective Action|Officer|3|3</v>
      </c>
      <c r="B494" t="str">
        <v>Controlling &amp; Corrective Action</v>
      </c>
      <c r="C494" t="str">
        <v>Officer</v>
      </c>
      <c r="D494" s="76">
        <v>3</v>
      </c>
      <c r="E494" t="str" cm="1">
        <f t="array" ref="E494">INDEX(aspek!$D$2:$D$337,
   MATCH(1,(aspek!$A$2:$A$337=B494)*
           (aspek!$B$2:$B$337=C494)*
           (aspek!$C$2:$C$337=D494),0))</f>
        <v>Keandalan dan konsistensi</v>
      </c>
      <c r="F494" s="76">
        <v>3</v>
      </c>
      <c r="G494" s="56" t="str" cm="1">
        <f t="array" ref="G494">INDEX(deskripsi!$D$2:$H$337,
   MATCH(1,(deskripsi!$A$2:$A$337=B494)*
           (deskripsi!$B$2:$B$337=C494)*
           (deskripsi!$C$2:$C$337=D494),0),
   F494)</f>
        <v>Cukup diandalkan pada pekerjaan rutin.</v>
      </c>
    </row>
    <row r="495" spans="1:7" ht="28">
      <c r="A495" t="str">
        <f t="shared" si="7"/>
        <v>Controlling &amp; Corrective Action|Officer|3|4</v>
      </c>
      <c r="B495" t="str">
        <v>Controlling &amp; Corrective Action</v>
      </c>
      <c r="C495" t="str">
        <v>Officer</v>
      </c>
      <c r="D495" s="76">
        <v>3</v>
      </c>
      <c r="E495" t="str" cm="1">
        <f t="array" ref="E495">INDEX(aspek!$D$2:$D$337,
   MATCH(1,(aspek!$A$2:$A$337=B495)*
           (aspek!$B$2:$B$337=C495)*
           (aspek!$C$2:$C$337=D495),0))</f>
        <v>Keandalan dan konsistensi</v>
      </c>
      <c r="F495" s="76">
        <v>4</v>
      </c>
      <c r="G495" s="56" t="str" cm="1">
        <f t="array" ref="G495">INDEX(deskripsi!$D$2:$H$337,
   MATCH(1,(deskripsi!$A$2:$A$337=B495)*
           (deskripsi!$B$2:$B$337=C495)*
           (deskripsi!$C$2:$C$337=D495),0),
   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76">
        <v>3</v>
      </c>
      <c r="E496" t="str" cm="1">
        <f t="array" ref="E496">INDEX(aspek!$D$2:$D$337,
   MATCH(1,(aspek!$A$2:$A$337=B496)*
           (aspek!$B$2:$B$337=C496)*
           (aspek!$C$2:$C$337=D496),0))</f>
        <v>Keandalan dan konsistensi</v>
      </c>
      <c r="F496" s="76">
        <v>5</v>
      </c>
      <c r="G496" s="56" t="str" cm="1">
        <f t="array" ref="G496">INDEX(deskripsi!$D$2:$H$337,
   MATCH(1,(deskripsi!$A$2:$A$337=B496)*
           (deskripsi!$B$2:$B$337=C496)*
           (deskripsi!$C$2:$C$337=D496),0),
   F496)</f>
        <v>Diberi pekerjaan paling kritis karena keandalannya tidak bergantung situasi.</v>
      </c>
    </row>
    <row r="497" spans="1:7">
      <c r="A497" t="str">
        <f t="shared" si="7"/>
        <v>Controlling &amp; Corrective Action|Officer|4|1</v>
      </c>
      <c r="B497" t="str">
        <v>Controlling &amp; Corrective Action</v>
      </c>
      <c r="C497" t="str">
        <v>Officer</v>
      </c>
      <c r="D497" s="76">
        <v>4</v>
      </c>
      <c r="E497" t="str" cm="1">
        <f t="array" ref="E497">INDEX(aspek!$D$2:$D$337,
   MATCH(1,(aspek!$A$2:$A$337=B497)*
           (aspek!$B$2:$B$337=C497)*
           (aspek!$C$2:$C$337=D497),0))</f>
        <v>Kesepakatan dan peringatan dini</v>
      </c>
      <c r="F497" s="76">
        <v>1</v>
      </c>
      <c r="G497" s="56" t="str" cm="1">
        <f t="array" ref="G497">INDEX(deskripsi!$D$2:$H$337,
   MATCH(1,(deskripsi!$A$2:$A$337=B497)*
           (deskripsi!$B$2:$B$337=C497)*
           (deskripsi!$C$2:$C$337=D497),0),
   F497)</f>
        <v>Mulai mengerjakan tanpa memastikan standar dan tenggat.</v>
      </c>
    </row>
    <row r="498" spans="1:7">
      <c r="A498" t="str">
        <f t="shared" si="7"/>
        <v>Controlling &amp; Corrective Action|Officer|4|2</v>
      </c>
      <c r="B498" t="str">
        <v>Controlling &amp; Corrective Action</v>
      </c>
      <c r="C498" t="str">
        <v>Officer</v>
      </c>
      <c r="D498" s="76">
        <v>4</v>
      </c>
      <c r="E498" t="str" cm="1">
        <f t="array" ref="E498">INDEX(aspek!$D$2:$D$337,
   MATCH(1,(aspek!$A$2:$A$337=B498)*
           (aspek!$B$2:$B$337=C498)*
           (aspek!$C$2:$C$337=D498),0))</f>
        <v>Kesepakatan dan peringatan dini</v>
      </c>
      <c r="F498" s="76">
        <v>2</v>
      </c>
      <c r="G498" s="56" t="str" cm="1">
        <f t="array" ref="G498">INDEX(deskripsi!$D$2:$H$337,
   MATCH(1,(deskripsi!$A$2:$A$337=B498)*
           (deskripsi!$B$2:$B$337=C498)*
           (deskripsi!$C$2:$C$337=D498),0),
   F498)</f>
        <v>Menanyakan tenggat, tidak menyepakati kriteria selesai.</v>
      </c>
    </row>
    <row r="499" spans="1:7" ht="28">
      <c r="A499" t="str">
        <f t="shared" si="7"/>
        <v>Controlling &amp; Corrective Action|Officer|4|3</v>
      </c>
      <c r="B499" t="str">
        <v>Controlling &amp; Corrective Action</v>
      </c>
      <c r="C499" t="str">
        <v>Officer</v>
      </c>
      <c r="D499" s="76">
        <v>4</v>
      </c>
      <c r="E499" t="str" cm="1">
        <f t="array" ref="E499">INDEX(aspek!$D$2:$D$337,
   MATCH(1,(aspek!$A$2:$A$337=B499)*
           (aspek!$B$2:$B$337=C499)*
           (aspek!$C$2:$C$337=D499),0))</f>
        <v>Kesepakatan dan peringatan dini</v>
      </c>
      <c r="F499" s="76">
        <v>3</v>
      </c>
      <c r="G499" s="56" t="str" cm="1">
        <f t="array" ref="G499">INDEX(deskripsi!$D$2:$H$337,
   MATCH(1,(deskripsi!$A$2:$A$337=B499)*
           (deskripsi!$B$2:$B$337=C499)*
           (deskripsi!$C$2:$C$337=D499),0),
   F499)</f>
        <v>Menyepakati hasil dan tenggat di muka pada permintaan penting.</v>
      </c>
    </row>
    <row r="500" spans="1:7" ht="42">
      <c r="A500" t="str">
        <f t="shared" si="7"/>
        <v>Controlling &amp; Corrective Action|Officer|4|4</v>
      </c>
      <c r="B500" t="str">
        <v>Controlling &amp; Corrective Action</v>
      </c>
      <c r="C500" t="str">
        <v>Officer</v>
      </c>
      <c r="D500" s="76">
        <v>4</v>
      </c>
      <c r="E500" t="str" cm="1">
        <f t="array" ref="E500">INDEX(aspek!$D$2:$D$337,
   MATCH(1,(aspek!$A$2:$A$337=B500)*
           (aspek!$B$2:$B$337=C500)*
           (aspek!$C$2:$C$337=D500),0))</f>
        <v>Kesepakatan dan peringatan dini</v>
      </c>
      <c r="F500" s="76">
        <v>4</v>
      </c>
      <c r="G500" s="56" t="str" cm="1">
        <f t="array" ref="G500">INDEX(deskripsi!$D$2:$H$337,
   MATCH(1,(deskripsi!$A$2:$A$337=B500)*
           (deskripsi!$B$2:$B$337=C500)*
           (deskripsi!$C$2:$C$337=D500),0),
   F500)</f>
        <v>Menyepakati kriteria dan tenggat di muka pada hampir seluruh permintaan, memberi kabar dini dan menegosiasikan ulang SEBELUM tenggat lewat.</v>
      </c>
    </row>
    <row r="501" spans="1:7">
      <c r="A501" t="str">
        <f t="shared" si="7"/>
        <v>Controlling &amp; Corrective Action|Officer|4|5</v>
      </c>
      <c r="B501" t="str">
        <v>Controlling &amp; Corrective Action</v>
      </c>
      <c r="C501" t="str">
        <v>Officer</v>
      </c>
      <c r="D501" s="76">
        <v>4</v>
      </c>
      <c r="E501" t="str" cm="1">
        <f t="array" ref="E501">INDEX(aspek!$D$2:$D$337,
   MATCH(1,(aspek!$A$2:$A$337=B501)*
           (aspek!$B$2:$B$337=C501)*
           (aspek!$C$2:$C$337=D501),0))</f>
        <v>Kesepakatan dan peringatan dini</v>
      </c>
      <c r="F501" s="76">
        <v>5</v>
      </c>
      <c r="G501" s="56" t="str" cm="1">
        <f t="array" ref="G501">INDEX(deskripsi!$D$2:$H$337,
   MATCH(1,(deskripsi!$A$2:$A$337=B501)*
           (deskripsi!$B$2:$B$337=C501)*
           (deskripsi!$C$2:$C$337=D501),0),
   F501)</f>
        <v>Kriteria yang disepakati menjadi acuan baku antar unit.</v>
      </c>
    </row>
    <row r="502" spans="1:7">
      <c r="A502" t="str">
        <f t="shared" si="7"/>
        <v>Controlling &amp; Corrective Action|Analyst|1|1</v>
      </c>
      <c r="B502" t="str">
        <v>Controlling &amp; Corrective Action</v>
      </c>
      <c r="C502" t="str">
        <v>Analyst</v>
      </c>
      <c r="D502" s="76">
        <v>1</v>
      </c>
      <c r="E502" t="str" cm="1">
        <f t="array" ref="E502">INDEX(aspek!$D$2:$D$337,
   MATCH(1,(aspek!$A$2:$A$337=B502)*
           (aspek!$B$2:$B$337=C502)*
           (aspek!$C$2:$C$337=D502),0))</f>
        <v>Pemahaman tujuan akhir</v>
      </c>
      <c r="F502" s="76">
        <v>1</v>
      </c>
      <c r="G502" s="56" t="str" cm="1">
        <f t="array" ref="G502">INDEX(deskripsi!$D$2:$H$337,
   MATCH(1,(deskripsi!$A$2:$A$337=B502)*
           (deskripsi!$B$2:$B$337=C502)*
           (deskripsi!$C$2:$C$337=D502),0),
   F502)</f>
        <v>Mengukur pekerjaannya dari aktivitas yang dilakukan.</v>
      </c>
    </row>
    <row r="503" spans="1:7">
      <c r="A503" t="str">
        <f t="shared" si="7"/>
        <v>Controlling &amp; Corrective Action|Analyst|1|2</v>
      </c>
      <c r="B503" t="str">
        <v>Controlling &amp; Corrective Action</v>
      </c>
      <c r="C503" t="str">
        <v>Analyst</v>
      </c>
      <c r="D503" s="76">
        <v>1</v>
      </c>
      <c r="E503" t="str" cm="1">
        <f t="array" ref="E503">INDEX(aspek!$D$2:$D$337,
   MATCH(1,(aspek!$A$2:$A$337=B503)*
           (aspek!$B$2:$B$337=C503)*
           (aspek!$C$2:$C$337=D503),0))</f>
        <v>Pemahaman tujuan akhir</v>
      </c>
      <c r="F503" s="76">
        <v>2</v>
      </c>
      <c r="G503" s="56" t="str" cm="1">
        <f t="array" ref="G503">INDEX(deskripsi!$D$2:$H$337,
   MATCH(1,(deskripsi!$A$2:$A$337=B503)*
           (deskripsi!$B$2:$B$337=C503)*
           (deskripsi!$C$2:$C$337=D503),0),
   F503)</f>
        <v>Mengikuti prosedur dan menganggap itu sudah cukup.</v>
      </c>
    </row>
    <row r="504" spans="1:7">
      <c r="A504" t="str">
        <f t="shared" si="7"/>
        <v>Controlling &amp; Corrective Action|Analyst|1|3</v>
      </c>
      <c r="B504" t="str">
        <v>Controlling &amp; Corrective Action</v>
      </c>
      <c r="C504" t="str">
        <v>Analyst</v>
      </c>
      <c r="D504" s="76">
        <v>1</v>
      </c>
      <c r="E504" t="str" cm="1">
        <f t="array" ref="E504">INDEX(aspek!$D$2:$D$337,
   MATCH(1,(aspek!$A$2:$A$337=B504)*
           (aspek!$B$2:$B$337=C504)*
           (aspek!$C$2:$C$337=D504),0))</f>
        <v>Pemahaman tujuan akhir</v>
      </c>
      <c r="F504" s="76">
        <v>3</v>
      </c>
      <c r="G504" s="56" t="str" cm="1">
        <f t="array" ref="G504">INDEX(deskripsi!$D$2:$H$337,
   MATCH(1,(deskripsi!$A$2:$A$337=B504)*
           (deskripsi!$B$2:$B$337=C504)*
           (deskripsi!$C$2:$C$337=D504),0),
   F504)</f>
        <v>Memahami untuk apa pekerjaannya dilakukan.</v>
      </c>
    </row>
    <row r="505" spans="1:7" ht="28">
      <c r="A505" t="str">
        <f t="shared" si="7"/>
        <v>Controlling &amp; Corrective Action|Analyst|1|4</v>
      </c>
      <c r="B505" t="str">
        <v>Controlling &amp; Corrective Action</v>
      </c>
      <c r="C505" t="str">
        <v>Analyst</v>
      </c>
      <c r="D505" s="76">
        <v>1</v>
      </c>
      <c r="E505" t="str" cm="1">
        <f t="array" ref="E505">INDEX(aspek!$D$2:$D$337,
   MATCH(1,(aspek!$A$2:$A$337=B505)*
           (aspek!$B$2:$B$337=C505)*
           (aspek!$C$2:$C$337=D505),0))</f>
        <v>Pemahaman tujuan akhir</v>
      </c>
      <c r="F505" s="76">
        <v>4</v>
      </c>
      <c r="G505" s="56" t="str" cm="1">
        <f t="array" ref="G505">INDEX(deskripsi!$D$2:$H$337,
   MATCH(1,(deskripsi!$A$2:$A$337=B505)*
           (deskripsi!$B$2:$B$337=C505)*
           (deskripsi!$C$2:$C$337=D505),0),
   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76">
        <v>1</v>
      </c>
      <c r="E506" t="str" cm="1">
        <f t="array" ref="E506">INDEX(aspek!$D$2:$D$337,
   MATCH(1,(aspek!$A$2:$A$337=B506)*
           (aspek!$B$2:$B$337=C506)*
           (aspek!$C$2:$C$337=D506),0))</f>
        <v>Pemahaman tujuan akhir</v>
      </c>
      <c r="F506" s="76">
        <v>5</v>
      </c>
      <c r="G506" s="56" t="str" cm="1">
        <f t="array" ref="G506">INDEX(deskripsi!$D$2:$H$337,
   MATCH(1,(deskripsi!$A$2:$A$337=B506)*
           (deskripsi!$B$2:$B$337=C506)*
           (deskripsi!$C$2:$C$337=D506),0),
   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76">
        <v>2</v>
      </c>
      <c r="E507" t="str" cm="1">
        <f t="array" ref="E507">INDEX(aspek!$D$2:$D$337,
   MATCH(1,(aspek!$A$2:$A$337=B507)*
           (aspek!$B$2:$B$337=C507)*
           (aspek!$C$2:$C$337=D507),0))</f>
        <v>Penggunaan metrik keberhasilan</v>
      </c>
      <c r="F507" s="76">
        <v>1</v>
      </c>
      <c r="G507" s="56" t="str" cm="1">
        <f t="array" ref="G507">INDEX(deskripsi!$D$2:$H$337,
   MATCH(1,(deskripsi!$A$2:$A$337=B507)*
           (deskripsi!$B$2:$B$337=C507)*
           (deskripsi!$C$2:$C$337=D507),0),
   F507)</f>
        <v>Tidak menetapkan ukuran keberhasilan apa pun.</v>
      </c>
    </row>
    <row r="508" spans="1:7">
      <c r="A508" t="str">
        <f t="shared" si="7"/>
        <v>Controlling &amp; Corrective Action|Analyst|2|2</v>
      </c>
      <c r="B508" t="str">
        <v>Controlling &amp; Corrective Action</v>
      </c>
      <c r="C508" t="str">
        <v>Analyst</v>
      </c>
      <c r="D508" s="76">
        <v>2</v>
      </c>
      <c r="E508" t="str" cm="1">
        <f t="array" ref="E508">INDEX(aspek!$D$2:$D$337,
   MATCH(1,(aspek!$A$2:$A$337=B508)*
           (aspek!$B$2:$B$337=C508)*
           (aspek!$C$2:$C$337=D508),0))</f>
        <v>Penggunaan metrik keberhasilan</v>
      </c>
      <c r="F508" s="76">
        <v>2</v>
      </c>
      <c r="G508" s="56" t="str" cm="1">
        <f t="array" ref="G508">INDEX(deskripsi!$D$2:$H$337,
   MATCH(1,(deskripsi!$A$2:$A$337=B508)*
           (deskripsi!$B$2:$B$337=C508)*
           (deskripsi!$C$2:$C$337=D508),0),
   F508)</f>
        <v>Mengukur keberhasilan dari selesainya aktivitas.</v>
      </c>
    </row>
    <row r="509" spans="1:7">
      <c r="A509" t="str">
        <f t="shared" si="7"/>
        <v>Controlling &amp; Corrective Action|Analyst|2|3</v>
      </c>
      <c r="B509" t="str">
        <v>Controlling &amp; Corrective Action</v>
      </c>
      <c r="C509" t="str">
        <v>Analyst</v>
      </c>
      <c r="D509" s="76">
        <v>2</v>
      </c>
      <c r="E509" t="str" cm="1">
        <f t="array" ref="E509">INDEX(aspek!$D$2:$D$337,
   MATCH(1,(aspek!$A$2:$A$337=B509)*
           (aspek!$B$2:$B$337=C509)*
           (aspek!$C$2:$C$337=D509),0))</f>
        <v>Penggunaan metrik keberhasilan</v>
      </c>
      <c r="F509" s="76">
        <v>3</v>
      </c>
      <c r="G509" s="56" t="str" cm="1">
        <f t="array" ref="G509">INDEX(deskripsi!$D$2:$H$337,
   MATCH(1,(deskripsi!$A$2:$A$337=B509)*
           (deskripsi!$B$2:$B$337=C509)*
           (deskripsi!$C$2:$C$337=D509),0),
   F509)</f>
        <v>Menetapkan target angka untuk pekerjaannya.</v>
      </c>
    </row>
    <row r="510" spans="1:7" ht="28">
      <c r="A510" t="str">
        <f t="shared" si="7"/>
        <v>Controlling &amp; Corrective Action|Analyst|2|4</v>
      </c>
      <c r="B510" t="str">
        <v>Controlling &amp; Corrective Action</v>
      </c>
      <c r="C510" t="str">
        <v>Analyst</v>
      </c>
      <c r="D510" s="76">
        <v>2</v>
      </c>
      <c r="E510" t="str" cm="1">
        <f t="array" ref="E510">INDEX(aspek!$D$2:$D$337,
   MATCH(1,(aspek!$A$2:$A$337=B510)*
           (aspek!$B$2:$B$337=C510)*
           (aspek!$C$2:$C$337=D510),0))</f>
        <v>Penggunaan metrik keberhasilan</v>
      </c>
      <c r="F510" s="76">
        <v>4</v>
      </c>
      <c r="G510" s="56" t="str" cm="1">
        <f t="array" ref="G510">INDEX(deskripsi!$D$2:$H$337,
   MATCH(1,(deskripsi!$A$2:$A$337=B510)*
           (deskripsi!$B$2:$B$337=C510)*
           (deskripsi!$C$2:$C$337=D510),0),
   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76">
        <v>2</v>
      </c>
      <c r="E511" t="str" cm="1">
        <f t="array" ref="E511">INDEX(aspek!$D$2:$D$337,
   MATCH(1,(aspek!$A$2:$A$337=B511)*
           (aspek!$B$2:$B$337=C511)*
           (aspek!$C$2:$C$337=D511),0))</f>
        <v>Penggunaan metrik keberhasilan</v>
      </c>
      <c r="F511" s="76">
        <v>5</v>
      </c>
      <c r="G511" s="56" t="str" cm="1">
        <f t="array" ref="G511">INDEX(deskripsi!$D$2:$H$337,
   MATCH(1,(deskripsi!$A$2:$A$337=B511)*
           (deskripsi!$B$2:$B$337=C511)*
           (deskripsi!$C$2:$C$337=D511),0),
   F511)</f>
        <v>Metrik yang ia susun dipakai untuk menilai pekerjaan sejenis di unit lain.</v>
      </c>
    </row>
    <row r="512" spans="1:7" ht="28">
      <c r="A512" t="str">
        <f t="shared" si="7"/>
        <v>Controlling &amp; Corrective Action|Analyst|3|1</v>
      </c>
      <c r="B512" t="str">
        <v>Controlling &amp; Corrective Action</v>
      </c>
      <c r="C512" t="str">
        <v>Analyst</v>
      </c>
      <c r="D512" s="76">
        <v>3</v>
      </c>
      <c r="E512" t="str" cm="1">
        <f t="array" ref="E512">INDEX(aspek!$D$2:$D$337,
   MATCH(1,(aspek!$A$2:$A$337=B512)*
           (aspek!$B$2:$B$337=C512)*
           (aspek!$C$2:$C$337=D512),0))</f>
        <v>Penyesuaian proses saat hambatan</v>
      </c>
      <c r="F512" s="76">
        <v>1</v>
      </c>
      <c r="G512" s="56" t="str" cm="1">
        <f t="array" ref="G512">INDEX(deskripsi!$D$2:$H$337,
   MATCH(1,(deskripsi!$A$2:$A$337=B512)*
           (deskripsi!$B$2:$B$337=C512)*
           (deskripsi!$C$2:$C$337=D512),0),
   F512)</f>
        <v>Berhenti atau menyerah ketika cara biasa tidak membawa hasil.</v>
      </c>
    </row>
    <row r="513" spans="1:7" ht="28">
      <c r="A513" t="str">
        <f t="shared" si="7"/>
        <v>Controlling &amp; Corrective Action|Analyst|3|2</v>
      </c>
      <c r="B513" t="str">
        <v>Controlling &amp; Corrective Action</v>
      </c>
      <c r="C513" t="str">
        <v>Analyst</v>
      </c>
      <c r="D513" s="76">
        <v>3</v>
      </c>
      <c r="E513" t="str" cm="1">
        <f t="array" ref="E513">INDEX(aspek!$D$2:$D$337,
   MATCH(1,(aspek!$A$2:$A$337=B513)*
           (aspek!$B$2:$B$337=C513)*
           (aspek!$C$2:$C$337=D513),0))</f>
        <v>Penyesuaian proses saat hambatan</v>
      </c>
      <c r="F513" s="76">
        <v>2</v>
      </c>
      <c r="G513" s="56" t="str" cm="1">
        <f t="array" ref="G513">INDEX(deskripsi!$D$2:$H$337,
   MATCH(1,(deskripsi!$A$2:$A$337=B513)*
           (deskripsi!$B$2:$B$337=C513)*
           (deskripsi!$C$2:$C$337=D513),0),
   F513)</f>
        <v>Tetap mengikuti prosedur meski hasilnya jelas tidak akan tercapai.</v>
      </c>
    </row>
    <row r="514" spans="1:7" ht="28">
      <c r="A514" t="str">
        <f t="shared" si="7"/>
        <v>Controlling &amp; Corrective Action|Analyst|3|3</v>
      </c>
      <c r="B514" t="str">
        <v>Controlling &amp; Corrective Action</v>
      </c>
      <c r="C514" t="str">
        <v>Analyst</v>
      </c>
      <c r="D514" s="76">
        <v>3</v>
      </c>
      <c r="E514" t="str" cm="1">
        <f t="array" ref="E514">INDEX(aspek!$D$2:$D$337,
   MATCH(1,(aspek!$A$2:$A$337=B514)*
           (aspek!$B$2:$B$337=C514)*
           (aspek!$C$2:$C$337=D514),0))</f>
        <v>Penyesuaian proses saat hambatan</v>
      </c>
      <c r="F514" s="76">
        <v>3</v>
      </c>
      <c r="G514" s="56" t="str" cm="1">
        <f t="array" ref="G514">INDEX(deskripsi!$D$2:$H$337,
   MATCH(1,(deskripsi!$A$2:$A$337=B514)*
           (deskripsi!$B$2:$B$337=C514)*
           (deskripsi!$C$2:$C$337=D514),0),
   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76">
        <v>3</v>
      </c>
      <c r="E515" t="str" cm="1">
        <f t="array" ref="E515">INDEX(aspek!$D$2:$D$337,
   MATCH(1,(aspek!$A$2:$A$337=B515)*
           (aspek!$B$2:$B$337=C515)*
           (aspek!$C$2:$C$337=D515),0))</f>
        <v>Penyesuaian proses saat hambatan</v>
      </c>
      <c r="F515" s="76">
        <v>4</v>
      </c>
      <c r="G515" s="56" t="str" cm="1">
        <f t="array" ref="G515">INDEX(deskripsi!$D$2:$H$337,
   MATCH(1,(deskripsi!$A$2:$A$337=B515)*
           (deskripsi!$B$2:$B$337=C515)*
           (deskripsi!$C$2:$C$337=D515),0),
   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76">
        <v>3</v>
      </c>
      <c r="E516" t="str" cm="1">
        <f t="array" ref="E516">INDEX(aspek!$D$2:$D$337,
   MATCH(1,(aspek!$A$2:$A$337=B516)*
           (aspek!$B$2:$B$337=C516)*
           (aspek!$C$2:$C$337=D516),0))</f>
        <v>Penyesuaian proses saat hambatan</v>
      </c>
      <c r="F516" s="76">
        <v>5</v>
      </c>
      <c r="G516" s="56" t="str" cm="1">
        <f t="array" ref="G516">INDEX(deskripsi!$D$2:$H$337,
   MATCH(1,(deskripsi!$A$2:$A$337=B516)*
           (deskripsi!$B$2:$B$337=C516)*
           (deskripsi!$C$2:$C$337=D516),0),
   F516)</f>
        <v>Penyesuaiannya menjadi cara baru yang dipakai untuk pekerjaan sejenis berikutnya.</v>
      </c>
    </row>
    <row r="517" spans="1:7" ht="28">
      <c r="A517" t="str">
        <f t="shared" si="8"/>
        <v>Controlling &amp; Corrective Action|Analyst|4|1</v>
      </c>
      <c r="B517" t="str">
        <v>Controlling &amp; Corrective Action</v>
      </c>
      <c r="C517" t="str">
        <v>Analyst</v>
      </c>
      <c r="D517" s="76">
        <v>4</v>
      </c>
      <c r="E517" t="str" cm="1">
        <f t="array" ref="E517">INDEX(aspek!$D$2:$D$337,
   MATCH(1,(aspek!$A$2:$A$337=B517)*
           (aspek!$B$2:$B$337=C517)*
           (aspek!$C$2:$C$337=D517),0))</f>
        <v>Nilai bagi penerima manfaat</v>
      </c>
      <c r="F517" s="76">
        <v>1</v>
      </c>
      <c r="G517" s="56" t="str" cm="1">
        <f t="array" ref="G517">INDEX(deskripsi!$D$2:$H$337,
   MATCH(1,(deskripsi!$A$2:$A$337=B517)*
           (deskripsi!$B$2:$B$337=C517)*
           (deskripsi!$C$2:$C$337=D517),0),
   F517)</f>
        <v>Tidak mengetahui atau memikirkan siapa yang menerima manfaat.</v>
      </c>
    </row>
    <row r="518" spans="1:7" ht="28">
      <c r="A518" t="str">
        <f t="shared" si="8"/>
        <v>Controlling &amp; Corrective Action|Analyst|4|2</v>
      </c>
      <c r="B518" t="str">
        <v>Controlling &amp; Corrective Action</v>
      </c>
      <c r="C518" t="str">
        <v>Analyst</v>
      </c>
      <c r="D518" s="76">
        <v>4</v>
      </c>
      <c r="E518" t="str" cm="1">
        <f t="array" ref="E518">INDEX(aspek!$D$2:$D$337,
   MATCH(1,(aspek!$A$2:$A$337=B518)*
           (aspek!$B$2:$B$337=C518)*
           (aspek!$C$2:$C$337=D518),0))</f>
        <v>Nilai bagi penerima manfaat</v>
      </c>
      <c r="F518" s="76">
        <v>2</v>
      </c>
      <c r="G518" s="56" t="str" cm="1">
        <f t="array" ref="G518">INDEX(deskripsi!$D$2:$H$337,
   MATCH(1,(deskripsi!$A$2:$A$337=B518)*
           (deskripsi!$B$2:$B$337=C518)*
           (deskripsi!$C$2:$C$337=D518),0),
   F518)</f>
        <v>Mengetahui penerima manfaatnya, tetapi tidak memeriksa apakah mereka terbantu.</v>
      </c>
    </row>
    <row r="519" spans="1:7" ht="28">
      <c r="A519" t="str">
        <f t="shared" si="8"/>
        <v>Controlling &amp; Corrective Action|Analyst|4|3</v>
      </c>
      <c r="B519" t="str">
        <v>Controlling &amp; Corrective Action</v>
      </c>
      <c r="C519" t="str">
        <v>Analyst</v>
      </c>
      <c r="D519" s="76">
        <v>4</v>
      </c>
      <c r="E519" t="str" cm="1">
        <f t="array" ref="E519">INDEX(aspek!$D$2:$D$337,
   MATCH(1,(aspek!$A$2:$A$337=B519)*
           (aspek!$B$2:$B$337=C519)*
           (aspek!$C$2:$C$337=D519),0))</f>
        <v>Nilai bagi penerima manfaat</v>
      </c>
      <c r="F519" s="76">
        <v>3</v>
      </c>
      <c r="G519" s="56" t="str" cm="1">
        <f t="array" ref="G519">INDEX(deskripsi!$D$2:$H$337,
   MATCH(1,(deskripsi!$A$2:$A$337=B519)*
           (deskripsi!$B$2:$B$337=C519)*
           (deskripsi!$C$2:$C$337=D519),0),
   F519)</f>
        <v>Sesekali menanyakan kepada penerima manfaat apakah hasilnya berguna.</v>
      </c>
    </row>
    <row r="520" spans="1:7" ht="28">
      <c r="A520" t="str">
        <f t="shared" si="8"/>
        <v>Controlling &amp; Corrective Action|Analyst|4|4</v>
      </c>
      <c r="B520" t="str">
        <v>Controlling &amp; Corrective Action</v>
      </c>
      <c r="C520" t="str">
        <v>Analyst</v>
      </c>
      <c r="D520" s="76">
        <v>4</v>
      </c>
      <c r="E520" t="str" cm="1">
        <f t="array" ref="E520">INDEX(aspek!$D$2:$D$337,
   MATCH(1,(aspek!$A$2:$A$337=B520)*
           (aspek!$B$2:$B$337=C520)*
           (aspek!$C$2:$C$337=D520),0))</f>
        <v>Nilai bagi penerima manfaat</v>
      </c>
      <c r="F520" s="76">
        <v>4</v>
      </c>
      <c r="G520" s="56" t="str" cm="1">
        <f t="array" ref="G520">INDEX(deskripsi!$D$2:$H$337,
   MATCH(1,(deskripsi!$A$2:$A$337=B520)*
           (deskripsi!$B$2:$B$337=C520)*
           (deskripsi!$C$2:$C$337=D520),0),
   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76">
        <v>4</v>
      </c>
      <c r="E521" t="str" cm="1">
        <f t="array" ref="E521">INDEX(aspek!$D$2:$D$337,
   MATCH(1,(aspek!$A$2:$A$337=B521)*
           (aspek!$B$2:$B$337=C521)*
           (aspek!$C$2:$C$337=D521),0))</f>
        <v>Nilai bagi penerima manfaat</v>
      </c>
      <c r="F521" s="76">
        <v>5</v>
      </c>
      <c r="G521" s="56" t="str" cm="1">
        <f t="array" ref="G521">INDEX(deskripsi!$D$2:$H$337,
   MATCH(1,(deskripsi!$A$2:$A$337=B521)*
           (deskripsi!$B$2:$B$337=C521)*
           (deskripsi!$C$2:$C$337=D521),0),
   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76">
        <v>1</v>
      </c>
      <c r="E522" t="str" cm="1">
        <f t="array" ref="E522">INDEX(aspek!$D$2:$D$337,
   MATCH(1,(aspek!$A$2:$A$337=B522)*
           (aspek!$B$2:$B$337=C522)*
           (aspek!$C$2:$C$337=D522),0))</f>
        <v>Kesadaran atas hasil</v>
      </c>
      <c r="F522" s="76">
        <v>1</v>
      </c>
      <c r="G522" s="56" t="str" cm="1">
        <f t="array" ref="G522">INDEX(deskripsi!$D$2:$H$337,
   MATCH(1,(deskripsi!$A$2:$A$337=B522)*
           (deskripsi!$B$2:$B$337=C522)*
           (deskripsi!$C$2:$C$337=D522),0),
   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76">
        <v>1</v>
      </c>
      <c r="E523" t="str" cm="1">
        <f t="array" ref="E523">INDEX(aspek!$D$2:$D$337,
   MATCH(1,(aspek!$A$2:$A$337=B523)*
           (aspek!$B$2:$B$337=C523)*
           (aspek!$C$2:$C$337=D523),0))</f>
        <v>Kesadaran atas hasil</v>
      </c>
      <c r="F523" s="76">
        <v>2</v>
      </c>
      <c r="G523" s="56" t="str" cm="1">
        <f t="array" ref="G523">INDEX(deskripsi!$D$2:$H$337,
   MATCH(1,(deskripsi!$A$2:$A$337=B523)*
           (deskripsi!$B$2:$B$337=C523)*
           (deskripsi!$C$2:$C$337=D523),0),
   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76">
        <v>1</v>
      </c>
      <c r="E524" t="str" cm="1">
        <f t="array" ref="E524">INDEX(aspek!$D$2:$D$337,
   MATCH(1,(aspek!$A$2:$A$337=B524)*
           (aspek!$B$2:$B$337=C524)*
           (aspek!$C$2:$C$337=D524),0))</f>
        <v>Kesadaran atas hasil</v>
      </c>
      <c r="F524" s="76">
        <v>3</v>
      </c>
      <c r="G524" s="56" t="str" cm="1">
        <f t="array" ref="G524">INDEX(deskripsi!$D$2:$H$337,
   MATCH(1,(deskripsi!$A$2:$A$337=B524)*
           (deskripsi!$B$2:$B$337=C524)*
           (deskripsi!$C$2:$C$337=D524),0),
   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76">
        <v>1</v>
      </c>
      <c r="E525" t="str" cm="1">
        <f t="array" ref="E525">INDEX(aspek!$D$2:$D$337,
   MATCH(1,(aspek!$A$2:$A$337=B525)*
           (aspek!$B$2:$B$337=C525)*
           (aspek!$C$2:$C$337=D525),0))</f>
        <v>Kesadaran atas hasil</v>
      </c>
      <c r="F525" s="76">
        <v>4</v>
      </c>
      <c r="G525" s="56" t="str" cm="1">
        <f t="array" ref="G525">INDEX(deskripsi!$D$2:$H$337,
   MATCH(1,(deskripsi!$A$2:$A$337=B525)*
           (deskripsi!$B$2:$B$337=C525)*
           (deskripsi!$C$2:$C$337=D525),0),
   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76">
        <v>1</v>
      </c>
      <c r="E526" t="str" cm="1">
        <f t="array" ref="E526">INDEX(aspek!$D$2:$D$337,
   MATCH(1,(aspek!$A$2:$A$337=B526)*
           (aspek!$B$2:$B$337=C526)*
           (aspek!$C$2:$C$337=D526),0))</f>
        <v>Kesadaran atas hasil</v>
      </c>
      <c r="F526" s="76">
        <v>5</v>
      </c>
      <c r="G526" s="56" t="str" cm="1">
        <f t="array" ref="G526">INDEX(deskripsi!$D$2:$H$337,
   MATCH(1,(deskripsi!$A$2:$A$337=B526)*
           (deskripsi!$B$2:$B$337=C526)*
           (deskripsi!$C$2:$C$337=D526),0),
   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76">
        <v>2</v>
      </c>
      <c r="E527" t="str" cm="1">
        <f t="array" ref="E527">INDEX(aspek!$D$2:$D$337,
   MATCH(1,(aspek!$A$2:$A$337=B527)*
           (aspek!$B$2:$B$337=C527)*
           (aspek!$C$2:$C$337=D527),0))</f>
        <v>Refleksi berujung tindakan</v>
      </c>
      <c r="F527" s="76">
        <v>1</v>
      </c>
      <c r="G527" s="56" t="str" cm="1">
        <f t="array" ref="G527">INDEX(deskripsi!$D$2:$H$337,
   MATCH(1,(deskripsi!$A$2:$A$337=B527)*
           (deskripsi!$B$2:$B$337=C527)*
           (deskripsi!$C$2:$C$337=D527),0),
   F527)</f>
        <v>Tidak menarik pelajaran apa pun dari hasil kerja.</v>
      </c>
    </row>
    <row r="528" spans="1:7" ht="28">
      <c r="A528" t="str">
        <f t="shared" si="8"/>
        <v>Controlling &amp; Corrective Action|Unit Head/Specialist|2|2</v>
      </c>
      <c r="B528" t="str">
        <v>Controlling &amp; Corrective Action</v>
      </c>
      <c r="C528" t="str">
        <v>Unit Head/Specialist</v>
      </c>
      <c r="D528" s="76">
        <v>2</v>
      </c>
      <c r="E528" t="str" cm="1">
        <f t="array" ref="E528">INDEX(aspek!$D$2:$D$337,
   MATCH(1,(aspek!$A$2:$A$337=B528)*
           (aspek!$B$2:$B$337=C528)*
           (aspek!$C$2:$C$337=D528),0))</f>
        <v>Refleksi berujung tindakan</v>
      </c>
      <c r="F528" s="76">
        <v>2</v>
      </c>
      <c r="G528" s="56" t="str" cm="1">
        <f t="array" ref="G528">INDEX(deskripsi!$D$2:$H$337,
   MATCH(1,(deskripsi!$A$2:$A$337=B528)*
           (deskripsi!$B$2:$B$337=C528)*
           (deskripsi!$C$2:$C$337=D528),0),
   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76">
        <v>2</v>
      </c>
      <c r="E529" t="str" cm="1">
        <f t="array" ref="E529">INDEX(aspek!$D$2:$D$337,
   MATCH(1,(aspek!$A$2:$A$337=B529)*
           (aspek!$B$2:$B$337=C529)*
           (aspek!$C$2:$C$337=D529),0))</f>
        <v>Refleksi berujung tindakan</v>
      </c>
      <c r="F529" s="76">
        <v>3</v>
      </c>
      <c r="G529" s="56" t="str" cm="1">
        <f t="array" ref="G529">INDEX(deskripsi!$D$2:$H$337,
   MATCH(1,(deskripsi!$A$2:$A$337=B529)*
           (deskripsi!$B$2:$B$337=C529)*
           (deskripsi!$C$2:$C$337=D529),0),
   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76">
        <v>2</v>
      </c>
      <c r="E530" t="str" cm="1">
        <f t="array" ref="E530">INDEX(aspek!$D$2:$D$337,
   MATCH(1,(aspek!$A$2:$A$337=B530)*
           (aspek!$B$2:$B$337=C530)*
           (aspek!$C$2:$C$337=D530),0))</f>
        <v>Refleksi berujung tindakan</v>
      </c>
      <c r="F530" s="76">
        <v>4</v>
      </c>
      <c r="G530" s="56" t="str" cm="1">
        <f t="array" ref="G530">INDEX(deskripsi!$D$2:$H$337,
   MATCH(1,(deskripsi!$A$2:$A$337=B530)*
           (deskripsi!$B$2:$B$337=C530)*
           (deskripsi!$C$2:$C$337=D530),0),
   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76">
        <v>2</v>
      </c>
      <c r="E531" t="str" cm="1">
        <f t="array" ref="E531">INDEX(aspek!$D$2:$D$337,
   MATCH(1,(aspek!$A$2:$A$337=B531)*
           (aspek!$B$2:$B$337=C531)*
           (aspek!$C$2:$C$337=D531),0))</f>
        <v>Refleksi berujung tindakan</v>
      </c>
      <c r="F531" s="76">
        <v>5</v>
      </c>
      <c r="G531" s="56" t="str" cm="1">
        <f t="array" ref="G531">INDEX(deskripsi!$D$2:$H$337,
   MATCH(1,(deskripsi!$A$2:$A$337=B531)*
           (deskripsi!$B$2:$B$337=C531)*
           (deskripsi!$C$2:$C$337=D531),0),
   F531)</f>
        <v>Tindakan perbaikannya menjadi kebiasaan baku yang dijalankan tanpa perlu diingatkan.</v>
      </c>
    </row>
    <row r="532" spans="1:7">
      <c r="A532" t="str">
        <f t="shared" si="8"/>
        <v>Controlling &amp; Corrective Action|Unit Head/Specialist|3|1</v>
      </c>
      <c r="B532" t="str">
        <v>Controlling &amp; Corrective Action</v>
      </c>
      <c r="C532" t="str">
        <v>Unit Head/Specialist</v>
      </c>
      <c r="D532" s="76">
        <v>3</v>
      </c>
      <c r="E532" t="str" cm="1">
        <f t="array" ref="E532">INDEX(aspek!$D$2:$D$337,
   MATCH(1,(aspek!$A$2:$A$337=B532)*
           (aspek!$B$2:$B$337=C532)*
           (aspek!$C$2:$C$337=D532),0))</f>
        <v>Pembelajaran kolektif tanpa kambing hitam</v>
      </c>
      <c r="F532" s="76">
        <v>1</v>
      </c>
      <c r="G532" s="56" t="str" cm="1">
        <f t="array" ref="G532">INDEX(deskripsi!$D$2:$H$337,
   MATCH(1,(deskripsi!$A$2:$A$337=B532)*
           (deskripsi!$B$2:$B$337=C532)*
           (deskripsi!$C$2:$C$337=D532),0),
   F532)</f>
        <v>Kegagalan tim dibahas dengan mencari siapa yang salah.</v>
      </c>
    </row>
    <row r="533" spans="1:7" ht="28">
      <c r="A533" t="str">
        <f t="shared" si="8"/>
        <v>Controlling &amp; Corrective Action|Unit Head/Specialist|3|2</v>
      </c>
      <c r="B533" t="str">
        <v>Controlling &amp; Corrective Action</v>
      </c>
      <c r="C533" t="str">
        <v>Unit Head/Specialist</v>
      </c>
      <c r="D533" s="76">
        <v>3</v>
      </c>
      <c r="E533" t="str" cm="1">
        <f t="array" ref="E533">INDEX(aspek!$D$2:$D$337,
   MATCH(1,(aspek!$A$2:$A$337=B533)*
           (aspek!$B$2:$B$337=C533)*
           (aspek!$C$2:$C$337=D533),0))</f>
        <v>Pembelajaran kolektif tanpa kambing hitam</v>
      </c>
      <c r="F533" s="76">
        <v>2</v>
      </c>
      <c r="G533" s="56" t="str" cm="1">
        <f t="array" ref="G533">INDEX(deskripsi!$D$2:$H$337,
   MATCH(1,(deskripsi!$A$2:$A$337=B533)*
           (deskripsi!$B$2:$B$337=C533)*
           (deskripsi!$C$2:$C$337=D533),0),
   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76">
        <v>3</v>
      </c>
      <c r="E534" t="str" cm="1">
        <f t="array" ref="E534">INDEX(aspek!$D$2:$D$337,
   MATCH(1,(aspek!$A$2:$A$337=B534)*
           (aspek!$B$2:$B$337=C534)*
           (aspek!$C$2:$C$337=D534),0))</f>
        <v>Pembelajaran kolektif tanpa kambing hitam</v>
      </c>
      <c r="F534" s="76">
        <v>3</v>
      </c>
      <c r="G534" s="56" t="str" cm="1">
        <f t="array" ref="G534">INDEX(deskripsi!$D$2:$H$337,
   MATCH(1,(deskripsi!$A$2:$A$337=B534)*
           (deskripsi!$B$2:$B$337=C534)*
           (deskripsi!$C$2:$C$337=D534),0),
   F534)</f>
        <v>Membahas kegagalan tim secara terbuka pada kasus yang tidak terlalu sensitif.</v>
      </c>
    </row>
    <row r="535" spans="1:7" ht="42">
      <c r="A535" t="str">
        <f t="shared" si="8"/>
        <v>Controlling &amp; Corrective Action|Unit Head/Specialist|3|4</v>
      </c>
      <c r="B535" t="str">
        <v>Controlling &amp; Corrective Action</v>
      </c>
      <c r="C535" t="str">
        <v>Unit Head/Specialist</v>
      </c>
      <c r="D535" s="76">
        <v>3</v>
      </c>
      <c r="E535" t="str" cm="1">
        <f t="array" ref="E535">INDEX(aspek!$D$2:$D$337,
   MATCH(1,(aspek!$A$2:$A$337=B535)*
           (aspek!$B$2:$B$337=C535)*
           (aspek!$C$2:$C$337=D535),0))</f>
        <v>Pembelajaran kolektif tanpa kambing hitam</v>
      </c>
      <c r="F535" s="76">
        <v>4</v>
      </c>
      <c r="G535" s="56" t="str" cm="1">
        <f t="array" ref="G535">INDEX(deskripsi!$D$2:$H$337,
   MATCH(1,(deskripsi!$A$2:$A$337=B535)*
           (deskripsi!$B$2:$B$337=C535)*
           (deskripsi!$C$2:$C$337=D535),0),
   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76">
        <v>3</v>
      </c>
      <c r="E536" t="str" cm="1">
        <f t="array" ref="E536">INDEX(aspek!$D$2:$D$337,
   MATCH(1,(aspek!$A$2:$A$337=B536)*
           (aspek!$B$2:$B$337=C536)*
           (aspek!$C$2:$C$337=D536),0))</f>
        <v>Pembelajaran kolektif tanpa kambing hitam</v>
      </c>
      <c r="F536" s="76">
        <v>5</v>
      </c>
      <c r="G536" s="56" t="str" cm="1">
        <f t="array" ref="G536">INDEX(deskripsi!$D$2:$H$337,
   MATCH(1,(deskripsi!$A$2:$A$337=B536)*
           (deskripsi!$B$2:$B$337=C536)*
           (deskripsi!$C$2:$C$337=D536),0),
   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76">
        <v>4</v>
      </c>
      <c r="E537" t="str" cm="1">
        <f t="array" ref="E537">INDEX(aspek!$D$2:$D$337,
   MATCH(1,(aspek!$A$2:$A$337=B537)*
           (aspek!$B$2:$B$337=C537)*
           (aspek!$C$2:$C$337=D537),0))</f>
        <v>Pelembagaan perbaikan</v>
      </c>
      <c r="F537" s="76">
        <v>1</v>
      </c>
      <c r="G537" s="56" t="str" cm="1">
        <f t="array" ref="G537">INDEX(deskripsi!$D$2:$H$337,
   MATCH(1,(deskripsi!$A$2:$A$337=B537)*
           (deskripsi!$B$2:$B$337=C537)*
           (deskripsi!$C$2:$C$337=D537),0),
   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76">
        <v>4</v>
      </c>
      <c r="E538" t="str" cm="1">
        <f t="array" ref="E538">INDEX(aspek!$D$2:$D$337,
   MATCH(1,(aspek!$A$2:$A$337=B538)*
           (aspek!$B$2:$B$337=C538)*
           (aspek!$C$2:$C$337=D538),0))</f>
        <v>Pelembagaan perbaikan</v>
      </c>
      <c r="F538" s="76">
        <v>2</v>
      </c>
      <c r="G538" s="56" t="str" cm="1">
        <f t="array" ref="G538">INDEX(deskripsi!$D$2:$H$337,
   MATCH(1,(deskripsi!$A$2:$A$337=B538)*
           (deskripsi!$B$2:$B$337=C538)*
           (deskripsi!$C$2:$C$337=D538),0),
   F538)</f>
        <v>Perbaikan dicatat, tetapi tidak ada perubahan pada cara kerja tim.</v>
      </c>
    </row>
    <row r="539" spans="1:7">
      <c r="A539" t="str">
        <f t="shared" si="8"/>
        <v>Controlling &amp; Corrective Action|Unit Head/Specialist|4|3</v>
      </c>
      <c r="B539" t="str">
        <v>Controlling &amp; Corrective Action</v>
      </c>
      <c r="C539" t="str">
        <v>Unit Head/Specialist</v>
      </c>
      <c r="D539" s="76">
        <v>4</v>
      </c>
      <c r="E539" t="str" cm="1">
        <f t="array" ref="E539">INDEX(aspek!$D$2:$D$337,
   MATCH(1,(aspek!$A$2:$A$337=B539)*
           (aspek!$B$2:$B$337=C539)*
           (aspek!$C$2:$C$337=D539),0))</f>
        <v>Pelembagaan perbaikan</v>
      </c>
      <c r="F539" s="76">
        <v>3</v>
      </c>
      <c r="G539" s="56" t="str" cm="1">
        <f t="array" ref="G539">INDEX(deskripsi!$D$2:$H$337,
   MATCH(1,(deskripsi!$A$2:$A$337=B539)*
           (deskripsi!$B$2:$B$337=C539)*
           (deskripsi!$C$2:$C$337=D539),0),
   F539)</f>
        <v>Perbaikan diterapkan pada kasus yang sama bila muncul lagi.</v>
      </c>
    </row>
    <row r="540" spans="1:7" ht="28">
      <c r="A540" t="str">
        <f t="shared" si="8"/>
        <v>Controlling &amp; Corrective Action|Unit Head/Specialist|4|4</v>
      </c>
      <c r="B540" t="str">
        <v>Controlling &amp; Corrective Action</v>
      </c>
      <c r="C540" t="str">
        <v>Unit Head/Specialist</v>
      </c>
      <c r="D540" s="76">
        <v>4</v>
      </c>
      <c r="E540" t="str" cm="1">
        <f t="array" ref="E540">INDEX(aspek!$D$2:$D$337,
   MATCH(1,(aspek!$A$2:$A$337=B540)*
           (aspek!$B$2:$B$337=C540)*
           (aspek!$C$2:$C$337=D540),0))</f>
        <v>Pelembagaan perbaikan</v>
      </c>
      <c r="F540" s="76">
        <v>4</v>
      </c>
      <c r="G540" s="56" t="str" cm="1">
        <f t="array" ref="G540">INDEX(deskripsi!$D$2:$H$337,
   MATCH(1,(deskripsi!$A$2:$A$337=B540)*
           (deskripsi!$B$2:$B$337=C540)*
           (deskripsi!$C$2:$C$337=D540),0),
   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76">
        <v>4</v>
      </c>
      <c r="E541" t="str" cm="1">
        <f t="array" ref="E541">INDEX(aspek!$D$2:$D$337,
   MATCH(1,(aspek!$A$2:$A$337=B541)*
           (aspek!$B$2:$B$337=C541)*
           (aspek!$C$2:$C$337=D541),0))</f>
        <v>Pelembagaan perbaikan</v>
      </c>
      <c r="F541" s="76">
        <v>5</v>
      </c>
      <c r="G541" s="56" t="str" cm="1">
        <f t="array" ref="G541">INDEX(deskripsi!$D$2:$H$337,
   MATCH(1,(deskripsi!$A$2:$A$337=B541)*
           (deskripsi!$B$2:$B$337=C541)*
           (deskripsi!$C$2:$C$337=D541),0),
   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76">
        <v>1</v>
      </c>
      <c r="E542" t="str" cm="1">
        <f t="array" ref="E542">INDEX(aspek!$D$2:$D$337,
   MATCH(1,(aspek!$A$2:$A$337=B542)*
           (aspek!$B$2:$B$337=C542)*
           (aspek!$C$2:$C$337=D542),0))</f>
        <v>Kecepatan menghasilkan alternatif</v>
      </c>
      <c r="F542" s="76">
        <v>1</v>
      </c>
      <c r="G542" s="56" t="str" cm="1">
        <f t="array" ref="G542">INDEX(deskripsi!$D$2:$H$337,
   MATCH(1,(deskripsi!$A$2:$A$337=B542)*
           (deskripsi!$B$2:$B$337=C542)*
           (deskripsi!$C$2:$C$337=D542),0),
   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76">
        <v>1</v>
      </c>
      <c r="E543" t="str" cm="1">
        <f t="array" ref="E543">INDEX(aspek!$D$2:$D$337,
   MATCH(1,(aspek!$A$2:$A$337=B543)*
           (aspek!$B$2:$B$337=C543)*
           (aspek!$C$2:$C$337=D543),0))</f>
        <v>Kecepatan menghasilkan alternatif</v>
      </c>
      <c r="F543" s="76">
        <v>2</v>
      </c>
      <c r="G543" s="56" t="str" cm="1">
        <f t="array" ref="G543">INDEX(deskripsi!$D$2:$H$337,
   MATCH(1,(deskripsi!$A$2:$A$337=B543)*
           (deskripsi!$B$2:$B$337=C543)*
           (deskripsi!$C$2:$C$337=D543),0),
   F543)</f>
        <v>Menghasilkan satu alternatif, dengan waktu yang lambat mengingat situasinya mendesak.</v>
      </c>
    </row>
    <row r="544" spans="1:7">
      <c r="A544" t="str">
        <f t="shared" si="8"/>
        <v>Controlling &amp; Corrective Action|Department Head|1|3</v>
      </c>
      <c r="B544" t="str">
        <v>Controlling &amp; Corrective Action</v>
      </c>
      <c r="C544" t="str">
        <v>Department Head</v>
      </c>
      <c r="D544" s="76">
        <v>1</v>
      </c>
      <c r="E544" t="str" cm="1">
        <f t="array" ref="E544">INDEX(aspek!$D$2:$D$337,
   MATCH(1,(aspek!$A$2:$A$337=B544)*
           (aspek!$B$2:$B$337=C544)*
           (aspek!$C$2:$C$337=D544),0))</f>
        <v>Kecepatan menghasilkan alternatif</v>
      </c>
      <c r="F544" s="76">
        <v>3</v>
      </c>
      <c r="G544" s="56" t="str" cm="1">
        <f t="array" ref="G544">INDEX(deskripsi!$D$2:$H$337,
   MATCH(1,(deskripsi!$A$2:$A$337=B544)*
           (deskripsi!$B$2:$B$337=C544)*
           (deskripsi!$C$2:$C$337=D544),0),
   F544)</f>
        <v>Menghasilkan beberapa alternatif dengan bantuan orang lain.</v>
      </c>
    </row>
    <row r="545" spans="1:7" ht="28">
      <c r="A545" t="str">
        <f t="shared" si="8"/>
        <v>Controlling &amp; Corrective Action|Department Head|1|4</v>
      </c>
      <c r="B545" t="str">
        <v>Controlling &amp; Corrective Action</v>
      </c>
      <c r="C545" t="str">
        <v>Department Head</v>
      </c>
      <c r="D545" s="76">
        <v>1</v>
      </c>
      <c r="E545" t="str" cm="1">
        <f t="array" ref="E545">INDEX(aspek!$D$2:$D$337,
   MATCH(1,(aspek!$A$2:$A$337=B545)*
           (aspek!$B$2:$B$337=C545)*
           (aspek!$C$2:$C$337=D545),0))</f>
        <v>Kecepatan menghasilkan alternatif</v>
      </c>
      <c r="F545" s="76">
        <v>4</v>
      </c>
      <c r="G545" s="56" t="str" cm="1">
        <f t="array" ref="G545">INDEX(deskripsi!$D$2:$H$337,
   MATCH(1,(deskripsi!$A$2:$A$337=B545)*
           (deskripsi!$B$2:$B$337=C545)*
           (deskripsi!$C$2:$C$337=D545),0),
   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76">
        <v>1</v>
      </c>
      <c r="E546" t="str" cm="1">
        <f t="array" ref="E546">INDEX(aspek!$D$2:$D$337,
   MATCH(1,(aspek!$A$2:$A$337=B546)*
           (aspek!$B$2:$B$337=C546)*
           (aspek!$C$2:$C$337=D546),0))</f>
        <v>Kecepatan menghasilkan alternatif</v>
      </c>
      <c r="F546" s="76">
        <v>5</v>
      </c>
      <c r="G546" s="56" t="str" cm="1">
        <f t="array" ref="G546">INDEX(deskripsi!$D$2:$H$337,
   MATCH(1,(deskripsi!$A$2:$A$337=B546)*
           (deskripsi!$B$2:$B$337=C546)*
           (deskripsi!$C$2:$C$337=D546),0),
   F546)</f>
        <v>Kecepatannya menular; tim ikut cepat menyumbang alternatif tanpa diminta.</v>
      </c>
    </row>
    <row r="547" spans="1:7">
      <c r="A547" t="str">
        <f t="shared" si="8"/>
        <v>Controlling &amp; Corrective Action|Department Head|2|1</v>
      </c>
      <c r="B547" t="str">
        <v>Controlling &amp; Corrective Action</v>
      </c>
      <c r="C547" t="str">
        <v>Department Head</v>
      </c>
      <c r="D547" s="76">
        <v>2</v>
      </c>
      <c r="E547" t="str" cm="1">
        <f t="array" ref="E547">INDEX(aspek!$D$2:$D$337,
   MATCH(1,(aspek!$A$2:$A$337=B547)*
           (aspek!$B$2:$B$337=C547)*
           (aspek!$C$2:$C$337=D547),0))</f>
        <v>Fleksibilitas mengganti solusi</v>
      </c>
      <c r="F547" s="76">
        <v>1</v>
      </c>
      <c r="G547" s="56" t="str" cm="1">
        <f t="array" ref="G547">INDEX(deskripsi!$D$2:$H$337,
   MATCH(1,(deskripsi!$A$2:$A$337=B547)*
           (deskripsi!$B$2:$B$337=C547)*
           (deskripsi!$C$2:$C$337=D547),0),
   F547)</f>
        <v>Bertahan pada solusi pertama sampai jelas-jelas gagal total.</v>
      </c>
    </row>
    <row r="548" spans="1:7" ht="28">
      <c r="A548" t="str">
        <f t="shared" si="8"/>
        <v>Controlling &amp; Corrective Action|Department Head|2|2</v>
      </c>
      <c r="B548" t="str">
        <v>Controlling &amp; Corrective Action</v>
      </c>
      <c r="C548" t="str">
        <v>Department Head</v>
      </c>
      <c r="D548" s="76">
        <v>2</v>
      </c>
      <c r="E548" t="str" cm="1">
        <f t="array" ref="E548">INDEX(aspek!$D$2:$D$337,
   MATCH(1,(aspek!$A$2:$A$337=B548)*
           (aspek!$B$2:$B$337=C548)*
           (aspek!$C$2:$C$337=D548),0))</f>
        <v>Fleksibilitas mengganti solusi</v>
      </c>
      <c r="F548" s="76">
        <v>2</v>
      </c>
      <c r="G548" s="56" t="str" cm="1">
        <f t="array" ref="G548">INDEX(deskripsi!$D$2:$H$337,
   MATCH(1,(deskripsi!$A$2:$A$337=B548)*
           (deskripsi!$B$2:$B$337=C548)*
           (deskripsi!$C$2:$C$337=D548),0),
   F548)</f>
        <v>Menyadari solusi tidak bekerja, tetapi lambat memutuskan penggantinya.</v>
      </c>
    </row>
    <row r="549" spans="1:7">
      <c r="A549" t="str">
        <f t="shared" si="8"/>
        <v>Controlling &amp; Corrective Action|Department Head|2|3</v>
      </c>
      <c r="B549" t="str">
        <v>Controlling &amp; Corrective Action</v>
      </c>
      <c r="C549" t="str">
        <v>Department Head</v>
      </c>
      <c r="D549" s="76">
        <v>2</v>
      </c>
      <c r="E549" t="str" cm="1">
        <f t="array" ref="E549">INDEX(aspek!$D$2:$D$337,
   MATCH(1,(aspek!$A$2:$A$337=B549)*
           (aspek!$B$2:$B$337=C549)*
           (aspek!$C$2:$C$337=D549),0))</f>
        <v>Fleksibilitas mengganti solusi</v>
      </c>
      <c r="F549" s="76">
        <v>3</v>
      </c>
      <c r="G549" s="56" t="str" cm="1">
        <f t="array" ref="G549">INDEX(deskripsi!$D$2:$H$337,
   MATCH(1,(deskripsi!$A$2:$A$337=B549)*
           (deskripsi!$B$2:$B$337=C549)*
           (deskripsi!$C$2:$C$337=D549),0),
   F549)</f>
        <v>Mengganti solusi setelah mendapat persetujuan atau arahan.</v>
      </c>
    </row>
    <row r="550" spans="1:7" ht="42">
      <c r="A550" t="str">
        <f t="shared" si="8"/>
        <v>Controlling &amp; Corrective Action|Department Head|2|4</v>
      </c>
      <c r="B550" t="str">
        <v>Controlling &amp; Corrective Action</v>
      </c>
      <c r="C550" t="str">
        <v>Department Head</v>
      </c>
      <c r="D550" s="76">
        <v>2</v>
      </c>
      <c r="E550" t="str" cm="1">
        <f t="array" ref="E550">INDEX(aspek!$D$2:$D$337,
   MATCH(1,(aspek!$A$2:$A$337=B550)*
           (aspek!$B$2:$B$337=C550)*
           (aspek!$C$2:$C$337=D550),0))</f>
        <v>Fleksibilitas mengganti solusi</v>
      </c>
      <c r="F550" s="76">
        <v>4</v>
      </c>
      <c r="G550" s="56" t="str" cm="1">
        <f t="array" ref="G550">INDEX(deskripsi!$D$2:$H$337,
   MATCH(1,(deskripsi!$A$2:$A$337=B550)*
           (deskripsi!$B$2:$B$337=C550)*
           (deskripsi!$C$2:$C$337=D550),0),
   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76">
        <v>2</v>
      </c>
      <c r="E551" t="str" cm="1">
        <f t="array" ref="E551">INDEX(aspek!$D$2:$D$337,
   MATCH(1,(aspek!$A$2:$A$337=B551)*
           (aspek!$B$2:$B$337=C551)*
           (aspek!$C$2:$C$337=D551),0))</f>
        <v>Fleksibilitas mengganti solusi</v>
      </c>
      <c r="F551" s="76">
        <v>5</v>
      </c>
      <c r="G551" s="56" t="str" cm="1">
        <f t="array" ref="G551">INDEX(deskripsi!$D$2:$H$337,
   MATCH(1,(deskripsi!$A$2:$A$337=B551)*
           (deskripsi!$B$2:$B$337=C551)*
           (deskripsi!$C$2:$C$337=D551),0),
   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76">
        <v>3</v>
      </c>
      <c r="E552" t="str" cm="1">
        <f t="array" ref="E552">INDEX(aspek!$D$2:$D$337,
   MATCH(1,(aspek!$A$2:$A$337=B552)*
           (aspek!$B$2:$B$337=C552)*
           (aspek!$C$2:$C$337=D552),0))</f>
        <v>Memanfaatkan sumber daya yang ada</v>
      </c>
      <c r="F552" s="76">
        <v>1</v>
      </c>
      <c r="G552" s="56" t="str" cm="1">
        <f t="array" ref="G552">INDEX(deskripsi!$D$2:$H$337,
   MATCH(1,(deskripsi!$A$2:$A$337=B552)*
           (deskripsi!$B$2:$B$337=C552)*
           (deskripsi!$C$2:$C$337=D552),0),
   F552)</f>
        <v>Menunggu sumber daya tambahan sebelum bertindak pada masalah mendesak.</v>
      </c>
    </row>
    <row r="553" spans="1:7">
      <c r="A553" t="str">
        <f t="shared" si="8"/>
        <v>Controlling &amp; Corrective Action|Department Head|3|2</v>
      </c>
      <c r="B553" t="str">
        <v>Controlling &amp; Corrective Action</v>
      </c>
      <c r="C553" t="str">
        <v>Department Head</v>
      </c>
      <c r="D553" s="76">
        <v>3</v>
      </c>
      <c r="E553" t="str" cm="1">
        <f t="array" ref="E553">INDEX(aspek!$D$2:$D$337,
   MATCH(1,(aspek!$A$2:$A$337=B553)*
           (aspek!$B$2:$B$337=C553)*
           (aspek!$C$2:$C$337=D553),0))</f>
        <v>Memanfaatkan sumber daya yang ada</v>
      </c>
      <c r="F553" s="76">
        <v>2</v>
      </c>
      <c r="G553" s="56" t="str" cm="1">
        <f t="array" ref="G553">INDEX(deskripsi!$D$2:$H$337,
   MATCH(1,(deskripsi!$A$2:$A$337=B553)*
           (deskripsi!$B$2:$B$337=C553)*
           (deskripsi!$C$2:$C$337=D553),0),
   F553)</f>
        <v>Memakai sumber daya yang ada, tetapi tidak maksimal.</v>
      </c>
    </row>
    <row r="554" spans="1:7" ht="28">
      <c r="A554" t="str">
        <f t="shared" si="8"/>
        <v>Controlling &amp; Corrective Action|Department Head|3|3</v>
      </c>
      <c r="B554" t="str">
        <v>Controlling &amp; Corrective Action</v>
      </c>
      <c r="C554" t="str">
        <v>Department Head</v>
      </c>
      <c r="D554" s="76">
        <v>3</v>
      </c>
      <c r="E554" t="str" cm="1">
        <f t="array" ref="E554">INDEX(aspek!$D$2:$D$337,
   MATCH(1,(aspek!$A$2:$A$337=B554)*
           (aspek!$B$2:$B$337=C554)*
           (aspek!$C$2:$C$337=D554),0))</f>
        <v>Memanfaatkan sumber daya yang ada</v>
      </c>
      <c r="F554" s="76">
        <v>3</v>
      </c>
      <c r="G554" s="56" t="str" cm="1">
        <f t="array" ref="G554">INDEX(deskripsi!$D$2:$H$337,
   MATCH(1,(deskripsi!$A$2:$A$337=B554)*
           (deskripsi!$B$2:$B$337=C554)*
           (deskripsi!$C$2:$C$337=D554),0),
   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76">
        <v>3</v>
      </c>
      <c r="E555" t="str" cm="1">
        <f t="array" ref="E555">INDEX(aspek!$D$2:$D$337,
   MATCH(1,(aspek!$A$2:$A$337=B555)*
           (aspek!$B$2:$B$337=C555)*
           (aspek!$C$2:$C$337=D555),0))</f>
        <v>Memanfaatkan sumber daya yang ada</v>
      </c>
      <c r="F555" s="76">
        <v>4</v>
      </c>
      <c r="G555" s="56" t="str" cm="1">
        <f t="array" ref="G555">INDEX(deskripsi!$D$2:$H$337,
   MATCH(1,(deskripsi!$A$2:$A$337=B555)*
           (deskripsi!$B$2:$B$337=C555)*
           (deskripsi!$C$2:$C$337=D555),0),
   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76">
        <v>3</v>
      </c>
      <c r="E556" t="str" cm="1">
        <f t="array" ref="E556">INDEX(aspek!$D$2:$D$337,
   MATCH(1,(aspek!$A$2:$A$337=B556)*
           (aspek!$B$2:$B$337=C556)*
           (aspek!$C$2:$C$337=D556),0))</f>
        <v>Memanfaatkan sumber daya yang ada</v>
      </c>
      <c r="F556" s="76">
        <v>5</v>
      </c>
      <c r="G556" s="56" t="str" cm="1">
        <f t="array" ref="G556">INDEX(deskripsi!$D$2:$H$337,
   MATCH(1,(deskripsi!$A$2:$A$337=B556)*
           (deskripsi!$B$2:$B$337=C556)*
           (deskripsi!$C$2:$C$337=D556),0),
   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76">
        <v>4</v>
      </c>
      <c r="E557" t="str" cm="1">
        <f t="array" ref="E557">INDEX(aspek!$D$2:$D$337,
   MATCH(1,(aspek!$A$2:$A$337=B557)*
           (aspek!$B$2:$B$337=C557)*
           (aspek!$C$2:$C$337=D557),0))</f>
        <v>Ketenangan saat berganti arah</v>
      </c>
      <c r="F557" s="76">
        <v>1</v>
      </c>
      <c r="G557" s="56" t="str" cm="1">
        <f t="array" ref="G557">INDEX(deskripsi!$D$2:$H$337,
   MATCH(1,(deskripsi!$A$2:$A$337=B557)*
           (deskripsi!$B$2:$B$337=C557)*
           (deskripsi!$C$2:$C$337=D557),0),
   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76">
        <v>4</v>
      </c>
      <c r="E558" t="str" cm="1">
        <f t="array" ref="E558">INDEX(aspek!$D$2:$D$337,
   MATCH(1,(aspek!$A$2:$A$337=B558)*
           (aspek!$B$2:$B$337=C558)*
           (aspek!$C$2:$C$337=D558),0))</f>
        <v>Ketenangan saat berganti arah</v>
      </c>
      <c r="F558" s="76">
        <v>2</v>
      </c>
      <c r="G558" s="56" t="str" cm="1">
        <f t="array" ref="G558">INDEX(deskripsi!$D$2:$H$337,
   MATCH(1,(deskripsi!$A$2:$A$337=B558)*
           (deskripsi!$B$2:$B$337=C558)*
           (deskripsi!$C$2:$C$337=D558),0),
   F558)</f>
        <v>Mengganti arah dengan tenang, tetapi tidak menjelaskannya kepada tim.</v>
      </c>
    </row>
    <row r="559" spans="1:7">
      <c r="A559" t="str">
        <f t="shared" si="8"/>
        <v>Controlling &amp; Corrective Action|Department Head|4|3</v>
      </c>
      <c r="B559" t="str">
        <v>Controlling &amp; Corrective Action</v>
      </c>
      <c r="C559" t="str">
        <v>Department Head</v>
      </c>
      <c r="D559" s="76">
        <v>4</v>
      </c>
      <c r="E559" t="str" cm="1">
        <f t="array" ref="E559">INDEX(aspek!$D$2:$D$337,
   MATCH(1,(aspek!$A$2:$A$337=B559)*
           (aspek!$B$2:$B$337=C559)*
           (aspek!$C$2:$C$337=D559),0))</f>
        <v>Ketenangan saat berganti arah</v>
      </c>
      <c r="F559" s="76">
        <v>3</v>
      </c>
      <c r="G559" s="56" t="str" cm="1">
        <f t="array" ref="G559">INDEX(deskripsi!$D$2:$H$337,
   MATCH(1,(deskripsi!$A$2:$A$337=B559)*
           (deskripsi!$B$2:$B$337=C559)*
           (deskripsi!$C$2:$C$337=D559),0),
   F559)</f>
        <v>Menjelaskan pergantian arah setelah tim mempertanyakan.</v>
      </c>
    </row>
    <row r="560" spans="1:7" ht="28">
      <c r="A560" t="str">
        <f t="shared" si="8"/>
        <v>Controlling &amp; Corrective Action|Department Head|4|4</v>
      </c>
      <c r="B560" t="str">
        <v>Controlling &amp; Corrective Action</v>
      </c>
      <c r="C560" t="str">
        <v>Department Head</v>
      </c>
      <c r="D560" s="76">
        <v>4</v>
      </c>
      <c r="E560" t="str" cm="1">
        <f t="array" ref="E560">INDEX(aspek!$D$2:$D$337,
   MATCH(1,(aspek!$A$2:$A$337=B560)*
           (aspek!$B$2:$B$337=C560)*
           (aspek!$C$2:$C$337=D560),0))</f>
        <v>Ketenangan saat berganti arah</v>
      </c>
      <c r="F560" s="76">
        <v>4</v>
      </c>
      <c r="G560" s="56" t="str" cm="1">
        <f t="array" ref="G560">INDEX(deskripsi!$D$2:$H$337,
   MATCH(1,(deskripsi!$A$2:$A$337=B560)*
           (deskripsi!$B$2:$B$337=C560)*
           (deskripsi!$C$2:$C$337=D560),0),
   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76">
        <v>4</v>
      </c>
      <c r="E561" t="str" cm="1">
        <f t="array" ref="E561">INDEX(aspek!$D$2:$D$337,
   MATCH(1,(aspek!$A$2:$A$337=B561)*
           (aspek!$B$2:$B$337=C561)*
           (aspek!$C$2:$C$337=D561),0))</f>
        <v>Ketenangan saat berganti arah</v>
      </c>
      <c r="F561" s="76">
        <v>5</v>
      </c>
      <c r="G561" s="56" t="str" cm="1">
        <f t="array" ref="G561">INDEX(deskripsi!$D$2:$H$337,
   MATCH(1,(deskripsi!$A$2:$A$337=B561)*
           (deskripsi!$B$2:$B$337=C561)*
           (deskripsi!$C$2:$C$337=D561),0),
   F561)</f>
        <v>Tim tetap percaya penuh pada arahannya meski arah berganti berkali-kali dalam satu krisis.</v>
      </c>
    </row>
    <row r="562" spans="1:7" ht="28">
      <c r="A562" t="str">
        <f t="shared" si="8"/>
        <v>Controlling &amp; Corrective Action|Division Head|1|1</v>
      </c>
      <c r="B562" t="str">
        <v>Controlling &amp; Corrective Action</v>
      </c>
      <c r="C562" t="str">
        <v>Division Head</v>
      </c>
      <c r="D562" s="76">
        <v>1</v>
      </c>
      <c r="E562" t="str" cm="1">
        <f t="array" ref="E562">INDEX(aspek!$D$2:$D$337,
   MATCH(1,(aspek!$A$2:$A$337=B562)*
           (aspek!$B$2:$B$337=C562)*
           (aspek!$C$2:$C$337=D562),0))</f>
        <v>Kapan kebutuhan sumber daya dipikirkan</v>
      </c>
      <c r="F562" s="76">
        <v>1</v>
      </c>
      <c r="G562" s="56" t="str" cm="1">
        <f t="array" ref="G562">INDEX(deskripsi!$D$2:$H$337,
   MATCH(1,(deskripsi!$A$2:$A$337=B562)*
           (deskripsi!$B$2:$B$337=C562)*
           (deskripsi!$C$2:$C$337=D562),0),
   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76">
        <v>1</v>
      </c>
      <c r="E563" t="str" cm="1">
        <f t="array" ref="E563">INDEX(aspek!$D$2:$D$337,
   MATCH(1,(aspek!$A$2:$A$337=B563)*
           (aspek!$B$2:$B$337=C563)*
           (aspek!$C$2:$C$337=D563),0))</f>
        <v>Kapan kebutuhan sumber daya dipikirkan</v>
      </c>
      <c r="F563" s="76">
        <v>2</v>
      </c>
      <c r="G563" s="56" t="str" cm="1">
        <f t="array" ref="G563">INDEX(deskripsi!$D$2:$H$337,
   MATCH(1,(deskripsi!$A$2:$A$337=B563)*
           (deskripsi!$B$2:$B$337=C563)*
           (deskripsi!$C$2:$C$337=D563),0),
   F563)</f>
        <v>Kebutuhan diperkirakan secara garis besar sebelum mulai, tanpa rincian.</v>
      </c>
    </row>
    <row r="564" spans="1:7" ht="28">
      <c r="A564" t="str">
        <f t="shared" si="8"/>
        <v>Controlling &amp; Corrective Action|Division Head|1|3</v>
      </c>
      <c r="B564" t="str">
        <v>Controlling &amp; Corrective Action</v>
      </c>
      <c r="C564" t="str">
        <v>Division Head</v>
      </c>
      <c r="D564" s="76">
        <v>1</v>
      </c>
      <c r="E564" t="str" cm="1">
        <f t="array" ref="E564">INDEX(aspek!$D$2:$D$337,
   MATCH(1,(aspek!$A$2:$A$337=B564)*
           (aspek!$B$2:$B$337=C564)*
           (aspek!$C$2:$C$337=D564),0))</f>
        <v>Kapan kebutuhan sumber daya dipikirkan</v>
      </c>
      <c r="F564" s="76">
        <v>3</v>
      </c>
      <c r="G564" s="56" t="str" cm="1">
        <f t="array" ref="G564">INDEX(deskripsi!$D$2:$H$337,
   MATCH(1,(deskripsi!$A$2:$A$337=B564)*
           (deskripsi!$B$2:$B$337=C564)*
           (deskripsi!$C$2:$C$337=D564),0),
   F564)</f>
        <v>Kebutuhan dihitung rinci sebelum pelaksanaan dimulai, untuk keempat kategori.</v>
      </c>
    </row>
    <row r="565" spans="1:7" ht="28">
      <c r="A565" t="str">
        <f t="shared" si="8"/>
        <v>Controlling &amp; Corrective Action|Division Head|1|4</v>
      </c>
      <c r="B565" t="str">
        <v>Controlling &amp; Corrective Action</v>
      </c>
      <c r="C565" t="str">
        <v>Division Head</v>
      </c>
      <c r="D565" s="76">
        <v>1</v>
      </c>
      <c r="E565" t="str" cm="1">
        <f t="array" ref="E565">INDEX(aspek!$D$2:$D$337,
   MATCH(1,(aspek!$A$2:$A$337=B565)*
           (aspek!$B$2:$B$337=C565)*
           (aspek!$C$2:$C$337=D565),0))</f>
        <v>Kapan kebutuhan sumber daya dipikirkan</v>
      </c>
      <c r="F565" s="76">
        <v>4</v>
      </c>
      <c r="G565" s="56" t="str" cm="1">
        <f t="array" ref="G565">INDEX(deskripsi!$D$2:$H$337,
   MATCH(1,(deskripsi!$A$2:$A$337=B565)*
           (deskripsi!$B$2:$B$337=C565)*
           (deskripsi!$C$2:$C$337=D565),0),
   F565)</f>
        <v>Perhitungan rinci sebelum mulai menjadi kebiasaan tetap, dan realisasinya konsisten mendekati perhitungan.</v>
      </c>
    </row>
    <row r="566" spans="1:7">
      <c r="A566" t="str">
        <f t="shared" si="8"/>
        <v>Controlling &amp; Corrective Action|Division Head|1|5</v>
      </c>
      <c r="B566" t="str">
        <v>Controlling &amp; Corrective Action</v>
      </c>
      <c r="C566" t="str">
        <v>Division Head</v>
      </c>
      <c r="D566" s="76">
        <v>1</v>
      </c>
      <c r="E566" t="str" cm="1">
        <f t="array" ref="E566">INDEX(aspek!$D$2:$D$337,
   MATCH(1,(aspek!$A$2:$A$337=B566)*
           (aspek!$B$2:$B$337=C566)*
           (aspek!$C$2:$C$337=D566),0))</f>
        <v>Kapan kebutuhan sumber daya dipikirkan</v>
      </c>
      <c r="F566" s="76">
        <v>5</v>
      </c>
      <c r="G566" s="56" t="str" cm="1">
        <f t="array" ref="G566">INDEX(deskripsi!$D$2:$H$337,
   MATCH(1,(deskripsi!$A$2:$A$337=B566)*
           (deskripsi!$B$2:$B$337=C566)*
           (deskripsi!$C$2:$C$337=D566),0),
   F566)</f>
        <v>Metode perhitungannya dipakai unit lain sebagai acuan.</v>
      </c>
    </row>
    <row r="567" spans="1:7" ht="28">
      <c r="A567" t="str">
        <f t="shared" si="8"/>
        <v>Controlling &amp; Corrective Action|Division Head|2|1</v>
      </c>
      <c r="B567" t="str">
        <v>Controlling &amp; Corrective Action</v>
      </c>
      <c r="C567" t="str">
        <v>Division Head</v>
      </c>
      <c r="D567" s="76">
        <v>2</v>
      </c>
      <c r="E567" t="str" cm="1">
        <f t="array" ref="E567">INDEX(aspek!$D$2:$D$337,
   MATCH(1,(aspek!$A$2:$A$337=B567)*
           (aspek!$B$2:$B$337=C567)*
           (aspek!$C$2:$C$337=D567),0))</f>
        <v>Alokasi sesuai prioritas</v>
      </c>
      <c r="F567" s="76">
        <v>1</v>
      </c>
      <c r="G567" s="56" t="str" cm="1">
        <f t="array" ref="G567">INDEX(deskripsi!$D$2:$H$337,
   MATCH(1,(deskripsi!$A$2:$A$337=B567)*
           (deskripsi!$B$2:$B$337=C567)*
           (deskripsi!$C$2:$C$337=D567),0),
   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76">
        <v>2</v>
      </c>
      <c r="E568" t="str" cm="1">
        <f t="array" ref="E568">INDEX(aspek!$D$2:$D$337,
   MATCH(1,(aspek!$A$2:$A$337=B568)*
           (aspek!$B$2:$B$337=C568)*
           (aspek!$C$2:$C$337=D568),0))</f>
        <v>Alokasi sesuai prioritas</v>
      </c>
      <c r="F568" s="76">
        <v>2</v>
      </c>
      <c r="G568" s="56" t="str" cm="1">
        <f t="array" ref="G568">INDEX(deskripsi!$D$2:$H$337,
   MATCH(1,(deskripsi!$A$2:$A$337=B568)*
           (deskripsi!$B$2:$B$337=C568)*
           (deskripsi!$C$2:$C$337=D568),0),
   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76">
        <v>2</v>
      </c>
      <c r="E569" t="str" cm="1">
        <f t="array" ref="E569">INDEX(aspek!$D$2:$D$337,
   MATCH(1,(aspek!$A$2:$A$337=B569)*
           (aspek!$B$2:$B$337=C569)*
           (aspek!$C$2:$C$337=D569),0))</f>
        <v>Alokasi sesuai prioritas</v>
      </c>
      <c r="F569" s="76">
        <v>3</v>
      </c>
      <c r="G569" s="56" t="str" cm="1">
        <f t="array" ref="G569">INDEX(deskripsi!$D$2:$H$337,
   MATCH(1,(deskripsi!$A$2:$A$337=B569)*
           (deskripsi!$B$2:$B$337=C569)*
           (deskripsi!$C$2:$C$337=D569),0),
   F569)</f>
        <v>Mengalokasikan berdasarkan prioritas yang ditetapkan atasan.</v>
      </c>
    </row>
    <row r="570" spans="1:7" ht="42">
      <c r="A570" t="str">
        <f t="shared" si="8"/>
        <v>Controlling &amp; Corrective Action|Division Head|2|4</v>
      </c>
      <c r="B570" t="str">
        <v>Controlling &amp; Corrective Action</v>
      </c>
      <c r="C570" t="str">
        <v>Division Head</v>
      </c>
      <c r="D570" s="76">
        <v>2</v>
      </c>
      <c r="E570" t="str" cm="1">
        <f t="array" ref="E570">INDEX(aspek!$D$2:$D$337,
   MATCH(1,(aspek!$A$2:$A$337=B570)*
           (aspek!$B$2:$B$337=C570)*
           (aspek!$C$2:$C$337=D570),0))</f>
        <v>Alokasi sesuai prioritas</v>
      </c>
      <c r="F570" s="76">
        <v>4</v>
      </c>
      <c r="G570" s="56" t="str" cm="1">
        <f t="array" ref="G570">INDEX(deskripsi!$D$2:$H$337,
   MATCH(1,(deskripsi!$A$2:$A$337=B570)*
           (deskripsi!$B$2:$B$337=C570)*
           (deskripsi!$C$2:$C$337=D570),0),
   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76">
        <v>2</v>
      </c>
      <c r="E571" t="str" cm="1">
        <f t="array" ref="E571">INDEX(aspek!$D$2:$D$337,
   MATCH(1,(aspek!$A$2:$A$337=B571)*
           (aspek!$B$2:$B$337=C571)*
           (aspek!$C$2:$C$337=D571),0))</f>
        <v>Alokasi sesuai prioritas</v>
      </c>
      <c r="F571" s="76">
        <v>5</v>
      </c>
      <c r="G571" s="56" t="str" cm="1">
        <f t="array" ref="G571">INDEX(deskripsi!$D$2:$H$337,
   MATCH(1,(deskripsi!$A$2:$A$337=B571)*
           (deskripsi!$B$2:$B$337=C571)*
           (deskripsi!$C$2:$C$337=D571),0),
   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76">
        <v>3</v>
      </c>
      <c r="E572" t="str" cm="1">
        <f t="array" ref="E572">INDEX(aspek!$D$2:$D$337,
   MATCH(1,(aspek!$A$2:$A$337=B572)*
           (aspek!$B$2:$B$337=C572)*
           (aspek!$C$2:$C$337=D572),0))</f>
        <v>Antisipasi kendala pelaksanaan</v>
      </c>
      <c r="F572" s="76">
        <v>1</v>
      </c>
      <c r="G572" s="56" t="str" cm="1">
        <f t="array" ref="G572">INDEX(deskripsi!$D$2:$H$337,
   MATCH(1,(deskripsi!$A$2:$A$337=B572)*
           (deskripsi!$B$2:$B$337=C572)*
           (deskripsi!$C$2:$C$337=D572),0),
   F572)</f>
        <v>Tidak mempertimbangkan kemungkinan gagal saat merencanakan.</v>
      </c>
    </row>
    <row r="573" spans="1:7" ht="28">
      <c r="A573" t="str">
        <f t="shared" si="8"/>
        <v>Controlling &amp; Corrective Action|Division Head|3|2</v>
      </c>
      <c r="B573" t="str">
        <v>Controlling &amp; Corrective Action</v>
      </c>
      <c r="C573" t="str">
        <v>Division Head</v>
      </c>
      <c r="D573" s="76">
        <v>3</v>
      </c>
      <c r="E573" t="str" cm="1">
        <f t="array" ref="E573">INDEX(aspek!$D$2:$D$337,
   MATCH(1,(aspek!$A$2:$A$337=B573)*
           (aspek!$B$2:$B$337=C573)*
           (aspek!$C$2:$C$337=D573),0))</f>
        <v>Antisipasi kendala pelaksanaan</v>
      </c>
      <c r="F573" s="76">
        <v>2</v>
      </c>
      <c r="G573" s="56" t="str" cm="1">
        <f t="array" ref="G573">INDEX(deskripsi!$D$2:$H$337,
   MATCH(1,(deskripsi!$A$2:$A$337=B573)*
           (deskripsi!$B$2:$B$337=C573)*
           (deskripsi!$C$2:$C$337=D573),0),
   F573)</f>
        <v>Menyadari ada risiko, tetapi tidak menyiapkan langkah apa pun untuknya.</v>
      </c>
    </row>
    <row r="574" spans="1:7" ht="28">
      <c r="A574" t="str">
        <f t="shared" si="8"/>
        <v>Controlling &amp; Corrective Action|Division Head|3|3</v>
      </c>
      <c r="B574" t="str">
        <v>Controlling &amp; Corrective Action</v>
      </c>
      <c r="C574" t="str">
        <v>Division Head</v>
      </c>
      <c r="D574" s="76">
        <v>3</v>
      </c>
      <c r="E574" t="str" cm="1">
        <f t="array" ref="E574">INDEX(aspek!$D$2:$D$337,
   MATCH(1,(aspek!$A$2:$A$337=B574)*
           (aspek!$B$2:$B$337=C574)*
           (aspek!$C$2:$C$337=D574),0))</f>
        <v>Antisipasi kendala pelaksanaan</v>
      </c>
      <c r="F574" s="76">
        <v>3</v>
      </c>
      <c r="G574" s="56" t="str" cm="1">
        <f t="array" ref="G574">INDEX(deskripsi!$D$2:$H$337,
   MATCH(1,(deskripsi!$A$2:$A$337=B574)*
           (deskripsi!$B$2:$B$337=C574)*
           (deskripsi!$C$2:$C$337=D574),0),
   F574)</f>
        <v>Mencatat daftar risiko generik tanpa langkah cadangan yang spesifik.</v>
      </c>
    </row>
    <row r="575" spans="1:7" ht="42">
      <c r="A575" t="str">
        <f t="shared" si="8"/>
        <v>Controlling &amp; Corrective Action|Division Head|3|4</v>
      </c>
      <c r="B575" t="str">
        <v>Controlling &amp; Corrective Action</v>
      </c>
      <c r="C575" t="str">
        <v>Division Head</v>
      </c>
      <c r="D575" s="76">
        <v>3</v>
      </c>
      <c r="E575" t="str" cm="1">
        <f t="array" ref="E575">INDEX(aspek!$D$2:$D$337,
   MATCH(1,(aspek!$A$2:$A$337=B575)*
           (aspek!$B$2:$B$337=C575)*
           (aspek!$C$2:$C$337=D575),0))</f>
        <v>Antisipasi kendala pelaksanaan</v>
      </c>
      <c r="F575" s="76">
        <v>4</v>
      </c>
      <c r="G575" s="56" t="str" cm="1">
        <f t="array" ref="G575">INDEX(deskripsi!$D$2:$H$337,
   MATCH(1,(deskripsi!$A$2:$A$337=B575)*
           (deskripsi!$B$2:$B$337=C575)*
           (deskripsi!$C$2:$C$337=D575),0),
   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76">
        <v>3</v>
      </c>
      <c r="E576" t="str" cm="1">
        <f t="array" ref="E576">INDEX(aspek!$D$2:$D$337,
   MATCH(1,(aspek!$A$2:$A$337=B576)*
           (aspek!$B$2:$B$337=C576)*
           (aspek!$C$2:$C$337=D576),0))</f>
        <v>Antisipasi kendala pelaksanaan</v>
      </c>
      <c r="F576" s="76">
        <v>5</v>
      </c>
      <c r="G576" s="56" t="str" cm="1">
        <f t="array" ref="G576">INDEX(deskripsi!$D$2:$H$337,
   MATCH(1,(deskripsi!$A$2:$A$337=B576)*
           (deskripsi!$B$2:$B$337=C576)*
           (deskripsi!$C$2:$C$337=D576),0),
   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76">
        <v>4</v>
      </c>
      <c r="E577" t="str" cm="1">
        <f t="array" ref="E577">INDEX(aspek!$D$2:$D$337,
   MATCH(1,(aspek!$A$2:$A$337=B577)*
           (aspek!$B$2:$B$337=C577)*
           (aspek!$C$2:$C$337=D577),0))</f>
        <v>Rencana cadangan yang benar-benar dipakai</v>
      </c>
      <c r="F577" s="76">
        <v>1</v>
      </c>
      <c r="G577" s="56" t="str" cm="1">
        <f t="array" ref="G577">INDEX(deskripsi!$D$2:$H$337,
   MATCH(1,(deskripsi!$A$2:$A$337=B577)*
           (deskripsi!$B$2:$B$337=C577)*
           (deskripsi!$C$2:$C$337=D577),0),
   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76">
        <v>4</v>
      </c>
      <c r="E578" t="str" cm="1">
        <f t="array" ref="E578">INDEX(aspek!$D$2:$D$337,
   MATCH(1,(aspek!$A$2:$A$337=B578)*
           (aspek!$B$2:$B$337=C578)*
           (aspek!$C$2:$C$337=D578),0))</f>
        <v>Rencana cadangan yang benar-benar dipakai</v>
      </c>
      <c r="F578" s="76">
        <v>2</v>
      </c>
      <c r="G578" s="56" t="str" cm="1">
        <f t="array" ref="G578">INDEX(deskripsi!$D$2:$H$337,
   MATCH(1,(deskripsi!$A$2:$A$337=B578)*
           (deskripsi!$B$2:$B$337=C578)*
           (deskripsi!$C$2:$C$337=D578),0),
   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76">
        <v>4</v>
      </c>
      <c r="E579" t="str" cm="1">
        <f t="array" ref="E579">INDEX(aspek!$D$2:$D$337,
   MATCH(1,(aspek!$A$2:$A$337=B579)*
           (aspek!$B$2:$B$337=C579)*
           (aspek!$C$2:$C$337=D579),0))</f>
        <v>Rencana cadangan yang benar-benar dipakai</v>
      </c>
      <c r="F579" s="76">
        <v>3</v>
      </c>
      <c r="G579" s="56" t="str" cm="1">
        <f t="array" ref="G579">INDEX(deskripsi!$D$2:$H$337,
   MATCH(1,(deskripsi!$A$2:$A$337=B579)*
           (deskripsi!$B$2:$B$337=C579)*
           (deskripsi!$C$2:$C$337=D579),0),
   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76">
        <v>4</v>
      </c>
      <c r="E580" t="str" cm="1">
        <f t="array" ref="E580">INDEX(aspek!$D$2:$D$337,
   MATCH(1,(aspek!$A$2:$A$337=B580)*
           (aspek!$B$2:$B$337=C580)*
           (aspek!$C$2:$C$337=D580),0))</f>
        <v>Rencana cadangan yang benar-benar dipakai</v>
      </c>
      <c r="F580" s="76">
        <v>4</v>
      </c>
      <c r="G580" s="56" t="str" cm="1">
        <f t="array" ref="G580">INDEX(deskripsi!$D$2:$H$337,
   MATCH(1,(deskripsi!$A$2:$A$337=B580)*
           (deskripsi!$B$2:$B$337=C580)*
           (deskripsi!$C$2:$C$337=D580),0),
   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76">
        <v>4</v>
      </c>
      <c r="E581" t="str" cm="1">
        <f t="array" ref="E581">INDEX(aspek!$D$2:$D$337,
   MATCH(1,(aspek!$A$2:$A$337=B581)*
           (aspek!$B$2:$B$337=C581)*
           (aspek!$C$2:$C$337=D581),0))</f>
        <v>Rencana cadangan yang benar-benar dipakai</v>
      </c>
      <c r="F581" s="76">
        <v>5</v>
      </c>
      <c r="G581" s="56" t="str" cm="1">
        <f t="array" ref="G581">INDEX(deskripsi!$D$2:$H$337,
   MATCH(1,(deskripsi!$A$2:$A$337=B581)*
           (deskripsi!$B$2:$B$337=C581)*
           (deskripsi!$C$2:$C$337=D581),0),
   F581)</f>
        <v>Rencana cadangannya menjadi standar penanganan kendala sejenis di luar unitnya.</v>
      </c>
    </row>
    <row r="582" spans="1:7">
      <c r="A582" t="str">
        <f t="shared" si="9"/>
        <v>Controlling &amp; Corrective Action|Director|1|1</v>
      </c>
      <c r="B582" t="str">
        <v>Controlling &amp; Corrective Action</v>
      </c>
      <c r="C582" t="str">
        <v>Director</v>
      </c>
      <c r="D582" s="76">
        <v>1</v>
      </c>
      <c r="E582" t="str" cm="1">
        <f t="array" ref="E582">INDEX(aspek!$D$2:$D$337,
   MATCH(1,(aspek!$A$2:$A$337=B582)*
           (aspek!$B$2:$B$337=C582)*
           (aspek!$C$2:$C$337=D582),0))</f>
        <v>Ketinggian standar pengendalian yang ditetapkan</v>
      </c>
      <c r="F582" s="76">
        <v>1</v>
      </c>
      <c r="G582" s="56" t="str" cm="1">
        <f t="array" ref="G582">INDEX(deskripsi!$D$2:$H$337,
   MATCH(1,(deskripsi!$A$2:$A$337=B582)*
           (deskripsi!$B$2:$B$337=C582)*
           (deskripsi!$C$2:$C$337=D582),0),
   F582)</f>
        <v>Menerima standar pengendalian yang berlaku apa adanya.</v>
      </c>
    </row>
    <row r="583" spans="1:7" ht="28">
      <c r="A583" t="str">
        <f t="shared" si="9"/>
        <v>Controlling &amp; Corrective Action|Director|1|2</v>
      </c>
      <c r="B583" t="str">
        <v>Controlling &amp; Corrective Action</v>
      </c>
      <c r="C583" t="str">
        <v>Director</v>
      </c>
      <c r="D583" s="76">
        <v>1</v>
      </c>
      <c r="E583" t="str" cm="1">
        <f t="array" ref="E583">INDEX(aspek!$D$2:$D$337,
   MATCH(1,(aspek!$A$2:$A$337=B583)*
           (aspek!$B$2:$B$337=C583)*
           (aspek!$C$2:$C$337=D583),0))</f>
        <v>Ketinggian standar pengendalian yang ditetapkan</v>
      </c>
      <c r="F583" s="76">
        <v>2</v>
      </c>
      <c r="G583" s="56" t="str" cm="1">
        <f t="array" ref="G583">INDEX(deskripsi!$D$2:$H$337,
   MATCH(1,(deskripsi!$A$2:$A$337=B583)*
           (deskripsi!$B$2:$B$337=C583)*
           (deskripsi!$C$2:$C$337=D583),0),
   F583)</f>
        <v>Menaikkan standar hanya ketika diminta atau ketika insiden besar terjadi.</v>
      </c>
    </row>
    <row r="584" spans="1:7" ht="28">
      <c r="A584" t="str">
        <f t="shared" si="9"/>
        <v>Controlling &amp; Corrective Action|Director|1|3</v>
      </c>
      <c r="B584" t="str">
        <v>Controlling &amp; Corrective Action</v>
      </c>
      <c r="C584" t="str">
        <v>Director</v>
      </c>
      <c r="D584" s="76">
        <v>1</v>
      </c>
      <c r="E584" t="str" cm="1">
        <f t="array" ref="E584">INDEX(aspek!$D$2:$D$337,
   MATCH(1,(aspek!$A$2:$A$337=B584)*
           (aspek!$B$2:$B$337=C584)*
           (aspek!$C$2:$C$337=D584),0))</f>
        <v>Ketinggian standar pengendalian yang ditetapkan</v>
      </c>
      <c r="F584" s="76">
        <v>3</v>
      </c>
      <c r="G584" s="56" t="str" cm="1">
        <f t="array" ref="G584">INDEX(deskripsi!$D$2:$H$337,
   MATCH(1,(deskripsi!$A$2:$A$337=B584)*
           (deskripsi!$B$2:$B$337=C584)*
           (deskripsi!$C$2:$C$337=D584),0),
   F584)</f>
        <v>Menaikkan standar secara berkala dengan pembanding kinerja organisasi sendiri.</v>
      </c>
    </row>
    <row r="585" spans="1:7" ht="42">
      <c r="A585" t="str">
        <f t="shared" si="9"/>
        <v>Controlling &amp; Corrective Action|Director|1|4</v>
      </c>
      <c r="B585" t="str">
        <v>Controlling &amp; Corrective Action</v>
      </c>
      <c r="C585" t="str">
        <v>Director</v>
      </c>
      <c r="D585" s="76">
        <v>1</v>
      </c>
      <c r="E585" t="str" cm="1">
        <f t="array" ref="E585">INDEX(aspek!$D$2:$D$337,
   MATCH(1,(aspek!$A$2:$A$337=B585)*
           (aspek!$B$2:$B$337=C585)*
           (aspek!$C$2:$C$337=D585),0))</f>
        <v>Ketinggian standar pengendalian yang ditetapkan</v>
      </c>
      <c r="F585" s="76">
        <v>4</v>
      </c>
      <c r="G585" s="56" t="str" cm="1">
        <f t="array" ref="G585">INDEX(deskripsi!$D$2:$H$337,
   MATCH(1,(deskripsi!$A$2:$A$337=B585)*
           (deskripsi!$B$2:$B$337=C585)*
           (deskripsi!$C$2:$C$337=D585),0),
   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76">
        <v>1</v>
      </c>
      <c r="E586" t="str" cm="1">
        <f t="array" ref="E586">INDEX(aspek!$D$2:$D$337,
   MATCH(1,(aspek!$A$2:$A$337=B586)*
           (aspek!$B$2:$B$337=C586)*
           (aspek!$C$2:$C$337=D586),0))</f>
        <v>Ketinggian standar pengendalian yang ditetapkan</v>
      </c>
      <c r="F586" s="76">
        <v>5</v>
      </c>
      <c r="G586" s="56" t="str" cm="1">
        <f t="array" ref="G586">INDEX(deskripsi!$D$2:$H$337,
   MATCH(1,(deskripsi!$A$2:$A$337=B586)*
           (deskripsi!$B$2:$B$337=C586)*
           (deskripsi!$C$2:$C$337=D586),0),
   F586)</f>
        <v>Standar yang ia tetapkan menjadi acuan yang diikuti fungsi lain.</v>
      </c>
    </row>
    <row r="587" spans="1:7" ht="28">
      <c r="A587" t="str">
        <f t="shared" si="9"/>
        <v>Controlling &amp; Corrective Action|Director|2|1</v>
      </c>
      <c r="B587" t="str">
        <v>Controlling &amp; Corrective Action</v>
      </c>
      <c r="C587" t="str">
        <v>Director</v>
      </c>
      <c r="D587" s="76">
        <v>2</v>
      </c>
      <c r="E587" t="str" cm="1">
        <f t="array" ref="E587">INDEX(aspek!$D$2:$D$337,
   MATCH(1,(aspek!$A$2:$A$337=B587)*
           (aspek!$B$2:$B$337=C587)*
           (aspek!$C$2:$C$337=D587),0))</f>
        <v>Standar bagi diri sendiri</v>
      </c>
      <c r="F587" s="76">
        <v>1</v>
      </c>
      <c r="G587" s="56" t="str" cm="1">
        <f t="array" ref="G587">INDEX(deskripsi!$D$2:$H$337,
   MATCH(1,(deskripsi!$A$2:$A$337=B587)*
           (deskripsi!$B$2:$B$337=C587)*
           (deskripsi!$C$2:$C$337=D587),0),
   F587)</f>
        <v>Menuntut disiplin pengendalian dari orang lain tanpa menerapkannya pada dirinya sendiri.</v>
      </c>
    </row>
    <row r="588" spans="1:7">
      <c r="A588" t="str">
        <f t="shared" si="9"/>
        <v>Controlling &amp; Corrective Action|Director|2|2</v>
      </c>
      <c r="B588" t="str">
        <v>Controlling &amp; Corrective Action</v>
      </c>
      <c r="C588" t="str">
        <v>Director</v>
      </c>
      <c r="D588" s="76">
        <v>2</v>
      </c>
      <c r="E588" t="str" cm="1">
        <f t="array" ref="E588">INDEX(aspek!$D$2:$D$337,
   MATCH(1,(aspek!$A$2:$A$337=B588)*
           (aspek!$B$2:$B$337=C588)*
           (aspek!$C$2:$C$337=D588),0))</f>
        <v>Standar bagi diri sendiri</v>
      </c>
      <c r="F588" s="76">
        <v>2</v>
      </c>
      <c r="G588" s="56" t="str" cm="1">
        <f t="array" ref="G588">INDEX(deskripsi!$D$2:$H$337,
   MATCH(1,(deskripsi!$A$2:$A$337=B588)*
           (deskripsi!$B$2:$B$337=C588)*
           (deskripsi!$C$2:$C$337=D588),0),
   F588)</f>
        <v>Menerapkan standar yang sama dengan timnya, tidak lebih.</v>
      </c>
    </row>
    <row r="589" spans="1:7" ht="28">
      <c r="A589" t="str">
        <f t="shared" si="9"/>
        <v>Controlling &amp; Corrective Action|Director|2|3</v>
      </c>
      <c r="B589" t="str">
        <v>Controlling &amp; Corrective Action</v>
      </c>
      <c r="C589" t="str">
        <v>Director</v>
      </c>
      <c r="D589" s="76">
        <v>2</v>
      </c>
      <c r="E589" t="str" cm="1">
        <f t="array" ref="E589">INDEX(aspek!$D$2:$D$337,
   MATCH(1,(aspek!$A$2:$A$337=B589)*
           (aspek!$B$2:$B$337=C589)*
           (aspek!$C$2:$C$337=D589),0))</f>
        <v>Standar bagi diri sendiri</v>
      </c>
      <c r="F589" s="76">
        <v>3</v>
      </c>
      <c r="G589" s="56" t="str" cm="1">
        <f t="array" ref="G589">INDEX(deskripsi!$D$2:$H$337,
   MATCH(1,(deskripsi!$A$2:$A$337=B589)*
           (deskripsi!$B$2:$B$337=C589)*
           (deskripsi!$C$2:$C$337=D589),0),
   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76">
        <v>2</v>
      </c>
      <c r="E590" t="str" cm="1">
        <f t="array" ref="E590">INDEX(aspek!$D$2:$D$337,
   MATCH(1,(aspek!$A$2:$A$337=B590)*
           (aspek!$B$2:$B$337=C590)*
           (aspek!$C$2:$C$337=D590),0))</f>
        <v>Standar bagi diri sendiri</v>
      </c>
      <c r="F590" s="76">
        <v>4</v>
      </c>
      <c r="G590" s="56" t="str" cm="1">
        <f t="array" ref="G590">INDEX(deskripsi!$D$2:$H$337,
   MATCH(1,(deskripsi!$A$2:$A$337=B590)*
           (deskripsi!$B$2:$B$337=C590)*
           (deskripsi!$C$2:$C$337=D590),0),
   F590)</f>
        <v>Menetapkan standar pribadi yang lebih tinggi daripada tuntutan jabatannya, mengumumkannya, dan melaporkan hasilnya apa adanya.</v>
      </c>
    </row>
    <row r="591" spans="1:7">
      <c r="A591" t="str">
        <f t="shared" si="9"/>
        <v>Controlling &amp; Corrective Action|Director|2|5</v>
      </c>
      <c r="B591" t="str">
        <v>Controlling &amp; Corrective Action</v>
      </c>
      <c r="C591" t="str">
        <v>Director</v>
      </c>
      <c r="D591" s="76">
        <v>2</v>
      </c>
      <c r="E591" t="str" cm="1">
        <f t="array" ref="E591">INDEX(aspek!$D$2:$D$337,
   MATCH(1,(aspek!$A$2:$A$337=B591)*
           (aspek!$B$2:$B$337=C591)*
           (aspek!$C$2:$C$337=D591),0))</f>
        <v>Standar bagi diri sendiri</v>
      </c>
      <c r="F591" s="76">
        <v>5</v>
      </c>
      <c r="G591" s="56" t="str" cm="1">
        <f t="array" ref="G591">INDEX(deskripsi!$D$2:$H$337,
   MATCH(1,(deskripsi!$A$2:$A$337=B591)*
           (deskripsi!$B$2:$B$337=C591)*
           (deskripsi!$C$2:$C$337=D591),0),
   F591)</f>
        <v>Standar pribadinya menjadi rujukan yang ditiru tanpa ia minta.</v>
      </c>
    </row>
    <row r="592" spans="1:7" ht="28">
      <c r="A592" t="str">
        <f t="shared" si="9"/>
        <v>Controlling &amp; Corrective Action|Director|3|1</v>
      </c>
      <c r="B592" t="str">
        <v>Controlling &amp; Corrective Action</v>
      </c>
      <c r="C592" t="str">
        <v>Director</v>
      </c>
      <c r="D592" s="76">
        <v>3</v>
      </c>
      <c r="E592" t="str" cm="1">
        <f t="array" ref="E592">INDEX(aspek!$D$2:$D$337,
   MATCH(1,(aspek!$A$2:$A$337=B592)*
           (aspek!$B$2:$B$337=C592)*
           (aspek!$C$2:$C$337=D592),0))</f>
        <v>Pelembagaan sistem pengendalian</v>
      </c>
      <c r="F592" s="76">
        <v>1</v>
      </c>
      <c r="G592" s="56" t="str" cm="1">
        <f t="array" ref="G592">INDEX(deskripsi!$D$2:$H$337,
   MATCH(1,(deskripsi!$A$2:$A$337=B592)*
           (deskripsi!$B$2:$B$337=C592)*
           (deskripsi!$C$2:$C$337=D592),0),
   F592)</f>
        <v>Sistem pengendalian bergantung sepenuhnya pada pengawasannya.</v>
      </c>
    </row>
    <row r="593" spans="1:7" ht="28">
      <c r="A593" t="str">
        <f t="shared" si="9"/>
        <v>Controlling &amp; Corrective Action|Director|3|2</v>
      </c>
      <c r="B593" t="str">
        <v>Controlling &amp; Corrective Action</v>
      </c>
      <c r="C593" t="str">
        <v>Director</v>
      </c>
      <c r="D593" s="76">
        <v>3</v>
      </c>
      <c r="E593" t="str" cm="1">
        <f t="array" ref="E593">INDEX(aspek!$D$2:$D$337,
   MATCH(1,(aspek!$A$2:$A$337=B593)*
           (aspek!$B$2:$B$337=C593)*
           (aspek!$C$2:$C$337=D593),0))</f>
        <v>Pelembagaan sistem pengendalian</v>
      </c>
      <c r="F593" s="76">
        <v>2</v>
      </c>
      <c r="G593" s="56" t="str" cm="1">
        <f t="array" ref="G593">INDEX(deskripsi!$D$2:$H$337,
   MATCH(1,(deskripsi!$A$2:$A$337=B593)*
           (deskripsi!$B$2:$B$337=C593)*
           (deskripsi!$C$2:$C$337=D593),0),
   F593)</f>
        <v>Sistem dituliskan tetapi tidak ada yang memeriksa dan tidak ada konsekuensinya.</v>
      </c>
    </row>
    <row r="594" spans="1:7">
      <c r="A594" t="str">
        <f t="shared" si="9"/>
        <v>Controlling &amp; Corrective Action|Director|3|3</v>
      </c>
      <c r="B594" t="str">
        <v>Controlling &amp; Corrective Action</v>
      </c>
      <c r="C594" t="str">
        <v>Director</v>
      </c>
      <c r="D594" s="76">
        <v>3</v>
      </c>
      <c r="E594" t="str" cm="1">
        <f t="array" ref="E594">INDEX(aspek!$D$2:$D$337,
   MATCH(1,(aspek!$A$2:$A$337=B594)*
           (aspek!$B$2:$B$337=C594)*
           (aspek!$C$2:$C$337=D594),0))</f>
        <v>Pelembagaan sistem pengendalian</v>
      </c>
      <c r="F594" s="76">
        <v>3</v>
      </c>
      <c r="G594" s="56" t="str" cm="1">
        <f t="array" ref="G594">INDEX(deskripsi!$D$2:$H$337,
   MATCH(1,(deskripsi!$A$2:$A$337=B594)*
           (deskripsi!$B$2:$B$337=C594)*
           (deskripsi!$C$2:$C$337=D594),0),
   F594)</f>
        <v>Sistem berjalan dengan peserta sebagai pemeriksanya.</v>
      </c>
    </row>
    <row r="595" spans="1:7" ht="42">
      <c r="A595" t="str">
        <f t="shared" si="9"/>
        <v>Controlling &amp; Corrective Action|Director|3|4</v>
      </c>
      <c r="B595" t="str">
        <v>Controlling &amp; Corrective Action</v>
      </c>
      <c r="C595" t="str">
        <v>Director</v>
      </c>
      <c r="D595" s="76">
        <v>3</v>
      </c>
      <c r="E595" t="str" cm="1">
        <f t="array" ref="E595">INDEX(aspek!$D$2:$D$337,
   MATCH(1,(aspek!$A$2:$A$337=B595)*
           (aspek!$B$2:$B$337=C595)*
           (aspek!$C$2:$C$337=D595),0))</f>
        <v>Pelembagaan sistem pengendalian</v>
      </c>
      <c r="F595" s="76">
        <v>4</v>
      </c>
      <c r="G595" s="56" t="str" cm="1">
        <f t="array" ref="G595">INDEX(deskripsi!$D$2:$H$337,
   MATCH(1,(deskripsi!$A$2:$A$337=B595)*
           (deskripsi!$B$2:$B$337=C595)*
           (deskripsi!$C$2:$C$337=D595),0),
   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76">
        <v>3</v>
      </c>
      <c r="E596" t="str" cm="1">
        <f t="array" ref="E596">INDEX(aspek!$D$2:$D$337,
   MATCH(1,(aspek!$A$2:$A$337=B596)*
           (aspek!$B$2:$B$337=C596)*
           (aspek!$C$2:$C$337=D596),0))</f>
        <v>Pelembagaan sistem pengendalian</v>
      </c>
      <c r="F596" s="76">
        <v>5</v>
      </c>
      <c r="G596" s="56" t="str" cm="1">
        <f t="array" ref="G596">INDEX(deskripsi!$D$2:$H$337,
   MATCH(1,(deskripsi!$A$2:$A$337=B596)*
           (deskripsi!$B$2:$B$337=C596)*
           (deskripsi!$C$2:$C$337=D596),0),
   F596)</f>
        <v>Sistem itu menjadi kebiasaan kerja yang dijaga sendiri oleh pelaksananya.</v>
      </c>
    </row>
    <row r="597" spans="1:7" ht="28">
      <c r="A597" t="str">
        <f t="shared" si="9"/>
        <v>Controlling &amp; Corrective Action|Director|4|1</v>
      </c>
      <c r="B597" t="str">
        <v>Controlling &amp; Corrective Action</v>
      </c>
      <c r="C597" t="str">
        <v>Director</v>
      </c>
      <c r="D597" s="76">
        <v>4</v>
      </c>
      <c r="E597" t="str" cm="1">
        <f t="array" ref="E597">INDEX(aspek!$D$2:$D$337,
   MATCH(1,(aspek!$A$2:$A$337=B597)*
           (aspek!$B$2:$B$337=C597)*
           (aspek!$C$2:$C$337=D597),0))</f>
        <v>Ketahanan standar di bawah tekanan</v>
      </c>
      <c r="F597" s="76">
        <v>1</v>
      </c>
      <c r="G597" s="56" t="str" cm="1">
        <f t="array" ref="G597">INDEX(deskripsi!$D$2:$H$337,
   MATCH(1,(deskripsi!$A$2:$A$337=B597)*
           (deskripsi!$B$2:$B$337=C597)*
           (deskripsi!$C$2:$C$337=D597),0),
   F597)</f>
        <v>Standar dilonggarkan setiap kali ada tenggat mepet atau biaya membengkak.</v>
      </c>
    </row>
    <row r="598" spans="1:7" ht="28">
      <c r="A598" t="str">
        <f t="shared" si="9"/>
        <v>Controlling &amp; Corrective Action|Director|4|2</v>
      </c>
      <c r="B598" t="str">
        <v>Controlling &amp; Corrective Action</v>
      </c>
      <c r="C598" t="str">
        <v>Director</v>
      </c>
      <c r="D598" s="76">
        <v>4</v>
      </c>
      <c r="E598" t="str" cm="1">
        <f t="array" ref="E598">INDEX(aspek!$D$2:$D$337,
   MATCH(1,(aspek!$A$2:$A$337=B598)*
           (aspek!$B$2:$B$337=C598)*
           (aspek!$C$2:$C$337=D598),0))</f>
        <v>Ketahanan standar di bawah tekanan</v>
      </c>
      <c r="F598" s="76">
        <v>2</v>
      </c>
      <c r="G598" s="56" t="str" cm="1">
        <f t="array" ref="G598">INDEX(deskripsi!$D$2:$H$337,
   MATCH(1,(deskripsi!$A$2:$A$337=B598)*
           (deskripsi!$B$2:$B$337=C598)*
           (deskripsi!$C$2:$C$337=D598),0),
   F598)</f>
        <v>Standar dipertahankan pada perkara kecil, dikompromikan pada perkara besar.</v>
      </c>
    </row>
    <row r="599" spans="1:7">
      <c r="A599" t="str">
        <f t="shared" si="9"/>
        <v>Controlling &amp; Corrective Action|Director|4|3</v>
      </c>
      <c r="B599" t="str">
        <v>Controlling &amp; Corrective Action</v>
      </c>
      <c r="C599" t="str">
        <v>Director</v>
      </c>
      <c r="D599" s="76">
        <v>4</v>
      </c>
      <c r="E599" t="str" cm="1">
        <f t="array" ref="E599">INDEX(aspek!$D$2:$D$337,
   MATCH(1,(aspek!$A$2:$A$337=B599)*
           (aspek!$B$2:$B$337=C599)*
           (aspek!$C$2:$C$337=D599),0))</f>
        <v>Ketahanan standar di bawah tekanan</v>
      </c>
      <c r="F599" s="76">
        <v>3</v>
      </c>
      <c r="G599" s="56" t="str" cm="1">
        <f t="array" ref="G599">INDEX(deskripsi!$D$2:$H$337,
   MATCH(1,(deskripsi!$A$2:$A$337=B599)*
           (deskripsi!$B$2:$B$337=C599)*
           (deskripsi!$C$2:$C$337=D599),0),
   F599)</f>
        <v>Standar dipertahankan, dengan biaya yang tidak dikelola.</v>
      </c>
    </row>
    <row r="600" spans="1:7" ht="42">
      <c r="A600" t="str">
        <f t="shared" si="9"/>
        <v>Controlling &amp; Corrective Action|Director|4|4</v>
      </c>
      <c r="B600" t="str">
        <v>Controlling &amp; Corrective Action</v>
      </c>
      <c r="C600" t="str">
        <v>Director</v>
      </c>
      <c r="D600" s="76">
        <v>4</v>
      </c>
      <c r="E600" t="str" cm="1">
        <f t="array" ref="E600">INDEX(aspek!$D$2:$D$337,
   MATCH(1,(aspek!$A$2:$A$337=B600)*
           (aspek!$B$2:$B$337=C600)*
           (aspek!$C$2:$C$337=D600),0))</f>
        <v>Ketahanan standar di bawah tekanan</v>
      </c>
      <c r="F600" s="76">
        <v>4</v>
      </c>
      <c r="G600" s="56" t="str" cm="1">
        <f t="array" ref="G600">INDEX(deskripsi!$D$2:$H$337,
   MATCH(1,(deskripsi!$A$2:$A$337=B600)*
           (deskripsi!$B$2:$B$337=C600)*
           (deskripsi!$C$2:$C$337=D600),0),
   F600)</f>
        <v>Standar dipertahankan dalam situasi menuntut kompromi; bila diturunkan, diputuskan terbuka bersama direksi dengan rencana pemulihan.</v>
      </c>
    </row>
    <row r="601" spans="1:7" ht="28">
      <c r="A601" t="str">
        <f t="shared" si="9"/>
        <v>Controlling &amp; Corrective Action|Director|4|5</v>
      </c>
      <c r="B601" t="str">
        <v>Controlling &amp; Corrective Action</v>
      </c>
      <c r="C601" t="str">
        <v>Director</v>
      </c>
      <c r="D601" s="76">
        <v>4</v>
      </c>
      <c r="E601" t="str" cm="1">
        <f t="array" ref="E601">INDEX(aspek!$D$2:$D$337,
   MATCH(1,(aspek!$A$2:$A$337=B601)*
           (aspek!$B$2:$B$337=C601)*
           (aspek!$C$2:$C$337=D601),0))</f>
        <v>Ketahanan standar di bawah tekanan</v>
      </c>
      <c r="F601" s="76">
        <v>5</v>
      </c>
      <c r="G601" s="56" t="str" cm="1">
        <f t="array" ref="G601">INDEX(deskripsi!$D$2:$H$337,
   MATCH(1,(deskripsi!$A$2:$A$337=B601)*
           (deskripsi!$B$2:$B$337=C601)*
           (deskripsi!$C$2:$C$337=D601),0),
   F601)</f>
        <v>Tekanan besar menjadi kesempatan menunjukkan standar dapat dipenuhi, sehingga batasnya naik permanen.</v>
      </c>
    </row>
    <row r="602" spans="1:7" ht="28">
      <c r="A602" t="str">
        <f t="shared" si="9"/>
        <v>Analytical Thinking|Officer|1|1</v>
      </c>
      <c r="B602" t="str">
        <v>Analytical Thinking</v>
      </c>
      <c r="C602" t="str">
        <v>Officer</v>
      </c>
      <c r="D602" s="76">
        <v>1</v>
      </c>
      <c r="E602" t="str" cm="1">
        <f t="array" ref="E602">INDEX(aspek!$D$2:$D$337,
   MATCH(1,(aspek!$A$2:$A$337=B602)*
           (aspek!$B$2:$B$337=C602)*
           (aspek!$C$2:$C$337=D602),0))</f>
        <v>Kecepatan memahami</v>
      </c>
      <c r="F602" s="76">
        <v>1</v>
      </c>
      <c r="G602" s="56" t="str" cm="1">
        <f t="array" ref="G602">INDEX(deskripsi!$D$2:$H$337,
   MATCH(1,(deskripsi!$A$2:$A$337=B602)*
           (deskripsi!$B$2:$B$337=C602)*
           (deskripsi!$C$2:$C$337=D602),0),
   F602)</f>
        <v>Perlu dijelaskan berulang kali sebelum memahami isi sebuah dokumen kerja.</v>
      </c>
    </row>
    <row r="603" spans="1:7" ht="28">
      <c r="A603" t="str">
        <f t="shared" si="9"/>
        <v>Analytical Thinking|Officer|1|2</v>
      </c>
      <c r="B603" t="str">
        <v>Analytical Thinking</v>
      </c>
      <c r="C603" t="str">
        <v>Officer</v>
      </c>
      <c r="D603" s="76">
        <v>1</v>
      </c>
      <c r="E603" t="str" cm="1">
        <f t="array" ref="E603">INDEX(aspek!$D$2:$D$337,
   MATCH(1,(aspek!$A$2:$A$337=B603)*
           (aspek!$B$2:$B$337=C603)*
           (aspek!$C$2:$C$337=D603),0))</f>
        <v>Kecepatan memahami</v>
      </c>
      <c r="F603" s="76">
        <v>2</v>
      </c>
      <c r="G603" s="56" t="str" cm="1">
        <f t="array" ref="G603">INDEX(deskripsi!$D$2:$H$337,
   MATCH(1,(deskripsi!$A$2:$A$337=B603)*
           (deskripsi!$B$2:$B$337=C603)*
           (deskripsi!$C$2:$C$337=D603),0),
   F603)</f>
        <v>Memahami setelah membaca beberapa kali, tetapi masih lebih lambat dari tuntutan pekerjaan.</v>
      </c>
    </row>
    <row r="604" spans="1:7" ht="28">
      <c r="A604" t="str">
        <f t="shared" si="9"/>
        <v>Analytical Thinking|Officer|1|3</v>
      </c>
      <c r="B604" t="str">
        <v>Analytical Thinking</v>
      </c>
      <c r="C604" t="str">
        <v>Officer</v>
      </c>
      <c r="D604" s="76">
        <v>1</v>
      </c>
      <c r="E604" t="str" cm="1">
        <f t="array" ref="E604">INDEX(aspek!$D$2:$D$337,
   MATCH(1,(aspek!$A$2:$A$337=B604)*
           (aspek!$B$2:$B$337=C604)*
           (aspek!$C$2:$C$337=D604),0))</f>
        <v>Kecepatan memahami</v>
      </c>
      <c r="F604" s="76">
        <v>3</v>
      </c>
      <c r="G604" s="56" t="str" cm="1">
        <f t="array" ref="G604">INDEX(deskripsi!$D$2:$H$337,
   MATCH(1,(deskripsi!$A$2:$A$337=B604)*
           (deskripsi!$B$2:$B$337=C604)*
           (deskripsi!$C$2:$C$337=D604),0),
   F604)</f>
        <v>Memahami dokumen kerja rutin dalam waktu yang wajar tanpa penjelasan tambahan.</v>
      </c>
    </row>
    <row r="605" spans="1:7" ht="42">
      <c r="A605" t="str">
        <f t="shared" si="9"/>
        <v>Analytical Thinking|Officer|1|4</v>
      </c>
      <c r="B605" t="str">
        <v>Analytical Thinking</v>
      </c>
      <c r="C605" t="str">
        <v>Officer</v>
      </c>
      <c r="D605" s="76">
        <v>1</v>
      </c>
      <c r="E605" t="str" cm="1">
        <f t="array" ref="E605">INDEX(aspek!$D$2:$D$337,
   MATCH(1,(aspek!$A$2:$A$337=B605)*
           (aspek!$B$2:$B$337=C605)*
           (aspek!$C$2:$C$337=D605),0))</f>
        <v>Kecepatan memahami</v>
      </c>
      <c r="F605" s="76">
        <v>4</v>
      </c>
      <c r="G605" s="56" t="str" cm="1">
        <f t="array" ref="G605">INDEX(deskripsi!$D$2:$H$337,
   MATCH(1,(deskripsi!$A$2:$A$337=B605)*
           (deskripsi!$B$2:$B$337=C605)*
           (deskripsi!$C$2:$C$337=D605),0),
   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76">
        <v>1</v>
      </c>
      <c r="E606" t="str" cm="1">
        <f t="array" ref="E606">INDEX(aspek!$D$2:$D$337,
   MATCH(1,(aspek!$A$2:$A$337=B606)*
           (aspek!$B$2:$B$337=C606)*
           (aspek!$C$2:$C$337=D606),0))</f>
        <v>Kecepatan memahami</v>
      </c>
      <c r="F606" s="76">
        <v>5</v>
      </c>
      <c r="G606" s="56" t="str" cm="1">
        <f t="array" ref="G606">INDEX(deskripsi!$D$2:$H$337,
   MATCH(1,(deskripsi!$A$2:$A$337=B606)*
           (deskripsi!$B$2:$B$337=C606)*
           (deskripsi!$C$2:$C$337=D606),0),
   F606)</f>
        <v>Menjadi orang yang dimintai bantuan rekan untuk membaca dokumen yang sulit dipahami.</v>
      </c>
    </row>
    <row r="607" spans="1:7" ht="28">
      <c r="A607" t="str">
        <f t="shared" si="9"/>
        <v>Analytical Thinking|Officer|2|1</v>
      </c>
      <c r="B607" t="str">
        <v>Analytical Thinking</v>
      </c>
      <c r="C607" t="str">
        <v>Officer</v>
      </c>
      <c r="D607" s="76">
        <v>2</v>
      </c>
      <c r="E607" t="str" cm="1">
        <f t="array" ref="E607">INDEX(aspek!$D$2:$D$337,
   MATCH(1,(aspek!$A$2:$A$337=B607)*
           (aspek!$B$2:$B$337=C607)*
           (aspek!$C$2:$C$337=D607),0))</f>
        <v>Akurasi menangkap poin utama</v>
      </c>
      <c r="F607" s="76">
        <v>1</v>
      </c>
      <c r="G607" s="56" t="str" cm="1">
        <f t="array" ref="G607">INDEX(deskripsi!$D$2:$H$337,
   MATCH(1,(deskripsi!$A$2:$A$337=B607)*
           (deskripsi!$B$2:$B$337=C607)*
           (deskripsi!$C$2:$C$337=D607),0),
   F607)</f>
        <v>Menangkap bagian yang menarik baginya, bukan bagian yang terpenting.</v>
      </c>
    </row>
    <row r="608" spans="1:7" ht="28">
      <c r="A608" t="str">
        <f t="shared" si="9"/>
        <v>Analytical Thinking|Officer|2|2</v>
      </c>
      <c r="B608" t="str">
        <v>Analytical Thinking</v>
      </c>
      <c r="C608" t="str">
        <v>Officer</v>
      </c>
      <c r="D608" s="76">
        <v>2</v>
      </c>
      <c r="E608" t="str" cm="1">
        <f t="array" ref="E608">INDEX(aspek!$D$2:$D$337,
   MATCH(1,(aspek!$A$2:$A$337=B608)*
           (aspek!$B$2:$B$337=C608)*
           (aspek!$C$2:$C$337=D608),0))</f>
        <v>Akurasi menangkap poin utama</v>
      </c>
      <c r="F608" s="76">
        <v>2</v>
      </c>
      <c r="G608" s="56" t="str" cm="1">
        <f t="array" ref="G608">INDEX(deskripsi!$D$2:$H$337,
   MATCH(1,(deskripsi!$A$2:$A$337=B608)*
           (deskripsi!$B$2:$B$337=C608)*
           (deskripsi!$C$2:$C$337=D608),0),
   F608)</f>
        <v>Menangkap sebagian poin utama, tetapi mencampurnya dengan detail yang tidak penting.</v>
      </c>
    </row>
    <row r="609" spans="1:7" ht="28">
      <c r="A609" t="str">
        <f t="shared" si="9"/>
        <v>Analytical Thinking|Officer|2|3</v>
      </c>
      <c r="B609" t="str">
        <v>Analytical Thinking</v>
      </c>
      <c r="C609" t="str">
        <v>Officer</v>
      </c>
      <c r="D609" s="76">
        <v>2</v>
      </c>
      <c r="E609" t="str" cm="1">
        <f t="array" ref="E609">INDEX(aspek!$D$2:$D$337,
   MATCH(1,(aspek!$A$2:$A$337=B609)*
           (aspek!$B$2:$B$337=C609)*
           (aspek!$C$2:$C$337=D609),0))</f>
        <v>Akurasi menangkap poin utama</v>
      </c>
      <c r="F609" s="76">
        <v>3</v>
      </c>
      <c r="G609" s="56" t="str" cm="1">
        <f t="array" ref="G609">INDEX(deskripsi!$D$2:$H$337,
   MATCH(1,(deskripsi!$A$2:$A$337=B609)*
           (deskripsi!$B$2:$B$337=C609)*
           (deskripsi!$C$2:$C$337=D609),0),
   F609)</f>
        <v>Menangkap poin utama dengan benar pada dokumen yang strukturnya jelas.</v>
      </c>
    </row>
    <row r="610" spans="1:7" ht="42">
      <c r="A610" t="str">
        <f t="shared" si="9"/>
        <v>Analytical Thinking|Officer|2|4</v>
      </c>
      <c r="B610" t="str">
        <v>Analytical Thinking</v>
      </c>
      <c r="C610" t="str">
        <v>Officer</v>
      </c>
      <c r="D610" s="76">
        <v>2</v>
      </c>
      <c r="E610" t="str" cm="1">
        <f t="array" ref="E610">INDEX(aspek!$D$2:$D$337,
   MATCH(1,(aspek!$A$2:$A$337=B610)*
           (aspek!$B$2:$B$337=C610)*
           (aspek!$C$2:$C$337=D610),0))</f>
        <v>Akurasi menangkap poin utama</v>
      </c>
      <c r="F610" s="76">
        <v>4</v>
      </c>
      <c r="G610" s="56" t="str" cm="1">
        <f t="array" ref="G610">INDEX(deskripsi!$D$2:$H$337,
   MATCH(1,(deskripsi!$A$2:$A$337=B610)*
           (deskripsi!$B$2:$B$337=C610)*
           (deskripsi!$C$2:$C$337=D610),0),
   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76">
        <v>2</v>
      </c>
      <c r="E611" t="str" cm="1">
        <f t="array" ref="E611">INDEX(aspek!$D$2:$D$337,
   MATCH(1,(aspek!$A$2:$A$337=B611)*
           (aspek!$B$2:$B$337=C611)*
           (aspek!$C$2:$C$337=D611),0))</f>
        <v>Akurasi menangkap poin utama</v>
      </c>
      <c r="F611" s="76">
        <v>5</v>
      </c>
      <c r="G611" s="56" t="str" cm="1">
        <f t="array" ref="G611">INDEX(deskripsi!$D$2:$H$337,
   MATCH(1,(deskripsi!$A$2:$A$337=B611)*
           (deskripsi!$B$2:$B$337=C611)*
           (deskripsi!$C$2:$C$337=D611),0),
   F611)</f>
        <v>Menemukan poin penting yang bahkan tidak disadari pemilik dokumennya sendiri.</v>
      </c>
    </row>
    <row r="612" spans="1:7">
      <c r="A612" t="str">
        <f t="shared" si="9"/>
        <v>Analytical Thinking|Officer|3|1</v>
      </c>
      <c r="B612" t="str">
        <v>Analytical Thinking</v>
      </c>
      <c r="C612" t="str">
        <v>Officer</v>
      </c>
      <c r="D612" s="76">
        <v>3</v>
      </c>
      <c r="E612" t="str" cm="1">
        <f t="array" ref="E612">INDEX(aspek!$D$2:$D$337,
   MATCH(1,(aspek!$A$2:$A$337=B612)*
           (aspek!$B$2:$B$337=C612)*
           (aspek!$C$2:$C$337=D612),0))</f>
        <v>Kemandirian menyimpulkan</v>
      </c>
      <c r="F612" s="76">
        <v>1</v>
      </c>
      <c r="G612" s="56" t="str" cm="1">
        <f t="array" ref="G612">INDEX(deskripsi!$D$2:$H$337,
   MATCH(1,(deskripsi!$A$2:$A$337=B612)*
           (deskripsi!$B$2:$B$337=C612)*
           (deskripsi!$C$2:$C$337=D612),0),
   F612)</f>
        <v>Tidak menarik kesimpulan; menunggu diberi tahu apa artinya.</v>
      </c>
    </row>
    <row r="613" spans="1:7" ht="28">
      <c r="A613" t="str">
        <f t="shared" si="9"/>
        <v>Analytical Thinking|Officer|3|2</v>
      </c>
      <c r="B613" t="str">
        <v>Analytical Thinking</v>
      </c>
      <c r="C613" t="str">
        <v>Officer</v>
      </c>
      <c r="D613" s="76">
        <v>3</v>
      </c>
      <c r="E613" t="str" cm="1">
        <f t="array" ref="E613">INDEX(aspek!$D$2:$D$337,
   MATCH(1,(aspek!$A$2:$A$337=B613)*
           (aspek!$B$2:$B$337=C613)*
           (aspek!$C$2:$C$337=D613),0))</f>
        <v>Kemandirian menyimpulkan</v>
      </c>
      <c r="F613" s="76">
        <v>2</v>
      </c>
      <c r="G613" s="56" t="str" cm="1">
        <f t="array" ref="G613">INDEX(deskripsi!$D$2:$H$337,
   MATCH(1,(deskripsi!$A$2:$A$337=B613)*
           (deskripsi!$B$2:$B$337=C613)*
           (deskripsi!$C$2:$C$337=D613),0),
   F613)</f>
        <v>Memahami isinya tetapi berhenti pada meringkas; kesimpulan tetap diserahkan kepada orang lain.</v>
      </c>
    </row>
    <row r="614" spans="1:7" ht="28">
      <c r="A614" t="str">
        <f t="shared" si="9"/>
        <v>Analytical Thinking|Officer|3|3</v>
      </c>
      <c r="B614" t="str">
        <v>Analytical Thinking</v>
      </c>
      <c r="C614" t="str">
        <v>Officer</v>
      </c>
      <c r="D614" s="76">
        <v>3</v>
      </c>
      <c r="E614" t="str" cm="1">
        <f t="array" ref="E614">INDEX(aspek!$D$2:$D$337,
   MATCH(1,(aspek!$A$2:$A$337=B614)*
           (aspek!$B$2:$B$337=C614)*
           (aspek!$C$2:$C$337=D614),0))</f>
        <v>Kemandirian menyimpulkan</v>
      </c>
      <c r="F614" s="76">
        <v>3</v>
      </c>
      <c r="G614" s="56" t="str" cm="1">
        <f t="array" ref="G614">INDEX(deskripsi!$D$2:$H$337,
   MATCH(1,(deskripsi!$A$2:$A$337=B614)*
           (deskripsi!$B$2:$B$337=C614)*
           (deskripsi!$C$2:$C$337=D614),0),
   F614)</f>
        <v>Menarik kesimpulan sendiri, meski masih sering perlu dikoreksi.</v>
      </c>
    </row>
    <row r="615" spans="1:7" ht="28">
      <c r="A615" t="str">
        <f t="shared" si="9"/>
        <v>Analytical Thinking|Officer|3|4</v>
      </c>
      <c r="B615" t="str">
        <v>Analytical Thinking</v>
      </c>
      <c r="C615" t="str">
        <v>Officer</v>
      </c>
      <c r="D615" s="76">
        <v>3</v>
      </c>
      <c r="E615" t="str" cm="1">
        <f t="array" ref="E615">INDEX(aspek!$D$2:$D$337,
   MATCH(1,(aspek!$A$2:$A$337=B615)*
           (aspek!$B$2:$B$337=C615)*
           (aspek!$C$2:$C$337=D615),0))</f>
        <v>Kemandirian menyimpulkan</v>
      </c>
      <c r="F615" s="76">
        <v>4</v>
      </c>
      <c r="G615" s="56" t="str" cm="1">
        <f t="array" ref="G615">INDEX(deskripsi!$D$2:$H$337,
   MATCH(1,(deskripsi!$A$2:$A$337=B615)*
           (deskripsi!$B$2:$B$337=C615)*
           (deskripsi!$C$2:$C$337=D615),0),
   F615)</f>
        <v>Menyampaikan kesimpulan sendiri sebelum meminta arahan, dan mayoritas kesimpulannya tepat.</v>
      </c>
    </row>
    <row r="616" spans="1:7" ht="28">
      <c r="A616" t="str">
        <f t="shared" si="9"/>
        <v>Analytical Thinking|Officer|3|5</v>
      </c>
      <c r="B616" t="str">
        <v>Analytical Thinking</v>
      </c>
      <c r="C616" t="str">
        <v>Officer</v>
      </c>
      <c r="D616" s="76">
        <v>3</v>
      </c>
      <c r="E616" t="str" cm="1">
        <f t="array" ref="E616">INDEX(aspek!$D$2:$D$337,
   MATCH(1,(aspek!$A$2:$A$337=B616)*
           (aspek!$B$2:$B$337=C616)*
           (aspek!$C$2:$C$337=D616),0))</f>
        <v>Kemandirian menyimpulkan</v>
      </c>
      <c r="F616" s="76">
        <v>5</v>
      </c>
      <c r="G616" s="56" t="str" cm="1">
        <f t="array" ref="G616">INDEX(deskripsi!$D$2:$H$337,
   MATCH(1,(deskripsi!$A$2:$A$337=B616)*
           (deskripsi!$B$2:$B$337=C616)*
           (deskripsi!$C$2:$C$337=D616),0),
   F616)</f>
        <v>Kesimpulannya dipakai orang lain sebagai dasar keputusan tanpa perlu diperiksa ulang.</v>
      </c>
    </row>
    <row r="617" spans="1:7" ht="28">
      <c r="A617" t="str">
        <f t="shared" si="9"/>
        <v>Analytical Thinking|Officer|4|1</v>
      </c>
      <c r="B617" t="str">
        <v>Analytical Thinking</v>
      </c>
      <c r="C617" t="str">
        <v>Officer</v>
      </c>
      <c r="D617" s="76">
        <v>4</v>
      </c>
      <c r="E617" t="str" cm="1">
        <f t="array" ref="E617">INDEX(aspek!$D$2:$D$337,
   MATCH(1,(aspek!$A$2:$A$337=B617)*
           (aspek!$B$2:$B$337=C617)*
           (aspek!$C$2:$C$337=D617),0))</f>
        <v>Memisahkan fakta dari asumsi</v>
      </c>
      <c r="F617" s="76">
        <v>1</v>
      </c>
      <c r="G617" s="56" t="str" cm="1">
        <f t="array" ref="G617">INDEX(deskripsi!$D$2:$H$337,
   MATCH(1,(deskripsi!$A$2:$A$337=B617)*
           (deskripsi!$B$2:$B$337=C617)*
           (deskripsi!$C$2:$C$337=D617),0),
   F617)</f>
        <v>Menyampaikan dugaan seolah-olah fakta, tanpa menyadari perbedaannya.</v>
      </c>
    </row>
    <row r="618" spans="1:7" ht="28">
      <c r="A618" t="str">
        <f t="shared" si="9"/>
        <v>Analytical Thinking|Officer|4|2</v>
      </c>
      <c r="B618" t="str">
        <v>Analytical Thinking</v>
      </c>
      <c r="C618" t="str">
        <v>Officer</v>
      </c>
      <c r="D618" s="76">
        <v>4</v>
      </c>
      <c r="E618" t="str" cm="1">
        <f t="array" ref="E618">INDEX(aspek!$D$2:$D$337,
   MATCH(1,(aspek!$A$2:$A$337=B618)*
           (aspek!$B$2:$B$337=C618)*
           (aspek!$C$2:$C$337=D618),0))</f>
        <v>Memisahkan fakta dari asumsi</v>
      </c>
      <c r="F618" s="76">
        <v>2</v>
      </c>
      <c r="G618" s="56" t="str" cm="1">
        <f t="array" ref="G618">INDEX(deskripsi!$D$2:$H$337,
   MATCH(1,(deskripsi!$A$2:$A$337=B618)*
           (deskripsi!$B$2:$B$337=C618)*
           (deskripsi!$C$2:$C$337=D618),0),
   F618)</f>
        <v>Menyadari perbedaannya bila ditanya, tetapi tidak membedakannya saat menyampaikan.</v>
      </c>
    </row>
    <row r="619" spans="1:7" ht="28">
      <c r="A619" t="str">
        <f t="shared" si="9"/>
        <v>Analytical Thinking|Officer|4|3</v>
      </c>
      <c r="B619" t="str">
        <v>Analytical Thinking</v>
      </c>
      <c r="C619" t="str">
        <v>Officer</v>
      </c>
      <c r="D619" s="76">
        <v>4</v>
      </c>
      <c r="E619" t="str" cm="1">
        <f t="array" ref="E619">INDEX(aspek!$D$2:$D$337,
   MATCH(1,(aspek!$A$2:$A$337=B619)*
           (aspek!$B$2:$B$337=C619)*
           (aspek!$C$2:$C$337=D619),0))</f>
        <v>Memisahkan fakta dari asumsi</v>
      </c>
      <c r="F619" s="76">
        <v>3</v>
      </c>
      <c r="G619" s="56" t="str" cm="1">
        <f t="array" ref="G619">INDEX(deskripsi!$D$2:$H$337,
   MATCH(1,(deskripsi!$A$2:$A$337=B619)*
           (deskripsi!$B$2:$B$337=C619)*
           (deskripsi!$C$2:$C$337=D619),0),
   F619)</f>
        <v>Menyebutkan mana yang berdasar data dan mana yang perkiraan, bila diminta.</v>
      </c>
    </row>
    <row r="620" spans="1:7" ht="28">
      <c r="A620" t="str">
        <f t="shared" si="9"/>
        <v>Analytical Thinking|Officer|4|4</v>
      </c>
      <c r="B620" t="str">
        <v>Analytical Thinking</v>
      </c>
      <c r="C620" t="str">
        <v>Officer</v>
      </c>
      <c r="D620" s="76">
        <v>4</v>
      </c>
      <c r="E620" t="str" cm="1">
        <f t="array" ref="E620">INDEX(aspek!$D$2:$D$337,
   MATCH(1,(aspek!$A$2:$A$337=B620)*
           (aspek!$B$2:$B$337=C620)*
           (aspek!$C$2:$C$337=D620),0))</f>
        <v>Memisahkan fakta dari asumsi</v>
      </c>
      <c r="F620" s="76">
        <v>4</v>
      </c>
      <c r="G620" s="56" t="str" cm="1">
        <f t="array" ref="G620">INDEX(deskripsi!$D$2:$H$337,
   MATCH(1,(deskripsi!$A$2:$A$337=B620)*
           (deskripsi!$B$2:$B$337=C620)*
           (deskripsi!$C$2:$C$337=D620),0),
   F620)</f>
        <v>Secara otomatis menandai mana yang berdasar data, mana asumsi, dan seberapa yakin ia atas kesimpulannya.</v>
      </c>
    </row>
    <row r="621" spans="1:7" ht="28">
      <c r="A621" t="str">
        <f t="shared" si="9"/>
        <v>Analytical Thinking|Officer|4|5</v>
      </c>
      <c r="B621" t="str">
        <v>Analytical Thinking</v>
      </c>
      <c r="C621" t="str">
        <v>Officer</v>
      </c>
      <c r="D621" s="76">
        <v>4</v>
      </c>
      <c r="E621" t="str" cm="1">
        <f t="array" ref="E621">INDEX(aspek!$D$2:$D$337,
   MATCH(1,(aspek!$A$2:$A$337=B621)*
           (aspek!$B$2:$B$337=C621)*
           (aspek!$C$2:$C$337=D621),0))</f>
        <v>Memisahkan fakta dari asumsi</v>
      </c>
      <c r="F621" s="76">
        <v>5</v>
      </c>
      <c r="G621" s="56" t="str" cm="1">
        <f t="array" ref="G621">INDEX(deskripsi!$D$2:$H$337,
   MATCH(1,(deskripsi!$A$2:$A$337=B621)*
           (deskripsi!$B$2:$B$337=C621)*
           (deskripsi!$C$2:$C$337=D621),0),
   F621)</f>
        <v>Kebiasaan memisahkan ini ditiru rekan kerjanya dan memperbaiki mutu laporan unit.</v>
      </c>
    </row>
    <row r="622" spans="1:7" ht="28">
      <c r="A622" t="str">
        <f t="shared" si="9"/>
        <v>Analytical Thinking|Analyst|1|1</v>
      </c>
      <c r="B622" t="str">
        <v>Analytical Thinking</v>
      </c>
      <c r="C622" t="str">
        <v>Analyst</v>
      </c>
      <c r="D622" s="76">
        <v>1</v>
      </c>
      <c r="E622" t="str" cm="1">
        <f t="array" ref="E622">INDEX(aspek!$D$2:$D$337,
   MATCH(1,(aspek!$A$2:$A$337=B622)*
           (aspek!$B$2:$B$337=C622)*
           (aspek!$C$2:$C$337=D622),0))</f>
        <v>Kedalaman pertanyaan</v>
      </c>
      <c r="F622" s="76">
        <v>1</v>
      </c>
      <c r="G622" s="56" t="str" cm="1">
        <f t="array" ref="G622">INDEX(deskripsi!$D$2:$H$337,
   MATCH(1,(deskripsi!$A$2:$A$337=B622)*
           (deskripsi!$B$2:$B$337=C622)*
           (deskripsi!$C$2:$C$337=D622),0),
   F622)</f>
        <v>Menerima informasi dan arahan apa adanya; tidak mengajukan pertanyaan.</v>
      </c>
    </row>
    <row r="623" spans="1:7" ht="28">
      <c r="A623" t="str">
        <f t="shared" si="9"/>
        <v>Analytical Thinking|Analyst|1|2</v>
      </c>
      <c r="B623" t="str">
        <v>Analytical Thinking</v>
      </c>
      <c r="C623" t="str">
        <v>Analyst</v>
      </c>
      <c r="D623" s="76">
        <v>1</v>
      </c>
      <c r="E623" t="str" cm="1">
        <f t="array" ref="E623">INDEX(aspek!$D$2:$D$337,
   MATCH(1,(aspek!$A$2:$A$337=B623)*
           (aspek!$B$2:$B$337=C623)*
           (aspek!$C$2:$C$337=D623),0))</f>
        <v>Kedalaman pertanyaan</v>
      </c>
      <c r="F623" s="76">
        <v>2</v>
      </c>
      <c r="G623" s="56" t="str" cm="1">
        <f t="array" ref="G623">INDEX(deskripsi!$D$2:$H$337,
   MATCH(1,(deskripsi!$A$2:$A$337=B623)*
           (deskripsi!$B$2:$B$337=C623)*
           (deskripsi!$C$2:$C$337=D623),0),
   F623)</f>
        <v>Bertanya untuk memastikan fakta — apa, kapan, berapa — tetapi tidak lebih jauh.</v>
      </c>
    </row>
    <row r="624" spans="1:7" ht="28">
      <c r="A624" t="str">
        <f t="shared" si="9"/>
        <v>Analytical Thinking|Analyst|1|3</v>
      </c>
      <c r="B624" t="str">
        <v>Analytical Thinking</v>
      </c>
      <c r="C624" t="str">
        <v>Analyst</v>
      </c>
      <c r="D624" s="76">
        <v>1</v>
      </c>
      <c r="E624" t="str" cm="1">
        <f t="array" ref="E624">INDEX(aspek!$D$2:$D$337,
   MATCH(1,(aspek!$A$2:$A$337=B624)*
           (aspek!$B$2:$B$337=C624)*
           (aspek!$C$2:$C$337=D624),0))</f>
        <v>Kedalaman pertanyaan</v>
      </c>
      <c r="F624" s="76">
        <v>3</v>
      </c>
      <c r="G624" s="56" t="str" cm="1">
        <f t="array" ref="G624">INDEX(deskripsi!$D$2:$H$337,
   MATCH(1,(deskripsi!$A$2:$A$337=B624)*
           (deskripsi!$B$2:$B$337=C624)*
           (deskripsi!$C$2:$C$337=D624),0),
   F624)</f>
        <v>Bertanya untuk memahami alasan di balik sebuah angka, arahan, atau keputusan.</v>
      </c>
    </row>
    <row r="625" spans="1:7" ht="28">
      <c r="A625" t="str">
        <f t="shared" si="9"/>
        <v>Analytical Thinking|Analyst|1|4</v>
      </c>
      <c r="B625" t="str">
        <v>Analytical Thinking</v>
      </c>
      <c r="C625" t="str">
        <v>Analyst</v>
      </c>
      <c r="D625" s="76">
        <v>1</v>
      </c>
      <c r="E625" t="str" cm="1">
        <f t="array" ref="E625">INDEX(aspek!$D$2:$D$337,
   MATCH(1,(aspek!$A$2:$A$337=B625)*
           (aspek!$B$2:$B$337=C625)*
           (aspek!$C$2:$C$337=D625),0))</f>
        <v>Kedalaman pertanyaan</v>
      </c>
      <c r="F625" s="76">
        <v>4</v>
      </c>
      <c r="G625" s="56" t="str" cm="1">
        <f t="array" ref="G625">INDEX(deskripsi!$D$2:$H$337,
   MATCH(1,(deskripsi!$A$2:$A$337=B625)*
           (deskripsi!$B$2:$B$337=C625)*
           (deskripsi!$C$2:$C$337=D625),0),
   F625)</f>
        <v>Menguji asumsi yang mendasari informasi dan mencari sumber pembanding sebelum menyimpulkan.</v>
      </c>
    </row>
    <row r="626" spans="1:7" ht="28">
      <c r="A626" t="str">
        <f t="shared" si="9"/>
        <v>Analytical Thinking|Analyst|1|5</v>
      </c>
      <c r="B626" t="str">
        <v>Analytical Thinking</v>
      </c>
      <c r="C626" t="str">
        <v>Analyst</v>
      </c>
      <c r="D626" s="76">
        <v>1</v>
      </c>
      <c r="E626" t="str" cm="1">
        <f t="array" ref="E626">INDEX(aspek!$D$2:$D$337,
   MATCH(1,(aspek!$A$2:$A$337=B626)*
           (aspek!$B$2:$B$337=C626)*
           (aspek!$C$2:$C$337=D626),0))</f>
        <v>Kedalaman pertanyaan</v>
      </c>
      <c r="F626" s="76">
        <v>5</v>
      </c>
      <c r="G626" s="56" t="str" cm="1">
        <f t="array" ref="G626">INDEX(deskripsi!$D$2:$H$337,
   MATCH(1,(deskripsi!$A$2:$A$337=B626)*
           (deskripsi!$B$2:$B$337=C626)*
           (deskripsi!$C$2:$C$337=D626),0),
   F626)</f>
        <v>Mampu merangkai kerangka berpikir sendiri ketika informasi dari berbagai sumber saling bertentangan.</v>
      </c>
    </row>
    <row r="627" spans="1:7" ht="28">
      <c r="A627" t="str">
        <f t="shared" si="9"/>
        <v>Analytical Thinking|Analyst|2|1</v>
      </c>
      <c r="B627" t="str">
        <v>Analytical Thinking</v>
      </c>
      <c r="C627" t="str">
        <v>Analyst</v>
      </c>
      <c r="D627" s="76">
        <v>2</v>
      </c>
      <c r="E627" t="str" cm="1">
        <f t="array" ref="E627">INDEX(aspek!$D$2:$D$337,
   MATCH(1,(aspek!$A$2:$A$337=B627)*
           (aspek!$B$2:$B$337=C627)*
           (aspek!$C$2:$C$337=D627),0))</f>
        <v>Keberanian menguji</v>
      </c>
      <c r="F627" s="76">
        <v>1</v>
      </c>
      <c r="G627" s="56" t="str" cm="1">
        <f t="array" ref="G627">INDEX(deskripsi!$D$2:$H$337,
   MATCH(1,(deskripsi!$A$2:$A$337=B627)*
           (deskripsi!$B$2:$B$337=C627)*
           (deskripsi!$C$2:$C$337=D627),0),
   F627)</f>
        <v>Tidak mempertanyakan apa pun, terutama dari pihak yang lebih senior.</v>
      </c>
    </row>
    <row r="628" spans="1:7" ht="28">
      <c r="A628" t="str">
        <f t="shared" si="9"/>
        <v>Analytical Thinking|Analyst|2|2</v>
      </c>
      <c r="B628" t="str">
        <v>Analytical Thinking</v>
      </c>
      <c r="C628" t="str">
        <v>Analyst</v>
      </c>
      <c r="D628" s="76">
        <v>2</v>
      </c>
      <c r="E628" t="str" cm="1">
        <f t="array" ref="E628">INDEX(aspek!$D$2:$D$337,
   MATCH(1,(aspek!$A$2:$A$337=B628)*
           (aspek!$B$2:$B$337=C628)*
           (aspek!$C$2:$C$337=D628),0))</f>
        <v>Keberanian menguji</v>
      </c>
      <c r="F628" s="76">
        <v>2</v>
      </c>
      <c r="G628" s="56" t="str" cm="1">
        <f t="array" ref="G628">INDEX(deskripsi!$D$2:$H$337,
   MATCH(1,(deskripsi!$A$2:$A$337=B628)*
           (deskripsi!$B$2:$B$337=C628)*
           (deskripsi!$C$2:$C$337=D628),0),
   F628)</f>
        <v>Mempertanyakan hanya kepada rekan setingkat atau di belakang, bukan kepada orangnya.</v>
      </c>
    </row>
    <row r="629" spans="1:7" ht="28">
      <c r="A629" t="str">
        <f t="shared" si="9"/>
        <v>Analytical Thinking|Analyst|2|3</v>
      </c>
      <c r="B629" t="str">
        <v>Analytical Thinking</v>
      </c>
      <c r="C629" t="str">
        <v>Analyst</v>
      </c>
      <c r="D629" s="76">
        <v>2</v>
      </c>
      <c r="E629" t="str" cm="1">
        <f t="array" ref="E629">INDEX(aspek!$D$2:$D$337,
   MATCH(1,(aspek!$A$2:$A$337=B629)*
           (aspek!$B$2:$B$337=C629)*
           (aspek!$C$2:$C$337=D629),0))</f>
        <v>Keberanian menguji</v>
      </c>
      <c r="F629" s="76">
        <v>3</v>
      </c>
      <c r="G629" s="56" t="str" cm="1">
        <f t="array" ref="G629">INDEX(deskripsi!$D$2:$H$337,
   MATCH(1,(deskripsi!$A$2:$A$337=B629)*
           (deskripsi!$B$2:$B$337=C629)*
           (deskripsi!$C$2:$C$337=D629),0),
   F629)</f>
        <v>Mempertanyakan secara terbuka pada hal-hal yang jelas keliru.</v>
      </c>
    </row>
    <row r="630" spans="1:7" ht="28">
      <c r="A630" t="str">
        <f t="shared" si="9"/>
        <v>Analytical Thinking|Analyst|2|4</v>
      </c>
      <c r="B630" t="str">
        <v>Analytical Thinking</v>
      </c>
      <c r="C630" t="str">
        <v>Analyst</v>
      </c>
      <c r="D630" s="76">
        <v>2</v>
      </c>
      <c r="E630" t="str" cm="1">
        <f t="array" ref="E630">INDEX(aspek!$D$2:$D$337,
   MATCH(1,(aspek!$A$2:$A$337=B630)*
           (aspek!$B$2:$B$337=C630)*
           (aspek!$C$2:$C$337=D630),0))</f>
        <v>Keberanian menguji</v>
      </c>
      <c r="F630" s="76">
        <v>4</v>
      </c>
      <c r="G630" s="56" t="str" cm="1">
        <f t="array" ref="G630">INDEX(deskripsi!$D$2:$H$337,
   MATCH(1,(deskripsi!$A$2:$A$337=B630)*
           (deskripsi!$B$2:$B$337=C630)*
           (deskripsi!$C$2:$C$337=D630),0),
   F630)</f>
        <v>Mempertanyakan arahan dan usulan pihak yang lebih senior secara pantas, sebelum keputusan berjalan.</v>
      </c>
    </row>
    <row r="631" spans="1:7" ht="28">
      <c r="A631" t="str">
        <f t="shared" si="9"/>
        <v>Analytical Thinking|Analyst|2|5</v>
      </c>
      <c r="B631" t="str">
        <v>Analytical Thinking</v>
      </c>
      <c r="C631" t="str">
        <v>Analyst</v>
      </c>
      <c r="D631" s="76">
        <v>2</v>
      </c>
      <c r="E631" t="str" cm="1">
        <f t="array" ref="E631">INDEX(aspek!$D$2:$D$337,
   MATCH(1,(aspek!$A$2:$A$337=B631)*
           (aspek!$B$2:$B$337=C631)*
           (aspek!$C$2:$C$337=D631),0))</f>
        <v>Keberanian menguji</v>
      </c>
      <c r="F631" s="76">
        <v>5</v>
      </c>
      <c r="G631" s="56" t="str" cm="1">
        <f t="array" ref="G631">INDEX(deskripsi!$D$2:$H$337,
   MATCH(1,(deskripsi!$A$2:$A$337=B631)*
           (deskripsi!$B$2:$B$337=C631)*
           (deskripsi!$C$2:$C$337=D631),0),
   F631)</f>
        <v>Dicari orang lain untuk memeriksa sebuah usulan justru karena pertanyaannya tajam dan tidak menyerang.</v>
      </c>
    </row>
    <row r="632" spans="1:7" ht="28">
      <c r="A632" t="str">
        <f t="shared" si="9"/>
        <v>Analytical Thinking|Analyst|3|1</v>
      </c>
      <c r="B632" t="str">
        <v>Analytical Thinking</v>
      </c>
      <c r="C632" t="str">
        <v>Analyst</v>
      </c>
      <c r="D632" s="76">
        <v>3</v>
      </c>
      <c r="E632" t="str" cm="1">
        <f t="array" ref="E632">INDEX(aspek!$D$2:$D$337,
   MATCH(1,(aspek!$A$2:$A$337=B632)*
           (aspek!$B$2:$B$337=C632)*
           (aspek!$C$2:$C$337=D632),0))</f>
        <v>Pencarian pembanding</v>
      </c>
      <c r="F632" s="76">
        <v>1</v>
      </c>
      <c r="G632" s="56" t="str" cm="1">
        <f t="array" ref="G632">INDEX(deskripsi!$D$2:$H$337,
   MATCH(1,(deskripsi!$A$2:$A$337=B632)*
           (deskripsi!$B$2:$B$337=C632)*
           (deskripsi!$C$2:$C$337=D632),0),
   F632)</f>
        <v>Memakai satu sumber saja, biasanya yang paling mudah dijangkau.</v>
      </c>
    </row>
    <row r="633" spans="1:7" ht="28">
      <c r="A633" t="str">
        <f t="shared" si="9"/>
        <v>Analytical Thinking|Analyst|3|2</v>
      </c>
      <c r="B633" t="str">
        <v>Analytical Thinking</v>
      </c>
      <c r="C633" t="str">
        <v>Analyst</v>
      </c>
      <c r="D633" s="76">
        <v>3</v>
      </c>
      <c r="E633" t="str" cm="1">
        <f t="array" ref="E633">INDEX(aspek!$D$2:$D$337,
   MATCH(1,(aspek!$A$2:$A$337=B633)*
           (aspek!$B$2:$B$337=C633)*
           (aspek!$C$2:$C$337=D633),0))</f>
        <v>Pencarian pembanding</v>
      </c>
      <c r="F633" s="76">
        <v>2</v>
      </c>
      <c r="G633" s="56" t="str" cm="1">
        <f t="array" ref="G633">INDEX(deskripsi!$D$2:$H$337,
   MATCH(1,(deskripsi!$A$2:$A$337=B633)*
           (deskripsi!$B$2:$B$337=C633)*
           (deskripsi!$C$2:$C$337=D633),0),
   F633)</f>
        <v>Memakai beberapa sumber, tetapi seluruhnya berasal dari lingkaran yang sama.</v>
      </c>
    </row>
    <row r="634" spans="1:7" ht="28">
      <c r="A634" t="str">
        <f t="shared" si="9"/>
        <v>Analytical Thinking|Analyst|3|3</v>
      </c>
      <c r="B634" t="str">
        <v>Analytical Thinking</v>
      </c>
      <c r="C634" t="str">
        <v>Analyst</v>
      </c>
      <c r="D634" s="76">
        <v>3</v>
      </c>
      <c r="E634" t="str" cm="1">
        <f t="array" ref="E634">INDEX(aspek!$D$2:$D$337,
   MATCH(1,(aspek!$A$2:$A$337=B634)*
           (aspek!$B$2:$B$337=C634)*
           (aspek!$C$2:$C$337=D634),0))</f>
        <v>Pencarian pembanding</v>
      </c>
      <c r="F634" s="76">
        <v>3</v>
      </c>
      <c r="G634" s="56" t="str" cm="1">
        <f t="array" ref="G634">INDEX(deskripsi!$D$2:$H$337,
   MATCH(1,(deskripsi!$A$2:$A$337=B634)*
           (deskripsi!$B$2:$B$337=C634)*
           (deskripsi!$C$2:$C$337=D634),0),
   F634)</f>
        <v>Membandingkan beberapa sumber yang berbeda sebelum menyimpulkan.</v>
      </c>
    </row>
    <row r="635" spans="1:7" ht="42">
      <c r="A635" t="str">
        <f t="shared" si="9"/>
        <v>Analytical Thinking|Analyst|3|4</v>
      </c>
      <c r="B635" t="str">
        <v>Analytical Thinking</v>
      </c>
      <c r="C635" t="str">
        <v>Analyst</v>
      </c>
      <c r="D635" s="76">
        <v>3</v>
      </c>
      <c r="E635" t="str" cm="1">
        <f t="array" ref="E635">INDEX(aspek!$D$2:$D$337,
   MATCH(1,(aspek!$A$2:$A$337=B635)*
           (aspek!$B$2:$B$337=C635)*
           (aspek!$C$2:$C$337=D635),0))</f>
        <v>Pencarian pembanding</v>
      </c>
      <c r="F635" s="76">
        <v>4</v>
      </c>
      <c r="G635" s="56" t="str" cm="1">
        <f t="array" ref="G635">INDEX(deskripsi!$D$2:$H$337,
   MATCH(1,(deskripsi!$A$2:$A$337=B635)*
           (deskripsi!$B$2:$B$337=C635)*
           (deskripsi!$C$2:$C$337=D635),0),
   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76">
        <v>3</v>
      </c>
      <c r="E636" t="str" cm="1">
        <f t="array" ref="E636">INDEX(aspek!$D$2:$D$337,
   MATCH(1,(aspek!$A$2:$A$337=B636)*
           (aspek!$B$2:$B$337=C636)*
           (aspek!$C$2:$C$337=D636),0))</f>
        <v>Pencarian pembanding</v>
      </c>
      <c r="F636" s="76">
        <v>5</v>
      </c>
      <c r="G636" s="56" t="str" cm="1">
        <f t="array" ref="G636">INDEX(deskripsi!$D$2:$H$337,
   MATCH(1,(deskripsi!$A$2:$A$337=B636)*
           (deskripsi!$B$2:$B$337=C636)*
           (deskripsi!$C$2:$C$337=D636),0),
   F636)</f>
        <v>Menemukan sumber pembanding yang sebelumnya tidak terpikir dipakai di unitnya.</v>
      </c>
    </row>
    <row r="637" spans="1:7">
      <c r="A637" t="str">
        <f t="shared" si="9"/>
        <v>Analytical Thinking|Analyst|4|1</v>
      </c>
      <c r="B637" t="str">
        <v>Analytical Thinking</v>
      </c>
      <c r="C637" t="str">
        <v>Analyst</v>
      </c>
      <c r="D637" s="76">
        <v>4</v>
      </c>
      <c r="E637" t="str" cm="1">
        <f t="array" ref="E637">INDEX(aspek!$D$2:$D$337,
   MATCH(1,(aspek!$A$2:$A$337=B637)*
           (aspek!$B$2:$B$337=C637)*
           (aspek!$C$2:$C$337=D637),0))</f>
        <v>Keingintahuan yang berkelanjutan</v>
      </c>
      <c r="F637" s="76">
        <v>1</v>
      </c>
      <c r="G637" s="56" t="str" cm="1">
        <f t="array" ref="G637">INDEX(deskripsi!$D$2:$H$337,
   MATCH(1,(deskripsi!$A$2:$A$337=B637)*
           (deskripsi!$B$2:$B$337=C637)*
           (deskripsi!$C$2:$C$337=D637),0),
   F637)</f>
        <v>Bertanya hanya ketika diminta atau ketika terpaksa.</v>
      </c>
    </row>
    <row r="638" spans="1:7" ht="28">
      <c r="A638" t="str">
        <f t="shared" si="9"/>
        <v>Analytical Thinking|Analyst|4|2</v>
      </c>
      <c r="B638" t="str">
        <v>Analytical Thinking</v>
      </c>
      <c r="C638" t="str">
        <v>Analyst</v>
      </c>
      <c r="D638" s="76">
        <v>4</v>
      </c>
      <c r="E638" t="str" cm="1">
        <f t="array" ref="E638">INDEX(aspek!$D$2:$D$337,
   MATCH(1,(aspek!$A$2:$A$337=B638)*
           (aspek!$B$2:$B$337=C638)*
           (aspek!$C$2:$C$337=D638),0))</f>
        <v>Keingintahuan yang berkelanjutan</v>
      </c>
      <c r="F638" s="76">
        <v>2</v>
      </c>
      <c r="G638" s="56" t="str" cm="1">
        <f t="array" ref="G638">INDEX(deskripsi!$D$2:$H$337,
   MATCH(1,(deskripsi!$A$2:$A$337=B638)*
           (deskripsi!$B$2:$B$337=C638)*
           (deskripsi!$C$2:$C$337=D638),0),
   F638)</f>
        <v>Bertanya pada hal yang berkaitan langsung dengan tugasnya saja.</v>
      </c>
    </row>
    <row r="639" spans="1:7" ht="28">
      <c r="A639" t="str">
        <f t="shared" si="9"/>
        <v>Analytical Thinking|Analyst|4|3</v>
      </c>
      <c r="B639" t="str">
        <v>Analytical Thinking</v>
      </c>
      <c r="C639" t="str">
        <v>Analyst</v>
      </c>
      <c r="D639" s="76">
        <v>4</v>
      </c>
      <c r="E639" t="str" cm="1">
        <f t="array" ref="E639">INDEX(aspek!$D$2:$D$337,
   MATCH(1,(aspek!$A$2:$A$337=B639)*
           (aspek!$B$2:$B$337=C639)*
           (aspek!$C$2:$C$337=D639),0))</f>
        <v>Keingintahuan yang berkelanjutan</v>
      </c>
      <c r="F639" s="76">
        <v>3</v>
      </c>
      <c r="G639" s="56" t="str" cm="1">
        <f t="array" ref="G639">INDEX(deskripsi!$D$2:$H$337,
   MATCH(1,(deskripsi!$A$2:$A$337=B639)*
           (deskripsi!$B$2:$B$337=C639)*
           (deskripsi!$C$2:$C$337=D639),0),
   F639)</f>
        <v>Menunjukkan minat pada alasan di balik pekerjaan, meski tidak selalu menindaklanjutinya.</v>
      </c>
    </row>
    <row r="640" spans="1:7" ht="28">
      <c r="A640" t="str">
        <f t="shared" si="9"/>
        <v>Analytical Thinking|Analyst|4|4</v>
      </c>
      <c r="B640" t="str">
        <v>Analytical Thinking</v>
      </c>
      <c r="C640" t="str">
        <v>Analyst</v>
      </c>
      <c r="D640" s="76">
        <v>4</v>
      </c>
      <c r="E640" t="str" cm="1">
        <f t="array" ref="E640">INDEX(aspek!$D$2:$D$337,
   MATCH(1,(aspek!$A$2:$A$337=B640)*
           (aspek!$B$2:$B$337=C640)*
           (aspek!$C$2:$C$337=D640),0))</f>
        <v>Keingintahuan yang berkelanjutan</v>
      </c>
      <c r="F640" s="76">
        <v>4</v>
      </c>
      <c r="G640" s="56" t="str" cm="1">
        <f t="array" ref="G640">INDEX(deskripsi!$D$2:$H$337,
   MATCH(1,(deskripsi!$A$2:$A$337=B640)*
           (deskripsi!$B$2:$B$337=C640)*
           (deskripsi!$C$2:$C$337=D640),0),
   F640)</f>
        <v>Secara rutin memeriksa hal yang sudah dianggap benar di unitnya, tanpa diminta, dan menindaklanjuti temuannya.</v>
      </c>
    </row>
    <row r="641" spans="1:7" ht="28">
      <c r="A641" t="str">
        <f t="shared" si="9"/>
        <v>Analytical Thinking|Analyst|4|5</v>
      </c>
      <c r="B641" t="str">
        <v>Analytical Thinking</v>
      </c>
      <c r="C641" t="str">
        <v>Analyst</v>
      </c>
      <c r="D641" s="76">
        <v>4</v>
      </c>
      <c r="E641" t="str" cm="1">
        <f t="array" ref="E641">INDEX(aspek!$D$2:$D$337,
   MATCH(1,(aspek!$A$2:$A$337=B641)*
           (aspek!$B$2:$B$337=C641)*
           (aspek!$C$2:$C$337=D641),0))</f>
        <v>Keingintahuan yang berkelanjutan</v>
      </c>
      <c r="F641" s="76">
        <v>5</v>
      </c>
      <c r="G641" s="56" t="str" cm="1">
        <f t="array" ref="G641">INDEX(deskripsi!$D$2:$H$337,
   MATCH(1,(deskripsi!$A$2:$A$337=B641)*
           (deskripsi!$B$2:$B$337=C641)*
           (deskripsi!$C$2:$C$337=D641),0),
   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76">
        <v>1</v>
      </c>
      <c r="E642" t="str" cm="1">
        <f t="array" ref="E642">INDEX(aspek!$D$2:$D$337,
   MATCH(1,(aspek!$A$2:$A$337=B642)*
           (aspek!$B$2:$B$337=C642)*
           (aspek!$C$2:$C$337=D642),0))</f>
        <v>Cakupan sudut pandang yang masuk</v>
      </c>
      <c r="F642" s="76">
        <v>1</v>
      </c>
      <c r="G642" s="56" t="str" cm="1">
        <f t="array" ref="G642">INDEX(deskripsi!$D$2:$H$337,
   MATCH(1,(deskripsi!$A$2:$A$337=B642)*
           (deskripsi!$B$2:$B$337=C642)*
           (deskripsi!$C$2:$C$337=D642),0),
   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76">
        <v>1</v>
      </c>
      <c r="E643" t="str" cm="1">
        <f t="array" ref="E643">INDEX(aspek!$D$2:$D$337,
   MATCH(1,(aspek!$A$2:$A$337=B643)*
           (aspek!$B$2:$B$337=C643)*
           (aspek!$C$2:$C$337=D643),0))</f>
        <v>Cakupan sudut pandang yang masuk</v>
      </c>
      <c r="F643" s="76">
        <v>2</v>
      </c>
      <c r="G643" s="56" t="str" cm="1">
        <f t="array" ref="G643">INDEX(deskripsi!$D$2:$H$337,
   MATCH(1,(deskripsi!$A$2:$A$337=B643)*
           (deskripsi!$B$2:$B$337=C643)*
           (deskripsi!$C$2:$C$337=D643),0),
   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76">
        <v>1</v>
      </c>
      <c r="E644" t="str" cm="1">
        <f t="array" ref="E644">INDEX(aspek!$D$2:$D$337,
   MATCH(1,(aspek!$A$2:$A$337=B644)*
           (aspek!$B$2:$B$337=C644)*
           (aspek!$C$2:$C$337=D644),0))</f>
        <v>Cakupan sudut pandang yang masuk</v>
      </c>
      <c r="F644" s="76">
        <v>3</v>
      </c>
      <c r="G644" s="56" t="str" cm="1">
        <f t="array" ref="G644">INDEX(deskripsi!$D$2:$H$337,
   MATCH(1,(deskripsi!$A$2:$A$337=B644)*
           (deskripsi!$B$2:$B$337=C644)*
           (deskripsi!$C$2:$C$337=D644),0),
   F644)</f>
        <v>Mengumpulkan pendapat pihak yang jelas berkepentingan sebelum memutuskan.</v>
      </c>
    </row>
    <row r="645" spans="1:7" ht="42">
      <c r="A645" t="str">
        <f t="shared" si="10"/>
        <v>Analytical Thinking|Unit Head/Specialist|1|4</v>
      </c>
      <c r="B645" t="str">
        <v>Analytical Thinking</v>
      </c>
      <c r="C645" t="str">
        <v>Unit Head/Specialist</v>
      </c>
      <c r="D645" s="76">
        <v>1</v>
      </c>
      <c r="E645" t="str" cm="1">
        <f t="array" ref="E645">INDEX(aspek!$D$2:$D$337,
   MATCH(1,(aspek!$A$2:$A$337=B645)*
           (aspek!$B$2:$B$337=C645)*
           (aspek!$C$2:$C$337=D645),0))</f>
        <v>Cakupan sudut pandang yang masuk</v>
      </c>
      <c r="F645" s="76">
        <v>4</v>
      </c>
      <c r="G645" s="56" t="str" cm="1">
        <f t="array" ref="G645">INDEX(deskripsi!$D$2:$H$337,
   MATCH(1,(deskripsi!$A$2:$A$337=B645)*
           (deskripsi!$B$2:$B$337=C645)*
           (deskripsi!$C$2:$C$337=D645),0),
   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76">
        <v>1</v>
      </c>
      <c r="E646" t="str" cm="1">
        <f t="array" ref="E646">INDEX(aspek!$D$2:$D$337,
   MATCH(1,(aspek!$A$2:$A$337=B646)*
           (aspek!$B$2:$B$337=C646)*
           (aspek!$C$2:$C$337=D646),0))</f>
        <v>Cakupan sudut pandang yang masuk</v>
      </c>
      <c r="F646" s="76">
        <v>5</v>
      </c>
      <c r="G646" s="56" t="str" cm="1">
        <f t="array" ref="G646">INDEX(deskripsi!$D$2:$H$337,
   MATCH(1,(deskripsi!$A$2:$A$337=B646)*
           (deskripsi!$B$2:$B$337=C646)*
           (deskripsi!$C$2:$C$337=D646),0),
   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76">
        <v>2</v>
      </c>
      <c r="E647" t="str" cm="1">
        <f t="array" ref="E647">INDEX(aspek!$D$2:$D$337,
   MATCH(1,(aspek!$A$2:$A$337=B647)*
           (aspek!$B$2:$B$337=C647)*
           (aspek!$C$2:$C$337=D647),0))</f>
        <v>Memadukan versus memilih</v>
      </c>
      <c r="F647" s="76">
        <v>1</v>
      </c>
      <c r="G647" s="56" t="str" cm="1">
        <f t="array" ref="G647">INDEX(deskripsi!$D$2:$H$337,
   MATCH(1,(deskripsi!$A$2:$A$337=B647)*
           (deskripsi!$B$2:$B$337=C647)*
           (deskripsi!$C$2:$C$337=D647),0),
   F647)</f>
        <v>Memutuskan dengan memilih usulan yang paling mudah atau paling kuat suaranya.</v>
      </c>
    </row>
    <row r="648" spans="1:7" ht="28">
      <c r="A648" t="str">
        <f t="shared" si="10"/>
        <v>Analytical Thinking|Unit Head/Specialist|2|2</v>
      </c>
      <c r="B648" t="str">
        <v>Analytical Thinking</v>
      </c>
      <c r="C648" t="str">
        <v>Unit Head/Specialist</v>
      </c>
      <c r="D648" s="76">
        <v>2</v>
      </c>
      <c r="E648" t="str" cm="1">
        <f t="array" ref="E648">INDEX(aspek!$D$2:$D$337,
   MATCH(1,(aspek!$A$2:$A$337=B648)*
           (aspek!$B$2:$B$337=C648)*
           (aspek!$C$2:$C$337=D648),0))</f>
        <v>Memadukan versus memilih</v>
      </c>
      <c r="F648" s="76">
        <v>2</v>
      </c>
      <c r="G648" s="56" t="str" cm="1">
        <f t="array" ref="G648">INDEX(deskripsi!$D$2:$H$337,
   MATCH(1,(deskripsi!$A$2:$A$337=B648)*
           (deskripsi!$B$2:$B$337=C648)*
           (deskripsi!$C$2:$C$337=D648),0),
   F648)</f>
        <v>Memilih salah satu usulan, dengan penjelasan mengapa yang lain tidak dipakai.</v>
      </c>
    </row>
    <row r="649" spans="1:7" ht="28">
      <c r="A649" t="str">
        <f t="shared" si="10"/>
        <v>Analytical Thinking|Unit Head/Specialist|2|3</v>
      </c>
      <c r="B649" t="str">
        <v>Analytical Thinking</v>
      </c>
      <c r="C649" t="str">
        <v>Unit Head/Specialist</v>
      </c>
      <c r="D649" s="76">
        <v>2</v>
      </c>
      <c r="E649" t="str" cm="1">
        <f t="array" ref="E649">INDEX(aspek!$D$2:$D$337,
   MATCH(1,(aspek!$A$2:$A$337=B649)*
           (aspek!$B$2:$B$337=C649)*
           (aspek!$C$2:$C$337=D649),0))</f>
        <v>Memadukan versus memilih</v>
      </c>
      <c r="F649" s="76">
        <v>3</v>
      </c>
      <c r="G649" s="56" t="str" cm="1">
        <f t="array" ref="G649">INDEX(deskripsi!$D$2:$H$337,
   MATCH(1,(deskripsi!$A$2:$A$337=B649)*
           (deskripsi!$B$2:$B$337=C649)*
           (deskripsi!$C$2:$C$337=D649),0),
   F649)</f>
        <v>Mencari jalan tengah dengan membagi selisih antara usulan yang ada.</v>
      </c>
    </row>
    <row r="650" spans="1:7" ht="28">
      <c r="A650" t="str">
        <f t="shared" si="10"/>
        <v>Analytical Thinking|Unit Head/Specialist|2|4</v>
      </c>
      <c r="B650" t="str">
        <v>Analytical Thinking</v>
      </c>
      <c r="C650" t="str">
        <v>Unit Head/Specialist</v>
      </c>
      <c r="D650" s="76">
        <v>2</v>
      </c>
      <c r="E650" t="str" cm="1">
        <f t="array" ref="E650">INDEX(aspek!$D$2:$D$337,
   MATCH(1,(aspek!$A$2:$A$337=B650)*
           (aspek!$B$2:$B$337=C650)*
           (aspek!$C$2:$C$337=D650),0))</f>
        <v>Memadukan versus memilih</v>
      </c>
      <c r="F650" s="76">
        <v>4</v>
      </c>
      <c r="G650" s="56" t="str" cm="1">
        <f t="array" ref="G650">INDEX(deskripsi!$D$2:$H$337,
   MATCH(1,(deskripsi!$A$2:$A$337=B650)*
           (deskripsi!$B$2:$B$337=C650)*
           (deskripsi!$C$2:$C$337=D650),0),
   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76">
        <v>2</v>
      </c>
      <c r="E651" t="str" cm="1">
        <f t="array" ref="E651">INDEX(aspek!$D$2:$D$337,
   MATCH(1,(aspek!$A$2:$A$337=B651)*
           (aspek!$B$2:$B$337=C651)*
           (aspek!$C$2:$C$337=D651),0))</f>
        <v>Memadukan versus memilih</v>
      </c>
      <c r="F651" s="76">
        <v>5</v>
      </c>
      <c r="G651" s="56" t="str" cm="1">
        <f t="array" ref="G651">INDEX(deskripsi!$D$2:$H$337,
   MATCH(1,(deskripsi!$A$2:$A$337=B651)*
           (deskripsi!$B$2:$B$337=C651)*
           (deskripsi!$C$2:$C$337=D651),0),
   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76">
        <v>3</v>
      </c>
      <c r="E652" t="str" cm="1">
        <f t="array" ref="E652">INDEX(aspek!$D$2:$D$337,
   MATCH(1,(aspek!$A$2:$A$337=B652)*
           (aspek!$B$2:$B$337=C652)*
           (aspek!$C$2:$C$337=D652),0))</f>
        <v>Mengurangi dominasi sudut pandang sendiri</v>
      </c>
      <c r="F652" s="76">
        <v>1</v>
      </c>
      <c r="G652" s="56" t="str" cm="1">
        <f t="array" ref="G652">INDEX(deskripsi!$D$2:$H$337,
   MATCH(1,(deskripsi!$A$2:$A$337=B652)*
           (deskripsi!$B$2:$B$337=C652)*
           (deskripsi!$C$2:$C$337=D652),0),
   F652)</f>
        <v>Keputusan selalu sama dengan pendapat awalnya; masukan tidak pernah mengubah apa pun.</v>
      </c>
    </row>
    <row r="653" spans="1:7" ht="28">
      <c r="A653" t="str">
        <f t="shared" si="10"/>
        <v>Analytical Thinking|Unit Head/Specialist|3|2</v>
      </c>
      <c r="B653" t="str">
        <v>Analytical Thinking</v>
      </c>
      <c r="C653" t="str">
        <v>Unit Head/Specialist</v>
      </c>
      <c r="D653" s="76">
        <v>3</v>
      </c>
      <c r="E653" t="str" cm="1">
        <f t="array" ref="E653">INDEX(aspek!$D$2:$D$337,
   MATCH(1,(aspek!$A$2:$A$337=B653)*
           (aspek!$B$2:$B$337=C653)*
           (aspek!$C$2:$C$337=D653),0))</f>
        <v>Mengurangi dominasi sudut pandang sendiri</v>
      </c>
      <c r="F653" s="76">
        <v>2</v>
      </c>
      <c r="G653" s="56" t="str" cm="1">
        <f t="array" ref="G653">INDEX(deskripsi!$D$2:$H$337,
   MATCH(1,(deskripsi!$A$2:$A$337=B653)*
           (deskripsi!$B$2:$B$337=C653)*
           (deskripsi!$C$2:$C$337=D653),0),
   F653)</f>
        <v>Mengubah keputusan hanya ketika ditekan atasan atau ketika buktinya tidak terbantahkan.</v>
      </c>
    </row>
    <row r="654" spans="1:7" ht="28">
      <c r="A654" t="str">
        <f t="shared" si="10"/>
        <v>Analytical Thinking|Unit Head/Specialist|3|3</v>
      </c>
      <c r="B654" t="str">
        <v>Analytical Thinking</v>
      </c>
      <c r="C654" t="str">
        <v>Unit Head/Specialist</v>
      </c>
      <c r="D654" s="76">
        <v>3</v>
      </c>
      <c r="E654" t="str" cm="1">
        <f t="array" ref="E654">INDEX(aspek!$D$2:$D$337,
   MATCH(1,(aspek!$A$2:$A$337=B654)*
           (aspek!$B$2:$B$337=C654)*
           (aspek!$C$2:$C$337=D654),0))</f>
        <v>Mengurangi dominasi sudut pandang sendiri</v>
      </c>
      <c r="F654" s="76">
        <v>3</v>
      </c>
      <c r="G654" s="56" t="str" cm="1">
        <f t="array" ref="G654">INDEX(deskripsi!$D$2:$H$337,
   MATCH(1,(deskripsi!$A$2:$A$337=B654)*
           (deskripsi!$B$2:$B$337=C654)*
           (deskripsi!$C$2:$C$337=D654),0),
   F654)</f>
        <v>Bersedia mengubah sebagian keputusan ketika ada masukan yang lebih kuat.</v>
      </c>
    </row>
    <row r="655" spans="1:7" ht="42">
      <c r="A655" t="str">
        <f t="shared" si="10"/>
        <v>Analytical Thinking|Unit Head/Specialist|3|4</v>
      </c>
      <c r="B655" t="str">
        <v>Analytical Thinking</v>
      </c>
      <c r="C655" t="str">
        <v>Unit Head/Specialist</v>
      </c>
      <c r="D655" s="76">
        <v>3</v>
      </c>
      <c r="E655" t="str" cm="1">
        <f t="array" ref="E655">INDEX(aspek!$D$2:$D$337,
   MATCH(1,(aspek!$A$2:$A$337=B655)*
           (aspek!$B$2:$B$337=C655)*
           (aspek!$C$2:$C$337=D655),0))</f>
        <v>Mengurangi dominasi sudut pandang sendiri</v>
      </c>
      <c r="F655" s="76">
        <v>4</v>
      </c>
      <c r="G655" s="56" t="str" cm="1">
        <f t="array" ref="G655">INDEX(deskripsi!$D$2:$H$337,
   MATCH(1,(deskripsi!$A$2:$A$337=B655)*
           (deskripsi!$B$2:$B$337=C655)*
           (deskripsi!$C$2:$C$337=D655),0),
   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76">
        <v>3</v>
      </c>
      <c r="E656" t="str" cm="1">
        <f t="array" ref="E656">INDEX(aspek!$D$2:$D$337,
   MATCH(1,(aspek!$A$2:$A$337=B656)*
           (aspek!$B$2:$B$337=C656)*
           (aspek!$C$2:$C$337=D656),0))</f>
        <v>Mengurangi dominasi sudut pandang sendiri</v>
      </c>
      <c r="F656" s="76">
        <v>5</v>
      </c>
      <c r="G656" s="56" t="str" cm="1">
        <f t="array" ref="G656">INDEX(deskripsi!$D$2:$H$337,
   MATCH(1,(deskripsi!$A$2:$A$337=B656)*
           (deskripsi!$B$2:$B$337=C656)*
           (deskripsi!$C$2:$C$337=D656),0),
   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76">
        <v>4</v>
      </c>
      <c r="E657" t="str" cm="1">
        <f t="array" ref="E657">INDEX(aspek!$D$2:$D$337,
   MATCH(1,(aspek!$A$2:$A$337=B657)*
           (aspek!$B$2:$B$337=C657)*
           (aspek!$C$2:$C$337=D657),0))</f>
        <v>Keberterimaan keputusan oleh pihak yang tidak menang</v>
      </c>
      <c r="F657" s="76">
        <v>1</v>
      </c>
      <c r="G657" s="56" t="str" cm="1">
        <f t="array" ref="G657">INDEX(deskripsi!$D$2:$H$337,
   MATCH(1,(deskripsi!$A$2:$A$337=B657)*
           (deskripsi!$B$2:$B$337=C657)*
           (deskripsi!$C$2:$C$337=D657),0),
   F657)</f>
        <v>Pihak yang usulannya tidak dipakai merasa tidak didengar dan menghambat pelaksanaan.</v>
      </c>
    </row>
    <row r="658" spans="1:7">
      <c r="A658" t="str">
        <f t="shared" si="10"/>
        <v>Analytical Thinking|Unit Head/Specialist|4|2</v>
      </c>
      <c r="B658" t="str">
        <v>Analytical Thinking</v>
      </c>
      <c r="C658" t="str">
        <v>Unit Head/Specialist</v>
      </c>
      <c r="D658" s="76">
        <v>4</v>
      </c>
      <c r="E658" t="str" cm="1">
        <f t="array" ref="E658">INDEX(aspek!$D$2:$D$337,
   MATCH(1,(aspek!$A$2:$A$337=B658)*
           (aspek!$B$2:$B$337=C658)*
           (aspek!$C$2:$C$337=D658),0))</f>
        <v>Keberterimaan keputusan oleh pihak yang tidak menang</v>
      </c>
      <c r="F658" s="76">
        <v>2</v>
      </c>
      <c r="G658" s="56" t="str" cm="1">
        <f t="array" ref="G658">INDEX(deskripsi!$D$2:$H$337,
   MATCH(1,(deskripsi!$A$2:$A$337=B658)*
           (deskripsi!$B$2:$B$337=C658)*
           (deskripsi!$C$2:$C$337=D658),0),
   F658)</f>
        <v>Keputusan dijalankan karena perintah, bukan karena diterima.</v>
      </c>
    </row>
    <row r="659" spans="1:7" ht="28">
      <c r="A659" t="str">
        <f t="shared" si="10"/>
        <v>Analytical Thinking|Unit Head/Specialist|4|3</v>
      </c>
      <c r="B659" t="str">
        <v>Analytical Thinking</v>
      </c>
      <c r="C659" t="str">
        <v>Unit Head/Specialist</v>
      </c>
      <c r="D659" s="76">
        <v>4</v>
      </c>
      <c r="E659" t="str" cm="1">
        <f t="array" ref="E659">INDEX(aspek!$D$2:$D$337,
   MATCH(1,(aspek!$A$2:$A$337=B659)*
           (aspek!$B$2:$B$337=C659)*
           (aspek!$C$2:$C$337=D659),0))</f>
        <v>Keberterimaan keputusan oleh pihak yang tidak menang</v>
      </c>
      <c r="F659" s="76">
        <v>3</v>
      </c>
      <c r="G659" s="56" t="str" cm="1">
        <f t="array" ref="G659">INDEX(deskripsi!$D$2:$H$337,
   MATCH(1,(deskripsi!$A$2:$A$337=B659)*
           (deskripsi!$B$2:$B$337=C659)*
           (deskripsi!$C$2:$C$337=D659),0),
   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76">
        <v>4</v>
      </c>
      <c r="E660" t="str" cm="1">
        <f t="array" ref="E660">INDEX(aspek!$D$2:$D$337,
   MATCH(1,(aspek!$A$2:$A$337=B660)*
           (aspek!$B$2:$B$337=C660)*
           (aspek!$C$2:$C$337=D660),0))</f>
        <v>Keberterimaan keputusan oleh pihak yang tidak menang</v>
      </c>
      <c r="F660" s="76">
        <v>4</v>
      </c>
      <c r="G660" s="56" t="str" cm="1">
        <f t="array" ref="G660">INDEX(deskripsi!$D$2:$H$337,
   MATCH(1,(deskripsi!$A$2:$A$337=B660)*
           (deskripsi!$B$2:$B$337=C660)*
           (deskripsi!$C$2:$C$337=D660),0),
   F660)</f>
        <v>Pihak yang usulannya tidak dipakai mengonfirmasi kepentingan pokoknya tetap terwadahi, dan menjalankan keputusan tanpa eskalasi ulang.</v>
      </c>
    </row>
    <row r="661" spans="1:7" ht="28">
      <c r="A661" t="str">
        <f t="shared" si="10"/>
        <v>Analytical Thinking|Unit Head/Specialist|4|5</v>
      </c>
      <c r="B661" t="str">
        <v>Analytical Thinking</v>
      </c>
      <c r="C661" t="str">
        <v>Unit Head/Specialist</v>
      </c>
      <c r="D661" s="76">
        <v>4</v>
      </c>
      <c r="E661" t="str" cm="1">
        <f t="array" ref="E661">INDEX(aspek!$D$2:$D$337,
   MATCH(1,(aspek!$A$2:$A$337=B661)*
           (aspek!$B$2:$B$337=C661)*
           (aspek!$C$2:$C$337=D661),0))</f>
        <v>Keberterimaan keputusan oleh pihak yang tidak menang</v>
      </c>
      <c r="F661" s="76">
        <v>5</v>
      </c>
      <c r="G661" s="56" t="str" cm="1">
        <f t="array" ref="G661">INDEX(deskripsi!$D$2:$H$337,
   MATCH(1,(deskripsi!$A$2:$A$337=B661)*
           (deskripsi!$B$2:$B$337=C661)*
           (deskripsi!$C$2:$C$337=D661),0),
   F661)</f>
        <v>Pihak yang berseberangan meminta ia menjadi pengambil keputusan pada perkara serupa berikutnya.</v>
      </c>
    </row>
    <row r="662" spans="1:7" ht="28">
      <c r="A662" t="str">
        <f t="shared" si="10"/>
        <v>Analytical Thinking|Department Head|1|1</v>
      </c>
      <c r="B662" t="str">
        <v>Analytical Thinking</v>
      </c>
      <c r="C662" t="str">
        <v>Department Head</v>
      </c>
      <c r="D662" s="76">
        <v>1</v>
      </c>
      <c r="E662" t="str" cm="1">
        <f t="array" ref="E662">INDEX(aspek!$D$2:$D$337,
   MATCH(1,(aspek!$A$2:$A$337=B662)*
           (aspek!$B$2:$B$337=C662)*
           (aspek!$C$2:$C$337=D662),0))</f>
        <v>Kesediaan mengevaluasi ulang solusi sendiri</v>
      </c>
      <c r="F662" s="76">
        <v>1</v>
      </c>
      <c r="G662" s="56" t="str" cm="1">
        <f t="array" ref="G662">INDEX(deskripsi!$D$2:$H$337,
   MATCH(1,(deskripsi!$A$2:$A$337=B662)*
           (deskripsi!$B$2:$B$337=C662)*
           (deskripsi!$C$2:$C$337=D662),0),
   F662)</f>
        <v>Mengulang solusi yang sama setiap kali masalah muncul, tanpa memeriksa apakah ia menyelesaikan.</v>
      </c>
    </row>
    <row r="663" spans="1:7" ht="28">
      <c r="A663" t="str">
        <f t="shared" si="10"/>
        <v>Analytical Thinking|Department Head|1|2</v>
      </c>
      <c r="B663" t="str">
        <v>Analytical Thinking</v>
      </c>
      <c r="C663" t="str">
        <v>Department Head</v>
      </c>
      <c r="D663" s="76">
        <v>1</v>
      </c>
      <c r="E663" t="str" cm="1">
        <f t="array" ref="E663">INDEX(aspek!$D$2:$D$337,
   MATCH(1,(aspek!$A$2:$A$337=B663)*
           (aspek!$B$2:$B$337=C663)*
           (aspek!$C$2:$C$337=D663),0))</f>
        <v>Kesediaan mengevaluasi ulang solusi sendiri</v>
      </c>
      <c r="F663" s="76">
        <v>2</v>
      </c>
      <c r="G663" s="56" t="str" cm="1">
        <f t="array" ref="G663">INDEX(deskripsi!$D$2:$H$337,
   MATCH(1,(deskripsi!$A$2:$A$337=B663)*
           (deskripsi!$B$2:$B$337=C663)*
           (deskripsi!$C$2:$C$337=D663),0),
   F663)</f>
        <v>Menyadari cara lama kurang efektif, tetapi memperbaikinya dengan pola pikir yang sama.</v>
      </c>
    </row>
    <row r="664" spans="1:7" ht="28">
      <c r="A664" t="str">
        <f t="shared" si="10"/>
        <v>Analytical Thinking|Department Head|1|3</v>
      </c>
      <c r="B664" t="str">
        <v>Analytical Thinking</v>
      </c>
      <c r="C664" t="str">
        <v>Department Head</v>
      </c>
      <c r="D664" s="76">
        <v>1</v>
      </c>
      <c r="E664" t="str" cm="1">
        <f t="array" ref="E664">INDEX(aspek!$D$2:$D$337,
   MATCH(1,(aspek!$A$2:$A$337=B664)*
           (aspek!$B$2:$B$337=C664)*
           (aspek!$C$2:$C$337=D664),0))</f>
        <v>Kesediaan mengevaluasi ulang solusi sendiri</v>
      </c>
      <c r="F664" s="76">
        <v>3</v>
      </c>
      <c r="G664" s="56" t="str" cm="1">
        <f t="array" ref="G664">INDEX(deskripsi!$D$2:$H$337,
   MATCH(1,(deskripsi!$A$2:$A$337=B664)*
           (deskripsi!$B$2:$B$337=C664)*
           (deskripsi!$C$2:$C$337=D664),0),
   F664)</f>
        <v>Mengevaluasi solusi yang dipakai dan mencari alternatif ketika hasilnya jelas tidak memadai.</v>
      </c>
    </row>
    <row r="665" spans="1:7" ht="42">
      <c r="A665" t="str">
        <f t="shared" si="10"/>
        <v>Analytical Thinking|Department Head|1|4</v>
      </c>
      <c r="B665" t="str">
        <v>Analytical Thinking</v>
      </c>
      <c r="C665" t="str">
        <v>Department Head</v>
      </c>
      <c r="D665" s="76">
        <v>1</v>
      </c>
      <c r="E665" t="str" cm="1">
        <f t="array" ref="E665">INDEX(aspek!$D$2:$D$337,
   MATCH(1,(aspek!$A$2:$A$337=B665)*
           (aspek!$B$2:$B$337=C665)*
           (aspek!$C$2:$C$337=D665),0))</f>
        <v>Kesediaan mengevaluasi ulang solusi sendiri</v>
      </c>
      <c r="F665" s="76">
        <v>4</v>
      </c>
      <c r="G665" s="56" t="str" cm="1">
        <f t="array" ref="G665">INDEX(deskripsi!$D$2:$H$337,
   MATCH(1,(deskripsi!$A$2:$A$337=B665)*
           (deskripsi!$B$2:$B$337=C665)*
           (deskripsi!$C$2:$C$337=D665),0),
   F665)</f>
        <v>Secara berkala memeriksa asumsi di balik praktik baku unitnya, termasuk praktik yang ia sendiri buat, dan bersedia menghentikannya.</v>
      </c>
    </row>
    <row r="666" spans="1:7" ht="28">
      <c r="A666" t="str">
        <f t="shared" si="10"/>
        <v>Analytical Thinking|Department Head|1|5</v>
      </c>
      <c r="B666" t="str">
        <v>Analytical Thinking</v>
      </c>
      <c r="C666" t="str">
        <v>Department Head</v>
      </c>
      <c r="D666" s="76">
        <v>1</v>
      </c>
      <c r="E666" t="str" cm="1">
        <f t="array" ref="E666">INDEX(aspek!$D$2:$D$337,
   MATCH(1,(aspek!$A$2:$A$337=B666)*
           (aspek!$B$2:$B$337=C666)*
           (aspek!$C$2:$C$337=D666),0))</f>
        <v>Kesediaan mengevaluasi ulang solusi sendiri</v>
      </c>
      <c r="F666" s="76">
        <v>5</v>
      </c>
      <c r="G666" s="56" t="str" cm="1">
        <f t="array" ref="G666">INDEX(deskripsi!$D$2:$H$337,
   MATCH(1,(deskripsi!$A$2:$A$337=B666)*
           (deskripsi!$B$2:$B$337=C666)*
           (deskripsi!$C$2:$C$337=D666),0),
   F666)</f>
        <v>Menghentikan cara yang masih dianggap berhasil oleh orang lain karena melihat ia tidak akan bertahan.</v>
      </c>
    </row>
    <row r="667" spans="1:7">
      <c r="A667" t="str">
        <f t="shared" si="10"/>
        <v>Analytical Thinking|Department Head|2|1</v>
      </c>
      <c r="B667" t="str">
        <v>Analytical Thinking</v>
      </c>
      <c r="C667" t="str">
        <v>Department Head</v>
      </c>
      <c r="D667" s="76">
        <v>2</v>
      </c>
      <c r="E667" t="str" cm="1">
        <f t="array" ref="E667">INDEX(aspek!$D$2:$D$337,
   MATCH(1,(aspek!$A$2:$A$337=B667)*
           (aspek!$B$2:$B$337=C667)*
           (aspek!$C$2:$C$337=D667),0))</f>
        <v>Orisinalitas pendekatan</v>
      </c>
      <c r="F667" s="76">
        <v>1</v>
      </c>
      <c r="G667" s="56" t="str" cm="1">
        <f t="array" ref="G667">INDEX(deskripsi!$D$2:$H$337,
   MATCH(1,(deskripsi!$A$2:$A$337=B667)*
           (deskripsi!$B$2:$B$337=C667)*
           (deskripsi!$C$2:$C$337=D667),0),
   F667)</f>
        <v>Hanya mengenal satu cara untuk setiap jenis masalah.</v>
      </c>
    </row>
    <row r="668" spans="1:7" ht="28">
      <c r="A668" t="str">
        <f t="shared" si="10"/>
        <v>Analytical Thinking|Department Head|2|2</v>
      </c>
      <c r="B668" t="str">
        <v>Analytical Thinking</v>
      </c>
      <c r="C668" t="str">
        <v>Department Head</v>
      </c>
      <c r="D668" s="76">
        <v>2</v>
      </c>
      <c r="E668" t="str" cm="1">
        <f t="array" ref="E668">INDEX(aspek!$D$2:$D$337,
   MATCH(1,(aspek!$A$2:$A$337=B668)*
           (aspek!$B$2:$B$337=C668)*
           (aspek!$C$2:$C$337=D668),0))</f>
        <v>Orisinalitas pendekatan</v>
      </c>
      <c r="F668" s="76">
        <v>2</v>
      </c>
      <c r="G668" s="56" t="str" cm="1">
        <f t="array" ref="G668">INDEX(deskripsi!$D$2:$H$337,
   MATCH(1,(deskripsi!$A$2:$A$337=B668)*
           (deskripsi!$B$2:$B$337=C668)*
           (deskripsi!$C$2:$C$337=D668),0),
   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76">
        <v>2</v>
      </c>
      <c r="E669" t="str" cm="1">
        <f t="array" ref="E669">INDEX(aspek!$D$2:$D$337,
   MATCH(1,(aspek!$A$2:$A$337=B669)*
           (aspek!$B$2:$B$337=C669)*
           (aspek!$C$2:$C$337=D669),0))</f>
        <v>Orisinalitas pendekatan</v>
      </c>
      <c r="F669" s="76">
        <v>3</v>
      </c>
      <c r="G669" s="56" t="str" cm="1">
        <f t="array" ref="G669">INDEX(deskripsi!$D$2:$H$337,
   MATCH(1,(deskripsi!$A$2:$A$337=B669)*
           (deskripsi!$B$2:$B$337=C669)*
           (deskripsi!$C$2:$C$337=D669),0),
   F669)</f>
        <v>Mencari alternatif dari praktik unit lain atau dari referensi, lalu menerapkannya.</v>
      </c>
    </row>
    <row r="670" spans="1:7" ht="42">
      <c r="A670" t="str">
        <f t="shared" si="10"/>
        <v>Analytical Thinking|Department Head|2|4</v>
      </c>
      <c r="B670" t="str">
        <v>Analytical Thinking</v>
      </c>
      <c r="C670" t="str">
        <v>Department Head</v>
      </c>
      <c r="D670" s="76">
        <v>2</v>
      </c>
      <c r="E670" t="str" cm="1">
        <f t="array" ref="E670">INDEX(aspek!$D$2:$D$337,
   MATCH(1,(aspek!$A$2:$A$337=B670)*
           (aspek!$B$2:$B$337=C670)*
           (aspek!$C$2:$C$337=D670),0))</f>
        <v>Orisinalitas pendekatan</v>
      </c>
      <c r="F670" s="76">
        <v>4</v>
      </c>
      <c r="G670" s="56" t="str" cm="1">
        <f t="array" ref="G670">INDEX(deskripsi!$D$2:$H$337,
   MATCH(1,(deskripsi!$A$2:$A$337=B670)*
           (deskripsi!$B$2:$B$337=C670)*
           (deskripsi!$C$2:$C$337=D670),0),
   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76">
        <v>2</v>
      </c>
      <c r="E671" t="str" cm="1">
        <f t="array" ref="E671">INDEX(aspek!$D$2:$D$337,
   MATCH(1,(aspek!$A$2:$A$337=B671)*
           (aspek!$B$2:$B$337=C671)*
           (aspek!$C$2:$C$337=D671),0))</f>
        <v>Orisinalitas pendekatan</v>
      </c>
      <c r="F671" s="76">
        <v>5</v>
      </c>
      <c r="G671" s="56" t="str" cm="1">
        <f t="array" ref="G671">INDEX(deskripsi!$D$2:$H$337,
   MATCH(1,(deskripsi!$A$2:$A$337=B671)*
           (deskripsi!$B$2:$B$337=C671)*
           (deskripsi!$C$2:$C$337=D671),0),
   F671)</f>
        <v>Pendekatan yang ia ciptakan diadopsi unit lain untuk masalah sejenis.</v>
      </c>
    </row>
    <row r="672" spans="1:7" ht="28">
      <c r="A672" t="str">
        <f t="shared" si="10"/>
        <v>Analytical Thinking|Department Head|3|1</v>
      </c>
      <c r="B672" t="str">
        <v>Analytical Thinking</v>
      </c>
      <c r="C672" t="str">
        <v>Department Head</v>
      </c>
      <c r="D672" s="76">
        <v>3</v>
      </c>
      <c r="E672" t="str" cm="1">
        <f t="array" ref="E672">INDEX(aspek!$D$2:$D$337,
   MATCH(1,(aspek!$A$2:$A$337=B672)*
           (aspek!$B$2:$B$337=C672)*
           (aspek!$C$2:$C$337=D672),0))</f>
        <v>Masalah berulang benar-benar berhenti</v>
      </c>
      <c r="F672" s="76">
        <v>1</v>
      </c>
      <c r="G672" s="56" t="str" cm="1">
        <f t="array" ref="G672">INDEX(deskripsi!$D$2:$H$337,
   MATCH(1,(deskripsi!$A$2:$A$337=B672)*
           (deskripsi!$B$2:$B$337=C672)*
           (deskripsi!$C$2:$C$337=D672),0),
   F672)</f>
        <v>Masalah yang sama terus muncul dengan frekuensi yang tidak berubah.</v>
      </c>
    </row>
    <row r="673" spans="1:7" ht="28">
      <c r="A673" t="str">
        <f t="shared" si="10"/>
        <v>Analytical Thinking|Department Head|3|2</v>
      </c>
      <c r="B673" t="str">
        <v>Analytical Thinking</v>
      </c>
      <c r="C673" t="str">
        <v>Department Head</v>
      </c>
      <c r="D673" s="76">
        <v>3</v>
      </c>
      <c r="E673" t="str" cm="1">
        <f t="array" ref="E673">INDEX(aspek!$D$2:$D$337,
   MATCH(1,(aspek!$A$2:$A$337=B673)*
           (aspek!$B$2:$B$337=C673)*
           (aspek!$C$2:$C$337=D673),0))</f>
        <v>Masalah berulang benar-benar berhenti</v>
      </c>
      <c r="F673" s="76">
        <v>2</v>
      </c>
      <c r="G673" s="56" t="str" cm="1">
        <f t="array" ref="G673">INDEX(deskripsi!$D$2:$H$337,
   MATCH(1,(deskripsi!$A$2:$A$337=B673)*
           (deskripsi!$B$2:$B$337=C673)*
           (deskripsi!$C$2:$C$337=D673),0),
   F673)</f>
        <v>Masalah mereda sebentar lalu kembali dengan pola yang sama.</v>
      </c>
    </row>
    <row r="674" spans="1:7" ht="28">
      <c r="A674" t="str">
        <f t="shared" si="10"/>
        <v>Analytical Thinking|Department Head|3|3</v>
      </c>
      <c r="B674" t="str">
        <v>Analytical Thinking</v>
      </c>
      <c r="C674" t="str">
        <v>Department Head</v>
      </c>
      <c r="D674" s="76">
        <v>3</v>
      </c>
      <c r="E674" t="str" cm="1">
        <f t="array" ref="E674">INDEX(aspek!$D$2:$D$337,
   MATCH(1,(aspek!$A$2:$A$337=B674)*
           (aspek!$B$2:$B$337=C674)*
           (aspek!$C$2:$C$337=D674),0))</f>
        <v>Masalah berulang benar-benar berhenti</v>
      </c>
      <c r="F674" s="76">
        <v>3</v>
      </c>
      <c r="G674" s="56" t="str" cm="1">
        <f t="array" ref="G674">INDEX(deskripsi!$D$2:$H$337,
   MATCH(1,(deskripsi!$A$2:$A$337=B674)*
           (deskripsi!$B$2:$B$337=C674)*
           (deskripsi!$C$2:$C$337=D674),0),
   F674)</f>
        <v>Sebagian masalah berulang berhasil ditekan, meski belum tuntas.</v>
      </c>
    </row>
    <row r="675" spans="1:7" ht="42">
      <c r="A675" t="str">
        <f t="shared" si="10"/>
        <v>Analytical Thinking|Department Head|3|4</v>
      </c>
      <c r="B675" t="str">
        <v>Analytical Thinking</v>
      </c>
      <c r="C675" t="str">
        <v>Department Head</v>
      </c>
      <c r="D675" s="76">
        <v>3</v>
      </c>
      <c r="E675" t="str" cm="1">
        <f t="array" ref="E675">INDEX(aspek!$D$2:$D$337,
   MATCH(1,(aspek!$A$2:$A$337=B675)*
           (aspek!$B$2:$B$337=C675)*
           (aspek!$C$2:$C$337=D675),0))</f>
        <v>Masalah berulang benar-benar berhenti</v>
      </c>
      <c r="F675" s="76">
        <v>4</v>
      </c>
      <c r="G675" s="56" t="str" cm="1">
        <f t="array" ref="G675">INDEX(deskripsi!$D$2:$H$337,
   MATCH(1,(deskripsi!$A$2:$A$337=B675)*
           (deskripsi!$B$2:$B$337=C675)*
           (deskripsi!$C$2:$C$337=D675),0),
   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76">
        <v>3</v>
      </c>
      <c r="E676" t="str" cm="1">
        <f t="array" ref="E676">INDEX(aspek!$D$2:$D$337,
   MATCH(1,(aspek!$A$2:$A$337=B676)*
           (aspek!$B$2:$B$337=C676)*
           (aspek!$C$2:$C$337=D676),0))</f>
        <v>Masalah berulang benar-benar berhenti</v>
      </c>
      <c r="F676" s="76">
        <v>5</v>
      </c>
      <c r="G676" s="56" t="str" cm="1">
        <f t="array" ref="G676">INDEX(deskripsi!$D$2:$H$337,
   MATCH(1,(deskripsi!$A$2:$A$337=B676)*
           (deskripsi!$B$2:$B$337=C676)*
           (deskripsi!$C$2:$C$337=D676),0),
   F676)</f>
        <v>Unitnya dikenal sebagai tempat masalah tidak berulang, dan pendekatannya ditanyakan unit lain.</v>
      </c>
    </row>
    <row r="677" spans="1:7" ht="28">
      <c r="A677" t="str">
        <f t="shared" si="10"/>
        <v>Analytical Thinking|Department Head|4|1</v>
      </c>
      <c r="B677" t="str">
        <v>Analytical Thinking</v>
      </c>
      <c r="C677" t="str">
        <v>Department Head</v>
      </c>
      <c r="D677" s="76">
        <v>4</v>
      </c>
      <c r="E677" t="str" cm="1">
        <f t="array" ref="E677">INDEX(aspek!$D$2:$D$337,
   MATCH(1,(aspek!$A$2:$A$337=B677)*
           (aspek!$B$2:$B$337=C677)*
           (aspek!$C$2:$C$337=D677),0))</f>
        <v>Prioritisasi berbasis dampak</v>
      </c>
      <c r="F677" s="76">
        <v>1</v>
      </c>
      <c r="G677" s="56" t="str" cm="1">
        <f t="array" ref="G677">INDEX(deskripsi!$D$2:$H$337,
   MATCH(1,(deskripsi!$A$2:$A$337=B677)*
           (deskripsi!$B$2:$B$337=C677)*
           (deskripsi!$C$2:$C$337=D677),0),
   F677)</f>
        <v>Menangani masalah sesuai urutan kemunculannya atau sesuai yang paling ramai dibicarakan.</v>
      </c>
    </row>
    <row r="678" spans="1:7" ht="28">
      <c r="A678" t="str">
        <f t="shared" si="10"/>
        <v>Analytical Thinking|Department Head|4|2</v>
      </c>
      <c r="B678" t="str">
        <v>Analytical Thinking</v>
      </c>
      <c r="C678" t="str">
        <v>Department Head</v>
      </c>
      <c r="D678" s="76">
        <v>4</v>
      </c>
      <c r="E678" t="str" cm="1">
        <f t="array" ref="E678">INDEX(aspek!$D$2:$D$337,
   MATCH(1,(aspek!$A$2:$A$337=B678)*
           (aspek!$B$2:$B$337=C678)*
           (aspek!$C$2:$C$337=D678),0))</f>
        <v>Prioritisasi berbasis dampak</v>
      </c>
      <c r="F678" s="76">
        <v>2</v>
      </c>
      <c r="G678" s="56" t="str" cm="1">
        <f t="array" ref="G678">INDEX(deskripsi!$D$2:$H$337,
   MATCH(1,(deskripsi!$A$2:$A$337=B678)*
           (deskripsi!$B$2:$B$337=C678)*
           (deskripsi!$C$2:$C$337=D678),0),
   F678)</f>
        <v>Mengelompokkan masalah, tetapi urutan penanganannya ditentukan oleh kemudahan.</v>
      </c>
    </row>
    <row r="679" spans="1:7" ht="28">
      <c r="A679" t="str">
        <f t="shared" si="10"/>
        <v>Analytical Thinking|Department Head|4|3</v>
      </c>
      <c r="B679" t="str">
        <v>Analytical Thinking</v>
      </c>
      <c r="C679" t="str">
        <v>Department Head</v>
      </c>
      <c r="D679" s="76">
        <v>4</v>
      </c>
      <c r="E679" t="str" cm="1">
        <f t="array" ref="E679">INDEX(aspek!$D$2:$D$337,
   MATCH(1,(aspek!$A$2:$A$337=B679)*
           (aspek!$B$2:$B$337=C679)*
           (aspek!$C$2:$C$337=D679),0))</f>
        <v>Prioritisasi berbasis dampak</v>
      </c>
      <c r="F679" s="76">
        <v>3</v>
      </c>
      <c r="G679" s="56" t="str" cm="1">
        <f t="array" ref="G679">INDEX(deskripsi!$D$2:$H$337,
   MATCH(1,(deskripsi!$A$2:$A$337=B679)*
           (deskripsi!$B$2:$B$337=C679)*
           (deskripsi!$C$2:$C$337=D679),0),
   F679)</f>
        <v>Menyusun prioritas berdasarkan dampak, dengan dasar yang dapat dijelaskan.</v>
      </c>
    </row>
    <row r="680" spans="1:7" ht="42">
      <c r="A680" t="str">
        <f t="shared" si="10"/>
        <v>Analytical Thinking|Department Head|4|4</v>
      </c>
      <c r="B680" t="str">
        <v>Analytical Thinking</v>
      </c>
      <c r="C680" t="str">
        <v>Department Head</v>
      </c>
      <c r="D680" s="76">
        <v>4</v>
      </c>
      <c r="E680" t="str" cm="1">
        <f t="array" ref="E680">INDEX(aspek!$D$2:$D$337,
   MATCH(1,(aspek!$A$2:$A$337=B680)*
           (aspek!$B$2:$B$337=C680)*
           (aspek!$C$2:$C$337=D680),0))</f>
        <v>Prioritisasi berbasis dampak</v>
      </c>
      <c r="F680" s="76">
        <v>4</v>
      </c>
      <c r="G680" s="56" t="str" cm="1">
        <f t="array" ref="G680">INDEX(deskripsi!$D$2:$H$337,
   MATCH(1,(deskripsi!$A$2:$A$337=B680)*
           (deskripsi!$B$2:$B$337=C680)*
           (deskripsi!$C$2:$C$337=D680),0),
   F680)</f>
        <v>Menyusun prioritas berdasarkan dampak bisnis DAN biaya pengulangan, lalu benar-benar menangani sesuai urutan itu meski yang teratas paling sulit.</v>
      </c>
    </row>
    <row r="681" spans="1:7">
      <c r="A681" t="str">
        <f t="shared" si="10"/>
        <v>Analytical Thinking|Department Head|4|5</v>
      </c>
      <c r="B681" t="str">
        <v>Analytical Thinking</v>
      </c>
      <c r="C681" t="str">
        <v>Department Head</v>
      </c>
      <c r="D681" s="76">
        <v>4</v>
      </c>
      <c r="E681" t="str" cm="1">
        <f t="array" ref="E681">INDEX(aspek!$D$2:$D$337,
   MATCH(1,(aspek!$A$2:$A$337=B681)*
           (aspek!$B$2:$B$337=C681)*
           (aspek!$C$2:$C$337=D681),0))</f>
        <v>Prioritisasi berbasis dampak</v>
      </c>
      <c r="F681" s="76">
        <v>5</v>
      </c>
      <c r="G681" s="56" t="str" cm="1">
        <f t="array" ref="G681">INDEX(deskripsi!$D$2:$H$337,
   MATCH(1,(deskripsi!$A$2:$A$337=B681)*
           (deskripsi!$B$2:$B$337=C681)*
           (deskripsi!$C$2:$C$337=D681),0),
   F681)</f>
        <v>Logika prioritasnya dipakai unit lain sebagai acuan.</v>
      </c>
    </row>
    <row r="682" spans="1:7">
      <c r="A682" t="str">
        <f t="shared" si="10"/>
        <v>Analytical Thinking|Division Head|1|1</v>
      </c>
      <c r="B682" t="str">
        <v>Analytical Thinking</v>
      </c>
      <c r="C682" t="str">
        <v>Division Head</v>
      </c>
      <c r="D682" s="76">
        <v>1</v>
      </c>
      <c r="E682" t="str" cm="1">
        <f t="array" ref="E682">INDEX(aspek!$D$2:$D$337,
   MATCH(1,(aspek!$A$2:$A$337=B682)*
           (aspek!$B$2:$B$337=C682)*
           (aspek!$C$2:$C$337=D682),0))</f>
        <v xml:space="preserve"> Kesediaan bergerak tanpa kepastian</v>
      </c>
      <c r="F682" s="76">
        <v>1</v>
      </c>
      <c r="G682" s="56" t="str" cm="1">
        <f t="array" ref="G682">INDEX(deskripsi!$D$2:$H$337,
   MATCH(1,(deskripsi!$A$2:$A$337=B682)*
           (deskripsi!$B$2:$B$337=C682)*
           (deskripsi!$C$2:$C$337=D682),0),
   F682)</f>
        <v>Pekerjaan berhenti sampai arah atau data menjadi jelas.</v>
      </c>
    </row>
    <row r="683" spans="1:7" ht="28">
      <c r="A683" t="str">
        <f t="shared" si="10"/>
        <v>Analytical Thinking|Division Head|1|2</v>
      </c>
      <c r="B683" t="str">
        <v>Analytical Thinking</v>
      </c>
      <c r="C683" t="str">
        <v>Division Head</v>
      </c>
      <c r="D683" s="76">
        <v>1</v>
      </c>
      <c r="E683" t="str" cm="1">
        <f t="array" ref="E683">INDEX(aspek!$D$2:$D$337,
   MATCH(1,(aspek!$A$2:$A$337=B683)*
           (aspek!$B$2:$B$337=C683)*
           (aspek!$C$2:$C$337=D683),0))</f>
        <v xml:space="preserve"> Kesediaan bergerak tanpa kepastian</v>
      </c>
      <c r="F683" s="76">
        <v>2</v>
      </c>
      <c r="G683" s="56" t="str" cm="1">
        <f t="array" ref="G683">INDEX(deskripsi!$D$2:$H$337,
   MATCH(1,(deskripsi!$A$2:$A$337=B683)*
           (deskripsi!$B$2:$B$337=C683)*
           (deskripsi!$C$2:$C$337=D683),0),
   F683)</f>
        <v>Bergerak hanya pada bagian yang sudah pasti; sisanya menunggu.</v>
      </c>
    </row>
    <row r="684" spans="1:7" ht="28">
      <c r="A684" t="str">
        <f t="shared" si="10"/>
        <v>Analytical Thinking|Division Head|1|3</v>
      </c>
      <c r="B684" t="str">
        <v>Analytical Thinking</v>
      </c>
      <c r="C684" t="str">
        <v>Division Head</v>
      </c>
      <c r="D684" s="76">
        <v>1</v>
      </c>
      <c r="E684" t="str" cm="1">
        <f t="array" ref="E684">INDEX(aspek!$D$2:$D$337,
   MATCH(1,(aspek!$A$2:$A$337=B684)*
           (aspek!$B$2:$B$337=C684)*
           (aspek!$C$2:$C$337=D684),0))</f>
        <v xml:space="preserve"> Kesediaan bergerak tanpa kepastian</v>
      </c>
      <c r="F684" s="76">
        <v>3</v>
      </c>
      <c r="G684" s="56" t="str" cm="1">
        <f t="array" ref="G684">INDEX(deskripsi!$D$2:$H$337,
   MATCH(1,(deskripsi!$A$2:$A$337=B684)*
           (deskripsi!$B$2:$B$337=C684)*
           (deskripsi!$C$2:$C$337=D684),0),
   F684)</f>
        <v>Memutuskan setelah menunggu selama waktu yang wajar, dan biasanya tepat.</v>
      </c>
    </row>
    <row r="685" spans="1:7" ht="42">
      <c r="A685" t="str">
        <f t="shared" si="10"/>
        <v>Analytical Thinking|Division Head|1|4</v>
      </c>
      <c r="B685" t="str">
        <v>Analytical Thinking</v>
      </c>
      <c r="C685" t="str">
        <v>Division Head</v>
      </c>
      <c r="D685" s="76">
        <v>1</v>
      </c>
      <c r="E685" t="str" cm="1">
        <f t="array" ref="E685">INDEX(aspek!$D$2:$D$337,
   MATCH(1,(aspek!$A$2:$A$337=B685)*
           (aspek!$B$2:$B$337=C685)*
           (aspek!$C$2:$C$337=D685),0))</f>
        <v xml:space="preserve"> Kesediaan bergerak tanpa kepastian</v>
      </c>
      <c r="F685" s="76">
        <v>4</v>
      </c>
      <c r="G685" s="56" t="str" cm="1">
        <f t="array" ref="G685">INDEX(deskripsi!$D$2:$H$337,
   MATCH(1,(deskripsi!$A$2:$A$337=B685)*
           (deskripsi!$B$2:$B$337=C685)*
           (deskripsi!$C$2:$C$337=D685),0),
   F685)</f>
        <v>Menetapkan sendiri batas menunggu di muka, lalu bergerak pada batas itu — termasuk ketika sebagian informasi memang tidak akan pernah tersedia.</v>
      </c>
    </row>
    <row r="686" spans="1:7" ht="28">
      <c r="A686" t="str">
        <f t="shared" si="10"/>
        <v>Analytical Thinking|Division Head|1|5</v>
      </c>
      <c r="B686" t="str">
        <v>Analytical Thinking</v>
      </c>
      <c r="C686" t="str">
        <v>Division Head</v>
      </c>
      <c r="D686" s="76">
        <v>1</v>
      </c>
      <c r="E686" t="str" cm="1">
        <f t="array" ref="E686">INDEX(aspek!$D$2:$D$337,
   MATCH(1,(aspek!$A$2:$A$337=B686)*
           (aspek!$B$2:$B$337=C686)*
           (aspek!$C$2:$C$337=D686),0))</f>
        <v xml:space="preserve"> Kesediaan bergerak tanpa kepastian</v>
      </c>
      <c r="F686" s="76">
        <v>5</v>
      </c>
      <c r="G686" s="56" t="str" cm="1">
        <f t="array" ref="G686">INDEX(deskripsi!$D$2:$H$337,
   MATCH(1,(deskripsi!$A$2:$A$337=B686)*
           (deskripsi!$B$2:$B$337=C686)*
           (deskripsi!$C$2:$C$337=D686),0),
   F686)</f>
        <v>Melihat periode yang belum jelas sebagai kesempatan bergerak lebih dulu daripada pihak yang menunggu.</v>
      </c>
    </row>
    <row r="687" spans="1:7" ht="28">
      <c r="A687" t="str">
        <f t="shared" si="10"/>
        <v>Analytical Thinking|Division Head|2|1</v>
      </c>
      <c r="B687" t="str">
        <v>Analytical Thinking</v>
      </c>
      <c r="C687" t="str">
        <v>Division Head</v>
      </c>
      <c r="D687" s="76">
        <v>2</v>
      </c>
      <c r="E687" t="str" cm="1">
        <f t="array" ref="E687">INDEX(aspek!$D$2:$D$337,
   MATCH(1,(aspek!$A$2:$A$337=B687)*
           (aspek!$B$2:$B$337=C687)*
           (aspek!$C$2:$C$337=D687),0))</f>
        <v>Produktivitas kognitif dalam ketidakjelasan</v>
      </c>
      <c r="F687" s="76">
        <v>1</v>
      </c>
      <c r="G687" s="56" t="str" cm="1">
        <f t="array" ref="G687">INDEX(deskripsi!$D$2:$H$337,
   MATCH(1,(deskripsi!$A$2:$A$337=B687)*
           (deskripsi!$B$2:$B$337=C687)*
           (deskripsi!$C$2:$C$337=D687),0),
   F687)</f>
        <v>Berhenti berpikir jernih ketika keadaan membingungkan; analisisnya berantakan atau tidak ada.</v>
      </c>
    </row>
    <row r="688" spans="1:7" ht="28">
      <c r="A688" t="str">
        <f t="shared" si="10"/>
        <v>Analytical Thinking|Division Head|2|2</v>
      </c>
      <c r="B688" t="str">
        <v>Analytical Thinking</v>
      </c>
      <c r="C688" t="str">
        <v>Division Head</v>
      </c>
      <c r="D688" s="76">
        <v>2</v>
      </c>
      <c r="E688" t="str" cm="1">
        <f t="array" ref="E688">INDEX(aspek!$D$2:$D$337,
   MATCH(1,(aspek!$A$2:$A$337=B688)*
           (aspek!$B$2:$B$337=C688)*
           (aspek!$C$2:$C$337=D688),0))</f>
        <v>Produktivitas kognitif dalam ketidakjelasan</v>
      </c>
      <c r="F688" s="76">
        <v>2</v>
      </c>
      <c r="G688" s="56" t="str" cm="1">
        <f t="array" ref="G688">INDEX(deskripsi!$D$2:$H$337,
   MATCH(1,(deskripsi!$A$2:$A$337=B688)*
           (deskripsi!$B$2:$B$337=C688)*
           (deskripsi!$C$2:$C$337=D688),0),
   F688)</f>
        <v>Masih dapat berpikir, tetapi hanya menghasilkan daftar hal yang belum diketahui.</v>
      </c>
    </row>
    <row r="689" spans="1:7" ht="28">
      <c r="A689" t="str">
        <f t="shared" si="10"/>
        <v>Analytical Thinking|Division Head|2|3</v>
      </c>
      <c r="B689" t="str">
        <v>Analytical Thinking</v>
      </c>
      <c r="C689" t="str">
        <v>Division Head</v>
      </c>
      <c r="D689" s="76">
        <v>2</v>
      </c>
      <c r="E689" t="str" cm="1">
        <f t="array" ref="E689">INDEX(aspek!$D$2:$D$337,
   MATCH(1,(aspek!$A$2:$A$337=B689)*
           (aspek!$B$2:$B$337=C689)*
           (aspek!$C$2:$C$337=D689),0))</f>
        <v>Produktivitas kognitif dalam ketidakjelasan</v>
      </c>
      <c r="F689" s="76">
        <v>3</v>
      </c>
      <c r="G689" s="56" t="str" cm="1">
        <f t="array" ref="G689">INDEX(deskripsi!$D$2:$H$337,
   MATCH(1,(deskripsi!$A$2:$A$337=B689)*
           (deskripsi!$B$2:$B$337=C689)*
           (deskripsi!$C$2:$C$337=D689),0),
   F689)</f>
        <v>Menghasilkan analisis yang rapi, meski kesimpulannya tetap menunggu data tambahan.</v>
      </c>
    </row>
    <row r="690" spans="1:7" ht="28">
      <c r="A690" t="str">
        <f t="shared" si="10"/>
        <v>Analytical Thinking|Division Head|2|4</v>
      </c>
      <c r="B690" t="str">
        <v>Analytical Thinking</v>
      </c>
      <c r="C690" t="str">
        <v>Division Head</v>
      </c>
      <c r="D690" s="76">
        <v>2</v>
      </c>
      <c r="E690" t="str" cm="1">
        <f t="array" ref="E690">INDEX(aspek!$D$2:$D$337,
   MATCH(1,(aspek!$A$2:$A$337=B690)*
           (aspek!$B$2:$B$337=C690)*
           (aspek!$C$2:$C$337=D690),0))</f>
        <v>Produktivitas kognitif dalam ketidakjelasan</v>
      </c>
      <c r="F690" s="76">
        <v>4</v>
      </c>
      <c r="G690" s="56" t="str" cm="1">
        <f t="array" ref="G690">INDEX(deskripsi!$D$2:$H$337,
   MATCH(1,(deskripsi!$A$2:$A$337=B690)*
           (deskripsi!$B$2:$B$337=C690)*
           (deskripsi!$C$2:$C$337=D690),0),
   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76">
        <v>2</v>
      </c>
      <c r="E691" t="str" cm="1">
        <f t="array" ref="E691">INDEX(aspek!$D$2:$D$337,
   MATCH(1,(aspek!$A$2:$A$337=B691)*
           (aspek!$B$2:$B$337=C691)*
           (aspek!$C$2:$C$337=D691),0))</f>
        <v>Produktivitas kognitif dalam ketidakjelasan</v>
      </c>
      <c r="F691" s="76">
        <v>5</v>
      </c>
      <c r="G691" s="56" t="str" cm="1">
        <f t="array" ref="G691">INDEX(deskripsi!$D$2:$H$337,
   MATCH(1,(deskripsi!$A$2:$A$337=B691)*
           (deskripsi!$B$2:$B$337=C691)*
           (deskripsi!$C$2:$C$337=D691),0),
   F691)</f>
        <v>Justru menemukan peluang atau penyederhanaan yang tidak terlihat ketika keadaan sudah jelas.</v>
      </c>
    </row>
    <row r="692" spans="1:7" ht="28">
      <c r="A692" t="str">
        <f t="shared" si="10"/>
        <v>Analytical Thinking|Division Head|3|1</v>
      </c>
      <c r="B692" t="str">
        <v>Analytical Thinking</v>
      </c>
      <c r="C692" t="str">
        <v>Division Head</v>
      </c>
      <c r="D692" s="76">
        <v>3</v>
      </c>
      <c r="E692" t="str" cm="1">
        <f t="array" ref="E692">INDEX(aspek!$D$2:$D$337,
   MATCH(1,(aspek!$A$2:$A$337=B692)*
           (aspek!$B$2:$B$337=C692)*
           (aspek!$C$2:$C$337=D692),0))</f>
        <v>Kualitas pemetaan sebab-akibat majemuk</v>
      </c>
      <c r="F692" s="76">
        <v>1</v>
      </c>
      <c r="G692" s="56" t="str" cm="1">
        <f t="array" ref="G692">INDEX(deskripsi!$D$2:$H$337,
   MATCH(1,(deskripsi!$A$2:$A$337=B692)*
           (deskripsi!$B$2:$B$337=C692)*
           (deskripsi!$C$2:$C$337=D692),0),
   F692)</f>
        <v>Melihat satu penyebab tunggal untuk masalah yang sebenarnya berlapis.</v>
      </c>
    </row>
    <row r="693" spans="1:7" ht="28">
      <c r="A693" t="str">
        <f t="shared" si="10"/>
        <v>Analytical Thinking|Division Head|3|2</v>
      </c>
      <c r="B693" t="str">
        <v>Analytical Thinking</v>
      </c>
      <c r="C693" t="str">
        <v>Division Head</v>
      </c>
      <c r="D693" s="76">
        <v>3</v>
      </c>
      <c r="E693" t="str" cm="1">
        <f t="array" ref="E693">INDEX(aspek!$D$2:$D$337,
   MATCH(1,(aspek!$A$2:$A$337=B693)*
           (aspek!$B$2:$B$337=C693)*
           (aspek!$C$2:$C$337=D693),0))</f>
        <v>Kualitas pemetaan sebab-akibat majemuk</v>
      </c>
      <c r="F693" s="76">
        <v>2</v>
      </c>
      <c r="G693" s="56" t="str" cm="1">
        <f t="array" ref="G693">INDEX(deskripsi!$D$2:$H$337,
   MATCH(1,(deskripsi!$A$2:$A$337=B693)*
           (deskripsi!$B$2:$B$337=C693)*
           (deskripsi!$C$2:$C$337=D693),0),
   F693)</f>
        <v>Menyebut beberapa penyebab, tetapi tidak menunjukkan keterkaitannya.</v>
      </c>
    </row>
    <row r="694" spans="1:7">
      <c r="A694" t="str">
        <f t="shared" si="10"/>
        <v>Analytical Thinking|Division Head|3|3</v>
      </c>
      <c r="B694" t="str">
        <v>Analytical Thinking</v>
      </c>
      <c r="C694" t="str">
        <v>Division Head</v>
      </c>
      <c r="D694" s="76">
        <v>3</v>
      </c>
      <c r="E694" t="str" cm="1">
        <f t="array" ref="E694">INDEX(aspek!$D$2:$D$337,
   MATCH(1,(aspek!$A$2:$A$337=B694)*
           (aspek!$B$2:$B$337=C694)*
           (aspek!$C$2:$C$337=D694),0))</f>
        <v>Kualitas pemetaan sebab-akibat majemuk</v>
      </c>
      <c r="F694" s="76">
        <v>3</v>
      </c>
      <c r="G694" s="56" t="str" cm="1">
        <f t="array" ref="G694">INDEX(deskripsi!$D$2:$H$337,
   MATCH(1,(deskripsi!$A$2:$A$337=B694)*
           (deskripsi!$B$2:$B$337=C694)*
           (deskripsi!$C$2:$C$337=D694),0),
   F694)</f>
        <v>Memetakan penyebab beserta keterkaitannya secara logis.</v>
      </c>
    </row>
    <row r="695" spans="1:7" ht="42">
      <c r="A695" t="str">
        <f t="shared" si="10"/>
        <v>Analytical Thinking|Division Head|3|4</v>
      </c>
      <c r="B695" t="str">
        <v>Analytical Thinking</v>
      </c>
      <c r="C695" t="str">
        <v>Division Head</v>
      </c>
      <c r="D695" s="76">
        <v>3</v>
      </c>
      <c r="E695" t="str" cm="1">
        <f t="array" ref="E695">INDEX(aspek!$D$2:$D$337,
   MATCH(1,(aspek!$A$2:$A$337=B695)*
           (aspek!$B$2:$B$337=C695)*
           (aspek!$C$2:$C$337=D695),0))</f>
        <v>Kualitas pemetaan sebab-akibat majemuk</v>
      </c>
      <c r="F695" s="76">
        <v>4</v>
      </c>
      <c r="G695" s="56" t="str" cm="1">
        <f t="array" ref="G695">INDEX(deskripsi!$D$2:$H$337,
   MATCH(1,(deskripsi!$A$2:$A$337=B695)*
           (deskripsi!$B$2:$B$337=C695)*
           (deskripsi!$C$2:$C$337=D695),0),
   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76">
        <v>3</v>
      </c>
      <c r="E696" t="str" cm="1">
        <f t="array" ref="E696">INDEX(aspek!$D$2:$D$337,
   MATCH(1,(aspek!$A$2:$A$337=B696)*
           (aspek!$B$2:$B$337=C696)*
           (aspek!$C$2:$C$337=D696),0))</f>
        <v>Kualitas pemetaan sebab-akibat majemuk</v>
      </c>
      <c r="F696" s="76">
        <v>5</v>
      </c>
      <c r="G696" s="56" t="str" cm="1">
        <f t="array" ref="G696">INDEX(deskripsi!$D$2:$H$337,
   MATCH(1,(deskripsi!$A$2:$A$337=B696)*
           (deskripsi!$B$2:$B$337=C696)*
           (deskripsi!$C$2:$C$337=D696),0),
   F696)</f>
        <v>Petanya dipakai departemen lain sebagai dasar keputusan mereka sendiri.</v>
      </c>
    </row>
    <row r="697" spans="1:7">
      <c r="A697" t="str">
        <f t="shared" si="10"/>
        <v>Analytical Thinking|Division Head|4|1</v>
      </c>
      <c r="B697" t="str">
        <v>Analytical Thinking</v>
      </c>
      <c r="C697" t="str">
        <v>Division Head</v>
      </c>
      <c r="D697" s="76">
        <v>4</v>
      </c>
      <c r="E697" t="str" cm="1">
        <f t="array" ref="E697">INDEX(aspek!$D$2:$D$337,
   MATCH(1,(aspek!$A$2:$A$337=B697)*
           (aspek!$B$2:$B$337=C697)*
           (aspek!$C$2:$C$337=D697),0))</f>
        <v>Menjaga unit tetap berjalan</v>
      </c>
      <c r="F697" s="76">
        <v>1</v>
      </c>
      <c r="G697" s="56" t="str" cm="1">
        <f t="array" ref="G697">INDEX(deskripsi!$D$2:$H$337,
   MATCH(1,(deskripsi!$A$2:$A$337=B697)*
           (deskripsi!$B$2:$B$337=C697)*
           (deskripsi!$C$2:$C$337=D697),0),
   F697)</f>
        <v>Ketika arah belum turun, unit ikut berhenti dan menunggu.</v>
      </c>
    </row>
    <row r="698" spans="1:7" ht="28">
      <c r="A698" t="str">
        <f t="shared" si="10"/>
        <v>Analytical Thinking|Division Head|4|2</v>
      </c>
      <c r="B698" t="str">
        <v>Analytical Thinking</v>
      </c>
      <c r="C698" t="str">
        <v>Division Head</v>
      </c>
      <c r="D698" s="76">
        <v>4</v>
      </c>
      <c r="E698" t="str" cm="1">
        <f t="array" ref="E698">INDEX(aspek!$D$2:$D$337,
   MATCH(1,(aspek!$A$2:$A$337=B698)*
           (aspek!$B$2:$B$337=C698)*
           (aspek!$C$2:$C$337=D698),0))</f>
        <v>Menjaga unit tetap berjalan</v>
      </c>
      <c r="F698" s="76">
        <v>2</v>
      </c>
      <c r="G698" s="56" t="str" cm="1">
        <f t="array" ref="G698">INDEX(deskripsi!$D$2:$H$337,
   MATCH(1,(deskripsi!$A$2:$A$337=B698)*
           (deskripsi!$B$2:$B$337=C698)*
           (deskripsi!$C$2:$C$337=D698),0),
   F698)</f>
        <v>Unit tetap mengerjakan rutinitas, tetapi pekerjaan penting tertahan.</v>
      </c>
    </row>
    <row r="699" spans="1:7" ht="28">
      <c r="A699" t="str">
        <f t="shared" si="10"/>
        <v>Analytical Thinking|Division Head|4|3</v>
      </c>
      <c r="B699" t="str">
        <v>Analytical Thinking</v>
      </c>
      <c r="C699" t="str">
        <v>Division Head</v>
      </c>
      <c r="D699" s="76">
        <v>4</v>
      </c>
      <c r="E699" t="str" cm="1">
        <f t="array" ref="E699">INDEX(aspek!$D$2:$D$337,
   MATCH(1,(aspek!$A$2:$A$337=B699)*
           (aspek!$B$2:$B$337=C699)*
           (aspek!$C$2:$C$337=D699),0))</f>
        <v>Menjaga unit tetap berjalan</v>
      </c>
      <c r="F699" s="76">
        <v>3</v>
      </c>
      <c r="G699" s="56" t="str" cm="1">
        <f t="array" ref="G699">INDEX(deskripsi!$D$2:$H$337,
   MATCH(1,(deskripsi!$A$2:$A$337=B699)*
           (deskripsi!$B$2:$B$337=C699)*
           (deskripsi!$C$2:$C$337=D699),0),
   F699)</f>
        <v>Unit tetap berjalan karena peserta membagikan pekerjaan seadanya, tanpa penjelasan.</v>
      </c>
    </row>
    <row r="700" spans="1:7" ht="42">
      <c r="A700" t="str">
        <f t="shared" si="10"/>
        <v>Analytical Thinking|Division Head|4|4</v>
      </c>
      <c r="B700" t="str">
        <v>Analytical Thinking</v>
      </c>
      <c r="C700" t="str">
        <v>Division Head</v>
      </c>
      <c r="D700" s="76">
        <v>4</v>
      </c>
      <c r="E700" t="str" cm="1">
        <f t="array" ref="E700">INDEX(aspek!$D$2:$D$337,
   MATCH(1,(aspek!$A$2:$A$337=B700)*
           (aspek!$B$2:$B$337=C700)*
           (aspek!$C$2:$C$337=D700),0))</f>
        <v>Menjaga unit tetap berjalan</v>
      </c>
      <c r="F700" s="76">
        <v>4</v>
      </c>
      <c r="G700" s="56" t="str" cm="1">
        <f t="array" ref="G700">INDEX(deskripsi!$D$2:$H$337,
   MATCH(1,(deskripsi!$A$2:$A$337=B700)*
           (deskripsi!$B$2:$B$337=C700)*
           (deskripsi!$C$2:$C$337=D700),0),
   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76">
        <v>4</v>
      </c>
      <c r="E701" t="str" cm="1">
        <f t="array" ref="E701">INDEX(aspek!$D$2:$D$337,
   MATCH(1,(aspek!$A$2:$A$337=B701)*
           (aspek!$B$2:$B$337=C701)*
           (aspek!$C$2:$C$337=D701),0))</f>
        <v>Menjaga unit tetap berjalan</v>
      </c>
      <c r="F701" s="76">
        <v>5</v>
      </c>
      <c r="G701" s="56" t="str" cm="1">
        <f t="array" ref="G701">INDEX(deskripsi!$D$2:$H$337,
   MATCH(1,(deskripsi!$A$2:$A$337=B701)*
           (deskripsi!$B$2:$B$337=C701)*
           (deskripsi!$C$2:$C$337=D701),0),
   F701)</f>
        <v>Anggota unit mulai sendiri menemukan pekerjaan yang tetap benar tanpa menunggu diberi tahu.</v>
      </c>
    </row>
    <row r="702" spans="1:7" ht="28">
      <c r="A702" t="str">
        <f t="shared" si="10"/>
        <v>Analytical Thinking|Director|1|1</v>
      </c>
      <c r="B702" t="str">
        <v>Analytical Thinking</v>
      </c>
      <c r="C702" t="str">
        <v>Director</v>
      </c>
      <c r="D702" s="76">
        <v>1</v>
      </c>
      <c r="E702" t="str" cm="1">
        <f t="array" ref="E702">INDEX(aspek!$D$2:$D$337,
   MATCH(1,(aspek!$A$2:$A$337=B702)*
           (aspek!$B$2:$B$337=C702)*
           (aspek!$C$2:$C$337=D702),0))</f>
        <v>Memberi arah saat arah belum ada</v>
      </c>
      <c r="F702" s="76">
        <v>1</v>
      </c>
      <c r="G702" s="56" t="str" cm="1">
        <f t="array" ref="G702">INDEX(deskripsi!$D$2:$H$337,
   MATCH(1,(deskripsi!$A$2:$A$337=B702)*
           (deskripsi!$B$2:$B$337=C702)*
           (deskripsi!$C$2:$C$337=D702),0),
   F702)</f>
        <v>Ikut menunggu bersama tim; tidak ada arah yang diberikan sampai kejelasan datang dari atas.</v>
      </c>
    </row>
    <row r="703" spans="1:7" ht="28">
      <c r="A703" t="str">
        <f t="shared" si="10"/>
        <v>Analytical Thinking|Director|1|2</v>
      </c>
      <c r="B703" t="str">
        <v>Analytical Thinking</v>
      </c>
      <c r="C703" t="str">
        <v>Director</v>
      </c>
      <c r="D703" s="76">
        <v>1</v>
      </c>
      <c r="E703" t="str" cm="1">
        <f t="array" ref="E703">INDEX(aspek!$D$2:$D$337,
   MATCH(1,(aspek!$A$2:$A$337=B703)*
           (aspek!$B$2:$B$337=C703)*
           (aspek!$C$2:$C$337=D703),0))</f>
        <v>Memberi arah saat arah belum ada</v>
      </c>
      <c r="F703" s="76">
        <v>2</v>
      </c>
      <c r="G703" s="56" t="str" cm="1">
        <f t="array" ref="G703">INDEX(deskripsi!$D$2:$H$337,
   MATCH(1,(deskripsi!$A$2:$A$337=B703)*
           (deskripsi!$B$2:$B$337=C703)*
           (deskripsi!$C$2:$C$337=D703),0),
   F703)</f>
        <v>Meneruskan ketidakjelasan apa adanya kepada tim, tanpa menerjemahkannya menjadi pekerjaan.</v>
      </c>
    </row>
    <row r="704" spans="1:7">
      <c r="A704" t="str">
        <f t="shared" si="10"/>
        <v>Analytical Thinking|Director|1|3</v>
      </c>
      <c r="B704" t="str">
        <v>Analytical Thinking</v>
      </c>
      <c r="C704" t="str">
        <v>Director</v>
      </c>
      <c r="D704" s="76">
        <v>1</v>
      </c>
      <c r="E704" t="str" cm="1">
        <f t="array" ref="E704">INDEX(aspek!$D$2:$D$337,
   MATCH(1,(aspek!$A$2:$A$337=B704)*
           (aspek!$B$2:$B$337=C704)*
           (aspek!$C$2:$C$337=D704),0))</f>
        <v>Memberi arah saat arah belum ada</v>
      </c>
      <c r="F704" s="76">
        <v>3</v>
      </c>
      <c r="G704" s="56" t="str" cm="1">
        <f t="array" ref="G704">INDEX(deskripsi!$D$2:$H$337,
   MATCH(1,(deskripsi!$A$2:$A$337=B704)*
           (deskripsi!$B$2:$B$337=C704)*
           (deskripsi!$C$2:$C$337=D704),0),
   F704)</f>
        <v>Memberi arah yang jelas segera setelah kejelasan datang.</v>
      </c>
    </row>
    <row r="705" spans="1:7" ht="42">
      <c r="A705" t="str">
        <f t="shared" si="10"/>
        <v>Analytical Thinking|Director|1|4</v>
      </c>
      <c r="B705" t="str">
        <v>Analytical Thinking</v>
      </c>
      <c r="C705" t="str">
        <v>Director</v>
      </c>
      <c r="D705" s="76">
        <v>1</v>
      </c>
      <c r="E705" t="str" cm="1">
        <f t="array" ref="E705">INDEX(aspek!$D$2:$D$337,
   MATCH(1,(aspek!$A$2:$A$337=B705)*
           (aspek!$B$2:$B$337=C705)*
           (aspek!$C$2:$C$337=D705),0))</f>
        <v>Memberi arah saat arah belum ada</v>
      </c>
      <c r="F705" s="76">
        <v>4</v>
      </c>
      <c r="G705" s="56" t="str" cm="1">
        <f t="array" ref="G705">INDEX(deskripsi!$D$2:$H$337,
   MATCH(1,(deskripsi!$A$2:$A$337=B705)*
           (deskripsi!$B$2:$B$337=C705)*
           (deskripsi!$C$2:$C$337=D705),0),
   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76">
        <v>1</v>
      </c>
      <c r="E706" t="str" cm="1">
        <f t="array" ref="E706">INDEX(aspek!$D$2:$D$337,
   MATCH(1,(aspek!$A$2:$A$337=B706)*
           (aspek!$B$2:$B$337=C706)*
           (aspek!$C$2:$C$337=D706),0))</f>
        <v>Memberi arah saat arah belum ada</v>
      </c>
      <c r="F706" s="76">
        <v>5</v>
      </c>
      <c r="G706" s="56" t="str" cm="1">
        <f t="array" ref="G706">INDEX(deskripsi!$D$2:$H$337,
   MATCH(1,(deskripsi!$A$2:$A$337=B706)*
           (deskripsi!$B$2:$B$337=C706)*
           (deskripsi!$C$2:$C$337=D706),0),
   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76">
        <v>2</v>
      </c>
      <c r="E707" t="str" cm="1">
        <f t="array" ref="E707">INDEX(aspek!$D$2:$D$337,
   MATCH(1,(aspek!$A$2:$A$337=B707)*
           (aspek!$B$2:$B$337=C707)*
           (aspek!$C$2:$C$337=D707),0))</f>
        <v>Menjaga orang lain tetap produktif</v>
      </c>
      <c r="F707" s="76">
        <v>1</v>
      </c>
      <c r="G707" s="56" t="str" cm="1">
        <f t="array" ref="G707">INDEX(deskripsi!$D$2:$H$337,
   MATCH(1,(deskripsi!$A$2:$A$337=B707)*
           (deskripsi!$B$2:$B$337=C707)*
           (deskripsi!$C$2:$C$337=D707),0),
   F707)</f>
        <v>Unit ikut berhenti; produktivitas turun tajam pada periode yang tidak jelas.</v>
      </c>
    </row>
    <row r="708" spans="1:7" ht="28">
      <c r="A708" t="str">
        <f t="shared" si="11"/>
        <v>Analytical Thinking|Director|2|2</v>
      </c>
      <c r="B708" t="str">
        <v>Analytical Thinking</v>
      </c>
      <c r="C708" t="str">
        <v>Director</v>
      </c>
      <c r="D708" s="76">
        <v>2</v>
      </c>
      <c r="E708" t="str" cm="1">
        <f t="array" ref="E708">INDEX(aspek!$D$2:$D$337,
   MATCH(1,(aspek!$A$2:$A$337=B708)*
           (aspek!$B$2:$B$337=C708)*
           (aspek!$C$2:$C$337=D708),0))</f>
        <v>Menjaga orang lain tetap produktif</v>
      </c>
      <c r="F708" s="76">
        <v>2</v>
      </c>
      <c r="G708" s="56" t="str" cm="1">
        <f t="array" ref="G708">INDEX(deskripsi!$D$2:$H$337,
   MATCH(1,(deskripsi!$A$2:$A$337=B708)*
           (deskripsi!$B$2:$B$337=C708)*
           (deskripsi!$C$2:$C$337=D708),0),
   F708)</f>
        <v>Unit tetap mengerjakan rutinitas, tetapi pekerjaan penting tertahan menunggu keputusan.</v>
      </c>
    </row>
    <row r="709" spans="1:7" ht="28">
      <c r="A709" t="str">
        <f t="shared" si="11"/>
        <v>Analytical Thinking|Director|2|3</v>
      </c>
      <c r="B709" t="str">
        <v>Analytical Thinking</v>
      </c>
      <c r="C709" t="str">
        <v>Director</v>
      </c>
      <c r="D709" s="76">
        <v>2</v>
      </c>
      <c r="E709" t="str" cm="1">
        <f t="array" ref="E709">INDEX(aspek!$D$2:$D$337,
   MATCH(1,(aspek!$A$2:$A$337=B709)*
           (aspek!$B$2:$B$337=C709)*
           (aspek!$C$2:$C$337=D709),0))</f>
        <v>Menjaga orang lain tetap produktif</v>
      </c>
      <c r="F709" s="76">
        <v>3</v>
      </c>
      <c r="G709" s="56" t="str" cm="1">
        <f t="array" ref="G709">INDEX(deskripsi!$D$2:$H$337,
   MATCH(1,(deskripsi!$A$2:$A$337=B709)*
           (deskripsi!$B$2:$B$337=C709)*
           (deskripsi!$C$2:$C$337=D709),0),
   F709)</f>
        <v>Unit tetap berjalan karena diberi pekerjaan, meski tanpa penjelasan mengapa.</v>
      </c>
    </row>
    <row r="710" spans="1:7" ht="42">
      <c r="A710" t="str">
        <f t="shared" si="11"/>
        <v>Analytical Thinking|Director|2|4</v>
      </c>
      <c r="B710" t="str">
        <v>Analytical Thinking</v>
      </c>
      <c r="C710" t="str">
        <v>Director</v>
      </c>
      <c r="D710" s="76">
        <v>2</v>
      </c>
      <c r="E710" t="str" cm="1">
        <f t="array" ref="E710">INDEX(aspek!$D$2:$D$337,
   MATCH(1,(aspek!$A$2:$A$337=B710)*
           (aspek!$B$2:$B$337=C710)*
           (aspek!$C$2:$C$337=D710),0))</f>
        <v>Menjaga orang lain tetap produktif</v>
      </c>
      <c r="F710" s="76">
        <v>4</v>
      </c>
      <c r="G710" s="56" t="str" cm="1">
        <f t="array" ref="G710">INDEX(deskripsi!$D$2:$H$337,
   MATCH(1,(deskripsi!$A$2:$A$337=B710)*
           (deskripsi!$B$2:$B$337=C710)*
           (deskripsi!$C$2:$C$337=D710),0),
   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76">
        <v>2</v>
      </c>
      <c r="E711" t="str" cm="1">
        <f t="array" ref="E711">INDEX(aspek!$D$2:$D$337,
   MATCH(1,(aspek!$A$2:$A$337=B711)*
           (aspek!$B$2:$B$337=C711)*
           (aspek!$C$2:$C$337=D711),0))</f>
        <v>Menjaga orang lain tetap produktif</v>
      </c>
      <c r="F711" s="76">
        <v>5</v>
      </c>
      <c r="G711" s="56" t="str" cm="1">
        <f t="array" ref="G711">INDEX(deskripsi!$D$2:$H$337,
   MATCH(1,(deskripsi!$A$2:$A$337=B711)*
           (deskripsi!$B$2:$B$337=C711)*
           (deskripsi!$C$2:$C$337=D711),0),
   F711)</f>
        <v>Fungsi di luar unitnya ikut tetap bergerak karena arah yang ia berikan.</v>
      </c>
    </row>
    <row r="712" spans="1:7" ht="28">
      <c r="A712" t="str">
        <f t="shared" si="11"/>
        <v>Analytical Thinking|Director|3|1</v>
      </c>
      <c r="B712" t="str">
        <v>Analytical Thinking</v>
      </c>
      <c r="C712" t="str">
        <v>Director</v>
      </c>
      <c r="D712" s="76">
        <v>3</v>
      </c>
      <c r="E712" t="str" cm="1">
        <f t="array" ref="E712">INDEX(aspek!$D$2:$D$337,
   MATCH(1,(aspek!$A$2:$A$337=B712)*
           (aspek!$B$2:$B$337=C712)*
           (aspek!$C$2:$C$337=D712),0))</f>
        <v>Mengubah ketidakpastian menjadi peluang</v>
      </c>
      <c r="F712" s="76">
        <v>1</v>
      </c>
      <c r="G712" s="56" t="str" cm="1">
        <f t="array" ref="G712">INDEX(deskripsi!$D$2:$H$337,
   MATCH(1,(deskripsi!$A$2:$A$337=B712)*
           (deskripsi!$B$2:$B$337=C712)*
           (deskripsi!$C$2:$C$337=D712),0),
   F712)</f>
        <v>Membaca ketidakpastian hanya sebagai risiko yang harus ditahan.</v>
      </c>
    </row>
    <row r="713" spans="1:7" ht="28">
      <c r="A713" t="str">
        <f t="shared" si="11"/>
        <v>Analytical Thinking|Director|3|2</v>
      </c>
      <c r="B713" t="str">
        <v>Analytical Thinking</v>
      </c>
      <c r="C713" t="str">
        <v>Director</v>
      </c>
      <c r="D713" s="76">
        <v>3</v>
      </c>
      <c r="E713" t="str" cm="1">
        <f t="array" ref="E713">INDEX(aspek!$D$2:$D$337,
   MATCH(1,(aspek!$A$2:$A$337=B713)*
           (aspek!$B$2:$B$337=C713)*
           (aspek!$C$2:$C$337=D713),0))</f>
        <v>Mengubah ketidakpastian menjadi peluang</v>
      </c>
      <c r="F713" s="76">
        <v>2</v>
      </c>
      <c r="G713" s="56" t="str" cm="1">
        <f t="array" ref="G713">INDEX(deskripsi!$D$2:$H$337,
   MATCH(1,(deskripsi!$A$2:$A$337=B713)*
           (deskripsi!$B$2:$B$337=C713)*
           (deskripsi!$C$2:$C$337=D713),0),
   F713)</f>
        <v>Menyusun rencana mitigasi, tetapi tidak melihat kemungkinan di baliknya.</v>
      </c>
    </row>
    <row r="714" spans="1:7" ht="28">
      <c r="A714" t="str">
        <f t="shared" si="11"/>
        <v>Analytical Thinking|Director|3|3</v>
      </c>
      <c r="B714" t="str">
        <v>Analytical Thinking</v>
      </c>
      <c r="C714" t="str">
        <v>Director</v>
      </c>
      <c r="D714" s="76">
        <v>3</v>
      </c>
      <c r="E714" t="str" cm="1">
        <f t="array" ref="E714">INDEX(aspek!$D$2:$D$337,
   MATCH(1,(aspek!$A$2:$A$337=B714)*
           (aspek!$B$2:$B$337=C714)*
           (aspek!$C$2:$C$337=D714),0))</f>
        <v>Mengubah ketidakpastian menjadi peluang</v>
      </c>
      <c r="F714" s="76">
        <v>3</v>
      </c>
      <c r="G714" s="56" t="str" cm="1">
        <f t="array" ref="G714">INDEX(deskripsi!$D$2:$H$337,
   MATCH(1,(deskripsi!$A$2:$A$337=B714)*
           (deskripsi!$B$2:$B$337=C714)*
           (deskripsi!$C$2:$C$337=D714),0),
   F714)</f>
        <v>Mengenali peluang yang muncul dari perubahan, tetapi tidak menindaklanjutinya.</v>
      </c>
    </row>
    <row r="715" spans="1:7" ht="42">
      <c r="A715" t="str">
        <f t="shared" si="11"/>
        <v>Analytical Thinking|Director|3|4</v>
      </c>
      <c r="B715" t="str">
        <v>Analytical Thinking</v>
      </c>
      <c r="C715" t="str">
        <v>Director</v>
      </c>
      <c r="D715" s="76">
        <v>3</v>
      </c>
      <c r="E715" t="str" cm="1">
        <f t="array" ref="E715">INDEX(aspek!$D$2:$D$337,
   MATCH(1,(aspek!$A$2:$A$337=B715)*
           (aspek!$B$2:$B$337=C715)*
           (aspek!$C$2:$C$337=D715),0))</f>
        <v>Mengubah ketidakpastian menjadi peluang</v>
      </c>
      <c r="F715" s="76">
        <v>4</v>
      </c>
      <c r="G715" s="56" t="str" cm="1">
        <f t="array" ref="G715">INDEX(deskripsi!$D$2:$H$337,
   MATCH(1,(deskripsi!$A$2:$A$337=B715)*
           (deskripsi!$B$2:$B$337=C715)*
           (deskripsi!$C$2:$C$337=D715),0),
   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76">
        <v>3</v>
      </c>
      <c r="E716" t="str" cm="1">
        <f t="array" ref="E716">INDEX(aspek!$D$2:$D$337,
   MATCH(1,(aspek!$A$2:$A$337=B716)*
           (aspek!$B$2:$B$337=C716)*
           (aspek!$C$2:$C$337=D716),0))</f>
        <v>Mengubah ketidakpastian menjadi peluang</v>
      </c>
      <c r="F716" s="76">
        <v>5</v>
      </c>
      <c r="G716" s="56" t="str" cm="1">
        <f t="array" ref="G716">INDEX(deskripsi!$D$2:$H$337,
   MATCH(1,(deskripsi!$A$2:$A$337=B716)*
           (deskripsi!$B$2:$B$337=C716)*
           (deskripsi!$C$2:$C$337=D716),0),
   F716)</f>
        <v>Organisasi memperoleh posisi yang lebih baik justru karena periode ketidakpastian itu.</v>
      </c>
    </row>
    <row r="717" spans="1:7" ht="28">
      <c r="A717" t="str">
        <f t="shared" si="11"/>
        <v>Analytical Thinking|Director|4|1</v>
      </c>
      <c r="B717" t="str">
        <v>Analytical Thinking</v>
      </c>
      <c r="C717" t="str">
        <v>Director</v>
      </c>
      <c r="D717" s="76">
        <v>4</v>
      </c>
      <c r="E717" t="str" cm="1">
        <f t="array" ref="E717">INDEX(aspek!$D$2:$D$337,
   MATCH(1,(aspek!$A$2:$A$337=B717)*
           (aspek!$B$2:$B$337=C717)*
           (aspek!$C$2:$C$337=D717),0))</f>
        <v>Model analisa yang dipakai orang lain</v>
      </c>
      <c r="F717" s="76">
        <v>1</v>
      </c>
      <c r="G717" s="56" t="str" cm="1">
        <f t="array" ref="G717">INDEX(deskripsi!$D$2:$H$337,
   MATCH(1,(deskripsi!$A$2:$A$337=B717)*
           (deskripsi!$B$2:$B$337=C717)*
           (deskripsi!$C$2:$C$337=D717),0),
   F717)</f>
        <v>Tidak memiliki kerangka; setiap persoalan kompleks ditangani menurut kebiasaan.</v>
      </c>
    </row>
    <row r="718" spans="1:7" ht="28">
      <c r="A718" t="str">
        <f t="shared" si="11"/>
        <v>Analytical Thinking|Director|4|2</v>
      </c>
      <c r="B718" t="str">
        <v>Analytical Thinking</v>
      </c>
      <c r="C718" t="str">
        <v>Director</v>
      </c>
      <c r="D718" s="76">
        <v>4</v>
      </c>
      <c r="E718" t="str" cm="1">
        <f t="array" ref="E718">INDEX(aspek!$D$2:$D$337,
   MATCH(1,(aspek!$A$2:$A$337=B718)*
           (aspek!$B$2:$B$337=C718)*
           (aspek!$C$2:$C$337=D718),0))</f>
        <v>Model analisa yang dipakai orang lain</v>
      </c>
      <c r="F718" s="76">
        <v>2</v>
      </c>
      <c r="G718" s="56" t="str" cm="1">
        <f t="array" ref="G718">INDEX(deskripsi!$D$2:$H$337,
   MATCH(1,(deskripsi!$A$2:$A$337=B718)*
           (deskripsi!$B$2:$B$337=C718)*
           (deskripsi!$C$2:$C$337=D718),0),
   F718)</f>
        <v>Memakai kerangka yang sudah ada tanpa menyesuaikannya dengan persoalan organisasi.</v>
      </c>
    </row>
    <row r="719" spans="1:7" ht="28">
      <c r="A719" t="str">
        <f t="shared" si="11"/>
        <v>Analytical Thinking|Director|4|3</v>
      </c>
      <c r="B719" t="str">
        <v>Analytical Thinking</v>
      </c>
      <c r="C719" t="str">
        <v>Director</v>
      </c>
      <c r="D719" s="76">
        <v>4</v>
      </c>
      <c r="E719" t="str" cm="1">
        <f t="array" ref="E719">INDEX(aspek!$D$2:$D$337,
   MATCH(1,(aspek!$A$2:$A$337=B719)*
           (aspek!$B$2:$B$337=C719)*
           (aspek!$C$2:$C$337=D719),0))</f>
        <v>Model analisa yang dipakai orang lain</v>
      </c>
      <c r="F719" s="76">
        <v>3</v>
      </c>
      <c r="G719" s="56" t="str" cm="1">
        <f t="array" ref="G719">INDEX(deskripsi!$D$2:$H$337,
   MATCH(1,(deskripsi!$A$2:$A$337=B719)*
           (deskripsi!$B$2:$B$337=C719)*
           (deskripsi!$C$2:$C$337=D719),0),
   F719)</f>
        <v>Menyusun kerangka analisa sendiri dan memakainya untuk keputusannya sendiri.</v>
      </c>
    </row>
    <row r="720" spans="1:7" ht="42">
      <c r="A720" t="str">
        <f t="shared" si="11"/>
        <v>Analytical Thinking|Director|4|4</v>
      </c>
      <c r="B720" t="str">
        <v>Analytical Thinking</v>
      </c>
      <c r="C720" t="str">
        <v>Director</v>
      </c>
      <c r="D720" s="76">
        <v>4</v>
      </c>
      <c r="E720" t="str" cm="1">
        <f t="array" ref="E720">INDEX(aspek!$D$2:$D$337,
   MATCH(1,(aspek!$A$2:$A$337=B720)*
           (aspek!$B$2:$B$337=C720)*
           (aspek!$C$2:$C$337=D720),0))</f>
        <v>Model analisa yang dipakai orang lain</v>
      </c>
      <c r="F720" s="76">
        <v>4</v>
      </c>
      <c r="G720" s="56" t="str" cm="1">
        <f t="array" ref="G720">INDEX(deskripsi!$D$2:$H$337,
   MATCH(1,(deskripsi!$A$2:$A$337=B720)*
           (deskripsi!$B$2:$B$337=C720)*
           (deskripsi!$C$2:$C$337=D720),0),
   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76">
        <v>4</v>
      </c>
      <c r="E721" t="str" cm="1">
        <f t="array" ref="E721">INDEX(aspek!$D$2:$D$337,
   MATCH(1,(aspek!$A$2:$A$337=B721)*
           (aspek!$B$2:$B$337=C721)*
           (aspek!$C$2:$C$337=D721),0))</f>
        <v>Model analisa yang dipakai orang lain</v>
      </c>
      <c r="F721" s="76">
        <v>5</v>
      </c>
      <c r="G721" s="56" t="str" cm="1">
        <f t="array" ref="G721">INDEX(deskripsi!$D$2:$H$337,
   MATCH(1,(deskripsi!$A$2:$A$337=B721)*
           (deskripsi!$B$2:$B$337=C721)*
           (deskripsi!$C$2:$C$337=D721),0),
   F721)</f>
        <v>Modelnya menjadi cara baku organisasi menangani persoalan sejenis.</v>
      </c>
    </row>
    <row r="722" spans="1:7" ht="28">
      <c r="A722" t="str">
        <f t="shared" si="11"/>
        <v>Managing Change|Officer|1|1</v>
      </c>
      <c r="B722" t="str">
        <v>Managing Change</v>
      </c>
      <c r="C722" t="str">
        <v>Officer</v>
      </c>
      <c r="D722" s="76">
        <v>1</v>
      </c>
      <c r="E722" t="str" cm="1">
        <f t="array" ref="E722">INDEX(aspek!$D$2:$D$337,
   MATCH(1,(aspek!$A$2:$A$337=B722)*
           (aspek!$B$2:$B$337=C722)*
           (aspek!$C$2:$C$337=D722),0))</f>
        <v>Kecepatan menguasai</v>
      </c>
      <c r="F722" s="76">
        <v>1</v>
      </c>
      <c r="G722" s="56" t="str" cm="1">
        <f t="array" ref="G722">INDEX(deskripsi!$D$2:$H$337,
   MATCH(1,(deskripsi!$A$2:$A$337=B722)*
           (deskripsi!$B$2:$B$337=C722)*
           (deskripsi!$C$2:$C$337=D722),0),
   F722)</f>
        <v>Belum dapat memakai sistem atau prosedur baru meski sudah lama diperkenalkan.</v>
      </c>
    </row>
    <row r="723" spans="1:7" ht="28">
      <c r="A723" t="str">
        <f t="shared" si="11"/>
        <v>Managing Change|Officer|1|2</v>
      </c>
      <c r="B723" t="str">
        <v>Managing Change</v>
      </c>
      <c r="C723" t="str">
        <v>Officer</v>
      </c>
      <c r="D723" s="76">
        <v>1</v>
      </c>
      <c r="E723" t="str" cm="1">
        <f t="array" ref="E723">INDEX(aspek!$D$2:$D$337,
   MATCH(1,(aspek!$A$2:$A$337=B723)*
           (aspek!$B$2:$B$337=C723)*
           (aspek!$C$2:$C$337=D723),0))</f>
        <v>Kecepatan menguasai</v>
      </c>
      <c r="F723" s="76">
        <v>2</v>
      </c>
      <c r="G723" s="56" t="str" cm="1">
        <f t="array" ref="G723">INDEX(deskripsi!$D$2:$H$337,
   MATCH(1,(deskripsi!$A$2:$A$337=B723)*
           (deskripsi!$B$2:$B$337=C723)*
           (deskripsi!$C$2:$C$337=D723),0),
   F723)</f>
        <v>Dapat memakai setelah dibimbing langkah demi langkah, dan masih sering bertanya.</v>
      </c>
    </row>
    <row r="724" spans="1:7">
      <c r="A724" t="str">
        <f t="shared" si="11"/>
        <v>Managing Change|Officer|1|3</v>
      </c>
      <c r="B724" t="str">
        <v>Managing Change</v>
      </c>
      <c r="C724" t="str">
        <v>Officer</v>
      </c>
      <c r="D724" s="76">
        <v>1</v>
      </c>
      <c r="E724" t="str" cm="1">
        <f t="array" ref="E724">INDEX(aspek!$D$2:$D$337,
   MATCH(1,(aspek!$A$2:$A$337=B724)*
           (aspek!$B$2:$B$337=C724)*
           (aspek!$C$2:$C$337=D724),0))</f>
        <v>Kecepatan menguasai</v>
      </c>
      <c r="F724" s="76">
        <v>3</v>
      </c>
      <c r="G724" s="56" t="str" cm="1">
        <f t="array" ref="G724">INDEX(deskripsi!$D$2:$H$337,
   MATCH(1,(deskripsi!$A$2:$A$337=B724)*
           (deskripsi!$B$2:$B$337=C724)*
           (deskripsi!$C$2:$C$337=D724),0),
   F724)</f>
        <v>Menguasai dalam waktu yang wajar dengan bantuan sesekali.</v>
      </c>
    </row>
    <row r="725" spans="1:7" ht="42">
      <c r="A725" t="str">
        <f t="shared" si="11"/>
        <v>Managing Change|Officer|1|4</v>
      </c>
      <c r="B725" t="str">
        <v>Managing Change</v>
      </c>
      <c r="C725" t="str">
        <v>Officer</v>
      </c>
      <c r="D725" s="76">
        <v>1</v>
      </c>
      <c r="E725" t="str" cm="1">
        <f t="array" ref="E725">INDEX(aspek!$D$2:$D$337,
   MATCH(1,(aspek!$A$2:$A$337=B725)*
           (aspek!$B$2:$B$337=C725)*
           (aspek!$C$2:$C$337=D725),0))</f>
        <v>Kecepatan menguasai</v>
      </c>
      <c r="F725" s="76">
        <v>4</v>
      </c>
      <c r="G725" s="56" t="str" cm="1">
        <f t="array" ref="G725">INDEX(deskripsi!$D$2:$H$337,
   MATCH(1,(deskripsi!$A$2:$A$337=B725)*
           (deskripsi!$B$2:$B$337=C725)*
           (deskripsi!$C$2:$C$337=D725),0),
   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76">
        <v>1</v>
      </c>
      <c r="E726" t="str" cm="1">
        <f t="array" ref="E726">INDEX(aspek!$D$2:$D$337,
   MATCH(1,(aspek!$A$2:$A$337=B726)*
           (aspek!$B$2:$B$337=C726)*
           (aspek!$C$2:$C$337=D726),0))</f>
        <v>Kecepatan menguasai</v>
      </c>
      <c r="F726" s="76">
        <v>5</v>
      </c>
      <c r="G726" s="56" t="str" cm="1">
        <f t="array" ref="G726">INDEX(deskripsi!$D$2:$H$337,
   MATCH(1,(deskripsi!$A$2:$A$337=B726)*
           (deskripsi!$B$2:$B$337=C726)*
           (deskripsi!$C$2:$C$337=D726),0),
   F726)</f>
        <v>Menjadi orang pertama yang menguasai dan menjadi tempat bertanya rekan.</v>
      </c>
    </row>
    <row r="727" spans="1:7" ht="28">
      <c r="A727" t="str">
        <f t="shared" si="11"/>
        <v>Managing Change|Officer|2|1</v>
      </c>
      <c r="B727" t="str">
        <v>Managing Change</v>
      </c>
      <c r="C727" t="str">
        <v>Officer</v>
      </c>
      <c r="D727" s="76">
        <v>2</v>
      </c>
      <c r="E727" t="str" cm="1">
        <f t="array" ref="E727">INDEX(aspek!$D$2:$D$337,
   MATCH(1,(aspek!$A$2:$A$337=B727)*
           (aspek!$B$2:$B$337=C727)*
           (aspek!$C$2:$C$337=D727),0))</f>
        <v>Kemandirian mempelajari</v>
      </c>
      <c r="F727" s="76">
        <v>1</v>
      </c>
      <c r="G727" s="56" t="str" cm="1">
        <f t="array" ref="G727">INDEX(deskripsi!$D$2:$H$337,
   MATCH(1,(deskripsi!$A$2:$A$337=B727)*
           (deskripsi!$B$2:$B$337=C727)*
           (deskripsi!$C$2:$C$337=D727),0),
   F727)</f>
        <v>Menunggu diajari; tidak mencoba sebelum ada yang menunjukkan.</v>
      </c>
    </row>
    <row r="728" spans="1:7" ht="28">
      <c r="A728" t="str">
        <f t="shared" si="11"/>
        <v>Managing Change|Officer|2|2</v>
      </c>
      <c r="B728" t="str">
        <v>Managing Change</v>
      </c>
      <c r="C728" t="str">
        <v>Officer</v>
      </c>
      <c r="D728" s="76">
        <v>2</v>
      </c>
      <c r="E728" t="str" cm="1">
        <f t="array" ref="E728">INDEX(aspek!$D$2:$D$337,
   MATCH(1,(aspek!$A$2:$A$337=B728)*
           (aspek!$B$2:$B$337=C728)*
           (aspek!$C$2:$C$337=D728),0))</f>
        <v>Kemandirian mempelajari</v>
      </c>
      <c r="F728" s="76">
        <v>2</v>
      </c>
      <c r="G728" s="56" t="str" cm="1">
        <f t="array" ref="G728">INDEX(deskripsi!$D$2:$H$337,
   MATCH(1,(deskripsi!$A$2:$A$337=B728)*
           (deskripsi!$B$2:$B$337=C728)*
           (deskripsi!$C$2:$C$337=D728),0),
   F728)</f>
        <v>Mencoba setelah diberi panduan lengkap, tetapi berhenti pada kendala pertama.</v>
      </c>
    </row>
    <row r="729" spans="1:7" ht="28">
      <c r="A729" t="str">
        <f t="shared" si="11"/>
        <v>Managing Change|Officer|2|3</v>
      </c>
      <c r="B729" t="str">
        <v>Managing Change</v>
      </c>
      <c r="C729" t="str">
        <v>Officer</v>
      </c>
      <c r="D729" s="76">
        <v>2</v>
      </c>
      <c r="E729" t="str" cm="1">
        <f t="array" ref="E729">INDEX(aspek!$D$2:$D$337,
   MATCH(1,(aspek!$A$2:$A$337=B729)*
           (aspek!$B$2:$B$337=C729)*
           (aspek!$C$2:$C$337=D729),0))</f>
        <v>Kemandirian mempelajari</v>
      </c>
      <c r="F729" s="76">
        <v>3</v>
      </c>
      <c r="G729" s="56" t="str" cm="1">
        <f t="array" ref="G729">INDEX(deskripsi!$D$2:$H$337,
   MATCH(1,(deskripsi!$A$2:$A$337=B729)*
           (deskripsi!$B$2:$B$337=C729)*
           (deskripsi!$C$2:$C$337=D729),0),
   F729)</f>
        <v>Membaca panduan dan mencoba sendiri, bertanya ketika menemui kendala.</v>
      </c>
    </row>
    <row r="730" spans="1:7" ht="42">
      <c r="A730" t="str">
        <f t="shared" si="11"/>
        <v>Managing Change|Officer|2|4</v>
      </c>
      <c r="B730" t="str">
        <v>Managing Change</v>
      </c>
      <c r="C730" t="str">
        <v>Officer</v>
      </c>
      <c r="D730" s="76">
        <v>2</v>
      </c>
      <c r="E730" t="str" cm="1">
        <f t="array" ref="E730">INDEX(aspek!$D$2:$D$337,
   MATCH(1,(aspek!$A$2:$A$337=B730)*
           (aspek!$B$2:$B$337=C730)*
           (aspek!$C$2:$C$337=D730),0))</f>
        <v>Kemandirian mempelajari</v>
      </c>
      <c r="F730" s="76">
        <v>4</v>
      </c>
      <c r="G730" s="56" t="str" cm="1">
        <f t="array" ref="G730">INDEX(deskripsi!$D$2:$H$337,
   MATCH(1,(deskripsi!$A$2:$A$337=B730)*
           (deskripsi!$B$2:$B$337=C730)*
           (deskripsi!$C$2:$C$337=D730),0),
   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76">
        <v>2</v>
      </c>
      <c r="E731" t="str" cm="1">
        <f t="array" ref="E731">INDEX(aspek!$D$2:$D$337,
   MATCH(1,(aspek!$A$2:$A$337=B731)*
           (aspek!$B$2:$B$337=C731)*
           (aspek!$C$2:$C$337=D731),0))</f>
        <v>Kemandirian mempelajari</v>
      </c>
      <c r="F731" s="76">
        <v>5</v>
      </c>
      <c r="G731" s="56" t="str" cm="1">
        <f t="array" ref="G731">INDEX(deskripsi!$D$2:$H$337,
   MATCH(1,(deskripsi!$A$2:$A$337=B731)*
           (deskripsi!$B$2:$B$337=C731)*
           (deskripsi!$C$2:$C$337=D731),0),
   F731)</f>
        <v>Membuat catatan langkahnya sendiri yang kemudian dipakai orang lain.</v>
      </c>
    </row>
    <row r="732" spans="1:7">
      <c r="A732" t="str">
        <f t="shared" si="11"/>
        <v>Managing Change|Officer|3|1</v>
      </c>
      <c r="B732" t="str">
        <v>Managing Change</v>
      </c>
      <c r="C732" t="str">
        <v>Officer</v>
      </c>
      <c r="D732" s="76">
        <v>3</v>
      </c>
      <c r="E732" t="str" cm="1">
        <f t="array" ref="E732">INDEX(aspek!$D$2:$D$337,
   MATCH(1,(aspek!$A$2:$A$337=B732)*
           (aspek!$B$2:$B$337=C732)*
           (aspek!$C$2:$C$337=D732),0))</f>
        <v xml:space="preserve">Melepaskan kebiasaan lama </v>
      </c>
      <c r="F732" s="76">
        <v>1</v>
      </c>
      <c r="G732" s="56" t="str" cm="1">
        <f t="array" ref="G732">INDEX(deskripsi!$D$2:$H$337,
   MATCH(1,(deskripsi!$A$2:$A$337=B732)*
           (deskripsi!$B$2:$B$337=C732)*
           (deskripsi!$C$2:$C$337=D732),0),
   F732)</f>
        <v>Terus memakai cara lama meski cara baru sudah berlaku.</v>
      </c>
    </row>
    <row r="733" spans="1:7" ht="28">
      <c r="A733" t="str">
        <f t="shared" si="11"/>
        <v>Managing Change|Officer|3|2</v>
      </c>
      <c r="B733" t="str">
        <v>Managing Change</v>
      </c>
      <c r="C733" t="str">
        <v>Officer</v>
      </c>
      <c r="D733" s="76">
        <v>3</v>
      </c>
      <c r="E733" t="str" cm="1">
        <f t="array" ref="E733">INDEX(aspek!$D$2:$D$337,
   MATCH(1,(aspek!$A$2:$A$337=B733)*
           (aspek!$B$2:$B$337=C733)*
           (aspek!$C$2:$C$337=D733),0))</f>
        <v xml:space="preserve">Melepaskan kebiasaan lama </v>
      </c>
      <c r="F733" s="76">
        <v>2</v>
      </c>
      <c r="G733" s="56" t="str" cm="1">
        <f t="array" ref="G733">INDEX(deskripsi!$D$2:$H$337,
   MATCH(1,(deskripsi!$A$2:$A$337=B733)*
           (deskripsi!$B$2:$B$337=C733)*
           (deskripsi!$C$2:$C$337=D733),0),
   F733)</f>
        <v>Memakai cara baru ketika diawasi, kembali ke cara lama ketika tidak.</v>
      </c>
    </row>
    <row r="734" spans="1:7" ht="28">
      <c r="A734" t="str">
        <f t="shared" si="11"/>
        <v>Managing Change|Officer|3|3</v>
      </c>
      <c r="B734" t="str">
        <v>Managing Change</v>
      </c>
      <c r="C734" t="str">
        <v>Officer</v>
      </c>
      <c r="D734" s="76">
        <v>3</v>
      </c>
      <c r="E734" t="str" cm="1">
        <f t="array" ref="E734">INDEX(aspek!$D$2:$D$337,
   MATCH(1,(aspek!$A$2:$A$337=B734)*
           (aspek!$B$2:$B$337=C734)*
           (aspek!$C$2:$C$337=D734),0))</f>
        <v xml:space="preserve">Melepaskan kebiasaan lama </v>
      </c>
      <c r="F734" s="76">
        <v>3</v>
      </c>
      <c r="G734" s="56" t="str" cm="1">
        <f t="array" ref="G734">INDEX(deskripsi!$D$2:$H$337,
   MATCH(1,(deskripsi!$A$2:$A$337=B734)*
           (deskripsi!$B$2:$B$337=C734)*
           (deskripsi!$C$2:$C$337=D734),0),
   F734)</f>
        <v>Memakai cara baru sebagian besar waktu, kembali ke cara lama ketika sedang sibuk atau tertekan.</v>
      </c>
    </row>
    <row r="735" spans="1:7" ht="42">
      <c r="A735" t="str">
        <f t="shared" si="11"/>
        <v>Managing Change|Officer|3|4</v>
      </c>
      <c r="B735" t="str">
        <v>Managing Change</v>
      </c>
      <c r="C735" t="str">
        <v>Officer</v>
      </c>
      <c r="D735" s="76">
        <v>3</v>
      </c>
      <c r="E735" t="str" cm="1">
        <f t="array" ref="E735">INDEX(aspek!$D$2:$D$337,
   MATCH(1,(aspek!$A$2:$A$337=B735)*
           (aspek!$B$2:$B$337=C735)*
           (aspek!$C$2:$C$337=D735),0))</f>
        <v xml:space="preserve">Melepaskan kebiasaan lama </v>
      </c>
      <c r="F735" s="76">
        <v>4</v>
      </c>
      <c r="G735" s="56" t="str" cm="1">
        <f t="array" ref="G735">INDEX(deskripsi!$D$2:$H$337,
   MATCH(1,(deskripsi!$A$2:$A$337=B735)*
           (deskripsi!$B$2:$B$337=C735)*
           (deskripsi!$C$2:$C$337=D735),0),
   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76">
        <v>3</v>
      </c>
      <c r="E736" t="str" cm="1">
        <f t="array" ref="E736">INDEX(aspek!$D$2:$D$337,
   MATCH(1,(aspek!$A$2:$A$337=B736)*
           (aspek!$B$2:$B$337=C736)*
           (aspek!$C$2:$C$337=D736),0))</f>
        <v xml:space="preserve">Melepaskan kebiasaan lama </v>
      </c>
      <c r="F736" s="76">
        <v>5</v>
      </c>
      <c r="G736" s="56" t="str" cm="1">
        <f t="array" ref="G736">INDEX(deskripsi!$D$2:$H$337,
   MATCH(1,(deskripsi!$A$2:$A$337=B736)*
           (deskripsi!$B$2:$B$337=C736)*
           (deskripsi!$C$2:$C$337=D736),0),
   F736)</f>
        <v>Membantu rekan menyadari ketika mereka kembali ke cara lama.</v>
      </c>
    </row>
    <row r="737" spans="1:7" ht="28">
      <c r="A737" t="str">
        <f t="shared" si="11"/>
        <v>Managing Change|Officer|4|1</v>
      </c>
      <c r="B737" t="str">
        <v>Managing Change</v>
      </c>
      <c r="C737" t="str">
        <v>Officer</v>
      </c>
      <c r="D737" s="76">
        <v>4</v>
      </c>
      <c r="E737" t="str" cm="1">
        <f t="array" ref="E737">INDEX(aspek!$D$2:$D$337,
   MATCH(1,(aspek!$A$2:$A$337=B737)*
           (aspek!$B$2:$B$337=C737)*
           (aspek!$C$2:$C$337=D737),0))</f>
        <v>Kecepatan membentuk kebiasaan baru</v>
      </c>
      <c r="F737" s="76">
        <v>1</v>
      </c>
      <c r="G737" s="56" t="str" cm="1">
        <f t="array" ref="G737">INDEX(deskripsi!$D$2:$H$337,
   MATCH(1,(deskripsi!$A$2:$A$337=B737)*
           (deskripsi!$B$2:$B$337=C737)*
           (deskripsi!$C$2:$C$337=D737),0),
   F737)</f>
        <v>Cara baru tidak pernah menjadi kebiasaan; selalu terasa asing.</v>
      </c>
    </row>
    <row r="738" spans="1:7">
      <c r="A738" t="str">
        <f t="shared" si="11"/>
        <v>Managing Change|Officer|4|2</v>
      </c>
      <c r="B738" t="str">
        <v>Managing Change</v>
      </c>
      <c r="C738" t="str">
        <v>Officer</v>
      </c>
      <c r="D738" s="76">
        <v>4</v>
      </c>
      <c r="E738" t="str" cm="1">
        <f t="array" ref="E738">INDEX(aspek!$D$2:$D$337,
   MATCH(1,(aspek!$A$2:$A$337=B738)*
           (aspek!$B$2:$B$337=C738)*
           (aspek!$C$2:$C$337=D738),0))</f>
        <v>Kecepatan membentuk kebiasaan baru</v>
      </c>
      <c r="F738" s="76">
        <v>2</v>
      </c>
      <c r="G738" s="56" t="str" cm="1">
        <f t="array" ref="G738">INDEX(deskripsi!$D$2:$H$337,
   MATCH(1,(deskripsi!$A$2:$A$337=B738)*
           (deskripsi!$B$2:$B$337=C738)*
           (deskripsi!$C$2:$C$337=D738),0),
   F738)</f>
        <v>Perlu waktu sangat lama dan pengingat terus-menerus.</v>
      </c>
    </row>
    <row r="739" spans="1:7">
      <c r="A739" t="str">
        <f t="shared" si="11"/>
        <v>Managing Change|Officer|4|3</v>
      </c>
      <c r="B739" t="str">
        <v>Managing Change</v>
      </c>
      <c r="C739" t="str">
        <v>Officer</v>
      </c>
      <c r="D739" s="76">
        <v>4</v>
      </c>
      <c r="E739" t="str" cm="1">
        <f t="array" ref="E739">INDEX(aspek!$D$2:$D$337,
   MATCH(1,(aspek!$A$2:$A$337=B739)*
           (aspek!$B$2:$B$337=C739)*
           (aspek!$C$2:$C$337=D739),0))</f>
        <v>Kecepatan membentuk kebiasaan baru</v>
      </c>
      <c r="F739" s="76">
        <v>3</v>
      </c>
      <c r="G739" s="56" t="str" cm="1">
        <f t="array" ref="G739">INDEX(deskripsi!$D$2:$H$337,
   MATCH(1,(deskripsi!$A$2:$A$337=B739)*
           (deskripsi!$B$2:$B$337=C739)*
           (deskripsi!$C$2:$C$337=D739),0),
   F739)</f>
        <v>Cara baru menjadi kebiasaan setelah beberapa bulan.</v>
      </c>
    </row>
    <row r="740" spans="1:7" ht="28">
      <c r="A740" t="str">
        <f t="shared" si="11"/>
        <v>Managing Change|Officer|4|4</v>
      </c>
      <c r="B740" t="str">
        <v>Managing Change</v>
      </c>
      <c r="C740" t="str">
        <v>Officer</v>
      </c>
      <c r="D740" s="76">
        <v>4</v>
      </c>
      <c r="E740" t="str" cm="1">
        <f t="array" ref="E740">INDEX(aspek!$D$2:$D$337,
   MATCH(1,(aspek!$A$2:$A$337=B740)*
           (aspek!$B$2:$B$337=C740)*
           (aspek!$C$2:$C$337=D740),0))</f>
        <v>Kecepatan membentuk kebiasaan baru</v>
      </c>
      <c r="F740" s="76">
        <v>4</v>
      </c>
      <c r="G740" s="56" t="str" cm="1">
        <f t="array" ref="G740">INDEX(deskripsi!$D$2:$H$337,
   MATCH(1,(deskripsi!$A$2:$A$337=B740)*
           (deskripsi!$B$2:$B$337=C740)*
           (deskripsi!$C$2:$C$337=D740),0),
   F740)</f>
        <v>Cara baru menjadi wajar dalam hitungan minggu, dan waktu yang dibutuhkan makin pendek pada perubahan berikutnya.</v>
      </c>
    </row>
    <row r="741" spans="1:7" ht="28">
      <c r="A741" t="str">
        <f t="shared" si="11"/>
        <v>Managing Change|Officer|4|5</v>
      </c>
      <c r="B741" t="str">
        <v>Managing Change</v>
      </c>
      <c r="C741" t="str">
        <v>Officer</v>
      </c>
      <c r="D741" s="76">
        <v>4</v>
      </c>
      <c r="E741" t="str" cm="1">
        <f t="array" ref="E741">INDEX(aspek!$D$2:$D$337,
   MATCH(1,(aspek!$A$2:$A$337=B741)*
           (aspek!$B$2:$B$337=C741)*
           (aspek!$C$2:$C$337=D741),0))</f>
        <v>Kecepatan membentuk kebiasaan baru</v>
      </c>
      <c r="F741" s="76">
        <v>5</v>
      </c>
      <c r="G741" s="56" t="str" cm="1">
        <f t="array" ref="G741">INDEX(deskripsi!$D$2:$H$337,
   MATCH(1,(deskripsi!$A$2:$A$337=B741)*
           (deskripsi!$B$2:$B$337=C741)*
           (deskripsi!$C$2:$C$337=D741),0),
   F741)</f>
        <v>Menghadapi cara kerja baru tanpa masa penyesuaian yang berarti.</v>
      </c>
    </row>
    <row r="742" spans="1:7" ht="28">
      <c r="A742" t="str">
        <f t="shared" si="11"/>
        <v>Managing Change|Analyst|1|1</v>
      </c>
      <c r="B742" t="str">
        <v>Managing Change</v>
      </c>
      <c r="C742" t="str">
        <v>Analyst</v>
      </c>
      <c r="D742" s="76">
        <v>1</v>
      </c>
      <c r="E742" t="str" cm="1">
        <f t="array" ref="E742">INDEX(aspek!$D$2:$D$337,
   MATCH(1,(aspek!$A$2:$A$337=B742)*
           (aspek!$B$2:$B$337=C742)*
           (aspek!$C$2:$C$337=D742),0))</f>
        <v>Kecepatan pemulihan produktivitas</v>
      </c>
      <c r="F742" s="76">
        <v>1</v>
      </c>
      <c r="G742" s="56" t="str" cm="1">
        <f t="array" ref="G742">INDEX(deskripsi!$D$2:$H$337,
   MATCH(1,(deskripsi!$A$2:$A$337=B742)*
           (deskripsi!$B$2:$B$337=C742)*
           (deskripsi!$C$2:$C$337=D742),0),
   F742)</f>
        <v>Pekerjaan terhenti cukup lama setelah perubahan mendadak; perlu diarahkan ulang untuk mulai bergerak.</v>
      </c>
    </row>
    <row r="743" spans="1:7" ht="28">
      <c r="A743" t="str">
        <f t="shared" si="11"/>
        <v>Managing Change|Analyst|1|2</v>
      </c>
      <c r="B743" t="str">
        <v>Managing Change</v>
      </c>
      <c r="C743" t="str">
        <v>Analyst</v>
      </c>
      <c r="D743" s="76">
        <v>1</v>
      </c>
      <c r="E743" t="str" cm="1">
        <f t="array" ref="E743">INDEX(aspek!$D$2:$D$337,
   MATCH(1,(aspek!$A$2:$A$337=B743)*
           (aspek!$B$2:$B$337=C743)*
           (aspek!$C$2:$C$337=D743),0))</f>
        <v>Kecepatan pemulihan produktivitas</v>
      </c>
      <c r="F743" s="76">
        <v>2</v>
      </c>
      <c r="G743" s="56" t="str" cm="1">
        <f t="array" ref="G743">INDEX(deskripsi!$D$2:$H$337,
   MATCH(1,(deskripsi!$A$2:$A$337=B743)*
           (deskripsi!$B$2:$B$337=C743)*
           (deskripsi!$C$2:$C$337=D743),0),
   F743)</f>
        <v>Kembali bekerja setelah beberapa hari, dengan produktivitas yang belum pulih penuh.</v>
      </c>
    </row>
    <row r="744" spans="1:7" ht="28">
      <c r="A744" t="str">
        <f t="shared" si="11"/>
        <v>Managing Change|Analyst|1|3</v>
      </c>
      <c r="B744" t="str">
        <v>Managing Change</v>
      </c>
      <c r="C744" t="str">
        <v>Analyst</v>
      </c>
      <c r="D744" s="76">
        <v>1</v>
      </c>
      <c r="E744" t="str" cm="1">
        <f t="array" ref="E744">INDEX(aspek!$D$2:$D$337,
   MATCH(1,(aspek!$A$2:$A$337=B744)*
           (aspek!$B$2:$B$337=C744)*
           (aspek!$C$2:$C$337=D744),0))</f>
        <v>Kecepatan pemulihan produktivitas</v>
      </c>
      <c r="F744" s="76">
        <v>3</v>
      </c>
      <c r="G744" s="56" t="str" cm="1">
        <f t="array" ref="G744">INDEX(deskripsi!$D$2:$H$337,
   MATCH(1,(deskripsi!$A$2:$A$337=B744)*
           (deskripsi!$B$2:$B$337=C744)*
           (deskripsi!$C$2:$C$337=D744),0),
   F744)</f>
        <v>Kembali bekerja dalam waktu yang wajar, dengan bantuan atasan menentukan prioritas baru.</v>
      </c>
    </row>
    <row r="745" spans="1:7" ht="42">
      <c r="A745" t="str">
        <f t="shared" si="11"/>
        <v>Managing Change|Analyst|1|4</v>
      </c>
      <c r="B745" t="str">
        <v>Managing Change</v>
      </c>
      <c r="C745" t="str">
        <v>Analyst</v>
      </c>
      <c r="D745" s="76">
        <v>1</v>
      </c>
      <c r="E745" t="str" cm="1">
        <f t="array" ref="E745">INDEX(aspek!$D$2:$D$337,
   MATCH(1,(aspek!$A$2:$A$337=B745)*
           (aspek!$B$2:$B$337=C745)*
           (aspek!$C$2:$C$337=D745),0))</f>
        <v>Kecepatan pemulihan produktivitas</v>
      </c>
      <c r="F745" s="76">
        <v>4</v>
      </c>
      <c r="G745" s="56" t="str" cm="1">
        <f t="array" ref="G745">INDEX(deskripsi!$D$2:$H$337,
   MATCH(1,(deskripsi!$A$2:$A$337=B745)*
           (deskripsi!$B$2:$B$337=C745)*
           (deskripsi!$C$2:$C$337=D745),0),
   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76">
        <v>1</v>
      </c>
      <c r="E746" t="str" cm="1">
        <f t="array" ref="E746">INDEX(aspek!$D$2:$D$337,
   MATCH(1,(aspek!$A$2:$A$337=B746)*
           (aspek!$B$2:$B$337=C746)*
           (aspek!$C$2:$C$337=D746),0))</f>
        <v>Kecepatan pemulihan produktivitas</v>
      </c>
      <c r="F746" s="76">
        <v>5</v>
      </c>
      <c r="G746" s="56" t="str" cm="1">
        <f t="array" ref="G746">INDEX(deskripsi!$D$2:$H$337,
   MATCH(1,(deskripsi!$A$2:$A$337=B746)*
           (deskripsi!$B$2:$B$337=C746)*
           (deskripsi!$C$2:$C$337=D746),0),
   F746)</f>
        <v>Membantu rekan menyusun ulang prioritas mereka sendiri setelah perubahan yang sama.</v>
      </c>
    </row>
    <row r="747" spans="1:7" ht="28">
      <c r="A747" t="str">
        <f t="shared" si="11"/>
        <v>Managing Change|Analyst|2|1</v>
      </c>
      <c r="B747" t="str">
        <v>Managing Change</v>
      </c>
      <c r="C747" t="str">
        <v>Analyst</v>
      </c>
      <c r="D747" s="76">
        <v>2</v>
      </c>
      <c r="E747" t="str" cm="1">
        <f t="array" ref="E747">INDEX(aspek!$D$2:$D$337,
   MATCH(1,(aspek!$A$2:$A$337=B747)*
           (aspek!$B$2:$B$337=C747)*
           (aspek!$C$2:$C$337=D747),0))</f>
        <v>Konsistensi hasil kerja saat berubah</v>
      </c>
      <c r="F747" s="76">
        <v>1</v>
      </c>
      <c r="G747" s="56" t="str" cm="1">
        <f t="array" ref="G747">INDEX(deskripsi!$D$2:$H$337,
   MATCH(1,(deskripsi!$A$2:$A$337=B747)*
           (deskripsi!$B$2:$B$337=C747)*
           (deskripsi!$C$2:$C$337=D747),0),
   F747)</f>
        <v>Mutu dan ketepatan waktu turun tajam setiap kali ada perubahan.</v>
      </c>
    </row>
    <row r="748" spans="1:7" ht="28">
      <c r="A748" t="str">
        <f t="shared" si="11"/>
        <v>Managing Change|Analyst|2|2</v>
      </c>
      <c r="B748" t="str">
        <v>Managing Change</v>
      </c>
      <c r="C748" t="str">
        <v>Analyst</v>
      </c>
      <c r="D748" s="76">
        <v>2</v>
      </c>
      <c r="E748" t="str" cm="1">
        <f t="array" ref="E748">INDEX(aspek!$D$2:$D$337,
   MATCH(1,(aspek!$A$2:$A$337=B748)*
           (aspek!$B$2:$B$337=C748)*
           (aspek!$C$2:$C$337=D748),0))</f>
        <v>Konsistensi hasil kerja saat berubah</v>
      </c>
      <c r="F748" s="76">
        <v>2</v>
      </c>
      <c r="G748" s="56" t="str" cm="1">
        <f t="array" ref="G748">INDEX(deskripsi!$D$2:$H$337,
   MATCH(1,(deskripsi!$A$2:$A$337=B748)*
           (deskripsi!$B$2:$B$337=C748)*
           (deskripsi!$C$2:$C$337=D748),0),
   F748)</f>
        <v>Pekerjaan yang terdampak terbengkalai, termasuk yang sebenarnya masih berlaku.</v>
      </c>
    </row>
    <row r="749" spans="1:7" ht="28">
      <c r="A749" t="str">
        <f t="shared" si="11"/>
        <v>Managing Change|Analyst|2|3</v>
      </c>
      <c r="B749" t="str">
        <v>Managing Change</v>
      </c>
      <c r="C749" t="str">
        <v>Analyst</v>
      </c>
      <c r="D749" s="76">
        <v>2</v>
      </c>
      <c r="E749" t="str" cm="1">
        <f t="array" ref="E749">INDEX(aspek!$D$2:$D$337,
   MATCH(1,(aspek!$A$2:$A$337=B749)*
           (aspek!$B$2:$B$337=C749)*
           (aspek!$C$2:$C$337=D749),0))</f>
        <v>Konsistensi hasil kerja saat berubah</v>
      </c>
      <c r="F749" s="76">
        <v>3</v>
      </c>
      <c r="G749" s="56" t="str" cm="1">
        <f t="array" ref="G749">INDEX(deskripsi!$D$2:$H$337,
   MATCH(1,(deskripsi!$A$2:$A$337=B749)*
           (deskripsi!$B$2:$B$337=C749)*
           (deskripsi!$C$2:$C$337=D749),0),
   F749)</f>
        <v>Menjaga sebagian besar pekerjaan tetap jalan, dengan beberapa komitmen terlewat.</v>
      </c>
    </row>
    <row r="750" spans="1:7" ht="42">
      <c r="A750" t="str">
        <f t="shared" si="11"/>
        <v>Managing Change|Analyst|2|4</v>
      </c>
      <c r="B750" t="str">
        <v>Managing Change</v>
      </c>
      <c r="C750" t="str">
        <v>Analyst</v>
      </c>
      <c r="D750" s="76">
        <v>2</v>
      </c>
      <c r="E750" t="str" cm="1">
        <f t="array" ref="E750">INDEX(aspek!$D$2:$D$337,
   MATCH(1,(aspek!$A$2:$A$337=B750)*
           (aspek!$B$2:$B$337=C750)*
           (aspek!$C$2:$C$337=D750),0))</f>
        <v>Konsistensi hasil kerja saat berubah</v>
      </c>
      <c r="F750" s="76">
        <v>4</v>
      </c>
      <c r="G750" s="56" t="str" cm="1">
        <f t="array" ref="G750">INDEX(deskripsi!$D$2:$H$337,
   MATCH(1,(deskripsi!$A$2:$A$337=B750)*
           (deskripsi!$B$2:$B$337=C750)*
           (deskripsi!$C$2:$C$337=D750),0),
   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76">
        <v>2</v>
      </c>
      <c r="E751" t="str" cm="1">
        <f t="array" ref="E751">INDEX(aspek!$D$2:$D$337,
   MATCH(1,(aspek!$A$2:$A$337=B751)*
           (aspek!$B$2:$B$337=C751)*
           (aspek!$C$2:$C$337=D751),0))</f>
        <v>Konsistensi hasil kerja saat berubah</v>
      </c>
      <c r="F751" s="76">
        <v>5</v>
      </c>
      <c r="G751" s="56" t="str" cm="1">
        <f t="array" ref="G751">INDEX(deskripsi!$D$2:$H$337,
   MATCH(1,(deskripsi!$A$2:$A$337=B751)*
           (deskripsi!$B$2:$B$337=C751)*
           (deskripsi!$C$2:$C$337=D751),0),
   F751)</f>
        <v>Unit tetap berjalan karena ia memilah dan membagikan pekerjaan yang masih berlaku.</v>
      </c>
    </row>
    <row r="752" spans="1:7" ht="28">
      <c r="A752" t="str">
        <f t="shared" si="11"/>
        <v>Managing Change|Analyst|3|1</v>
      </c>
      <c r="B752" t="str">
        <v>Managing Change</v>
      </c>
      <c r="C752" t="str">
        <v>Analyst</v>
      </c>
      <c r="D752" s="76">
        <v>3</v>
      </c>
      <c r="E752" t="str" cm="1">
        <f t="array" ref="E752">INDEX(aspek!$D$2:$D$337,
   MATCH(1,(aspek!$A$2:$A$337=B752)*
           (aspek!$B$2:$B$337=C752)*
           (aspek!$C$2:$C$337=D752),0))</f>
        <v>Kesadaran atas penolakan diri</v>
      </c>
      <c r="F752" s="76">
        <v>1</v>
      </c>
      <c r="G752" s="56" t="str" cm="1">
        <f t="array" ref="G752">INDEX(deskripsi!$D$2:$H$337,
   MATCH(1,(deskripsi!$A$2:$A$337=B752)*
           (deskripsi!$B$2:$B$337=C752)*
           (deskripsi!$C$2:$C$337=D752),0),
   F752)</f>
        <v>Menolak perubahan dan menganggap penolakannya sebagai keberatan yang sepenuhnya objektif.</v>
      </c>
    </row>
    <row r="753" spans="1:7" ht="28">
      <c r="A753" t="str">
        <f t="shared" si="11"/>
        <v>Managing Change|Analyst|3|2</v>
      </c>
      <c r="B753" t="str">
        <v>Managing Change</v>
      </c>
      <c r="C753" t="str">
        <v>Analyst</v>
      </c>
      <c r="D753" s="76">
        <v>3</v>
      </c>
      <c r="E753" t="str" cm="1">
        <f t="array" ref="E753">INDEX(aspek!$D$2:$D$337,
   MATCH(1,(aspek!$A$2:$A$337=B753)*
           (aspek!$B$2:$B$337=C753)*
           (aspek!$C$2:$C$337=D753),0))</f>
        <v>Kesadaran atas penolakan diri</v>
      </c>
      <c r="F753" s="76">
        <v>2</v>
      </c>
      <c r="G753" s="56" t="str" cm="1">
        <f t="array" ref="G753">INDEX(deskripsi!$D$2:$H$337,
   MATCH(1,(deskripsi!$A$2:$A$337=B753)*
           (deskripsi!$B$2:$B$337=C753)*
           (deskripsi!$C$2:$C$337=D753),0),
   F753)</f>
        <v>Menerima di permukaan, tetapi diam-diam kembali ke cara lama tanpa menyadarinya.</v>
      </c>
    </row>
    <row r="754" spans="1:7" ht="28">
      <c r="A754" t="str">
        <f t="shared" si="11"/>
        <v>Managing Change|Analyst|3|3</v>
      </c>
      <c r="B754" t="str">
        <v>Managing Change</v>
      </c>
      <c r="C754" t="str">
        <v>Analyst</v>
      </c>
      <c r="D754" s="76">
        <v>3</v>
      </c>
      <c r="E754" t="str" cm="1">
        <f t="array" ref="E754">INDEX(aspek!$D$2:$D$337,
   MATCH(1,(aspek!$A$2:$A$337=B754)*
           (aspek!$B$2:$B$337=C754)*
           (aspek!$C$2:$C$337=D754),0))</f>
        <v>Kesadaran atas penolakan diri</v>
      </c>
      <c r="F754" s="76">
        <v>3</v>
      </c>
      <c r="G754" s="56" t="str" cm="1">
        <f t="array" ref="G754">INDEX(deskripsi!$D$2:$H$337,
   MATCH(1,(deskripsi!$A$2:$A$337=B754)*
           (deskripsi!$B$2:$B$337=C754)*
           (deskripsi!$C$2:$C$337=D754),0),
   F754)</f>
        <v>Menyadari penolakannya setelah diingatkan orang lain atau setelah kejadian berlalu.</v>
      </c>
    </row>
    <row r="755" spans="1:7" ht="42">
      <c r="A755" t="str">
        <f t="shared" si="11"/>
        <v>Managing Change|Analyst|3|4</v>
      </c>
      <c r="B755" t="str">
        <v>Managing Change</v>
      </c>
      <c r="C755" t="str">
        <v>Analyst</v>
      </c>
      <c r="D755" s="76">
        <v>3</v>
      </c>
      <c r="E755" t="str" cm="1">
        <f t="array" ref="E755">INDEX(aspek!$D$2:$D$337,
   MATCH(1,(aspek!$A$2:$A$337=B755)*
           (aspek!$B$2:$B$337=C755)*
           (aspek!$C$2:$C$337=D755),0))</f>
        <v>Kesadaran atas penolakan diri</v>
      </c>
      <c r="F755" s="76">
        <v>4</v>
      </c>
      <c r="G755" s="56" t="str" cm="1">
        <f t="array" ref="G755">INDEX(deskripsi!$D$2:$H$337,
   MATCH(1,(deskripsi!$A$2:$A$337=B755)*
           (deskripsi!$B$2:$B$337=C755)*
           (deskripsi!$C$2:$C$337=D755),0),
   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76">
        <v>3</v>
      </c>
      <c r="E756" t="str" cm="1">
        <f t="array" ref="E756">INDEX(aspek!$D$2:$D$337,
   MATCH(1,(aspek!$A$2:$A$337=B756)*
           (aspek!$B$2:$B$337=C756)*
           (aspek!$C$2:$C$337=D756),0))</f>
        <v>Kesadaran atas penolakan diri</v>
      </c>
      <c r="F756" s="76">
        <v>5</v>
      </c>
      <c r="G756" s="56" t="str" cm="1">
        <f t="array" ref="G756">INDEX(deskripsi!$D$2:$H$337,
   MATCH(1,(deskripsi!$A$2:$A$337=B756)*
           (deskripsi!$B$2:$B$337=C756)*
           (deskripsi!$C$2:$C$337=D756),0),
   F756)</f>
        <v>Membantu rekan mengenali penolakan mereka sendiri tanpa membuat mereka defensif.</v>
      </c>
    </row>
    <row r="757" spans="1:7" ht="28">
      <c r="A757" t="str">
        <f t="shared" si="11"/>
        <v>Managing Change|Analyst|4|1</v>
      </c>
      <c r="B757" t="str">
        <v>Managing Change</v>
      </c>
      <c r="C757" t="str">
        <v>Analyst</v>
      </c>
      <c r="D757" s="76">
        <v>4</v>
      </c>
      <c r="E757" t="str" cm="1">
        <f t="array" ref="E757">INDEX(aspek!$D$2:$D$337,
   MATCH(1,(aspek!$A$2:$A$337=B757)*
           (aspek!$B$2:$B$337=C757)*
           (aspek!$C$2:$C$337=D757),0))</f>
        <v>Pengelolaan yang konstruktif, bukan penyangkalan</v>
      </c>
      <c r="F757" s="76">
        <v>1</v>
      </c>
      <c r="G757" s="56" t="str" cm="1">
        <f t="array" ref="G757">INDEX(deskripsi!$D$2:$H$337,
   MATCH(1,(deskripsi!$A$2:$A$337=B757)*
           (deskripsi!$B$2:$B$337=C757)*
           (deskripsi!$C$2:$C$337=D757),0),
   F757)</f>
        <v>Menolak secara terbuka dan menghambat, atau menolak secara tersembunyi dengan menunda.</v>
      </c>
    </row>
    <row r="758" spans="1:7" ht="28">
      <c r="A758" t="str">
        <f t="shared" si="11"/>
        <v>Managing Change|Analyst|4|2</v>
      </c>
      <c r="B758" t="str">
        <v>Managing Change</v>
      </c>
      <c r="C758" t="str">
        <v>Analyst</v>
      </c>
      <c r="D758" s="76">
        <v>4</v>
      </c>
      <c r="E758" t="str" cm="1">
        <f t="array" ref="E758">INDEX(aspek!$D$2:$D$337,
   MATCH(1,(aspek!$A$2:$A$337=B758)*
           (aspek!$B$2:$B$337=C758)*
           (aspek!$C$2:$C$337=D758),0))</f>
        <v>Pengelolaan yang konstruktif, bukan penyangkalan</v>
      </c>
      <c r="F758" s="76">
        <v>2</v>
      </c>
      <c r="G758" s="56" t="str" cm="1">
        <f t="array" ref="G758">INDEX(deskripsi!$D$2:$H$337,
   MATCH(1,(deskripsi!$A$2:$A$337=B758)*
           (deskripsi!$B$2:$B$337=C758)*
           (deskripsi!$C$2:$C$337=D758),0),
   F758)</f>
        <v>Menyatakan menerima tetapi tidak menjalankan; keberatan baru muncul setelah perubahan gagal.</v>
      </c>
    </row>
    <row r="759" spans="1:7" ht="28">
      <c r="A759" t="str">
        <f t="shared" si="11"/>
        <v>Managing Change|Analyst|4|3</v>
      </c>
      <c r="B759" t="str">
        <v>Managing Change</v>
      </c>
      <c r="C759" t="str">
        <v>Analyst</v>
      </c>
      <c r="D759" s="76">
        <v>4</v>
      </c>
      <c r="E759" t="str" cm="1">
        <f t="array" ref="E759">INDEX(aspek!$D$2:$D$337,
   MATCH(1,(aspek!$A$2:$A$337=B759)*
           (aspek!$B$2:$B$337=C759)*
           (aspek!$C$2:$C$337=D759),0))</f>
        <v>Pengelolaan yang konstruktif, bukan penyangkalan</v>
      </c>
      <c r="F759" s="76">
        <v>3</v>
      </c>
      <c r="G759" s="56" t="str" cm="1">
        <f t="array" ref="G759">INDEX(deskripsi!$D$2:$H$337,
   MATCH(1,(deskripsi!$A$2:$A$337=B759)*
           (deskripsi!$B$2:$B$337=C759)*
           (deskripsi!$C$2:$C$337=D759),0),
   F759)</f>
        <v>Menjalankan perubahan setelah mendapat penjelasan dan dukungan yang cukup.</v>
      </c>
    </row>
    <row r="760" spans="1:7" ht="56">
      <c r="A760" t="str">
        <f t="shared" si="11"/>
        <v>Managing Change|Analyst|4|4</v>
      </c>
      <c r="B760" t="str">
        <v>Managing Change</v>
      </c>
      <c r="C760" t="str">
        <v>Analyst</v>
      </c>
      <c r="D760" s="76">
        <v>4</v>
      </c>
      <c r="E760" t="str" cm="1">
        <f t="array" ref="E760">INDEX(aspek!$D$2:$D$337,
   MATCH(1,(aspek!$A$2:$A$337=B760)*
           (aspek!$B$2:$B$337=C760)*
           (aspek!$C$2:$C$337=D760),0))</f>
        <v>Pengelolaan yang konstruktif, bukan penyangkalan</v>
      </c>
      <c r="F760" s="76">
        <v>4</v>
      </c>
      <c r="G760" s="56" t="str" cm="1">
        <f t="array" ref="G760">INDEX(deskripsi!$D$2:$H$337,
   MATCH(1,(deskripsi!$A$2:$A$337=B760)*
           (deskripsi!$B$2:$B$337=C760)*
           (deskripsi!$C$2:$C$337=D760),0),
   F760)</f>
        <v>Menyampaikan keberatan secara terbuka SEBELUM keputusan berjalan, lalu menjalankan keputusan final sepenuhnya — termasuk perubahan yang ia sendiri tidak setujui.</v>
      </c>
    </row>
    <row r="761" spans="1:7" ht="28">
      <c r="A761" t="str">
        <f t="shared" si="11"/>
        <v>Managing Change|Analyst|4|5</v>
      </c>
      <c r="B761" t="str">
        <v>Managing Change</v>
      </c>
      <c r="C761" t="str">
        <v>Analyst</v>
      </c>
      <c r="D761" s="76">
        <v>4</v>
      </c>
      <c r="E761" t="str" cm="1">
        <f t="array" ref="E761">INDEX(aspek!$D$2:$D$337,
   MATCH(1,(aspek!$A$2:$A$337=B761)*
           (aspek!$B$2:$B$337=C761)*
           (aspek!$C$2:$C$337=D761),0))</f>
        <v>Pengelolaan yang konstruktif, bukan penyangkalan</v>
      </c>
      <c r="F761" s="76">
        <v>5</v>
      </c>
      <c r="G761" s="56" t="str" cm="1">
        <f t="array" ref="G761">INDEX(deskripsi!$D$2:$H$337,
   MATCH(1,(deskripsi!$A$2:$A$337=B761)*
           (deskripsi!$B$2:$B$337=C761)*
           (deskripsi!$C$2:$C$337=D761),0),
   F761)</f>
        <v>Menjadi orang yang keberatannya dicari karena disampaikan pada waktu yang tepat dan tidak berujung hambatan.</v>
      </c>
    </row>
    <row r="762" spans="1:7">
      <c r="A762" t="str">
        <f t="shared" si="11"/>
        <v>Managing Change|Unit Head/Specialist|1|1</v>
      </c>
      <c r="B762" t="str">
        <v>Managing Change</v>
      </c>
      <c r="C762" t="str">
        <v>Unit Head/Specialist</v>
      </c>
      <c r="D762" s="76">
        <v>1</v>
      </c>
      <c r="E762" t="str" cm="1">
        <f t="array" ref="E762">INDEX(aspek!$D$2:$D$337,
   MATCH(1,(aspek!$A$2:$A$337=B762)*
           (aspek!$B$2:$B$337=C762)*
           (aspek!$C$2:$C$337=D762),0))</f>
        <v>Inisiatif belajar</v>
      </c>
      <c r="F762" s="76">
        <v>1</v>
      </c>
      <c r="G762" s="56" t="str" cm="1">
        <f t="array" ref="G762">INDEX(deskripsi!$D$2:$H$337,
   MATCH(1,(deskripsi!$A$2:$A$337=B762)*
           (deskripsi!$B$2:$B$337=C762)*
           (deskripsi!$C$2:$C$337=D762),0),
   F762)</f>
        <v>Mempelajari hal baru hanya ketika ditugaskan atau diwajibkan.</v>
      </c>
    </row>
    <row r="763" spans="1:7" ht="28">
      <c r="A763" t="str">
        <f t="shared" si="11"/>
        <v>Managing Change|Unit Head/Specialist|1|2</v>
      </c>
      <c r="B763" t="str">
        <v>Managing Change</v>
      </c>
      <c r="C763" t="str">
        <v>Unit Head/Specialist</v>
      </c>
      <c r="D763" s="76">
        <v>1</v>
      </c>
      <c r="E763" t="str" cm="1">
        <f t="array" ref="E763">INDEX(aspek!$D$2:$D$337,
   MATCH(1,(aspek!$A$2:$A$337=B763)*
           (aspek!$B$2:$B$337=C763)*
           (aspek!$C$2:$C$337=D763),0))</f>
        <v>Inisiatif belajar</v>
      </c>
      <c r="F763" s="76">
        <v>2</v>
      </c>
      <c r="G763" s="56" t="str" cm="1">
        <f t="array" ref="G763">INDEX(deskripsi!$D$2:$H$337,
   MATCH(1,(deskripsi!$A$2:$A$337=B763)*
           (deskripsi!$B$2:$B$337=C763)*
           (deskripsi!$C$2:$C$337=D763),0),
   F763)</f>
        <v>Menyadari ada kemampuan yang dituntut, tetapi menunggu disediakan pelatihannya.</v>
      </c>
    </row>
    <row r="764" spans="1:7" ht="28">
      <c r="A764" t="str">
        <f t="shared" si="11"/>
        <v>Managing Change|Unit Head/Specialist|1|3</v>
      </c>
      <c r="B764" t="str">
        <v>Managing Change</v>
      </c>
      <c r="C764" t="str">
        <v>Unit Head/Specialist</v>
      </c>
      <c r="D764" s="76">
        <v>1</v>
      </c>
      <c r="E764" t="str" cm="1">
        <f t="array" ref="E764">INDEX(aspek!$D$2:$D$337,
   MATCH(1,(aspek!$A$2:$A$337=B764)*
           (aspek!$B$2:$B$337=C764)*
           (aspek!$C$2:$C$337=D764),0))</f>
        <v>Inisiatif belajar</v>
      </c>
      <c r="F764" s="76">
        <v>3</v>
      </c>
      <c r="G764" s="56" t="str" cm="1">
        <f t="array" ref="G764">INDEX(deskripsi!$D$2:$H$337,
   MATCH(1,(deskripsi!$A$2:$A$337=B764)*
           (deskripsi!$B$2:$B$337=C764)*
           (deskripsi!$C$2:$C$337=D764),0),
   F764)</f>
        <v>Mencari sendiri cara mempelajarinya setelah diarahkan bahwa itu diperlukan.</v>
      </c>
    </row>
    <row r="765" spans="1:7" ht="42">
      <c r="A765" t="str">
        <f t="shared" si="11"/>
        <v>Managing Change|Unit Head/Specialist|1|4</v>
      </c>
      <c r="B765" t="str">
        <v>Managing Change</v>
      </c>
      <c r="C765" t="str">
        <v>Unit Head/Specialist</v>
      </c>
      <c r="D765" s="76">
        <v>1</v>
      </c>
      <c r="E765" t="str" cm="1">
        <f t="array" ref="E765">INDEX(aspek!$D$2:$D$337,
   MATCH(1,(aspek!$A$2:$A$337=B765)*
           (aspek!$B$2:$B$337=C765)*
           (aspek!$C$2:$C$337=D765),0))</f>
        <v>Inisiatif belajar</v>
      </c>
      <c r="F765" s="76">
        <v>4</v>
      </c>
      <c r="G765" s="56" t="str" cm="1">
        <f t="array" ref="G765">INDEX(deskripsi!$D$2:$H$337,
   MATCH(1,(deskripsi!$A$2:$A$337=B765)*
           (deskripsi!$B$2:$B$337=C765)*
           (deskripsi!$C$2:$C$337=D765),0),
   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76">
        <v>1</v>
      </c>
      <c r="E766" t="str" cm="1">
        <f t="array" ref="E766">INDEX(aspek!$D$2:$D$337,
   MATCH(1,(aspek!$A$2:$A$337=B766)*
           (aspek!$B$2:$B$337=C766)*
           (aspek!$C$2:$C$337=D766),0))</f>
        <v>Inisiatif belajar</v>
      </c>
      <c r="F766" s="76">
        <v>5</v>
      </c>
      <c r="G766" s="56" t="str" cm="1">
        <f t="array" ref="G766">INDEX(deskripsi!$D$2:$H$337,
   MATCH(1,(deskripsi!$A$2:$A$337=B766)*
           (deskripsi!$B$2:$B$337=C766)*
           (deskripsi!$C$2:$C$337=D766),0),
   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76">
        <v>2</v>
      </c>
      <c r="E767" t="str" cm="1">
        <f t="array" ref="E767">INDEX(aspek!$D$2:$D$337,
   MATCH(1,(aspek!$A$2:$A$337=B767)*
           (aspek!$B$2:$B$337=C767)*
           (aspek!$C$2:$C$337=D767),0))</f>
        <v>Kesediaan bereksperimen</v>
      </c>
      <c r="F767" s="76">
        <v>1</v>
      </c>
      <c r="G767" s="56" t="str" cm="1">
        <f t="array" ref="G767">INDEX(deskripsi!$D$2:$H$337,
   MATCH(1,(deskripsi!$A$2:$A$337=B767)*
           (deskripsi!$B$2:$B$337=C767)*
           (deskripsi!$C$2:$C$337=D767),0),
   F767)</f>
        <v>Tidak mencoba pendekatan baru pada pekerjaan; bertahan pada cara yang sudah pasti berhasil.</v>
      </c>
    </row>
    <row r="768" spans="1:7" ht="28">
      <c r="A768" t="str">
        <f t="shared" si="11"/>
        <v>Managing Change|Unit Head/Specialist|2|2</v>
      </c>
      <c r="B768" t="str">
        <v>Managing Change</v>
      </c>
      <c r="C768" t="str">
        <v>Unit Head/Specialist</v>
      </c>
      <c r="D768" s="76">
        <v>2</v>
      </c>
      <c r="E768" t="str" cm="1">
        <f t="array" ref="E768">INDEX(aspek!$D$2:$D$337,
   MATCH(1,(aspek!$A$2:$A$337=B768)*
           (aspek!$B$2:$B$337=C768)*
           (aspek!$C$2:$C$337=D768),0))</f>
        <v>Kesediaan bereksperimen</v>
      </c>
      <c r="F768" s="76">
        <v>2</v>
      </c>
      <c r="G768" s="56" t="str" cm="1">
        <f t="array" ref="G768">INDEX(deskripsi!$D$2:$H$337,
   MATCH(1,(deskripsi!$A$2:$A$337=B768)*
           (deskripsi!$B$2:$B$337=C768)*
           (deskripsi!$C$2:$C$337=D768),0),
   F768)</f>
        <v>Membahas pendekatan baru tetapi tidak pernah mengujinya pada pekerjaan nyata.</v>
      </c>
    </row>
    <row r="769" spans="1:7" ht="28">
      <c r="A769" t="str">
        <f t="shared" si="11"/>
        <v>Managing Change|Unit Head/Specialist|2|3</v>
      </c>
      <c r="B769" t="str">
        <v>Managing Change</v>
      </c>
      <c r="C769" t="str">
        <v>Unit Head/Specialist</v>
      </c>
      <c r="D769" s="76">
        <v>2</v>
      </c>
      <c r="E769" t="str" cm="1">
        <f t="array" ref="E769">INDEX(aspek!$D$2:$D$337,
   MATCH(1,(aspek!$A$2:$A$337=B769)*
           (aspek!$B$2:$B$337=C769)*
           (aspek!$C$2:$C$337=D769),0))</f>
        <v>Kesediaan bereksperimen</v>
      </c>
      <c r="F769" s="76">
        <v>3</v>
      </c>
      <c r="G769" s="56" t="str" cm="1">
        <f t="array" ref="G769">INDEX(deskripsi!$D$2:$H$337,
   MATCH(1,(deskripsi!$A$2:$A$337=B769)*
           (deskripsi!$B$2:$B$337=C769)*
           (deskripsi!$C$2:$C$337=D769),0),
   F769)</f>
        <v>Mencoba pendekatan baru ketika cara lama sudah jelas gagal.</v>
      </c>
    </row>
    <row r="770" spans="1:7" ht="42">
      <c r="A770" t="str">
        <f t="shared" si="11"/>
        <v>Managing Change|Unit Head/Specialist|2|4</v>
      </c>
      <c r="B770" t="str">
        <v>Managing Change</v>
      </c>
      <c r="C770" t="str">
        <v>Unit Head/Specialist</v>
      </c>
      <c r="D770" s="76">
        <v>2</v>
      </c>
      <c r="E770" t="str" cm="1">
        <f t="array" ref="E770">INDEX(aspek!$D$2:$D$337,
   MATCH(1,(aspek!$A$2:$A$337=B770)*
           (aspek!$B$2:$B$337=C770)*
           (aspek!$C$2:$C$337=D770),0))</f>
        <v>Kesediaan bereksperimen</v>
      </c>
      <c r="F770" s="76">
        <v>4</v>
      </c>
      <c r="G770" s="56" t="str" cm="1">
        <f t="array" ref="G770">INDEX(deskripsi!$D$2:$H$337,
   MATCH(1,(deskripsi!$A$2:$A$337=B770)*
           (deskripsi!$B$2:$B$337=C770)*
           (deskripsi!$C$2:$C$337=D770),0),
   F770)</f>
        <v>Menguji pendekatan baru pada skala kecil secara berkala, dengan ukuran dan batas waktu yang ditetapkan di muka, dan melaporkan hasil yang gagal secara terbuka.</v>
      </c>
    </row>
    <row r="771" spans="1:7" ht="28">
      <c r="A771" t="str">
        <f t="shared" ref="A771:A834" si="12">B771&amp;"|"&amp;C771&amp;"|"&amp;D771&amp;"|"&amp;F771</f>
        <v>Managing Change|Unit Head/Specialist|2|5</v>
      </c>
      <c r="B771" t="str">
        <v>Managing Change</v>
      </c>
      <c r="C771" t="str">
        <v>Unit Head/Specialist</v>
      </c>
      <c r="D771" s="76">
        <v>2</v>
      </c>
      <c r="E771" t="str" cm="1">
        <f t="array" ref="E771">INDEX(aspek!$D$2:$D$337,
   MATCH(1,(aspek!$A$2:$A$337=B771)*
           (aspek!$B$2:$B$337=C771)*
           (aspek!$C$2:$C$337=D771),0))</f>
        <v>Kesediaan bereksperimen</v>
      </c>
      <c r="F771" s="76">
        <v>5</v>
      </c>
      <c r="G771" s="56" t="str" cm="1">
        <f t="array" ref="G771">INDEX(deskripsi!$D$2:$H$337,
   MATCH(1,(deskripsi!$A$2:$A$337=B771)*
           (deskripsi!$B$2:$B$337=C771)*
           (deskripsi!$C$2:$C$337=D771),0),
   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76">
        <v>3</v>
      </c>
      <c r="E772" t="str" cm="1">
        <f t="array" ref="E772">INDEX(aspek!$D$2:$D$337,
   MATCH(1,(aspek!$A$2:$A$337=B772)*
           (aspek!$B$2:$B$337=C772)*
           (aspek!$C$2:$C$337=D772),0))</f>
        <v>Pembelajaran lintas bidang</v>
      </c>
      <c r="F772" s="76">
        <v>1</v>
      </c>
      <c r="G772" s="56" t="str" cm="1">
        <f t="array" ref="G772">INDEX(deskripsi!$D$2:$H$337,
   MATCH(1,(deskripsi!$A$2:$A$337=B772)*
           (deskripsi!$B$2:$B$337=C772)*
           (deskripsi!$C$2:$C$337=D772),0),
   F772)</f>
        <v>Hanya mempelajari hal yang berasal dari bidang dan fungsinya sendiri.</v>
      </c>
    </row>
    <row r="773" spans="1:7" ht="28">
      <c r="A773" t="str">
        <f t="shared" si="12"/>
        <v>Managing Change|Unit Head/Specialist|3|2</v>
      </c>
      <c r="B773" t="str">
        <v>Managing Change</v>
      </c>
      <c r="C773" t="str">
        <v>Unit Head/Specialist</v>
      </c>
      <c r="D773" s="76">
        <v>3</v>
      </c>
      <c r="E773" t="str" cm="1">
        <f t="array" ref="E773">INDEX(aspek!$D$2:$D$337,
   MATCH(1,(aspek!$A$2:$A$337=B773)*
           (aspek!$B$2:$B$337=C773)*
           (aspek!$C$2:$C$337=D773),0))</f>
        <v>Pembelajaran lintas bidang</v>
      </c>
      <c r="F773" s="76">
        <v>2</v>
      </c>
      <c r="G773" s="56" t="str" cm="1">
        <f t="array" ref="G773">INDEX(deskripsi!$D$2:$H$337,
   MATCH(1,(deskripsi!$A$2:$A$337=B773)*
           (deskripsi!$B$2:$B$337=C773)*
           (deskripsi!$C$2:$C$337=D773),0),
   F773)</f>
        <v>Mengetahui praktik fungsi lain, tetapi menganggapnya tidak berlaku di tempatnya.</v>
      </c>
    </row>
    <row r="774" spans="1:7">
      <c r="A774" t="str">
        <f t="shared" si="12"/>
        <v>Managing Change|Unit Head/Specialist|3|3</v>
      </c>
      <c r="B774" t="str">
        <v>Managing Change</v>
      </c>
      <c r="C774" t="str">
        <v>Unit Head/Specialist</v>
      </c>
      <c r="D774" s="76">
        <v>3</v>
      </c>
      <c r="E774" t="str" cm="1">
        <f t="array" ref="E774">INDEX(aspek!$D$2:$D$337,
   MATCH(1,(aspek!$A$2:$A$337=B774)*
           (aspek!$B$2:$B$337=C774)*
           (aspek!$C$2:$C$337=D774),0))</f>
        <v>Pembelajaran lintas bidang</v>
      </c>
      <c r="F774" s="76">
        <v>3</v>
      </c>
      <c r="G774" s="56" t="str" cm="1">
        <f t="array" ref="G774">INDEX(deskripsi!$D$2:$H$337,
   MATCH(1,(deskripsi!$A$2:$A$337=B774)*
           (deskripsi!$B$2:$B$337=C774)*
           (deskripsi!$C$2:$C$337=D774),0),
   F774)</f>
        <v>Mengadopsi praktik dari fungsi lain di perusahaan yang sama.</v>
      </c>
    </row>
    <row r="775" spans="1:7" ht="42">
      <c r="A775" t="str">
        <f t="shared" si="12"/>
        <v>Managing Change|Unit Head/Specialist|3|4</v>
      </c>
      <c r="B775" t="str">
        <v>Managing Change</v>
      </c>
      <c r="C775" t="str">
        <v>Unit Head/Specialist</v>
      </c>
      <c r="D775" s="76">
        <v>3</v>
      </c>
      <c r="E775" t="str" cm="1">
        <f t="array" ref="E775">INDEX(aspek!$D$2:$D$337,
   MATCH(1,(aspek!$A$2:$A$337=B775)*
           (aspek!$B$2:$B$337=C775)*
           (aspek!$C$2:$C$337=D775),0))</f>
        <v>Pembelajaran lintas bidang</v>
      </c>
      <c r="F775" s="76">
        <v>4</v>
      </c>
      <c r="G775" s="56" t="str" cm="1">
        <f t="array" ref="G775">INDEX(deskripsi!$D$2:$H$337,
   MATCH(1,(deskripsi!$A$2:$A$337=B775)*
           (deskripsi!$B$2:$B$337=C775)*
           (deskripsi!$C$2:$C$337=D775),0),
   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76">
        <v>3</v>
      </c>
      <c r="E776" t="str" cm="1">
        <f t="array" ref="E776">INDEX(aspek!$D$2:$D$337,
   MATCH(1,(aspek!$A$2:$A$337=B776)*
           (aspek!$B$2:$B$337=C776)*
           (aspek!$C$2:$C$337=D776),0))</f>
        <v>Pembelajaran lintas bidang</v>
      </c>
      <c r="F776" s="76">
        <v>5</v>
      </c>
      <c r="G776" s="56" t="str" cm="1">
        <f t="array" ref="G776">INDEX(deskripsi!$D$2:$H$337,
   MATCH(1,(deskripsi!$A$2:$A$337=B776)*
           (deskripsi!$B$2:$B$337=C776)*
           (deskripsi!$C$2:$C$337=D776),0),
   F776)</f>
        <v>Menjadi sumber pendekatan baru bagi unitnya, yang berasal dari luar kebiasaan perusahaan.</v>
      </c>
    </row>
    <row r="777" spans="1:7">
      <c r="A777" t="str">
        <f t="shared" si="12"/>
        <v>Managing Change|Unit Head/Specialist|4|1</v>
      </c>
      <c r="B777" t="str">
        <v>Managing Change</v>
      </c>
      <c r="C777" t="str">
        <v>Unit Head/Specialist</v>
      </c>
      <c r="D777" s="76">
        <v>4</v>
      </c>
      <c r="E777" t="str" cm="1">
        <f t="array" ref="E777">INDEX(aspek!$D$2:$D$337,
   MATCH(1,(aspek!$A$2:$A$337=B777)*
           (aspek!$B$2:$B$337=C777)*
           (aspek!$C$2:$C$337=D777),0))</f>
        <v>Penerapan pada solusi kerja</v>
      </c>
      <c r="F777" s="76">
        <v>1</v>
      </c>
      <c r="G777" s="56" t="str" cm="1">
        <f t="array" ref="G777">INDEX(deskripsi!$D$2:$H$337,
   MATCH(1,(deskripsi!$A$2:$A$337=B777)*
           (deskripsi!$B$2:$B$337=C777)*
           (deskripsi!$C$2:$C$337=D777),0),
   F777)</f>
        <v>Hal yang dipelajari tidak pernah masuk ke pekerjaan.</v>
      </c>
    </row>
    <row r="778" spans="1:7" ht="28">
      <c r="A778" t="str">
        <f t="shared" si="12"/>
        <v>Managing Change|Unit Head/Specialist|4|2</v>
      </c>
      <c r="B778" t="str">
        <v>Managing Change</v>
      </c>
      <c r="C778" t="str">
        <v>Unit Head/Specialist</v>
      </c>
      <c r="D778" s="76">
        <v>4</v>
      </c>
      <c r="E778" t="str" cm="1">
        <f t="array" ref="E778">INDEX(aspek!$D$2:$D$337,
   MATCH(1,(aspek!$A$2:$A$337=B778)*
           (aspek!$B$2:$B$337=C778)*
           (aspek!$C$2:$C$337=D778),0))</f>
        <v>Penerapan pada solusi kerja</v>
      </c>
      <c r="F778" s="76">
        <v>2</v>
      </c>
      <c r="G778" s="56" t="str" cm="1">
        <f t="array" ref="G778">INDEX(deskripsi!$D$2:$H$337,
   MATCH(1,(deskripsi!$A$2:$A$337=B778)*
           (deskripsi!$B$2:$B$337=C778)*
           (deskripsi!$C$2:$C$337=D778),0),
   F778)</f>
        <v>Menghasilkan sertifikat dan ringkasan, tanpa jejak pada cara kerja.</v>
      </c>
    </row>
    <row r="779" spans="1:7" ht="28">
      <c r="A779" t="str">
        <f t="shared" si="12"/>
        <v>Managing Change|Unit Head/Specialist|4|3</v>
      </c>
      <c r="B779" t="str">
        <v>Managing Change</v>
      </c>
      <c r="C779" t="str">
        <v>Unit Head/Specialist</v>
      </c>
      <c r="D779" s="76">
        <v>4</v>
      </c>
      <c r="E779" t="str" cm="1">
        <f t="array" ref="E779">INDEX(aspek!$D$2:$D$337,
   MATCH(1,(aspek!$A$2:$A$337=B779)*
           (aspek!$B$2:$B$337=C779)*
           (aspek!$C$2:$C$337=D779),0))</f>
        <v>Penerapan pada solusi kerja</v>
      </c>
      <c r="F779" s="76">
        <v>3</v>
      </c>
      <c r="G779" s="56" t="str" cm="1">
        <f t="array" ref="G779">INDEX(deskripsi!$D$2:$H$337,
   MATCH(1,(deskripsi!$A$2:$A$337=B779)*
           (deskripsi!$B$2:$B$337=C779)*
           (deskripsi!$C$2:$C$337=D779),0),
   F779)</f>
        <v>Menerapkan sebagian dari yang dipelajari ketika ada kesempatan.</v>
      </c>
    </row>
    <row r="780" spans="1:7" ht="56">
      <c r="A780" t="str">
        <f t="shared" si="12"/>
        <v>Managing Change|Unit Head/Specialist|4|4</v>
      </c>
      <c r="B780" t="str">
        <v>Managing Change</v>
      </c>
      <c r="C780" t="str">
        <v>Unit Head/Specialist</v>
      </c>
      <c r="D780" s="76">
        <v>4</v>
      </c>
      <c r="E780" t="str" cm="1">
        <f t="array" ref="E780">INDEX(aspek!$D$2:$D$337,
   MATCH(1,(aspek!$A$2:$A$337=B780)*
           (aspek!$B$2:$B$337=C780)*
           (aspek!$C$2:$C$337=D780),0))</f>
        <v>Penerapan pada solusi kerja</v>
      </c>
      <c r="F780" s="76">
        <v>4</v>
      </c>
      <c r="G780" s="56" t="str" cm="1">
        <f t="array" ref="G780">INDEX(deskripsi!$D$2:$H$337,
   MATCH(1,(deskripsi!$A$2:$A$337=B780)*
           (deskripsi!$B$2:$B$337=C780)*
           (deskripsi!$C$2:$C$337=D780),0),
   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76">
        <v>4</v>
      </c>
      <c r="E781" t="str" cm="1">
        <f t="array" ref="E781">INDEX(aspek!$D$2:$D$337,
   MATCH(1,(aspek!$A$2:$A$337=B781)*
           (aspek!$B$2:$B$337=C781)*
           (aspek!$C$2:$C$337=D781),0))</f>
        <v>Penerapan pada solusi kerja</v>
      </c>
      <c r="F781" s="76">
        <v>5</v>
      </c>
      <c r="G781" s="56" t="str" cm="1">
        <f t="array" ref="G781">INDEX(deskripsi!$D$2:$H$337,
   MATCH(1,(deskripsi!$A$2:$A$337=B781)*
           (deskripsi!$B$2:$B$337=C781)*
           (deskripsi!$C$2:$C$337=D781),0),
   F781)</f>
        <v>Perubahan cara kerja unit dapat ditelusuri ke hal-hal yang ia pelajari dan uji.</v>
      </c>
    </row>
    <row r="782" spans="1:7" ht="28">
      <c r="A782" t="str">
        <f t="shared" si="12"/>
        <v>Managing Change|Department Head|1|1</v>
      </c>
      <c r="B782" t="str">
        <v>Managing Change</v>
      </c>
      <c r="C782" t="str">
        <v>Department Head</v>
      </c>
      <c r="D782" s="76">
        <v>1</v>
      </c>
      <c r="E782" t="str" cm="1">
        <f t="array" ref="E782">INDEX(aspek!$D$2:$D$337,
   MATCH(1,(aspek!$A$2:$A$337=B782)*
           (aspek!$B$2:$B$337=C782)*
           (aspek!$C$2:$C$337=D782),0))</f>
        <v>Frekuensi mengusulkan</v>
      </c>
      <c r="F782" s="76">
        <v>1</v>
      </c>
      <c r="G782" s="56" t="str" cm="1">
        <f t="array" ref="G782">INDEX(deskripsi!$D$2:$H$337,
   MATCH(1,(deskripsi!$A$2:$A$337=B782)*
           (deskripsi!$B$2:$B$337=C782)*
           (deskripsi!$C$2:$C$337=D782),0),
   F782)</f>
        <v>Tidak mengusulkan perubahan; menjalankan apa yang diarahkan.</v>
      </c>
    </row>
    <row r="783" spans="1:7" ht="28">
      <c r="A783" t="str">
        <f t="shared" si="12"/>
        <v>Managing Change|Department Head|1|2</v>
      </c>
      <c r="B783" t="str">
        <v>Managing Change</v>
      </c>
      <c r="C783" t="str">
        <v>Department Head</v>
      </c>
      <c r="D783" s="76">
        <v>1</v>
      </c>
      <c r="E783" t="str" cm="1">
        <f t="array" ref="E783">INDEX(aspek!$D$2:$D$337,
   MATCH(1,(aspek!$A$2:$A$337=B783)*
           (aspek!$B$2:$B$337=C783)*
           (aspek!$C$2:$C$337=D783),0))</f>
        <v>Frekuensi mengusulkan</v>
      </c>
      <c r="F783" s="76">
        <v>2</v>
      </c>
      <c r="G783" s="56" t="str" cm="1">
        <f t="array" ref="G783">INDEX(deskripsi!$D$2:$H$337,
   MATCH(1,(deskripsi!$A$2:$A$337=B783)*
           (deskripsi!$B$2:$B$337=C783)*
           (deskripsi!$C$2:$C$337=D783),0),
   F783)</f>
        <v>Mengusulkan sesekali, biasanya setelah diminta atau setelah masalah menjadi besar.</v>
      </c>
    </row>
    <row r="784" spans="1:7" ht="28">
      <c r="A784" t="str">
        <f t="shared" si="12"/>
        <v>Managing Change|Department Head|1|3</v>
      </c>
      <c r="B784" t="str">
        <v>Managing Change</v>
      </c>
      <c r="C784" t="str">
        <v>Department Head</v>
      </c>
      <c r="D784" s="76">
        <v>1</v>
      </c>
      <c r="E784" t="str" cm="1">
        <f t="array" ref="E784">INDEX(aspek!$D$2:$D$337,
   MATCH(1,(aspek!$A$2:$A$337=B784)*
           (aspek!$B$2:$B$337=C784)*
           (aspek!$C$2:$C$337=D784),0))</f>
        <v>Frekuensi mengusulkan</v>
      </c>
      <c r="F784" s="76">
        <v>3</v>
      </c>
      <c r="G784" s="56" t="str" cm="1">
        <f t="array" ref="G784">INDEX(deskripsi!$D$2:$H$337,
   MATCH(1,(deskripsi!$A$2:$A$337=B784)*
           (deskripsi!$B$2:$B$337=C784)*
           (deskripsi!$C$2:$C$337=D784),0),
   F784)</f>
        <v>Mengusulkan secara berkala pada hal-hal yang jelas perlu diperbaiki.</v>
      </c>
    </row>
    <row r="785" spans="1:7" ht="28">
      <c r="A785" t="str">
        <f t="shared" si="12"/>
        <v>Managing Change|Department Head|1|4</v>
      </c>
      <c r="B785" t="str">
        <v>Managing Change</v>
      </c>
      <c r="C785" t="str">
        <v>Department Head</v>
      </c>
      <c r="D785" s="76">
        <v>1</v>
      </c>
      <c r="E785" t="str" cm="1">
        <f t="array" ref="E785">INDEX(aspek!$D$2:$D$337,
   MATCH(1,(aspek!$A$2:$A$337=B785)*
           (aspek!$B$2:$B$337=C785)*
           (aspek!$C$2:$C$337=D785),0))</f>
        <v>Frekuensi mengusulkan</v>
      </c>
      <c r="F785" s="76">
        <v>4</v>
      </c>
      <c r="G785" s="56" t="str" cm="1">
        <f t="array" ref="G785">INDEX(deskripsi!$D$2:$H$337,
   MATCH(1,(deskripsi!$A$2:$A$337=B785)*
           (deskripsi!$B$2:$B$337=C785)*
           (deskripsi!$C$2:$C$337=D785),0),
   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76">
        <v>1</v>
      </c>
      <c r="E786" t="str" cm="1">
        <f t="array" ref="E786">INDEX(aspek!$D$2:$D$337,
   MATCH(1,(aspek!$A$2:$A$337=B786)*
           (aspek!$B$2:$B$337=C786)*
           (aspek!$C$2:$C$337=D786),0))</f>
        <v>Frekuensi mengusulkan</v>
      </c>
      <c r="F786" s="76">
        <v>5</v>
      </c>
      <c r="G786" s="56" t="str" cm="1">
        <f t="array" ref="G786">INDEX(deskripsi!$D$2:$H$337,
   MATCH(1,(deskripsi!$A$2:$A$337=B786)*
           (deskripsi!$B$2:$B$337=C786)*
           (deskripsi!$C$2:$C$337=D786),0),
   F786)</f>
        <v>Usulannya dicari pimpinan sebelum sebuah keputusan diambil.</v>
      </c>
    </row>
    <row r="787" spans="1:7" ht="28">
      <c r="A787" t="str">
        <f t="shared" si="12"/>
        <v>Managing Change|Department Head|2|1</v>
      </c>
      <c r="B787" t="str">
        <v>Managing Change</v>
      </c>
      <c r="C787" t="str">
        <v>Department Head</v>
      </c>
      <c r="D787" s="76">
        <v>2</v>
      </c>
      <c r="E787" t="str" cm="1">
        <f t="array" ref="E787">INDEX(aspek!$D$2:$D$337,
   MATCH(1,(aspek!$A$2:$A$337=B787)*
           (aspek!$B$2:$B$337=C787)*
           (aspek!$C$2:$C$337=D787),0))</f>
        <v>Relevansi dan realisme usulan</v>
      </c>
      <c r="F787" s="76">
        <v>1</v>
      </c>
      <c r="G787" s="56" t="str" cm="1">
        <f t="array" ref="G787">INDEX(deskripsi!$D$2:$H$337,
   MATCH(1,(deskripsi!$A$2:$A$337=B787)*
           (deskripsi!$B$2:$B$337=C787)*
           (deskripsi!$C$2:$C$337=D787),0),
   F787)</f>
        <v>Usulan tidak berkaitan dengan persoalan nyata, atau tidak mungkin dijalankan.</v>
      </c>
    </row>
    <row r="788" spans="1:7" ht="28">
      <c r="A788" t="str">
        <f t="shared" si="12"/>
        <v>Managing Change|Department Head|2|2</v>
      </c>
      <c r="B788" t="str">
        <v>Managing Change</v>
      </c>
      <c r="C788" t="str">
        <v>Department Head</v>
      </c>
      <c r="D788" s="76">
        <v>2</v>
      </c>
      <c r="E788" t="str" cm="1">
        <f t="array" ref="E788">INDEX(aspek!$D$2:$D$337,
   MATCH(1,(aspek!$A$2:$A$337=B788)*
           (aspek!$B$2:$B$337=C788)*
           (aspek!$C$2:$C$337=D788),0))</f>
        <v>Relevansi dan realisme usulan</v>
      </c>
      <c r="F788" s="76">
        <v>2</v>
      </c>
      <c r="G788" s="56" t="str" cm="1">
        <f t="array" ref="G788">INDEX(deskripsi!$D$2:$H$337,
   MATCH(1,(deskripsi!$A$2:$A$337=B788)*
           (deskripsi!$B$2:$B$337=C788)*
           (deskripsi!$C$2:$C$337=D788),0),
   F788)</f>
        <v>Usulan relevan tetapi mengabaikan keterbatasan sumber daya dan waktu.</v>
      </c>
    </row>
    <row r="789" spans="1:7" ht="28">
      <c r="A789" t="str">
        <f t="shared" si="12"/>
        <v>Managing Change|Department Head|2|3</v>
      </c>
      <c r="B789" t="str">
        <v>Managing Change</v>
      </c>
      <c r="C789" t="str">
        <v>Department Head</v>
      </c>
      <c r="D789" s="76">
        <v>2</v>
      </c>
      <c r="E789" t="str" cm="1">
        <f t="array" ref="E789">INDEX(aspek!$D$2:$D$337,
   MATCH(1,(aspek!$A$2:$A$337=B789)*
           (aspek!$B$2:$B$337=C789)*
           (aspek!$C$2:$C$337=D789),0))</f>
        <v>Relevansi dan realisme usulan</v>
      </c>
      <c r="F789" s="76">
        <v>3</v>
      </c>
      <c r="G789" s="56" t="str" cm="1">
        <f t="array" ref="G789">INDEX(deskripsi!$D$2:$H$337,
   MATCH(1,(deskripsi!$A$2:$A$337=B789)*
           (deskripsi!$B$2:$B$337=C789)*
           (deskripsi!$C$2:$C$337=D789),0),
   F789)</f>
        <v>Usulan relevan dan umumnya dapat dijalankan, meski perlu banyak perbaikan.</v>
      </c>
    </row>
    <row r="790" spans="1:7" ht="42">
      <c r="A790" t="str">
        <f t="shared" si="12"/>
        <v>Managing Change|Department Head|2|4</v>
      </c>
      <c r="B790" t="str">
        <v>Managing Change</v>
      </c>
      <c r="C790" t="str">
        <v>Department Head</v>
      </c>
      <c r="D790" s="76">
        <v>2</v>
      </c>
      <c r="E790" t="str" cm="1">
        <f t="array" ref="E790">INDEX(aspek!$D$2:$D$337,
   MATCH(1,(aspek!$A$2:$A$337=B790)*
           (aspek!$B$2:$B$337=C790)*
           (aspek!$C$2:$C$337=D790),0))</f>
        <v>Relevansi dan realisme usulan</v>
      </c>
      <c r="F790" s="76">
        <v>4</v>
      </c>
      <c r="G790" s="56" t="str" cm="1">
        <f t="array" ref="G790">INDEX(deskripsi!$D$2:$H$337,
   MATCH(1,(deskripsi!$A$2:$A$337=B790)*
           (deskripsi!$B$2:$B$337=C790)*
           (deskripsi!$C$2:$C$337=D790),0),
   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76">
        <v>2</v>
      </c>
      <c r="E791" t="str" cm="1">
        <f t="array" ref="E791">INDEX(aspek!$D$2:$D$337,
   MATCH(1,(aspek!$A$2:$A$337=B791)*
           (aspek!$B$2:$B$337=C791)*
           (aspek!$C$2:$C$337=D791),0))</f>
        <v>Relevansi dan realisme usulan</v>
      </c>
      <c r="F791" s="76">
        <v>5</v>
      </c>
      <c r="G791" s="56" t="str" cm="1">
        <f t="array" ref="G791">INDEX(deskripsi!$D$2:$H$337,
   MATCH(1,(deskripsi!$A$2:$A$337=B791)*
           (deskripsi!$B$2:$B$337=C791)*
           (deskripsi!$C$2:$C$337=D791),0),
   F791)</f>
        <v>Usulannya dipakai sebagai contoh cara menyusun usulan di unit lain.</v>
      </c>
    </row>
    <row r="792" spans="1:7" ht="28">
      <c r="A792" t="str">
        <f t="shared" si="12"/>
        <v>Managing Change|Department Head|3|1</v>
      </c>
      <c r="B792" t="str">
        <v>Managing Change</v>
      </c>
      <c r="C792" t="str">
        <v>Department Head</v>
      </c>
      <c r="D792" s="76">
        <v>3</v>
      </c>
      <c r="E792" t="str" cm="1">
        <f t="array" ref="E792">INDEX(aspek!$D$2:$D$337,
   MATCH(1,(aspek!$A$2:$A$337=B792)*
           (aspek!$B$2:$B$337=C792)*
           (aspek!$C$2:$C$337=D792),0))</f>
        <v>Memperjuangkan sampai dijalankan</v>
      </c>
      <c r="F792" s="76">
        <v>1</v>
      </c>
      <c r="G792" s="56" t="str" cm="1">
        <f t="array" ref="G792">INDEX(deskripsi!$D$2:$H$337,
   MATCH(1,(deskripsi!$A$2:$A$337=B792)*
           (deskripsi!$B$2:$B$337=C792)*
           (deskripsi!$C$2:$C$337=D792),0),
   F792)</f>
        <v>Tidak mengajukan, atau mengajukan sekali lalu tidak menindaklanjuti.</v>
      </c>
    </row>
    <row r="793" spans="1:7" ht="28">
      <c r="A793" t="str">
        <f t="shared" si="12"/>
        <v>Managing Change|Department Head|3|2</v>
      </c>
      <c r="B793" t="str">
        <v>Managing Change</v>
      </c>
      <c r="C793" t="str">
        <v>Department Head</v>
      </c>
      <c r="D793" s="76">
        <v>3</v>
      </c>
      <c r="E793" t="str" cm="1">
        <f t="array" ref="E793">INDEX(aspek!$D$2:$D$337,
   MATCH(1,(aspek!$A$2:$A$337=B793)*
           (aspek!$B$2:$B$337=C793)*
           (aspek!$C$2:$C$337=D793),0))</f>
        <v>Memperjuangkan sampai dijalankan</v>
      </c>
      <c r="F793" s="76">
        <v>2</v>
      </c>
      <c r="G793" s="56" t="str" cm="1">
        <f t="array" ref="G793">INDEX(deskripsi!$D$2:$H$337,
   MATCH(1,(deskripsi!$A$2:$A$337=B793)*
           (deskripsi!$B$2:$B$337=C793)*
           (deskripsi!$C$2:$C$337=D793),0),
   F793)</f>
        <v>Berhenti pada penolakan pertama dan menganggap usulannya tidak dikehendaki.</v>
      </c>
    </row>
    <row r="794" spans="1:7" ht="28">
      <c r="A794" t="str">
        <f t="shared" si="12"/>
        <v>Managing Change|Department Head|3|3</v>
      </c>
      <c r="B794" t="str">
        <v>Managing Change</v>
      </c>
      <c r="C794" t="str">
        <v>Department Head</v>
      </c>
      <c r="D794" s="76">
        <v>3</v>
      </c>
      <c r="E794" t="str" cm="1">
        <f t="array" ref="E794">INDEX(aspek!$D$2:$D$337,
   MATCH(1,(aspek!$A$2:$A$337=B794)*
           (aspek!$B$2:$B$337=C794)*
           (aspek!$C$2:$C$337=D794),0))</f>
        <v>Memperjuangkan sampai dijalankan</v>
      </c>
      <c r="F794" s="76">
        <v>3</v>
      </c>
      <c r="G794" s="56" t="str" cm="1">
        <f t="array" ref="G794">INDEX(deskripsi!$D$2:$H$337,
   MATCH(1,(deskripsi!$A$2:$A$337=B794)*
           (deskripsi!$B$2:$B$337=C794)*
           (deskripsi!$C$2:$C$337=D794),0),
   F794)</f>
        <v>Mengajukan kembali setelah ditolak, dengan isi yang kurang lebih sama.</v>
      </c>
    </row>
    <row r="795" spans="1:7" ht="56">
      <c r="A795" t="str">
        <f t="shared" si="12"/>
        <v>Managing Change|Department Head|3|4</v>
      </c>
      <c r="B795" t="str">
        <v>Managing Change</v>
      </c>
      <c r="C795" t="str">
        <v>Department Head</v>
      </c>
      <c r="D795" s="76">
        <v>3</v>
      </c>
      <c r="E795" t="str" cm="1">
        <f t="array" ref="E795">INDEX(aspek!$D$2:$D$337,
   MATCH(1,(aspek!$A$2:$A$337=B795)*
           (aspek!$B$2:$B$337=C795)*
           (aspek!$C$2:$C$337=D795),0))</f>
        <v>Memperjuangkan sampai dijalankan</v>
      </c>
      <c r="F795" s="76">
        <v>4</v>
      </c>
      <c r="G795" s="56" t="str" cm="1">
        <f t="array" ref="G795">INDEX(deskripsi!$D$2:$H$337,
   MATCH(1,(deskripsi!$A$2:$A$337=B795)*
           (deskripsi!$B$2:$B$337=C795)*
           (deskripsi!$C$2:$C$337=D795),0),
   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76">
        <v>3</v>
      </c>
      <c r="E796" t="str" cm="1">
        <f t="array" ref="E796">INDEX(aspek!$D$2:$D$337,
   MATCH(1,(aspek!$A$2:$A$337=B796)*
           (aspek!$B$2:$B$337=C796)*
           (aspek!$C$2:$C$337=D796),0))</f>
        <v>Memperjuangkan sampai dijalankan</v>
      </c>
      <c r="F796" s="76">
        <v>5</v>
      </c>
      <c r="G796" s="56" t="str" cm="1">
        <f t="array" ref="G796">INDEX(deskripsi!$D$2:$H$337,
   MATCH(1,(deskripsi!$A$2:$A$337=B796)*
           (deskripsi!$B$2:$B$337=C796)*
           (deskripsi!$C$2:$C$337=D796),0),
   F796)</f>
        <v>Perubahan yang berjalan di unit dapat ditelusuri ke usulan yang ia perjuangkan.</v>
      </c>
    </row>
    <row r="797" spans="1:7" ht="28">
      <c r="A797" t="str">
        <f t="shared" si="12"/>
        <v>Managing Change|Department Head|4|1</v>
      </c>
      <c r="B797" t="str">
        <v>Managing Change</v>
      </c>
      <c r="C797" t="str">
        <v>Department Head</v>
      </c>
      <c r="D797" s="76">
        <v>4</v>
      </c>
      <c r="E797" t="str" cm="1">
        <f t="array" ref="E797">INDEX(aspek!$D$2:$D$337,
   MATCH(1,(aspek!$A$2:$A$337=B797)*
           (aspek!$B$2:$B$337=C797)*
           (aspek!$C$2:$C$337=D797),0))</f>
        <v>Membaca keberatan yang tidak diucapkan</v>
      </c>
      <c r="F797" s="76">
        <v>1</v>
      </c>
      <c r="G797" s="56" t="str" cm="1">
        <f t="array" ref="G797">INDEX(deskripsi!$D$2:$H$337,
   MATCH(1,(deskripsi!$A$2:$A$337=B797)*
           (deskripsi!$B$2:$B$337=C797)*
           (deskripsi!$C$2:$C$337=D797),0),
   F797)</f>
        <v>Menganggap tidak ada keberatan karena tidak ada yang menyampaikannya.</v>
      </c>
    </row>
    <row r="798" spans="1:7" ht="28">
      <c r="A798" t="str">
        <f t="shared" si="12"/>
        <v>Managing Change|Department Head|4|2</v>
      </c>
      <c r="B798" t="str">
        <v>Managing Change</v>
      </c>
      <c r="C798" t="str">
        <v>Department Head</v>
      </c>
      <c r="D798" s="76">
        <v>4</v>
      </c>
      <c r="E798" t="str" cm="1">
        <f t="array" ref="E798">INDEX(aspek!$D$2:$D$337,
   MATCH(1,(aspek!$A$2:$A$337=B798)*
           (aspek!$B$2:$B$337=C798)*
           (aspek!$C$2:$C$337=D798),0))</f>
        <v>Membaca keberatan yang tidak diucapkan</v>
      </c>
      <c r="F798" s="76">
        <v>2</v>
      </c>
      <c r="G798" s="56" t="str" cm="1">
        <f t="array" ref="G798">INDEX(deskripsi!$D$2:$H$337,
   MATCH(1,(deskripsi!$A$2:$A$337=B798)*
           (deskripsi!$B$2:$B$337=C798)*
           (deskripsi!$C$2:$C$337=D798),0),
   F798)</f>
        <v>Menyadari ada yang mengganjal, tetapi salah menebak sebabnya.</v>
      </c>
    </row>
    <row r="799" spans="1:7" ht="28">
      <c r="A799" t="str">
        <f t="shared" si="12"/>
        <v>Managing Change|Department Head|4|3</v>
      </c>
      <c r="B799" t="str">
        <v>Managing Change</v>
      </c>
      <c r="C799" t="str">
        <v>Department Head</v>
      </c>
      <c r="D799" s="76">
        <v>4</v>
      </c>
      <c r="E799" t="str" cm="1">
        <f t="array" ref="E799">INDEX(aspek!$D$2:$D$337,
   MATCH(1,(aspek!$A$2:$A$337=B799)*
           (aspek!$B$2:$B$337=C799)*
           (aspek!$C$2:$C$337=D799),0))</f>
        <v>Membaca keberatan yang tidak diucapkan</v>
      </c>
      <c r="F799" s="76">
        <v>3</v>
      </c>
      <c r="G799" s="56" t="str" cm="1">
        <f t="array" ref="G799">INDEX(deskripsi!$D$2:$H$337,
   MATCH(1,(deskripsi!$A$2:$A$337=B799)*
           (deskripsi!$B$2:$B$337=C799)*
           (deskripsi!$C$2:$C$337=D799),0),
   F799)</f>
        <v>Menangkap keberatan yang disampaikan terbuka dan meresponsnya.</v>
      </c>
    </row>
    <row r="800" spans="1:7" ht="56">
      <c r="A800" t="str">
        <f t="shared" si="12"/>
        <v>Managing Change|Department Head|4|4</v>
      </c>
      <c r="B800" t="str">
        <v>Managing Change</v>
      </c>
      <c r="C800" t="str">
        <v>Department Head</v>
      </c>
      <c r="D800" s="76">
        <v>4</v>
      </c>
      <c r="E800" t="str" cm="1">
        <f t="array" ref="E800">INDEX(aspek!$D$2:$D$337,
   MATCH(1,(aspek!$A$2:$A$337=B800)*
           (aspek!$B$2:$B$337=C800)*
           (aspek!$C$2:$C$337=D800),0))</f>
        <v>Membaca keberatan yang tidak diucapkan</v>
      </c>
      <c r="F800" s="76">
        <v>4</v>
      </c>
      <c r="G800" s="56" t="str" cm="1">
        <f t="array" ref="G800">INDEX(deskripsi!$D$2:$H$337,
   MATCH(1,(deskripsi!$A$2:$A$337=B800)*
           (deskripsi!$B$2:$B$337=C800)*
           (deskripsi!$C$2:$C$337=D800),0),
   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76">
        <v>4</v>
      </c>
      <c r="E801" t="str" cm="1">
        <f t="array" ref="E801">INDEX(aspek!$D$2:$D$337,
   MATCH(1,(aspek!$A$2:$A$337=B801)*
           (aspek!$B$2:$B$337=C801)*
           (aspek!$C$2:$C$337=D801),0))</f>
        <v>Membaca keberatan yang tidak diucapkan</v>
      </c>
      <c r="F801" s="76">
        <v>5</v>
      </c>
      <c r="G801" s="56" t="str" cm="1">
        <f t="array" ref="G801">INDEX(deskripsi!$D$2:$H$337,
   MATCH(1,(deskripsi!$A$2:$A$337=B801)*
           (deskripsi!$B$2:$B$337=C801)*
           (deskripsi!$C$2:$C$337=D801),0),
   F801)</f>
        <v>Pihak yang keberatan menyampaikannya langsung kepadanya karena tahu akan didengar.</v>
      </c>
    </row>
    <row r="802" spans="1:7" ht="28">
      <c r="A802" t="str">
        <f t="shared" si="12"/>
        <v>Managing Change|Division Head|1|1</v>
      </c>
      <c r="B802" t="str">
        <v>Managing Change</v>
      </c>
      <c r="C802" t="str">
        <v>Division Head</v>
      </c>
      <c r="D802" s="76">
        <v>1</v>
      </c>
      <c r="E802" t="str" cm="1">
        <f t="array" ref="E802">INDEX(aspek!$D$2:$D$337,
   MATCH(1,(aspek!$A$2:$A$337=B802)*
           (aspek!$B$2:$B$337=C802)*
           (aspek!$C$2:$C$337=D802),0))</f>
        <v>Regulasi diri saat keadaan berubah</v>
      </c>
      <c r="F802" s="76">
        <v>1</v>
      </c>
      <c r="G802" s="56" t="str" cm="1">
        <f t="array" ref="G802">INDEX(deskripsi!$D$2:$H$337,
   MATCH(1,(deskripsi!$A$2:$A$337=B802)*
           (deskripsi!$B$2:$B$337=C802)*
           (deskripsi!$C$2:$C$337=D802),0),
   F802)</f>
        <v>Ikut panik; ketegangannya terlihat jelas dan menular ke sekitarnya.</v>
      </c>
    </row>
    <row r="803" spans="1:7" ht="42">
      <c r="A803" t="str">
        <f t="shared" si="12"/>
        <v>Managing Change|Division Head|1|2</v>
      </c>
      <c r="B803" t="str">
        <v>Managing Change</v>
      </c>
      <c r="C803" t="str">
        <v>Division Head</v>
      </c>
      <c r="D803" s="76">
        <v>1</v>
      </c>
      <c r="E803" t="str" cm="1">
        <f t="array" ref="E803">INDEX(aspek!$D$2:$D$337,
   MATCH(1,(aspek!$A$2:$A$337=B803)*
           (aspek!$B$2:$B$337=C803)*
           (aspek!$C$2:$C$337=D803),0))</f>
        <v>Regulasi diri saat keadaan berubah</v>
      </c>
      <c r="F803" s="76">
        <v>2</v>
      </c>
      <c r="G803" s="56" t="str" cm="1">
        <f t="array" ref="G803">INDEX(deskripsi!$D$2:$H$337,
   MATCH(1,(deskripsi!$A$2:$A$337=B803)*
           (deskripsi!$B$2:$B$337=C803)*
           (deskripsi!$C$2:$C$337=D803),0),
   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76">
        <v>1</v>
      </c>
      <c r="E804" t="str" cm="1">
        <f t="array" ref="E804">INDEX(aspek!$D$2:$D$337,
   MATCH(1,(aspek!$A$2:$A$337=B804)*
           (aspek!$B$2:$B$337=C804)*
           (aspek!$C$2:$C$337=D804),0))</f>
        <v>Regulasi diri saat keadaan berubah</v>
      </c>
      <c r="F804" s="76">
        <v>3</v>
      </c>
      <c r="G804" s="56" t="str" cm="1">
        <f t="array" ref="G804">INDEX(deskripsi!$D$2:$H$337,
   MATCH(1,(deskripsi!$A$2:$A$337=B804)*
           (deskripsi!$B$2:$B$337=C804)*
           (deskripsi!$C$2:$C$337=D804),0),
   F804)</f>
        <v>Tetap tenang dan terkendali pada perubahan yang sudah pernah ia hadapi jenisnya.</v>
      </c>
    </row>
    <row r="805" spans="1:7" ht="42">
      <c r="A805" t="str">
        <f t="shared" si="12"/>
        <v>Managing Change|Division Head|1|4</v>
      </c>
      <c r="B805" t="str">
        <v>Managing Change</v>
      </c>
      <c r="C805" t="str">
        <v>Division Head</v>
      </c>
      <c r="D805" s="76">
        <v>1</v>
      </c>
      <c r="E805" t="str" cm="1">
        <f t="array" ref="E805">INDEX(aspek!$D$2:$D$337,
   MATCH(1,(aspek!$A$2:$A$337=B805)*
           (aspek!$B$2:$B$337=C805)*
           (aspek!$C$2:$C$337=D805),0))</f>
        <v>Regulasi diri saat keadaan berubah</v>
      </c>
      <c r="F805" s="76">
        <v>4</v>
      </c>
      <c r="G805" s="56" t="str" cm="1">
        <f t="array" ref="G805">INDEX(deskripsi!$D$2:$H$337,
   MATCH(1,(deskripsi!$A$2:$A$337=B805)*
           (deskripsi!$B$2:$B$337=C805)*
           (deskripsi!$C$2:$C$337=D805),0),
   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76">
        <v>1</v>
      </c>
      <c r="E806" t="str" cm="1">
        <f t="array" ref="E806">INDEX(aspek!$D$2:$D$337,
   MATCH(1,(aspek!$A$2:$A$337=B806)*
           (aspek!$B$2:$B$337=C806)*
           (aspek!$C$2:$C$337=D806),0))</f>
        <v>Regulasi diri saat keadaan berubah</v>
      </c>
      <c r="F806" s="76">
        <v>5</v>
      </c>
      <c r="G806" s="56" t="str" cm="1">
        <f t="array" ref="G806">INDEX(deskripsi!$D$2:$H$337,
   MATCH(1,(deskripsi!$A$2:$A$337=B806)*
           (deskripsi!$B$2:$B$337=C806)*
           (deskripsi!$C$2:$C$337=D806),0),
   F806)</f>
        <v>Ketenangannya tidak bergantung pada seberapa besar perubahannya.</v>
      </c>
    </row>
    <row r="807" spans="1:7" ht="28">
      <c r="A807" t="str">
        <f t="shared" si="12"/>
        <v>Managing Change|Division Head|2|1</v>
      </c>
      <c r="B807" t="str">
        <v>Managing Change</v>
      </c>
      <c r="C807" t="str">
        <v>Division Head</v>
      </c>
      <c r="D807" s="76">
        <v>2</v>
      </c>
      <c r="E807" t="str" cm="1">
        <f t="array" ref="E807">INDEX(aspek!$D$2:$D$337,
   MATCH(1,(aspek!$A$2:$A$337=B807)*
           (aspek!$B$2:$B$337=C807)*
           (aspek!$C$2:$C$337=D807),0))</f>
        <v>Kejernihan berpikir dan langkah saat belum jelas</v>
      </c>
      <c r="F807" s="76">
        <v>1</v>
      </c>
      <c r="G807" s="56" t="str" cm="1">
        <f t="array" ref="G807">INDEX(deskripsi!$D$2:$H$337,
   MATCH(1,(deskripsi!$A$2:$A$337=B807)*
           (deskripsi!$B$2:$B$337=C807)*
           (deskripsi!$C$2:$C$337=D807),0),
   F807)</f>
        <v>Berhenti mengambil langkah; menunggu sampai keadaan jelas.</v>
      </c>
    </row>
    <row r="808" spans="1:7" ht="28">
      <c r="A808" t="str">
        <f t="shared" si="12"/>
        <v>Managing Change|Division Head|2|2</v>
      </c>
      <c r="B808" t="str">
        <v>Managing Change</v>
      </c>
      <c r="C808" t="str">
        <v>Division Head</v>
      </c>
      <c r="D808" s="76">
        <v>2</v>
      </c>
      <c r="E808" t="str" cm="1">
        <f t="array" ref="E808">INDEX(aspek!$D$2:$D$337,
   MATCH(1,(aspek!$A$2:$A$337=B808)*
           (aspek!$B$2:$B$337=C808)*
           (aspek!$C$2:$C$337=D808),0))</f>
        <v>Kejernihan berpikir dan langkah saat belum jelas</v>
      </c>
      <c r="F808" s="76">
        <v>2</v>
      </c>
      <c r="G808" s="56" t="str" cm="1">
        <f t="array" ref="G808">INDEX(deskripsi!$D$2:$H$337,
   MATCH(1,(deskripsi!$A$2:$A$337=B808)*
           (deskripsi!$B$2:$B$337=C808)*
           (deskripsi!$C$2:$C$337=D808),0),
   F808)</f>
        <v>Mengambil langkah yang berubah-ubah dan membingungkan tim.</v>
      </c>
    </row>
    <row r="809" spans="1:7">
      <c r="A809" t="str">
        <f t="shared" si="12"/>
        <v>Managing Change|Division Head|2|3</v>
      </c>
      <c r="B809" t="str">
        <v>Managing Change</v>
      </c>
      <c r="C809" t="str">
        <v>Division Head</v>
      </c>
      <c r="D809" s="76">
        <v>2</v>
      </c>
      <c r="E809" t="str" cm="1">
        <f t="array" ref="E809">INDEX(aspek!$D$2:$D$337,
   MATCH(1,(aspek!$A$2:$A$337=B809)*
           (aspek!$B$2:$B$337=C809)*
           (aspek!$C$2:$C$337=D809),0))</f>
        <v>Kejernihan berpikir dan langkah saat belum jelas</v>
      </c>
      <c r="F809" s="76">
        <v>3</v>
      </c>
      <c r="G809" s="56" t="str" cm="1">
        <f t="array" ref="G809">INDEX(deskripsi!$D$2:$H$337,
   MATCH(1,(deskripsi!$A$2:$A$337=B809)*
           (deskripsi!$B$2:$B$337=C809)*
           (deskripsi!$C$2:$C$337=D809),0),
   F809)</f>
        <v>Mengambil langkah yang tepat setelah keadaan cukup jelas.</v>
      </c>
    </row>
    <row r="810" spans="1:7" ht="28">
      <c r="A810" t="str">
        <f t="shared" si="12"/>
        <v>Managing Change|Division Head|2|4</v>
      </c>
      <c r="B810" t="str">
        <v>Managing Change</v>
      </c>
      <c r="C810" t="str">
        <v>Division Head</v>
      </c>
      <c r="D810" s="76">
        <v>2</v>
      </c>
      <c r="E810" t="str" cm="1">
        <f t="array" ref="E810">INDEX(aspek!$D$2:$D$337,
   MATCH(1,(aspek!$A$2:$A$337=B810)*
           (aspek!$B$2:$B$337=C810)*
           (aspek!$C$2:$C$337=D810),0))</f>
        <v>Kejernihan berpikir dan langkah saat belum jelas</v>
      </c>
      <c r="F810" s="76">
        <v>4</v>
      </c>
      <c r="G810" s="56" t="str" cm="1">
        <f t="array" ref="G810">INDEX(deskripsi!$D$2:$H$337,
   MATCH(1,(deskripsi!$A$2:$A$337=B810)*
           (deskripsi!$B$2:$B$337=C810)*
           (deskripsi!$C$2:$C$337=D810),0),
   F810)</f>
        <v>Tetap menetapkan langkah yang masuk akal ketika arah belum ada, dan menjelaskan dasarnya kepada tim.</v>
      </c>
    </row>
    <row r="811" spans="1:7" ht="28">
      <c r="A811" t="str">
        <f t="shared" si="12"/>
        <v>Managing Change|Division Head|2|5</v>
      </c>
      <c r="B811" t="str">
        <v>Managing Change</v>
      </c>
      <c r="C811" t="str">
        <v>Division Head</v>
      </c>
      <c r="D811" s="76">
        <v>2</v>
      </c>
      <c r="E811" t="str" cm="1">
        <f t="array" ref="E811">INDEX(aspek!$D$2:$D$337,
   MATCH(1,(aspek!$A$2:$A$337=B811)*
           (aspek!$B$2:$B$337=C811)*
           (aspek!$C$2:$C$337=D811),0))</f>
        <v>Kejernihan berpikir dan langkah saat belum jelas</v>
      </c>
      <c r="F811" s="76">
        <v>5</v>
      </c>
      <c r="G811" s="56" t="str" cm="1">
        <f t="array" ref="G811">INDEX(deskripsi!$D$2:$H$337,
   MATCH(1,(deskripsi!$A$2:$A$337=B811)*
           (deskripsi!$B$2:$B$337=C811)*
           (deskripsi!$C$2:$C$337=D811),0),
   F811)</f>
        <v>Langkah yang ia ambil di masa tidak jelas terbukti tetap tepat setelah keadaan jelas.</v>
      </c>
    </row>
    <row r="812" spans="1:7" ht="28">
      <c r="A812" t="str">
        <f t="shared" si="12"/>
        <v>Managing Change|Division Head|3|1</v>
      </c>
      <c r="B812" t="str">
        <v>Managing Change</v>
      </c>
      <c r="C812" t="str">
        <v>Division Head</v>
      </c>
      <c r="D812" s="76">
        <v>3</v>
      </c>
      <c r="E812" t="str" cm="1">
        <f t="array" ref="E812">INDEX(aspek!$D$2:$D$337,
   MATCH(1,(aspek!$A$2:$A$337=B812)*
           (aspek!$B$2:$B$337=C812)*
           (aspek!$C$2:$C$337=D812),0))</f>
        <v>Efek menenangkan pada orang lain</v>
      </c>
      <c r="F812" s="76">
        <v>1</v>
      </c>
      <c r="G812" s="56" t="str" cm="1">
        <f t="array" ref="G812">INDEX(deskripsi!$D$2:$H$337,
   MATCH(1,(deskripsi!$A$2:$A$337=B812)*
           (deskripsi!$B$2:$B$337=C812)*
           (deskripsi!$C$2:$C$337=D812),0),
   F812)</f>
        <v>Kehadirannya menambah ketegangan; tim lebih cemas setelah bertemu dengannya.</v>
      </c>
    </row>
    <row r="813" spans="1:7" ht="28">
      <c r="A813" t="str">
        <f t="shared" si="12"/>
        <v>Managing Change|Division Head|3|2</v>
      </c>
      <c r="B813" t="str">
        <v>Managing Change</v>
      </c>
      <c r="C813" t="str">
        <v>Division Head</v>
      </c>
      <c r="D813" s="76">
        <v>3</v>
      </c>
      <c r="E813" t="str" cm="1">
        <f t="array" ref="E813">INDEX(aspek!$D$2:$D$337,
   MATCH(1,(aspek!$A$2:$A$337=B813)*
           (aspek!$B$2:$B$337=C813)*
           (aspek!$C$2:$C$337=D813),0))</f>
        <v>Efek menenangkan pada orang lain</v>
      </c>
      <c r="F813" s="76">
        <v>2</v>
      </c>
      <c r="G813" s="56" t="str" cm="1">
        <f t="array" ref="G813">INDEX(deskripsi!$D$2:$H$337,
   MATCH(1,(deskripsi!$A$2:$A$337=B813)*
           (deskripsi!$B$2:$B$337=C813)*
           (deskripsi!$C$2:$C$337=D813),0),
   F813)</f>
        <v>Tidak menambah tegang, tetapi juga tidak membantu — tim mencari ketenangan dari orang lain.</v>
      </c>
    </row>
    <row r="814" spans="1:7" ht="28">
      <c r="A814" t="str">
        <f t="shared" si="12"/>
        <v>Managing Change|Division Head|3|3</v>
      </c>
      <c r="B814" t="str">
        <v>Managing Change</v>
      </c>
      <c r="C814" t="str">
        <v>Division Head</v>
      </c>
      <c r="D814" s="76">
        <v>3</v>
      </c>
      <c r="E814" t="str" cm="1">
        <f t="array" ref="E814">INDEX(aspek!$D$2:$D$337,
   MATCH(1,(aspek!$A$2:$A$337=B814)*
           (aspek!$B$2:$B$337=C814)*
           (aspek!$C$2:$C$337=D814),0))</f>
        <v>Efek menenangkan pada orang lain</v>
      </c>
      <c r="F814" s="76">
        <v>3</v>
      </c>
      <c r="G814" s="56" t="str" cm="1">
        <f t="array" ref="G814">INDEX(deskripsi!$D$2:$H$337,
   MATCH(1,(deskripsi!$A$2:$A$337=B814)*
           (deskripsi!$B$2:$B$337=C814)*
           (deskripsi!$C$2:$C$337=D814),0),
   F814)</f>
        <v>Tim merasa cukup tenang, meski karena ia jarang menyampaikan hal yang mengkhawatirkan.</v>
      </c>
    </row>
    <row r="815" spans="1:7" ht="56">
      <c r="A815" t="str">
        <f t="shared" si="12"/>
        <v>Managing Change|Division Head|3|4</v>
      </c>
      <c r="B815" t="str">
        <v>Managing Change</v>
      </c>
      <c r="C815" t="str">
        <v>Division Head</v>
      </c>
      <c r="D815" s="76">
        <v>3</v>
      </c>
      <c r="E815" t="str" cm="1">
        <f t="array" ref="E815">INDEX(aspek!$D$2:$D$337,
   MATCH(1,(aspek!$A$2:$A$337=B815)*
           (aspek!$B$2:$B$337=C815)*
           (aspek!$C$2:$C$337=D815),0))</f>
        <v>Efek menenangkan pada orang lain</v>
      </c>
      <c r="F815" s="76">
        <v>4</v>
      </c>
      <c r="G815" s="56" t="str" cm="1">
        <f t="array" ref="G815">INDEX(deskripsi!$D$2:$H$337,
   MATCH(1,(deskripsi!$A$2:$A$337=B815)*
           (deskripsi!$B$2:$B$337=C815)*
           (deskripsi!$C$2:$C$337=D815),0),
   F815)</f>
        <v>Tim mengonfirmasi sikapnya membuat mereka lebih tenang DAN mereka tetap tahu apa yang harus dikerjakan — ketenangan yang berasal dari kejelasan, bukan dari ketidaktahuan.</v>
      </c>
    </row>
    <row r="816" spans="1:7" ht="28">
      <c r="A816" t="str">
        <f t="shared" si="12"/>
        <v>Managing Change|Division Head|3|5</v>
      </c>
      <c r="B816" t="str">
        <v>Managing Change</v>
      </c>
      <c r="C816" t="str">
        <v>Division Head</v>
      </c>
      <c r="D816" s="76">
        <v>3</v>
      </c>
      <c r="E816" t="str" cm="1">
        <f t="array" ref="E816">INDEX(aspek!$D$2:$D$337,
   MATCH(1,(aspek!$A$2:$A$337=B816)*
           (aspek!$B$2:$B$337=C816)*
           (aspek!$C$2:$C$337=D816),0))</f>
        <v>Efek menenangkan pada orang lain</v>
      </c>
      <c r="F816" s="76">
        <v>5</v>
      </c>
      <c r="G816" s="56" t="str" cm="1">
        <f t="array" ref="G816">INDEX(deskripsi!$D$2:$H$337,
   MATCH(1,(deskripsi!$A$2:$A$337=B816)*
           (deskripsi!$B$2:$B$337=C816)*
           (deskripsi!$C$2:$C$337=D816),0),
   F816)</f>
        <v>Menjadi orang yang dicari orang lain ketika keadaan tidak menentu, termasuk dari luar unitnya.</v>
      </c>
    </row>
    <row r="817" spans="1:7" ht="28">
      <c r="A817" t="str">
        <f t="shared" si="12"/>
        <v>Managing Change|Division Head|4|1</v>
      </c>
      <c r="B817" t="str">
        <v>Managing Change</v>
      </c>
      <c r="C817" t="str">
        <v>Division Head</v>
      </c>
      <c r="D817" s="76">
        <v>4</v>
      </c>
      <c r="E817" t="str" cm="1">
        <f t="array" ref="E817">INDEX(aspek!$D$2:$D$337,
   MATCH(1,(aspek!$A$2:$A$337=B817)*
           (aspek!$B$2:$B$337=C817)*
           (aspek!$C$2:$C$337=D817),0))</f>
        <v>Mendampingi orang lain melewati perubahan</v>
      </c>
      <c r="F817" s="76">
        <v>1</v>
      </c>
      <c r="G817" s="56" t="str" cm="1">
        <f t="array" ref="G817">INDEX(deskripsi!$D$2:$H$337,
   MATCH(1,(deskripsi!$A$2:$A$337=B817)*
           (deskripsi!$B$2:$B$337=C817)*
           (deskripsi!$C$2:$C$337=D817),0),
   F817)</f>
        <v>Menuntut orang lain menyesuaikan diri tanpa membantu prosesnya.</v>
      </c>
    </row>
    <row r="818" spans="1:7" ht="28">
      <c r="A818" t="str">
        <f t="shared" si="12"/>
        <v>Managing Change|Division Head|4|2</v>
      </c>
      <c r="B818" t="str">
        <v>Managing Change</v>
      </c>
      <c r="C818" t="str">
        <v>Division Head</v>
      </c>
      <c r="D818" s="76">
        <v>4</v>
      </c>
      <c r="E818" t="str" cm="1">
        <f t="array" ref="E818">INDEX(aspek!$D$2:$D$337,
   MATCH(1,(aspek!$A$2:$A$337=B818)*
           (aspek!$B$2:$B$337=C818)*
           (aspek!$C$2:$C$337=D818),0))</f>
        <v>Mendampingi orang lain melewati perubahan</v>
      </c>
      <c r="F818" s="76">
        <v>2</v>
      </c>
      <c r="G818" s="56" t="str" cm="1">
        <f t="array" ref="G818">INDEX(deskripsi!$D$2:$H$337,
   MATCH(1,(deskripsi!$A$2:$A$337=B818)*
           (deskripsi!$B$2:$B$337=C818)*
           (deskripsi!$C$2:$C$337=D818),0),
   F818)</f>
        <v>Menjelaskan perubahan sekali, lalu menganggap sisanya urusan masing-masing.</v>
      </c>
    </row>
    <row r="819" spans="1:7" ht="28">
      <c r="A819" t="str">
        <f t="shared" si="12"/>
        <v>Managing Change|Division Head|4|3</v>
      </c>
      <c r="B819" t="str">
        <v>Managing Change</v>
      </c>
      <c r="C819" t="str">
        <v>Division Head</v>
      </c>
      <c r="D819" s="76">
        <v>4</v>
      </c>
      <c r="E819" t="str" cm="1">
        <f t="array" ref="E819">INDEX(aspek!$D$2:$D$337,
   MATCH(1,(aspek!$A$2:$A$337=B819)*
           (aspek!$B$2:$B$337=C819)*
           (aspek!$C$2:$C$337=D819),0))</f>
        <v>Mendampingi orang lain melewati perubahan</v>
      </c>
      <c r="F819" s="76">
        <v>3</v>
      </c>
      <c r="G819" s="56" t="str" cm="1">
        <f t="array" ref="G819">INDEX(deskripsi!$D$2:$H$337,
   MATCH(1,(deskripsi!$A$2:$A$337=B819)*
           (deskripsi!$B$2:$B$337=C819)*
           (deskripsi!$C$2:$C$337=D819),0),
   F819)</f>
        <v>Membantu yang meminta bantuan, dan berhenti setelah mereka mulai menjalankan.</v>
      </c>
    </row>
    <row r="820" spans="1:7" ht="42">
      <c r="A820" t="str">
        <f t="shared" si="12"/>
        <v>Managing Change|Division Head|4|4</v>
      </c>
      <c r="B820" t="str">
        <v>Managing Change</v>
      </c>
      <c r="C820" t="str">
        <v>Division Head</v>
      </c>
      <c r="D820" s="76">
        <v>4</v>
      </c>
      <c r="E820" t="str" cm="1">
        <f t="array" ref="E820">INDEX(aspek!$D$2:$D$337,
   MATCH(1,(aspek!$A$2:$A$337=B820)*
           (aspek!$B$2:$B$337=C820)*
           (aspek!$C$2:$C$337=D820),0))</f>
        <v>Mendampingi orang lain melewati perubahan</v>
      </c>
      <c r="F820" s="76">
        <v>4</v>
      </c>
      <c r="G820" s="56" t="str" cm="1">
        <f t="array" ref="G820">INDEX(deskripsi!$D$2:$H$337,
   MATCH(1,(deskripsi!$A$2:$A$337=B820)*
           (deskripsi!$B$2:$B$337=C820)*
           (deskripsi!$C$2:$C$337=D820),0),
   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76">
        <v>4</v>
      </c>
      <c r="E821" t="str" cm="1">
        <f t="array" ref="E821">INDEX(aspek!$D$2:$D$337,
   MATCH(1,(aspek!$A$2:$A$337=B821)*
           (aspek!$B$2:$B$337=C821)*
           (aspek!$C$2:$C$337=D821),0))</f>
        <v>Mendampingi orang lain melewati perubahan</v>
      </c>
      <c r="F821" s="76">
        <v>5</v>
      </c>
      <c r="G821" s="56" t="str" cm="1">
        <f t="array" ref="G821">INDEX(deskripsi!$D$2:$H$337,
   MATCH(1,(deskripsi!$A$2:$A$337=B821)*
           (deskripsi!$B$2:$B$337=C821)*
           (deskripsi!$C$2:$C$337=D821),0),
   F821)</f>
        <v>Orang yang pernah ia dampingi ikut mendampingi orang lain pada perubahan berikutnya.</v>
      </c>
    </row>
    <row r="822" spans="1:7">
      <c r="A822" t="str">
        <f t="shared" si="12"/>
        <v>Managing Change|Director|1|1</v>
      </c>
      <c r="B822" t="str">
        <v>Managing Change</v>
      </c>
      <c r="C822" t="str">
        <v>Director</v>
      </c>
      <c r="D822" s="76">
        <v>1</v>
      </c>
      <c r="E822" t="str" cm="1">
        <f t="array" ref="E822">INDEX(aspek!$D$2:$D$337,
   MATCH(1,(aspek!$A$2:$A$337=B822)*
           (aspek!$B$2:$B$337=C822)*
           (aspek!$C$2:$C$337=D822),0))</f>
        <v>Orientasi ke depan</v>
      </c>
      <c r="F822" s="76">
        <v>1</v>
      </c>
      <c r="G822" s="56" t="str" cm="1">
        <f t="array" ref="G822">INDEX(deskripsi!$D$2:$H$337,
   MATCH(1,(deskripsi!$A$2:$A$337=B822)*
           (deskripsi!$B$2:$B$337=C822)*
           (deskripsi!$C$2:$C$337=D822),0),
   F822)</f>
        <v>Bergerak setelah dampak perubahan terasa pada organisasi.</v>
      </c>
    </row>
    <row r="823" spans="1:7" ht="28">
      <c r="A823" t="str">
        <f t="shared" si="12"/>
        <v>Managing Change|Director|1|2</v>
      </c>
      <c r="B823" t="str">
        <v>Managing Change</v>
      </c>
      <c r="C823" t="str">
        <v>Director</v>
      </c>
      <c r="D823" s="76">
        <v>1</v>
      </c>
      <c r="E823" t="str" cm="1">
        <f t="array" ref="E823">INDEX(aspek!$D$2:$D$337,
   MATCH(1,(aspek!$A$2:$A$337=B823)*
           (aspek!$B$2:$B$337=C823)*
           (aspek!$C$2:$C$337=D823),0))</f>
        <v>Orientasi ke depan</v>
      </c>
      <c r="F823" s="76">
        <v>2</v>
      </c>
      <c r="G823" s="56" t="str" cm="1">
        <f t="array" ref="G823">INDEX(deskripsi!$D$2:$H$337,
   MATCH(1,(deskripsi!$A$2:$A$337=B823)*
           (deskripsi!$B$2:$B$337=C823)*
           (deskripsi!$C$2:$C$337=D823),0),
   F823)</f>
        <v>Menyadari perubahan setelah ia terjadi, dan menjelaskan mengapa ia terjadi.</v>
      </c>
    </row>
    <row r="824" spans="1:7" ht="28">
      <c r="A824" t="str">
        <f t="shared" si="12"/>
        <v>Managing Change|Director|1|3</v>
      </c>
      <c r="B824" t="str">
        <v>Managing Change</v>
      </c>
      <c r="C824" t="str">
        <v>Director</v>
      </c>
      <c r="D824" s="76">
        <v>1</v>
      </c>
      <c r="E824" t="str" cm="1">
        <f t="array" ref="E824">INDEX(aspek!$D$2:$D$337,
   MATCH(1,(aspek!$A$2:$A$337=B824)*
           (aspek!$B$2:$B$337=C824)*
           (aspek!$C$2:$C$337=D824),0))</f>
        <v>Orientasi ke depan</v>
      </c>
      <c r="F824" s="76">
        <v>3</v>
      </c>
      <c r="G824" s="56" t="str" cm="1">
        <f t="array" ref="G824">INDEX(deskripsi!$D$2:$H$337,
   MATCH(1,(deskripsi!$A$2:$A$337=B824)*
           (deskripsi!$B$2:$B$337=C824)*
           (deskripsi!$C$2:$C$337=D824),0),
   F824)</f>
        <v>Memantau tren dan menyusun laporan, tetapi pembacaannya berhenti pada dokumen.</v>
      </c>
    </row>
    <row r="825" spans="1:7" ht="42">
      <c r="A825" t="str">
        <f t="shared" si="12"/>
        <v>Managing Change|Director|1|4</v>
      </c>
      <c r="B825" t="str">
        <v>Managing Change</v>
      </c>
      <c r="C825" t="str">
        <v>Director</v>
      </c>
      <c r="D825" s="76">
        <v>1</v>
      </c>
      <c r="E825" t="str" cm="1">
        <f t="array" ref="E825">INDEX(aspek!$D$2:$D$337,
   MATCH(1,(aspek!$A$2:$A$337=B825)*
           (aspek!$B$2:$B$337=C825)*
           (aspek!$C$2:$C$337=D825),0))</f>
        <v>Orientasi ke depan</v>
      </c>
      <c r="F825" s="76">
        <v>4</v>
      </c>
      <c r="G825" s="56" t="str" cm="1">
        <f t="array" ref="G825">INDEX(deskripsi!$D$2:$H$337,
   MATCH(1,(deskripsi!$A$2:$A$337=B825)*
           (deskripsi!$B$2:$B$337=C825)*
           (deskripsi!$C$2:$C$337=D825),0),
   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76">
        <v>1</v>
      </c>
      <c r="E826" t="str" cm="1">
        <f t="array" ref="E826">INDEX(aspek!$D$2:$D$337,
   MATCH(1,(aspek!$A$2:$A$337=B826)*
           (aspek!$B$2:$B$337=C826)*
           (aspek!$C$2:$C$337=D826),0))</f>
        <v>Orientasi ke depan</v>
      </c>
      <c r="F826" s="76">
        <v>5</v>
      </c>
      <c r="G826" s="56" t="str" cm="1">
        <f t="array" ref="G826">INDEX(deskripsi!$D$2:$H$337,
   MATCH(1,(deskripsi!$A$2:$A$337=B826)*
           (deskripsi!$B$2:$B$337=C826)*
           (deskripsi!$C$2:$C$337=D826),0),
   F826)</f>
        <v>Menangkap perubahan yang belum terlihat oleh pelaku industri lainnya.</v>
      </c>
    </row>
    <row r="827" spans="1:7" ht="28">
      <c r="A827" t="str">
        <f t="shared" si="12"/>
        <v>Managing Change|Director|2|1</v>
      </c>
      <c r="B827" t="str">
        <v>Managing Change</v>
      </c>
      <c r="C827" t="str">
        <v>Director</v>
      </c>
      <c r="D827" s="76">
        <v>2</v>
      </c>
      <c r="E827" t="str" cm="1">
        <f t="array" ref="E827">INDEX(aspek!$D$2:$D$337,
   MATCH(1,(aspek!$A$2:$A$337=B827)*
           (aspek!$B$2:$B$337=C827)*
           (aspek!$C$2:$C$337=D827),0))</f>
        <v>Kesiapan skenario</v>
      </c>
      <c r="F827" s="76">
        <v>1</v>
      </c>
      <c r="G827" s="56" t="str" cm="1">
        <f t="array" ref="G827">INDEX(deskripsi!$D$2:$H$337,
   MATCH(1,(deskripsi!$A$2:$A$337=B827)*
           (deskripsi!$B$2:$B$337=C827)*
           (deskripsi!$C$2:$C$337=D827),0),
   F827)</f>
        <v>Tidak menyiapkan apa pun untuk kemungkinan yang belum pasti.</v>
      </c>
    </row>
    <row r="828" spans="1:7" ht="28">
      <c r="A828" t="str">
        <f t="shared" si="12"/>
        <v>Managing Change|Director|2|2</v>
      </c>
      <c r="B828" t="str">
        <v>Managing Change</v>
      </c>
      <c r="C828" t="str">
        <v>Director</v>
      </c>
      <c r="D828" s="76">
        <v>2</v>
      </c>
      <c r="E828" t="str" cm="1">
        <f t="array" ref="E828">INDEX(aspek!$D$2:$D$337,
   MATCH(1,(aspek!$A$2:$A$337=B828)*
           (aspek!$B$2:$B$337=C828)*
           (aspek!$C$2:$C$337=D828),0))</f>
        <v>Kesiapan skenario</v>
      </c>
      <c r="F828" s="76">
        <v>2</v>
      </c>
      <c r="G828" s="56" t="str" cm="1">
        <f t="array" ref="G828">INDEX(deskripsi!$D$2:$H$337,
   MATCH(1,(deskripsi!$A$2:$A$337=B828)*
           (deskripsi!$B$2:$B$337=C828)*
           (deskripsi!$C$2:$C$337=D828),0),
   F828)</f>
        <v>Menyusun satu perkiraan tunggal dan bertindak seolah itu pasti terjadi.</v>
      </c>
    </row>
    <row r="829" spans="1:7" ht="28">
      <c r="A829" t="str">
        <f t="shared" si="12"/>
        <v>Managing Change|Director|2|3</v>
      </c>
      <c r="B829" t="str">
        <v>Managing Change</v>
      </c>
      <c r="C829" t="str">
        <v>Director</v>
      </c>
      <c r="D829" s="76">
        <v>2</v>
      </c>
      <c r="E829" t="str" cm="1">
        <f t="array" ref="E829">INDEX(aspek!$D$2:$D$337,
   MATCH(1,(aspek!$A$2:$A$337=B829)*
           (aspek!$B$2:$B$337=C829)*
           (aspek!$C$2:$C$337=D829),0))</f>
        <v>Kesiapan skenario</v>
      </c>
      <c r="F829" s="76">
        <v>3</v>
      </c>
      <c r="G829" s="56" t="str" cm="1">
        <f t="array" ref="G829">INDEX(deskripsi!$D$2:$H$337,
   MATCH(1,(deskripsi!$A$2:$A$337=B829)*
           (deskripsi!$B$2:$B$337=C829)*
           (deskripsi!$C$2:$C$337=D829),0),
   F829)</f>
        <v>Menyusun beberapa skenario, tetapi tidak ada langkah yang menyertainya.</v>
      </c>
    </row>
    <row r="830" spans="1:7" ht="42">
      <c r="A830" t="str">
        <f t="shared" si="12"/>
        <v>Managing Change|Director|2|4</v>
      </c>
      <c r="B830" t="str">
        <v>Managing Change</v>
      </c>
      <c r="C830" t="str">
        <v>Director</v>
      </c>
      <c r="D830" s="76">
        <v>2</v>
      </c>
      <c r="E830" t="str" cm="1">
        <f t="array" ref="E830">INDEX(aspek!$D$2:$D$337,
   MATCH(1,(aspek!$A$2:$A$337=B830)*
           (aspek!$B$2:$B$337=C830)*
           (aspek!$C$2:$C$337=D830),0))</f>
        <v>Kesiapan skenario</v>
      </c>
      <c r="F830" s="76">
        <v>4</v>
      </c>
      <c r="G830" s="56" t="str" cm="1">
        <f t="array" ref="G830">INDEX(deskripsi!$D$2:$H$337,
   MATCH(1,(deskripsi!$A$2:$A$337=B830)*
           (deskripsi!$B$2:$B$337=C830)*
           (deskripsi!$C$2:$C$337=D830),0),
   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76">
        <v>2</v>
      </c>
      <c r="E831" t="str" cm="1">
        <f t="array" ref="E831">INDEX(aspek!$D$2:$D$337,
   MATCH(1,(aspek!$A$2:$A$337=B831)*
           (aspek!$B$2:$B$337=C831)*
           (aspek!$C$2:$C$337=D831),0))</f>
        <v>Kesiapan skenario</v>
      </c>
      <c r="F831" s="76">
        <v>5</v>
      </c>
      <c r="G831" s="56" t="str" cm="1">
        <f t="array" ref="G831">INDEX(deskripsi!$D$2:$H$337,
   MATCH(1,(deskripsi!$A$2:$A$337=B831)*
           (deskripsi!$B$2:$B$337=C831)*
           (deskripsi!$C$2:$C$337=D831),0),
   F831)</f>
        <v>Skenarionya dipakai fungsi lain sebagai dasar perencanaan mereka sendiri.</v>
      </c>
    </row>
    <row r="832" spans="1:7">
      <c r="A832" t="str">
        <f t="shared" si="12"/>
        <v>Managing Change|Director|3|1</v>
      </c>
      <c r="B832" t="str">
        <v>Managing Change</v>
      </c>
      <c r="C832" t="str">
        <v>Director</v>
      </c>
      <c r="D832" s="76">
        <v>3</v>
      </c>
      <c r="E832" t="str" cm="1">
        <f t="array" ref="E832">INDEX(aspek!$D$2:$D$337,
   MATCH(1,(aspek!$A$2:$A$337=B832)*
           (aspek!$B$2:$B$337=C832)*
           (aspek!$C$2:$C$337=D832),0))</f>
        <v>Penggerakan organisasi secara antisipatif</v>
      </c>
      <c r="F832" s="76">
        <v>1</v>
      </c>
      <c r="G832" s="56" t="str" cm="1">
        <f t="array" ref="G832">INDEX(deskripsi!$D$2:$H$337,
   MATCH(1,(deskripsi!$A$2:$A$337=B832)*
           (deskripsi!$B$2:$B$337=C832)*
           (deskripsi!$C$2:$C$337=D832),0),
   F832)</f>
        <v>Organisasi baru bergerak setelah perubahan memaksa.</v>
      </c>
    </row>
    <row r="833" spans="1:7" ht="28">
      <c r="A833" t="str">
        <f t="shared" si="12"/>
        <v>Managing Change|Director|3|2</v>
      </c>
      <c r="B833" t="str">
        <v>Managing Change</v>
      </c>
      <c r="C833" t="str">
        <v>Director</v>
      </c>
      <c r="D833" s="76">
        <v>3</v>
      </c>
      <c r="E833" t="str" cm="1">
        <f t="array" ref="E833">INDEX(aspek!$D$2:$D$337,
   MATCH(1,(aspek!$A$2:$A$337=B833)*
           (aspek!$B$2:$B$337=C833)*
           (aspek!$C$2:$C$337=D833),0))</f>
        <v>Penggerakan organisasi secara antisipatif</v>
      </c>
      <c r="F833" s="76">
        <v>2</v>
      </c>
      <c r="G833" s="56" t="str" cm="1">
        <f t="array" ref="G833">INDEX(deskripsi!$D$2:$H$337,
   MATCH(1,(deskripsi!$A$2:$A$337=B833)*
           (deskripsi!$B$2:$B$337=C833)*
           (deskripsi!$C$2:$C$337=D833),0),
   F833)</f>
        <v>Menyampaikan peringatan, tetapi tidak ada yang berubah karenanya.</v>
      </c>
    </row>
    <row r="834" spans="1:7" ht="28">
      <c r="A834" t="str">
        <f t="shared" si="12"/>
        <v>Managing Change|Director|3|3</v>
      </c>
      <c r="B834" t="str">
        <v>Managing Change</v>
      </c>
      <c r="C834" t="str">
        <v>Director</v>
      </c>
      <c r="D834" s="76">
        <v>3</v>
      </c>
      <c r="E834" t="str" cm="1">
        <f t="array" ref="E834">INDEX(aspek!$D$2:$D$337,
   MATCH(1,(aspek!$A$2:$A$337=B834)*
           (aspek!$B$2:$B$337=C834)*
           (aspek!$C$2:$C$337=D834),0))</f>
        <v>Penggerakan organisasi secara antisipatif</v>
      </c>
      <c r="F834" s="76">
        <v>3</v>
      </c>
      <c r="G834" s="56" t="str" cm="1">
        <f t="array" ref="G834">INDEX(deskripsi!$D$2:$H$337,
   MATCH(1,(deskripsi!$A$2:$A$337=B834)*
           (deskripsi!$B$2:$B$337=C834)*
           (deskripsi!$C$2:$C$337=D834),0),
   F834)</f>
        <v>Menggerakkan unitnya sendiri untuk bersiap, terbatas pada wilayah kewenangannya.</v>
      </c>
    </row>
    <row r="835" spans="1:7" ht="42">
      <c r="A835" t="str">
        <f t="shared" ref="A835:A898" si="13">B835&amp;"|"&amp;C835&amp;"|"&amp;D835&amp;"|"&amp;F835</f>
        <v>Managing Change|Director|3|4</v>
      </c>
      <c r="B835" t="str">
        <v>Managing Change</v>
      </c>
      <c r="C835" t="str">
        <v>Director</v>
      </c>
      <c r="D835" s="76">
        <v>3</v>
      </c>
      <c r="E835" t="str" cm="1">
        <f t="array" ref="E835">INDEX(aspek!$D$2:$D$337,
   MATCH(1,(aspek!$A$2:$A$337=B835)*
           (aspek!$B$2:$B$337=C835)*
           (aspek!$C$2:$C$337=D835),0))</f>
        <v>Penggerakan organisasi secara antisipatif</v>
      </c>
      <c r="F835" s="76">
        <v>4</v>
      </c>
      <c r="G835" s="56" t="str" cm="1">
        <f t="array" ref="G835">INDEX(deskripsi!$D$2:$H$337,
   MATCH(1,(deskripsi!$A$2:$A$337=B835)*
           (deskripsi!$B$2:$B$337=C835)*
           (deskripsi!$C$2:$C$337=D835),0),
   F835)</f>
        <v>Menggerakkan fungsi di luar unitnya untuk bersiap SEBELUM perubahan datang, dengan pelaksana di luar dirinya sendiri — dibuktikan dengan tanggal.</v>
      </c>
    </row>
    <row r="836" spans="1:7" ht="28">
      <c r="A836" t="str">
        <f t="shared" si="13"/>
        <v>Managing Change|Director|3|5</v>
      </c>
      <c r="B836" t="str">
        <v>Managing Change</v>
      </c>
      <c r="C836" t="str">
        <v>Director</v>
      </c>
      <c r="D836" s="76">
        <v>3</v>
      </c>
      <c r="E836" t="str" cm="1">
        <f t="array" ref="E836">INDEX(aspek!$D$2:$D$337,
   MATCH(1,(aspek!$A$2:$A$337=B836)*
           (aspek!$B$2:$B$337=C836)*
           (aspek!$C$2:$C$337=D836),0))</f>
        <v>Penggerakan organisasi secara antisipatif</v>
      </c>
      <c r="F836" s="76">
        <v>5</v>
      </c>
      <c r="G836" s="56" t="str" cm="1">
        <f t="array" ref="G836">INDEX(deskripsi!$D$2:$H$337,
   MATCH(1,(deskripsi!$A$2:$A$337=B836)*
           (deskripsi!$B$2:$B$337=C836)*
           (deskripsi!$C$2:$C$337=D836),0),
   F836)</f>
        <v>Organisasi sudah siap ketika perubahan itu tiba, dan kesiapan itu dapat ditelusuri ke langkah yang ia mulai.</v>
      </c>
    </row>
    <row r="837" spans="1:7" ht="28">
      <c r="A837" t="str">
        <f t="shared" si="13"/>
        <v>Managing Change|Director|4|1</v>
      </c>
      <c r="B837" t="str">
        <v>Managing Change</v>
      </c>
      <c r="C837" t="str">
        <v>Director</v>
      </c>
      <c r="D837" s="76">
        <v>4</v>
      </c>
      <c r="E837" t="str" cm="1">
        <f t="array" ref="E837">INDEX(aspek!$D$2:$D$337,
   MATCH(1,(aspek!$A$2:$A$337=B837)*
           (aspek!$B$2:$B$337=C837)*
           (aspek!$C$2:$C$337=D837),0))</f>
        <v xml:space="preserve">Kalibrasi dari yang terlewat </v>
      </c>
      <c r="F837" s="76">
        <v>1</v>
      </c>
      <c r="G837" s="56" t="str" cm="1">
        <f t="array" ref="G837">INDEX(deskripsi!$D$2:$H$337,
   MATCH(1,(deskripsi!$A$2:$A$337=B837)*
           (deskripsi!$B$2:$B$337=C837)*
           (deskripsi!$C$2:$C$337=D837),0),
   F837)</f>
        <v>Tidak pernah memeriksa apakah perkiraannya tepat; yang meleset dilupakan.</v>
      </c>
    </row>
    <row r="838" spans="1:7" ht="28">
      <c r="A838" t="str">
        <f t="shared" si="13"/>
        <v>Managing Change|Director|4|2</v>
      </c>
      <c r="B838" t="str">
        <v>Managing Change</v>
      </c>
      <c r="C838" t="str">
        <v>Director</v>
      </c>
      <c r="D838" s="76">
        <v>4</v>
      </c>
      <c r="E838" t="str" cm="1">
        <f t="array" ref="E838">INDEX(aspek!$D$2:$D$337,
   MATCH(1,(aspek!$A$2:$A$337=B838)*
           (aspek!$B$2:$B$337=C838)*
           (aspek!$C$2:$C$337=D838),0))</f>
        <v xml:space="preserve">Kalibrasi dari yang terlewat </v>
      </c>
      <c r="F838" s="76">
        <v>2</v>
      </c>
      <c r="G838" s="56" t="str" cm="1">
        <f t="array" ref="G838">INDEX(deskripsi!$D$2:$H$337,
   MATCH(1,(deskripsi!$A$2:$A$337=B838)*
           (deskripsi!$B$2:$B$337=C838)*
           (deskripsi!$C$2:$C$337=D838),0),
   F838)</f>
        <v>Menyadari ada yang terlewat, tetapi menganggapnya tidak dapat diperkirakan siapa pun.</v>
      </c>
    </row>
    <row r="839" spans="1:7">
      <c r="A839" t="str">
        <f t="shared" si="13"/>
        <v>Managing Change|Director|4|3</v>
      </c>
      <c r="B839" t="str">
        <v>Managing Change</v>
      </c>
      <c r="C839" t="str">
        <v>Director</v>
      </c>
      <c r="D839" s="76">
        <v>4</v>
      </c>
      <c r="E839" t="str" cm="1">
        <f t="array" ref="E839">INDEX(aspek!$D$2:$D$337,
   MATCH(1,(aspek!$A$2:$A$337=B839)*
           (aspek!$B$2:$B$337=C839)*
           (aspek!$C$2:$C$337=D839),0))</f>
        <v xml:space="preserve">Kalibrasi dari yang terlewat </v>
      </c>
      <c r="F839" s="76">
        <v>3</v>
      </c>
      <c r="G839" s="56" t="str" cm="1">
        <f t="array" ref="G839">INDEX(deskripsi!$D$2:$H$337,
   MATCH(1,(deskripsi!$A$2:$A$337=B839)*
           (deskripsi!$B$2:$B$337=C839)*
           (deskripsi!$C$2:$C$337=D839),0),
   F839)</f>
        <v>Meninjau perkiraan yang meleset dan mencatat pelajarannya.</v>
      </c>
    </row>
    <row r="840" spans="1:7" ht="56">
      <c r="A840" t="str">
        <f t="shared" si="13"/>
        <v>Managing Change|Director|4|4</v>
      </c>
      <c r="B840" t="str">
        <v>Managing Change</v>
      </c>
      <c r="C840" t="str">
        <v>Director</v>
      </c>
      <c r="D840" s="76">
        <v>4</v>
      </c>
      <c r="E840" t="str" cm="1">
        <f t="array" ref="E840">INDEX(aspek!$D$2:$D$337,
   MATCH(1,(aspek!$A$2:$A$337=B840)*
           (aspek!$B$2:$B$337=C840)*
           (aspek!$C$2:$C$337=D840),0))</f>
        <v xml:space="preserve">Kalibrasi dari yang terlewat </v>
      </c>
      <c r="F840" s="76">
        <v>4</v>
      </c>
      <c r="G840" s="56" t="str" cm="1">
        <f t="array" ref="G840">INDEX(deskripsi!$D$2:$H$337,
   MATCH(1,(deskripsi!$A$2:$A$337=B840)*
           (deskripsi!$B$2:$B$337=C840)*
           (deskripsi!$C$2:$C$337=D840),0),
   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76">
        <v>4</v>
      </c>
      <c r="E841" t="str" cm="1">
        <f t="array" ref="E841">INDEX(aspek!$D$2:$D$337,
   MATCH(1,(aspek!$A$2:$A$337=B841)*
           (aspek!$B$2:$B$337=C841)*
           (aspek!$C$2:$C$337=D841),0))</f>
        <v xml:space="preserve">Kalibrasi dari yang terlewat </v>
      </c>
      <c r="F841" s="76">
        <v>5</v>
      </c>
      <c r="G841" s="56" t="str" cm="1">
        <f t="array" ref="G841">INDEX(deskripsi!$D$2:$H$337,
   MATCH(1,(deskripsi!$A$2:$A$337=B841)*
           (deskripsi!$B$2:$B$337=C841)*
           (deskripsi!$C$2:$C$337=D841),0),
   F841)</f>
        <v>Ketajaman pembacaannya meningkat terukur dari waktu ke waktu, bukan karena kebetulan.</v>
      </c>
    </row>
    <row r="842" spans="1:7" ht="28">
      <c r="A842" t="str">
        <f t="shared" si="13"/>
        <v>Strategic Thinking|Officer|1|1</v>
      </c>
      <c r="B842" t="str">
        <v>Strategic Thinking</v>
      </c>
      <c r="C842" t="str">
        <v>Officer</v>
      </c>
      <c r="D842" s="76">
        <v>1</v>
      </c>
      <c r="E842" t="str" cm="1">
        <f t="array" ref="E842">INDEX(aspek!$D$2:$D$337,
   MATCH(1,(aspek!$A$2:$A$337=B842)*
           (aspek!$B$2:$B$337=C842)*
           (aspek!$C$2:$C$337=D842),0))</f>
        <v>Kecepatan memahami informasi bisnis</v>
      </c>
      <c r="F842" s="76">
        <v>1</v>
      </c>
      <c r="G842" s="56" t="str" cm="1">
        <f t="array" ref="G842">INDEX(deskripsi!$D$2:$H$337,
   MATCH(1,(deskripsi!$A$2:$A$337=B842)*
           (deskripsi!$B$2:$B$337=C842)*
           (deskripsi!$C$2:$C$337=D842),0),
   F842)</f>
        <v>Perlu dijelaskan berulang kali sebelum memahami isi sebuah laporan atau dokumen bisnis.</v>
      </c>
    </row>
    <row r="843" spans="1:7" ht="28">
      <c r="A843" t="str">
        <f t="shared" si="13"/>
        <v>Strategic Thinking|Officer|1|2</v>
      </c>
      <c r="B843" t="str">
        <v>Strategic Thinking</v>
      </c>
      <c r="C843" t="str">
        <v>Officer</v>
      </c>
      <c r="D843" s="76">
        <v>1</v>
      </c>
      <c r="E843" t="str" cm="1">
        <f t="array" ref="E843">INDEX(aspek!$D$2:$D$337,
   MATCH(1,(aspek!$A$2:$A$337=B843)*
           (aspek!$B$2:$B$337=C843)*
           (aspek!$C$2:$C$337=D843),0))</f>
        <v>Kecepatan memahami informasi bisnis</v>
      </c>
      <c r="F843" s="76">
        <v>2</v>
      </c>
      <c r="G843" s="56" t="str" cm="1">
        <f t="array" ref="G843">INDEX(deskripsi!$D$2:$H$337,
   MATCH(1,(deskripsi!$A$2:$A$337=B843)*
           (deskripsi!$B$2:$B$337=C843)*
           (deskripsi!$C$2:$C$337=D843),0),
   F843)</f>
        <v>Memahami setelah membaca beberapa kali, masih lebih lambat dari tuntutan pekerjaan.</v>
      </c>
    </row>
    <row r="844" spans="1:7" ht="28">
      <c r="A844" t="str">
        <f t="shared" si="13"/>
        <v>Strategic Thinking|Officer|1|3</v>
      </c>
      <c r="B844" t="str">
        <v>Strategic Thinking</v>
      </c>
      <c r="C844" t="str">
        <v>Officer</v>
      </c>
      <c r="D844" s="76">
        <v>1</v>
      </c>
      <c r="E844" t="str" cm="1">
        <f t="array" ref="E844">INDEX(aspek!$D$2:$D$337,
   MATCH(1,(aspek!$A$2:$A$337=B844)*
           (aspek!$B$2:$B$337=C844)*
           (aspek!$C$2:$C$337=D844),0))</f>
        <v>Kecepatan memahami informasi bisnis</v>
      </c>
      <c r="F844" s="76">
        <v>3</v>
      </c>
      <c r="G844" s="56" t="str" cm="1">
        <f t="array" ref="G844">INDEX(deskripsi!$D$2:$H$337,
   MATCH(1,(deskripsi!$A$2:$A$337=B844)*
           (deskripsi!$B$2:$B$337=C844)*
           (deskripsi!$C$2:$C$337=D844),0),
   F844)</f>
        <v>Memahami dokumen bisnis rutin dalam waktu wajar tanpa penjelasan tambahan.</v>
      </c>
    </row>
    <row r="845" spans="1:7" ht="42">
      <c r="A845" t="str">
        <f t="shared" si="13"/>
        <v>Strategic Thinking|Officer|1|4</v>
      </c>
      <c r="B845" t="str">
        <v>Strategic Thinking</v>
      </c>
      <c r="C845" t="str">
        <v>Officer</v>
      </c>
      <c r="D845" s="76">
        <v>1</v>
      </c>
      <c r="E845" t="str" cm="1">
        <f t="array" ref="E845">INDEX(aspek!$D$2:$D$337,
   MATCH(1,(aspek!$A$2:$A$337=B845)*
           (aspek!$B$2:$B$337=C845)*
           (aspek!$C$2:$C$337=D845),0))</f>
        <v>Kecepatan memahami informasi bisnis</v>
      </c>
      <c r="F845" s="76">
        <v>4</v>
      </c>
      <c r="G845" s="56" t="str" cm="1">
        <f t="array" ref="G845">INDEX(deskripsi!$D$2:$H$337,
   MATCH(1,(deskripsi!$A$2:$A$337=B845)*
           (deskripsi!$B$2:$B$337=C845)*
           (deskripsi!$C$2:$C$337=D845),0),
   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76">
        <v>1</v>
      </c>
      <c r="E846" t="str" cm="1">
        <f t="array" ref="E846">INDEX(aspek!$D$2:$D$337,
   MATCH(1,(aspek!$A$2:$A$337=B846)*
           (aspek!$B$2:$B$337=C846)*
           (aspek!$C$2:$C$337=D846),0))</f>
        <v>Kecepatan memahami informasi bisnis</v>
      </c>
      <c r="F846" s="76">
        <v>5</v>
      </c>
      <c r="G846" s="56" t="str" cm="1">
        <f t="array" ref="G846">INDEX(deskripsi!$D$2:$H$337,
   MATCH(1,(deskripsi!$A$2:$A$337=B846)*
           (deskripsi!$B$2:$B$337=C846)*
           (deskripsi!$C$2:$C$337=D846),0),
   F846)</f>
        <v>Menjadi orang yang dimintai bantuan rekan untuk membaca laporan yang sulit dipahami.</v>
      </c>
    </row>
    <row r="847" spans="1:7" ht="28">
      <c r="A847" t="str">
        <f t="shared" si="13"/>
        <v>Strategic Thinking|Officer|2|1</v>
      </c>
      <c r="B847" t="str">
        <v>Strategic Thinking</v>
      </c>
      <c r="C847" t="str">
        <v>Officer</v>
      </c>
      <c r="D847" s="76">
        <v>2</v>
      </c>
      <c r="E847" t="str" cm="1">
        <f t="array" ref="E847">INDEX(aspek!$D$2:$D$337,
   MATCH(1,(aspek!$A$2:$A$337=B847)*
           (aspek!$B$2:$B$337=C847)*
           (aspek!$C$2:$C$337=D847),0))</f>
        <v>Akurasi menangkap poin utama</v>
      </c>
      <c r="F847" s="76">
        <v>1</v>
      </c>
      <c r="G847" s="56" t="str" cm="1">
        <f t="array" ref="G847">INDEX(deskripsi!$D$2:$H$337,
   MATCH(1,(deskripsi!$A$2:$A$337=B847)*
           (deskripsi!$B$2:$B$337=C847)*
           (deskripsi!$C$2:$C$337=D847),0),
   F847)</f>
        <v>Menangkap bagian yang menarik baginya, bukan bagian yang terpenting bagi keputusan.</v>
      </c>
    </row>
    <row r="848" spans="1:7" ht="28">
      <c r="A848" t="str">
        <f t="shared" si="13"/>
        <v>Strategic Thinking|Officer|2|2</v>
      </c>
      <c r="B848" t="str">
        <v>Strategic Thinking</v>
      </c>
      <c r="C848" t="str">
        <v>Officer</v>
      </c>
      <c r="D848" s="76">
        <v>2</v>
      </c>
      <c r="E848" t="str" cm="1">
        <f t="array" ref="E848">INDEX(aspek!$D$2:$D$337,
   MATCH(1,(aspek!$A$2:$A$337=B848)*
           (aspek!$B$2:$B$337=C848)*
           (aspek!$C$2:$C$337=D848),0))</f>
        <v>Akurasi menangkap poin utama</v>
      </c>
      <c r="F848" s="76">
        <v>2</v>
      </c>
      <c r="G848" s="56" t="str" cm="1">
        <f t="array" ref="G848">INDEX(deskripsi!$D$2:$H$337,
   MATCH(1,(deskripsi!$A$2:$A$337=B848)*
           (deskripsi!$B$2:$B$337=C848)*
           (deskripsi!$C$2:$C$337=D848),0),
   F848)</f>
        <v>Menangkap sebagian poin utama, tercampur dengan detail yang tidak menentukan.</v>
      </c>
    </row>
    <row r="849" spans="1:7" ht="28">
      <c r="A849" t="str">
        <f t="shared" si="13"/>
        <v>Strategic Thinking|Officer|2|3</v>
      </c>
      <c r="B849" t="str">
        <v>Strategic Thinking</v>
      </c>
      <c r="C849" t="str">
        <v>Officer</v>
      </c>
      <c r="D849" s="76">
        <v>2</v>
      </c>
      <c r="E849" t="str" cm="1">
        <f t="array" ref="E849">INDEX(aspek!$D$2:$D$337,
   MATCH(1,(aspek!$A$2:$A$337=B849)*
           (aspek!$B$2:$B$337=C849)*
           (aspek!$C$2:$C$337=D849),0))</f>
        <v>Akurasi menangkap poin utama</v>
      </c>
      <c r="F849" s="76">
        <v>3</v>
      </c>
      <c r="G849" s="56" t="str" cm="1">
        <f t="array" ref="G849">INDEX(deskripsi!$D$2:$H$337,
   MATCH(1,(deskripsi!$A$2:$A$337=B849)*
           (deskripsi!$B$2:$B$337=C849)*
           (deskripsi!$C$2:$C$337=D849),0),
   F849)</f>
        <v>Menangkap poin utama dengan benar pada dokumen yang strukturnya jelas.</v>
      </c>
    </row>
    <row r="850" spans="1:7" ht="28">
      <c r="A850" t="str">
        <f t="shared" si="13"/>
        <v>Strategic Thinking|Officer|2|4</v>
      </c>
      <c r="B850" t="str">
        <v>Strategic Thinking</v>
      </c>
      <c r="C850" t="str">
        <v>Officer</v>
      </c>
      <c r="D850" s="76">
        <v>2</v>
      </c>
      <c r="E850" t="str" cm="1">
        <f t="array" ref="E850">INDEX(aspek!$D$2:$D$337,
   MATCH(1,(aspek!$A$2:$A$337=B850)*
           (aspek!$B$2:$B$337=C850)*
           (aspek!$C$2:$C$337=D850),0))</f>
        <v>Akurasi menangkap poin utama</v>
      </c>
      <c r="F850" s="76">
        <v>4</v>
      </c>
      <c r="G850" s="56" t="str" cm="1">
        <f t="array" ref="G850">INDEX(deskripsi!$D$2:$H$337,
   MATCH(1,(deskripsi!$A$2:$A$337=B850)*
           (deskripsi!$B$2:$B$337=C850)*
           (deskripsi!$C$2:$C$337=D850),0),
   F850)</f>
        <v>Poin utama yang ia tangkap dibenarkan atasan atau pemilik dokumen, termasuk pada laporan yang panjang.</v>
      </c>
    </row>
    <row r="851" spans="1:7" ht="28">
      <c r="A851" t="str">
        <f t="shared" si="13"/>
        <v>Strategic Thinking|Officer|2|5</v>
      </c>
      <c r="B851" t="str">
        <v>Strategic Thinking</v>
      </c>
      <c r="C851" t="str">
        <v>Officer</v>
      </c>
      <c r="D851" s="76">
        <v>2</v>
      </c>
      <c r="E851" t="str" cm="1">
        <f t="array" ref="E851">INDEX(aspek!$D$2:$D$337,
   MATCH(1,(aspek!$A$2:$A$337=B851)*
           (aspek!$B$2:$B$337=C851)*
           (aspek!$C$2:$C$337=D851),0))</f>
        <v>Akurasi menangkap poin utama</v>
      </c>
      <c r="F851" s="76">
        <v>5</v>
      </c>
      <c r="G851" s="56" t="str" cm="1">
        <f t="array" ref="G851">INDEX(deskripsi!$D$2:$H$337,
   MATCH(1,(deskripsi!$A$2:$A$337=B851)*
           (deskripsi!$B$2:$B$337=C851)*
           (deskripsi!$C$2:$C$337=D851),0),
   F851)</f>
        <v>Menemukan poin penting yang bahkan tidak disadari penyusun dokumennya.</v>
      </c>
    </row>
    <row r="852" spans="1:7" ht="28">
      <c r="A852" t="str">
        <f t="shared" si="13"/>
        <v>Strategic Thinking|Officer|3|1</v>
      </c>
      <c r="B852" t="str">
        <v>Strategic Thinking</v>
      </c>
      <c r="C852" t="str">
        <v>Officer</v>
      </c>
      <c r="D852" s="76">
        <v>3</v>
      </c>
      <c r="E852" t="str" cm="1">
        <f t="array" ref="E852">INDEX(aspek!$D$2:$D$337,
   MATCH(1,(aspek!$A$2:$A$337=B852)*
           (aspek!$B$2:$B$337=C852)*
           (aspek!$C$2:$C$337=D852),0))</f>
        <v>Kemandirian menyimpulkan</v>
      </c>
      <c r="F852" s="76">
        <v>1</v>
      </c>
      <c r="G852" s="56" t="str" cm="1">
        <f t="array" ref="G852">INDEX(deskripsi!$D$2:$H$337,
   MATCH(1,(deskripsi!$A$2:$A$337=B852)*
           (deskripsi!$B$2:$B$337=C852)*
           (deskripsi!$C$2:$C$337=D852),0),
   F852)</f>
        <v>Tidak menarik kesimpulan; menunggu diberi tahu apa arti sebuah laporan.</v>
      </c>
    </row>
    <row r="853" spans="1:7" ht="28">
      <c r="A853" t="str">
        <f t="shared" si="13"/>
        <v>Strategic Thinking|Officer|3|2</v>
      </c>
      <c r="B853" t="str">
        <v>Strategic Thinking</v>
      </c>
      <c r="C853" t="str">
        <v>Officer</v>
      </c>
      <c r="D853" s="76">
        <v>3</v>
      </c>
      <c r="E853" t="str" cm="1">
        <f t="array" ref="E853">INDEX(aspek!$D$2:$D$337,
   MATCH(1,(aspek!$A$2:$A$337=B853)*
           (aspek!$B$2:$B$337=C853)*
           (aspek!$C$2:$C$337=D853),0))</f>
        <v>Kemandirian menyimpulkan</v>
      </c>
      <c r="F853" s="76">
        <v>2</v>
      </c>
      <c r="G853" s="56" t="str" cm="1">
        <f t="array" ref="G853">INDEX(deskripsi!$D$2:$H$337,
   MATCH(1,(deskripsi!$A$2:$A$337=B853)*
           (deskripsi!$B$2:$B$337=C853)*
           (deskripsi!$C$2:$C$337=D853),0),
   F853)</f>
        <v>Meringkas isi dokumen, tetapi kesimpulan diserahkan kepada orang lain.</v>
      </c>
    </row>
    <row r="854" spans="1:7" ht="28">
      <c r="A854" t="str">
        <f t="shared" si="13"/>
        <v>Strategic Thinking|Officer|3|3</v>
      </c>
      <c r="B854" t="str">
        <v>Strategic Thinking</v>
      </c>
      <c r="C854" t="str">
        <v>Officer</v>
      </c>
      <c r="D854" s="76">
        <v>3</v>
      </c>
      <c r="E854" t="str" cm="1">
        <f t="array" ref="E854">INDEX(aspek!$D$2:$D$337,
   MATCH(1,(aspek!$A$2:$A$337=B854)*
           (aspek!$B$2:$B$337=C854)*
           (aspek!$C$2:$C$337=D854),0))</f>
        <v>Kemandirian menyimpulkan</v>
      </c>
      <c r="F854" s="76">
        <v>3</v>
      </c>
      <c r="G854" s="56" t="str" cm="1">
        <f t="array" ref="G854">INDEX(deskripsi!$D$2:$H$337,
   MATCH(1,(deskripsi!$A$2:$A$337=B854)*
           (deskripsi!$B$2:$B$337=C854)*
           (deskripsi!$C$2:$C$337=D854),0),
   F854)</f>
        <v>Menarik kesimpulan sendiri, meski masih sering perlu dikoreksi.</v>
      </c>
    </row>
    <row r="855" spans="1:7" ht="28">
      <c r="A855" t="str">
        <f t="shared" si="13"/>
        <v>Strategic Thinking|Officer|3|4</v>
      </c>
      <c r="B855" t="str">
        <v>Strategic Thinking</v>
      </c>
      <c r="C855" t="str">
        <v>Officer</v>
      </c>
      <c r="D855" s="76">
        <v>3</v>
      </c>
      <c r="E855" t="str" cm="1">
        <f t="array" ref="E855">INDEX(aspek!$D$2:$D$337,
   MATCH(1,(aspek!$A$2:$A$337=B855)*
           (aspek!$B$2:$B$337=C855)*
           (aspek!$C$2:$C$337=D855),0))</f>
        <v>Kemandirian menyimpulkan</v>
      </c>
      <c r="F855" s="76">
        <v>4</v>
      </c>
      <c r="G855" s="56" t="str" cm="1">
        <f t="array" ref="G855">INDEX(deskripsi!$D$2:$H$337,
   MATCH(1,(deskripsi!$A$2:$A$337=B855)*
           (deskripsi!$B$2:$B$337=C855)*
           (deskripsi!$C$2:$C$337=D855),0),
   F855)</f>
        <v>Menyampaikan kesimpulan sendiri sebelum meminta arahan, dan mayoritas kesimpulannya tepat.</v>
      </c>
    </row>
    <row r="856" spans="1:7" ht="28">
      <c r="A856" t="str">
        <f t="shared" si="13"/>
        <v>Strategic Thinking|Officer|3|5</v>
      </c>
      <c r="B856" t="str">
        <v>Strategic Thinking</v>
      </c>
      <c r="C856" t="str">
        <v>Officer</v>
      </c>
      <c r="D856" s="76">
        <v>3</v>
      </c>
      <c r="E856" t="str" cm="1">
        <f t="array" ref="E856">INDEX(aspek!$D$2:$D$337,
   MATCH(1,(aspek!$A$2:$A$337=B856)*
           (aspek!$B$2:$B$337=C856)*
           (aspek!$C$2:$C$337=D856),0))</f>
        <v>Kemandirian menyimpulkan</v>
      </c>
      <c r="F856" s="76">
        <v>5</v>
      </c>
      <c r="G856" s="56" t="str" cm="1">
        <f t="array" ref="G856">INDEX(deskripsi!$D$2:$H$337,
   MATCH(1,(deskripsi!$A$2:$A$337=B856)*
           (deskripsi!$B$2:$B$337=C856)*
           (deskripsi!$C$2:$C$337=D856),0),
   F856)</f>
        <v>Kesimpulannya dipakai orang lain sebagai dasar keputusan tanpa perlu diperiksa ulang.</v>
      </c>
    </row>
    <row r="857" spans="1:7" ht="28">
      <c r="A857" t="str">
        <f t="shared" si="13"/>
        <v>Strategic Thinking|Officer|4|1</v>
      </c>
      <c r="B857" t="str">
        <v>Strategic Thinking</v>
      </c>
      <c r="C857" t="str">
        <v>Officer</v>
      </c>
      <c r="D857" s="76">
        <v>4</v>
      </c>
      <c r="E857" t="str" cm="1">
        <f t="array" ref="E857">INDEX(aspek!$D$2:$D$337,
   MATCH(1,(aspek!$A$2:$A$337=B857)*
           (aspek!$B$2:$B$337=C857)*
           (aspek!$C$2:$C$337=D857),0))</f>
        <v>Menghubungkan dengan konteks pekerjaan</v>
      </c>
      <c r="F857" s="76">
        <v>1</v>
      </c>
      <c r="G857" s="56" t="str" cm="1">
        <f t="array" ref="G857">INDEX(deskripsi!$D$2:$H$337,
   MATCH(1,(deskripsi!$A$2:$A$337=B857)*
           (deskripsi!$B$2:$B$337=C857)*
           (deskripsi!$C$2:$C$337=D857),0),
   F857)</f>
        <v>Tidak melihat hubungan antara informasi bisnis dan pekerjaannya sendiri.</v>
      </c>
    </row>
    <row r="858" spans="1:7" ht="28">
      <c r="A858" t="str">
        <f t="shared" si="13"/>
        <v>Strategic Thinking|Officer|4|2</v>
      </c>
      <c r="B858" t="str">
        <v>Strategic Thinking</v>
      </c>
      <c r="C858" t="str">
        <v>Officer</v>
      </c>
      <c r="D858" s="76">
        <v>4</v>
      </c>
      <c r="E858" t="str" cm="1">
        <f t="array" ref="E858">INDEX(aspek!$D$2:$D$337,
   MATCH(1,(aspek!$A$2:$A$337=B858)*
           (aspek!$B$2:$B$337=C858)*
           (aspek!$C$2:$C$337=D858),0))</f>
        <v>Menghubungkan dengan konteks pekerjaan</v>
      </c>
      <c r="F858" s="76">
        <v>2</v>
      </c>
      <c r="G858" s="56" t="str" cm="1">
        <f t="array" ref="G858">INDEX(deskripsi!$D$2:$H$337,
   MATCH(1,(deskripsi!$A$2:$A$337=B858)*
           (deskripsi!$B$2:$B$337=C858)*
           (deskripsi!$C$2:$C$337=D858),0),
   F858)</f>
        <v>Menyadari ada hubungan, tetapi tidak dapat menyebutkannya secara spesifik.</v>
      </c>
    </row>
    <row r="859" spans="1:7">
      <c r="A859" t="str">
        <f t="shared" si="13"/>
        <v>Strategic Thinking|Officer|4|3</v>
      </c>
      <c r="B859" t="str">
        <v>Strategic Thinking</v>
      </c>
      <c r="C859" t="str">
        <v>Officer</v>
      </c>
      <c r="D859" s="76">
        <v>4</v>
      </c>
      <c r="E859" t="str" cm="1">
        <f t="array" ref="E859">INDEX(aspek!$D$2:$D$337,
   MATCH(1,(aspek!$A$2:$A$337=B859)*
           (aspek!$B$2:$B$337=C859)*
           (aspek!$C$2:$C$337=D859),0))</f>
        <v>Menghubungkan dengan konteks pekerjaan</v>
      </c>
      <c r="F859" s="76">
        <v>3</v>
      </c>
      <c r="G859" s="56" t="str" cm="1">
        <f t="array" ref="G859">INDEX(deskripsi!$D$2:$H$337,
   MATCH(1,(deskripsi!$A$2:$A$337=B859)*
           (deskripsi!$B$2:$B$337=C859)*
           (deskripsi!$C$2:$C$337=D859),0),
   F859)</f>
        <v>Menjelaskan keterkaitan pekerjaannya dengan target unit.</v>
      </c>
    </row>
    <row r="860" spans="1:7" ht="56">
      <c r="A860" t="str">
        <f t="shared" si="13"/>
        <v>Strategic Thinking|Officer|4|4</v>
      </c>
      <c r="B860" t="str">
        <v>Strategic Thinking</v>
      </c>
      <c r="C860" t="str">
        <v>Officer</v>
      </c>
      <c r="D860" s="76">
        <v>4</v>
      </c>
      <c r="E860" t="str" cm="1">
        <f t="array" ref="E860">INDEX(aspek!$D$2:$D$337,
   MATCH(1,(aspek!$A$2:$A$337=B860)*
           (aspek!$B$2:$B$337=C860)*
           (aspek!$C$2:$C$337=D860),0))</f>
        <v>Menghubungkan dengan konteks pekerjaan</v>
      </c>
      <c r="F860" s="76">
        <v>4</v>
      </c>
      <c r="G860" s="56" t="str" cm="1">
        <f t="array" ref="G860">INDEX(deskripsi!$D$2:$H$337,
   MATCH(1,(deskripsi!$A$2:$A$337=B860)*
           (deskripsi!$B$2:$B$337=C860)*
           (deskripsi!$C$2:$C$337=D860),0),
   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76">
        <v>4</v>
      </c>
      <c r="E861" t="str" cm="1">
        <f t="array" ref="E861">INDEX(aspek!$D$2:$D$337,
   MATCH(1,(aspek!$A$2:$A$337=B861)*
           (aspek!$B$2:$B$337=C861)*
           (aspek!$C$2:$C$337=D861),0))</f>
        <v>Menghubungkan dengan konteks pekerjaan</v>
      </c>
      <c r="F861" s="76">
        <v>5</v>
      </c>
      <c r="G861" s="56" t="str" cm="1">
        <f t="array" ref="G861">INDEX(deskripsi!$D$2:$H$337,
   MATCH(1,(deskripsi!$A$2:$A$337=B861)*
           (deskripsi!$B$2:$B$337=C861)*
           (deskripsi!$C$2:$C$337=D861),0),
   F861)</f>
        <v>Menemukan keterkaitan yang belum terlihat oleh unitnya dan mengubah cara target disusun.</v>
      </c>
    </row>
    <row r="862" spans="1:7" ht="28">
      <c r="A862" t="str">
        <f t="shared" si="13"/>
        <v>Strategic Thinking|Analyst|1|1</v>
      </c>
      <c r="B862" t="str">
        <v>Strategic Thinking</v>
      </c>
      <c r="C862" t="str">
        <v>Analyst</v>
      </c>
      <c r="D862" s="76">
        <v>1</v>
      </c>
      <c r="E862" t="str" cm="1">
        <f t="array" ref="E862">INDEX(aspek!$D$2:$D$337,
   MATCH(1,(aspek!$A$2:$A$337=B862)*
           (aspek!$B$2:$B$337=C862)*
           (aspek!$C$2:$C$337=D862),0))</f>
        <v>Struktur penjelasan</v>
      </c>
      <c r="F862" s="76">
        <v>1</v>
      </c>
      <c r="G862" s="56" t="str" cm="1">
        <f t="array" ref="G862">INDEX(deskripsi!$D$2:$H$337,
   MATCH(1,(deskripsi!$A$2:$A$337=B862)*
           (deskripsi!$B$2:$B$337=C862)*
           (deskripsi!$C$2:$C$337=D862),0),
   F862)</f>
        <v>Penjelasan analisis tidak terstruktur; pendengar tidak menemukan poin utamanya.</v>
      </c>
    </row>
    <row r="863" spans="1:7" ht="28">
      <c r="A863" t="str">
        <f t="shared" si="13"/>
        <v>Strategic Thinking|Analyst|1|2</v>
      </c>
      <c r="B863" t="str">
        <v>Strategic Thinking</v>
      </c>
      <c r="C863" t="str">
        <v>Analyst</v>
      </c>
      <c r="D863" s="76">
        <v>1</v>
      </c>
      <c r="E863" t="str" cm="1">
        <f t="array" ref="E863">INDEX(aspek!$D$2:$D$337,
   MATCH(1,(aspek!$A$2:$A$337=B863)*
           (aspek!$B$2:$B$337=C863)*
           (aspek!$C$2:$C$337=D863),0))</f>
        <v>Struktur penjelasan</v>
      </c>
      <c r="F863" s="76">
        <v>2</v>
      </c>
      <c r="G863" s="56" t="str" cm="1">
        <f t="array" ref="G863">INDEX(deskripsi!$D$2:$H$337,
   MATCH(1,(deskripsi!$A$2:$A$337=B863)*
           (deskripsi!$B$2:$B$337=C863)*
           (deskripsi!$C$2:$C$337=D863),0),
   F863)</f>
        <v>Ada urutan, tetapi berbelit — kesimpulan tenggelam di antara data pendukung.</v>
      </c>
    </row>
    <row r="864" spans="1:7" ht="28">
      <c r="A864" t="str">
        <f t="shared" si="13"/>
        <v>Strategic Thinking|Analyst|1|3</v>
      </c>
      <c r="B864" t="str">
        <v>Strategic Thinking</v>
      </c>
      <c r="C864" t="str">
        <v>Analyst</v>
      </c>
      <c r="D864" s="76">
        <v>1</v>
      </c>
      <c r="E864" t="str" cm="1">
        <f t="array" ref="E864">INDEX(aspek!$D$2:$D$337,
   MATCH(1,(aspek!$A$2:$A$337=B864)*
           (aspek!$B$2:$B$337=C864)*
           (aspek!$C$2:$C$337=D864),0))</f>
        <v>Struktur penjelasan</v>
      </c>
      <c r="F864" s="76">
        <v>3</v>
      </c>
      <c r="G864" s="56" t="str" cm="1">
        <f t="array" ref="G864">INDEX(deskripsi!$D$2:$H$337,
   MATCH(1,(deskripsi!$A$2:$A$337=B864)*
           (deskripsi!$B$2:$B$337=C864)*
           (deskripsi!$C$2:$C$337=D864),0),
   F864)</f>
        <v>Jelas dan runtut: kesimpulan di depan, didukung alasan yang dikelompokkan rapi.</v>
      </c>
    </row>
    <row r="865" spans="1:7" ht="28">
      <c r="A865" t="str">
        <f t="shared" si="13"/>
        <v>Strategic Thinking|Analyst|1|4</v>
      </c>
      <c r="B865" t="str">
        <v>Strategic Thinking</v>
      </c>
      <c r="C865" t="str">
        <v>Analyst</v>
      </c>
      <c r="D865" s="76">
        <v>1</v>
      </c>
      <c r="E865" t="str" cm="1">
        <f t="array" ref="E865">INDEX(aspek!$D$2:$D$337,
   MATCH(1,(aspek!$A$2:$A$337=B865)*
           (aspek!$B$2:$B$337=C865)*
           (aspek!$C$2:$C$337=D865),0))</f>
        <v>Struktur penjelasan</v>
      </c>
      <c r="F865" s="76">
        <v>4</v>
      </c>
      <c r="G865" s="56" t="str" cm="1">
        <f t="array" ref="G865">INDEX(deskripsi!$D$2:$H$337,
   MATCH(1,(deskripsi!$A$2:$A$337=B865)*
           (deskripsi!$B$2:$B$337=C865)*
           (deskripsi!$C$2:$C$337=D865),0),
   F865)</f>
        <v>Struktur disusun mengikuti keputusan yang dibutuhkan pendengar, bukan mengikuti urutan pengerjaan analisisnya.</v>
      </c>
    </row>
    <row r="866" spans="1:7" ht="28">
      <c r="A866" t="str">
        <f t="shared" si="13"/>
        <v>Strategic Thinking|Analyst|1|5</v>
      </c>
      <c r="B866" t="str">
        <v>Strategic Thinking</v>
      </c>
      <c r="C866" t="str">
        <v>Analyst</v>
      </c>
      <c r="D866" s="76">
        <v>1</v>
      </c>
      <c r="E866" t="str" cm="1">
        <f t="array" ref="E866">INDEX(aspek!$D$2:$D$337,
   MATCH(1,(aspek!$A$2:$A$337=B866)*
           (aspek!$B$2:$B$337=C866)*
           (aspek!$C$2:$C$337=D866),0))</f>
        <v>Struktur penjelasan</v>
      </c>
      <c r="F866" s="76">
        <v>5</v>
      </c>
      <c r="G866" s="56" t="str" cm="1">
        <f t="array" ref="G866">INDEX(deskripsi!$D$2:$H$337,
   MATCH(1,(deskripsi!$A$2:$A$337=B866)*
           (deskripsi!$B$2:$B$337=C866)*
           (deskripsi!$C$2:$C$337=D866),0),
   F866)</f>
        <v>Penjelasannya menjadi narasi yang menggerakkan pendengar untuk bertindak.</v>
      </c>
    </row>
    <row r="867" spans="1:7" ht="28">
      <c r="A867" t="str">
        <f t="shared" si="13"/>
        <v>Strategic Thinking|Analyst|2|1</v>
      </c>
      <c r="B867" t="str">
        <v>Strategic Thinking</v>
      </c>
      <c r="C867" t="str">
        <v>Analyst</v>
      </c>
      <c r="D867" s="76">
        <v>2</v>
      </c>
      <c r="E867" t="str" cm="1">
        <f t="array" ref="E867">INDEX(aspek!$D$2:$D$337,
   MATCH(1,(aspek!$A$2:$A$337=B867)*
           (aspek!$B$2:$B$337=C867)*
           (aspek!$C$2:$C$337=D867),0))</f>
        <v>Penyesuaian terhadap audiens</v>
      </c>
      <c r="F867" s="76">
        <v>1</v>
      </c>
      <c r="G867" s="56" t="str" cm="1">
        <f t="array" ref="G867">INDEX(deskripsi!$D$2:$H$337,
   MATCH(1,(deskripsi!$A$2:$A$337=B867)*
           (deskripsi!$B$2:$B$337=C867)*
           (deskripsi!$C$2:$C$337=D867),0),
   F867)</f>
        <v>Analisis yang sama disampaikan dengan cara yang sama kepada siapa pun.</v>
      </c>
    </row>
    <row r="868" spans="1:7" ht="28">
      <c r="A868" t="str">
        <f t="shared" si="13"/>
        <v>Strategic Thinking|Analyst|2|2</v>
      </c>
      <c r="B868" t="str">
        <v>Strategic Thinking</v>
      </c>
      <c r="C868" t="str">
        <v>Analyst</v>
      </c>
      <c r="D868" s="76">
        <v>2</v>
      </c>
      <c r="E868" t="str" cm="1">
        <f t="array" ref="E868">INDEX(aspek!$D$2:$D$337,
   MATCH(1,(aspek!$A$2:$A$337=B868)*
           (aspek!$B$2:$B$337=C868)*
           (aspek!$C$2:$C$337=D868),0))</f>
        <v>Penyesuaian terhadap audiens</v>
      </c>
      <c r="F868" s="76">
        <v>2</v>
      </c>
      <c r="G868" s="56" t="str" cm="1">
        <f t="array" ref="G868">INDEX(deskripsi!$D$2:$H$337,
   MATCH(1,(deskripsi!$A$2:$A$337=B868)*
           (deskripsi!$B$2:$B$337=C868)*
           (deskripsi!$C$2:$C$337=D868),0),
   F868)</f>
        <v>Menyadari audiens berbeda, tetapi penyesuaiannya hanya pada panjang-pendek.</v>
      </c>
    </row>
    <row r="869" spans="1:7" ht="28">
      <c r="A869" t="str">
        <f t="shared" si="13"/>
        <v>Strategic Thinking|Analyst|2|3</v>
      </c>
      <c r="B869" t="str">
        <v>Strategic Thinking</v>
      </c>
      <c r="C869" t="str">
        <v>Analyst</v>
      </c>
      <c r="D869" s="76">
        <v>2</v>
      </c>
      <c r="E869" t="str" cm="1">
        <f t="array" ref="E869">INDEX(aspek!$D$2:$D$337,
   MATCH(1,(aspek!$A$2:$A$337=B869)*
           (aspek!$B$2:$B$337=C869)*
           (aspek!$C$2:$C$337=D869),0))</f>
        <v>Penyesuaian terhadap audiens</v>
      </c>
      <c r="F869" s="76">
        <v>3</v>
      </c>
      <c r="G869" s="56" t="str" cm="1">
        <f t="array" ref="G869">INDEX(deskripsi!$D$2:$H$337,
   MATCH(1,(deskripsi!$A$2:$A$337=B869)*
           (deskripsi!$B$2:$B$337=C869)*
           (deskripsi!$C$2:$C$337=D869),0),
   F869)</f>
        <v>Menyesuaikan bahasa dan istilah sesuai latar belakang pendengar.</v>
      </c>
    </row>
    <row r="870" spans="1:7" ht="56">
      <c r="A870" t="str">
        <f t="shared" si="13"/>
        <v>Strategic Thinking|Analyst|2|4</v>
      </c>
      <c r="B870" t="str">
        <v>Strategic Thinking</v>
      </c>
      <c r="C870" t="str">
        <v>Analyst</v>
      </c>
      <c r="D870" s="76">
        <v>2</v>
      </c>
      <c r="E870" t="str" cm="1">
        <f t="array" ref="E870">INDEX(aspek!$D$2:$D$337,
   MATCH(1,(aspek!$A$2:$A$337=B870)*
           (aspek!$B$2:$B$337=C870)*
           (aspek!$C$2:$C$337=D870),0))</f>
        <v>Penyesuaian terhadap audiens</v>
      </c>
      <c r="F870" s="76">
        <v>4</v>
      </c>
      <c r="G870" s="56" t="str" cm="1">
        <f t="array" ref="G870">INDEX(deskripsi!$D$2:$H$337,
   MATCH(1,(deskripsi!$A$2:$A$337=B870)*
           (deskripsi!$B$2:$B$337=C870)*
           (deskripsi!$C$2:$C$337=D870),0),
   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76">
        <v>2</v>
      </c>
      <c r="E871" t="str" cm="1">
        <f t="array" ref="E871">INDEX(aspek!$D$2:$D$337,
   MATCH(1,(aspek!$A$2:$A$337=B871)*
           (aspek!$B$2:$B$337=C871)*
           (aspek!$C$2:$C$337=D871),0))</f>
        <v>Penyesuaian terhadap audiens</v>
      </c>
      <c r="F871" s="76">
        <v>5</v>
      </c>
      <c r="G871" s="56" t="str" cm="1">
        <f t="array" ref="G871">INDEX(deskripsi!$D$2:$H$337,
   MATCH(1,(deskripsi!$A$2:$A$337=B871)*
           (deskripsi!$B$2:$B$337=C871)*
           (deskripsi!$C$2:$C$337=D871),0),
   F871)</f>
        <v>Menjelaskan analisis yang sama secara meyakinkan kepada pihak yang kepentingannya berbeda.</v>
      </c>
    </row>
    <row r="872" spans="1:7" ht="28">
      <c r="A872" t="str">
        <f t="shared" si="13"/>
        <v>Strategic Thinking|Analyst|3|1</v>
      </c>
      <c r="B872" t="str">
        <v>Strategic Thinking</v>
      </c>
      <c r="C872" t="str">
        <v>Analyst</v>
      </c>
      <c r="D872" s="76">
        <v>3</v>
      </c>
      <c r="E872" t="str" cm="1">
        <f t="array" ref="E872">INDEX(aspek!$D$2:$D$337,
   MATCH(1,(aspek!$A$2:$A$337=B872)*
           (aspek!$B$2:$B$337=C872)*
           (aspek!$C$2:$C$337=D872),0))</f>
        <v>Menyederhanakan tanpa kehilangan makna</v>
      </c>
      <c r="F872" s="76">
        <v>1</v>
      </c>
      <c r="G872" s="56" t="str" cm="1">
        <f t="array" ref="G872">INDEX(deskripsi!$D$2:$H$337,
   MATCH(1,(deskripsi!$A$2:$A$337=B872)*
           (deskripsi!$B$2:$B$337=C872)*
           (deskripsi!$C$2:$C$337=D872),0),
   F872)</f>
        <v>Menyampaikan seluruh data apa adanya, atau menyederhanakan sampai kesimpulannya berubah.</v>
      </c>
    </row>
    <row r="873" spans="1:7" ht="28">
      <c r="A873" t="str">
        <f t="shared" si="13"/>
        <v>Strategic Thinking|Analyst|3|2</v>
      </c>
      <c r="B873" t="str">
        <v>Strategic Thinking</v>
      </c>
      <c r="C873" t="str">
        <v>Analyst</v>
      </c>
      <c r="D873" s="76">
        <v>3</v>
      </c>
      <c r="E873" t="str" cm="1">
        <f t="array" ref="E873">INDEX(aspek!$D$2:$D$337,
   MATCH(1,(aspek!$A$2:$A$337=B873)*
           (aspek!$B$2:$B$337=C873)*
           (aspek!$C$2:$C$337=D873),0))</f>
        <v>Menyederhanakan tanpa kehilangan makna</v>
      </c>
      <c r="F873" s="76">
        <v>2</v>
      </c>
      <c r="G873" s="56" t="str" cm="1">
        <f t="array" ref="G873">INDEX(deskripsi!$D$2:$H$337,
   MATCH(1,(deskripsi!$A$2:$A$337=B873)*
           (deskripsi!$B$2:$B$337=C873)*
           (deskripsi!$C$2:$C$337=D873),0),
   F873)</f>
        <v>Menyederhanakan dengan membuang bagian yang sulit dijelaskan, termasuk yang menentukan.</v>
      </c>
    </row>
    <row r="874" spans="1:7" ht="28">
      <c r="A874" t="str">
        <f t="shared" si="13"/>
        <v>Strategic Thinking|Analyst|3|3</v>
      </c>
      <c r="B874" t="str">
        <v>Strategic Thinking</v>
      </c>
      <c r="C874" t="str">
        <v>Analyst</v>
      </c>
      <c r="D874" s="76">
        <v>3</v>
      </c>
      <c r="E874" t="str" cm="1">
        <f t="array" ref="E874">INDEX(aspek!$D$2:$D$337,
   MATCH(1,(aspek!$A$2:$A$337=B874)*
           (aspek!$B$2:$B$337=C874)*
           (aspek!$C$2:$C$337=D874),0))</f>
        <v>Menyederhanakan tanpa kehilangan makna</v>
      </c>
      <c r="F874" s="76">
        <v>3</v>
      </c>
      <c r="G874" s="56" t="str" cm="1">
        <f t="array" ref="G874">INDEX(deskripsi!$D$2:$H$337,
   MATCH(1,(deskripsi!$A$2:$A$337=B874)*
           (deskripsi!$B$2:$B$337=C874)*
           (deskripsi!$C$2:$C$337=D874),0),
   F874)</f>
        <v>Menerjemahkan istilah dan angka ke bahasa yang dapat dipahami dengan menjaga artinya.</v>
      </c>
    </row>
    <row r="875" spans="1:7" ht="42">
      <c r="A875" t="str">
        <f t="shared" si="13"/>
        <v>Strategic Thinking|Analyst|3|4</v>
      </c>
      <c r="B875" t="str">
        <v>Strategic Thinking</v>
      </c>
      <c r="C875" t="str">
        <v>Analyst</v>
      </c>
      <c r="D875" s="76">
        <v>3</v>
      </c>
      <c r="E875" t="str" cm="1">
        <f t="array" ref="E875">INDEX(aspek!$D$2:$D$337,
   MATCH(1,(aspek!$A$2:$A$337=B875)*
           (aspek!$B$2:$B$337=C875)*
           (aspek!$C$2:$C$337=D875),0))</f>
        <v>Menyederhanakan tanpa kehilangan makna</v>
      </c>
      <c r="F875" s="76">
        <v>4</v>
      </c>
      <c r="G875" s="56" t="str" cm="1">
        <f t="array" ref="G875">INDEX(deskripsi!$D$2:$H$337,
   MATCH(1,(deskripsi!$A$2:$A$337=B875)*
           (deskripsi!$B$2:$B$337=C875)*
           (deskripsi!$C$2:$C$337=D875),0),
   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76">
        <v>3</v>
      </c>
      <c r="E876" t="str" cm="1">
        <f t="array" ref="E876">INDEX(aspek!$D$2:$D$337,
   MATCH(1,(aspek!$A$2:$A$337=B876)*
           (aspek!$B$2:$B$337=C876)*
           (aspek!$C$2:$C$337=D876),0))</f>
        <v>Menyederhanakan tanpa kehilangan makna</v>
      </c>
      <c r="F876" s="76">
        <v>5</v>
      </c>
      <c r="G876" s="56" t="str" cm="1">
        <f t="array" ref="G876">INDEX(deskripsi!$D$2:$H$337,
   MATCH(1,(deskripsi!$A$2:$A$337=B876)*
           (deskripsi!$B$2:$B$337=C876)*
           (deskripsi!$C$2:$C$337=D876),0),
   F876)</f>
        <v>Ringkasannya dipakai orang lain sebagai rujukan karena lebih jelas daripada analisis aslinya.</v>
      </c>
    </row>
    <row r="877" spans="1:7" ht="28">
      <c r="A877" t="str">
        <f t="shared" si="13"/>
        <v>Strategic Thinking|Analyst|4|1</v>
      </c>
      <c r="B877" t="str">
        <v>Strategic Thinking</v>
      </c>
      <c r="C877" t="str">
        <v>Analyst</v>
      </c>
      <c r="D877" s="76">
        <v>4</v>
      </c>
      <c r="E877" t="str" cm="1">
        <f t="array" ref="E877">INDEX(aspek!$D$2:$D$337,
   MATCH(1,(aspek!$A$2:$A$337=B877)*
           (aspek!$B$2:$B$337=C877)*
           (aspek!$C$2:$C$337=D877),0))</f>
        <v>Bukti pemahaman audiens</v>
      </c>
      <c r="F877" s="76">
        <v>1</v>
      </c>
      <c r="G877" s="56" t="str" cm="1">
        <f t="array" ref="G877">INDEX(deskripsi!$D$2:$H$337,
   MATCH(1,(deskripsi!$A$2:$A$337=B877)*
           (deskripsi!$B$2:$B$337=C877)*
           (deskripsi!$C$2:$C$337=D877),0),
   F877)</f>
        <v>Pendengar sering salah menangkap maksud analisis; keputusan diambil atas dasar yang keliru.</v>
      </c>
    </row>
    <row r="878" spans="1:7" ht="28">
      <c r="A878" t="str">
        <f t="shared" si="13"/>
        <v>Strategic Thinking|Analyst|4|2</v>
      </c>
      <c r="B878" t="str">
        <v>Strategic Thinking</v>
      </c>
      <c r="C878" t="str">
        <v>Analyst</v>
      </c>
      <c r="D878" s="76">
        <v>4</v>
      </c>
      <c r="E878" t="str" cm="1">
        <f t="array" ref="E878">INDEX(aspek!$D$2:$D$337,
   MATCH(1,(aspek!$A$2:$A$337=B878)*
           (aspek!$B$2:$B$337=C878)*
           (aspek!$C$2:$C$337=D878),0))</f>
        <v>Bukti pemahaman audiens</v>
      </c>
      <c r="F878" s="76">
        <v>2</v>
      </c>
      <c r="G878" s="56" t="str" cm="1">
        <f t="array" ref="G878">INDEX(deskripsi!$D$2:$H$337,
   MATCH(1,(deskripsi!$A$2:$A$337=B878)*
           (deskripsi!$B$2:$B$337=C878)*
           (deskripsi!$C$2:$C$337=D878),0),
   F878)</f>
        <v>Pendengar perlu bertanya berulang untuk hal yang seharusnya sudah jelas.</v>
      </c>
    </row>
    <row r="879" spans="1:7" ht="28">
      <c r="A879" t="str">
        <f t="shared" si="13"/>
        <v>Strategic Thinking|Analyst|4|3</v>
      </c>
      <c r="B879" t="str">
        <v>Strategic Thinking</v>
      </c>
      <c r="C879" t="str">
        <v>Analyst</v>
      </c>
      <c r="D879" s="76">
        <v>4</v>
      </c>
      <c r="E879" t="str" cm="1">
        <f t="array" ref="E879">INDEX(aspek!$D$2:$D$337,
   MATCH(1,(aspek!$A$2:$A$337=B879)*
           (aspek!$B$2:$B$337=C879)*
           (aspek!$C$2:$C$337=D879),0))</f>
        <v>Bukti pemahaman audiens</v>
      </c>
      <c r="F879" s="76">
        <v>3</v>
      </c>
      <c r="G879" s="56" t="str" cm="1">
        <f t="array" ref="G879">INDEX(deskripsi!$D$2:$H$337,
   MATCH(1,(deskripsi!$A$2:$A$337=B879)*
           (deskripsi!$B$2:$B$337=C879)*
           (deskripsi!$C$2:$C$337=D879),0),
   F879)</f>
        <v>Pendengar memahami inti analisis, meski beberapa detail masih perlu ditanyakan.</v>
      </c>
    </row>
    <row r="880" spans="1:7" ht="42">
      <c r="A880" t="str">
        <f t="shared" si="13"/>
        <v>Strategic Thinking|Analyst|4|4</v>
      </c>
      <c r="B880" t="str">
        <v>Strategic Thinking</v>
      </c>
      <c r="C880" t="str">
        <v>Analyst</v>
      </c>
      <c r="D880" s="76">
        <v>4</v>
      </c>
      <c r="E880" t="str" cm="1">
        <f t="array" ref="E880">INDEX(aspek!$D$2:$D$337,
   MATCH(1,(aspek!$A$2:$A$337=B880)*
           (aspek!$B$2:$B$337=C880)*
           (aspek!$C$2:$C$337=D880),0))</f>
        <v>Bukti pemahaman audiens</v>
      </c>
      <c r="F880" s="76">
        <v>4</v>
      </c>
      <c r="G880" s="56" t="str" cm="1">
        <f t="array" ref="G880">INDEX(deskripsi!$D$2:$H$337,
   MATCH(1,(deskripsi!$A$2:$A$337=B880)*
           (deskripsi!$B$2:$B$337=C880)*
           (deskripsi!$C$2:$C$337=D880),0),
   F880)</f>
        <v>Pendengar mampu menjelaskan ulang isinya dengan bahasa sendiri sesuai maksud aslinya; pertanyaan yang muncul bersifat pendalaman, bukan pengulangan.</v>
      </c>
    </row>
    <row r="881" spans="1:7" ht="28">
      <c r="A881" t="str">
        <f t="shared" si="13"/>
        <v>Strategic Thinking|Analyst|4|5</v>
      </c>
      <c r="B881" t="str">
        <v>Strategic Thinking</v>
      </c>
      <c r="C881" t="str">
        <v>Analyst</v>
      </c>
      <c r="D881" s="76">
        <v>4</v>
      </c>
      <c r="E881" t="str" cm="1">
        <f t="array" ref="E881">INDEX(aspek!$D$2:$D$337,
   MATCH(1,(aspek!$A$2:$A$337=B881)*
           (aspek!$B$2:$B$337=C881)*
           (aspek!$C$2:$C$337=D881),0))</f>
        <v>Bukti pemahaman audiens</v>
      </c>
      <c r="F881" s="76">
        <v>5</v>
      </c>
      <c r="G881" s="56" t="str" cm="1">
        <f t="array" ref="G881">INDEX(deskripsi!$D$2:$H$337,
   MATCH(1,(deskripsi!$A$2:$A$337=B881)*
           (deskripsi!$B$2:$B$337=C881)*
           (deskripsi!$C$2:$C$337=D881),0),
   F881)</f>
        <v>Pendengar dapat meneruskan analisis itu kepada orang lain dengan tepat tanpa kehadiran penyusunnya.</v>
      </c>
    </row>
    <row r="882" spans="1:7" ht="28">
      <c r="A882" t="str">
        <f t="shared" si="13"/>
        <v>Strategic Thinking|Unit Head/Specialist|1|1</v>
      </c>
      <c r="B882" t="str">
        <v>Strategic Thinking</v>
      </c>
      <c r="C882" t="str">
        <v>Unit Head/Specialist</v>
      </c>
      <c r="D882" s="76">
        <v>1</v>
      </c>
      <c r="E882" t="str" cm="1">
        <f t="array" ref="E882">INDEX(aspek!$D$2:$D$337,
   MATCH(1,(aspek!$A$2:$A$337=B882)*
           (aspek!$B$2:$B$337=C882)*
           (aspek!$C$2:$C$337=D882),0))</f>
        <v>Framing pertama atas perubahan</v>
      </c>
      <c r="F882" s="76">
        <v>1</v>
      </c>
      <c r="G882" s="56" t="str" cm="1">
        <f t="array" ref="G882">INDEX(deskripsi!$D$2:$H$337,
   MATCH(1,(deskripsi!$A$2:$A$337=B882)*
           (deskripsi!$B$2:$B$337=C882)*
           (deskripsi!$C$2:$C$337=D882),0),
   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76">
        <v>1</v>
      </c>
      <c r="E883" t="str" cm="1">
        <f t="array" ref="E883">INDEX(aspek!$D$2:$D$337,
   MATCH(1,(aspek!$A$2:$A$337=B883)*
           (aspek!$B$2:$B$337=C883)*
           (aspek!$C$2:$C$337=D883),0))</f>
        <v>Framing pertama atas perubahan</v>
      </c>
      <c r="F883" s="76">
        <v>2</v>
      </c>
      <c r="G883" s="56" t="str" cm="1">
        <f t="array" ref="G883">INDEX(deskripsi!$D$2:$H$337,
   MATCH(1,(deskripsi!$A$2:$A$337=B883)*
           (deskripsi!$B$2:$B$337=C883)*
           (deskripsi!$C$2:$C$337=D883),0),
   F883)</f>
        <v>Menerima perubahan sebagai beban yang harus dijalani; tidak mencari apa pun di dalamnya.</v>
      </c>
    </row>
    <row r="884" spans="1:7" ht="28">
      <c r="A884" t="str">
        <f t="shared" si="13"/>
        <v>Strategic Thinking|Unit Head/Specialist|1|3</v>
      </c>
      <c r="B884" t="str">
        <v>Strategic Thinking</v>
      </c>
      <c r="C884" t="str">
        <v>Unit Head/Specialist</v>
      </c>
      <c r="D884" s="76">
        <v>1</v>
      </c>
      <c r="E884" t="str" cm="1">
        <f t="array" ref="E884">INDEX(aspek!$D$2:$D$337,
   MATCH(1,(aspek!$A$2:$A$337=B884)*
           (aspek!$B$2:$B$337=C884)*
           (aspek!$C$2:$C$337=D884),0))</f>
        <v>Framing pertama atas perubahan</v>
      </c>
      <c r="F884" s="76">
        <v>3</v>
      </c>
      <c r="G884" s="56" t="str" cm="1">
        <f t="array" ref="G884">INDEX(deskripsi!$D$2:$H$337,
   MATCH(1,(deskripsi!$A$2:$A$337=B884)*
           (deskripsi!$B$2:$B$337=C884)*
           (deskripsi!$C$2:$C$337=D884),0),
   F884)</f>
        <v>Menemukan sisi baik sebuah perubahan setelah menganalisisnya beberapa waktu.</v>
      </c>
    </row>
    <row r="885" spans="1:7" ht="42">
      <c r="A885" t="str">
        <f t="shared" si="13"/>
        <v>Strategic Thinking|Unit Head/Specialist|1|4</v>
      </c>
      <c r="B885" t="str">
        <v>Strategic Thinking</v>
      </c>
      <c r="C885" t="str">
        <v>Unit Head/Specialist</v>
      </c>
      <c r="D885" s="76">
        <v>1</v>
      </c>
      <c r="E885" t="str" cm="1">
        <f t="array" ref="E885">INDEX(aspek!$D$2:$D$337,
   MATCH(1,(aspek!$A$2:$A$337=B885)*
           (aspek!$B$2:$B$337=C885)*
           (aspek!$C$2:$C$337=D885),0))</f>
        <v>Framing pertama atas perubahan</v>
      </c>
      <c r="F885" s="76">
        <v>4</v>
      </c>
      <c r="G885" s="56" t="str" cm="1">
        <f t="array" ref="G885">INDEX(deskripsi!$D$2:$H$337,
   MATCH(1,(deskripsi!$A$2:$A$337=B885)*
           (deskripsi!$B$2:$B$337=C885)*
           (deskripsi!$C$2:$C$337=D885),0),
   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76">
        <v>1</v>
      </c>
      <c r="E886" t="str" cm="1">
        <f t="array" ref="E886">INDEX(aspek!$D$2:$D$337,
   MATCH(1,(aspek!$A$2:$A$337=B886)*
           (aspek!$B$2:$B$337=C886)*
           (aspek!$C$2:$C$337=D886),0))</f>
        <v>Framing pertama atas perubahan</v>
      </c>
      <c r="F886" s="76">
        <v>5</v>
      </c>
      <c r="G886" s="56" t="str" cm="1">
        <f t="array" ref="G886">INDEX(deskripsi!$D$2:$H$337,
   MATCH(1,(deskripsi!$A$2:$A$337=B886)*
           (deskripsi!$B$2:$B$337=C886)*
           (deskripsi!$C$2:$C$337=D886),0),
   F886)</f>
        <v>Reaksi pertamanya menular; rekan dan tim ikut membaca perubahan dari sisi peluangnya.</v>
      </c>
    </row>
    <row r="887" spans="1:7" ht="28">
      <c r="A887" t="str">
        <f t="shared" si="13"/>
        <v>Strategic Thinking|Unit Head/Specialist|2|1</v>
      </c>
      <c r="B887" t="str">
        <v>Strategic Thinking</v>
      </c>
      <c r="C887" t="str">
        <v>Unit Head/Specialist</v>
      </c>
      <c r="D887" s="76">
        <v>2</v>
      </c>
      <c r="E887" t="str" cm="1">
        <f t="array" ref="E887">INDEX(aspek!$D$2:$D$337,
   MATCH(1,(aspek!$A$2:$A$337=B887)*
           (aspek!$B$2:$B$337=C887)*
           (aspek!$C$2:$C$337=D887),0))</f>
        <v>Aktif mencari peluang di dalam perubahan</v>
      </c>
      <c r="F887" s="76">
        <v>1</v>
      </c>
      <c r="G887" s="56" t="str" cm="1">
        <f t="array" ref="G887">INDEX(deskripsi!$D$2:$H$337,
   MATCH(1,(deskripsi!$A$2:$A$337=B887)*
           (deskripsi!$B$2:$B$337=C887)*
           (deskripsi!$C$2:$C$337=D887),0),
   F887)</f>
        <v>Menunggu diberi tahu apa yang harus dilakukan atas sebuah perubahan.</v>
      </c>
    </row>
    <row r="888" spans="1:7" ht="28">
      <c r="A888" t="str">
        <f t="shared" si="13"/>
        <v>Strategic Thinking|Unit Head/Specialist|2|2</v>
      </c>
      <c r="B888" t="str">
        <v>Strategic Thinking</v>
      </c>
      <c r="C888" t="str">
        <v>Unit Head/Specialist</v>
      </c>
      <c r="D888" s="76">
        <v>2</v>
      </c>
      <c r="E888" t="str" cm="1">
        <f t="array" ref="E888">INDEX(aspek!$D$2:$D$337,
   MATCH(1,(aspek!$A$2:$A$337=B888)*
           (aspek!$B$2:$B$337=C888)*
           (aspek!$C$2:$C$337=D888),0))</f>
        <v>Aktif mencari peluang di dalam perubahan</v>
      </c>
      <c r="F888" s="76">
        <v>2</v>
      </c>
      <c r="G888" s="56" t="str" cm="1">
        <f t="array" ref="G888">INDEX(deskripsi!$D$2:$H$337,
   MATCH(1,(deskripsi!$A$2:$A$337=B888)*
           (deskripsi!$B$2:$B$337=C888)*
           (deskripsi!$C$2:$C$337=D888),0),
   F888)</f>
        <v>Menyebut peluang hanya ketika diminta, dan biasanya berupa peluang umum.</v>
      </c>
    </row>
    <row r="889" spans="1:7">
      <c r="A889" t="str">
        <f t="shared" si="13"/>
        <v>Strategic Thinking|Unit Head/Specialist|2|3</v>
      </c>
      <c r="B889" t="str">
        <v>Strategic Thinking</v>
      </c>
      <c r="C889" t="str">
        <v>Unit Head/Specialist</v>
      </c>
      <c r="D889" s="76">
        <v>2</v>
      </c>
      <c r="E889" t="str" cm="1">
        <f t="array" ref="E889">INDEX(aspek!$D$2:$D$337,
   MATCH(1,(aspek!$A$2:$A$337=B889)*
           (aspek!$B$2:$B$337=C889)*
           (aspek!$C$2:$C$337=D889),0))</f>
        <v>Aktif mencari peluang di dalam perubahan</v>
      </c>
      <c r="F889" s="76">
        <v>3</v>
      </c>
      <c r="G889" s="56" t="str" cm="1">
        <f t="array" ref="G889">INDEX(deskripsi!$D$2:$H$337,
   MATCH(1,(deskripsi!$A$2:$A$337=B889)*
           (deskripsi!$B$2:$B$337=C889)*
           (deskripsi!$C$2:$C$337=D889),0),
   F889)</f>
        <v>Mencari peluang pada perubahan yang jelas menguntungkan.</v>
      </c>
    </row>
    <row r="890" spans="1:7" ht="56">
      <c r="A890" t="str">
        <f t="shared" si="13"/>
        <v>Strategic Thinking|Unit Head/Specialist|2|4</v>
      </c>
      <c r="B890" t="str">
        <v>Strategic Thinking</v>
      </c>
      <c r="C890" t="str">
        <v>Unit Head/Specialist</v>
      </c>
      <c r="D890" s="76">
        <v>2</v>
      </c>
      <c r="E890" t="str" cm="1">
        <f t="array" ref="E890">INDEX(aspek!$D$2:$D$337,
   MATCH(1,(aspek!$A$2:$A$337=B890)*
           (aspek!$B$2:$B$337=C890)*
           (aspek!$C$2:$C$337=D890),0))</f>
        <v>Aktif mencari peluang di dalam perubahan</v>
      </c>
      <c r="F890" s="76">
        <v>4</v>
      </c>
      <c r="G890" s="56" t="str" cm="1">
        <f t="array" ref="G890">INDEX(deskripsi!$D$2:$H$337,
   MATCH(1,(deskripsi!$A$2:$A$337=B890)*
           (deskripsi!$B$2:$B$337=C890)*
           (deskripsi!$C$2:$C$337=D890),0),
   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76">
        <v>2</v>
      </c>
      <c r="E891" t="str" cm="1">
        <f t="array" ref="E891">INDEX(aspek!$D$2:$D$337,
   MATCH(1,(aspek!$A$2:$A$337=B891)*
           (aspek!$B$2:$B$337=C891)*
           (aspek!$C$2:$C$337=D891),0))</f>
        <v>Aktif mencari peluang di dalam perubahan</v>
      </c>
      <c r="F891" s="76">
        <v>5</v>
      </c>
      <c r="G891" s="56" t="str" cm="1">
        <f t="array" ref="G891">INDEX(deskripsi!$D$2:$H$337,
   MATCH(1,(deskripsi!$A$2:$A$337=B891)*
           (deskripsi!$B$2:$B$337=C891)*
           (deskripsi!$C$2:$C$337=D891),0),
   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76">
        <v>3</v>
      </c>
      <c r="E892" t="str" cm="1">
        <f t="array" ref="E892">INDEX(aspek!$D$2:$D$337,
   MATCH(1,(aspek!$A$2:$A$337=B892)*
           (aspek!$B$2:$B$337=C892)*
           (aspek!$C$2:$C$337=D892),0))</f>
        <v>Mengubah peluang menjadi langkah nyata</v>
      </c>
      <c r="F892" s="76">
        <v>1</v>
      </c>
      <c r="G892" s="56" t="str" cm="1">
        <f t="array" ref="G892">INDEX(deskripsi!$D$2:$H$337,
   MATCH(1,(deskripsi!$A$2:$A$337=B892)*
           (deskripsi!$B$2:$B$337=C892)*
           (deskripsi!$C$2:$C$337=D892),0),
   F892)</f>
        <v>Peluang yang disebutkan tidak pernah berlanjut menjadi apa pun.</v>
      </c>
    </row>
    <row r="893" spans="1:7">
      <c r="A893" t="str">
        <f t="shared" si="13"/>
        <v>Strategic Thinking|Unit Head/Specialist|3|2</v>
      </c>
      <c r="B893" t="str">
        <v>Strategic Thinking</v>
      </c>
      <c r="C893" t="str">
        <v>Unit Head/Specialist</v>
      </c>
      <c r="D893" s="76">
        <v>3</v>
      </c>
      <c r="E893" t="str" cm="1">
        <f t="array" ref="E893">INDEX(aspek!$D$2:$D$337,
   MATCH(1,(aspek!$A$2:$A$337=B893)*
           (aspek!$B$2:$B$337=C893)*
           (aspek!$C$2:$C$337=D893),0))</f>
        <v>Mengubah peluang menjadi langkah nyata</v>
      </c>
      <c r="F893" s="76">
        <v>2</v>
      </c>
      <c r="G893" s="56" t="str" cm="1">
        <f t="array" ref="G893">INDEX(deskripsi!$D$2:$H$337,
   MATCH(1,(deskripsi!$A$2:$A$337=B893)*
           (deskripsi!$B$2:$B$337=C893)*
           (deskripsi!$C$2:$C$337=D893),0),
   F893)</f>
        <v>Menuliskan gagasan, tetapi berhenti pada dokumen.</v>
      </c>
    </row>
    <row r="894" spans="1:7">
      <c r="A894" t="str">
        <f t="shared" si="13"/>
        <v>Strategic Thinking|Unit Head/Specialist|3|3</v>
      </c>
      <c r="B894" t="str">
        <v>Strategic Thinking</v>
      </c>
      <c r="C894" t="str">
        <v>Unit Head/Specialist</v>
      </c>
      <c r="D894" s="76">
        <v>3</v>
      </c>
      <c r="E894" t="str" cm="1">
        <f t="array" ref="E894">INDEX(aspek!$D$2:$D$337,
   MATCH(1,(aspek!$A$2:$A$337=B894)*
           (aspek!$B$2:$B$337=C894)*
           (aspek!$C$2:$C$337=D894),0))</f>
        <v>Mengubah peluang menjadi langkah nyata</v>
      </c>
      <c r="F894" s="76">
        <v>3</v>
      </c>
      <c r="G894" s="56" t="str" cm="1">
        <f t="array" ref="G894">INDEX(deskripsi!$D$2:$H$337,
   MATCH(1,(deskripsi!$A$2:$A$337=B894)*
           (deskripsi!$B$2:$B$337=C894)*
           (deskripsi!$C$2:$C$337=D894),0),
   F894)</f>
        <v>Menjalankan gagasan yang mudah dan berisiko kecil.</v>
      </c>
    </row>
    <row r="895" spans="1:7" ht="42">
      <c r="A895" t="str">
        <f t="shared" si="13"/>
        <v>Strategic Thinking|Unit Head/Specialist|3|4</v>
      </c>
      <c r="B895" t="str">
        <v>Strategic Thinking</v>
      </c>
      <c r="C895" t="str">
        <v>Unit Head/Specialist</v>
      </c>
      <c r="D895" s="76">
        <v>3</v>
      </c>
      <c r="E895" t="str" cm="1">
        <f t="array" ref="E895">INDEX(aspek!$D$2:$D$337,
   MATCH(1,(aspek!$A$2:$A$337=B895)*
           (aspek!$B$2:$B$337=C895)*
           (aspek!$C$2:$C$337=D895),0))</f>
        <v>Mengubah peluang menjadi langkah nyata</v>
      </c>
      <c r="F895" s="76">
        <v>4</v>
      </c>
      <c r="G895" s="56" t="str" cm="1">
        <f t="array" ref="G895">INDEX(deskripsi!$D$2:$H$337,
   MATCH(1,(deskripsi!$A$2:$A$337=B895)*
           (deskripsi!$B$2:$B$337=C895)*
           (deskripsi!$C$2:$C$337=D895),0),
   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76">
        <v>3</v>
      </c>
      <c r="E896" t="str" cm="1">
        <f t="array" ref="E896">INDEX(aspek!$D$2:$D$337,
   MATCH(1,(aspek!$A$2:$A$337=B896)*
           (aspek!$B$2:$B$337=C896)*
           (aspek!$C$2:$C$337=D896),0))</f>
        <v>Mengubah peluang menjadi langkah nyata</v>
      </c>
      <c r="F896" s="76">
        <v>5</v>
      </c>
      <c r="G896" s="56" t="str" cm="1">
        <f t="array" ref="G896">INDEX(deskripsi!$D$2:$H$337,
   MATCH(1,(deskripsi!$A$2:$A$337=B896)*
           (deskripsi!$B$2:$B$337=C896)*
           (deskripsi!$C$2:$C$337=D896),0),
   F896)</f>
        <v>Inisiatif yang lahir dari pembacaannya mengubah cara unit atau perusahaan bekerja.</v>
      </c>
    </row>
    <row r="897" spans="1:7" ht="28">
      <c r="A897" t="str">
        <f t="shared" si="13"/>
        <v>Strategic Thinking|Unit Head/Specialist|4|1</v>
      </c>
      <c r="B897" t="str">
        <v>Strategic Thinking</v>
      </c>
      <c r="C897" t="str">
        <v>Unit Head/Specialist</v>
      </c>
      <c r="D897" s="76">
        <v>4</v>
      </c>
      <c r="E897" t="str" cm="1">
        <f t="array" ref="E897">INDEX(aspek!$D$2:$D$337,
   MATCH(1,(aspek!$A$2:$A$337=B897)*
           (aspek!$B$2:$B$337=C897)*
           (aspek!$C$2:$C$337=D897),0))</f>
        <v>Framing pada perubahan yang merugikan</v>
      </c>
      <c r="F897" s="76">
        <v>1</v>
      </c>
      <c r="G897" s="56" t="str" cm="1">
        <f t="array" ref="G897">INDEX(deskripsi!$D$2:$H$337,
   MATCH(1,(deskripsi!$A$2:$A$337=B897)*
           (deskripsi!$B$2:$B$337=C897)*
           (deskripsi!$C$2:$C$337=D897),0),
   F897)</f>
        <v>Perubahan yang merugikan dibaca sebagai kerugian semata dan dikeluhkan kepada tim.</v>
      </c>
    </row>
    <row r="898" spans="1:7" ht="28">
      <c r="A898" t="str">
        <f t="shared" si="13"/>
        <v>Strategic Thinking|Unit Head/Specialist|4|2</v>
      </c>
      <c r="B898" t="str">
        <v>Strategic Thinking</v>
      </c>
      <c r="C898" t="str">
        <v>Unit Head/Specialist</v>
      </c>
      <c r="D898" s="76">
        <v>4</v>
      </c>
      <c r="E898" t="str" cm="1">
        <f t="array" ref="E898">INDEX(aspek!$D$2:$D$337,
   MATCH(1,(aspek!$A$2:$A$337=B898)*
           (aspek!$B$2:$B$337=C898)*
           (aspek!$C$2:$C$337=D898),0))</f>
        <v>Framing pada perubahan yang merugikan</v>
      </c>
      <c r="F898" s="76">
        <v>2</v>
      </c>
      <c r="G898" s="56" t="str" cm="1">
        <f t="array" ref="G898">INDEX(deskripsi!$D$2:$H$337,
   MATCH(1,(deskripsi!$A$2:$A$337=B898)*
           (deskripsi!$B$2:$B$337=C898)*
           (deskripsi!$C$2:$C$337=D898),0),
   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76">
        <v>4</v>
      </c>
      <c r="E899" t="str" cm="1">
        <f t="array" ref="E899">INDEX(aspek!$D$2:$D$337,
   MATCH(1,(aspek!$A$2:$A$337=B899)*
           (aspek!$B$2:$B$337=C899)*
           (aspek!$C$2:$C$337=D899),0))</f>
        <v>Framing pada perubahan yang merugikan</v>
      </c>
      <c r="F899" s="76">
        <v>3</v>
      </c>
      <c r="G899" s="56" t="str" cm="1">
        <f t="array" ref="G899">INDEX(deskripsi!$D$2:$H$337,
   MATCH(1,(deskripsi!$A$2:$A$337=B899)*
           (deskripsi!$B$2:$B$337=C899)*
           (deskripsi!$C$2:$C$337=D899),0),
   F899)</f>
        <v>Mencari cara meminimalkan kerugiannya.</v>
      </c>
    </row>
    <row r="900" spans="1:7" ht="42">
      <c r="A900" t="str">
        <f t="shared" si="14"/>
        <v>Strategic Thinking|Unit Head/Specialist|4|4</v>
      </c>
      <c r="B900" t="str">
        <v>Strategic Thinking</v>
      </c>
      <c r="C900" t="str">
        <v>Unit Head/Specialist</v>
      </c>
      <c r="D900" s="76">
        <v>4</v>
      </c>
      <c r="E900" t="str" cm="1">
        <f t="array" ref="E900">INDEX(aspek!$D$2:$D$337,
   MATCH(1,(aspek!$A$2:$A$337=B900)*
           (aspek!$B$2:$B$337=C900)*
           (aspek!$C$2:$C$337=D900),0))</f>
        <v>Framing pada perubahan yang merugikan</v>
      </c>
      <c r="F900" s="76">
        <v>4</v>
      </c>
      <c r="G900" s="56" t="str" cm="1">
        <f t="array" ref="G900">INDEX(deskripsi!$D$2:$H$337,
   MATCH(1,(deskripsi!$A$2:$A$337=B900)*
           (deskripsi!$B$2:$B$337=C900)*
           (deskripsi!$C$2:$C$337=D900),0),
   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76">
        <v>4</v>
      </c>
      <c r="E901" t="str" cm="1">
        <f t="array" ref="E901">INDEX(aspek!$D$2:$D$337,
   MATCH(1,(aspek!$A$2:$A$337=B901)*
           (aspek!$B$2:$B$337=C901)*
           (aspek!$C$2:$C$337=D901),0))</f>
        <v>Framing pada perubahan yang merugikan</v>
      </c>
      <c r="F901" s="76">
        <v>5</v>
      </c>
      <c r="G901" s="56" t="str" cm="1">
        <f t="array" ref="G901">INDEX(deskripsi!$D$2:$H$337,
   MATCH(1,(deskripsi!$A$2:$A$337=B901)*
           (deskripsi!$B$2:$B$337=C901)*
           (deskripsi!$C$2:$C$337=D901),0),
   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76">
        <v>1</v>
      </c>
      <c r="E902" t="str" cm="1">
        <f t="array" ref="E902">INDEX(aspek!$D$2:$D$337,
   MATCH(1,(aspek!$A$2:$A$337=B902)*
           (aspek!$B$2:$B$337=C902)*
           (aspek!$C$2:$C$337=D902),0))</f>
        <v>Kepekaan mendeteksi ketidak-efektifan</v>
      </c>
      <c r="F902" s="76">
        <v>1</v>
      </c>
      <c r="G902" s="56" t="str" cm="1">
        <f t="array" ref="G902">INDEX(deskripsi!$D$2:$H$337,
   MATCH(1,(deskripsi!$A$2:$A$337=B902)*
           (deskripsi!$B$2:$B$337=C902)*
           (deskripsi!$C$2:$C$337=D902),0),
   F902)</f>
        <v>Baru menyadari sebuah rencana tidak berjalan setelah targetnya gagal.</v>
      </c>
    </row>
    <row r="903" spans="1:7" ht="28">
      <c r="A903" t="str">
        <f t="shared" si="14"/>
        <v>Strategic Thinking|Department Head|1|2</v>
      </c>
      <c r="B903" t="str">
        <v>Strategic Thinking</v>
      </c>
      <c r="C903" t="str">
        <v>Department Head</v>
      </c>
      <c r="D903" s="76">
        <v>1</v>
      </c>
      <c r="E903" t="str" cm="1">
        <f t="array" ref="E903">INDEX(aspek!$D$2:$D$337,
   MATCH(1,(aspek!$A$2:$A$337=B903)*
           (aspek!$B$2:$B$337=C903)*
           (aspek!$C$2:$C$337=D903),0))</f>
        <v>Kepekaan mendeteksi ketidak-efektifan</v>
      </c>
      <c r="F903" s="76">
        <v>2</v>
      </c>
      <c r="G903" s="56" t="str" cm="1">
        <f t="array" ref="G903">INDEX(deskripsi!$D$2:$H$337,
   MATCH(1,(deskripsi!$A$2:$A$337=B903)*
           (deskripsi!$B$2:$B$337=C903)*
           (deskripsi!$C$2:$C$337=D903),0),
   F903)</f>
        <v>Menyadari dari angka hasil yang sudah memburuk, ketika sebagian kerugian sudah terjadi.</v>
      </c>
    </row>
    <row r="904" spans="1:7" ht="28">
      <c r="A904" t="str">
        <f t="shared" si="14"/>
        <v>Strategic Thinking|Department Head|1|3</v>
      </c>
      <c r="B904" t="str">
        <v>Strategic Thinking</v>
      </c>
      <c r="C904" t="str">
        <v>Department Head</v>
      </c>
      <c r="D904" s="76">
        <v>1</v>
      </c>
      <c r="E904" t="str" cm="1">
        <f t="array" ref="E904">INDEX(aspek!$D$2:$D$337,
   MATCH(1,(aspek!$A$2:$A$337=B904)*
           (aspek!$B$2:$B$337=C904)*
           (aspek!$C$2:$C$337=D904),0))</f>
        <v>Kepekaan mendeteksi ketidak-efektifan</v>
      </c>
      <c r="F904" s="76">
        <v>3</v>
      </c>
      <c r="G904" s="56" t="str" cm="1">
        <f t="array" ref="G904">INDEX(deskripsi!$D$2:$H$337,
   MATCH(1,(deskripsi!$A$2:$A$337=B904)*
           (deskripsi!$B$2:$B$337=C904)*
           (deskripsi!$C$2:$C$337=D904),0),
   F904)</f>
        <v>Menyadari dari tanda yang cukup jelas, biasanya setelah beberapa periode berjalan.</v>
      </c>
    </row>
    <row r="905" spans="1:7" ht="42">
      <c r="A905" t="str">
        <f t="shared" si="14"/>
        <v>Strategic Thinking|Department Head|1|4</v>
      </c>
      <c r="B905" t="str">
        <v>Strategic Thinking</v>
      </c>
      <c r="C905" t="str">
        <v>Department Head</v>
      </c>
      <c r="D905" s="76">
        <v>1</v>
      </c>
      <c r="E905" t="str" cm="1">
        <f t="array" ref="E905">INDEX(aspek!$D$2:$D$337,
   MATCH(1,(aspek!$A$2:$A$337=B905)*
           (aspek!$B$2:$B$337=C905)*
           (aspek!$C$2:$C$337=D905),0))</f>
        <v>Kepekaan mendeteksi ketidak-efektifan</v>
      </c>
      <c r="F905" s="76">
        <v>4</v>
      </c>
      <c r="G905" s="56" t="str" cm="1">
        <f t="array" ref="G905">INDEX(deskripsi!$D$2:$H$337,
   MATCH(1,(deskripsi!$A$2:$A$337=B905)*
           (deskripsi!$B$2:$B$337=C905)*
           (deskripsi!$C$2:$C$337=D905),0),
   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76">
        <v>1</v>
      </c>
      <c r="E906" t="str" cm="1">
        <f t="array" ref="E906">INDEX(aspek!$D$2:$D$337,
   MATCH(1,(aspek!$A$2:$A$337=B906)*
           (aspek!$B$2:$B$337=C906)*
           (aspek!$C$2:$C$337=D906),0))</f>
        <v>Kepekaan mendeteksi ketidak-efektifan</v>
      </c>
      <c r="F906" s="76">
        <v>5</v>
      </c>
      <c r="G906" s="56" t="str" cm="1">
        <f t="array" ref="G906">INDEX(deskripsi!$D$2:$H$337,
   MATCH(1,(deskripsi!$A$2:$A$337=B906)*
           (deskripsi!$B$2:$B$337=C906)*
           (deskripsi!$C$2:$C$337=D906),0),
   F906)</f>
        <v>Menyadari sebuah rencana akan kehilangan daya sebelum tandanya terlihat oleh orang lain.</v>
      </c>
    </row>
    <row r="907" spans="1:7">
      <c r="A907" t="str">
        <f t="shared" si="14"/>
        <v>Strategic Thinking|Department Head|2|1</v>
      </c>
      <c r="B907" t="str">
        <v>Strategic Thinking</v>
      </c>
      <c r="C907" t="str">
        <v>Department Head</v>
      </c>
      <c r="D907" s="76">
        <v>2</v>
      </c>
      <c r="E907" t="str" cm="1">
        <f t="array" ref="E907">INDEX(aspek!$D$2:$D$337,
   MATCH(1,(aspek!$A$2:$A$337=B907)*
           (aspek!$B$2:$B$337=C907)*
           (aspek!$C$2:$C$337=D907),0))</f>
        <v>Kemandirian mengubah arah</v>
      </c>
      <c r="F907" s="76">
        <v>1</v>
      </c>
      <c r="G907" s="56" t="str" cm="1">
        <f t="array" ref="G907">INDEX(deskripsi!$D$2:$H$337,
   MATCH(1,(deskripsi!$A$2:$A$337=B907)*
           (deskripsi!$B$2:$B$337=C907)*
           (deskripsi!$C$2:$C$337=D907),0),
   F907)</f>
        <v>Bertahan pada rencana sampai diperintahkan mengubahnya.</v>
      </c>
    </row>
    <row r="908" spans="1:7" ht="28">
      <c r="A908" t="str">
        <f t="shared" si="14"/>
        <v>Strategic Thinking|Department Head|2|2</v>
      </c>
      <c r="B908" t="str">
        <v>Strategic Thinking</v>
      </c>
      <c r="C908" t="str">
        <v>Department Head</v>
      </c>
      <c r="D908" s="76">
        <v>2</v>
      </c>
      <c r="E908" t="str" cm="1">
        <f t="array" ref="E908">INDEX(aspek!$D$2:$D$337,
   MATCH(1,(aspek!$A$2:$A$337=B908)*
           (aspek!$B$2:$B$337=C908)*
           (aspek!$C$2:$C$337=D908),0))</f>
        <v>Kemandirian mengubah arah</v>
      </c>
      <c r="F908" s="76">
        <v>2</v>
      </c>
      <c r="G908" s="56" t="str" cm="1">
        <f t="array" ref="G908">INDEX(deskripsi!$D$2:$H$337,
   MATCH(1,(deskripsi!$A$2:$A$337=B908)*
           (deskripsi!$B$2:$B$337=C908)*
           (deskripsi!$C$2:$C$337=D908),0),
   F908)</f>
        <v>Melaporkan masalahnya kepada atasan dan menunggu keputusan.</v>
      </c>
    </row>
    <row r="909" spans="1:7" ht="28">
      <c r="A909" t="str">
        <f t="shared" si="14"/>
        <v>Strategic Thinking|Department Head|2|3</v>
      </c>
      <c r="B909" t="str">
        <v>Strategic Thinking</v>
      </c>
      <c r="C909" t="str">
        <v>Department Head</v>
      </c>
      <c r="D909" s="76">
        <v>2</v>
      </c>
      <c r="E909" t="str" cm="1">
        <f t="array" ref="E909">INDEX(aspek!$D$2:$D$337,
   MATCH(1,(aspek!$A$2:$A$337=B909)*
           (aspek!$B$2:$B$337=C909)*
           (aspek!$C$2:$C$337=D909),0))</f>
        <v>Kemandirian mengubah arah</v>
      </c>
      <c r="F909" s="76">
        <v>3</v>
      </c>
      <c r="G909" s="56" t="str" cm="1">
        <f t="array" ref="G909">INDEX(deskripsi!$D$2:$H$337,
   MATCH(1,(deskripsi!$A$2:$A$337=B909)*
           (deskripsi!$B$2:$B$337=C909)*
           (deskripsi!$C$2:$C$337=D909),0),
   F909)</f>
        <v>Mengusulkan perubahan arah dan menjalankannya setelah disetujui.</v>
      </c>
    </row>
    <row r="910" spans="1:7" ht="42">
      <c r="A910" t="str">
        <f t="shared" si="14"/>
        <v>Strategic Thinking|Department Head|2|4</v>
      </c>
      <c r="B910" t="str">
        <v>Strategic Thinking</v>
      </c>
      <c r="C910" t="str">
        <v>Department Head</v>
      </c>
      <c r="D910" s="76">
        <v>2</v>
      </c>
      <c r="E910" t="str" cm="1">
        <f t="array" ref="E910">INDEX(aspek!$D$2:$D$337,
   MATCH(1,(aspek!$A$2:$A$337=B910)*
           (aspek!$B$2:$B$337=C910)*
           (aspek!$C$2:$C$337=D910),0))</f>
        <v>Kemandirian mengubah arah</v>
      </c>
      <c r="F910" s="76">
        <v>4</v>
      </c>
      <c r="G910" s="56" t="str" cm="1">
        <f t="array" ref="G910">INDEX(deskripsi!$D$2:$H$337,
   MATCH(1,(deskripsi!$A$2:$A$337=B910)*
           (deskripsi!$B$2:$B$337=C910)*
           (deskripsi!$C$2:$C$337=D910),0),
   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76">
        <v>2</v>
      </c>
      <c r="E911" t="str" cm="1">
        <f t="array" ref="E911">INDEX(aspek!$D$2:$D$337,
   MATCH(1,(aspek!$A$2:$A$337=B911)*
           (aspek!$B$2:$B$337=C911)*
           (aspek!$C$2:$C$337=D911),0))</f>
        <v>Kemandirian mengubah arah</v>
      </c>
      <c r="F911" s="76">
        <v>5</v>
      </c>
      <c r="G911" s="56" t="str" cm="1">
        <f t="array" ref="G911">INDEX(deskripsi!$D$2:$H$337,
   MATCH(1,(deskripsi!$A$2:$A$337=B911)*
           (deskripsi!$B$2:$B$337=C911)*
           (deskripsi!$C$2:$C$337=D911),0),
   F911)</f>
        <v>Perubahan arah yang ia putuskan dipakai unit lain sebagai rujukan untuk persoalan serupa.</v>
      </c>
    </row>
    <row r="912" spans="1:7">
      <c r="A912" t="str">
        <f t="shared" si="14"/>
        <v>Strategic Thinking|Department Head|3|1</v>
      </c>
      <c r="B912" t="str">
        <v>Strategic Thinking</v>
      </c>
      <c r="C912" t="str">
        <v>Department Head</v>
      </c>
      <c r="D912" s="76">
        <v>3</v>
      </c>
      <c r="E912" t="str" cm="1">
        <f t="array" ref="E912">INDEX(aspek!$D$2:$D$337,
   MATCH(1,(aspek!$A$2:$A$337=B912)*
           (aspek!$B$2:$B$337=C912)*
           (aspek!$C$2:$C$337=D912),0))</f>
        <v>Ketepatan waktu perubahan</v>
      </c>
      <c r="F912" s="76">
        <v>1</v>
      </c>
      <c r="G912" s="56" t="str" cm="1">
        <f t="array" ref="G912">INDEX(deskripsi!$D$2:$H$337,
   MATCH(1,(deskripsi!$A$2:$A$337=B912)*
           (deskripsi!$B$2:$B$337=C912)*
           (deskripsi!$C$2:$C$337=D912),0),
   F912)</f>
        <v>Perubahan dilakukan setelah kerugian besar terlanjur terjadi.</v>
      </c>
    </row>
    <row r="913" spans="1:7">
      <c r="A913" t="str">
        <f t="shared" si="14"/>
        <v>Strategic Thinking|Department Head|3|2</v>
      </c>
      <c r="B913" t="str">
        <v>Strategic Thinking</v>
      </c>
      <c r="C913" t="str">
        <v>Department Head</v>
      </c>
      <c r="D913" s="76">
        <v>3</v>
      </c>
      <c r="E913" t="str" cm="1">
        <f t="array" ref="E913">INDEX(aspek!$D$2:$D$337,
   MATCH(1,(aspek!$A$2:$A$337=B913)*
           (aspek!$B$2:$B$337=C913)*
           (aspek!$C$2:$C$337=D913),0))</f>
        <v>Ketepatan waktu perubahan</v>
      </c>
      <c r="F913" s="76">
        <v>2</v>
      </c>
      <c r="G913" s="56" t="str" cm="1">
        <f t="array" ref="G913">INDEX(deskripsi!$D$2:$H$337,
   MATCH(1,(deskripsi!$A$2:$A$337=B913)*
           (deskripsi!$B$2:$B$337=C913)*
           (deskripsi!$C$2:$C$337=D913),0),
   F913)</f>
        <v>Perubahan dilakukan tepat setelah target terlewat.</v>
      </c>
    </row>
    <row r="914" spans="1:7">
      <c r="A914" t="str">
        <f t="shared" si="14"/>
        <v>Strategic Thinking|Department Head|3|3</v>
      </c>
      <c r="B914" t="str">
        <v>Strategic Thinking</v>
      </c>
      <c r="C914" t="str">
        <v>Department Head</v>
      </c>
      <c r="D914" s="76">
        <v>3</v>
      </c>
      <c r="E914" t="str" cm="1">
        <f t="array" ref="E914">INDEX(aspek!$D$2:$D$337,
   MATCH(1,(aspek!$A$2:$A$337=B914)*
           (aspek!$B$2:$B$337=C914)*
           (aspek!$C$2:$C$337=D914),0))</f>
        <v>Ketepatan waktu perubahan</v>
      </c>
      <c r="F914" s="76">
        <v>3</v>
      </c>
      <c r="G914" s="56" t="str" cm="1">
        <f t="array" ref="G914">INDEX(deskripsi!$D$2:$H$337,
   MATCH(1,(deskripsi!$A$2:$A$337=B914)*
           (deskripsi!$B$2:$B$337=C914)*
           (deskripsi!$C$2:$C$337=D914),0),
   F914)</f>
        <v>Perubahan dilakukan ketika hasil mulai terlihat menurun.</v>
      </c>
    </row>
    <row r="915" spans="1:7" ht="42">
      <c r="A915" t="str">
        <f t="shared" si="14"/>
        <v>Strategic Thinking|Department Head|3|4</v>
      </c>
      <c r="B915" t="str">
        <v>Strategic Thinking</v>
      </c>
      <c r="C915" t="str">
        <v>Department Head</v>
      </c>
      <c r="D915" s="76">
        <v>3</v>
      </c>
      <c r="E915" t="str" cm="1">
        <f t="array" ref="E915">INDEX(aspek!$D$2:$D$337,
   MATCH(1,(aspek!$A$2:$A$337=B915)*
           (aspek!$B$2:$B$337=C915)*
           (aspek!$C$2:$C$337=D915),0))</f>
        <v>Ketepatan waktu perubahan</v>
      </c>
      <c r="F915" s="76">
        <v>4</v>
      </c>
      <c r="G915" s="56" t="str" cm="1">
        <f t="array" ref="G915">INDEX(deskripsi!$D$2:$H$337,
   MATCH(1,(deskripsi!$A$2:$A$337=B915)*
           (deskripsi!$B$2:$B$337=C915)*
           (deskripsi!$C$2:$C$337=D915),0),
   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76">
        <v>3</v>
      </c>
      <c r="E916" t="str" cm="1">
        <f t="array" ref="E916">INDEX(aspek!$D$2:$D$337,
   MATCH(1,(aspek!$A$2:$A$337=B916)*
           (aspek!$B$2:$B$337=C916)*
           (aspek!$C$2:$C$337=D916),0))</f>
        <v>Ketepatan waktu perubahan</v>
      </c>
      <c r="F916" s="76">
        <v>5</v>
      </c>
      <c r="G916" s="56" t="str" cm="1">
        <f t="array" ref="G916">INDEX(deskripsi!$D$2:$H$337,
   MATCH(1,(deskripsi!$A$2:$A$337=B916)*
           (deskripsi!$B$2:$B$337=C916)*
           (deskripsi!$C$2:$C$337=D916),0),
   F916)</f>
        <v>Perubahan dilakukan cukup awal sehingga sasaran semula tetap tercapai dengan cara yang berbeda.</v>
      </c>
    </row>
    <row r="917" spans="1:7" ht="28">
      <c r="A917" t="str">
        <f t="shared" si="14"/>
        <v>Strategic Thinking|Department Head|4|1</v>
      </c>
      <c r="B917" t="str">
        <v>Strategic Thinking</v>
      </c>
      <c r="C917" t="str">
        <v>Department Head</v>
      </c>
      <c r="D917" s="76">
        <v>4</v>
      </c>
      <c r="E917" t="str" cm="1">
        <f t="array" ref="E917">INDEX(aspek!$D$2:$D$337,
   MATCH(1,(aspek!$A$2:$A$337=B917)*
           (aspek!$B$2:$B$337=C917)*
           (aspek!$C$2:$C$337=D917),0))</f>
        <v>Kerangka jangka panjang sebagai acuan</v>
      </c>
      <c r="F917" s="76">
        <v>1</v>
      </c>
      <c r="G917" s="56" t="str" cm="1">
        <f t="array" ref="G917">INDEX(deskripsi!$D$2:$H$337,
   MATCH(1,(deskripsi!$A$2:$A$337=B917)*
           (deskripsi!$B$2:$B$337=C917)*
           (deskripsi!$C$2:$C$337=D917),0),
   F917)</f>
        <v>Tidak memiliki kerangka; setiap rencana dinilai sendiri-sendiri tanpa acuan arah.</v>
      </c>
    </row>
    <row r="918" spans="1:7" ht="28">
      <c r="A918" t="str">
        <f t="shared" si="14"/>
        <v>Strategic Thinking|Department Head|4|2</v>
      </c>
      <c r="B918" t="str">
        <v>Strategic Thinking</v>
      </c>
      <c r="C918" t="str">
        <v>Department Head</v>
      </c>
      <c r="D918" s="76">
        <v>4</v>
      </c>
      <c r="E918" t="str" cm="1">
        <f t="array" ref="E918">INDEX(aspek!$D$2:$D$337,
   MATCH(1,(aspek!$A$2:$A$337=B918)*
           (aspek!$B$2:$B$337=C918)*
           (aspek!$C$2:$C$337=D918),0))</f>
        <v>Kerangka jangka panjang sebagai acuan</v>
      </c>
      <c r="F918" s="76">
        <v>2</v>
      </c>
      <c r="G918" s="56" t="str" cm="1">
        <f t="array" ref="G918">INDEX(deskripsi!$D$2:$H$337,
   MATCH(1,(deskripsi!$A$2:$A$337=B918)*
           (deskripsi!$B$2:$B$337=C918)*
           (deskripsi!$C$2:$C$337=D918),0),
   F918)</f>
        <v>Memiliki gambaran arah, tetapi tidak dipakai untuk menilai rencana yang sedang berjalan.</v>
      </c>
    </row>
    <row r="919" spans="1:7">
      <c r="A919" t="str">
        <f t="shared" si="14"/>
        <v>Strategic Thinking|Department Head|4|3</v>
      </c>
      <c r="B919" t="str">
        <v>Strategic Thinking</v>
      </c>
      <c r="C919" t="str">
        <v>Department Head</v>
      </c>
      <c r="D919" s="76">
        <v>4</v>
      </c>
      <c r="E919" t="str" cm="1">
        <f t="array" ref="E919">INDEX(aspek!$D$2:$D$337,
   MATCH(1,(aspek!$A$2:$A$337=B919)*
           (aspek!$B$2:$B$337=C919)*
           (aspek!$C$2:$C$337=D919),0))</f>
        <v>Kerangka jangka panjang sebagai acuan</v>
      </c>
      <c r="F919" s="76">
        <v>3</v>
      </c>
      <c r="G919" s="56" t="str" cm="1">
        <f t="array" ref="G919">INDEX(deskripsi!$D$2:$H$337,
   MATCH(1,(deskripsi!$A$2:$A$337=B919)*
           (deskripsi!$B$2:$B$337=C919)*
           (deskripsi!$C$2:$C$337=D919),0),
   F919)</f>
        <v>Memantau rencana terhadap target tahunannya.</v>
      </c>
    </row>
    <row r="920" spans="1:7" ht="42">
      <c r="A920" t="str">
        <f t="shared" si="14"/>
        <v>Strategic Thinking|Department Head|4|4</v>
      </c>
      <c r="B920" t="str">
        <v>Strategic Thinking</v>
      </c>
      <c r="C920" t="str">
        <v>Department Head</v>
      </c>
      <c r="D920" s="76">
        <v>4</v>
      </c>
      <c r="E920" t="str" cm="1">
        <f t="array" ref="E920">INDEX(aspek!$D$2:$D$337,
   MATCH(1,(aspek!$A$2:$A$337=B920)*
           (aspek!$B$2:$B$337=C920)*
           (aspek!$C$2:$C$337=D920),0))</f>
        <v>Kerangka jangka panjang sebagai acuan</v>
      </c>
      <c r="F920" s="76">
        <v>4</v>
      </c>
      <c r="G920" s="56" t="str" cm="1">
        <f t="array" ref="G920">INDEX(deskripsi!$D$2:$H$337,
   MATCH(1,(deskripsi!$A$2:$A$337=B920)*
           (deskripsi!$B$2:$B$337=C920)*
           (deskripsi!$C$2:$C$337=D920),0),
   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76">
        <v>4</v>
      </c>
      <c r="E921" t="str" cm="1">
        <f t="array" ref="E921">INDEX(aspek!$D$2:$D$337,
   MATCH(1,(aspek!$A$2:$A$337=B921)*
           (aspek!$B$2:$B$337=C921)*
           (aspek!$C$2:$C$337=D921),0))</f>
        <v>Kerangka jangka panjang sebagai acuan</v>
      </c>
      <c r="F921" s="76">
        <v>5</v>
      </c>
      <c r="G921" s="56" t="str" cm="1">
        <f t="array" ref="G921">INDEX(deskripsi!$D$2:$H$337,
   MATCH(1,(deskripsi!$A$2:$A$337=B921)*
           (deskripsi!$B$2:$B$337=C921)*
           (deskripsi!$C$2:$C$337=D921),0),
   F921)</f>
        <v>Kerangkanya dipakai unit lain untuk menilai rencana mereka sendiri.</v>
      </c>
    </row>
    <row r="922" spans="1:7" ht="28">
      <c r="A922" t="str">
        <f t="shared" si="14"/>
        <v>Strategic Thinking|Division Head|1|1</v>
      </c>
      <c r="B922" t="str">
        <v>Strategic Thinking</v>
      </c>
      <c r="C922" t="str">
        <v>Division Head</v>
      </c>
      <c r="D922" s="76">
        <v>1</v>
      </c>
      <c r="E922" t="str" cm="1">
        <f t="array" ref="E922">INDEX(aspek!$D$2:$D$337,
   MATCH(1,(aspek!$A$2:$A$337=B922)*
           (aspek!$B$2:$B$337=C922)*
           (aspek!$C$2:$C$337=D922),0))</f>
        <v>Kesediaan bergerak tanpa kepastian strategis</v>
      </c>
      <c r="F922" s="76">
        <v>1</v>
      </c>
      <c r="G922" s="56" t="str" cm="1">
        <f t="array" ref="G922">INDEX(deskripsi!$D$2:$H$337,
   MATCH(1,(deskripsi!$A$2:$A$337=B922)*
           (deskripsi!$B$2:$B$337=C922)*
           (deskripsi!$C$2:$C$337=D922),0),
   F922)</f>
        <v>Pekerjaan strategis berhenti sampai arah atau data menjadi jelas.</v>
      </c>
    </row>
    <row r="923" spans="1:7" ht="28">
      <c r="A923" t="str">
        <f t="shared" si="14"/>
        <v>Strategic Thinking|Division Head|1|2</v>
      </c>
      <c r="B923" t="str">
        <v>Strategic Thinking</v>
      </c>
      <c r="C923" t="str">
        <v>Division Head</v>
      </c>
      <c r="D923" s="76">
        <v>1</v>
      </c>
      <c r="E923" t="str" cm="1">
        <f t="array" ref="E923">INDEX(aspek!$D$2:$D$337,
   MATCH(1,(aspek!$A$2:$A$337=B923)*
           (aspek!$B$2:$B$337=C923)*
           (aspek!$C$2:$C$337=D923),0))</f>
        <v>Kesediaan bergerak tanpa kepastian strategis</v>
      </c>
      <c r="F923" s="76">
        <v>2</v>
      </c>
      <c r="G923" s="56" t="str" cm="1">
        <f t="array" ref="G923">INDEX(deskripsi!$D$2:$H$337,
   MATCH(1,(deskripsi!$A$2:$A$337=B923)*
           (deskripsi!$B$2:$B$337=C923)*
           (deskripsi!$C$2:$C$337=D923),0),
   F923)</f>
        <v>Bergerak hanya pada bagian yang sudah pasti; sisanya menunggu.</v>
      </c>
    </row>
    <row r="924" spans="1:7" ht="28">
      <c r="A924" t="str">
        <f t="shared" si="14"/>
        <v>Strategic Thinking|Division Head|1|3</v>
      </c>
      <c r="B924" t="str">
        <v>Strategic Thinking</v>
      </c>
      <c r="C924" t="str">
        <v>Division Head</v>
      </c>
      <c r="D924" s="76">
        <v>1</v>
      </c>
      <c r="E924" t="str" cm="1">
        <f t="array" ref="E924">INDEX(aspek!$D$2:$D$337,
   MATCH(1,(aspek!$A$2:$A$337=B924)*
           (aspek!$B$2:$B$337=C924)*
           (aspek!$C$2:$C$337=D924),0))</f>
        <v>Kesediaan bergerak tanpa kepastian strategis</v>
      </c>
      <c r="F924" s="76">
        <v>3</v>
      </c>
      <c r="G924" s="56" t="str" cm="1">
        <f t="array" ref="G924">INDEX(deskripsi!$D$2:$H$337,
   MATCH(1,(deskripsi!$A$2:$A$337=B924)*
           (deskripsi!$B$2:$B$337=C924)*
           (deskripsi!$C$2:$C$337=D924),0),
   F924)</f>
        <v>Memutuskan setelah menunggu selama waktu yang wajar, dan biasanya tepat.</v>
      </c>
    </row>
    <row r="925" spans="1:7" ht="42">
      <c r="A925" t="str">
        <f t="shared" si="14"/>
        <v>Strategic Thinking|Division Head|1|4</v>
      </c>
      <c r="B925" t="str">
        <v>Strategic Thinking</v>
      </c>
      <c r="C925" t="str">
        <v>Division Head</v>
      </c>
      <c r="D925" s="76">
        <v>1</v>
      </c>
      <c r="E925" t="str" cm="1">
        <f t="array" ref="E925">INDEX(aspek!$D$2:$D$337,
   MATCH(1,(aspek!$A$2:$A$337=B925)*
           (aspek!$B$2:$B$337=C925)*
           (aspek!$C$2:$C$337=D925),0))</f>
        <v>Kesediaan bergerak tanpa kepastian strategis</v>
      </c>
      <c r="F925" s="76">
        <v>4</v>
      </c>
      <c r="G925" s="56" t="str" cm="1">
        <f t="array" ref="G925">INDEX(deskripsi!$D$2:$H$337,
   MATCH(1,(deskripsi!$A$2:$A$337=B925)*
           (deskripsi!$B$2:$B$337=C925)*
           (deskripsi!$C$2:$C$337=D925),0),
   F925)</f>
        <v>Menetapkan sendiri batas menunggu di muka, lalu bergerak pada batas itu — termasuk ketika sebagian informasi memang tidak akan pernah tersedia.</v>
      </c>
    </row>
    <row r="926" spans="1:7" ht="28">
      <c r="A926" t="str">
        <f t="shared" si="14"/>
        <v>Strategic Thinking|Division Head|1|5</v>
      </c>
      <c r="B926" t="str">
        <v>Strategic Thinking</v>
      </c>
      <c r="C926" t="str">
        <v>Division Head</v>
      </c>
      <c r="D926" s="76">
        <v>1</v>
      </c>
      <c r="E926" t="str" cm="1">
        <f t="array" ref="E926">INDEX(aspek!$D$2:$D$337,
   MATCH(1,(aspek!$A$2:$A$337=B926)*
           (aspek!$B$2:$B$337=C926)*
           (aspek!$C$2:$C$337=D926),0))</f>
        <v>Kesediaan bergerak tanpa kepastian strategis</v>
      </c>
      <c r="F926" s="76">
        <v>5</v>
      </c>
      <c r="G926" s="56" t="str" cm="1">
        <f t="array" ref="G926">INDEX(deskripsi!$D$2:$H$337,
   MATCH(1,(deskripsi!$A$2:$A$337=B926)*
           (deskripsi!$B$2:$B$337=C926)*
           (deskripsi!$C$2:$C$337=D926),0),
   F926)</f>
        <v>Melihat periode yang belum jelas sebagai kesempatan bergerak lebih dulu daripada pihak yang menunggu.</v>
      </c>
    </row>
    <row r="927" spans="1:7">
      <c r="A927" t="str">
        <f t="shared" si="14"/>
        <v>Strategic Thinking|Division Head|2|1</v>
      </c>
      <c r="B927" t="str">
        <v>Strategic Thinking</v>
      </c>
      <c r="C927" t="str">
        <v>Division Head</v>
      </c>
      <c r="D927" s="76">
        <v>2</v>
      </c>
      <c r="E927" t="str" cm="1">
        <f t="array" ref="E927">INDEX(aspek!$D$2:$D$337,
   MATCH(1,(aspek!$A$2:$A$337=B927)*
           (aspek!$B$2:$B$337=C927)*
           (aspek!$C$2:$C$337=D927),0))</f>
        <v>Produktivitas kognitif dalam ketidakjelasan</v>
      </c>
      <c r="F927" s="76">
        <v>1</v>
      </c>
      <c r="G927" s="56" t="str" cm="1">
        <f t="array" ref="G927">INDEX(deskripsi!$D$2:$H$337,
   MATCH(1,(deskripsi!$A$2:$A$337=B927)*
           (deskripsi!$B$2:$B$337=C927)*
           (deskripsi!$C$2:$C$337=D927),0),
   F927)</f>
        <v>Berhenti berpikir jernih ketika arah strategis membingungkan.</v>
      </c>
    </row>
    <row r="928" spans="1:7" ht="28">
      <c r="A928" t="str">
        <f t="shared" si="14"/>
        <v>Strategic Thinking|Division Head|2|2</v>
      </c>
      <c r="B928" t="str">
        <v>Strategic Thinking</v>
      </c>
      <c r="C928" t="str">
        <v>Division Head</v>
      </c>
      <c r="D928" s="76">
        <v>2</v>
      </c>
      <c r="E928" t="str" cm="1">
        <f t="array" ref="E928">INDEX(aspek!$D$2:$D$337,
   MATCH(1,(aspek!$A$2:$A$337=B928)*
           (aspek!$B$2:$B$337=C928)*
           (aspek!$C$2:$C$337=D928),0))</f>
        <v>Produktivitas kognitif dalam ketidakjelasan</v>
      </c>
      <c r="F928" s="76">
        <v>2</v>
      </c>
      <c r="G928" s="56" t="str" cm="1">
        <f t="array" ref="G928">INDEX(deskripsi!$D$2:$H$337,
   MATCH(1,(deskripsi!$A$2:$A$337=B928)*
           (deskripsi!$B$2:$B$337=C928)*
           (deskripsi!$C$2:$C$337=D928),0),
   F928)</f>
        <v>Masih dapat menganalisis, tetapi hanya menghasilkan daftar hal yang belum diketahui.</v>
      </c>
    </row>
    <row r="929" spans="1:7" ht="28">
      <c r="A929" t="str">
        <f t="shared" si="14"/>
        <v>Strategic Thinking|Division Head|2|3</v>
      </c>
      <c r="B929" t="str">
        <v>Strategic Thinking</v>
      </c>
      <c r="C929" t="str">
        <v>Division Head</v>
      </c>
      <c r="D929" s="76">
        <v>2</v>
      </c>
      <c r="E929" t="str" cm="1">
        <f t="array" ref="E929">INDEX(aspek!$D$2:$D$337,
   MATCH(1,(aspek!$A$2:$A$337=B929)*
           (aspek!$B$2:$B$337=C929)*
           (aspek!$C$2:$C$337=D929),0))</f>
        <v>Produktivitas kognitif dalam ketidakjelasan</v>
      </c>
      <c r="F929" s="76">
        <v>3</v>
      </c>
      <c r="G929" s="56" t="str" cm="1">
        <f t="array" ref="G929">INDEX(deskripsi!$D$2:$H$337,
   MATCH(1,(deskripsi!$A$2:$A$337=B929)*
           (deskripsi!$B$2:$B$337=C929)*
           (deskripsi!$C$2:$C$337=D929),0),
   F929)</f>
        <v>Menghasilkan analisis dan skenario yang rapi, meski kesimpulannya tetap menunggu data tambahan.</v>
      </c>
    </row>
    <row r="930" spans="1:7" ht="42">
      <c r="A930" t="str">
        <f t="shared" si="14"/>
        <v>Strategic Thinking|Division Head|2|4</v>
      </c>
      <c r="B930" t="str">
        <v>Strategic Thinking</v>
      </c>
      <c r="C930" t="str">
        <v>Division Head</v>
      </c>
      <c r="D930" s="76">
        <v>2</v>
      </c>
      <c r="E930" t="str" cm="1">
        <f t="array" ref="E930">INDEX(aspek!$D$2:$D$337,
   MATCH(1,(aspek!$A$2:$A$337=B930)*
           (aspek!$B$2:$B$337=C930)*
           (aspek!$C$2:$C$337=D930),0))</f>
        <v>Produktivitas kognitif dalam ketidakjelasan</v>
      </c>
      <c r="F930" s="76">
        <v>4</v>
      </c>
      <c r="G930" s="56" t="str" cm="1">
        <f t="array" ref="G930">INDEX(deskripsi!$D$2:$H$337,
   MATCH(1,(deskripsi!$A$2:$A$337=B930)*
           (deskripsi!$B$2:$B$337=C930)*
           (deskripsi!$C$2:$C$337=D930),0),
   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76">
        <v>2</v>
      </c>
      <c r="E931" t="str" cm="1">
        <f t="array" ref="E931">INDEX(aspek!$D$2:$D$337,
   MATCH(1,(aspek!$A$2:$A$337=B931)*
           (aspek!$B$2:$B$337=C931)*
           (aspek!$C$2:$C$337=D931),0))</f>
        <v>Produktivitas kognitif dalam ketidakjelasan</v>
      </c>
      <c r="F931" s="76">
        <v>5</v>
      </c>
      <c r="G931" s="56" t="str" cm="1">
        <f t="array" ref="G931">INDEX(deskripsi!$D$2:$H$337,
   MATCH(1,(deskripsi!$A$2:$A$337=B931)*
           (deskripsi!$B$2:$B$337=C931)*
           (deskripsi!$C$2:$C$337=D931),0),
   F931)</f>
        <v>Menemukan peluang strategis yang justru tidak terlihat ketika keadaan sudah jelas.</v>
      </c>
    </row>
    <row r="932" spans="1:7" ht="28">
      <c r="A932" t="str">
        <f t="shared" si="14"/>
        <v>Strategic Thinking|Division Head|3|1</v>
      </c>
      <c r="B932" t="str">
        <v>Strategic Thinking</v>
      </c>
      <c r="C932" t="str">
        <v>Division Head</v>
      </c>
      <c r="D932" s="76">
        <v>3</v>
      </c>
      <c r="E932" t="str" cm="1">
        <f t="array" ref="E932">INDEX(aspek!$D$2:$D$337,
   MATCH(1,(aspek!$A$2:$A$337=B932)*
           (aspek!$B$2:$B$337=C932)*
           (aspek!$C$2:$C$337=D932),0))</f>
        <v>Menjaga unit tetap berjalan</v>
      </c>
      <c r="F932" s="76">
        <v>1</v>
      </c>
      <c r="G932" s="56" t="str" cm="1">
        <f t="array" ref="G932">INDEX(deskripsi!$D$2:$H$337,
   MATCH(1,(deskripsi!$A$2:$A$337=B932)*
           (deskripsi!$B$2:$B$337=C932)*
           (deskripsi!$C$2:$C$337=D932),0),
   F932)</f>
        <v>Ketika arah strategis belum turun, unit ikut berhenti dan menunggu.</v>
      </c>
    </row>
    <row r="933" spans="1:7" ht="28">
      <c r="A933" t="str">
        <f t="shared" si="14"/>
        <v>Strategic Thinking|Division Head|3|2</v>
      </c>
      <c r="B933" t="str">
        <v>Strategic Thinking</v>
      </c>
      <c r="C933" t="str">
        <v>Division Head</v>
      </c>
      <c r="D933" s="76">
        <v>3</v>
      </c>
      <c r="E933" t="str" cm="1">
        <f t="array" ref="E933">INDEX(aspek!$D$2:$D$337,
   MATCH(1,(aspek!$A$2:$A$337=B933)*
           (aspek!$B$2:$B$337=C933)*
           (aspek!$C$2:$C$337=D933),0))</f>
        <v>Menjaga unit tetap berjalan</v>
      </c>
      <c r="F933" s="76">
        <v>2</v>
      </c>
      <c r="G933" s="56" t="str" cm="1">
        <f t="array" ref="G933">INDEX(deskripsi!$D$2:$H$337,
   MATCH(1,(deskripsi!$A$2:$A$337=B933)*
           (deskripsi!$B$2:$B$337=C933)*
           (deskripsi!$C$2:$C$337=D933),0),
   F933)</f>
        <v>Unit tetap mengerjakan rutinitas, tetapi pekerjaan penting tertahan.</v>
      </c>
    </row>
    <row r="934" spans="1:7" ht="28">
      <c r="A934" t="str">
        <f t="shared" si="14"/>
        <v>Strategic Thinking|Division Head|3|3</v>
      </c>
      <c r="B934" t="str">
        <v>Strategic Thinking</v>
      </c>
      <c r="C934" t="str">
        <v>Division Head</v>
      </c>
      <c r="D934" s="76">
        <v>3</v>
      </c>
      <c r="E934" t="str" cm="1">
        <f t="array" ref="E934">INDEX(aspek!$D$2:$D$337,
   MATCH(1,(aspek!$A$2:$A$337=B934)*
           (aspek!$B$2:$B$337=C934)*
           (aspek!$C$2:$C$337=D934),0))</f>
        <v>Menjaga unit tetap berjalan</v>
      </c>
      <c r="F934" s="76">
        <v>3</v>
      </c>
      <c r="G934" s="56" t="str" cm="1">
        <f t="array" ref="G934">INDEX(deskripsi!$D$2:$H$337,
   MATCH(1,(deskripsi!$A$2:$A$337=B934)*
           (deskripsi!$B$2:$B$337=C934)*
           (deskripsi!$C$2:$C$337=D934),0),
   F934)</f>
        <v>Unit tetap berjalan karena diberi pekerjaan seadanya, tanpa penjelasan.</v>
      </c>
    </row>
    <row r="935" spans="1:7" ht="42">
      <c r="A935" t="str">
        <f t="shared" si="14"/>
        <v>Strategic Thinking|Division Head|3|4</v>
      </c>
      <c r="B935" t="str">
        <v>Strategic Thinking</v>
      </c>
      <c r="C935" t="str">
        <v>Division Head</v>
      </c>
      <c r="D935" s="76">
        <v>3</v>
      </c>
      <c r="E935" t="str" cm="1">
        <f t="array" ref="E935">INDEX(aspek!$D$2:$D$337,
   MATCH(1,(aspek!$A$2:$A$337=B935)*
           (aspek!$B$2:$B$337=C935)*
           (aspek!$C$2:$C$337=D935),0))</f>
        <v>Menjaga unit tetap berjalan</v>
      </c>
      <c r="F935" s="76">
        <v>4</v>
      </c>
      <c r="G935" s="56" t="str" cm="1">
        <f t="array" ref="G935">INDEX(deskripsi!$D$2:$H$337,
   MATCH(1,(deskripsi!$A$2:$A$337=B935)*
           (deskripsi!$B$2:$B$337=C935)*
           (deskripsi!$C$2:$C$337=D935),0),
   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76">
        <v>3</v>
      </c>
      <c r="E936" t="str" cm="1">
        <f t="array" ref="E936">INDEX(aspek!$D$2:$D$337,
   MATCH(1,(aspek!$A$2:$A$337=B936)*
           (aspek!$B$2:$B$337=C936)*
           (aspek!$C$2:$C$337=D936),0))</f>
        <v>Menjaga unit tetap berjalan</v>
      </c>
      <c r="F936" s="76">
        <v>5</v>
      </c>
      <c r="G936" s="56" t="str" cm="1">
        <f t="array" ref="G936">INDEX(deskripsi!$D$2:$H$337,
   MATCH(1,(deskripsi!$A$2:$A$337=B936)*
           (deskripsi!$B$2:$B$337=C936)*
           (deskripsi!$C$2:$C$337=D936),0),
   F936)</f>
        <v>Anggota unit mulai sendiri menemukan pekerjaan yang tetap benar tanpa menunggu diberi tahu.</v>
      </c>
    </row>
    <row r="937" spans="1:7" ht="28">
      <c r="A937" t="str">
        <f t="shared" si="14"/>
        <v>Strategic Thinking|Division Head|4|1</v>
      </c>
      <c r="B937" t="str">
        <v>Strategic Thinking</v>
      </c>
      <c r="C937" t="str">
        <v>Division Head</v>
      </c>
      <c r="D937" s="76">
        <v>4</v>
      </c>
      <c r="E937" t="str" cm="1">
        <f t="array" ref="E937">INDEX(aspek!$D$2:$D$337,
   MATCH(1,(aspek!$A$2:$A$337=B937)*
           (aspek!$B$2:$B$337=C937)*
           (aspek!$C$2:$C$337=D937),0))</f>
        <v xml:space="preserve">Terobosan tanpa bukti kelayakan penuh  </v>
      </c>
      <c r="F937" s="76">
        <v>1</v>
      </c>
      <c r="G937" s="56" t="str" cm="1">
        <f t="array" ref="G937">INDEX(deskripsi!$D$2:$H$337,
   MATCH(1,(deskripsi!$A$2:$A$337=B937)*
           (deskripsi!$B$2:$B$337=C937)*
           (deskripsi!$C$2:$C$337=D937),0),
   F937)</f>
        <v>Hanya menjalankan gagasan yang kelayakannya sudah terbukti sepenuhnya.</v>
      </c>
    </row>
    <row r="938" spans="1:7" ht="28">
      <c r="A938" t="str">
        <f t="shared" si="14"/>
        <v>Strategic Thinking|Division Head|4|2</v>
      </c>
      <c r="B938" t="str">
        <v>Strategic Thinking</v>
      </c>
      <c r="C938" t="str">
        <v>Division Head</v>
      </c>
      <c r="D938" s="76">
        <v>4</v>
      </c>
      <c r="E938" t="str" cm="1">
        <f t="array" ref="E938">INDEX(aspek!$D$2:$D$337,
   MATCH(1,(aspek!$A$2:$A$337=B938)*
           (aspek!$B$2:$B$337=C938)*
           (aspek!$C$2:$C$337=D938),0))</f>
        <v xml:space="preserve">Terobosan tanpa bukti kelayakan penuh  </v>
      </c>
      <c r="F938" s="76">
        <v>2</v>
      </c>
      <c r="G938" s="56" t="str" cm="1">
        <f t="array" ref="G938">INDEX(deskripsi!$D$2:$H$337,
   MATCH(1,(deskripsi!$A$2:$A$337=B938)*
           (deskripsi!$B$2:$B$337=C938)*
           (deskripsi!$C$2:$C$337=D938),0),
   F938)</f>
        <v>Menyusun gagasan besar tetapi menundanya sampai ada bukti yang meyakinkan.</v>
      </c>
    </row>
    <row r="939" spans="1:7" ht="28">
      <c r="A939" t="str">
        <f t="shared" si="14"/>
        <v>Strategic Thinking|Division Head|4|3</v>
      </c>
      <c r="B939" t="str">
        <v>Strategic Thinking</v>
      </c>
      <c r="C939" t="str">
        <v>Division Head</v>
      </c>
      <c r="D939" s="76">
        <v>4</v>
      </c>
      <c r="E939" t="str" cm="1">
        <f t="array" ref="E939">INDEX(aspek!$D$2:$D$337,
   MATCH(1,(aspek!$A$2:$A$337=B939)*
           (aspek!$B$2:$B$337=C939)*
           (aspek!$C$2:$C$337=D939),0))</f>
        <v xml:space="preserve">Terobosan tanpa bukti kelayakan penuh  </v>
      </c>
      <c r="F939" s="76">
        <v>3</v>
      </c>
      <c r="G939" s="56" t="str" cm="1">
        <f t="array" ref="G939">INDEX(deskripsi!$D$2:$H$337,
   MATCH(1,(deskripsi!$A$2:$A$337=B939)*
           (deskripsi!$B$2:$B$337=C939)*
           (deskripsi!$C$2:$C$337=D939),0),
   F939)</f>
        <v>Menjalankan gagasan baru setelah pihak lain membuktikannya lebih dulu.</v>
      </c>
    </row>
    <row r="940" spans="1:7" ht="42">
      <c r="A940" t="str">
        <f t="shared" si="14"/>
        <v>Strategic Thinking|Division Head|4|4</v>
      </c>
      <c r="B940" t="str">
        <v>Strategic Thinking</v>
      </c>
      <c r="C940" t="str">
        <v>Division Head</v>
      </c>
      <c r="D940" s="76">
        <v>4</v>
      </c>
      <c r="E940" t="str" cm="1">
        <f t="array" ref="E940">INDEX(aspek!$D$2:$D$337,
   MATCH(1,(aspek!$A$2:$A$337=B940)*
           (aspek!$B$2:$B$337=C940)*
           (aspek!$C$2:$C$337=D940),0))</f>
        <v xml:space="preserve">Terobosan tanpa bukti kelayakan penuh  </v>
      </c>
      <c r="F940" s="76">
        <v>4</v>
      </c>
      <c r="G940" s="56" t="str" cm="1">
        <f t="array" ref="G940">INDEX(deskripsi!$D$2:$H$337,
   MATCH(1,(deskripsi!$A$2:$A$337=B940)*
           (deskripsi!$B$2:$B$337=C940)*
           (deskripsi!$C$2:$C$337=D940),0),
   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76">
        <v>4</v>
      </c>
      <c r="E941" t="str" cm="1">
        <f t="array" ref="E941">INDEX(aspek!$D$2:$D$337,
   MATCH(1,(aspek!$A$2:$A$337=B941)*
           (aspek!$B$2:$B$337=C941)*
           (aspek!$C$2:$C$337=D941),0))</f>
        <v xml:space="preserve">Terobosan tanpa bukti kelayakan penuh  </v>
      </c>
      <c r="F941" s="76">
        <v>5</v>
      </c>
      <c r="G941" s="56" t="str" cm="1">
        <f t="array" ref="G941">INDEX(deskripsi!$D$2:$H$337,
   MATCH(1,(deskripsi!$A$2:$A$337=B941)*
           (deskripsi!$B$2:$B$337=C941)*
           (deskripsi!$C$2:$C$337=D941),0),
   F941)</f>
        <v>Terobosan yang ia jalankan menjadi rujukan yang kemudian diikuti pihak lain di industrinya.</v>
      </c>
    </row>
    <row r="942" spans="1:7" ht="28">
      <c r="A942" t="str">
        <f t="shared" si="14"/>
        <v>Strategic Thinking|Director|1|1</v>
      </c>
      <c r="B942" t="str">
        <v>Strategic Thinking</v>
      </c>
      <c r="C942" t="str">
        <v>Director</v>
      </c>
      <c r="D942" s="76">
        <v>1</v>
      </c>
      <c r="E942" t="str" cm="1">
        <f t="array" ref="E942">INDEX(aspek!$D$2:$D$337,
   MATCH(1,(aspek!$A$2:$A$337=B942)*
           (aspek!$B$2:$B$337=C942)*
           (aspek!$C$2:$C$337=D942),0))</f>
        <v>Memberi arah saat arah belum ada</v>
      </c>
      <c r="F942" s="76">
        <v>1</v>
      </c>
      <c r="G942" s="56" t="str" cm="1">
        <f t="array" ref="G942">INDEX(deskripsi!$D$2:$H$337,
   MATCH(1,(deskripsi!$A$2:$A$337=B942)*
           (deskripsi!$B$2:$B$337=C942)*
           (deskripsi!$C$2:$C$337=D942),0),
   F942)</f>
        <v>Ikut menunggu bersama organisasi; tidak ada arah yang diberikan sampai kejelasan datang dari atas.</v>
      </c>
    </row>
    <row r="943" spans="1:7" ht="28">
      <c r="A943" t="str">
        <f t="shared" si="14"/>
        <v>Strategic Thinking|Director|1|2</v>
      </c>
      <c r="B943" t="str">
        <v>Strategic Thinking</v>
      </c>
      <c r="C943" t="str">
        <v>Director</v>
      </c>
      <c r="D943" s="76">
        <v>1</v>
      </c>
      <c r="E943" t="str" cm="1">
        <f t="array" ref="E943">INDEX(aspek!$D$2:$D$337,
   MATCH(1,(aspek!$A$2:$A$337=B943)*
           (aspek!$B$2:$B$337=C943)*
           (aspek!$C$2:$C$337=D943),0))</f>
        <v>Memberi arah saat arah belum ada</v>
      </c>
      <c r="F943" s="76">
        <v>2</v>
      </c>
      <c r="G943" s="56" t="str" cm="1">
        <f t="array" ref="G943">INDEX(deskripsi!$D$2:$H$337,
   MATCH(1,(deskripsi!$A$2:$A$337=B943)*
           (deskripsi!$B$2:$B$337=C943)*
           (deskripsi!$C$2:$C$337=D943),0),
   F943)</f>
        <v>Meneruskan ketidakjelasan apa adanya, tanpa menerjemahkannya menjadi pekerjaan.</v>
      </c>
    </row>
    <row r="944" spans="1:7">
      <c r="A944" t="str">
        <f t="shared" si="14"/>
        <v>Strategic Thinking|Director|1|3</v>
      </c>
      <c r="B944" t="str">
        <v>Strategic Thinking</v>
      </c>
      <c r="C944" t="str">
        <v>Director</v>
      </c>
      <c r="D944" s="76">
        <v>1</v>
      </c>
      <c r="E944" t="str" cm="1">
        <f t="array" ref="E944">INDEX(aspek!$D$2:$D$337,
   MATCH(1,(aspek!$A$2:$A$337=B944)*
           (aspek!$B$2:$B$337=C944)*
           (aspek!$C$2:$C$337=D944),0))</f>
        <v>Memberi arah saat arah belum ada</v>
      </c>
      <c r="F944" s="76">
        <v>3</v>
      </c>
      <c r="G944" s="56" t="str" cm="1">
        <f t="array" ref="G944">INDEX(deskripsi!$D$2:$H$337,
   MATCH(1,(deskripsi!$A$2:$A$337=B944)*
           (deskripsi!$B$2:$B$337=C944)*
           (deskripsi!$C$2:$C$337=D944),0),
   F944)</f>
        <v>Memberi arah yang jelas segera setelah kejelasan datang.</v>
      </c>
    </row>
    <row r="945" spans="1:7" ht="42">
      <c r="A945" t="str">
        <f t="shared" si="14"/>
        <v>Strategic Thinking|Director|1|4</v>
      </c>
      <c r="B945" t="str">
        <v>Strategic Thinking</v>
      </c>
      <c r="C945" t="str">
        <v>Director</v>
      </c>
      <c r="D945" s="76">
        <v>1</v>
      </c>
      <c r="E945" t="str" cm="1">
        <f t="array" ref="E945">INDEX(aspek!$D$2:$D$337,
   MATCH(1,(aspek!$A$2:$A$337=B945)*
           (aspek!$B$2:$B$337=C945)*
           (aspek!$C$2:$C$337=D945),0))</f>
        <v>Memberi arah saat arah belum ada</v>
      </c>
      <c r="F945" s="76">
        <v>4</v>
      </c>
      <c r="G945" s="56" t="str" cm="1">
        <f t="array" ref="G945">INDEX(deskripsi!$D$2:$H$337,
   MATCH(1,(deskripsi!$A$2:$A$337=B945)*
           (deskripsi!$B$2:$B$337=C945)*
           (deskripsi!$C$2:$C$337=D945),0),
   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76">
        <v>1</v>
      </c>
      <c r="E946" t="str" cm="1">
        <f t="array" ref="E946">INDEX(aspek!$D$2:$D$337,
   MATCH(1,(aspek!$A$2:$A$337=B946)*
           (aspek!$B$2:$B$337=C946)*
           (aspek!$C$2:$C$337=D946),0))</f>
        <v>Memberi arah saat arah belum ada</v>
      </c>
      <c r="F946" s="76">
        <v>5</v>
      </c>
      <c r="G946" s="56" t="str" cm="1">
        <f t="array" ref="G946">INDEX(deskripsi!$D$2:$H$337,
   MATCH(1,(deskripsi!$A$2:$A$337=B946)*
           (deskripsi!$B$2:$B$337=C946)*
           (deskripsi!$C$2:$C$337=D946),0),
   F946)</f>
        <v>Fungsi-fungsi mulai sendiri menentukan pekerjaan yang tetap benar tanpa menunggu arahan darinya.</v>
      </c>
    </row>
    <row r="947" spans="1:7" ht="28">
      <c r="A947" t="str">
        <f t="shared" si="14"/>
        <v>Strategic Thinking|Director|2|1</v>
      </c>
      <c r="B947" t="str">
        <v>Strategic Thinking</v>
      </c>
      <c r="C947" t="str">
        <v>Director</v>
      </c>
      <c r="D947" s="76">
        <v>2</v>
      </c>
      <c r="E947" t="str" cm="1">
        <f t="array" ref="E947">INDEX(aspek!$D$2:$D$337,
   MATCH(1,(aspek!$A$2:$A$337=B947)*
           (aspek!$B$2:$B$337=C947)*
           (aspek!$C$2:$C$337=D947),0))</f>
        <v xml:space="preserve">Menjaga orang lain tetap produktif </v>
      </c>
      <c r="F947" s="76">
        <v>1</v>
      </c>
      <c r="G947" s="56" t="str" cm="1">
        <f t="array" ref="G947">INDEX(deskripsi!$D$2:$H$337,
   MATCH(1,(deskripsi!$A$2:$A$337=B947)*
           (deskripsi!$B$2:$B$337=C947)*
           (deskripsi!$C$2:$C$337=D947),0),
   F947)</f>
        <v>Fungsi yang dipimpinnya ikut berhenti; produktivitas turun tajam pada periode tidak jelas.</v>
      </c>
    </row>
    <row r="948" spans="1:7" ht="28">
      <c r="A948" t="str">
        <f t="shared" si="14"/>
        <v>Strategic Thinking|Director|2|2</v>
      </c>
      <c r="B948" t="str">
        <v>Strategic Thinking</v>
      </c>
      <c r="C948" t="str">
        <v>Director</v>
      </c>
      <c r="D948" s="76">
        <v>2</v>
      </c>
      <c r="E948" t="str" cm="1">
        <f t="array" ref="E948">INDEX(aspek!$D$2:$D$337,
   MATCH(1,(aspek!$A$2:$A$337=B948)*
           (aspek!$B$2:$B$337=C948)*
           (aspek!$C$2:$C$337=D948),0))</f>
        <v xml:space="preserve">Menjaga orang lain tetap produktif </v>
      </c>
      <c r="F948" s="76">
        <v>2</v>
      </c>
      <c r="G948" s="56" t="str" cm="1">
        <f t="array" ref="G948">INDEX(deskripsi!$D$2:$H$337,
   MATCH(1,(deskripsi!$A$2:$A$337=B948)*
           (deskripsi!$B$2:$B$337=C948)*
           (deskripsi!$C$2:$C$337=D948),0),
   F948)</f>
        <v>Rutinitas berjalan, tetapi pekerjaan penting tertahan menunggu keputusan.</v>
      </c>
    </row>
    <row r="949" spans="1:7" ht="28">
      <c r="A949" t="str">
        <f t="shared" si="14"/>
        <v>Strategic Thinking|Director|2|3</v>
      </c>
      <c r="B949" t="str">
        <v>Strategic Thinking</v>
      </c>
      <c r="C949" t="str">
        <v>Director</v>
      </c>
      <c r="D949" s="76">
        <v>2</v>
      </c>
      <c r="E949" t="str" cm="1">
        <f t="array" ref="E949">INDEX(aspek!$D$2:$D$337,
   MATCH(1,(aspek!$A$2:$A$337=B949)*
           (aspek!$B$2:$B$337=C949)*
           (aspek!$C$2:$C$337=D949),0))</f>
        <v xml:space="preserve">Menjaga orang lain tetap produktif </v>
      </c>
      <c r="F949" s="76">
        <v>3</v>
      </c>
      <c r="G949" s="56" t="str" cm="1">
        <f t="array" ref="G949">INDEX(deskripsi!$D$2:$H$337,
   MATCH(1,(deskripsi!$A$2:$A$337=B949)*
           (deskripsi!$B$2:$B$337=C949)*
           (deskripsi!$C$2:$C$337=D949),0),
   F949)</f>
        <v>Fungsi tetap berjalan karena diberi pekerjaan, meski tanpa penjelasan mengapa.</v>
      </c>
    </row>
    <row r="950" spans="1:7" ht="42">
      <c r="A950" t="str">
        <f t="shared" si="14"/>
        <v>Strategic Thinking|Director|2|4</v>
      </c>
      <c r="B950" t="str">
        <v>Strategic Thinking</v>
      </c>
      <c r="C950" t="str">
        <v>Director</v>
      </c>
      <c r="D950" s="76">
        <v>2</v>
      </c>
      <c r="E950" t="str" cm="1">
        <f t="array" ref="E950">INDEX(aspek!$D$2:$D$337,
   MATCH(1,(aspek!$A$2:$A$337=B950)*
           (aspek!$B$2:$B$337=C950)*
           (aspek!$C$2:$C$337=D950),0))</f>
        <v xml:space="preserve">Menjaga orang lain tetap produktif </v>
      </c>
      <c r="F950" s="76">
        <v>4</v>
      </c>
      <c r="G950" s="56" t="str" cm="1">
        <f t="array" ref="G950">INDEX(deskripsi!$D$2:$H$337,
   MATCH(1,(deskripsi!$A$2:$A$337=B950)*
           (deskripsi!$B$2:$B$337=C950)*
           (deskripsi!$C$2:$C$337=D950),0),
   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76">
        <v>2</v>
      </c>
      <c r="E951" t="str" cm="1">
        <f t="array" ref="E951">INDEX(aspek!$D$2:$D$337,
   MATCH(1,(aspek!$A$2:$A$337=B951)*
           (aspek!$B$2:$B$337=C951)*
           (aspek!$C$2:$C$337=D951),0))</f>
        <v xml:space="preserve">Menjaga orang lain tetap produktif </v>
      </c>
      <c r="F951" s="76">
        <v>5</v>
      </c>
      <c r="G951" s="56" t="str" cm="1">
        <f t="array" ref="G951">INDEX(deskripsi!$D$2:$H$337,
   MATCH(1,(deskripsi!$A$2:$A$337=B951)*
           (deskripsi!$B$2:$B$337=C951)*
           (deskripsi!$C$2:$C$337=D951),0),
   F951)</f>
        <v>Fungsi di luar tanggung jawabnya ikut tetap bergerak karena arah yang ia berikan.</v>
      </c>
    </row>
    <row r="952" spans="1:7" ht="28">
      <c r="A952" t="str">
        <f t="shared" si="14"/>
        <v>Strategic Thinking|Director|3|1</v>
      </c>
      <c r="B952" t="str">
        <v>Strategic Thinking</v>
      </c>
      <c r="C952" t="str">
        <v>Director</v>
      </c>
      <c r="D952" s="76">
        <v>3</v>
      </c>
      <c r="E952" t="str" cm="1">
        <f t="array" ref="E952">INDEX(aspek!$D$2:$D$337,
   MATCH(1,(aspek!$A$2:$A$337=B952)*
           (aspek!$B$2:$B$337=C952)*
           (aspek!$C$2:$C$337=D952),0))</f>
        <v>Mengubah ketidakpastian menjadi peluang strategis</v>
      </c>
      <c r="F952" s="76">
        <v>1</v>
      </c>
      <c r="G952" s="56" t="str" cm="1">
        <f t="array" ref="G952">INDEX(deskripsi!$D$2:$H$337,
   MATCH(1,(deskripsi!$A$2:$A$337=B952)*
           (deskripsi!$B$2:$B$337=C952)*
           (deskripsi!$C$2:$C$337=D952),0),
   F952)</f>
        <v>Membaca ketidakpastian hanya sebagai risiko yang harus ditahan.</v>
      </c>
    </row>
    <row r="953" spans="1:7" ht="28">
      <c r="A953" t="str">
        <f t="shared" si="14"/>
        <v>Strategic Thinking|Director|3|2</v>
      </c>
      <c r="B953" t="str">
        <v>Strategic Thinking</v>
      </c>
      <c r="C953" t="str">
        <v>Director</v>
      </c>
      <c r="D953" s="76">
        <v>3</v>
      </c>
      <c r="E953" t="str" cm="1">
        <f t="array" ref="E953">INDEX(aspek!$D$2:$D$337,
   MATCH(1,(aspek!$A$2:$A$337=B953)*
           (aspek!$B$2:$B$337=C953)*
           (aspek!$C$2:$C$337=D953),0))</f>
        <v>Mengubah ketidakpastian menjadi peluang strategis</v>
      </c>
      <c r="F953" s="76">
        <v>2</v>
      </c>
      <c r="G953" s="56" t="str" cm="1">
        <f t="array" ref="G953">INDEX(deskripsi!$D$2:$H$337,
   MATCH(1,(deskripsi!$A$2:$A$337=B953)*
           (deskripsi!$B$2:$B$337=C953)*
           (deskripsi!$C$2:$C$337=D953),0),
   F953)</f>
        <v>Menyusun rencana mitigasi, tetapi tidak melihat kemungkinan di baliknya.</v>
      </c>
    </row>
    <row r="954" spans="1:7" ht="28">
      <c r="A954" t="str">
        <f t="shared" si="14"/>
        <v>Strategic Thinking|Director|3|3</v>
      </c>
      <c r="B954" t="str">
        <v>Strategic Thinking</v>
      </c>
      <c r="C954" t="str">
        <v>Director</v>
      </c>
      <c r="D954" s="76">
        <v>3</v>
      </c>
      <c r="E954" t="str" cm="1">
        <f t="array" ref="E954">INDEX(aspek!$D$2:$D$337,
   MATCH(1,(aspek!$A$2:$A$337=B954)*
           (aspek!$B$2:$B$337=C954)*
           (aspek!$C$2:$C$337=D954),0))</f>
        <v>Mengubah ketidakpastian menjadi peluang strategis</v>
      </c>
      <c r="F954" s="76">
        <v>3</v>
      </c>
      <c r="G954" s="56" t="str" cm="1">
        <f t="array" ref="G954">INDEX(deskripsi!$D$2:$H$337,
   MATCH(1,(deskripsi!$A$2:$A$337=B954)*
           (deskripsi!$B$2:$B$337=C954)*
           (deskripsi!$C$2:$C$337=D954),0),
   F954)</f>
        <v>Mengenali peluang yang muncul dari ketidakpastian, tetapi tidak menindaklanjutinya.</v>
      </c>
    </row>
    <row r="955" spans="1:7" ht="42">
      <c r="A955" t="str">
        <f t="shared" si="14"/>
        <v>Strategic Thinking|Director|3|4</v>
      </c>
      <c r="B955" t="str">
        <v>Strategic Thinking</v>
      </c>
      <c r="C955" t="str">
        <v>Director</v>
      </c>
      <c r="D955" s="76">
        <v>3</v>
      </c>
      <c r="E955" t="str" cm="1">
        <f t="array" ref="E955">INDEX(aspek!$D$2:$D$337,
   MATCH(1,(aspek!$A$2:$A$337=B955)*
           (aspek!$B$2:$B$337=C955)*
           (aspek!$C$2:$C$337=D955),0))</f>
        <v>Mengubah ketidakpastian menjadi peluang strategis</v>
      </c>
      <c r="F955" s="76">
        <v>4</v>
      </c>
      <c r="G955" s="56" t="str" cm="1">
        <f t="array" ref="G955">INDEX(deskripsi!$D$2:$H$337,
   MATCH(1,(deskripsi!$A$2:$A$337=B955)*
           (deskripsi!$B$2:$B$337=C955)*
           (deskripsi!$C$2:$C$337=D955),0),
   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76">
        <v>3</v>
      </c>
      <c r="E956" t="str" cm="1">
        <f t="array" ref="E956">INDEX(aspek!$D$2:$D$337,
   MATCH(1,(aspek!$A$2:$A$337=B956)*
           (aspek!$B$2:$B$337=C956)*
           (aspek!$C$2:$C$337=D956),0))</f>
        <v>Mengubah ketidakpastian menjadi peluang strategis</v>
      </c>
      <c r="F956" s="76">
        <v>5</v>
      </c>
      <c r="G956" s="56" t="str" cm="1">
        <f t="array" ref="G956">INDEX(deskripsi!$D$2:$H$337,
   MATCH(1,(deskripsi!$A$2:$A$337=B956)*
           (deskripsi!$B$2:$B$337=C956)*
           (deskripsi!$C$2:$C$337=D956),0),
   F956)</f>
        <v>Organisasi memperoleh posisi kepeloporan justru karena periode ketidakpastian itu.</v>
      </c>
    </row>
    <row r="957" spans="1:7" ht="28">
      <c r="A957" t="str">
        <f t="shared" si="14"/>
        <v>Strategic Thinking|Director|4|1</v>
      </c>
      <c r="B957" t="str">
        <v>Strategic Thinking</v>
      </c>
      <c r="C957" t="str">
        <v>Director</v>
      </c>
      <c r="D957" s="76">
        <v>4</v>
      </c>
      <c r="E957" t="str" cm="1">
        <f t="array" ref="E957">INDEX(aspek!$D$2:$D$337,
   MATCH(1,(aspek!$A$2:$A$337=B957)*
           (aspek!$B$2:$B$337=C957)*
           (aspek!$C$2:$C$337=D957),0))</f>
        <v>Arah strategis yang benar-benar diturunkan</v>
      </c>
      <c r="F957" s="76">
        <v>1</v>
      </c>
      <c r="G957" s="56" t="str" cm="1">
        <f t="array" ref="G957">INDEX(deskripsi!$D$2:$H$337,
   MATCH(1,(deskripsi!$A$2:$A$337=B957)*
           (deskripsi!$B$2:$B$337=C957)*
           (deskripsi!$C$2:$C$337=D957),0),
   F957)</f>
        <v>Tidak merumuskan arah; menjalankan arah yang ditetapkan pihak lain.</v>
      </c>
    </row>
    <row r="958" spans="1:7" ht="28">
      <c r="A958" t="str">
        <f t="shared" si="14"/>
        <v>Strategic Thinking|Director|4|2</v>
      </c>
      <c r="B958" t="str">
        <v>Strategic Thinking</v>
      </c>
      <c r="C958" t="str">
        <v>Director</v>
      </c>
      <c r="D958" s="76">
        <v>4</v>
      </c>
      <c r="E958" t="str" cm="1">
        <f t="array" ref="E958">INDEX(aspek!$D$2:$D$337,
   MATCH(1,(aspek!$A$2:$A$337=B958)*
           (aspek!$B$2:$B$337=C958)*
           (aspek!$C$2:$C$337=D958),0))</f>
        <v>Arah strategis yang benar-benar diturunkan</v>
      </c>
      <c r="F958" s="76">
        <v>2</v>
      </c>
      <c r="G958" s="56" t="str" cm="1">
        <f t="array" ref="G958">INDEX(deskripsi!$D$2:$H$337,
   MATCH(1,(deskripsi!$A$2:$A$337=B958)*
           (deskripsi!$B$2:$B$337=C958)*
           (deskripsi!$C$2:$C$337=D958),0),
   F958)</f>
        <v>Merumuskan visi yang terlalu umum untuk diterjemahkan menjadi pekerjaan.</v>
      </c>
    </row>
    <row r="959" spans="1:7" ht="28">
      <c r="A959" t="str">
        <f t="shared" si="14"/>
        <v>Strategic Thinking|Director|4|3</v>
      </c>
      <c r="B959" t="str">
        <v>Strategic Thinking</v>
      </c>
      <c r="C959" t="str">
        <v>Director</v>
      </c>
      <c r="D959" s="76">
        <v>4</v>
      </c>
      <c r="E959" t="str" cm="1">
        <f t="array" ref="E959">INDEX(aspek!$D$2:$D$337,
   MATCH(1,(aspek!$A$2:$A$337=B959)*
           (aspek!$B$2:$B$337=C959)*
           (aspek!$C$2:$C$337=D959),0))</f>
        <v>Arah strategis yang benar-benar diturunkan</v>
      </c>
      <c r="F959" s="76">
        <v>3</v>
      </c>
      <c r="G959" s="56" t="str" cm="1">
        <f t="array" ref="G959">INDEX(deskripsi!$D$2:$H$337,
   MATCH(1,(deskripsi!$A$2:$A$337=B959)*
           (deskripsi!$B$2:$B$337=C959)*
           (deskripsi!$C$2:$C$337=D959),0),
   F959)</f>
        <v>Merumuskan arah dan mempresentasikannya; penurunannya diserahkan kepada masing-masing fungsi.</v>
      </c>
    </row>
    <row r="960" spans="1:7" ht="42">
      <c r="A960" t="str">
        <f t="shared" si="14"/>
        <v>Strategic Thinking|Director|4|4</v>
      </c>
      <c r="B960" t="str">
        <v>Strategic Thinking</v>
      </c>
      <c r="C960" t="str">
        <v>Director</v>
      </c>
      <c r="D960" s="76">
        <v>4</v>
      </c>
      <c r="E960" t="str" cm="1">
        <f t="array" ref="E960">INDEX(aspek!$D$2:$D$337,
   MATCH(1,(aspek!$A$2:$A$337=B960)*
           (aspek!$B$2:$B$337=C960)*
           (aspek!$C$2:$C$337=D960),0))</f>
        <v>Arah strategis yang benar-benar diturunkan</v>
      </c>
      <c r="F960" s="76">
        <v>4</v>
      </c>
      <c r="G960" s="56" t="str" cm="1">
        <f t="array" ref="G960">INDEX(deskripsi!$D$2:$H$337,
   MATCH(1,(deskripsi!$A$2:$A$337=B960)*
           (deskripsi!$B$2:$B$337=C960)*
           (deskripsi!$C$2:$C$337=D960),0),
   F960)</f>
        <v>Arah yang ia susun diturunkan menjadi langkah per fungsi, dan minimal tiga fungsi benar-benar menjalankannya tanpa kehadirannya.</v>
      </c>
    </row>
    <row r="961" spans="1:7" ht="28">
      <c r="A961" t="str">
        <f t="shared" si="14"/>
        <v>Strategic Thinking|Director|4|5</v>
      </c>
      <c r="B961" t="str">
        <v>Strategic Thinking</v>
      </c>
      <c r="C961" t="str">
        <v>Director</v>
      </c>
      <c r="D961" s="76">
        <v>4</v>
      </c>
      <c r="E961" t="str" cm="1">
        <f t="array" ref="E961">INDEX(aspek!$D$2:$D$337,
   MATCH(1,(aspek!$A$2:$A$337=B961)*
           (aspek!$B$2:$B$337=C961)*
           (aspek!$C$2:$C$337=D961),0))</f>
        <v>Arah strategis yang benar-benar diturunkan</v>
      </c>
      <c r="F961" s="76">
        <v>5</v>
      </c>
      <c r="G961" s="56" t="str" cm="1">
        <f t="array" ref="G961">INDEX(deskripsi!$D$2:$H$337,
   MATCH(1,(deskripsi!$A$2:$A$337=B961)*
           (deskripsi!$B$2:$B$337=C961)*
           (deskripsi!$C$2:$C$337=D961),0),
   F961)</f>
        <v>Arah yang ia susun menjadi cara organisasi menentukan langkah pada persoalan sejenis berikutnya.</v>
      </c>
    </row>
    <row r="962" spans="1:7" ht="28">
      <c r="A962" t="str">
        <f t="shared" si="14"/>
        <v>Conceptual Thinking|Officer|1|1</v>
      </c>
      <c r="B962" t="str">
        <v>Conceptual Thinking</v>
      </c>
      <c r="C962" t="str">
        <v>Officer</v>
      </c>
      <c r="D962" s="76">
        <v>1</v>
      </c>
      <c r="E962" t="str" cm="1">
        <f t="array" ref="E962">INDEX(aspek!$D$2:$D$337,
   MATCH(1,(aspek!$A$2:$A$337=B962)*
           (aspek!$B$2:$B$337=C962)*
           (aspek!$C$2:$C$337=D962),0))</f>
        <v>Kecepatan memahami</v>
      </c>
      <c r="F962" s="76">
        <v>1</v>
      </c>
      <c r="G962" s="56" t="str" cm="1">
        <f t="array" ref="G962">INDEX(deskripsi!$D$2:$H$337,
   MATCH(1,(deskripsi!$A$2:$A$337=B962)*
           (deskripsi!$B$2:$B$337=C962)*
           (deskripsi!$C$2:$C$337=D962),0),
   F962)</f>
        <v>Perlu dijelaskan berulang sebelum memahami informasi kerja dasar.</v>
      </c>
    </row>
    <row r="963" spans="1:7">
      <c r="A963" t="str">
        <f t="shared" ref="A963:A1026" si="15">B963&amp;"|"&amp;C963&amp;"|"&amp;D963&amp;"|"&amp;F963</f>
        <v>Conceptual Thinking|Officer|1|2</v>
      </c>
      <c r="B963" t="str">
        <v>Conceptual Thinking</v>
      </c>
      <c r="C963" t="str">
        <v>Officer</v>
      </c>
      <c r="D963" s="76">
        <v>1</v>
      </c>
      <c r="E963" t="str" cm="1">
        <f t="array" ref="E963">INDEX(aspek!$D$2:$D$337,
   MATCH(1,(aspek!$A$2:$A$337=B963)*
           (aspek!$B$2:$B$337=C963)*
           (aspek!$C$2:$C$337=D963),0))</f>
        <v>Kecepatan memahami</v>
      </c>
      <c r="F963" s="76">
        <v>2</v>
      </c>
      <c r="G963" s="56" t="str" cm="1">
        <f t="array" ref="G963">INDEX(deskripsi!$D$2:$H$337,
   MATCH(1,(deskripsi!$A$2:$A$337=B963)*
           (deskripsi!$B$2:$B$337=C963)*
           (deskripsi!$C$2:$C$337=D963),0),
   F963)</f>
        <v>Memahami setelah membaca beberapa kali.</v>
      </c>
    </row>
    <row r="964" spans="1:7">
      <c r="A964" t="str">
        <f t="shared" si="15"/>
        <v>Conceptual Thinking|Officer|1|3</v>
      </c>
      <c r="B964" t="str">
        <v>Conceptual Thinking</v>
      </c>
      <c r="C964" t="str">
        <v>Officer</v>
      </c>
      <c r="D964" s="76">
        <v>1</v>
      </c>
      <c r="E964" t="str" cm="1">
        <f t="array" ref="E964">INDEX(aspek!$D$2:$D$337,
   MATCH(1,(aspek!$A$2:$A$337=B964)*
           (aspek!$B$2:$B$337=C964)*
           (aspek!$C$2:$C$337=D964),0))</f>
        <v>Kecepatan memahami</v>
      </c>
      <c r="F964" s="76">
        <v>3</v>
      </c>
      <c r="G964" s="56" t="str" cm="1">
        <f t="array" ref="G964">INDEX(deskripsi!$D$2:$H$337,
   MATCH(1,(deskripsi!$A$2:$A$337=B964)*
           (deskripsi!$B$2:$B$337=C964)*
           (deskripsi!$C$2:$C$337=D964),0),
   F964)</f>
        <v>Memahami dalam waktu wajar tanpa penjelasan tambahan.</v>
      </c>
    </row>
    <row r="965" spans="1:7">
      <c r="A965" t="str">
        <f t="shared" si="15"/>
        <v>Conceptual Thinking|Officer|1|4</v>
      </c>
      <c r="B965" t="str">
        <v>Conceptual Thinking</v>
      </c>
      <c r="C965" t="str">
        <v>Officer</v>
      </c>
      <c r="D965" s="76">
        <v>1</v>
      </c>
      <c r="E965" t="str" cm="1">
        <f t="array" ref="E965">INDEX(aspek!$D$2:$D$337,
   MATCH(1,(aspek!$A$2:$A$337=B965)*
           (aspek!$B$2:$B$337=C965)*
           (aspek!$C$2:$C$337=D965),0))</f>
        <v>Kecepatan memahami</v>
      </c>
      <c r="F965" s="76">
        <v>4</v>
      </c>
      <c r="G965" s="56" t="str" cm="1">
        <f t="array" ref="G965">INDEX(deskripsi!$D$2:$H$337,
   MATCH(1,(deskripsi!$A$2:$A$337=B965)*
           (deskripsi!$B$2:$B$337=C965)*
           (deskripsi!$C$2:$C$337=D965),0),
   F965)</f>
        <v>Menangkap inti informasi baru dengan cepat.</v>
      </c>
    </row>
    <row r="966" spans="1:7">
      <c r="A966" t="str">
        <f t="shared" si="15"/>
        <v>Conceptual Thinking|Officer|1|5</v>
      </c>
      <c r="B966" t="str">
        <v>Conceptual Thinking</v>
      </c>
      <c r="C966" t="str">
        <v>Officer</v>
      </c>
      <c r="D966" s="76">
        <v>1</v>
      </c>
      <c r="E966" t="str" cm="1">
        <f t="array" ref="E966">INDEX(aspek!$D$2:$D$337,
   MATCH(1,(aspek!$A$2:$A$337=B966)*
           (aspek!$B$2:$B$337=C966)*
           (aspek!$C$2:$C$337=D966),0))</f>
        <v>Kecepatan memahami</v>
      </c>
      <c r="F966" s="76">
        <v>5</v>
      </c>
      <c r="G966" s="56" t="str" cm="1">
        <f t="array" ref="G966">INDEX(deskripsi!$D$2:$H$337,
   MATCH(1,(deskripsi!$A$2:$A$337=B966)*
           (deskripsi!$B$2:$B$337=C966)*
           (deskripsi!$C$2:$C$337=D966),0),
   F966)</f>
        <v>Menjadi rujukan rekan untuk memahami informasi yang sulit.</v>
      </c>
    </row>
    <row r="967" spans="1:7">
      <c r="A967" t="str">
        <f t="shared" si="15"/>
        <v>Conceptual Thinking|Officer|2|1</v>
      </c>
      <c r="B967" t="str">
        <v>Conceptual Thinking</v>
      </c>
      <c r="C967" t="str">
        <v>Officer</v>
      </c>
      <c r="D967" s="76">
        <v>2</v>
      </c>
      <c r="E967" t="str" cm="1">
        <f t="array" ref="E967">INDEX(aspek!$D$2:$D$337,
   MATCH(1,(aspek!$A$2:$A$337=B967)*
           (aspek!$B$2:$B$337=C967)*
           (aspek!$C$2:$C$337=D967),0))</f>
        <v>Memisahkan fakta dari opini</v>
      </c>
      <c r="F967" s="76">
        <v>1</v>
      </c>
      <c r="G967" s="56" t="str" cm="1">
        <f t="array" ref="G967">INDEX(deskripsi!$D$2:$H$337,
   MATCH(1,(deskripsi!$A$2:$A$337=B967)*
           (deskripsi!$B$2:$B$337=C967)*
           (deskripsi!$C$2:$C$337=D967),0),
   F967)</f>
        <v>Mencampur opini dan fakta tanpa menyadarinya.</v>
      </c>
    </row>
    <row r="968" spans="1:7">
      <c r="A968" t="str">
        <f t="shared" si="15"/>
        <v>Conceptual Thinking|Officer|2|2</v>
      </c>
      <c r="B968" t="str">
        <v>Conceptual Thinking</v>
      </c>
      <c r="C968" t="str">
        <v>Officer</v>
      </c>
      <c r="D968" s="76">
        <v>2</v>
      </c>
      <c r="E968" t="str" cm="1">
        <f t="array" ref="E968">INDEX(aspek!$D$2:$D$337,
   MATCH(1,(aspek!$A$2:$A$337=B968)*
           (aspek!$B$2:$B$337=C968)*
           (aspek!$C$2:$C$337=D968),0))</f>
        <v>Memisahkan fakta dari opini</v>
      </c>
      <c r="F968" s="76">
        <v>2</v>
      </c>
      <c r="G968" s="56" t="str" cm="1">
        <f t="array" ref="G968">INDEX(deskripsi!$D$2:$H$337,
   MATCH(1,(deskripsi!$A$2:$A$337=B968)*
           (deskripsi!$B$2:$B$337=C968)*
           (deskripsi!$C$2:$C$337=D968),0),
   F968)</f>
        <v>Menyadari perbedaannya bila ditanya.</v>
      </c>
    </row>
    <row r="969" spans="1:7">
      <c r="A969" t="str">
        <f t="shared" si="15"/>
        <v>Conceptual Thinking|Officer|2|3</v>
      </c>
      <c r="B969" t="str">
        <v>Conceptual Thinking</v>
      </c>
      <c r="C969" t="str">
        <v>Officer</v>
      </c>
      <c r="D969" s="76">
        <v>2</v>
      </c>
      <c r="E969" t="str" cm="1">
        <f t="array" ref="E969">INDEX(aspek!$D$2:$D$337,
   MATCH(1,(aspek!$A$2:$A$337=B969)*
           (aspek!$B$2:$B$337=C969)*
           (aspek!$C$2:$C$337=D969),0))</f>
        <v>Memisahkan fakta dari opini</v>
      </c>
      <c r="F969" s="76">
        <v>3</v>
      </c>
      <c r="G969" s="56" t="str" cm="1">
        <f t="array" ref="G969">INDEX(deskripsi!$D$2:$H$337,
   MATCH(1,(deskripsi!$A$2:$A$337=B969)*
           (deskripsi!$B$2:$B$337=C969)*
           (deskripsi!$C$2:$C$337=D969),0),
   F969)</f>
        <v>Memisahkan keduanya pada kasus yang jelas.</v>
      </c>
    </row>
    <row r="970" spans="1:7" ht="28">
      <c r="A970" t="str">
        <f t="shared" si="15"/>
        <v>Conceptual Thinking|Officer|2|4</v>
      </c>
      <c r="B970" t="str">
        <v>Conceptual Thinking</v>
      </c>
      <c r="C970" t="str">
        <v>Officer</v>
      </c>
      <c r="D970" s="76">
        <v>2</v>
      </c>
      <c r="E970" t="str" cm="1">
        <f t="array" ref="E970">INDEX(aspek!$D$2:$D$337,
   MATCH(1,(aspek!$A$2:$A$337=B970)*
           (aspek!$B$2:$B$337=C970)*
           (aspek!$C$2:$C$337=D970),0))</f>
        <v>Memisahkan fakta dari opini</v>
      </c>
      <c r="F970" s="76">
        <v>4</v>
      </c>
      <c r="G970" s="56" t="str" cm="1">
        <f t="array" ref="G970">INDEX(deskripsi!$D$2:$H$337,
   MATCH(1,(deskripsi!$A$2:$A$337=B970)*
           (deskripsi!$B$2:$B$337=C970)*
           (deskripsi!$C$2:$C$337=D970),0),
   F970)</f>
        <v>Secara konsisten memisahkan fakta dari opini, termasuk pada kasus yang batasnya tidak jelas, diverifikasi pihak lain.</v>
      </c>
    </row>
    <row r="971" spans="1:7">
      <c r="A971" t="str">
        <f t="shared" si="15"/>
        <v>Conceptual Thinking|Officer|2|5</v>
      </c>
      <c r="B971" t="str">
        <v>Conceptual Thinking</v>
      </c>
      <c r="C971" t="str">
        <v>Officer</v>
      </c>
      <c r="D971" s="76">
        <v>2</v>
      </c>
      <c r="E971" t="str" cm="1">
        <f t="array" ref="E971">INDEX(aspek!$D$2:$D$337,
   MATCH(1,(aspek!$A$2:$A$337=B971)*
           (aspek!$B$2:$B$337=C971)*
           (aspek!$C$2:$C$337=D971),0))</f>
        <v>Memisahkan fakta dari opini</v>
      </c>
      <c r="F971" s="76">
        <v>5</v>
      </c>
      <c r="G971" s="56" t="str" cm="1">
        <f t="array" ref="G971">INDEX(deskripsi!$D$2:$H$337,
   MATCH(1,(deskripsi!$A$2:$A$337=B971)*
           (deskripsi!$B$2:$B$337=C971)*
           (deskripsi!$C$2:$C$337=D971),0),
   F971)</f>
        <v>Kebiasaannya menular kepada rekan kerja.</v>
      </c>
    </row>
    <row r="972" spans="1:7">
      <c r="A972" t="str">
        <f t="shared" si="15"/>
        <v>Conceptual Thinking|Officer|3|1</v>
      </c>
      <c r="B972" t="str">
        <v>Conceptual Thinking</v>
      </c>
      <c r="C972" t="str">
        <v>Officer</v>
      </c>
      <c r="D972" s="76">
        <v>3</v>
      </c>
      <c r="E972" t="str" cm="1">
        <f t="array" ref="E972">INDEX(aspek!$D$2:$D$337,
   MATCH(1,(aspek!$A$2:$A$337=B972)*
           (aspek!$B$2:$B$337=C972)*
           (aspek!$C$2:$C$337=D972),0))</f>
        <v>Kemandirian menyimpulkan</v>
      </c>
      <c r="F972" s="76">
        <v>1</v>
      </c>
      <c r="G972" s="56" t="str" cm="1">
        <f t="array" ref="G972">INDEX(deskripsi!$D$2:$H$337,
   MATCH(1,(deskripsi!$A$2:$A$337=B972)*
           (deskripsi!$B$2:$B$337=C972)*
           (deskripsi!$C$2:$C$337=D972),0),
   F972)</f>
        <v>Menunggu diberi tahu apa arti sebuah informasi.</v>
      </c>
    </row>
    <row r="973" spans="1:7">
      <c r="A973" t="str">
        <f t="shared" si="15"/>
        <v>Conceptual Thinking|Officer|3|2</v>
      </c>
      <c r="B973" t="str">
        <v>Conceptual Thinking</v>
      </c>
      <c r="C973" t="str">
        <v>Officer</v>
      </c>
      <c r="D973" s="76">
        <v>3</v>
      </c>
      <c r="E973" t="str" cm="1">
        <f t="array" ref="E973">INDEX(aspek!$D$2:$D$337,
   MATCH(1,(aspek!$A$2:$A$337=B973)*
           (aspek!$B$2:$B$337=C973)*
           (aspek!$C$2:$C$337=D973),0))</f>
        <v>Kemandirian menyimpulkan</v>
      </c>
      <c r="F973" s="76">
        <v>2</v>
      </c>
      <c r="G973" s="56" t="str" cm="1">
        <f t="array" ref="G973">INDEX(deskripsi!$D$2:$H$337,
   MATCH(1,(deskripsi!$A$2:$A$337=B973)*
           (deskripsi!$B$2:$B$337=C973)*
           (deskripsi!$C$2:$C$337=D973),0),
   F973)</f>
        <v>Meringkas tanpa menyimpulkan.</v>
      </c>
    </row>
    <row r="974" spans="1:7">
      <c r="A974" t="str">
        <f t="shared" si="15"/>
        <v>Conceptual Thinking|Officer|3|3</v>
      </c>
      <c r="B974" t="str">
        <v>Conceptual Thinking</v>
      </c>
      <c r="C974" t="str">
        <v>Officer</v>
      </c>
      <c r="D974" s="76">
        <v>3</v>
      </c>
      <c r="E974" t="str" cm="1">
        <f t="array" ref="E974">INDEX(aspek!$D$2:$D$337,
   MATCH(1,(aspek!$A$2:$A$337=B974)*
           (aspek!$B$2:$B$337=C974)*
           (aspek!$C$2:$C$337=D974),0))</f>
        <v>Kemandirian menyimpulkan</v>
      </c>
      <c r="F974" s="76">
        <v>3</v>
      </c>
      <c r="G974" s="56" t="str" cm="1">
        <f t="array" ref="G974">INDEX(deskripsi!$D$2:$H$337,
   MATCH(1,(deskripsi!$A$2:$A$337=B974)*
           (deskripsi!$B$2:$B$337=C974)*
           (deskripsi!$C$2:$C$337=D974),0),
   F974)</f>
        <v>Menyimpulkan sendiri, sering perlu dikoreksi.</v>
      </c>
    </row>
    <row r="975" spans="1:7">
      <c r="A975" t="str">
        <f t="shared" si="15"/>
        <v>Conceptual Thinking|Officer|3|4</v>
      </c>
      <c r="B975" t="str">
        <v>Conceptual Thinking</v>
      </c>
      <c r="C975" t="str">
        <v>Officer</v>
      </c>
      <c r="D975" s="76">
        <v>3</v>
      </c>
      <c r="E975" t="str" cm="1">
        <f t="array" ref="E975">INDEX(aspek!$D$2:$D$337,
   MATCH(1,(aspek!$A$2:$A$337=B975)*
           (aspek!$B$2:$B$337=C975)*
           (aspek!$C$2:$C$337=D975),0))</f>
        <v>Kemandirian menyimpulkan</v>
      </c>
      <c r="F975" s="76">
        <v>4</v>
      </c>
      <c r="G975" s="56" t="str" cm="1">
        <f t="array" ref="G975">INDEX(deskripsi!$D$2:$H$337,
   MATCH(1,(deskripsi!$A$2:$A$337=B975)*
           (deskripsi!$B$2:$B$337=C975)*
           (deskripsi!$C$2:$C$337=D975),0),
   F975)</f>
        <v>Menyimpulkan mandiri dan mayoritas tepat.</v>
      </c>
    </row>
    <row r="976" spans="1:7">
      <c r="A976" t="str">
        <f t="shared" si="15"/>
        <v>Conceptual Thinking|Officer|3|5</v>
      </c>
      <c r="B976" t="str">
        <v>Conceptual Thinking</v>
      </c>
      <c r="C976" t="str">
        <v>Officer</v>
      </c>
      <c r="D976" s="76">
        <v>3</v>
      </c>
      <c r="E976" t="str" cm="1">
        <f t="array" ref="E976">INDEX(aspek!$D$2:$D$337,
   MATCH(1,(aspek!$A$2:$A$337=B976)*
           (aspek!$B$2:$B$337=C976)*
           (aspek!$C$2:$C$337=D976),0))</f>
        <v>Kemandirian menyimpulkan</v>
      </c>
      <c r="F976" s="76">
        <v>5</v>
      </c>
      <c r="G976" s="56" t="str" cm="1">
        <f t="array" ref="G976">INDEX(deskripsi!$D$2:$H$337,
   MATCH(1,(deskripsi!$A$2:$A$337=B976)*
           (deskripsi!$B$2:$B$337=C976)*
           (deskripsi!$C$2:$C$337=D976),0),
   F976)</f>
        <v>Kesimpulannya dipakai tanpa diperiksa ulang.</v>
      </c>
    </row>
    <row r="977" spans="1:7">
      <c r="A977" t="str">
        <f t="shared" si="15"/>
        <v>Conceptual Thinking|Officer|4|1</v>
      </c>
      <c r="B977" t="str">
        <v>Conceptual Thinking</v>
      </c>
      <c r="C977" t="str">
        <v>Officer</v>
      </c>
      <c r="D977" s="76">
        <v>4</v>
      </c>
      <c r="E977" t="str" cm="1">
        <f t="array" ref="E977">INDEX(aspek!$D$2:$D$337,
   MATCH(1,(aspek!$A$2:$A$337=B977)*
           (aspek!$B$2:$B$337=C977)*
           (aspek!$C$2:$C$337=D977),0))</f>
        <v>Menghubungkan dengan konteks</v>
      </c>
      <c r="F977" s="76">
        <v>1</v>
      </c>
      <c r="G977" s="56" t="str" cm="1">
        <f t="array" ref="G977">INDEX(deskripsi!$D$2:$H$337,
   MATCH(1,(deskripsi!$A$2:$A$337=B977)*
           (deskripsi!$B$2:$B$337=C977)*
           (deskripsi!$C$2:$C$337=D977),0),
   F977)</f>
        <v>Tidak melihat kaitan informasi dengan pekerjaannya.</v>
      </c>
    </row>
    <row r="978" spans="1:7">
      <c r="A978" t="str">
        <f t="shared" si="15"/>
        <v>Conceptual Thinking|Officer|4|2</v>
      </c>
      <c r="B978" t="str">
        <v>Conceptual Thinking</v>
      </c>
      <c r="C978" t="str">
        <v>Officer</v>
      </c>
      <c r="D978" s="76">
        <v>4</v>
      </c>
      <c r="E978" t="str" cm="1">
        <f t="array" ref="E978">INDEX(aspek!$D$2:$D$337,
   MATCH(1,(aspek!$A$2:$A$337=B978)*
           (aspek!$B$2:$B$337=C978)*
           (aspek!$C$2:$C$337=D978),0))</f>
        <v>Menghubungkan dengan konteks</v>
      </c>
      <c r="F978" s="76">
        <v>2</v>
      </c>
      <c r="G978" s="56" t="str" cm="1">
        <f t="array" ref="G978">INDEX(deskripsi!$D$2:$H$337,
   MATCH(1,(deskripsi!$A$2:$A$337=B978)*
           (deskripsi!$B$2:$B$337=C978)*
           (deskripsi!$C$2:$C$337=D978),0),
   F978)</f>
        <v>Menyadari ada kaitan, tidak dapat menyebutkannya.</v>
      </c>
    </row>
    <row r="979" spans="1:7">
      <c r="A979" t="str">
        <f t="shared" si="15"/>
        <v>Conceptual Thinking|Officer|4|3</v>
      </c>
      <c r="B979" t="str">
        <v>Conceptual Thinking</v>
      </c>
      <c r="C979" t="str">
        <v>Officer</v>
      </c>
      <c r="D979" s="76">
        <v>4</v>
      </c>
      <c r="E979" t="str" cm="1">
        <f t="array" ref="E979">INDEX(aspek!$D$2:$D$337,
   MATCH(1,(aspek!$A$2:$A$337=B979)*
           (aspek!$B$2:$B$337=C979)*
           (aspek!$C$2:$C$337=D979),0))</f>
        <v>Menghubungkan dengan konteks</v>
      </c>
      <c r="F979" s="76">
        <v>3</v>
      </c>
      <c r="G979" s="56" t="str" cm="1">
        <f t="array" ref="G979">INDEX(deskripsi!$D$2:$H$337,
   MATCH(1,(deskripsi!$A$2:$A$337=B979)*
           (deskripsi!$B$2:$B$337=C979)*
           (deskripsi!$C$2:$C$337=D979),0),
   F979)</f>
        <v>Menjelaskan kaitan pada kasus sederhana.</v>
      </c>
    </row>
    <row r="980" spans="1:7" ht="28">
      <c r="A980" t="str">
        <f t="shared" si="15"/>
        <v>Conceptual Thinking|Officer|4|4</v>
      </c>
      <c r="B980" t="str">
        <v>Conceptual Thinking</v>
      </c>
      <c r="C980" t="str">
        <v>Officer</v>
      </c>
      <c r="D980" s="76">
        <v>4</v>
      </c>
      <c r="E980" t="str" cm="1">
        <f t="array" ref="E980">INDEX(aspek!$D$2:$D$337,
   MATCH(1,(aspek!$A$2:$A$337=B980)*
           (aspek!$B$2:$B$337=C980)*
           (aspek!$C$2:$C$337=D980),0))</f>
        <v>Menghubungkan dengan konteks</v>
      </c>
      <c r="F980" s="76">
        <v>4</v>
      </c>
      <c r="G980" s="56" t="str" cm="1">
        <f t="array" ref="G980">INDEX(deskripsi!$D$2:$H$337,
   MATCH(1,(deskripsi!$A$2:$A$337=B980)*
           (deskripsi!$B$2:$B$337=C980)*
           (deskripsi!$C$2:$C$337=D980),0),
   F980)</f>
        <v>Menghubungkan informasi dengan konteks tugas secara akurat dan berbasis fakta.</v>
      </c>
    </row>
    <row r="981" spans="1:7">
      <c r="A981" t="str">
        <f t="shared" si="15"/>
        <v>Conceptual Thinking|Officer|4|5</v>
      </c>
      <c r="B981" t="str">
        <v>Conceptual Thinking</v>
      </c>
      <c r="C981" t="str">
        <v>Officer</v>
      </c>
      <c r="D981" s="76">
        <v>4</v>
      </c>
      <c r="E981" t="str" cm="1">
        <f t="array" ref="E981">INDEX(aspek!$D$2:$D$337,
   MATCH(1,(aspek!$A$2:$A$337=B981)*
           (aspek!$B$2:$B$337=C981)*
           (aspek!$C$2:$C$337=D981),0))</f>
        <v>Menghubungkan dengan konteks</v>
      </c>
      <c r="F981" s="76">
        <v>5</v>
      </c>
      <c r="G981" s="56" t="str" cm="1">
        <f t="array" ref="G981">INDEX(deskripsi!$D$2:$H$337,
   MATCH(1,(deskripsi!$A$2:$A$337=B981)*
           (deskripsi!$B$2:$B$337=C981)*
           (deskripsi!$C$2:$C$337=D981),0),
   F981)</f>
        <v>Menemukan kaitan yang belum terlihat oleh unitnya.</v>
      </c>
    </row>
    <row r="982" spans="1:7">
      <c r="A982" t="str">
        <f t="shared" si="15"/>
        <v>Conceptual Thinking|Analyst|1|1</v>
      </c>
      <c r="B982" t="str">
        <v>Conceptual Thinking</v>
      </c>
      <c r="C982" t="str">
        <v>Analyst</v>
      </c>
      <c r="D982" s="76">
        <v>1</v>
      </c>
      <c r="E982" t="str" cm="1">
        <f t="array" ref="E982">INDEX(aspek!$D$2:$D$337,
   MATCH(1,(aspek!$A$2:$A$337=B982)*
           (aspek!$B$2:$B$337=C982)*
           (aspek!$C$2:$C$337=D982),0))</f>
        <v>Struktur penjelasan</v>
      </c>
      <c r="F982" s="76">
        <v>1</v>
      </c>
      <c r="G982" s="56" t="str" cm="1">
        <f t="array" ref="G982">INDEX(deskripsi!$D$2:$H$337,
   MATCH(1,(deskripsi!$A$2:$A$337=B982)*
           (deskripsi!$B$2:$B$337=C982)*
           (deskripsi!$C$2:$C$337=D982),0),
   F982)</f>
        <v>Tidak terstruktur; pendengar tidak menemukan poin utama.</v>
      </c>
    </row>
    <row r="983" spans="1:7">
      <c r="A983" t="str">
        <f t="shared" si="15"/>
        <v>Conceptual Thinking|Analyst|1|2</v>
      </c>
      <c r="B983" t="str">
        <v>Conceptual Thinking</v>
      </c>
      <c r="C983" t="str">
        <v>Analyst</v>
      </c>
      <c r="D983" s="76">
        <v>1</v>
      </c>
      <c r="E983" t="str" cm="1">
        <f t="array" ref="E983">INDEX(aspek!$D$2:$D$337,
   MATCH(1,(aspek!$A$2:$A$337=B983)*
           (aspek!$B$2:$B$337=C983)*
           (aspek!$C$2:$C$337=D983),0))</f>
        <v>Struktur penjelasan</v>
      </c>
      <c r="F983" s="76">
        <v>2</v>
      </c>
      <c r="G983" s="56" t="str" cm="1">
        <f t="array" ref="G983">INDEX(deskripsi!$D$2:$H$337,
   MATCH(1,(deskripsi!$A$2:$A$337=B983)*
           (deskripsi!$B$2:$B$337=C983)*
           (deskripsi!$C$2:$C$337=D983),0),
   F983)</f>
        <v>Ada urutan, tetapi berbelit.</v>
      </c>
    </row>
    <row r="984" spans="1:7">
      <c r="A984" t="str">
        <f t="shared" si="15"/>
        <v>Conceptual Thinking|Analyst|1|3</v>
      </c>
      <c r="B984" t="str">
        <v>Conceptual Thinking</v>
      </c>
      <c r="C984" t="str">
        <v>Analyst</v>
      </c>
      <c r="D984" s="76">
        <v>1</v>
      </c>
      <c r="E984" t="str" cm="1">
        <f t="array" ref="E984">INDEX(aspek!$D$2:$D$337,
   MATCH(1,(aspek!$A$2:$A$337=B984)*
           (aspek!$B$2:$B$337=C984)*
           (aspek!$C$2:$C$337=D984),0))</f>
        <v>Struktur penjelasan</v>
      </c>
      <c r="F984" s="76">
        <v>3</v>
      </c>
      <c r="G984" s="56" t="str" cm="1">
        <f t="array" ref="G984">INDEX(deskripsi!$D$2:$H$337,
   MATCH(1,(deskripsi!$A$2:$A$337=B984)*
           (deskripsi!$B$2:$B$337=C984)*
           (deskripsi!$C$2:$C$337=D984),0),
   F984)</f>
        <v>Jelas dan runtut: sebab, dampak, kesimpulan.</v>
      </c>
    </row>
    <row r="985" spans="1:7" ht="28">
      <c r="A985" t="str">
        <f t="shared" si="15"/>
        <v>Conceptual Thinking|Analyst|1|4</v>
      </c>
      <c r="B985" t="str">
        <v>Conceptual Thinking</v>
      </c>
      <c r="C985" t="str">
        <v>Analyst</v>
      </c>
      <c r="D985" s="76">
        <v>1</v>
      </c>
      <c r="E985" t="str" cm="1">
        <f t="array" ref="E985">INDEX(aspek!$D$2:$D$337,
   MATCH(1,(aspek!$A$2:$A$337=B985)*
           (aspek!$B$2:$B$337=C985)*
           (aspek!$C$2:$C$337=D985),0))</f>
        <v>Struktur penjelasan</v>
      </c>
      <c r="F985" s="76">
        <v>4</v>
      </c>
      <c r="G985" s="56" t="str" cm="1">
        <f t="array" ref="G985">INDEX(deskripsi!$D$2:$H$337,
   MATCH(1,(deskripsi!$A$2:$A$337=B985)*
           (deskripsi!$B$2:$B$337=C985)*
           (deskripsi!$C$2:$C$337=D985),0),
   F985)</f>
        <v>Struktur disusun mengikuti apa yang perlu diketahui pendengar untuk memahami atau memutuskan.</v>
      </c>
    </row>
    <row r="986" spans="1:7">
      <c r="A986" t="str">
        <f t="shared" si="15"/>
        <v>Conceptual Thinking|Analyst|1|5</v>
      </c>
      <c r="B986" t="str">
        <v>Conceptual Thinking</v>
      </c>
      <c r="C986" t="str">
        <v>Analyst</v>
      </c>
      <c r="D986" s="76">
        <v>1</v>
      </c>
      <c r="E986" t="str" cm="1">
        <f t="array" ref="E986">INDEX(aspek!$D$2:$D$337,
   MATCH(1,(aspek!$A$2:$A$337=B986)*
           (aspek!$B$2:$B$337=C986)*
           (aspek!$C$2:$C$337=D986),0))</f>
        <v>Struktur penjelasan</v>
      </c>
      <c r="F986" s="76">
        <v>5</v>
      </c>
      <c r="G986" s="56" t="str" cm="1">
        <f t="array" ref="G986">INDEX(deskripsi!$D$2:$H$337,
   MATCH(1,(deskripsi!$A$2:$A$337=B986)*
           (deskripsi!$B$2:$B$337=C986)*
           (deskripsi!$C$2:$C$337=D986),0),
   F986)</f>
        <v>Menjadi narasi yang menggerakkan pendengar bertindak.</v>
      </c>
    </row>
    <row r="987" spans="1:7" ht="28">
      <c r="A987" t="str">
        <f t="shared" si="15"/>
        <v>Conceptual Thinking|Analyst|2|1</v>
      </c>
      <c r="B987" t="str">
        <v>Conceptual Thinking</v>
      </c>
      <c r="C987" t="str">
        <v>Analyst</v>
      </c>
      <c r="D987" s="76">
        <v>2</v>
      </c>
      <c r="E987" t="str" cm="1">
        <f t="array" ref="E987">INDEX(aspek!$D$2:$D$337,
   MATCH(1,(aspek!$A$2:$A$337=B987)*
           (aspek!$B$2:$B$337=C987)*
           (aspek!$C$2:$C$337=D987),0))</f>
        <v>Memperjelas informasi ambigu</v>
      </c>
      <c r="F987" s="76">
        <v>1</v>
      </c>
      <c r="G987" s="56" t="str" cm="1">
        <f t="array" ref="G987">INDEX(deskripsi!$D$2:$H$337,
   MATCH(1,(deskripsi!$A$2:$A$337=B987)*
           (deskripsi!$B$2:$B$337=C987)*
           (deskripsi!$C$2:$C$337=D987),0),
   F987)</f>
        <v>Tidak menyadari informasi yang disampaikan berpotensi disalahpahami.</v>
      </c>
    </row>
    <row r="988" spans="1:7">
      <c r="A988" t="str">
        <f t="shared" si="15"/>
        <v>Conceptual Thinking|Analyst|2|2</v>
      </c>
      <c r="B988" t="str">
        <v>Conceptual Thinking</v>
      </c>
      <c r="C988" t="str">
        <v>Analyst</v>
      </c>
      <c r="D988" s="76">
        <v>2</v>
      </c>
      <c r="E988" t="str" cm="1">
        <f t="array" ref="E988">INDEX(aspek!$D$2:$D$337,
   MATCH(1,(aspek!$A$2:$A$337=B988)*
           (aspek!$B$2:$B$337=C988)*
           (aspek!$C$2:$C$337=D988),0))</f>
        <v>Memperjelas informasi ambigu</v>
      </c>
      <c r="F988" s="76">
        <v>2</v>
      </c>
      <c r="G988" s="56" t="str" cm="1">
        <f t="array" ref="G988">INDEX(deskripsi!$D$2:$H$337,
   MATCH(1,(deskripsi!$A$2:$A$337=B988)*
           (deskripsi!$B$2:$B$337=C988)*
           (deskripsi!$C$2:$C$337=D988),0),
   F988)</f>
        <v>Menyadari ambiguitas, tetapi tidak memperjelasnya.</v>
      </c>
    </row>
    <row r="989" spans="1:7">
      <c r="A989" t="str">
        <f t="shared" si="15"/>
        <v>Conceptual Thinking|Analyst|2|3</v>
      </c>
      <c r="B989" t="str">
        <v>Conceptual Thinking</v>
      </c>
      <c r="C989" t="str">
        <v>Analyst</v>
      </c>
      <c r="D989" s="76">
        <v>2</v>
      </c>
      <c r="E989" t="str" cm="1">
        <f t="array" ref="E989">INDEX(aspek!$D$2:$D$337,
   MATCH(1,(aspek!$A$2:$A$337=B989)*
           (aspek!$B$2:$B$337=C989)*
           (aspek!$C$2:$C$337=D989),0))</f>
        <v>Memperjelas informasi ambigu</v>
      </c>
      <c r="F989" s="76">
        <v>3</v>
      </c>
      <c r="G989" s="56" t="str" cm="1">
        <f t="array" ref="G989">INDEX(deskripsi!$D$2:$H$337,
   MATCH(1,(deskripsi!$A$2:$A$337=B989)*
           (deskripsi!$B$2:$B$337=C989)*
           (deskripsi!$C$2:$C$337=D989),0),
   F989)</f>
        <v>Memperjelas ambiguitas ketika ditanya.</v>
      </c>
    </row>
    <row r="990" spans="1:7" ht="42">
      <c r="A990" t="str">
        <f t="shared" si="15"/>
        <v>Conceptual Thinking|Analyst|2|4</v>
      </c>
      <c r="B990" t="str">
        <v>Conceptual Thinking</v>
      </c>
      <c r="C990" t="str">
        <v>Analyst</v>
      </c>
      <c r="D990" s="76">
        <v>2</v>
      </c>
      <c r="E990" t="str" cm="1">
        <f t="array" ref="E990">INDEX(aspek!$D$2:$D$337,
   MATCH(1,(aspek!$A$2:$A$337=B990)*
           (aspek!$B$2:$B$337=C990)*
           (aspek!$C$2:$C$337=D990),0))</f>
        <v>Memperjelas informasi ambigu</v>
      </c>
      <c r="F990" s="76">
        <v>4</v>
      </c>
      <c r="G990" s="56" t="str" cm="1">
        <f t="array" ref="G990">INDEX(deskripsi!$D$2:$H$337,
   MATCH(1,(deskripsi!$A$2:$A$337=B990)*
           (deskripsi!$B$2:$B$337=C990)*
           (deskripsi!$C$2:$C$337=D990),0),
   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76">
        <v>2</v>
      </c>
      <c r="E991" t="str" cm="1">
        <f t="array" ref="E991">INDEX(aspek!$D$2:$D$337,
   MATCH(1,(aspek!$A$2:$A$337=B991)*
           (aspek!$B$2:$B$337=C991)*
           (aspek!$C$2:$C$337=D991),0))</f>
        <v>Memperjelas informasi ambigu</v>
      </c>
      <c r="F991" s="76">
        <v>5</v>
      </c>
      <c r="G991" s="56" t="str" cm="1">
        <f t="array" ref="G991">INDEX(deskripsi!$D$2:$H$337,
   MATCH(1,(deskripsi!$A$2:$A$337=B991)*
           (deskripsi!$B$2:$B$337=C991)*
           (deskripsi!$C$2:$C$337=D991),0),
   F991)</f>
        <v>Menjadi rujukan saat informasi di unit membingungkan banyak pihak.</v>
      </c>
    </row>
    <row r="992" spans="1:7">
      <c r="A992" t="str">
        <f t="shared" si="15"/>
        <v>Conceptual Thinking|Analyst|3|1</v>
      </c>
      <c r="B992" t="str">
        <v>Conceptual Thinking</v>
      </c>
      <c r="C992" t="str">
        <v>Analyst</v>
      </c>
      <c r="D992" s="76">
        <v>3</v>
      </c>
      <c r="E992" t="str" cm="1">
        <f t="array" ref="E992">INDEX(aspek!$D$2:$D$337,
   MATCH(1,(aspek!$A$2:$A$337=B992)*
           (aspek!$B$2:$B$337=C992)*
           (aspek!$C$2:$C$337=D992),0))</f>
        <v>Penyesuaian terhadap audiens</v>
      </c>
      <c r="F992" s="76">
        <v>1</v>
      </c>
      <c r="G992" s="56" t="str" cm="1">
        <f t="array" ref="G992">INDEX(deskripsi!$D$2:$H$337,
   MATCH(1,(deskripsi!$A$2:$A$337=B992)*
           (deskripsi!$B$2:$B$337=C992)*
           (deskripsi!$C$2:$C$337=D992),0),
   F992)</f>
        <v>Menyampaikan dengan cara yang sama kepada siapa pun.</v>
      </c>
    </row>
    <row r="993" spans="1:7">
      <c r="A993" t="str">
        <f t="shared" si="15"/>
        <v>Conceptual Thinking|Analyst|3|2</v>
      </c>
      <c r="B993" t="str">
        <v>Conceptual Thinking</v>
      </c>
      <c r="C993" t="str">
        <v>Analyst</v>
      </c>
      <c r="D993" s="76">
        <v>3</v>
      </c>
      <c r="E993" t="str" cm="1">
        <f t="array" ref="E993">INDEX(aspek!$D$2:$D$337,
   MATCH(1,(aspek!$A$2:$A$337=B993)*
           (aspek!$B$2:$B$337=C993)*
           (aspek!$C$2:$C$337=D993),0))</f>
        <v>Penyesuaian terhadap audiens</v>
      </c>
      <c r="F993" s="76">
        <v>2</v>
      </c>
      <c r="G993" s="56" t="str" cm="1">
        <f t="array" ref="G993">INDEX(deskripsi!$D$2:$H$337,
   MATCH(1,(deskripsi!$A$2:$A$337=B993)*
           (deskripsi!$B$2:$B$337=C993)*
           (deskripsi!$C$2:$C$337=D993),0),
   F993)</f>
        <v>Menyesuaikan panjang-pendek saja.</v>
      </c>
    </row>
    <row r="994" spans="1:7">
      <c r="A994" t="str">
        <f t="shared" si="15"/>
        <v>Conceptual Thinking|Analyst|3|3</v>
      </c>
      <c r="B994" t="str">
        <v>Conceptual Thinking</v>
      </c>
      <c r="C994" t="str">
        <v>Analyst</v>
      </c>
      <c r="D994" s="76">
        <v>3</v>
      </c>
      <c r="E994" t="str" cm="1">
        <f t="array" ref="E994">INDEX(aspek!$D$2:$D$337,
   MATCH(1,(aspek!$A$2:$A$337=B994)*
           (aspek!$B$2:$B$337=C994)*
           (aspek!$C$2:$C$337=D994),0))</f>
        <v>Penyesuaian terhadap audiens</v>
      </c>
      <c r="F994" s="76">
        <v>3</v>
      </c>
      <c r="G994" s="56" t="str" cm="1">
        <f t="array" ref="G994">INDEX(deskripsi!$D$2:$H$337,
   MATCH(1,(deskripsi!$A$2:$A$337=B994)*
           (deskripsi!$B$2:$B$337=C994)*
           (deskripsi!$C$2:$C$337=D994),0),
   F994)</f>
        <v>Menyesuaikan bahasa sesuai latar belakang pendengar.</v>
      </c>
    </row>
    <row r="995" spans="1:7" ht="28">
      <c r="A995" t="str">
        <f t="shared" si="15"/>
        <v>Conceptual Thinking|Analyst|3|4</v>
      </c>
      <c r="B995" t="str">
        <v>Conceptual Thinking</v>
      </c>
      <c r="C995" t="str">
        <v>Analyst</v>
      </c>
      <c r="D995" s="76">
        <v>3</v>
      </c>
      <c r="E995" t="str" cm="1">
        <f t="array" ref="E995">INDEX(aspek!$D$2:$D$337,
   MATCH(1,(aspek!$A$2:$A$337=B995)*
           (aspek!$B$2:$B$337=C995)*
           (aspek!$C$2:$C$337=D995),0))</f>
        <v>Penyesuaian terhadap audiens</v>
      </c>
      <c r="F995" s="76">
        <v>4</v>
      </c>
      <c r="G995" s="56" t="str" cm="1">
        <f t="array" ref="G995">INDEX(deskripsi!$D$2:$H$337,
   MATCH(1,(deskripsi!$A$2:$A$337=B995)*
           (deskripsi!$B$2:$B$337=C995)*
           (deskripsi!$C$2:$C$337=D995),0),
   F995)</f>
        <v>Menyesuaikan kedalaman dan sudut masuk sesuai kebutuhan tiap audiens.</v>
      </c>
    </row>
    <row r="996" spans="1:7" ht="28">
      <c r="A996" t="str">
        <f t="shared" si="15"/>
        <v>Conceptual Thinking|Analyst|3|5</v>
      </c>
      <c r="B996" t="str">
        <v>Conceptual Thinking</v>
      </c>
      <c r="C996" t="str">
        <v>Analyst</v>
      </c>
      <c r="D996" s="76">
        <v>3</v>
      </c>
      <c r="E996" t="str" cm="1">
        <f t="array" ref="E996">INDEX(aspek!$D$2:$D$337,
   MATCH(1,(aspek!$A$2:$A$337=B996)*
           (aspek!$B$2:$B$337=C996)*
           (aspek!$C$2:$C$337=D996),0))</f>
        <v>Penyesuaian terhadap audiens</v>
      </c>
      <c r="F996" s="76">
        <v>5</v>
      </c>
      <c r="G996" s="56" t="str" cm="1">
        <f t="array" ref="G996">INDEX(deskripsi!$D$2:$H$337,
   MATCH(1,(deskripsi!$A$2:$A$337=B996)*
           (deskripsi!$B$2:$B$337=C996)*
           (deskripsi!$C$2:$C$337=D996),0),
   F996)</f>
        <v>Menjelaskan hal yang sama secara meyakinkan kepada pihak berkepentingan berbeda.</v>
      </c>
    </row>
    <row r="997" spans="1:7" ht="28">
      <c r="A997" t="str">
        <f t="shared" si="15"/>
        <v>Conceptual Thinking|Analyst|4|1</v>
      </c>
      <c r="B997" t="str">
        <v>Conceptual Thinking</v>
      </c>
      <c r="C997" t="str">
        <v>Analyst</v>
      </c>
      <c r="D997" s="76">
        <v>4</v>
      </c>
      <c r="E997" t="str" cm="1">
        <f t="array" ref="E997">INDEX(aspek!$D$2:$D$337,
   MATCH(1,(aspek!$A$2:$A$337=B997)*
           (aspek!$B$2:$B$337=C997)*
           (aspek!$C$2:$C$337=D997),0))</f>
        <v>Menyederhanakan tanpa kehilangan makna</v>
      </c>
      <c r="F997" s="76">
        <v>1</v>
      </c>
      <c r="G997" s="56" t="str" cm="1">
        <f t="array" ref="G997">INDEX(deskripsi!$D$2:$H$337,
   MATCH(1,(deskripsi!$A$2:$A$337=B997)*
           (deskripsi!$B$2:$B$337=C997)*
           (deskripsi!$C$2:$C$337=D997),0),
   F997)</f>
        <v>Menyampaikan seluruh data mentah, atau menyederhanakan sampai berubah maknanya.</v>
      </c>
    </row>
    <row r="998" spans="1:7" ht="28">
      <c r="A998" t="str">
        <f t="shared" si="15"/>
        <v>Conceptual Thinking|Analyst|4|2</v>
      </c>
      <c r="B998" t="str">
        <v>Conceptual Thinking</v>
      </c>
      <c r="C998" t="str">
        <v>Analyst</v>
      </c>
      <c r="D998" s="76">
        <v>4</v>
      </c>
      <c r="E998" t="str" cm="1">
        <f t="array" ref="E998">INDEX(aspek!$D$2:$D$337,
   MATCH(1,(aspek!$A$2:$A$337=B998)*
           (aspek!$B$2:$B$337=C998)*
           (aspek!$C$2:$C$337=D998),0))</f>
        <v>Menyederhanakan tanpa kehilangan makna</v>
      </c>
      <c r="F998" s="76">
        <v>2</v>
      </c>
      <c r="G998" s="56" t="str" cm="1">
        <f t="array" ref="G998">INDEX(deskripsi!$D$2:$H$337,
   MATCH(1,(deskripsi!$A$2:$A$337=B998)*
           (deskripsi!$B$2:$B$337=C998)*
           (deskripsi!$C$2:$C$337=D998),0),
   F998)</f>
        <v>Membuang bagian yang sulit dijelaskan, termasuk yang penting.</v>
      </c>
    </row>
    <row r="999" spans="1:7">
      <c r="A999" t="str">
        <f t="shared" si="15"/>
        <v>Conceptual Thinking|Analyst|4|3</v>
      </c>
      <c r="B999" t="str">
        <v>Conceptual Thinking</v>
      </c>
      <c r="C999" t="str">
        <v>Analyst</v>
      </c>
      <c r="D999" s="76">
        <v>4</v>
      </c>
      <c r="E999" t="str" cm="1">
        <f t="array" ref="E999">INDEX(aspek!$D$2:$D$337,
   MATCH(1,(aspek!$A$2:$A$337=B999)*
           (aspek!$B$2:$B$337=C999)*
           (aspek!$C$2:$C$337=D999),0))</f>
        <v>Menyederhanakan tanpa kehilangan makna</v>
      </c>
      <c r="F999" s="76">
        <v>3</v>
      </c>
      <c r="G999" s="56" t="str" cm="1">
        <f t="array" ref="G999">INDEX(deskripsi!$D$2:$H$337,
   MATCH(1,(deskripsi!$A$2:$A$337=B999)*
           (deskripsi!$B$2:$B$337=C999)*
           (deskripsi!$C$2:$C$337=D999),0),
   F999)</f>
        <v>Menerjemahkan istilah dengan menjaga arti.</v>
      </c>
    </row>
    <row r="1000" spans="1:7" ht="28">
      <c r="A1000" t="str">
        <f t="shared" si="15"/>
        <v>Conceptual Thinking|Analyst|4|4</v>
      </c>
      <c r="B1000" t="str">
        <v>Conceptual Thinking</v>
      </c>
      <c r="C1000" t="str">
        <v>Analyst</v>
      </c>
      <c r="D1000" s="76">
        <v>4</v>
      </c>
      <c r="E1000" t="str" cm="1">
        <f t="array" ref="E1000">INDEX(aspek!$D$2:$D$337,
   MATCH(1,(aspek!$A$2:$A$337=B1000)*
           (aspek!$B$2:$B$337=C1000)*
           (aspek!$C$2:$C$337=D1000),0))</f>
        <v>Menyederhanakan tanpa kehilangan makna</v>
      </c>
      <c r="F1000" s="76">
        <v>4</v>
      </c>
      <c r="G1000" s="56" t="str" cm="1">
        <f t="array" ref="G1000">INDEX(deskripsi!$D$2:$H$337,
   MATCH(1,(deskripsi!$A$2:$A$337=B1000)*
           (deskripsi!$B$2:$B$337=C1000)*
           (deskripsi!$C$2:$C$337=D1000),0),
   F1000)</f>
        <v>Menyederhanakan hal rumit dengan analogi atau visual, tetap menjaga batas dan asumsi penting.</v>
      </c>
    </row>
    <row r="1001" spans="1:7" ht="28">
      <c r="A1001" t="str">
        <f t="shared" si="15"/>
        <v>Conceptual Thinking|Analyst|4|5</v>
      </c>
      <c r="B1001" t="str">
        <v>Conceptual Thinking</v>
      </c>
      <c r="C1001" t="str">
        <v>Analyst</v>
      </c>
      <c r="D1001" s="76">
        <v>4</v>
      </c>
      <c r="E1001" t="str" cm="1">
        <f t="array" ref="E1001">INDEX(aspek!$D$2:$D$337,
   MATCH(1,(aspek!$A$2:$A$337=B1001)*
           (aspek!$B$2:$B$337=C1001)*
           (aspek!$C$2:$C$337=D1001),0))</f>
        <v>Menyederhanakan tanpa kehilangan makna</v>
      </c>
      <c r="F1001" s="76">
        <v>5</v>
      </c>
      <c r="G1001" s="56" t="str" cm="1">
        <f t="array" ref="G1001">INDEX(deskripsi!$D$2:$H$337,
   MATCH(1,(deskripsi!$A$2:$A$337=B1001)*
           (deskripsi!$B$2:$B$337=C1001)*
           (deskripsi!$C$2:$C$337=D1001),0),
   F1001)</f>
        <v>Ringkasannya dipakai sebagai rujukan karena lebih jelas dari aslinya.</v>
      </c>
    </row>
    <row r="1002" spans="1:7">
      <c r="A1002" t="str">
        <f t="shared" si="15"/>
        <v>Conceptual Thinking|Unit Head/Specialist|1|1</v>
      </c>
      <c r="B1002" t="str">
        <v>Conceptual Thinking</v>
      </c>
      <c r="C1002" t="str">
        <v>Unit Head/Specialist</v>
      </c>
      <c r="D1002" s="76">
        <v>1</v>
      </c>
      <c r="E1002" t="str" cm="1">
        <f t="array" ref="E1002">INDEX(aspek!$D$2:$D$337,
   MATCH(1,(aspek!$A$2:$A$337=B1002)*
           (aspek!$B$2:$B$337=C1002)*
           (aspek!$C$2:$C$337=D1002),0))</f>
        <v>Melihat pola lintas sumber</v>
      </c>
      <c r="F1002" s="76">
        <v>1</v>
      </c>
      <c r="G1002" s="56" t="str" cm="1">
        <f t="array" ref="G1002">INDEX(deskripsi!$D$2:$H$337,
   MATCH(1,(deskripsi!$A$2:$A$337=B1002)*
           (deskripsi!$B$2:$B$337=C1002)*
           (deskripsi!$C$2:$C$337=D1002),0),
   F1002)</f>
        <v>Menerima setiap sumber informasi secara terpisah.</v>
      </c>
    </row>
    <row r="1003" spans="1:7">
      <c r="A1003" t="str">
        <f t="shared" si="15"/>
        <v>Conceptual Thinking|Unit Head/Specialist|1|2</v>
      </c>
      <c r="B1003" t="str">
        <v>Conceptual Thinking</v>
      </c>
      <c r="C1003" t="str">
        <v>Unit Head/Specialist</v>
      </c>
      <c r="D1003" s="76">
        <v>1</v>
      </c>
      <c r="E1003" t="str" cm="1">
        <f t="array" ref="E1003">INDEX(aspek!$D$2:$D$337,
   MATCH(1,(aspek!$A$2:$A$337=B1003)*
           (aspek!$B$2:$B$337=C1003)*
           (aspek!$C$2:$C$337=D1003),0))</f>
        <v>Melihat pola lintas sumber</v>
      </c>
      <c r="F1003" s="76">
        <v>2</v>
      </c>
      <c r="G1003" s="56" t="str" cm="1">
        <f t="array" ref="G1003">INDEX(deskripsi!$D$2:$H$337,
   MATCH(1,(deskripsi!$A$2:$A$337=B1003)*
           (deskripsi!$B$2:$B$337=C1003)*
           (deskripsi!$C$2:$C$337=D1003),0),
   F1003)</f>
        <v>Menggabungkan sumber yang sudah terlihat jelas terkait.</v>
      </c>
    </row>
    <row r="1004" spans="1:7">
      <c r="A1004" t="str">
        <f t="shared" si="15"/>
        <v>Conceptual Thinking|Unit Head/Specialist|1|3</v>
      </c>
      <c r="B1004" t="str">
        <v>Conceptual Thinking</v>
      </c>
      <c r="C1004" t="str">
        <v>Unit Head/Specialist</v>
      </c>
      <c r="D1004" s="76">
        <v>1</v>
      </c>
      <c r="E1004" t="str" cm="1">
        <f t="array" ref="E1004">INDEX(aspek!$D$2:$D$337,
   MATCH(1,(aspek!$A$2:$A$337=B1004)*
           (aspek!$B$2:$B$337=C1004)*
           (aspek!$C$2:$C$337=D1004),0))</f>
        <v>Melihat pola lintas sumber</v>
      </c>
      <c r="F1004" s="76">
        <v>3</v>
      </c>
      <c r="G1004" s="56" t="str" cm="1">
        <f t="array" ref="G1004">INDEX(deskripsi!$D$2:$H$337,
   MATCH(1,(deskripsi!$A$2:$A$337=B1004)*
           (deskripsi!$B$2:$B$337=C1004)*
           (deskripsi!$C$2:$C$337=D1004),0),
   F1004)</f>
        <v>Melihat pola dalam satu sumber informasi yang kompleks.</v>
      </c>
    </row>
    <row r="1005" spans="1:7" ht="28">
      <c r="A1005" t="str">
        <f t="shared" si="15"/>
        <v>Conceptual Thinking|Unit Head/Specialist|1|4</v>
      </c>
      <c r="B1005" t="str">
        <v>Conceptual Thinking</v>
      </c>
      <c r="C1005" t="str">
        <v>Unit Head/Specialist</v>
      </c>
      <c r="D1005" s="76">
        <v>1</v>
      </c>
      <c r="E1005" t="str" cm="1">
        <f t="array" ref="E1005">INDEX(aspek!$D$2:$D$337,
   MATCH(1,(aspek!$A$2:$A$337=B1005)*
           (aspek!$B$2:$B$337=C1005)*
           (aspek!$C$2:$C$337=D1005),0))</f>
        <v>Melihat pola lintas sumber</v>
      </c>
      <c r="F1005" s="76">
        <v>4</v>
      </c>
      <c r="G1005" s="56" t="str" cm="1">
        <f t="array" ref="G1005">INDEX(deskripsi!$D$2:$H$337,
   MATCH(1,(deskripsi!$A$2:$A$337=B1005)*
           (deskripsi!$B$2:$B$337=C1005)*
           (deskripsi!$C$2:$C$337=D1005),0),
   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76">
        <v>1</v>
      </c>
      <c r="E1006" t="str" cm="1">
        <f t="array" ref="E1006">INDEX(aspek!$D$2:$D$337,
   MATCH(1,(aspek!$A$2:$A$337=B1006)*
           (aspek!$B$2:$B$337=C1006)*
           (aspek!$C$2:$C$337=D1006),0))</f>
        <v>Melihat pola lintas sumber</v>
      </c>
      <c r="F1006" s="76">
        <v>5</v>
      </c>
      <c r="G1006" s="56" t="str" cm="1">
        <f t="array" ref="G1006">INDEX(deskripsi!$D$2:$H$337,
   MATCH(1,(deskripsi!$A$2:$A$337=B1006)*
           (deskripsi!$B$2:$B$337=C1006)*
           (deskripsi!$C$2:$C$337=D1006),0),
   F1006)</f>
        <v>Menemukan pola lintas sumber yang belum terlihat oleh siapa pun di unitnya.</v>
      </c>
    </row>
    <row r="1007" spans="1:7">
      <c r="A1007" t="str">
        <f t="shared" si="15"/>
        <v>Conceptual Thinking|Unit Head/Specialist|2|1</v>
      </c>
      <c r="B1007" t="str">
        <v>Conceptual Thinking</v>
      </c>
      <c r="C1007" t="str">
        <v>Unit Head/Specialist</v>
      </c>
      <c r="D1007" s="76">
        <v>2</v>
      </c>
      <c r="E1007" t="str" cm="1">
        <f t="array" ref="E1007">INDEX(aspek!$D$2:$D$337,
   MATCH(1,(aspek!$A$2:$A$337=B1007)*
           (aspek!$B$2:$B$337=C1007)*
           (aspek!$C$2:$C$337=D1007),0))</f>
        <v>Membangun kerangka baru</v>
      </c>
      <c r="F1007" s="76">
        <v>1</v>
      </c>
      <c r="G1007" s="56" t="str" cm="1">
        <f t="array" ref="G1007">INDEX(deskripsi!$D$2:$H$337,
   MATCH(1,(deskripsi!$A$2:$A$337=B1007)*
           (deskripsi!$B$2:$B$337=C1007)*
           (deskripsi!$C$2:$C$337=D1007),0),
   F1007)</f>
        <v>Tidak menyusun kerangka; hanya mendaftar informasi.</v>
      </c>
    </row>
    <row r="1008" spans="1:7">
      <c r="A1008" t="str">
        <f t="shared" si="15"/>
        <v>Conceptual Thinking|Unit Head/Specialist|2|2</v>
      </c>
      <c r="B1008" t="str">
        <v>Conceptual Thinking</v>
      </c>
      <c r="C1008" t="str">
        <v>Unit Head/Specialist</v>
      </c>
      <c r="D1008" s="76">
        <v>2</v>
      </c>
      <c r="E1008" t="str" cm="1">
        <f t="array" ref="E1008">INDEX(aspek!$D$2:$D$337,
   MATCH(1,(aspek!$A$2:$A$337=B1008)*
           (aspek!$B$2:$B$337=C1008)*
           (aspek!$C$2:$C$337=D1008),0))</f>
        <v>Membangun kerangka baru</v>
      </c>
      <c r="F1008" s="76">
        <v>2</v>
      </c>
      <c r="G1008" s="56" t="str" cm="1">
        <f t="array" ref="G1008">INDEX(deskripsi!$D$2:$H$337,
   MATCH(1,(deskripsi!$A$2:$A$337=B1008)*
           (deskripsi!$B$2:$B$337=C1008)*
           (deskripsi!$C$2:$C$337=D1008),0),
   F1008)</f>
        <v>Menyusun kerangka yang sebenarnya sudah ada sebelumnya.</v>
      </c>
    </row>
    <row r="1009" spans="1:7">
      <c r="A1009" t="str">
        <f t="shared" si="15"/>
        <v>Conceptual Thinking|Unit Head/Specialist|2|3</v>
      </c>
      <c r="B1009" t="str">
        <v>Conceptual Thinking</v>
      </c>
      <c r="C1009" t="str">
        <v>Unit Head/Specialist</v>
      </c>
      <c r="D1009" s="76">
        <v>2</v>
      </c>
      <c r="E1009" t="str" cm="1">
        <f t="array" ref="E1009">INDEX(aspek!$D$2:$D$337,
   MATCH(1,(aspek!$A$2:$A$337=B1009)*
           (aspek!$B$2:$B$337=C1009)*
           (aspek!$C$2:$C$337=D1009),0))</f>
        <v>Membangun kerangka baru</v>
      </c>
      <c r="F1009" s="76">
        <v>3</v>
      </c>
      <c r="G1009" s="56" t="str" cm="1">
        <f t="array" ref="G1009">INDEX(deskripsi!$D$2:$H$337,
   MATCH(1,(deskripsi!$A$2:$A$337=B1009)*
           (deskripsi!$B$2:$B$337=C1009)*
           (deskripsi!$C$2:$C$337=D1009),0),
   F1009)</f>
        <v>Menyusun kerangka baru untuk persoalan sederhana.</v>
      </c>
    </row>
    <row r="1010" spans="1:7" ht="28">
      <c r="A1010" t="str">
        <f t="shared" si="15"/>
        <v>Conceptual Thinking|Unit Head/Specialist|2|4</v>
      </c>
      <c r="B1010" t="str">
        <v>Conceptual Thinking</v>
      </c>
      <c r="C1010" t="str">
        <v>Unit Head/Specialist</v>
      </c>
      <c r="D1010" s="76">
        <v>2</v>
      </c>
      <c r="E1010" t="str" cm="1">
        <f t="array" ref="E1010">INDEX(aspek!$D$2:$D$337,
   MATCH(1,(aspek!$A$2:$A$337=B1010)*
           (aspek!$B$2:$B$337=C1010)*
           (aspek!$C$2:$C$337=D1010),0))</f>
        <v>Membangun kerangka baru</v>
      </c>
      <c r="F1010" s="76">
        <v>4</v>
      </c>
      <c r="G1010" s="56" t="str" cm="1">
        <f t="array" ref="G1010">INDEX(deskripsi!$D$2:$H$337,
   MATCH(1,(deskripsi!$A$2:$A$337=B1010)*
           (deskripsi!$B$2:$B$337=C1010)*
           (deskripsi!$C$2:$C$337=D1010),0),
   F1010)</f>
        <v>Menyusun kerangka baru dari elemen yang sebelumnya tidak terkait, untuk persoalan yang kompleks.</v>
      </c>
    </row>
    <row r="1011" spans="1:7">
      <c r="A1011" t="str">
        <f t="shared" si="15"/>
        <v>Conceptual Thinking|Unit Head/Specialist|2|5</v>
      </c>
      <c r="B1011" t="str">
        <v>Conceptual Thinking</v>
      </c>
      <c r="C1011" t="str">
        <v>Unit Head/Specialist</v>
      </c>
      <c r="D1011" s="76">
        <v>2</v>
      </c>
      <c r="E1011" t="str" cm="1">
        <f t="array" ref="E1011">INDEX(aspek!$D$2:$D$337,
   MATCH(1,(aspek!$A$2:$A$337=B1011)*
           (aspek!$B$2:$B$337=C1011)*
           (aspek!$C$2:$C$337=D1011),0))</f>
        <v>Membangun kerangka baru</v>
      </c>
      <c r="F1011" s="76">
        <v>5</v>
      </c>
      <c r="G1011" s="56" t="str" cm="1">
        <f t="array" ref="G1011">INDEX(deskripsi!$D$2:$H$337,
   MATCH(1,(deskripsi!$A$2:$A$337=B1011)*
           (deskripsi!$B$2:$B$337=C1011)*
           (deskripsi!$C$2:$C$337=D1011),0),
   F1011)</f>
        <v>Kerangkanya dipakai orang lain untuk persoalan sejenis.</v>
      </c>
    </row>
    <row r="1012" spans="1:7" ht="28">
      <c r="A1012" t="str">
        <f t="shared" si="15"/>
        <v>Conceptual Thinking|Unit Head/Specialist|3|1</v>
      </c>
      <c r="B1012" t="str">
        <v>Conceptual Thinking</v>
      </c>
      <c r="C1012" t="str">
        <v>Unit Head/Specialist</v>
      </c>
      <c r="D1012" s="76">
        <v>3</v>
      </c>
      <c r="E1012" t="str" cm="1">
        <f t="array" ref="E1012">INDEX(aspek!$D$2:$D$337,
   MATCH(1,(aspek!$A$2:$A$337=B1012)*
           (aspek!$B$2:$B$337=C1012)*
           (aspek!$C$2:$C$337=D1012),0))</f>
        <v>Pembeda dari sintesis sudut pandang</v>
      </c>
      <c r="F1012" s="76">
        <v>1</v>
      </c>
      <c r="G1012" s="56" t="str" cm="1">
        <f t="array" ref="G1012">INDEX(deskripsi!$D$2:$H$337,
   MATCH(1,(deskripsi!$A$2:$A$337=B1012)*
           (deskripsi!$B$2:$B$337=C1012)*
           (deskripsi!$C$2:$C$337=D1012),0),
   F1012)</f>
        <v>Mencampur sintesis data dengan sintesis pendapat orang, tidak membedakan keduanya.</v>
      </c>
    </row>
    <row r="1013" spans="1:7" ht="28">
      <c r="A1013" t="str">
        <f t="shared" si="15"/>
        <v>Conceptual Thinking|Unit Head/Specialist|3|2</v>
      </c>
      <c r="B1013" t="str">
        <v>Conceptual Thinking</v>
      </c>
      <c r="C1013" t="str">
        <v>Unit Head/Specialist</v>
      </c>
      <c r="D1013" s="76">
        <v>3</v>
      </c>
      <c r="E1013" t="str" cm="1">
        <f t="array" ref="E1013">INDEX(aspek!$D$2:$D$337,
   MATCH(1,(aspek!$A$2:$A$337=B1013)*
           (aspek!$B$2:$B$337=C1013)*
           (aspek!$C$2:$C$337=D1013),0))</f>
        <v>Pembeda dari sintesis sudut pandang</v>
      </c>
      <c r="F1013" s="76">
        <v>2</v>
      </c>
      <c r="G1013" s="56" t="str" cm="1">
        <f t="array" ref="G1013">INDEX(deskripsi!$D$2:$H$337,
   MATCH(1,(deskripsi!$A$2:$A$337=B1013)*
           (deskripsi!$B$2:$B$337=C1013)*
           (deskripsi!$C$2:$C$337=D1013),0),
   F1013)</f>
        <v>Menyadari perbedaannya tetapi tetap mencampur dalam praktik.</v>
      </c>
    </row>
    <row r="1014" spans="1:7" ht="28">
      <c r="A1014" t="str">
        <f t="shared" si="15"/>
        <v>Conceptual Thinking|Unit Head/Specialist|3|3</v>
      </c>
      <c r="B1014" t="str">
        <v>Conceptual Thinking</v>
      </c>
      <c r="C1014" t="str">
        <v>Unit Head/Specialist</v>
      </c>
      <c r="D1014" s="76">
        <v>3</v>
      </c>
      <c r="E1014" t="str" cm="1">
        <f t="array" ref="E1014">INDEX(aspek!$D$2:$D$337,
   MATCH(1,(aspek!$A$2:$A$337=B1014)*
           (aspek!$B$2:$B$337=C1014)*
           (aspek!$C$2:$C$337=D1014),0))</f>
        <v>Pembeda dari sintesis sudut pandang</v>
      </c>
      <c r="F1014" s="76">
        <v>3</v>
      </c>
      <c r="G1014" s="56" t="str" cm="1">
        <f t="array" ref="G1014">INDEX(deskripsi!$D$2:$H$337,
   MATCH(1,(deskripsi!$A$2:$A$337=B1014)*
           (deskripsi!$B$2:$B$337=C1014)*
           (deskripsi!$C$2:$C$337=D1014),0),
   F1014)</f>
        <v>Memisahkan sintesis data dari sintesis pendapat pada kasus sederhana.</v>
      </c>
    </row>
    <row r="1015" spans="1:7" ht="42">
      <c r="A1015" t="str">
        <f t="shared" si="15"/>
        <v>Conceptual Thinking|Unit Head/Specialist|3|4</v>
      </c>
      <c r="B1015" t="str">
        <v>Conceptual Thinking</v>
      </c>
      <c r="C1015" t="str">
        <v>Unit Head/Specialist</v>
      </c>
      <c r="D1015" s="76">
        <v>3</v>
      </c>
      <c r="E1015" t="str" cm="1">
        <f t="array" ref="E1015">INDEX(aspek!$D$2:$D$337,
   MATCH(1,(aspek!$A$2:$A$337=B1015)*
           (aspek!$B$2:$B$337=C1015)*
           (aspek!$C$2:$C$337=D1015),0))</f>
        <v>Pembeda dari sintesis sudut pandang</v>
      </c>
      <c r="F1015" s="76">
        <v>4</v>
      </c>
      <c r="G1015" s="56" t="str" cm="1">
        <f t="array" ref="G1015">INDEX(deskripsi!$D$2:$H$337,
   MATCH(1,(deskripsi!$A$2:$A$337=B1015)*
           (deskripsi!$B$2:$B$337=C1015)*
           (deskripsi!$C$2:$C$337=D1015),0),
   F1015)</f>
        <v>Secara konsisten mensintesis DATA, KONSEP, dan TEMUAN — bukan sekadar pendapat orang — menjadi kerangka baru.</v>
      </c>
    </row>
    <row r="1016" spans="1:7" ht="28">
      <c r="A1016" t="str">
        <f t="shared" si="15"/>
        <v>Conceptual Thinking|Unit Head/Specialist|3|5</v>
      </c>
      <c r="B1016" t="str">
        <v>Conceptual Thinking</v>
      </c>
      <c r="C1016" t="str">
        <v>Unit Head/Specialist</v>
      </c>
      <c r="D1016" s="76">
        <v>3</v>
      </c>
      <c r="E1016" t="str" cm="1">
        <f t="array" ref="E1016">INDEX(aspek!$D$2:$D$337,
   MATCH(1,(aspek!$A$2:$A$337=B1016)*
           (aspek!$B$2:$B$337=C1016)*
           (aspek!$C$2:$C$337=D1016),0))</f>
        <v>Pembeda dari sintesis sudut pandang</v>
      </c>
      <c r="F1016" s="76">
        <v>5</v>
      </c>
      <c r="G1016" s="56" t="str" cm="1">
        <f t="array" ref="G1016">INDEX(deskripsi!$D$2:$H$337,
   MATCH(1,(deskripsi!$A$2:$A$337=B1016)*
           (deskripsi!$B$2:$B$337=C1016)*
           (deskripsi!$C$2:$C$337=D1016),0),
   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76">
        <v>4</v>
      </c>
      <c r="E1017" t="str" cm="1">
        <f t="array" ref="E1017">INDEX(aspek!$D$2:$D$337,
   MATCH(1,(aspek!$A$2:$A$337=B1017)*
           (aspek!$B$2:$B$337=C1017)*
           (aspek!$C$2:$C$337=D1017),0))</f>
        <v>Kerangka teruji pada praktik</v>
      </c>
      <c r="F1017" s="76">
        <v>1</v>
      </c>
      <c r="G1017" s="56" t="str" cm="1">
        <f t="array" ref="G1017">INDEX(deskripsi!$D$2:$H$337,
   MATCH(1,(deskripsi!$A$2:$A$337=B1017)*
           (deskripsi!$B$2:$B$337=C1017)*
           (deskripsi!$C$2:$C$337=D1017),0),
   F1017)</f>
        <v>Kerangka tidak pernah diuji atau diterapkan.</v>
      </c>
    </row>
    <row r="1018" spans="1:7">
      <c r="A1018" t="str">
        <f t="shared" si="15"/>
        <v>Conceptual Thinking|Unit Head/Specialist|4|2</v>
      </c>
      <c r="B1018" t="str">
        <v>Conceptual Thinking</v>
      </c>
      <c r="C1018" t="str">
        <v>Unit Head/Specialist</v>
      </c>
      <c r="D1018" s="76">
        <v>4</v>
      </c>
      <c r="E1018" t="str" cm="1">
        <f t="array" ref="E1018">INDEX(aspek!$D$2:$D$337,
   MATCH(1,(aspek!$A$2:$A$337=B1018)*
           (aspek!$B$2:$B$337=C1018)*
           (aspek!$C$2:$C$337=D1018),0))</f>
        <v>Kerangka teruji pada praktik</v>
      </c>
      <c r="F1018" s="76">
        <v>2</v>
      </c>
      <c r="G1018" s="56" t="str" cm="1">
        <f t="array" ref="G1018">INDEX(deskripsi!$D$2:$H$337,
   MATCH(1,(deskripsi!$A$2:$A$337=B1018)*
           (deskripsi!$B$2:$B$337=C1018)*
           (deskripsi!$C$2:$C$337=D1018),0),
   F1018)</f>
        <v>Kerangka diterapkan tetapi tidak diukur dampaknya.</v>
      </c>
    </row>
    <row r="1019" spans="1:7" ht="28">
      <c r="A1019" t="str">
        <f t="shared" si="15"/>
        <v>Conceptual Thinking|Unit Head/Specialist|4|3</v>
      </c>
      <c r="B1019" t="str">
        <v>Conceptual Thinking</v>
      </c>
      <c r="C1019" t="str">
        <v>Unit Head/Specialist</v>
      </c>
      <c r="D1019" s="76">
        <v>4</v>
      </c>
      <c r="E1019" t="str" cm="1">
        <f t="array" ref="E1019">INDEX(aspek!$D$2:$D$337,
   MATCH(1,(aspek!$A$2:$A$337=B1019)*
           (aspek!$B$2:$B$337=C1019)*
           (aspek!$C$2:$C$337=D1019),0))</f>
        <v>Kerangka teruji pada praktik</v>
      </c>
      <c r="F1019" s="76">
        <v>3</v>
      </c>
      <c r="G1019" s="56" t="str" cm="1">
        <f t="array" ref="G1019">INDEX(deskripsi!$D$2:$H$337,
   MATCH(1,(deskripsi!$A$2:$A$337=B1019)*
           (deskripsi!$B$2:$B$337=C1019)*
           (deskripsi!$C$2:$C$337=D1019),0),
   F1019)</f>
        <v>Kerangka diterapkan dan menunjukkan hasil pada kasus sederhana.</v>
      </c>
    </row>
    <row r="1020" spans="1:7" ht="28">
      <c r="A1020" t="str">
        <f t="shared" si="15"/>
        <v>Conceptual Thinking|Unit Head/Specialist|4|4</v>
      </c>
      <c r="B1020" t="str">
        <v>Conceptual Thinking</v>
      </c>
      <c r="C1020" t="str">
        <v>Unit Head/Specialist</v>
      </c>
      <c r="D1020" s="76">
        <v>4</v>
      </c>
      <c r="E1020" t="str" cm="1">
        <f t="array" ref="E1020">INDEX(aspek!$D$2:$D$337,
   MATCH(1,(aspek!$A$2:$A$337=B1020)*
           (aspek!$B$2:$B$337=C1020)*
           (aspek!$C$2:$C$337=D1020),0))</f>
        <v>Kerangka teruji pada praktik</v>
      </c>
      <c r="F1020" s="76">
        <v>4</v>
      </c>
      <c r="G1020" s="56" t="str" cm="1">
        <f t="array" ref="G1020">INDEX(deskripsi!$D$2:$H$337,
   MATCH(1,(deskripsi!$A$2:$A$337=B1020)*
           (deskripsi!$B$2:$B$337=C1020)*
           (deskripsi!$C$2:$C$337=D1020),0),
   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76">
        <v>4</v>
      </c>
      <c r="E1021" t="str" cm="1">
        <f t="array" ref="E1021">INDEX(aspek!$D$2:$D$337,
   MATCH(1,(aspek!$A$2:$A$337=B1021)*
           (aspek!$B$2:$B$337=C1021)*
           (aspek!$C$2:$C$337=D1021),0))</f>
        <v>Kerangka teruji pada praktik</v>
      </c>
      <c r="F1021" s="76">
        <v>5</v>
      </c>
      <c r="G1021" s="56" t="str" cm="1">
        <f t="array" ref="G1021">INDEX(deskripsi!$D$2:$H$337,
   MATCH(1,(deskripsi!$A$2:$A$337=B1021)*
           (deskripsi!$B$2:$B$337=C1021)*
           (deskripsi!$C$2:$C$337=D1021),0),
   F1021)</f>
        <v>Kerangkanya diadopsi sebagai pendekatan baku untuk persoalan sejenis.</v>
      </c>
    </row>
    <row r="1022" spans="1:7">
      <c r="A1022" t="str">
        <f t="shared" si="15"/>
        <v>Conceptual Thinking|Department Head|1|1</v>
      </c>
      <c r="B1022" t="str">
        <v>Conceptual Thinking</v>
      </c>
      <c r="C1022" t="str">
        <v>Department Head</v>
      </c>
      <c r="D1022" s="76">
        <v>1</v>
      </c>
      <c r="E1022" t="str" cm="1">
        <f t="array" ref="E1022">INDEX(aspek!$D$2:$D$337,
   MATCH(1,(aspek!$A$2:$A$337=B1022)*
           (aspek!$B$2:$B$337=C1022)*
           (aspek!$C$2:$C$337=D1022),0))</f>
        <v>Keterbukaan pada hal yang belum terbukti</v>
      </c>
      <c r="F1022" s="76">
        <v>1</v>
      </c>
      <c r="G1022" s="56" t="str" cm="1">
        <f t="array" ref="G1022">INDEX(deskripsi!$D$2:$H$337,
   MATCH(1,(deskripsi!$A$2:$A$337=B1022)*
           (deskripsi!$B$2:$B$337=C1022)*
           (deskripsi!$C$2:$C$337=D1022),0),
   F1022)</f>
        <v>Hanya memakai metode yang sudah familiar.</v>
      </c>
    </row>
    <row r="1023" spans="1:7">
      <c r="A1023" t="str">
        <f t="shared" si="15"/>
        <v>Conceptual Thinking|Department Head|1|2</v>
      </c>
      <c r="B1023" t="str">
        <v>Conceptual Thinking</v>
      </c>
      <c r="C1023" t="str">
        <v>Department Head</v>
      </c>
      <c r="D1023" s="76">
        <v>1</v>
      </c>
      <c r="E1023" t="str" cm="1">
        <f t="array" ref="E1023">INDEX(aspek!$D$2:$D$337,
   MATCH(1,(aspek!$A$2:$A$337=B1023)*
           (aspek!$B$2:$B$337=C1023)*
           (aspek!$C$2:$C$337=D1023),0))</f>
        <v>Keterbukaan pada hal yang belum terbukti</v>
      </c>
      <c r="F1023" s="76">
        <v>2</v>
      </c>
      <c r="G1023" s="56" t="str" cm="1">
        <f t="array" ref="G1023">INDEX(deskripsi!$D$2:$H$337,
   MATCH(1,(deskripsi!$A$2:$A$337=B1023)*
           (deskripsi!$B$2:$B$337=C1023)*
           (deskripsi!$C$2:$C$337=D1023),0),
   F1023)</f>
        <v>Mendengarkan ide baru tetapi tidak mencobanya.</v>
      </c>
    </row>
    <row r="1024" spans="1:7">
      <c r="A1024" t="str">
        <f t="shared" si="15"/>
        <v>Conceptual Thinking|Department Head|1|3</v>
      </c>
      <c r="B1024" t="str">
        <v>Conceptual Thinking</v>
      </c>
      <c r="C1024" t="str">
        <v>Department Head</v>
      </c>
      <c r="D1024" s="76">
        <v>1</v>
      </c>
      <c r="E1024" t="str" cm="1">
        <f t="array" ref="E1024">INDEX(aspek!$D$2:$D$337,
   MATCH(1,(aspek!$A$2:$A$337=B1024)*
           (aspek!$B$2:$B$337=C1024)*
           (aspek!$C$2:$C$337=D1024),0))</f>
        <v>Keterbukaan pada hal yang belum terbukti</v>
      </c>
      <c r="F1024" s="76">
        <v>3</v>
      </c>
      <c r="G1024" s="56" t="str" cm="1">
        <f t="array" ref="G1024">INDEX(deskripsi!$D$2:$H$337,
   MATCH(1,(deskripsi!$A$2:$A$337=B1024)*
           (deskripsi!$B$2:$B$337=C1024)*
           (deskripsi!$C$2:$C$337=D1024),0),
   F1024)</f>
        <v>Mencoba ide baru bila kondisinya mendukung.</v>
      </c>
    </row>
    <row r="1025" spans="1:7" ht="28">
      <c r="A1025" t="str">
        <f t="shared" si="15"/>
        <v>Conceptual Thinking|Department Head|1|4</v>
      </c>
      <c r="B1025" t="str">
        <v>Conceptual Thinking</v>
      </c>
      <c r="C1025" t="str">
        <v>Department Head</v>
      </c>
      <c r="D1025" s="76">
        <v>1</v>
      </c>
      <c r="E1025" t="str" cm="1">
        <f t="array" ref="E1025">INDEX(aspek!$D$2:$D$337,
   MATCH(1,(aspek!$A$2:$A$337=B1025)*
           (aspek!$B$2:$B$337=C1025)*
           (aspek!$C$2:$C$337=D1025),0))</f>
        <v>Keterbukaan pada hal yang belum terbukti</v>
      </c>
      <c r="F1025" s="76">
        <v>4</v>
      </c>
      <c r="G1025" s="56" t="str" cm="1">
        <f t="array" ref="G1025">INDEX(deskripsi!$D$2:$H$337,
   MATCH(1,(deskripsi!$A$2:$A$337=B1025)*
           (deskripsi!$B$2:$B$337=C1025)*
           (deskripsi!$C$2:$C$337=D1025),0),
   F1025)</f>
        <v>Aktif mencari ide baru meski belum terbukti, dan mencobanya tanpa menunggu kondisi ideal.</v>
      </c>
    </row>
    <row r="1026" spans="1:7" ht="28">
      <c r="A1026" t="str">
        <f t="shared" si="15"/>
        <v>Conceptual Thinking|Department Head|1|5</v>
      </c>
      <c r="B1026" t="str">
        <v>Conceptual Thinking</v>
      </c>
      <c r="C1026" t="str">
        <v>Department Head</v>
      </c>
      <c r="D1026" s="76">
        <v>1</v>
      </c>
      <c r="E1026" t="str" cm="1">
        <f t="array" ref="E1026">INDEX(aspek!$D$2:$D$337,
   MATCH(1,(aspek!$A$2:$A$337=B1026)*
           (aspek!$B$2:$B$337=C1026)*
           (aspek!$C$2:$C$337=D1026),0))</f>
        <v>Keterbukaan pada hal yang belum terbukti</v>
      </c>
      <c r="F1026" s="76">
        <v>5</v>
      </c>
      <c r="G1026" s="56" t="str" cm="1">
        <f t="array" ref="G1026">INDEX(deskripsi!$D$2:$H$337,
   MATCH(1,(deskripsi!$A$2:$A$337=B1026)*
           (deskripsi!$B$2:$B$337=C1026)*
           (deskripsi!$C$2:$C$337=D1026),0),
   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76">
        <v>2</v>
      </c>
      <c r="E1027" t="str" cm="1">
        <f t="array" ref="E1027">INDEX(aspek!$D$2:$D$337,
   MATCH(1,(aspek!$A$2:$A$337=B1027)*
           (aspek!$B$2:$B$337=C1027)*
           (aspek!$C$2:$C$337=D1027),0))</f>
        <v>Inisiatif mengeksplorasi</v>
      </c>
      <c r="F1027" s="76">
        <v>1</v>
      </c>
      <c r="G1027" s="56" t="str" cm="1">
        <f t="array" ref="G1027">INDEX(deskripsi!$D$2:$H$337,
   MATCH(1,(deskripsi!$A$2:$A$337=B1027)*
           (deskripsi!$B$2:$B$337=C1027)*
           (deskripsi!$C$2:$C$337=D1027),0),
   F1027)</f>
        <v>Tidak mencari ide baru sama sekali.</v>
      </c>
    </row>
    <row r="1028" spans="1:7">
      <c r="A1028" t="str">
        <f t="shared" si="16"/>
        <v>Conceptual Thinking|Department Head|2|2</v>
      </c>
      <c r="B1028" t="str">
        <v>Conceptual Thinking</v>
      </c>
      <c r="C1028" t="str">
        <v>Department Head</v>
      </c>
      <c r="D1028" s="76">
        <v>2</v>
      </c>
      <c r="E1028" t="str" cm="1">
        <f t="array" ref="E1028">INDEX(aspek!$D$2:$D$337,
   MATCH(1,(aspek!$A$2:$A$337=B1028)*
           (aspek!$B$2:$B$337=C1028)*
           (aspek!$C$2:$C$337=D1028),0))</f>
        <v>Inisiatif mengeksplorasi</v>
      </c>
      <c r="F1028" s="76">
        <v>2</v>
      </c>
      <c r="G1028" s="56" t="str" cm="1">
        <f t="array" ref="G1028">INDEX(deskripsi!$D$2:$H$337,
   MATCH(1,(deskripsi!$A$2:$A$337=B1028)*
           (deskripsi!$B$2:$B$337=C1028)*
           (deskripsi!$C$2:$C$337=D1028),0),
   F1028)</f>
        <v>Mencari ide hanya ketika ditugaskan.</v>
      </c>
    </row>
    <row r="1029" spans="1:7">
      <c r="A1029" t="str">
        <f t="shared" si="16"/>
        <v>Conceptual Thinking|Department Head|2|3</v>
      </c>
      <c r="B1029" t="str">
        <v>Conceptual Thinking</v>
      </c>
      <c r="C1029" t="str">
        <v>Department Head</v>
      </c>
      <c r="D1029" s="76">
        <v>2</v>
      </c>
      <c r="E1029" t="str" cm="1">
        <f t="array" ref="E1029">INDEX(aspek!$D$2:$D$337,
   MATCH(1,(aspek!$A$2:$A$337=B1029)*
           (aspek!$B$2:$B$337=C1029)*
           (aspek!$C$2:$C$337=D1029),0))</f>
        <v>Inisiatif mengeksplorasi</v>
      </c>
      <c r="F1029" s="76">
        <v>3</v>
      </c>
      <c r="G1029" s="56" t="str" cm="1">
        <f t="array" ref="G1029">INDEX(deskripsi!$D$2:$H$337,
   MATCH(1,(deskripsi!$A$2:$A$337=B1029)*
           (deskripsi!$B$2:$B$337=C1029)*
           (deskripsi!$C$2:$C$337=D1029),0),
   F1029)</f>
        <v>Mencari ide pada kesempatan tertentu.</v>
      </c>
    </row>
    <row r="1030" spans="1:7" ht="28">
      <c r="A1030" t="str">
        <f t="shared" si="16"/>
        <v>Conceptual Thinking|Department Head|2|4</v>
      </c>
      <c r="B1030" t="str">
        <v>Conceptual Thinking</v>
      </c>
      <c r="C1030" t="str">
        <v>Department Head</v>
      </c>
      <c r="D1030" s="76">
        <v>2</v>
      </c>
      <c r="E1030" t="str" cm="1">
        <f t="array" ref="E1030">INDEX(aspek!$D$2:$D$337,
   MATCH(1,(aspek!$A$2:$A$337=B1030)*
           (aspek!$B$2:$B$337=C1030)*
           (aspek!$C$2:$C$337=D1030),0))</f>
        <v>Inisiatif mengeksplorasi</v>
      </c>
      <c r="F1030" s="76">
        <v>4</v>
      </c>
      <c r="G1030" s="56" t="str" cm="1">
        <f t="array" ref="G1030">INDEX(deskripsi!$D$2:$H$337,
   MATCH(1,(deskripsi!$A$2:$A$337=B1030)*
           (deskripsi!$B$2:$B$337=C1030)*
           (deskripsi!$C$2:$C$337=D1030),0),
   F1030)</f>
        <v>Secara rutin mencari ide baru atas dorongan sendiri, tanpa menunggu penugasan.</v>
      </c>
    </row>
    <row r="1031" spans="1:7">
      <c r="A1031" t="str">
        <f t="shared" si="16"/>
        <v>Conceptual Thinking|Department Head|2|5</v>
      </c>
      <c r="B1031" t="str">
        <v>Conceptual Thinking</v>
      </c>
      <c r="C1031" t="str">
        <v>Department Head</v>
      </c>
      <c r="D1031" s="76">
        <v>2</v>
      </c>
      <c r="E1031" t="str" cm="1">
        <f t="array" ref="E1031">INDEX(aspek!$D$2:$D$337,
   MATCH(1,(aspek!$A$2:$A$337=B1031)*
           (aspek!$B$2:$B$337=C1031)*
           (aspek!$C$2:$C$337=D1031),0))</f>
        <v>Inisiatif mengeksplorasi</v>
      </c>
      <c r="F1031" s="76">
        <v>5</v>
      </c>
      <c r="G1031" s="56" t="str" cm="1">
        <f t="array" ref="G1031">INDEX(deskripsi!$D$2:$H$337,
   MATCH(1,(deskripsi!$A$2:$A$337=B1031)*
           (deskripsi!$B$2:$B$337=C1031)*
           (deskripsi!$C$2:$C$337=D1031),0),
   F1031)</f>
        <v>Menjadi sumber ide bagi unit lain.</v>
      </c>
    </row>
    <row r="1032" spans="1:7">
      <c r="A1032" t="str">
        <f t="shared" si="16"/>
        <v>Conceptual Thinking|Department Head|3|1</v>
      </c>
      <c r="B1032" t="str">
        <v>Conceptual Thinking</v>
      </c>
      <c r="C1032" t="str">
        <v>Department Head</v>
      </c>
      <c r="D1032" s="76">
        <v>3</v>
      </c>
      <c r="E1032" t="str" cm="1">
        <f t="array" ref="E1032">INDEX(aspek!$D$2:$D$337,
   MATCH(1,(aspek!$A$2:$A$337=B1032)*
           (aspek!$B$2:$B$337=C1032)*
           (aspek!$C$2:$C$337=D1032),0))</f>
        <v>Keterbukaan lintas domain</v>
      </c>
      <c r="F1032" s="76">
        <v>1</v>
      </c>
      <c r="G1032" s="56" t="str" cm="1">
        <f t="array" ref="G1032">INDEX(deskripsi!$D$2:$H$337,
   MATCH(1,(deskripsi!$A$2:$A$337=B1032)*
           (deskripsi!$B$2:$B$337=C1032)*
           (deskripsi!$C$2:$C$337=D1032),0),
   F1032)</f>
        <v>Hanya mencari ide dari bidangnya sendiri.</v>
      </c>
    </row>
    <row r="1033" spans="1:7" ht="28">
      <c r="A1033" t="str">
        <f t="shared" si="16"/>
        <v>Conceptual Thinking|Department Head|3|2</v>
      </c>
      <c r="B1033" t="str">
        <v>Conceptual Thinking</v>
      </c>
      <c r="C1033" t="str">
        <v>Department Head</v>
      </c>
      <c r="D1033" s="76">
        <v>3</v>
      </c>
      <c r="E1033" t="str" cm="1">
        <f t="array" ref="E1033">INDEX(aspek!$D$2:$D$337,
   MATCH(1,(aspek!$A$2:$A$337=B1033)*
           (aspek!$B$2:$B$337=C1033)*
           (aspek!$C$2:$C$337=D1033),0))</f>
        <v>Keterbukaan lintas domain</v>
      </c>
      <c r="F1033" s="76">
        <v>2</v>
      </c>
      <c r="G1033" s="56" t="str" cm="1">
        <f t="array" ref="G1033">INDEX(deskripsi!$D$2:$H$337,
   MATCH(1,(deskripsi!$A$2:$A$337=B1033)*
           (deskripsi!$B$2:$B$337=C1033)*
           (deskripsi!$C$2:$C$337=D1033),0),
   F1033)</f>
        <v>Mengetahui ide dari bidang lain, menganggapnya tidak relevan.</v>
      </c>
    </row>
    <row r="1034" spans="1:7">
      <c r="A1034" t="str">
        <f t="shared" si="16"/>
        <v>Conceptual Thinking|Department Head|3|3</v>
      </c>
      <c r="B1034" t="str">
        <v>Conceptual Thinking</v>
      </c>
      <c r="C1034" t="str">
        <v>Department Head</v>
      </c>
      <c r="D1034" s="76">
        <v>3</v>
      </c>
      <c r="E1034" t="str" cm="1">
        <f t="array" ref="E1034">INDEX(aspek!$D$2:$D$337,
   MATCH(1,(aspek!$A$2:$A$337=B1034)*
           (aspek!$B$2:$B$337=C1034)*
           (aspek!$C$2:$C$337=D1034),0))</f>
        <v>Keterbukaan lintas domain</v>
      </c>
      <c r="F1034" s="76">
        <v>3</v>
      </c>
      <c r="G1034" s="56" t="str" cm="1">
        <f t="array" ref="G1034">INDEX(deskripsi!$D$2:$H$337,
   MATCH(1,(deskripsi!$A$2:$A$337=B1034)*
           (deskripsi!$B$2:$B$337=C1034)*
           (deskripsi!$C$2:$C$337=D1034),0),
   F1034)</f>
        <v>Mengadaptasi ide dari fungsi lain di organisasi yang sama.</v>
      </c>
    </row>
    <row r="1035" spans="1:7" ht="28">
      <c r="A1035" t="str">
        <f t="shared" si="16"/>
        <v>Conceptual Thinking|Department Head|3|4</v>
      </c>
      <c r="B1035" t="str">
        <v>Conceptual Thinking</v>
      </c>
      <c r="C1035" t="str">
        <v>Department Head</v>
      </c>
      <c r="D1035" s="76">
        <v>3</v>
      </c>
      <c r="E1035" t="str" cm="1">
        <f t="array" ref="E1035">INDEX(aspek!$D$2:$D$337,
   MATCH(1,(aspek!$A$2:$A$337=B1035)*
           (aspek!$B$2:$B$337=C1035)*
           (aspek!$C$2:$C$337=D1035),0))</f>
        <v>Keterbukaan lintas domain</v>
      </c>
      <c r="F1035" s="76">
        <v>4</v>
      </c>
      <c r="G1035" s="56" t="str" cm="1">
        <f t="array" ref="G1035">INDEX(deskripsi!$D$2:$H$337,
   MATCH(1,(deskripsi!$A$2:$A$337=B1035)*
           (deskripsi!$B$2:$B$337=C1035)*
           (deskripsi!$C$2:$C$337=D1035),0),
   F1035)</f>
        <v>Mengeksplorasi area yang belum dikuasai dan menemukan peluang dari sana.</v>
      </c>
    </row>
    <row r="1036" spans="1:7" ht="28">
      <c r="A1036" t="str">
        <f t="shared" si="16"/>
        <v>Conceptual Thinking|Department Head|3|5</v>
      </c>
      <c r="B1036" t="str">
        <v>Conceptual Thinking</v>
      </c>
      <c r="C1036" t="str">
        <v>Department Head</v>
      </c>
      <c r="D1036" s="76">
        <v>3</v>
      </c>
      <c r="E1036" t="str" cm="1">
        <f t="array" ref="E1036">INDEX(aspek!$D$2:$D$337,
   MATCH(1,(aspek!$A$2:$A$337=B1036)*
           (aspek!$B$2:$B$337=C1036)*
           (aspek!$C$2:$C$337=D1036),0))</f>
        <v>Keterbukaan lintas domain</v>
      </c>
      <c r="F1036" s="76">
        <v>5</v>
      </c>
      <c r="G1036" s="56" t="str" cm="1">
        <f t="array" ref="G1036">INDEX(deskripsi!$D$2:$H$337,
   MATCH(1,(deskripsi!$A$2:$A$337=B1036)*
           (deskripsi!$B$2:$B$337=C1036)*
           (deskripsi!$C$2:$C$337=D1036),0),
   F1036)</f>
        <v>Menjadi jembatan ide antar bidang yang sebelumnya tidak saling terhubung.</v>
      </c>
    </row>
    <row r="1037" spans="1:7">
      <c r="A1037" t="str">
        <f t="shared" si="16"/>
        <v>Conceptual Thinking|Department Head|4|1</v>
      </c>
      <c r="B1037" t="str">
        <v>Conceptual Thinking</v>
      </c>
      <c r="C1037" t="str">
        <v>Department Head</v>
      </c>
      <c r="D1037" s="76">
        <v>4</v>
      </c>
      <c r="E1037" t="str" cm="1">
        <f t="array" ref="E1037">INDEX(aspek!$D$2:$D$337,
   MATCH(1,(aspek!$A$2:$A$337=B1037)*
           (aspek!$B$2:$B$337=C1037)*
           (aspek!$C$2:$C$337=D1037),0))</f>
        <v>Mendorong eksperimen dalam tim</v>
      </c>
      <c r="F1037" s="76">
        <v>1</v>
      </c>
      <c r="G1037" s="56" t="str" cm="1">
        <f t="array" ref="G1037">INDEX(deskripsi!$D$2:$H$337,
   MATCH(1,(deskripsi!$A$2:$A$337=B1037)*
           (deskripsi!$B$2:$B$337=C1037)*
           (deskripsi!$C$2:$C$337=D1037),0),
   F1037)</f>
        <v>Hanya dirinya yang mencoba; tim tetap memakai cara lama.</v>
      </c>
    </row>
    <row r="1038" spans="1:7">
      <c r="A1038" t="str">
        <f t="shared" si="16"/>
        <v>Conceptual Thinking|Department Head|4|2</v>
      </c>
      <c r="B1038" t="str">
        <v>Conceptual Thinking</v>
      </c>
      <c r="C1038" t="str">
        <v>Department Head</v>
      </c>
      <c r="D1038" s="76">
        <v>4</v>
      </c>
      <c r="E1038" t="str" cm="1">
        <f t="array" ref="E1038">INDEX(aspek!$D$2:$D$337,
   MATCH(1,(aspek!$A$2:$A$337=B1038)*
           (aspek!$B$2:$B$337=C1038)*
           (aspek!$C$2:$C$337=D1038),0))</f>
        <v>Mendorong eksperimen dalam tim</v>
      </c>
      <c r="F1038" s="76">
        <v>2</v>
      </c>
      <c r="G1038" s="56" t="str" cm="1">
        <f t="array" ref="G1038">INDEX(deskripsi!$D$2:$H$337,
   MATCH(1,(deskripsi!$A$2:$A$337=B1038)*
           (deskripsi!$B$2:$B$337=C1038)*
           (deskripsi!$C$2:$C$337=D1038),0),
   F1038)</f>
        <v>Mengizinkan tim mencoba bila diminta.</v>
      </c>
    </row>
    <row r="1039" spans="1:7">
      <c r="A1039" t="str">
        <f t="shared" si="16"/>
        <v>Conceptual Thinking|Department Head|4|3</v>
      </c>
      <c r="B1039" t="str">
        <v>Conceptual Thinking</v>
      </c>
      <c r="C1039" t="str">
        <v>Department Head</v>
      </c>
      <c r="D1039" s="76">
        <v>4</v>
      </c>
      <c r="E1039" t="str" cm="1">
        <f t="array" ref="E1039">INDEX(aspek!$D$2:$D$337,
   MATCH(1,(aspek!$A$2:$A$337=B1039)*
           (aspek!$B$2:$B$337=C1039)*
           (aspek!$C$2:$C$337=D1039),0))</f>
        <v>Mendorong eksperimen dalam tim</v>
      </c>
      <c r="F1039" s="76">
        <v>3</v>
      </c>
      <c r="G1039" s="56" t="str" cm="1">
        <f t="array" ref="G1039">INDEX(deskripsi!$D$2:$H$337,
   MATCH(1,(deskripsi!$A$2:$A$337=B1039)*
           (deskripsi!$B$2:$B$337=C1039)*
           (deskripsi!$C$2:$C$337=D1039),0),
   F1039)</f>
        <v>Mendorong tim mencoba pada kesempatan tertentu.</v>
      </c>
    </row>
    <row r="1040" spans="1:7" ht="28">
      <c r="A1040" t="str">
        <f t="shared" si="16"/>
        <v>Conceptual Thinking|Department Head|4|4</v>
      </c>
      <c r="B1040" t="str">
        <v>Conceptual Thinking</v>
      </c>
      <c r="C1040" t="str">
        <v>Department Head</v>
      </c>
      <c r="D1040" s="76">
        <v>4</v>
      </c>
      <c r="E1040" t="str" cm="1">
        <f t="array" ref="E1040">INDEX(aspek!$D$2:$D$337,
   MATCH(1,(aspek!$A$2:$A$337=B1040)*
           (aspek!$B$2:$B$337=C1040)*
           (aspek!$C$2:$C$337=D1040),0))</f>
        <v>Mendorong eksperimen dalam tim</v>
      </c>
      <c r="F1040" s="76">
        <v>4</v>
      </c>
      <c r="G1040" s="56" t="str" cm="1">
        <f t="array" ref="G1040">INDEX(deskripsi!$D$2:$H$337,
   MATCH(1,(deskripsi!$A$2:$A$337=B1040)*
           (deskripsi!$B$2:$B$337=C1040)*
           (deskripsi!$C$2:$C$337=D1040),0),
   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76">
        <v>4</v>
      </c>
      <c r="E1041" t="str" cm="1">
        <f t="array" ref="E1041">INDEX(aspek!$D$2:$D$337,
   MATCH(1,(aspek!$A$2:$A$337=B1041)*
           (aspek!$B$2:$B$337=C1041)*
           (aspek!$C$2:$C$337=D1041),0))</f>
        <v>Mendorong eksperimen dalam tim</v>
      </c>
      <c r="F1041" s="76">
        <v>5</v>
      </c>
      <c r="G1041" s="56" t="str" cm="1">
        <f t="array" ref="G1041">INDEX(deskripsi!$D$2:$H$337,
   MATCH(1,(deskripsi!$A$2:$A$337=B1041)*
           (deskripsi!$B$2:$B$337=C1041)*
           (deskripsi!$C$2:$C$337=D1041),0),
   F1041)</f>
        <v>Eksplorasi menjadi kebiasaan tim yang berjalan tanpa dorongannya.</v>
      </c>
    </row>
    <row r="1042" spans="1:7">
      <c r="A1042" t="str">
        <f t="shared" si="16"/>
        <v>Conceptual Thinking|Division Head|1|1</v>
      </c>
      <c r="B1042" t="str">
        <v>Conceptual Thinking</v>
      </c>
      <c r="C1042" t="str">
        <v>Division Head</v>
      </c>
      <c r="D1042" s="76">
        <v>1</v>
      </c>
      <c r="E1042" t="str" cm="1">
        <f t="array" ref="E1042">INDEX(aspek!$D$2:$D$337,
   MATCH(1,(aspek!$A$2:$A$337=B1042)*
           (aspek!$B$2:$B$337=C1042)*
           (aspek!$C$2:$C$337=D1042),0))</f>
        <v>Kesediaan bergerak tanpa kepastian</v>
      </c>
      <c r="F1042" s="76">
        <v>1</v>
      </c>
      <c r="G1042" s="56" t="str" cm="1">
        <f t="array" ref="G1042">INDEX(deskripsi!$D$2:$H$337,
   MATCH(1,(deskripsi!$A$2:$A$337=B1042)*
           (deskripsi!$B$2:$B$337=C1042)*
           (deskripsi!$C$2:$C$337=D1042),0),
   F1042)</f>
        <v>Pekerjaan berhenti sampai model atau arah jelas.</v>
      </c>
    </row>
    <row r="1043" spans="1:7">
      <c r="A1043" t="str">
        <f t="shared" si="16"/>
        <v>Conceptual Thinking|Division Head|1|2</v>
      </c>
      <c r="B1043" t="str">
        <v>Conceptual Thinking</v>
      </c>
      <c r="C1043" t="str">
        <v>Division Head</v>
      </c>
      <c r="D1043" s="76">
        <v>1</v>
      </c>
      <c r="E1043" t="str" cm="1">
        <f t="array" ref="E1043">INDEX(aspek!$D$2:$D$337,
   MATCH(1,(aspek!$A$2:$A$337=B1043)*
           (aspek!$B$2:$B$337=C1043)*
           (aspek!$C$2:$C$337=D1043),0))</f>
        <v>Kesediaan bergerak tanpa kepastian</v>
      </c>
      <c r="F1043" s="76">
        <v>2</v>
      </c>
      <c r="G1043" s="56" t="str" cm="1">
        <f t="array" ref="G1043">INDEX(deskripsi!$D$2:$H$337,
   MATCH(1,(deskripsi!$A$2:$A$337=B1043)*
           (deskripsi!$B$2:$B$337=C1043)*
           (deskripsi!$C$2:$C$337=D1043),0),
   F1043)</f>
        <v>Bergerak hanya pada bagian yang sudah pasti.</v>
      </c>
    </row>
    <row r="1044" spans="1:7">
      <c r="A1044" t="str">
        <f t="shared" si="16"/>
        <v>Conceptual Thinking|Division Head|1|3</v>
      </c>
      <c r="B1044" t="str">
        <v>Conceptual Thinking</v>
      </c>
      <c r="C1044" t="str">
        <v>Division Head</v>
      </c>
      <c r="D1044" s="76">
        <v>1</v>
      </c>
      <c r="E1044" t="str" cm="1">
        <f t="array" ref="E1044">INDEX(aspek!$D$2:$D$337,
   MATCH(1,(aspek!$A$2:$A$337=B1044)*
           (aspek!$B$2:$B$337=C1044)*
           (aspek!$C$2:$C$337=D1044),0))</f>
        <v>Kesediaan bergerak tanpa kepastian</v>
      </c>
      <c r="F1044" s="76">
        <v>3</v>
      </c>
      <c r="G1044" s="56" t="str" cm="1">
        <f t="array" ref="G1044">INDEX(deskripsi!$D$2:$H$337,
   MATCH(1,(deskripsi!$A$2:$A$337=B1044)*
           (deskripsi!$B$2:$B$337=C1044)*
           (deskripsi!$C$2:$C$337=D1044),0),
   F1044)</f>
        <v>Memutuskan setelah menunggu waktu yang wajar.</v>
      </c>
    </row>
    <row r="1045" spans="1:7" ht="28">
      <c r="A1045" t="str">
        <f t="shared" si="16"/>
        <v>Conceptual Thinking|Division Head|1|4</v>
      </c>
      <c r="B1045" t="str">
        <v>Conceptual Thinking</v>
      </c>
      <c r="C1045" t="str">
        <v>Division Head</v>
      </c>
      <c r="D1045" s="76">
        <v>1</v>
      </c>
      <c r="E1045" t="str" cm="1">
        <f t="array" ref="E1045">INDEX(aspek!$D$2:$D$337,
   MATCH(1,(aspek!$A$2:$A$337=B1045)*
           (aspek!$B$2:$B$337=C1045)*
           (aspek!$C$2:$C$337=D1045),0))</f>
        <v>Kesediaan bergerak tanpa kepastian</v>
      </c>
      <c r="F1045" s="76">
        <v>4</v>
      </c>
      <c r="G1045" s="56" t="str" cm="1">
        <f t="array" ref="G1045">INDEX(deskripsi!$D$2:$H$337,
   MATCH(1,(deskripsi!$A$2:$A$337=B1045)*
           (deskripsi!$B$2:$B$337=C1045)*
           (deskripsi!$C$2:$C$337=D1045),0),
   F1045)</f>
        <v>Menetapkan batas menunggu sendiri, lalu bergerak berdasarkan model yang belum sempurna.</v>
      </c>
    </row>
    <row r="1046" spans="1:7" ht="28">
      <c r="A1046" t="str">
        <f t="shared" si="16"/>
        <v>Conceptual Thinking|Division Head|1|5</v>
      </c>
      <c r="B1046" t="str">
        <v>Conceptual Thinking</v>
      </c>
      <c r="C1046" t="str">
        <v>Division Head</v>
      </c>
      <c r="D1046" s="76">
        <v>1</v>
      </c>
      <c r="E1046" t="str" cm="1">
        <f t="array" ref="E1046">INDEX(aspek!$D$2:$D$337,
   MATCH(1,(aspek!$A$2:$A$337=B1046)*
           (aspek!$B$2:$B$337=C1046)*
           (aspek!$C$2:$C$337=D1046),0))</f>
        <v>Kesediaan bergerak tanpa kepastian</v>
      </c>
      <c r="F1046" s="76">
        <v>5</v>
      </c>
      <c r="G1046" s="56" t="str" cm="1">
        <f t="array" ref="G1046">INDEX(deskripsi!$D$2:$H$337,
   MATCH(1,(deskripsi!$A$2:$A$337=B1046)*
           (deskripsi!$B$2:$B$337=C1046)*
           (deskripsi!$C$2:$C$337=D1046),0),
   F1046)</f>
        <v>Melihat ketidakjelasan sebagai kesempatan bergerak lebih dulu.</v>
      </c>
    </row>
    <row r="1047" spans="1:7">
      <c r="A1047" t="str">
        <f t="shared" si="16"/>
        <v>Conceptual Thinking|Division Head|2|1</v>
      </c>
      <c r="B1047" t="str">
        <v>Conceptual Thinking</v>
      </c>
      <c r="C1047" t="str">
        <v>Division Head</v>
      </c>
      <c r="D1047" s="76">
        <v>2</v>
      </c>
      <c r="E1047" t="str" cm="1">
        <f t="array" ref="E1047">INDEX(aspek!$D$2:$D$337,
   MATCH(1,(aspek!$A$2:$A$337=B1047)*
           (aspek!$B$2:$B$337=C1047)*
           (aspek!$C$2:$C$337=D1047),0))</f>
        <v>Produktivitas kognitif dalam ketidakjelasan</v>
      </c>
      <c r="F1047" s="76">
        <v>1</v>
      </c>
      <c r="G1047" s="56" t="str" cm="1">
        <f t="array" ref="G1047">INDEX(deskripsi!$D$2:$H$337,
   MATCH(1,(deskripsi!$A$2:$A$337=B1047)*
           (deskripsi!$B$2:$B$337=C1047)*
           (deskripsi!$C$2:$C$337=D1047),0),
   F1047)</f>
        <v>Berhenti berpikir jernih saat keadaan membingungkan.</v>
      </c>
    </row>
    <row r="1048" spans="1:7" ht="28">
      <c r="A1048" t="str">
        <f t="shared" si="16"/>
        <v>Conceptual Thinking|Division Head|2|2</v>
      </c>
      <c r="B1048" t="str">
        <v>Conceptual Thinking</v>
      </c>
      <c r="C1048" t="str">
        <v>Division Head</v>
      </c>
      <c r="D1048" s="76">
        <v>2</v>
      </c>
      <c r="E1048" t="str" cm="1">
        <f t="array" ref="E1048">INDEX(aspek!$D$2:$D$337,
   MATCH(1,(aspek!$A$2:$A$337=B1048)*
           (aspek!$B$2:$B$337=C1048)*
           (aspek!$C$2:$C$337=D1048),0))</f>
        <v>Produktivitas kognitif dalam ketidakjelasan</v>
      </c>
      <c r="F1048" s="76">
        <v>2</v>
      </c>
      <c r="G1048" s="56" t="str" cm="1">
        <f t="array" ref="G1048">INDEX(deskripsi!$D$2:$H$337,
   MATCH(1,(deskripsi!$A$2:$A$337=B1048)*
           (deskripsi!$B$2:$B$337=C1048)*
           (deskripsi!$C$2:$C$337=D1048),0),
   F1048)</f>
        <v>Masih berpikir, hanya menghasilkan daftar hal belum diketahui.</v>
      </c>
    </row>
    <row r="1049" spans="1:7" ht="28">
      <c r="A1049" t="str">
        <f t="shared" si="16"/>
        <v>Conceptual Thinking|Division Head|2|3</v>
      </c>
      <c r="B1049" t="str">
        <v>Conceptual Thinking</v>
      </c>
      <c r="C1049" t="str">
        <v>Division Head</v>
      </c>
      <c r="D1049" s="76">
        <v>2</v>
      </c>
      <c r="E1049" t="str" cm="1">
        <f t="array" ref="E1049">INDEX(aspek!$D$2:$D$337,
   MATCH(1,(aspek!$A$2:$A$337=B1049)*
           (aspek!$B$2:$B$337=C1049)*
           (aspek!$C$2:$C$337=D1049),0))</f>
        <v>Produktivitas kognitif dalam ketidakjelasan</v>
      </c>
      <c r="F1049" s="76">
        <v>3</v>
      </c>
      <c r="G1049" s="56" t="str" cm="1">
        <f t="array" ref="G1049">INDEX(deskripsi!$D$2:$H$337,
   MATCH(1,(deskripsi!$A$2:$A$337=B1049)*
           (deskripsi!$B$2:$B$337=C1049)*
           (deskripsi!$C$2:$C$337=D1049),0),
   F1049)</f>
        <v>Menghasilkan model rapi, kesimpulan tetap menunggu validasi.</v>
      </c>
    </row>
    <row r="1050" spans="1:7" ht="28">
      <c r="A1050" t="str">
        <f t="shared" si="16"/>
        <v>Conceptual Thinking|Division Head|2|4</v>
      </c>
      <c r="B1050" t="str">
        <v>Conceptual Thinking</v>
      </c>
      <c r="C1050" t="str">
        <v>Division Head</v>
      </c>
      <c r="D1050" s="76">
        <v>2</v>
      </c>
      <c r="E1050" t="str" cm="1">
        <f t="array" ref="E1050">INDEX(aspek!$D$2:$D$337,
   MATCH(1,(aspek!$A$2:$A$337=B1050)*
           (aspek!$B$2:$B$337=C1050)*
           (aspek!$C$2:$C$337=D1050),0))</f>
        <v>Produktivitas kognitif dalam ketidakjelasan</v>
      </c>
      <c r="F1050" s="76">
        <v>4</v>
      </c>
      <c r="G1050" s="56" t="str" cm="1">
        <f t="array" ref="G1050">INDEX(deskripsi!$D$2:$H$337,
   MATCH(1,(deskripsi!$A$2:$A$337=B1050)*
           (deskripsi!$B$2:$B$337=C1050)*
           (deskripsi!$C$2:$C$337=D1050),0),
   F1050)</f>
        <v>Menghasilkan langkah yang tetap benar apa pun bentuk akhir modelnya.</v>
      </c>
    </row>
    <row r="1051" spans="1:7" ht="28">
      <c r="A1051" t="str">
        <f t="shared" si="16"/>
        <v>Conceptual Thinking|Division Head|2|5</v>
      </c>
      <c r="B1051" t="str">
        <v>Conceptual Thinking</v>
      </c>
      <c r="C1051" t="str">
        <v>Division Head</v>
      </c>
      <c r="D1051" s="76">
        <v>2</v>
      </c>
      <c r="E1051" t="str" cm="1">
        <f t="array" ref="E1051">INDEX(aspek!$D$2:$D$337,
   MATCH(1,(aspek!$A$2:$A$337=B1051)*
           (aspek!$B$2:$B$337=C1051)*
           (aspek!$C$2:$C$337=D1051),0))</f>
        <v>Produktivitas kognitif dalam ketidakjelasan</v>
      </c>
      <c r="F1051" s="76">
        <v>5</v>
      </c>
      <c r="G1051" s="56" t="str" cm="1">
        <f t="array" ref="G1051">INDEX(deskripsi!$D$2:$H$337,
   MATCH(1,(deskripsi!$A$2:$A$337=B1051)*
           (deskripsi!$B$2:$B$337=C1051)*
           (deskripsi!$C$2:$C$337=D1051),0),
   F1051)</f>
        <v>Menemukan peluang yang tidak terlihat ketika model sudah selesai.</v>
      </c>
    </row>
    <row r="1052" spans="1:7">
      <c r="A1052" t="str">
        <f t="shared" si="16"/>
        <v>Conceptual Thinking|Division Head|3|1</v>
      </c>
      <c r="B1052" t="str">
        <v>Conceptual Thinking</v>
      </c>
      <c r="C1052" t="str">
        <v>Division Head</v>
      </c>
      <c r="D1052" s="76">
        <v>3</v>
      </c>
      <c r="E1052" t="str" cm="1">
        <f t="array" ref="E1052">INDEX(aspek!$D$2:$D$337,
   MATCH(1,(aspek!$A$2:$A$337=B1052)*
           (aspek!$B$2:$B$337=C1052)*
           (aspek!$C$2:$C$337=D1052),0))</f>
        <v>Menjaga unit tetap berjalan</v>
      </c>
      <c r="F1052" s="76">
        <v>1</v>
      </c>
      <c r="G1052" s="56" t="str" cm="1">
        <f t="array" ref="G1052">INDEX(deskripsi!$D$2:$H$337,
   MATCH(1,(deskripsi!$A$2:$A$337=B1052)*
           (deskripsi!$B$2:$B$337=C1052)*
           (deskripsi!$C$2:$C$337=D1052),0),
   F1052)</f>
        <v>Unit ikut berhenti ketika model belum selesai.</v>
      </c>
    </row>
    <row r="1053" spans="1:7">
      <c r="A1053" t="str">
        <f t="shared" si="16"/>
        <v>Conceptual Thinking|Division Head|3|2</v>
      </c>
      <c r="B1053" t="str">
        <v>Conceptual Thinking</v>
      </c>
      <c r="C1053" t="str">
        <v>Division Head</v>
      </c>
      <c r="D1053" s="76">
        <v>3</v>
      </c>
      <c r="E1053" t="str" cm="1">
        <f t="array" ref="E1053">INDEX(aspek!$D$2:$D$337,
   MATCH(1,(aspek!$A$2:$A$337=B1053)*
           (aspek!$B$2:$B$337=C1053)*
           (aspek!$C$2:$C$337=D1053),0))</f>
        <v>Menjaga unit tetap berjalan</v>
      </c>
      <c r="F1053" s="76">
        <v>2</v>
      </c>
      <c r="G1053" s="56" t="str" cm="1">
        <f t="array" ref="G1053">INDEX(deskripsi!$D$2:$H$337,
   MATCH(1,(deskripsi!$A$2:$A$337=B1053)*
           (deskripsi!$B$2:$B$337=C1053)*
           (deskripsi!$C$2:$C$337=D1053),0),
   F1053)</f>
        <v>Unit mengerjakan rutinitas, pekerjaan penting tertahan.</v>
      </c>
    </row>
    <row r="1054" spans="1:7">
      <c r="A1054" t="str">
        <f t="shared" si="16"/>
        <v>Conceptual Thinking|Division Head|3|3</v>
      </c>
      <c r="B1054" t="str">
        <v>Conceptual Thinking</v>
      </c>
      <c r="C1054" t="str">
        <v>Division Head</v>
      </c>
      <c r="D1054" s="76">
        <v>3</v>
      </c>
      <c r="E1054" t="str" cm="1">
        <f t="array" ref="E1054">INDEX(aspek!$D$2:$D$337,
   MATCH(1,(aspek!$A$2:$A$337=B1054)*
           (aspek!$B$2:$B$337=C1054)*
           (aspek!$C$2:$C$337=D1054),0))</f>
        <v>Menjaga unit tetap berjalan</v>
      </c>
      <c r="F1054" s="76">
        <v>3</v>
      </c>
      <c r="G1054" s="56" t="str" cm="1">
        <f t="array" ref="G1054">INDEX(deskripsi!$D$2:$H$337,
   MATCH(1,(deskripsi!$A$2:$A$337=B1054)*
           (deskripsi!$B$2:$B$337=C1054)*
           (deskripsi!$C$2:$C$337=D1054),0),
   F1054)</f>
        <v>Unit berjalan karena diberi pekerjaan seadanya.</v>
      </c>
    </row>
    <row r="1055" spans="1:7" ht="28">
      <c r="A1055" t="str">
        <f t="shared" si="16"/>
        <v>Conceptual Thinking|Division Head|3|4</v>
      </c>
      <c r="B1055" t="str">
        <v>Conceptual Thinking</v>
      </c>
      <c r="C1055" t="str">
        <v>Division Head</v>
      </c>
      <c r="D1055" s="76">
        <v>3</v>
      </c>
      <c r="E1055" t="str" cm="1">
        <f t="array" ref="E1055">INDEX(aspek!$D$2:$D$337,
   MATCH(1,(aspek!$A$2:$A$337=B1055)*
           (aspek!$B$2:$B$337=C1055)*
           (aspek!$C$2:$C$337=D1055),0))</f>
        <v>Menjaga unit tetap berjalan</v>
      </c>
      <c r="F1055" s="76">
        <v>4</v>
      </c>
      <c r="G1055" s="56" t="str" cm="1">
        <f t="array" ref="G1055">INDEX(deskripsi!$D$2:$H$337,
   MATCH(1,(deskripsi!$A$2:$A$337=B1055)*
           (deskripsi!$B$2:$B$337=C1055)*
           (deskripsi!$C$2:$C$337=D1055),0),
   F1055)</f>
        <v>Unit tetap menghasilkan pada periode model belum lengkap, disertai penjelasan jujur.</v>
      </c>
    </row>
    <row r="1056" spans="1:7">
      <c r="A1056" t="str">
        <f t="shared" si="16"/>
        <v>Conceptual Thinking|Division Head|3|5</v>
      </c>
      <c r="B1056" t="str">
        <v>Conceptual Thinking</v>
      </c>
      <c r="C1056" t="str">
        <v>Division Head</v>
      </c>
      <c r="D1056" s="76">
        <v>3</v>
      </c>
      <c r="E1056" t="str" cm="1">
        <f t="array" ref="E1056">INDEX(aspek!$D$2:$D$337,
   MATCH(1,(aspek!$A$2:$A$337=B1056)*
           (aspek!$B$2:$B$337=C1056)*
           (aspek!$C$2:$C$337=D1056),0))</f>
        <v>Menjaga unit tetap berjalan</v>
      </c>
      <c r="F1056" s="76">
        <v>5</v>
      </c>
      <c r="G1056" s="56" t="str" cm="1">
        <f t="array" ref="G1056">INDEX(deskripsi!$D$2:$H$337,
   MATCH(1,(deskripsi!$A$2:$A$337=B1056)*
           (deskripsi!$B$2:$B$337=C1056)*
           (deskripsi!$C$2:$C$337=D1056),0),
   F1056)</f>
        <v>Anggota unit menemukan sendiri pekerjaan yang tetap benar.</v>
      </c>
    </row>
    <row r="1057" spans="1:7" ht="28">
      <c r="A1057" t="str">
        <f t="shared" si="16"/>
        <v>Conceptual Thinking|Division Head|4|1</v>
      </c>
      <c r="B1057" t="str">
        <v>Conceptual Thinking</v>
      </c>
      <c r="C1057" t="str">
        <v>Division Head</v>
      </c>
      <c r="D1057" s="76">
        <v>4</v>
      </c>
      <c r="E1057" t="str" cm="1">
        <f t="array" ref="E1057">INDEX(aspek!$D$2:$D$337,
   MATCH(1,(aspek!$A$2:$A$337=B1057)*
           (aspek!$B$2:$B$337=C1057)*
           (aspek!$C$2:$C$337=D1057),0))</f>
        <v>Target melampaui kepastian informasi</v>
      </c>
      <c r="F1057" s="76">
        <v>1</v>
      </c>
      <c r="G1057" s="56" t="str" cm="1">
        <f t="array" ref="G1057">INDEX(deskripsi!$D$2:$H$337,
   MATCH(1,(deskripsi!$A$2:$A$337=B1057)*
           (deskripsi!$B$2:$B$337=C1057)*
           (deskripsi!$C$2:$C$337=D1057),0),
   F1057)</f>
        <v>Menetapkan target hanya setelah seluruh data pendukung lengkap.</v>
      </c>
    </row>
    <row r="1058" spans="1:7" ht="28">
      <c r="A1058" t="str">
        <f t="shared" si="16"/>
        <v>Conceptual Thinking|Division Head|4|2</v>
      </c>
      <c r="B1058" t="str">
        <v>Conceptual Thinking</v>
      </c>
      <c r="C1058" t="str">
        <v>Division Head</v>
      </c>
      <c r="D1058" s="76">
        <v>4</v>
      </c>
      <c r="E1058" t="str" cm="1">
        <f t="array" ref="E1058">INDEX(aspek!$D$2:$D$337,
   MATCH(1,(aspek!$A$2:$A$337=B1058)*
           (aspek!$B$2:$B$337=C1058)*
           (aspek!$C$2:$C$337=D1058),0))</f>
        <v>Target melampaui kepastian informasi</v>
      </c>
      <c r="F1058" s="76">
        <v>2</v>
      </c>
      <c r="G1058" s="56" t="str" cm="1">
        <f t="array" ref="G1058">INDEX(deskripsi!$D$2:$H$337,
   MATCH(1,(deskripsi!$A$2:$A$337=B1058)*
           (deskripsi!$B$2:$B$337=C1058)*
           (deskripsi!$C$2:$C$337=D1058),0),
   F1058)</f>
        <v>Menetapkan target sesuai standar organisasi, tidak melampauinya.</v>
      </c>
    </row>
    <row r="1059" spans="1:7" ht="28">
      <c r="A1059" t="str">
        <f t="shared" si="16"/>
        <v>Conceptual Thinking|Division Head|4|3</v>
      </c>
      <c r="B1059" t="str">
        <v>Conceptual Thinking</v>
      </c>
      <c r="C1059" t="str">
        <v>Division Head</v>
      </c>
      <c r="D1059" s="76">
        <v>4</v>
      </c>
      <c r="E1059" t="str" cm="1">
        <f t="array" ref="E1059">INDEX(aspek!$D$2:$D$337,
   MATCH(1,(aspek!$A$2:$A$337=B1059)*
           (aspek!$B$2:$B$337=C1059)*
           (aspek!$C$2:$C$337=D1059),0))</f>
        <v>Target melampaui kepastian informasi</v>
      </c>
      <c r="F1059" s="76">
        <v>3</v>
      </c>
      <c r="G1059" s="56" t="str" cm="1">
        <f t="array" ref="G1059">INDEX(deskripsi!$D$2:$H$337,
   MATCH(1,(deskripsi!$A$2:$A$337=B1059)*
           (deskripsi!$B$2:$B$337=C1059)*
           (deskripsi!$C$2:$C$337=D1059),0),
   F1059)</f>
        <v>Menetapkan target di atas standar pada area yang sudah familiar.</v>
      </c>
    </row>
    <row r="1060" spans="1:7" ht="42">
      <c r="A1060" t="str">
        <f t="shared" si="16"/>
        <v>Conceptual Thinking|Division Head|4|4</v>
      </c>
      <c r="B1060" t="str">
        <v>Conceptual Thinking</v>
      </c>
      <c r="C1060" t="str">
        <v>Division Head</v>
      </c>
      <c r="D1060" s="76">
        <v>4</v>
      </c>
      <c r="E1060" t="str" cm="1">
        <f t="array" ref="E1060">INDEX(aspek!$D$2:$D$337,
   MATCH(1,(aspek!$A$2:$A$337=B1060)*
           (aspek!$B$2:$B$337=C1060)*
           (aspek!$C$2:$C$337=D1060),0))</f>
        <v>Target melampaui kepastian informasi</v>
      </c>
      <c r="F1060" s="76">
        <v>4</v>
      </c>
      <c r="G1060" s="56" t="str" cm="1">
        <f t="array" ref="G1060">INDEX(deskripsi!$D$2:$H$337,
   MATCH(1,(deskripsi!$A$2:$A$337=B1060)*
           (deskripsi!$B$2:$B$337=C1060)*
           (deskripsi!$C$2:$C$337=D1060),0),
   F1060)</f>
        <v>Menetapkan target unit di atas target organisasi berdasarkan informasi yang tersedia meski belum lengkap, dan menjalankannya.</v>
      </c>
    </row>
    <row r="1061" spans="1:7">
      <c r="A1061" t="str">
        <f t="shared" si="16"/>
        <v>Conceptual Thinking|Division Head|4|5</v>
      </c>
      <c r="B1061" t="str">
        <v>Conceptual Thinking</v>
      </c>
      <c r="C1061" t="str">
        <v>Division Head</v>
      </c>
      <c r="D1061" s="76">
        <v>4</v>
      </c>
      <c r="E1061" t="str" cm="1">
        <f t="array" ref="E1061">INDEX(aspek!$D$2:$D$337,
   MATCH(1,(aspek!$A$2:$A$337=B1061)*
           (aspek!$B$2:$B$337=C1061)*
           (aspek!$C$2:$C$337=D1061),0))</f>
        <v>Target melampaui kepastian informasi</v>
      </c>
      <c r="F1061" s="76">
        <v>5</v>
      </c>
      <c r="G1061" s="56" t="str" cm="1">
        <f t="array" ref="G1061">INDEX(deskripsi!$D$2:$H$337,
   MATCH(1,(deskripsi!$A$2:$A$337=B1061)*
           (deskripsi!$B$2:$B$337=C1061)*
           (deskripsi!$C$2:$C$337=D1061),0),
   F1061)</f>
        <v>Target yang ditetapkan menjadi acuan baru bagi organisasi.</v>
      </c>
    </row>
    <row r="1062" spans="1:7">
      <c r="A1062" t="str">
        <f t="shared" si="16"/>
        <v>Conceptual Thinking|Director|1|1</v>
      </c>
      <c r="B1062" t="str">
        <v>Conceptual Thinking</v>
      </c>
      <c r="C1062" t="str">
        <v>Director</v>
      </c>
      <c r="D1062" s="76">
        <v>1</v>
      </c>
      <c r="E1062" t="str" cm="1">
        <f t="array" ref="E1062">INDEX(aspek!$D$2:$D$337,
   MATCH(1,(aspek!$A$2:$A$337=B1062)*
           (aspek!$B$2:$B$337=C1062)*
           (aspek!$C$2:$C$337=D1062),0))</f>
        <v>Memberi arah saat arah belum ada</v>
      </c>
      <c r="F1062" s="76">
        <v>1</v>
      </c>
      <c r="G1062" s="56" t="str" cm="1">
        <f t="array" ref="G1062">INDEX(deskripsi!$D$2:$H$337,
   MATCH(1,(deskripsi!$A$2:$A$337=B1062)*
           (deskripsi!$B$2:$B$337=C1062)*
           (deskripsi!$C$2:$C$337=D1062),0),
   F1062)</f>
        <v>Ikut menunggu bersama organisasi.</v>
      </c>
    </row>
    <row r="1063" spans="1:7">
      <c r="A1063" t="str">
        <f t="shared" si="16"/>
        <v>Conceptual Thinking|Director|1|2</v>
      </c>
      <c r="B1063" t="str">
        <v>Conceptual Thinking</v>
      </c>
      <c r="C1063" t="str">
        <v>Director</v>
      </c>
      <c r="D1063" s="76">
        <v>1</v>
      </c>
      <c r="E1063" t="str" cm="1">
        <f t="array" ref="E1063">INDEX(aspek!$D$2:$D$337,
   MATCH(1,(aspek!$A$2:$A$337=B1063)*
           (aspek!$B$2:$B$337=C1063)*
           (aspek!$C$2:$C$337=D1063),0))</f>
        <v>Memberi arah saat arah belum ada</v>
      </c>
      <c r="F1063" s="76">
        <v>2</v>
      </c>
      <c r="G1063" s="56" t="str" cm="1">
        <f t="array" ref="G1063">INDEX(deskripsi!$D$2:$H$337,
   MATCH(1,(deskripsi!$A$2:$A$337=B1063)*
           (deskripsi!$B$2:$B$337=C1063)*
           (deskripsi!$C$2:$C$337=D1063),0),
   F1063)</f>
        <v>Meneruskan ketidakjelasan apa adanya.</v>
      </c>
    </row>
    <row r="1064" spans="1:7">
      <c r="A1064" t="str">
        <f t="shared" si="16"/>
        <v>Conceptual Thinking|Director|1|3</v>
      </c>
      <c r="B1064" t="str">
        <v>Conceptual Thinking</v>
      </c>
      <c r="C1064" t="str">
        <v>Director</v>
      </c>
      <c r="D1064" s="76">
        <v>1</v>
      </c>
      <c r="E1064" t="str" cm="1">
        <f t="array" ref="E1064">INDEX(aspek!$D$2:$D$337,
   MATCH(1,(aspek!$A$2:$A$337=B1064)*
           (aspek!$B$2:$B$337=C1064)*
           (aspek!$C$2:$C$337=D1064),0))</f>
        <v>Memberi arah saat arah belum ada</v>
      </c>
      <c r="F1064" s="76">
        <v>3</v>
      </c>
      <c r="G1064" s="56" t="str" cm="1">
        <f t="array" ref="G1064">INDEX(deskripsi!$D$2:$H$337,
   MATCH(1,(deskripsi!$A$2:$A$337=B1064)*
           (deskripsi!$B$2:$B$337=C1064)*
           (deskripsi!$C$2:$C$337=D1064),0),
   F1064)</f>
        <v>Memberi arah setelah kejelasan datang.</v>
      </c>
    </row>
    <row r="1065" spans="1:7" ht="28">
      <c r="A1065" t="str">
        <f t="shared" si="16"/>
        <v>Conceptual Thinking|Director|1|4</v>
      </c>
      <c r="B1065" t="str">
        <v>Conceptual Thinking</v>
      </c>
      <c r="C1065" t="str">
        <v>Director</v>
      </c>
      <c r="D1065" s="76">
        <v>1</v>
      </c>
      <c r="E1065" t="str" cm="1">
        <f t="array" ref="E1065">INDEX(aspek!$D$2:$D$337,
   MATCH(1,(aspek!$A$2:$A$337=B1065)*
           (aspek!$B$2:$B$337=C1065)*
           (aspek!$C$2:$C$337=D1065),0))</f>
        <v>Memberi arah saat arah belum ada</v>
      </c>
      <c r="F1065" s="76">
        <v>4</v>
      </c>
      <c r="G1065" s="56" t="str" cm="1">
        <f t="array" ref="G1065">INDEX(deskripsi!$D$2:$H$337,
   MATCH(1,(deskripsi!$A$2:$A$337=B1065)*
           (deskripsi!$B$2:$B$337=C1065)*
           (deskripsi!$C$2:$C$337=D1065),0),
   F1065)</f>
        <v>Memberi arah SEBELUM kejelasan datang, jujur tentang yang belum pasti.</v>
      </c>
    </row>
    <row r="1066" spans="1:7" ht="28">
      <c r="A1066" t="str">
        <f t="shared" si="16"/>
        <v>Conceptual Thinking|Director|1|5</v>
      </c>
      <c r="B1066" t="str">
        <v>Conceptual Thinking</v>
      </c>
      <c r="C1066" t="str">
        <v>Director</v>
      </c>
      <c r="D1066" s="76">
        <v>1</v>
      </c>
      <c r="E1066" t="str" cm="1">
        <f t="array" ref="E1066">INDEX(aspek!$D$2:$D$337,
   MATCH(1,(aspek!$A$2:$A$337=B1066)*
           (aspek!$B$2:$B$337=C1066)*
           (aspek!$C$2:$C$337=D1066),0))</f>
        <v>Memberi arah saat arah belum ada</v>
      </c>
      <c r="F1066" s="76">
        <v>5</v>
      </c>
      <c r="G1066" s="56" t="str" cm="1">
        <f t="array" ref="G1066">INDEX(deskripsi!$D$2:$H$337,
   MATCH(1,(deskripsi!$A$2:$A$337=B1066)*
           (deskripsi!$B$2:$B$337=C1066)*
           (deskripsi!$C$2:$C$337=D1066),0),
   F1066)</f>
        <v>Fungsi-fungsi menentukan sendiri pekerjaan yang tetap benar tanpa menunggu arahan.</v>
      </c>
    </row>
    <row r="1067" spans="1:7">
      <c r="A1067" t="str">
        <f t="shared" si="16"/>
        <v>Conceptual Thinking|Director|2|1</v>
      </c>
      <c r="B1067" t="str">
        <v>Conceptual Thinking</v>
      </c>
      <c r="C1067" t="str">
        <v>Director</v>
      </c>
      <c r="D1067" s="76">
        <v>2</v>
      </c>
      <c r="E1067" t="str" cm="1">
        <f t="array" ref="E1067">INDEX(aspek!$D$2:$D$337,
   MATCH(1,(aspek!$A$2:$A$337=B1067)*
           (aspek!$B$2:$B$337=C1067)*
           (aspek!$C$2:$C$337=D1067),0))</f>
        <v>Menciptakan dan menggerakkan cara pandang baru</v>
      </c>
      <c r="F1067" s="76">
        <v>1</v>
      </c>
      <c r="G1067" s="56" t="str" cm="1">
        <f t="array" ref="G1067">INDEX(deskripsi!$D$2:$H$337,
   MATCH(1,(deskripsi!$A$2:$A$337=B1067)*
           (deskripsi!$B$2:$B$337=C1067)*
           (deskripsi!$C$2:$C$337=D1067),0),
   F1067)</f>
        <v>Tidak pernah mempertanyakan cara pandang yang berlaku.</v>
      </c>
    </row>
    <row r="1068" spans="1:7">
      <c r="A1068" t="str">
        <f t="shared" si="16"/>
        <v>Conceptual Thinking|Director|2|2</v>
      </c>
      <c r="B1068" t="str">
        <v>Conceptual Thinking</v>
      </c>
      <c r="C1068" t="str">
        <v>Director</v>
      </c>
      <c r="D1068" s="76">
        <v>2</v>
      </c>
      <c r="E1068" t="str" cm="1">
        <f t="array" ref="E1068">INDEX(aspek!$D$2:$D$337,
   MATCH(1,(aspek!$A$2:$A$337=B1068)*
           (aspek!$B$2:$B$337=C1068)*
           (aspek!$C$2:$C$337=D1068),0))</f>
        <v>Menciptakan dan menggerakkan cara pandang baru</v>
      </c>
      <c r="F1068" s="76">
        <v>2</v>
      </c>
      <c r="G1068" s="56" t="str" cm="1">
        <f t="array" ref="G1068">INDEX(deskripsi!$D$2:$H$337,
   MATCH(1,(deskripsi!$A$2:$A$337=B1068)*
           (deskripsi!$B$2:$B$337=C1068)*
           (deskripsi!$C$2:$C$337=D1068),0),
   F1068)</f>
        <v>Mempertanyakan cara pandang, tidak mengusulkan alternatif.</v>
      </c>
    </row>
    <row r="1069" spans="1:7">
      <c r="A1069" t="str">
        <f t="shared" si="16"/>
        <v>Conceptual Thinking|Director|2|3</v>
      </c>
      <c r="B1069" t="str">
        <v>Conceptual Thinking</v>
      </c>
      <c r="C1069" t="str">
        <v>Director</v>
      </c>
      <c r="D1069" s="76">
        <v>2</v>
      </c>
      <c r="E1069" t="str" cm="1">
        <f t="array" ref="E1069">INDEX(aspek!$D$2:$D$337,
   MATCH(1,(aspek!$A$2:$A$337=B1069)*
           (aspek!$B$2:$B$337=C1069)*
           (aspek!$C$2:$C$337=D1069),0))</f>
        <v>Menciptakan dan menggerakkan cara pandang baru</v>
      </c>
      <c r="F1069" s="76">
        <v>3</v>
      </c>
      <c r="G1069" s="56" t="str" cm="1">
        <f t="array" ref="G1069">INDEX(deskripsi!$D$2:$H$337,
   MATCH(1,(deskripsi!$A$2:$A$337=B1069)*
           (deskripsi!$B$2:$B$337=C1069)*
           (deskripsi!$C$2:$C$337=D1069),0),
   F1069)</f>
        <v>Mengusulkan cara pandang baru, berhenti sebagai wacana.</v>
      </c>
    </row>
    <row r="1070" spans="1:7" ht="28">
      <c r="A1070" t="str">
        <f t="shared" si="16"/>
        <v>Conceptual Thinking|Director|2|4</v>
      </c>
      <c r="B1070" t="str">
        <v>Conceptual Thinking</v>
      </c>
      <c r="C1070" t="str">
        <v>Director</v>
      </c>
      <c r="D1070" s="76">
        <v>2</v>
      </c>
      <c r="E1070" t="str" cm="1">
        <f t="array" ref="E1070">INDEX(aspek!$D$2:$D$337,
   MATCH(1,(aspek!$A$2:$A$337=B1070)*
           (aspek!$B$2:$B$337=C1070)*
           (aspek!$C$2:$C$337=D1070),0))</f>
        <v>Menciptakan dan menggerakkan cara pandang baru</v>
      </c>
      <c r="F1070" s="76">
        <v>4</v>
      </c>
      <c r="G1070" s="56" t="str" cm="1">
        <f t="array" ref="G1070">INDEX(deskripsi!$D$2:$H$337,
   MATCH(1,(deskripsi!$A$2:$A$337=B1070)*
           (deskripsi!$B$2:$B$337=C1070)*
           (deskripsi!$C$2:$C$337=D1070),0),
   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76">
        <v>2</v>
      </c>
      <c r="E1071" t="str" cm="1">
        <f t="array" ref="E1071">INDEX(aspek!$D$2:$D$337,
   MATCH(1,(aspek!$A$2:$A$337=B1071)*
           (aspek!$B$2:$B$337=C1071)*
           (aspek!$C$2:$C$337=D1071),0))</f>
        <v>Menciptakan dan menggerakkan cara pandang baru</v>
      </c>
      <c r="F1071" s="76">
        <v>5</v>
      </c>
      <c r="G1071" s="56" t="str" cm="1">
        <f t="array" ref="G1071">INDEX(deskripsi!$D$2:$H$337,
   MATCH(1,(deskripsi!$A$2:$A$337=B1071)*
           (deskripsi!$B$2:$B$337=C1071)*
           (deskripsi!$C$2:$C$337=D1071),0),
   F1071)</f>
        <v>Cara pandangnya mengubah cara organisasi bersaing secara berkelanjutan.</v>
      </c>
    </row>
    <row r="1072" spans="1:7">
      <c r="A1072" t="str">
        <f t="shared" si="16"/>
        <v>Conceptual Thinking|Director|3|1</v>
      </c>
      <c r="B1072" t="str">
        <v>Conceptual Thinking</v>
      </c>
      <c r="C1072" t="str">
        <v>Director</v>
      </c>
      <c r="D1072" s="76">
        <v>3</v>
      </c>
      <c r="E1072" t="str" cm="1">
        <f t="array" ref="E1072">INDEX(aspek!$D$2:$D$337,
   MATCH(1,(aspek!$A$2:$A$337=B1072)*
           (aspek!$B$2:$B$337=C1072)*
           (aspek!$C$2:$C$337=D1072),0))</f>
        <v>Mengubah ketidakpastian menjadi peluang strategis</v>
      </c>
      <c r="F1072" s="76">
        <v>1</v>
      </c>
      <c r="G1072" s="56" t="str" cm="1">
        <f t="array" ref="G1072">INDEX(deskripsi!$D$2:$H$337,
   MATCH(1,(deskripsi!$A$2:$A$337=B1072)*
           (deskripsi!$B$2:$B$337=C1072)*
           (deskripsi!$C$2:$C$337=D1072),0),
   F1072)</f>
        <v>Membaca ketidakpastian hanya sebagai risiko.</v>
      </c>
    </row>
    <row r="1073" spans="1:7">
      <c r="A1073" t="str">
        <f t="shared" si="16"/>
        <v>Conceptual Thinking|Director|3|2</v>
      </c>
      <c r="B1073" t="str">
        <v>Conceptual Thinking</v>
      </c>
      <c r="C1073" t="str">
        <v>Director</v>
      </c>
      <c r="D1073" s="76">
        <v>3</v>
      </c>
      <c r="E1073" t="str" cm="1">
        <f t="array" ref="E1073">INDEX(aspek!$D$2:$D$337,
   MATCH(1,(aspek!$A$2:$A$337=B1073)*
           (aspek!$B$2:$B$337=C1073)*
           (aspek!$C$2:$C$337=D1073),0))</f>
        <v>Mengubah ketidakpastian menjadi peluang strategis</v>
      </c>
      <c r="F1073" s="76">
        <v>2</v>
      </c>
      <c r="G1073" s="56" t="str" cm="1">
        <f t="array" ref="G1073">INDEX(deskripsi!$D$2:$H$337,
   MATCH(1,(deskripsi!$A$2:$A$337=B1073)*
           (deskripsi!$B$2:$B$337=C1073)*
           (deskripsi!$C$2:$C$337=D1073),0),
   F1073)</f>
        <v>Menyusun mitigasi, tidak melihat kemungkinan.</v>
      </c>
    </row>
    <row r="1074" spans="1:7">
      <c r="A1074" t="str">
        <f t="shared" si="16"/>
        <v>Conceptual Thinking|Director|3|3</v>
      </c>
      <c r="B1074" t="str">
        <v>Conceptual Thinking</v>
      </c>
      <c r="C1074" t="str">
        <v>Director</v>
      </c>
      <c r="D1074" s="76">
        <v>3</v>
      </c>
      <c r="E1074" t="str" cm="1">
        <f t="array" ref="E1074">INDEX(aspek!$D$2:$D$337,
   MATCH(1,(aspek!$A$2:$A$337=B1074)*
           (aspek!$B$2:$B$337=C1074)*
           (aspek!$C$2:$C$337=D1074),0))</f>
        <v>Mengubah ketidakpastian menjadi peluang strategis</v>
      </c>
      <c r="F1074" s="76">
        <v>3</v>
      </c>
      <c r="G1074" s="56" t="str" cm="1">
        <f t="array" ref="G1074">INDEX(deskripsi!$D$2:$H$337,
   MATCH(1,(deskripsi!$A$2:$A$337=B1074)*
           (deskripsi!$B$2:$B$337=C1074)*
           (deskripsi!$C$2:$C$337=D1074),0),
   F1074)</f>
        <v>Mengenali peluang, tidak menindaklanjuti.</v>
      </c>
    </row>
    <row r="1075" spans="1:7" ht="28">
      <c r="A1075" t="str">
        <f t="shared" si="16"/>
        <v>Conceptual Thinking|Director|3|4</v>
      </c>
      <c r="B1075" t="str">
        <v>Conceptual Thinking</v>
      </c>
      <c r="C1075" t="str">
        <v>Director</v>
      </c>
      <c r="D1075" s="76">
        <v>3</v>
      </c>
      <c r="E1075" t="str" cm="1">
        <f t="array" ref="E1075">INDEX(aspek!$D$2:$D$337,
   MATCH(1,(aspek!$A$2:$A$337=B1075)*
           (aspek!$B$2:$B$337=C1075)*
           (aspek!$C$2:$C$337=D1075),0))</f>
        <v>Mengubah ketidakpastian menjadi peluang strategis</v>
      </c>
      <c r="F1075" s="76">
        <v>4</v>
      </c>
      <c r="G1075" s="56" t="str" cm="1">
        <f t="array" ref="G1075">INDEX(deskripsi!$D$2:$H$337,
   MATCH(1,(deskripsi!$A$2:$A$337=B1075)*
           (deskripsi!$B$2:$B$337=C1075)*
           (deskripsi!$C$2:$C$337=D1075),0),
   F1075)</f>
        <v>Merumuskan peluang strategis dan menggerakkan pihak lain menjalankan langkah pertamanya.</v>
      </c>
    </row>
    <row r="1076" spans="1:7" ht="28">
      <c r="A1076" t="str">
        <f t="shared" si="16"/>
        <v>Conceptual Thinking|Director|3|5</v>
      </c>
      <c r="B1076" t="str">
        <v>Conceptual Thinking</v>
      </c>
      <c r="C1076" t="str">
        <v>Director</v>
      </c>
      <c r="D1076" s="76">
        <v>3</v>
      </c>
      <c r="E1076" t="str" cm="1">
        <f t="array" ref="E1076">INDEX(aspek!$D$2:$D$337,
   MATCH(1,(aspek!$A$2:$A$337=B1076)*
           (aspek!$B$2:$B$337=C1076)*
           (aspek!$C$2:$C$337=D1076),0))</f>
        <v>Mengubah ketidakpastian menjadi peluang strategis</v>
      </c>
      <c r="F1076" s="76">
        <v>5</v>
      </c>
      <c r="G1076" s="56" t="str" cm="1">
        <f t="array" ref="G1076">INDEX(deskripsi!$D$2:$H$337,
   MATCH(1,(deskripsi!$A$2:$A$337=B1076)*
           (deskripsi!$B$2:$B$337=C1076)*
           (deskripsi!$C$2:$C$337=D1076),0),
   F1076)</f>
        <v>Organisasi memperoleh posisi lebih baik justru karena ketidakpastian itu.</v>
      </c>
    </row>
    <row r="1077" spans="1:7">
      <c r="A1077" t="str">
        <f t="shared" si="16"/>
        <v>Conceptual Thinking|Director|4|1</v>
      </c>
      <c r="B1077" t="str">
        <v>Conceptual Thinking</v>
      </c>
      <c r="C1077" t="str">
        <v>Director</v>
      </c>
      <c r="D1077" s="76">
        <v>4</v>
      </c>
      <c r="E1077" t="str" cm="1">
        <f t="array" ref="E1077">INDEX(aspek!$D$2:$D$337,
   MATCH(1,(aspek!$A$2:$A$337=B1077)*
           (aspek!$B$2:$B$337=C1077)*
           (aspek!$C$2:$C$337=D1077),0))</f>
        <v>Mengarahkan keputusan lintas fungsi</v>
      </c>
      <c r="F1077" s="76">
        <v>1</v>
      </c>
      <c r="G1077" s="56" t="str" cm="1">
        <f t="array" ref="G1077">INDEX(deskripsi!$D$2:$H$337,
   MATCH(1,(deskripsi!$A$2:$A$337=B1077)*
           (deskripsi!$B$2:$B$337=C1077)*
           (deskripsi!$C$2:$C$337=D1077),0),
   F1077)</f>
        <v>Membiarkan setiap fungsi memutuskan sendiri tanpa arahan.</v>
      </c>
    </row>
    <row r="1078" spans="1:7">
      <c r="A1078" t="str">
        <f t="shared" si="16"/>
        <v>Conceptual Thinking|Director|4|2</v>
      </c>
      <c r="B1078" t="str">
        <v>Conceptual Thinking</v>
      </c>
      <c r="C1078" t="str">
        <v>Director</v>
      </c>
      <c r="D1078" s="76">
        <v>4</v>
      </c>
      <c r="E1078" t="str" cm="1">
        <f t="array" ref="E1078">INDEX(aspek!$D$2:$D$337,
   MATCH(1,(aspek!$A$2:$A$337=B1078)*
           (aspek!$B$2:$B$337=C1078)*
           (aspek!$C$2:$C$337=D1078),0))</f>
        <v>Mengarahkan keputusan lintas fungsi</v>
      </c>
      <c r="F1078" s="76">
        <v>2</v>
      </c>
      <c r="G1078" s="56" t="str" cm="1">
        <f t="array" ref="G1078">INDEX(deskripsi!$D$2:$H$337,
   MATCH(1,(deskripsi!$A$2:$A$337=B1078)*
           (deskripsi!$B$2:$B$337=C1078)*
           (deskripsi!$C$2:$C$337=D1078),0),
   F1078)</f>
        <v>Mengarahkan hanya fungsinya sendiri.</v>
      </c>
    </row>
    <row r="1079" spans="1:7" ht="28">
      <c r="A1079" t="str">
        <f t="shared" si="16"/>
        <v>Conceptual Thinking|Director|4|3</v>
      </c>
      <c r="B1079" t="str">
        <v>Conceptual Thinking</v>
      </c>
      <c r="C1079" t="str">
        <v>Director</v>
      </c>
      <c r="D1079" s="76">
        <v>4</v>
      </c>
      <c r="E1079" t="str" cm="1">
        <f t="array" ref="E1079">INDEX(aspek!$D$2:$D$337,
   MATCH(1,(aspek!$A$2:$A$337=B1079)*
           (aspek!$B$2:$B$337=C1079)*
           (aspek!$C$2:$C$337=D1079),0))</f>
        <v>Mengarahkan keputusan lintas fungsi</v>
      </c>
      <c r="F1079" s="76">
        <v>3</v>
      </c>
      <c r="G1079" s="56" t="str" cm="1">
        <f t="array" ref="G1079">INDEX(deskripsi!$D$2:$H$337,
   MATCH(1,(deskripsi!$A$2:$A$337=B1079)*
           (deskripsi!$B$2:$B$337=C1079)*
           (deskripsi!$C$2:$C$337=D1079),0),
   F1079)</f>
        <v>Mengarahkan lintas fungsi pada keputusan yang informasinya lengkap.</v>
      </c>
    </row>
    <row r="1080" spans="1:7" ht="42">
      <c r="A1080" t="str">
        <f t="shared" si="16"/>
        <v>Conceptual Thinking|Director|4|4</v>
      </c>
      <c r="B1080" t="str">
        <v>Conceptual Thinking</v>
      </c>
      <c r="C1080" t="str">
        <v>Director</v>
      </c>
      <c r="D1080" s="76">
        <v>4</v>
      </c>
      <c r="E1080" t="str" cm="1">
        <f t="array" ref="E1080">INDEX(aspek!$D$2:$D$337,
   MATCH(1,(aspek!$A$2:$A$337=B1080)*
           (aspek!$B$2:$B$337=C1080)*
           (aspek!$C$2:$C$337=D1080),0))</f>
        <v>Mengarahkan keputusan lintas fungsi</v>
      </c>
      <c r="F1080" s="76">
        <v>4</v>
      </c>
      <c r="G1080" s="56" t="str" cm="1">
        <f t="array" ref="G1080">INDEX(deskripsi!$D$2:$H$337,
   MATCH(1,(deskripsi!$A$2:$A$337=B1080)*
           (deskripsi!$B$2:$B$337=C1080)*
           (deskripsi!$C$2:$C$337=D1080),0),
   F1080)</f>
        <v>Mengarahkan dan menyelaraskan keputusan lintas fungsi meski informasi terbatas, dengan mempertimbangkan risiko dan implikasi jangka panjang.</v>
      </c>
    </row>
    <row r="1081" spans="1:7" ht="28">
      <c r="A1081" t="str">
        <f t="shared" si="16"/>
        <v>Conceptual Thinking|Director|4|5</v>
      </c>
      <c r="B1081" t="str">
        <v>Conceptual Thinking</v>
      </c>
      <c r="C1081" t="str">
        <v>Director</v>
      </c>
      <c r="D1081" s="76">
        <v>4</v>
      </c>
      <c r="E1081" t="str" cm="1">
        <f t="array" ref="E1081">INDEX(aspek!$D$2:$D$337,
   MATCH(1,(aspek!$A$2:$A$337=B1081)*
           (aspek!$B$2:$B$337=C1081)*
           (aspek!$C$2:$C$337=D1081),0))</f>
        <v>Mengarahkan keputusan lintas fungsi</v>
      </c>
      <c r="F1081" s="76">
        <v>5</v>
      </c>
      <c r="G1081" s="56" t="str" cm="1">
        <f t="array" ref="G1081">INDEX(deskripsi!$D$2:$H$337,
   MATCH(1,(deskripsi!$A$2:$A$337=B1081)*
           (deskripsi!$B$2:$B$337=C1081)*
           (deskripsi!$C$2:$C$337=D1081),0),
   F1081)</f>
        <v>Menjadi rujukan cara mengambil keputusan strategis pada ketidakpastian tinggi bagi organisasi.</v>
      </c>
    </row>
    <row r="1082" spans="1:7" ht="28">
      <c r="A1082" t="str">
        <f t="shared" si="16"/>
        <v>Leadership|Officer|1|1</v>
      </c>
      <c r="B1082" t="str">
        <v>Leadership</v>
      </c>
      <c r="C1082" t="str">
        <v>Officer</v>
      </c>
      <c r="D1082" s="76">
        <v>1</v>
      </c>
      <c r="E1082" t="str" cm="1">
        <f t="array" ref="E1082">INDEX(aspek!$D$2:$D$337,
   MATCH(1,(aspek!$A$2:$A$337=B1082)*
           (aspek!$B$2:$B$337=C1082)*
           (aspek!$C$2:$C$337=D1082),0))</f>
        <v>Jarak antara melihat dan bertindak</v>
      </c>
      <c r="F1082" s="76">
        <v>1</v>
      </c>
      <c r="G1082" s="56" t="str" cm="1">
        <f t="array" ref="G1082">INDEX(deskripsi!$D$2:$H$337,
   MATCH(1,(deskripsi!$A$2:$A$337=B1082)*
           (deskripsi!$B$2:$B$337=C1082)*
           (deskripsi!$C$2:$C$337=D1082),0),
   F1082)</f>
        <v>Menunggu instruksi eksplisit sebelum mengambil peran memimpin.</v>
      </c>
    </row>
    <row r="1083" spans="1:7" ht="28">
      <c r="A1083" t="str">
        <f t="shared" si="16"/>
        <v>Leadership|Officer|1|2</v>
      </c>
      <c r="B1083" t="str">
        <v>Leadership</v>
      </c>
      <c r="C1083" t="str">
        <v>Officer</v>
      </c>
      <c r="D1083" s="76">
        <v>1</v>
      </c>
      <c r="E1083" t="str" cm="1">
        <f t="array" ref="E1083">INDEX(aspek!$D$2:$D$337,
   MATCH(1,(aspek!$A$2:$A$337=B1083)*
           (aspek!$B$2:$B$337=C1083)*
           (aspek!$C$2:$C$337=D1083),0))</f>
        <v>Jarak antara melihat dan bertindak</v>
      </c>
      <c r="F1083" s="76">
        <v>2</v>
      </c>
      <c r="G1083" s="56" t="str" cm="1">
        <f t="array" ref="G1083">INDEX(deskripsi!$D$2:$H$337,
   MATCH(1,(deskripsi!$A$2:$A$337=B1083)*
           (deskripsi!$B$2:$B$337=C1083)*
           (deskripsi!$C$2:$C$337=D1083),0),
   F1083)</f>
        <v>Melihat kebutuhan, tetapi menunggu persetujuan atau penunjukan.</v>
      </c>
    </row>
    <row r="1084" spans="1:7" ht="28">
      <c r="A1084" t="str">
        <f t="shared" si="16"/>
        <v>Leadership|Officer|1|3</v>
      </c>
      <c r="B1084" t="str">
        <v>Leadership</v>
      </c>
      <c r="C1084" t="str">
        <v>Officer</v>
      </c>
      <c r="D1084" s="76">
        <v>1</v>
      </c>
      <c r="E1084" t="str" cm="1">
        <f t="array" ref="E1084">INDEX(aspek!$D$2:$D$337,
   MATCH(1,(aspek!$A$2:$A$337=B1084)*
           (aspek!$B$2:$B$337=C1084)*
           (aspek!$C$2:$C$337=D1084),0))</f>
        <v>Jarak antara melihat dan bertindak</v>
      </c>
      <c r="F1084" s="76">
        <v>3</v>
      </c>
      <c r="G1084" s="56" t="str" cm="1">
        <f t="array" ref="G1084">INDEX(deskripsi!$D$2:$H$337,
   MATCH(1,(deskripsi!$A$2:$A$337=B1084)*
           (deskripsi!$B$2:$B$337=C1084)*
           (deskripsi!$C$2:$C$337=D1084),0),
   F1084)</f>
        <v>Berinisiatif mengambil peran memimpin dalam area kerjanya sendiri.</v>
      </c>
    </row>
    <row r="1085" spans="1:7" ht="28">
      <c r="A1085" t="str">
        <f t="shared" si="16"/>
        <v>Leadership|Officer|1|4</v>
      </c>
      <c r="B1085" t="str">
        <v>Leadership</v>
      </c>
      <c r="C1085" t="str">
        <v>Officer</v>
      </c>
      <c r="D1085" s="76">
        <v>1</v>
      </c>
      <c r="E1085" t="str" cm="1">
        <f t="array" ref="E1085">INDEX(aspek!$D$2:$D$337,
   MATCH(1,(aspek!$A$2:$A$337=B1085)*
           (aspek!$B$2:$B$337=C1085)*
           (aspek!$C$2:$C$337=D1085),0))</f>
        <v>Jarak antara melihat dan bertindak</v>
      </c>
      <c r="F1085" s="76">
        <v>4</v>
      </c>
      <c r="G1085" s="56" t="str" cm="1">
        <f t="array" ref="G1085">INDEX(deskripsi!$D$2:$H$337,
   MATCH(1,(deskripsi!$A$2:$A$337=B1085)*
           (deskripsi!$B$2:$B$337=C1085)*
           (deskripsi!$C$2:$C$337=D1085),0),
   F1085)</f>
        <v>Mengambil peran memimpin sebelum masalah berdampak, mengantisipasi kebutuhan lebih awal.</v>
      </c>
    </row>
    <row r="1086" spans="1:7">
      <c r="A1086" t="str">
        <f t="shared" si="16"/>
        <v>Leadership|Officer|1|5</v>
      </c>
      <c r="B1086" t="str">
        <v>Leadership</v>
      </c>
      <c r="C1086" t="str">
        <v>Officer</v>
      </c>
      <c r="D1086" s="76">
        <v>1</v>
      </c>
      <c r="E1086" t="str" cm="1">
        <f t="array" ref="E1086">INDEX(aspek!$D$2:$D$337,
   MATCH(1,(aspek!$A$2:$A$337=B1086)*
           (aspek!$B$2:$B$337=C1086)*
           (aspek!$C$2:$C$337=D1086),0))</f>
        <v>Jarak antara melihat dan bertindak</v>
      </c>
      <c r="F1086" s="76">
        <v>5</v>
      </c>
      <c r="G1086" s="56" t="str" cm="1">
        <f t="array" ref="G1086">INDEX(deskripsi!$D$2:$H$337,
   MATCH(1,(deskripsi!$A$2:$A$337=B1086)*
           (deskripsi!$B$2:$B$337=C1086)*
           (deskripsi!$C$2:$C$337=D1086),0),
   F1086)</f>
        <v>Menggerakkan orang lain untuk juga berinisiatif memimpin.</v>
      </c>
    </row>
    <row r="1087" spans="1:7">
      <c r="A1087" t="str">
        <f t="shared" si="16"/>
        <v>Leadership|Officer|2|1</v>
      </c>
      <c r="B1087" t="str">
        <v>Leadership</v>
      </c>
      <c r="C1087" t="str">
        <v>Officer</v>
      </c>
      <c r="D1087" s="76">
        <v>2</v>
      </c>
      <c r="E1087" t="str" cm="1">
        <f t="array" ref="E1087">INDEX(aspek!$D$2:$D$337,
   MATCH(1,(aspek!$A$2:$A$337=B1087)*
           (aspek!$B$2:$B$337=C1087)*
           (aspek!$C$2:$C$337=D1087),0))</f>
        <v>Kemandirian memulai</v>
      </c>
      <c r="F1087" s="76">
        <v>1</v>
      </c>
      <c r="G1087" s="56" t="str" cm="1">
        <f t="array" ref="G1087">INDEX(deskripsi!$D$2:$H$337,
   MATCH(1,(deskripsi!$A$2:$A$337=B1087)*
           (deskripsi!$B$2:$B$337=C1087)*
           (deskripsi!$C$2:$C$337=D1087),0),
   F1087)</f>
        <v>Tidak memulai peran memimpin tanpa arahan.</v>
      </c>
    </row>
    <row r="1088" spans="1:7">
      <c r="A1088" t="str">
        <f t="shared" si="16"/>
        <v>Leadership|Officer|2|2</v>
      </c>
      <c r="B1088" t="str">
        <v>Leadership</v>
      </c>
      <c r="C1088" t="str">
        <v>Officer</v>
      </c>
      <c r="D1088" s="76">
        <v>2</v>
      </c>
      <c r="E1088" t="str" cm="1">
        <f t="array" ref="E1088">INDEX(aspek!$D$2:$D$337,
   MATCH(1,(aspek!$A$2:$A$337=B1088)*
           (aspek!$B$2:$B$337=C1088)*
           (aspek!$C$2:$C$337=D1088),0))</f>
        <v>Kemandirian memulai</v>
      </c>
      <c r="F1088" s="76">
        <v>2</v>
      </c>
      <c r="G1088" s="56" t="str" cm="1">
        <f t="array" ref="G1088">INDEX(deskripsi!$D$2:$H$337,
   MATCH(1,(deskripsi!$A$2:$A$337=B1088)*
           (deskripsi!$B$2:$B$337=C1088)*
           (deskripsi!$C$2:$C$337=D1088),0),
   F1088)</f>
        <v>Memulai hanya setelah diyakinkan atau ditunjuk.</v>
      </c>
    </row>
    <row r="1089" spans="1:7">
      <c r="A1089" t="str">
        <f t="shared" si="16"/>
        <v>Leadership|Officer|2|3</v>
      </c>
      <c r="B1089" t="str">
        <v>Leadership</v>
      </c>
      <c r="C1089" t="str">
        <v>Officer</v>
      </c>
      <c r="D1089" s="76">
        <v>2</v>
      </c>
      <c r="E1089" t="str" cm="1">
        <f t="array" ref="E1089">INDEX(aspek!$D$2:$D$337,
   MATCH(1,(aspek!$A$2:$A$337=B1089)*
           (aspek!$B$2:$B$337=C1089)*
           (aspek!$C$2:$C$337=D1089),0))</f>
        <v>Kemandirian memulai</v>
      </c>
      <c r="F1089" s="76">
        <v>3</v>
      </c>
      <c r="G1089" s="56" t="str" cm="1">
        <f t="array" ref="G1089">INDEX(deskripsi!$D$2:$H$337,
   MATCH(1,(deskripsi!$A$2:$A$337=B1089)*
           (deskripsi!$B$2:$B$337=C1089)*
           (deskripsi!$C$2:$C$337=D1089),0),
   F1089)</f>
        <v>Memulai sendiri pada situasi yang familiar.</v>
      </c>
    </row>
    <row r="1090" spans="1:7">
      <c r="A1090" t="str">
        <f t="shared" si="16"/>
        <v>Leadership|Officer|2|4</v>
      </c>
      <c r="B1090" t="str">
        <v>Leadership</v>
      </c>
      <c r="C1090" t="str">
        <v>Officer</v>
      </c>
      <c r="D1090" s="76">
        <v>2</v>
      </c>
      <c r="E1090" t="str" cm="1">
        <f t="array" ref="E1090">INDEX(aspek!$D$2:$D$337,
   MATCH(1,(aspek!$A$2:$A$337=B1090)*
           (aspek!$B$2:$B$337=C1090)*
           (aspek!$C$2:$C$337=D1090),0))</f>
        <v>Kemandirian memulai</v>
      </c>
      <c r="F1090" s="76">
        <v>4</v>
      </c>
      <c r="G1090" s="56" t="str" cm="1">
        <f t="array" ref="G1090">INDEX(deskripsi!$D$2:$H$337,
   MATCH(1,(deskripsi!$A$2:$A$337=B1090)*
           (deskripsi!$B$2:$B$337=C1090)*
           (deskripsi!$C$2:$C$337=D1090),0),
   F1090)</f>
        <v>Memulai sendiri pada situasi baru yang belum familiar.</v>
      </c>
    </row>
    <row r="1091" spans="1:7" ht="28">
      <c r="A1091" t="str">
        <f t="shared" ref="A1091:A1154" si="17">B1091&amp;"|"&amp;C1091&amp;"|"&amp;D1091&amp;"|"&amp;F1091</f>
        <v>Leadership|Officer|2|5</v>
      </c>
      <c r="B1091" t="str">
        <v>Leadership</v>
      </c>
      <c r="C1091" t="str">
        <v>Officer</v>
      </c>
      <c r="D1091" s="76">
        <v>2</v>
      </c>
      <c r="E1091" t="str" cm="1">
        <f t="array" ref="E1091">INDEX(aspek!$D$2:$D$337,
   MATCH(1,(aspek!$A$2:$A$337=B1091)*
           (aspek!$B$2:$B$337=C1091)*
           (aspek!$C$2:$C$337=D1091),0))</f>
        <v>Kemandirian memulai</v>
      </c>
      <c r="F1091" s="76">
        <v>5</v>
      </c>
      <c r="G1091" s="56" t="str" cm="1">
        <f t="array" ref="G1091">INDEX(deskripsi!$D$2:$H$337,
   MATCH(1,(deskripsi!$A$2:$A$337=B1091)*
           (deskripsi!$B$2:$B$337=C1091)*
           (deskripsi!$C$2:$C$337=D1091),0),
   F1091)</f>
        <v>Menjadi contoh yang membuat orang lain berani mengambil peran memimpin.</v>
      </c>
    </row>
    <row r="1092" spans="1:7">
      <c r="A1092" t="str">
        <f t="shared" si="17"/>
        <v>Leadership|Officer|3|1</v>
      </c>
      <c r="B1092" t="str">
        <v>Leadership</v>
      </c>
      <c r="C1092" t="str">
        <v>Officer</v>
      </c>
      <c r="D1092" s="76">
        <v>3</v>
      </c>
      <c r="E1092" t="str" cm="1">
        <f t="array" ref="E1092">INDEX(aspek!$D$2:$D$337,
   MATCH(1,(aspek!$A$2:$A$337=B1092)*
           (aspek!$B$2:$B$337=C1092)*
           (aspek!$C$2:$C$337=D1092),0))</f>
        <v>Ketepatan momen</v>
      </c>
      <c r="F1092" s="76">
        <v>1</v>
      </c>
      <c r="G1092" s="56" t="str" cm="1">
        <f t="array" ref="G1092">INDEX(deskripsi!$D$2:$H$337,
   MATCH(1,(deskripsi!$A$2:$A$337=B1092)*
           (deskripsi!$B$2:$B$337=C1092)*
           (deskripsi!$C$2:$C$337=D1092),0),
   F1092)</f>
        <v>Bertindak setelah masalah terjadi dan terlihat jelas.</v>
      </c>
    </row>
    <row r="1093" spans="1:7">
      <c r="A1093" t="str">
        <f t="shared" si="17"/>
        <v>Leadership|Officer|3|2</v>
      </c>
      <c r="B1093" t="str">
        <v>Leadership</v>
      </c>
      <c r="C1093" t="str">
        <v>Officer</v>
      </c>
      <c r="D1093" s="76">
        <v>3</v>
      </c>
      <c r="E1093" t="str" cm="1">
        <f t="array" ref="E1093">INDEX(aspek!$D$2:$D$337,
   MATCH(1,(aspek!$A$2:$A$337=B1093)*
           (aspek!$B$2:$B$337=C1093)*
           (aspek!$C$2:$C$337=D1093),0))</f>
        <v>Ketepatan momen</v>
      </c>
      <c r="F1093" s="76">
        <v>2</v>
      </c>
      <c r="G1093" s="56" t="str" cm="1">
        <f t="array" ref="G1093">INDEX(deskripsi!$D$2:$H$337,
   MATCH(1,(deskripsi!$A$2:$A$337=B1093)*
           (deskripsi!$B$2:$B$337=C1093)*
           (deskripsi!$C$2:$C$337=D1093),0),
   F1093)</f>
        <v>Menyadari potensi masalah, tidak bertindak sebelum terjadi.</v>
      </c>
    </row>
    <row r="1094" spans="1:7">
      <c r="A1094" t="str">
        <f t="shared" si="17"/>
        <v>Leadership|Officer|3|3</v>
      </c>
      <c r="B1094" t="str">
        <v>Leadership</v>
      </c>
      <c r="C1094" t="str">
        <v>Officer</v>
      </c>
      <c r="D1094" s="76">
        <v>3</v>
      </c>
      <c r="E1094" t="str" cm="1">
        <f t="array" ref="E1094">INDEX(aspek!$D$2:$D$337,
   MATCH(1,(aspek!$A$2:$A$337=B1094)*
           (aspek!$B$2:$B$337=C1094)*
           (aspek!$C$2:$C$337=D1094),0))</f>
        <v>Ketepatan momen</v>
      </c>
      <c r="F1094" s="76">
        <v>3</v>
      </c>
      <c r="G1094" s="56" t="str" cm="1">
        <f t="array" ref="G1094">INDEX(deskripsi!$D$2:$H$337,
   MATCH(1,(deskripsi!$A$2:$A$337=B1094)*
           (deskripsi!$B$2:$B$337=C1094)*
           (deskripsi!$C$2:$C$337=D1094),0),
   F1094)</f>
        <v>Bertindak mencegah masalah yang sudah sering terjadi.</v>
      </c>
    </row>
    <row r="1095" spans="1:7" ht="28">
      <c r="A1095" t="str">
        <f t="shared" si="17"/>
        <v>Leadership|Officer|3|4</v>
      </c>
      <c r="B1095" t="str">
        <v>Leadership</v>
      </c>
      <c r="C1095" t="str">
        <v>Officer</v>
      </c>
      <c r="D1095" s="76">
        <v>3</v>
      </c>
      <c r="E1095" t="str" cm="1">
        <f t="array" ref="E1095">INDEX(aspek!$D$2:$D$337,
   MATCH(1,(aspek!$A$2:$A$337=B1095)*
           (aspek!$B$2:$B$337=C1095)*
           (aspek!$C$2:$C$337=D1095),0))</f>
        <v>Ketepatan momen</v>
      </c>
      <c r="F1095" s="76">
        <v>4</v>
      </c>
      <c r="G1095" s="56" t="str" cm="1">
        <f t="array" ref="G1095">INDEX(deskripsi!$D$2:$H$337,
   MATCH(1,(deskripsi!$A$2:$A$337=B1095)*
           (deskripsi!$B$2:$B$337=C1095)*
           (deskripsi!$C$2:$C$337=D1095),0),
   F1095)</f>
        <v>Bertindak mencegah kebutuhan kepemimpinan yang belum terjadi berdasarkan tanda awal.</v>
      </c>
    </row>
    <row r="1096" spans="1:7">
      <c r="A1096" t="str">
        <f t="shared" si="17"/>
        <v>Leadership|Officer|3|5</v>
      </c>
      <c r="B1096" t="str">
        <v>Leadership</v>
      </c>
      <c r="C1096" t="str">
        <v>Officer</v>
      </c>
      <c r="D1096" s="76">
        <v>3</v>
      </c>
      <c r="E1096" t="str" cm="1">
        <f t="array" ref="E1096">INDEX(aspek!$D$2:$D$337,
   MATCH(1,(aspek!$A$2:$A$337=B1096)*
           (aspek!$B$2:$B$337=C1096)*
           (aspek!$C$2:$C$337=D1096),0))</f>
        <v>Ketepatan momen</v>
      </c>
      <c r="F1096" s="76">
        <v>5</v>
      </c>
      <c r="G1096" s="56" t="str" cm="1">
        <f t="array" ref="G1096">INDEX(deskripsi!$D$2:$H$337,
   MATCH(1,(deskripsi!$A$2:$A$337=B1096)*
           (deskripsi!$B$2:$B$337=C1096)*
           (deskripsi!$C$2:$C$337=D1096),0),
   F1096)</f>
        <v>Antisipasinya menjadi kebiasaan yang diikuti tim.</v>
      </c>
    </row>
    <row r="1097" spans="1:7">
      <c r="A1097" t="str">
        <f t="shared" si="17"/>
        <v>Leadership|Officer|4|1</v>
      </c>
      <c r="B1097" t="str">
        <v>Leadership</v>
      </c>
      <c r="C1097" t="str">
        <v>Officer</v>
      </c>
      <c r="D1097" s="76">
        <v>4</v>
      </c>
      <c r="E1097" t="str" cm="1">
        <f t="array" ref="E1097">INDEX(aspek!$D$2:$D$337,
   MATCH(1,(aspek!$A$2:$A$337=B1097)*
           (aspek!$B$2:$B$337=C1097)*
           (aspek!$C$2:$C$337=D1097),0))</f>
        <v>Kepercayaan diri yang dipersepsikan</v>
      </c>
      <c r="F1097" s="76">
        <v>1</v>
      </c>
      <c r="G1097" s="56" t="str" cm="1">
        <f t="array" ref="G1097">INDEX(deskripsi!$D$2:$H$337,
   MATCH(1,(deskripsi!$A$2:$A$337=B1097)*
           (deskripsi!$B$2:$B$337=C1097)*
           (deskripsi!$C$2:$C$337=D1097),0),
   F1097)</f>
        <v>Ragu-ragu terlihat jelas saat mengambil peran memimpin.</v>
      </c>
    </row>
    <row r="1098" spans="1:7">
      <c r="A1098" t="str">
        <f t="shared" si="17"/>
        <v>Leadership|Officer|4|2</v>
      </c>
      <c r="B1098" t="str">
        <v>Leadership</v>
      </c>
      <c r="C1098" t="str">
        <v>Officer</v>
      </c>
      <c r="D1098" s="76">
        <v>4</v>
      </c>
      <c r="E1098" t="str" cm="1">
        <f t="array" ref="E1098">INDEX(aspek!$D$2:$D$337,
   MATCH(1,(aspek!$A$2:$A$337=B1098)*
           (aspek!$B$2:$B$337=C1098)*
           (aspek!$C$2:$C$337=D1098),0))</f>
        <v>Kepercayaan diri yang dipersepsikan</v>
      </c>
      <c r="F1098" s="76">
        <v>2</v>
      </c>
      <c r="G1098" s="56" t="str" cm="1">
        <f t="array" ref="G1098">INDEX(deskripsi!$D$2:$H$337,
   MATCH(1,(deskripsi!$A$2:$A$337=B1098)*
           (deskripsi!$B$2:$B$337=C1098)*
           (deskripsi!$C$2:$C$337=D1098),0),
   F1098)</f>
        <v>Mengambil peran dengan ragu, sering meminta persetujuan.</v>
      </c>
    </row>
    <row r="1099" spans="1:7">
      <c r="A1099" t="str">
        <f t="shared" si="17"/>
        <v>Leadership|Officer|4|3</v>
      </c>
      <c r="B1099" t="str">
        <v>Leadership</v>
      </c>
      <c r="C1099" t="str">
        <v>Officer</v>
      </c>
      <c r="D1099" s="76">
        <v>4</v>
      </c>
      <c r="E1099" t="str" cm="1">
        <f t="array" ref="E1099">INDEX(aspek!$D$2:$D$337,
   MATCH(1,(aspek!$A$2:$A$337=B1099)*
           (aspek!$B$2:$B$337=C1099)*
           (aspek!$C$2:$C$337=D1099),0))</f>
        <v>Kepercayaan diri yang dipersepsikan</v>
      </c>
      <c r="F1099" s="76">
        <v>3</v>
      </c>
      <c r="G1099" s="56" t="str" cm="1">
        <f t="array" ref="G1099">INDEX(deskripsi!$D$2:$H$337,
   MATCH(1,(deskripsi!$A$2:$A$337=B1099)*
           (deskripsi!$B$2:$B$337=C1099)*
           (deskripsi!$C$2:$C$337=D1099),0),
   F1099)</f>
        <v>Mengambil peran cukup percaya diri pada situasi familiar.</v>
      </c>
    </row>
    <row r="1100" spans="1:7" ht="28">
      <c r="A1100" t="str">
        <f t="shared" si="17"/>
        <v>Leadership|Officer|4|4</v>
      </c>
      <c r="B1100" t="str">
        <v>Leadership</v>
      </c>
      <c r="C1100" t="str">
        <v>Officer</v>
      </c>
      <c r="D1100" s="76">
        <v>4</v>
      </c>
      <c r="E1100" t="str" cm="1">
        <f t="array" ref="E1100">INDEX(aspek!$D$2:$D$337,
   MATCH(1,(aspek!$A$2:$A$337=B1100)*
           (aspek!$B$2:$B$337=C1100)*
           (aspek!$C$2:$C$337=D1100),0))</f>
        <v>Kepercayaan diri yang dipersepsikan</v>
      </c>
      <c r="F1100" s="76">
        <v>4</v>
      </c>
      <c r="G1100" s="56" t="str" cm="1">
        <f t="array" ref="G1100">INDEX(deskripsi!$D$2:$H$337,
   MATCH(1,(deskripsi!$A$2:$A$337=B1100)*
           (deskripsi!$B$2:$B$337=C1100)*
           (deskripsi!$C$2:$C$337=D1100),0),
   F1100)</f>
        <v>Mengambil peran memimpin dengan percaya diri, dipersepsikan pantas oleh tim.</v>
      </c>
    </row>
    <row r="1101" spans="1:7" ht="28">
      <c r="A1101" t="str">
        <f t="shared" si="17"/>
        <v>Leadership|Officer|4|5</v>
      </c>
      <c r="B1101" t="str">
        <v>Leadership</v>
      </c>
      <c r="C1101" t="str">
        <v>Officer</v>
      </c>
      <c r="D1101" s="76">
        <v>4</v>
      </c>
      <c r="E1101" t="str" cm="1">
        <f t="array" ref="E1101">INDEX(aspek!$D$2:$D$337,
   MATCH(1,(aspek!$A$2:$A$337=B1101)*
           (aspek!$B$2:$B$337=C1101)*
           (aspek!$C$2:$C$337=D1101),0))</f>
        <v>Kepercayaan diri yang dipersepsikan</v>
      </c>
      <c r="F1101" s="76">
        <v>5</v>
      </c>
      <c r="G1101" s="56" t="str" cm="1">
        <f t="array" ref="G1101">INDEX(deskripsi!$D$2:$H$337,
   MATCH(1,(deskripsi!$A$2:$A$337=B1101)*
           (deskripsi!$B$2:$B$337=C1101)*
           (deskripsi!$C$2:$C$337=D1101),0),
   F1101)</f>
        <v>Dipercaya tim untuk mengambil peran memimpin tanpa dipertanyakan.</v>
      </c>
    </row>
    <row r="1102" spans="1:7">
      <c r="A1102" t="str">
        <f t="shared" si="17"/>
        <v>Leadership|Analyst|1|1</v>
      </c>
      <c r="B1102" t="str">
        <v>Leadership</v>
      </c>
      <c r="C1102" t="str">
        <v>Analyst</v>
      </c>
      <c r="D1102" s="76">
        <v>1</v>
      </c>
      <c r="E1102" t="str" cm="1">
        <f t="array" ref="E1102">INDEX(aspek!$D$2:$D$337,
   MATCH(1,(aspek!$A$2:$A$337=B1102)*
           (aspek!$B$2:$B$337=C1102)*
           (aspek!$C$2:$C$337=D1102),0))</f>
        <v>Dasar pengurutan pekerjaan tim</v>
      </c>
      <c r="F1102" s="76">
        <v>1</v>
      </c>
      <c r="G1102" s="56" t="str" cm="1">
        <f t="array" ref="G1102">INDEX(deskripsi!$D$2:$H$337,
   MATCH(1,(deskripsi!$A$2:$A$337=B1102)*
           (deskripsi!$B$2:$B$337=C1102)*
           (deskripsi!$C$2:$C$337=D1102),0),
   F1102)</f>
        <v>Mengurutkan berdasarkan yang datang lebih dulu.</v>
      </c>
    </row>
    <row r="1103" spans="1:7">
      <c r="A1103" t="str">
        <f t="shared" si="17"/>
        <v>Leadership|Analyst|1|2</v>
      </c>
      <c r="B1103" t="str">
        <v>Leadership</v>
      </c>
      <c r="C1103" t="str">
        <v>Analyst</v>
      </c>
      <c r="D1103" s="76">
        <v>1</v>
      </c>
      <c r="E1103" t="str" cm="1">
        <f t="array" ref="E1103">INDEX(aspek!$D$2:$D$337,
   MATCH(1,(aspek!$A$2:$A$337=B1103)*
           (aspek!$B$2:$B$337=C1103)*
           (aspek!$C$2:$C$337=D1103),0))</f>
        <v>Dasar pengurutan pekerjaan tim</v>
      </c>
      <c r="F1103" s="76">
        <v>2</v>
      </c>
      <c r="G1103" s="56" t="str" cm="1">
        <f t="array" ref="G1103">INDEX(deskripsi!$D$2:$H$337,
   MATCH(1,(deskripsi!$A$2:$A$337=B1103)*
           (deskripsi!$B$2:$B$337=C1103)*
           (deskripsi!$C$2:$C$337=D1103),0),
   F1103)</f>
        <v>Mengurutkan berdasarkan kemudahan.</v>
      </c>
    </row>
    <row r="1104" spans="1:7">
      <c r="A1104" t="str">
        <f t="shared" si="17"/>
        <v>Leadership|Analyst|1|3</v>
      </c>
      <c r="B1104" t="str">
        <v>Leadership</v>
      </c>
      <c r="C1104" t="str">
        <v>Analyst</v>
      </c>
      <c r="D1104" s="76">
        <v>1</v>
      </c>
      <c r="E1104" t="str" cm="1">
        <f t="array" ref="E1104">INDEX(aspek!$D$2:$D$337,
   MATCH(1,(aspek!$A$2:$A$337=B1104)*
           (aspek!$B$2:$B$337=C1104)*
           (aspek!$C$2:$C$337=D1104),0))</f>
        <v>Dasar pengurutan pekerjaan tim</v>
      </c>
      <c r="F1104" s="76">
        <v>3</v>
      </c>
      <c r="G1104" s="56" t="str" cm="1">
        <f t="array" ref="G1104">INDEX(deskripsi!$D$2:$H$337,
   MATCH(1,(deskripsi!$A$2:$A$337=B1104)*
           (deskripsi!$B$2:$B$337=C1104)*
           (deskripsi!$C$2:$C$337=D1104),0),
   F1104)</f>
        <v>Mengurutkan berdasarkan tenggat dan tingkat kepentingan.</v>
      </c>
    </row>
    <row r="1105" spans="1:7" ht="28">
      <c r="A1105" t="str">
        <f t="shared" si="17"/>
        <v>Leadership|Analyst|1|4</v>
      </c>
      <c r="B1105" t="str">
        <v>Leadership</v>
      </c>
      <c r="C1105" t="str">
        <v>Analyst</v>
      </c>
      <c r="D1105" s="76">
        <v>1</v>
      </c>
      <c r="E1105" t="str" cm="1">
        <f t="array" ref="E1105">INDEX(aspek!$D$2:$D$337,
   MATCH(1,(aspek!$A$2:$A$337=B1105)*
           (aspek!$B$2:$B$337=C1105)*
           (aspek!$C$2:$C$337=D1105),0))</f>
        <v>Dasar pengurutan pekerjaan tim</v>
      </c>
      <c r="F1105" s="76">
        <v>4</v>
      </c>
      <c r="G1105" s="56" t="str" cm="1">
        <f t="array" ref="G1105">INDEX(deskripsi!$D$2:$H$337,
   MATCH(1,(deskripsi!$A$2:$A$337=B1105)*
           (deskripsi!$B$2:$B$337=C1105)*
           (deskripsi!$C$2:$C$337=D1105),0),
   F1105)</f>
        <v>Mengurutkan dengan mempertimbangkan keterkaitan antar tugas dan ketergantungan.</v>
      </c>
    </row>
    <row r="1106" spans="1:7" ht="28">
      <c r="A1106" t="str">
        <f t="shared" si="17"/>
        <v>Leadership|Analyst|1|5</v>
      </c>
      <c r="B1106" t="str">
        <v>Leadership</v>
      </c>
      <c r="C1106" t="str">
        <v>Analyst</v>
      </c>
      <c r="D1106" s="76">
        <v>1</v>
      </c>
      <c r="E1106" t="str" cm="1">
        <f t="array" ref="E1106">INDEX(aspek!$D$2:$D$337,
   MATCH(1,(aspek!$A$2:$A$337=B1106)*
           (aspek!$B$2:$B$337=C1106)*
           (aspek!$C$2:$C$337=D1106),0))</f>
        <v>Dasar pengurutan pekerjaan tim</v>
      </c>
      <c r="F1106" s="76">
        <v>5</v>
      </c>
      <c r="G1106" s="56" t="str" cm="1">
        <f t="array" ref="G1106">INDEX(deskripsi!$D$2:$H$337,
   MATCH(1,(deskripsi!$A$2:$A$337=B1106)*
           (deskripsi!$B$2:$B$337=C1106)*
           (deskripsi!$C$2:$C$337=D1106),0),
   F1106)</f>
        <v>Mengurutkan berdasarkan dampak terhadap tujuan besar, ditinjau ulang saat berubah.</v>
      </c>
    </row>
    <row r="1107" spans="1:7">
      <c r="A1107" t="str">
        <f t="shared" si="17"/>
        <v>Leadership|Analyst|2|1</v>
      </c>
      <c r="B1107" t="str">
        <v>Leadership</v>
      </c>
      <c r="C1107" t="str">
        <v>Analyst</v>
      </c>
      <c r="D1107" s="76">
        <v>2</v>
      </c>
      <c r="E1107" t="str" cm="1">
        <f t="array" ref="E1107">INDEX(aspek!$D$2:$D$337,
   MATCH(1,(aspek!$A$2:$A$337=B1107)*
           (aspek!$B$2:$B$337=C1107)*
           (aspek!$C$2:$C$337=D1107),0))</f>
        <v>Komunikasi prioritas kepada tim</v>
      </c>
      <c r="F1107" s="76">
        <v>1</v>
      </c>
      <c r="G1107" s="56" t="str" cm="1">
        <f t="array" ref="G1107">INDEX(deskripsi!$D$2:$H$337,
   MATCH(1,(deskripsi!$A$2:$A$337=B1107)*
           (deskripsi!$B$2:$B$337=C1107)*
           (deskripsi!$C$2:$C$337=D1107),0),
   F1107)</f>
        <v>Tim tidak tahu dasar urutan prioritas.</v>
      </c>
    </row>
    <row r="1108" spans="1:7">
      <c r="A1108" t="str">
        <f t="shared" si="17"/>
        <v>Leadership|Analyst|2|2</v>
      </c>
      <c r="B1108" t="str">
        <v>Leadership</v>
      </c>
      <c r="C1108" t="str">
        <v>Analyst</v>
      </c>
      <c r="D1108" s="76">
        <v>2</v>
      </c>
      <c r="E1108" t="str" cm="1">
        <f t="array" ref="E1108">INDEX(aspek!$D$2:$D$337,
   MATCH(1,(aspek!$A$2:$A$337=B1108)*
           (aspek!$B$2:$B$337=C1108)*
           (aspek!$C$2:$C$337=D1108),0))</f>
        <v>Komunikasi prioritas kepada tim</v>
      </c>
      <c r="F1108" s="76">
        <v>2</v>
      </c>
      <c r="G1108" s="56" t="str" cm="1">
        <f t="array" ref="G1108">INDEX(deskripsi!$D$2:$H$337,
   MATCH(1,(deskripsi!$A$2:$A$337=B1108)*
           (deskripsi!$B$2:$B$337=C1108)*
           (deskripsi!$C$2:$C$337=D1108),0),
   F1108)</f>
        <v>Prioritas disampaikan tanpa alasan.</v>
      </c>
    </row>
    <row r="1109" spans="1:7">
      <c r="A1109" t="str">
        <f t="shared" si="17"/>
        <v>Leadership|Analyst|2|3</v>
      </c>
      <c r="B1109" t="str">
        <v>Leadership</v>
      </c>
      <c r="C1109" t="str">
        <v>Analyst</v>
      </c>
      <c r="D1109" s="76">
        <v>2</v>
      </c>
      <c r="E1109" t="str" cm="1">
        <f t="array" ref="E1109">INDEX(aspek!$D$2:$D$337,
   MATCH(1,(aspek!$A$2:$A$337=B1109)*
           (aspek!$B$2:$B$337=C1109)*
           (aspek!$C$2:$C$337=D1109),0))</f>
        <v>Komunikasi prioritas kepada tim</v>
      </c>
      <c r="F1109" s="76">
        <v>3</v>
      </c>
      <c r="G1109" s="56" t="str" cm="1">
        <f t="array" ref="G1109">INDEX(deskripsi!$D$2:$H$337,
   MATCH(1,(deskripsi!$A$2:$A$337=B1109)*
           (deskripsi!$B$2:$B$337=C1109)*
           (deskripsi!$C$2:$C$337=D1109),0),
   F1109)</f>
        <v>Alasan disampaikan pada permintaan penting.</v>
      </c>
    </row>
    <row r="1110" spans="1:7" ht="28">
      <c r="A1110" t="str">
        <f t="shared" si="17"/>
        <v>Leadership|Analyst|2|4</v>
      </c>
      <c r="B1110" t="str">
        <v>Leadership</v>
      </c>
      <c r="C1110" t="str">
        <v>Analyst</v>
      </c>
      <c r="D1110" s="76">
        <v>2</v>
      </c>
      <c r="E1110" t="str" cm="1">
        <f t="array" ref="E1110">INDEX(aspek!$D$2:$D$337,
   MATCH(1,(aspek!$A$2:$A$337=B1110)*
           (aspek!$B$2:$B$337=C1110)*
           (aspek!$C$2:$C$337=D1110),0))</f>
        <v>Komunikasi prioritas kepada tim</v>
      </c>
      <c r="F1110" s="76">
        <v>4</v>
      </c>
      <c r="G1110" s="56" t="str" cm="1">
        <f t="array" ref="G1110">INDEX(deskripsi!$D$2:$H$337,
   MATCH(1,(deskripsi!$A$2:$A$337=B1110)*
           (deskripsi!$B$2:$B$337=C1110)*
           (deskripsi!$C$2:$C$337=D1110),0),
   F1110)</f>
        <v>Alasan prioritas dikomunikasikan jelas pada hampir seluruh keputusan, tim tidak perlu terus bertanya.</v>
      </c>
    </row>
    <row r="1111" spans="1:7">
      <c r="A1111" t="str">
        <f t="shared" si="17"/>
        <v>Leadership|Analyst|2|5</v>
      </c>
      <c r="B1111" t="str">
        <v>Leadership</v>
      </c>
      <c r="C1111" t="str">
        <v>Analyst</v>
      </c>
      <c r="D1111" s="76">
        <v>2</v>
      </c>
      <c r="E1111" t="str" cm="1">
        <f t="array" ref="E1111">INDEX(aspek!$D$2:$D$337,
   MATCH(1,(aspek!$A$2:$A$337=B1111)*
           (aspek!$B$2:$B$337=C1111)*
           (aspek!$C$2:$C$337=D1111),0))</f>
        <v>Komunikasi prioritas kepada tim</v>
      </c>
      <c r="F1111" s="76">
        <v>5</v>
      </c>
      <c r="G1111" s="56" t="str" cm="1">
        <f t="array" ref="G1111">INDEX(deskripsi!$D$2:$H$337,
   MATCH(1,(deskripsi!$A$2:$A$337=B1111)*
           (deskripsi!$B$2:$B$337=C1111)*
           (deskripsi!$C$2:$C$337=D1111),0),
   F1111)</f>
        <v>Cara komunikasinya menjadi model bagi pemimpin lain.</v>
      </c>
    </row>
    <row r="1112" spans="1:7">
      <c r="A1112" t="str">
        <f t="shared" si="17"/>
        <v>Leadership|Analyst|3|1</v>
      </c>
      <c r="B1112" t="str">
        <v>Leadership</v>
      </c>
      <c r="C1112" t="str">
        <v>Analyst</v>
      </c>
      <c r="D1112" s="76">
        <v>3</v>
      </c>
      <c r="E1112" t="str" cm="1">
        <f t="array" ref="E1112">INDEX(aspek!$D$2:$D$337,
   MATCH(1,(aspek!$A$2:$A$337=B1112)*
           (aspek!$B$2:$B$337=C1112)*
           (aspek!$C$2:$C$337=D1112),0))</f>
        <v>Kesediaan meninjau ulang</v>
      </c>
      <c r="F1112" s="76">
        <v>1</v>
      </c>
      <c r="G1112" s="56" t="str" cm="1">
        <f t="array" ref="G1112">INDEX(deskripsi!$D$2:$H$337,
   MATCH(1,(deskripsi!$A$2:$A$337=B1112)*
           (deskripsi!$B$2:$B$337=C1112)*
           (deskripsi!$C$2:$C$337=D1112),0),
   F1112)</f>
        <v>Bertahan pada urutan lama meski situasi berubah.</v>
      </c>
    </row>
    <row r="1113" spans="1:7">
      <c r="A1113" t="str">
        <f t="shared" si="17"/>
        <v>Leadership|Analyst|3|2</v>
      </c>
      <c r="B1113" t="str">
        <v>Leadership</v>
      </c>
      <c r="C1113" t="str">
        <v>Analyst</v>
      </c>
      <c r="D1113" s="76">
        <v>3</v>
      </c>
      <c r="E1113" t="str" cm="1">
        <f t="array" ref="E1113">INDEX(aspek!$D$2:$D$337,
   MATCH(1,(aspek!$A$2:$A$337=B1113)*
           (aspek!$B$2:$B$337=C1113)*
           (aspek!$C$2:$C$337=D1113),0))</f>
        <v>Kesediaan meninjau ulang</v>
      </c>
      <c r="F1113" s="76">
        <v>2</v>
      </c>
      <c r="G1113" s="56" t="str" cm="1">
        <f t="array" ref="G1113">INDEX(deskripsi!$D$2:$H$337,
   MATCH(1,(deskripsi!$A$2:$A$337=B1113)*
           (deskripsi!$B$2:$B$337=C1113)*
           (deskripsi!$C$2:$C$337=D1113),0),
   F1113)</f>
        <v>Meninjau ulang hanya ketika diperintahkan.</v>
      </c>
    </row>
    <row r="1114" spans="1:7">
      <c r="A1114" t="str">
        <f t="shared" si="17"/>
        <v>Leadership|Analyst|3|3</v>
      </c>
      <c r="B1114" t="str">
        <v>Leadership</v>
      </c>
      <c r="C1114" t="str">
        <v>Analyst</v>
      </c>
      <c r="D1114" s="76">
        <v>3</v>
      </c>
      <c r="E1114" t="str" cm="1">
        <f t="array" ref="E1114">INDEX(aspek!$D$2:$D$337,
   MATCH(1,(aspek!$A$2:$A$337=B1114)*
           (aspek!$B$2:$B$337=C1114)*
           (aspek!$C$2:$C$337=D1114),0))</f>
        <v>Kesediaan meninjau ulang</v>
      </c>
      <c r="F1114" s="76">
        <v>3</v>
      </c>
      <c r="G1114" s="56" t="str" cm="1">
        <f t="array" ref="G1114">INDEX(deskripsi!$D$2:$H$337,
   MATCH(1,(deskripsi!$A$2:$A$337=B1114)*
           (deskripsi!$B$2:$B$337=C1114)*
           (deskripsi!$C$2:$C$337=D1114),0),
   F1114)</f>
        <v>Meninjau ulang pada perubahan yang jelas.</v>
      </c>
    </row>
    <row r="1115" spans="1:7" ht="28">
      <c r="A1115" t="str">
        <f t="shared" si="17"/>
        <v>Leadership|Analyst|3|4</v>
      </c>
      <c r="B1115" t="str">
        <v>Leadership</v>
      </c>
      <c r="C1115" t="str">
        <v>Analyst</v>
      </c>
      <c r="D1115" s="76">
        <v>3</v>
      </c>
      <c r="E1115" t="str" cm="1">
        <f t="array" ref="E1115">INDEX(aspek!$D$2:$D$337,
   MATCH(1,(aspek!$A$2:$A$337=B1115)*
           (aspek!$B$2:$B$337=C1115)*
           (aspek!$C$2:$C$337=D1115),0))</f>
        <v>Kesediaan meninjau ulang</v>
      </c>
      <c r="F1115" s="76">
        <v>4</v>
      </c>
      <c r="G1115" s="56" t="str" cm="1">
        <f t="array" ref="G1115">INDEX(deskripsi!$D$2:$H$337,
   MATCH(1,(deskripsi!$A$2:$A$337=B1115)*
           (deskripsi!$B$2:$B$337=C1115)*
           (deskripsi!$C$2:$C$337=D1115),0),
   F1115)</f>
        <v>Meninjau ulang secara proaktif dan mengkomunikasikannya kepada tim.</v>
      </c>
    </row>
    <row r="1116" spans="1:7" ht="28">
      <c r="A1116" t="str">
        <f t="shared" si="17"/>
        <v>Leadership|Analyst|3|5</v>
      </c>
      <c r="B1116" t="str">
        <v>Leadership</v>
      </c>
      <c r="C1116" t="str">
        <v>Analyst</v>
      </c>
      <c r="D1116" s="76">
        <v>3</v>
      </c>
      <c r="E1116" t="str" cm="1">
        <f t="array" ref="E1116">INDEX(aspek!$D$2:$D$337,
   MATCH(1,(aspek!$A$2:$A$337=B1116)*
           (aspek!$B$2:$B$337=C1116)*
           (aspek!$C$2:$C$337=D1116),0))</f>
        <v>Kesediaan meninjau ulang</v>
      </c>
      <c r="F1116" s="76">
        <v>5</v>
      </c>
      <c r="G1116" s="56" t="str" cm="1">
        <f t="array" ref="G1116">INDEX(deskripsi!$D$2:$H$337,
   MATCH(1,(deskripsi!$A$2:$A$337=B1116)*
           (deskripsi!$B$2:$B$337=C1116)*
           (deskripsi!$C$2:$C$337=D1116),0),
   F1116)</f>
        <v>Peninjauan ulangnya menjadi kebiasaan yang membuat tim tetap adaptif.</v>
      </c>
    </row>
    <row r="1117" spans="1:7">
      <c r="A1117" t="str">
        <f t="shared" si="17"/>
        <v>Leadership|Analyst|4|1</v>
      </c>
      <c r="B1117" t="str">
        <v>Leadership</v>
      </c>
      <c r="C1117" t="str">
        <v>Analyst</v>
      </c>
      <c r="D1117" s="76">
        <v>4</v>
      </c>
      <c r="E1117" t="str" cm="1">
        <f t="array" ref="E1117">INDEX(aspek!$D$2:$D$337,
   MATCH(1,(aspek!$A$2:$A$337=B1117)*
           (aspek!$B$2:$B$337=C1117)*
           (aspek!$C$2:$C$337=D1117),0))</f>
        <v>Mengurangi pengambilalihan tugas</v>
      </c>
      <c r="F1117" s="76">
        <v>1</v>
      </c>
      <c r="G1117" s="56" t="str" cm="1">
        <f t="array" ref="G1117">INDEX(deskripsi!$D$2:$H$337,
   MATCH(1,(deskripsi!$A$2:$A$337=B1117)*
           (deskripsi!$B$2:$B$337=C1117)*
           (deskripsi!$C$2:$C$337=D1117),0),
   F1117)</f>
        <v>Sering mengambil alih tugas tim karena prioritas tidak jelas.</v>
      </c>
    </row>
    <row r="1118" spans="1:7">
      <c r="A1118" t="str">
        <f t="shared" si="17"/>
        <v>Leadership|Analyst|4|2</v>
      </c>
      <c r="B1118" t="str">
        <v>Leadership</v>
      </c>
      <c r="C1118" t="str">
        <v>Analyst</v>
      </c>
      <c r="D1118" s="76">
        <v>4</v>
      </c>
      <c r="E1118" t="str" cm="1">
        <f t="array" ref="E1118">INDEX(aspek!$D$2:$D$337,
   MATCH(1,(aspek!$A$2:$A$337=B1118)*
           (aspek!$B$2:$B$337=C1118)*
           (aspek!$C$2:$C$337=D1118),0))</f>
        <v>Mengurangi pengambilalihan tugas</v>
      </c>
      <c r="F1118" s="76">
        <v>2</v>
      </c>
      <c r="G1118" s="56" t="str" cm="1">
        <f t="array" ref="G1118">INDEX(deskripsi!$D$2:$H$337,
   MATCH(1,(deskripsi!$A$2:$A$337=B1118)*
           (deskripsi!$B$2:$B$337=C1118)*
           (deskripsi!$C$2:$C$337=D1118),0),
   F1118)</f>
        <v>Mengambil alih pada sebagian tugas penting.</v>
      </c>
    </row>
    <row r="1119" spans="1:7">
      <c r="A1119" t="str">
        <f t="shared" si="17"/>
        <v>Leadership|Analyst|4|3</v>
      </c>
      <c r="B1119" t="str">
        <v>Leadership</v>
      </c>
      <c r="C1119" t="str">
        <v>Analyst</v>
      </c>
      <c r="D1119" s="76">
        <v>4</v>
      </c>
      <c r="E1119" t="str" cm="1">
        <f t="array" ref="E1119">INDEX(aspek!$D$2:$D$337,
   MATCH(1,(aspek!$A$2:$A$337=B1119)*
           (aspek!$B$2:$B$337=C1119)*
           (aspek!$C$2:$C$337=D1119),0))</f>
        <v>Mengurangi pengambilalihan tugas</v>
      </c>
      <c r="F1119" s="76">
        <v>3</v>
      </c>
      <c r="G1119" s="56" t="str" cm="1">
        <f t="array" ref="G1119">INDEX(deskripsi!$D$2:$H$337,
   MATCH(1,(deskripsi!$A$2:$A$337=B1119)*
           (deskripsi!$B$2:$B$337=C1119)*
           (deskripsi!$C$2:$C$337=D1119),0),
   F1119)</f>
        <v>Mengambil alih hanya pada situasi mendesak.</v>
      </c>
    </row>
    <row r="1120" spans="1:7" ht="28">
      <c r="A1120" t="str">
        <f t="shared" si="17"/>
        <v>Leadership|Analyst|4|4</v>
      </c>
      <c r="B1120" t="str">
        <v>Leadership</v>
      </c>
      <c r="C1120" t="str">
        <v>Analyst</v>
      </c>
      <c r="D1120" s="76">
        <v>4</v>
      </c>
      <c r="E1120" t="str" cm="1">
        <f t="array" ref="E1120">INDEX(aspek!$D$2:$D$337,
   MATCH(1,(aspek!$A$2:$A$337=B1120)*
           (aspek!$B$2:$B$337=C1120)*
           (aspek!$C$2:$C$337=D1120),0))</f>
        <v>Mengurangi pengambilalihan tugas</v>
      </c>
      <c r="F1120" s="76">
        <v>4</v>
      </c>
      <c r="G1120" s="56" t="str" cm="1">
        <f t="array" ref="G1120">INDEX(deskripsi!$D$2:$H$337,
   MATCH(1,(deskripsi!$A$2:$A$337=B1120)*
           (deskripsi!$B$2:$B$337=C1120)*
           (deskripsi!$C$2:$C$337=D1120),0),
   F1120)</f>
        <v>Jarang mengambil alih karena prioritas sudah dipahami jelas oleh tim.</v>
      </c>
    </row>
    <row r="1121" spans="1:7" ht="28">
      <c r="A1121" t="str">
        <f t="shared" si="17"/>
        <v>Leadership|Analyst|4|5</v>
      </c>
      <c r="B1121" t="str">
        <v>Leadership</v>
      </c>
      <c r="C1121" t="str">
        <v>Analyst</v>
      </c>
      <c r="D1121" s="76">
        <v>4</v>
      </c>
      <c r="E1121" t="str" cm="1">
        <f t="array" ref="E1121">INDEX(aspek!$D$2:$D$337,
   MATCH(1,(aspek!$A$2:$A$337=B1121)*
           (aspek!$B$2:$B$337=C1121)*
           (aspek!$C$2:$C$337=D1121),0))</f>
        <v>Mengurangi pengambilalihan tugas</v>
      </c>
      <c r="F1121" s="76">
        <v>5</v>
      </c>
      <c r="G1121" s="56" t="str" cm="1">
        <f t="array" ref="G1121">INDEX(deskripsi!$D$2:$H$337,
   MATCH(1,(deskripsi!$A$2:$A$337=B1121)*
           (deskripsi!$B$2:$B$337=C1121)*
           (deskripsi!$C$2:$C$337=D1121),0),
   F1121)</f>
        <v>Tim mampu menentukan urutan sendiri berdasarkan prinsip yang sudah diajarkan.</v>
      </c>
    </row>
    <row r="1122" spans="1:7">
      <c r="A1122" t="str">
        <f t="shared" si="17"/>
        <v>Leadership|Unit Head/Specialist|1|1</v>
      </c>
      <c r="B1122" t="str">
        <v>Leadership</v>
      </c>
      <c r="C1122" t="str">
        <v>Unit Head/Specialist</v>
      </c>
      <c r="D1122" s="76">
        <v>1</v>
      </c>
      <c r="E1122" t="str" cm="1">
        <f t="array" ref="E1122">INDEX(aspek!$D$2:$D$337,
   MATCH(1,(aspek!$A$2:$A$337=B1122)*
           (aspek!$B$2:$B$337=C1122)*
           (aspek!$C$2:$C$337=D1122),0))</f>
        <v>Kedalaman pemetaan perspektif</v>
      </c>
      <c r="F1122" s="76">
        <v>1</v>
      </c>
      <c r="G1122" s="56" t="str" cm="1">
        <f t="array" ref="G1122">INDEX(deskripsi!$D$2:$H$337,
   MATCH(1,(deskripsi!$A$2:$A$337=B1122)*
           (deskripsi!$B$2:$B$337=C1122)*
           (deskripsi!$C$2:$C$337=D1122),0),
   F1122)</f>
        <v>Bertahan pada pandangan sendiri.</v>
      </c>
    </row>
    <row r="1123" spans="1:7">
      <c r="A1123" t="str">
        <f t="shared" si="17"/>
        <v>Leadership|Unit Head/Specialist|1|2</v>
      </c>
      <c r="B1123" t="str">
        <v>Leadership</v>
      </c>
      <c r="C1123" t="str">
        <v>Unit Head/Specialist</v>
      </c>
      <c r="D1123" s="76">
        <v>1</v>
      </c>
      <c r="E1123" t="str" cm="1">
        <f t="array" ref="E1123">INDEX(aspek!$D$2:$D$337,
   MATCH(1,(aspek!$A$2:$A$337=B1123)*
           (aspek!$B$2:$B$337=C1123)*
           (aspek!$C$2:$C$337=D1123),0))</f>
        <v>Kedalaman pemetaan perspektif</v>
      </c>
      <c r="F1123" s="76">
        <v>2</v>
      </c>
      <c r="G1123" s="56" t="str" cm="1">
        <f t="array" ref="G1123">INDEX(deskripsi!$D$2:$H$337,
   MATCH(1,(deskripsi!$A$2:$A$337=B1123)*
           (deskripsi!$B$2:$B$337=C1123)*
           (deskripsi!$C$2:$C$337=D1123),0),
   F1123)</f>
        <v>Mencoba memahami tapi kembali ke perspektif awal.</v>
      </c>
    </row>
    <row r="1124" spans="1:7">
      <c r="A1124" t="str">
        <f t="shared" si="17"/>
        <v>Leadership|Unit Head/Specialist|1|3</v>
      </c>
      <c r="B1124" t="str">
        <v>Leadership</v>
      </c>
      <c r="C1124" t="str">
        <v>Unit Head/Specialist</v>
      </c>
      <c r="D1124" s="76">
        <v>1</v>
      </c>
      <c r="E1124" t="str" cm="1">
        <f t="array" ref="E1124">INDEX(aspek!$D$2:$D$337,
   MATCH(1,(aspek!$A$2:$A$337=B1124)*
           (aspek!$B$2:$B$337=C1124)*
           (aspek!$C$2:$C$337=D1124),0))</f>
        <v>Kedalaman pemetaan perspektif</v>
      </c>
      <c r="F1124" s="76">
        <v>3</v>
      </c>
      <c r="G1124" s="56" t="str" cm="1">
        <f t="array" ref="G1124">INDEX(deskripsi!$D$2:$H$337,
   MATCH(1,(deskripsi!$A$2:$A$337=B1124)*
           (deskripsi!$B$2:$B$337=C1124)*
           (deskripsi!$C$2:$C$337=D1124),0),
   F1124)</f>
        <v>Menerima perspektif lain bila dijelaskan logis.</v>
      </c>
    </row>
    <row r="1125" spans="1:7" ht="28">
      <c r="A1125" t="str">
        <f t="shared" si="17"/>
        <v>Leadership|Unit Head/Specialist|1|4</v>
      </c>
      <c r="B1125" t="str">
        <v>Leadership</v>
      </c>
      <c r="C1125" t="str">
        <v>Unit Head/Specialist</v>
      </c>
      <c r="D1125" s="76">
        <v>1</v>
      </c>
      <c r="E1125" t="str" cm="1">
        <f t="array" ref="E1125">INDEX(aspek!$D$2:$D$337,
   MATCH(1,(aspek!$A$2:$A$337=B1125)*
           (aspek!$B$2:$B$337=C1125)*
           (aspek!$C$2:$C$337=D1125),0))</f>
        <v>Kedalaman pemetaan perspektif</v>
      </c>
      <c r="F1125" s="76">
        <v>4</v>
      </c>
      <c r="G1125" s="56" t="str" cm="1">
        <f t="array" ref="G1125">INDEX(deskripsi!$D$2:$H$337,
   MATCH(1,(deskripsi!$A$2:$A$337=B1125)*
           (deskripsi!$B$2:$B$337=C1125)*
           (deskripsi!$C$2:$C$337=D1125),0),
   F1125)</f>
        <v>Menganalisis kepentingan dan batasan berbagai pihak secara sistematis.</v>
      </c>
    </row>
    <row r="1126" spans="1:7">
      <c r="A1126" t="str">
        <f t="shared" si="17"/>
        <v>Leadership|Unit Head/Specialist|1|5</v>
      </c>
      <c r="B1126" t="str">
        <v>Leadership</v>
      </c>
      <c r="C1126" t="str">
        <v>Unit Head/Specialist</v>
      </c>
      <c r="D1126" s="76">
        <v>1</v>
      </c>
      <c r="E1126" t="str" cm="1">
        <f t="array" ref="E1126">INDEX(aspek!$D$2:$D$337,
   MATCH(1,(aspek!$A$2:$A$337=B1126)*
           (aspek!$B$2:$B$337=C1126)*
           (aspek!$C$2:$C$337=D1126),0))</f>
        <v>Kedalaman pemetaan perspektif</v>
      </c>
      <c r="F1126" s="76">
        <v>5</v>
      </c>
      <c r="G1126" s="56" t="str" cm="1">
        <f t="array" ref="G1126">INDEX(deskripsi!$D$2:$H$337,
   MATCH(1,(deskripsi!$A$2:$A$337=B1126)*
           (deskripsi!$B$2:$B$337=C1126)*
           (deskripsi!$C$2:$C$337=D1126),0),
   F1126)</f>
        <v>Memetakan perspektif yang bertentangan secara akurat.</v>
      </c>
    </row>
    <row r="1127" spans="1:7">
      <c r="A1127" t="str">
        <f t="shared" si="17"/>
        <v>Leadership|Unit Head/Specialist|2|1</v>
      </c>
      <c r="B1127" t="str">
        <v>Leadership</v>
      </c>
      <c r="C1127" t="str">
        <v>Unit Head/Specialist</v>
      </c>
      <c r="D1127" s="76">
        <v>2</v>
      </c>
      <c r="E1127" t="str" cm="1">
        <f t="array" ref="E1127">INDEX(aspek!$D$2:$D$337,
   MATCH(1,(aspek!$A$2:$A$337=B1127)*
           (aspek!$B$2:$B$337=C1127)*
           (aspek!$C$2:$C$337=D1127),0))</f>
        <v>Kejelasan arah dan ekspektasi</v>
      </c>
      <c r="F1127" s="76">
        <v>1</v>
      </c>
      <c r="G1127" s="56" t="str" cm="1">
        <f t="array" ref="G1127">INDEX(deskripsi!$D$2:$H$337,
   MATCH(1,(deskripsi!$A$2:$A$337=B1127)*
           (deskripsi!$B$2:$B$337=C1127)*
           (deskripsi!$C$2:$C$337=D1127),0),
   F1127)</f>
        <v>Anggota tim diharapkan memahami perannya sendiri.</v>
      </c>
    </row>
    <row r="1128" spans="1:7" ht="28">
      <c r="A1128" t="str">
        <f t="shared" si="17"/>
        <v>Leadership|Unit Head/Specialist|2|2</v>
      </c>
      <c r="B1128" t="str">
        <v>Leadership</v>
      </c>
      <c r="C1128" t="str">
        <v>Unit Head/Specialist</v>
      </c>
      <c r="D1128" s="76">
        <v>2</v>
      </c>
      <c r="E1128" t="str" cm="1">
        <f t="array" ref="E1128">INDEX(aspek!$D$2:$D$337,
   MATCH(1,(aspek!$A$2:$A$337=B1128)*
           (aspek!$B$2:$B$337=C1128)*
           (aspek!$C$2:$C$337=D1128),0))</f>
        <v>Kejelasan arah dan ekspektasi</v>
      </c>
      <c r="F1128" s="76">
        <v>2</v>
      </c>
      <c r="G1128" s="56" t="str" cm="1">
        <f t="array" ref="G1128">INDEX(deskripsi!$D$2:$H$337,
   MATCH(1,(deskripsi!$A$2:$A$337=B1128)*
           (deskripsi!$B$2:$B$337=C1128)*
           (deskripsi!$C$2:$C$337=D1128),0),
   F1128)</f>
        <v>Hanya disampaikan apa yang harus dikerjakan, tanpa hasil yang diharapkan.</v>
      </c>
    </row>
    <row r="1129" spans="1:7" ht="28">
      <c r="A1129" t="str">
        <f t="shared" si="17"/>
        <v>Leadership|Unit Head/Specialist|2|3</v>
      </c>
      <c r="B1129" t="str">
        <v>Leadership</v>
      </c>
      <c r="C1129" t="str">
        <v>Unit Head/Specialist</v>
      </c>
      <c r="D1129" s="76">
        <v>2</v>
      </c>
      <c r="E1129" t="str" cm="1">
        <f t="array" ref="E1129">INDEX(aspek!$D$2:$D$337,
   MATCH(1,(aspek!$A$2:$A$337=B1129)*
           (aspek!$B$2:$B$337=C1129)*
           (aspek!$C$2:$C$337=D1129),0))</f>
        <v>Kejelasan arah dan ekspektasi</v>
      </c>
      <c r="F1129" s="76">
        <v>3</v>
      </c>
      <c r="G1129" s="56" t="str" cm="1">
        <f t="array" ref="G1129">INDEX(deskripsi!$D$2:$H$337,
   MATCH(1,(deskripsi!$A$2:$A$337=B1129)*
           (deskripsi!$B$2:$B$337=C1129)*
           (deskripsi!$C$2:$C$337=D1129),0),
   F1129)</f>
        <v>Tujuan, peran, dan hasil yang diharapkan dijelaskan kepada semua pihak.</v>
      </c>
    </row>
    <row r="1130" spans="1:7" ht="28">
      <c r="A1130" t="str">
        <f t="shared" si="17"/>
        <v>Leadership|Unit Head/Specialist|2|4</v>
      </c>
      <c r="B1130" t="str">
        <v>Leadership</v>
      </c>
      <c r="C1130" t="str">
        <v>Unit Head/Specialist</v>
      </c>
      <c r="D1130" s="76">
        <v>2</v>
      </c>
      <c r="E1130" t="str" cm="1">
        <f t="array" ref="E1130">INDEX(aspek!$D$2:$D$337,
   MATCH(1,(aspek!$A$2:$A$337=B1130)*
           (aspek!$B$2:$B$337=C1130)*
           (aspek!$C$2:$C$337=D1130),0))</f>
        <v>Kejelasan arah dan ekspektasi</v>
      </c>
      <c r="F1130" s="76">
        <v>4</v>
      </c>
      <c r="G1130" s="56" t="str" cm="1">
        <f t="array" ref="G1130">INDEX(deskripsi!$D$2:$H$337,
   MATCH(1,(deskripsi!$A$2:$A$337=B1130)*
           (deskripsi!$B$2:$B$337=C1130)*
           (deskripsi!$C$2:$C$337=D1130),0),
   F1130)</f>
        <v>Ukuran keberhasilan disepakati bersama dan tanggung jawab dipastikan dipahami.</v>
      </c>
    </row>
    <row r="1131" spans="1:7" ht="28">
      <c r="A1131" t="str">
        <f t="shared" si="17"/>
        <v>Leadership|Unit Head/Specialist|2|5</v>
      </c>
      <c r="B1131" t="str">
        <v>Leadership</v>
      </c>
      <c r="C1131" t="str">
        <v>Unit Head/Specialist</v>
      </c>
      <c r="D1131" s="76">
        <v>2</v>
      </c>
      <c r="E1131" t="str" cm="1">
        <f t="array" ref="E1131">INDEX(aspek!$D$2:$D$337,
   MATCH(1,(aspek!$A$2:$A$337=B1131)*
           (aspek!$B$2:$B$337=C1131)*
           (aspek!$C$2:$C$337=D1131),0))</f>
        <v>Kejelasan arah dan ekspektasi</v>
      </c>
      <c r="F1131" s="76">
        <v>5</v>
      </c>
      <c r="G1131" s="56" t="str" cm="1">
        <f t="array" ref="G1131">INDEX(deskripsi!$D$2:$H$337,
   MATCH(1,(deskripsi!$A$2:$A$337=B1131)*
           (deskripsi!$B$2:$B$337=C1131)*
           (deskripsi!$C$2:$C$337=D1131),0),
   F1131)</f>
        <v>Arah cukup jelas sehingga anggota tim dapat memutuskan sendiri tanpa menunggu.</v>
      </c>
    </row>
    <row r="1132" spans="1:7">
      <c r="A1132" t="str">
        <f t="shared" si="17"/>
        <v>Leadership|Unit Head/Specialist|3|1</v>
      </c>
      <c r="B1132" t="str">
        <v>Leadership</v>
      </c>
      <c r="C1132" t="str">
        <v>Unit Head/Specialist</v>
      </c>
      <c r="D1132" s="76">
        <v>3</v>
      </c>
      <c r="E1132" t="str" cm="1">
        <f t="array" ref="E1132">INDEX(aspek!$D$2:$D$337,
   MATCH(1,(aspek!$A$2:$A$337=B1132)*
           (aspek!$B$2:$B$337=C1132)*
           (aspek!$C$2:$C$337=D1132),0))</f>
        <v>Kedalaman pemetaan bukan sekadar persetujuan</v>
      </c>
      <c r="F1132" s="76">
        <v>1</v>
      </c>
      <c r="G1132" s="56" t="str" cm="1">
        <f t="array" ref="G1132">INDEX(deskripsi!$D$2:$H$337,
   MATCH(1,(deskripsi!$A$2:$A$337=B1132)*
           (deskripsi!$B$2:$B$337=C1132)*
           (deskripsi!$C$2:$C$337=D1132),0),
   F1132)</f>
        <v>Menganggap memahami perspektif berarti menyetujuinya.</v>
      </c>
    </row>
    <row r="1133" spans="1:7">
      <c r="A1133" t="str">
        <f t="shared" si="17"/>
        <v>Leadership|Unit Head/Specialist|3|2</v>
      </c>
      <c r="B1133" t="str">
        <v>Leadership</v>
      </c>
      <c r="C1133" t="str">
        <v>Unit Head/Specialist</v>
      </c>
      <c r="D1133" s="76">
        <v>3</v>
      </c>
      <c r="E1133" t="str" cm="1">
        <f t="array" ref="E1133">INDEX(aspek!$D$2:$D$337,
   MATCH(1,(aspek!$A$2:$A$337=B1133)*
           (aspek!$B$2:$B$337=C1133)*
           (aspek!$C$2:$C$337=D1133),0))</f>
        <v>Kedalaman pemetaan bukan sekadar persetujuan</v>
      </c>
      <c r="F1133" s="76">
        <v>2</v>
      </c>
      <c r="G1133" s="56" t="str" cm="1">
        <f t="array" ref="G1133">INDEX(deskripsi!$D$2:$H$337,
   MATCH(1,(deskripsi!$A$2:$A$337=B1133)*
           (deskripsi!$B$2:$B$337=C1133)*
           (deskripsi!$C$2:$C$337=D1133),0),
   F1133)</f>
        <v>Memetakan hanya perspektif yang mudah diterima.</v>
      </c>
    </row>
    <row r="1134" spans="1:7" ht="28">
      <c r="A1134" t="str">
        <f t="shared" si="17"/>
        <v>Leadership|Unit Head/Specialist|3|3</v>
      </c>
      <c r="B1134" t="str">
        <v>Leadership</v>
      </c>
      <c r="C1134" t="str">
        <v>Unit Head/Specialist</v>
      </c>
      <c r="D1134" s="76">
        <v>3</v>
      </c>
      <c r="E1134" t="str" cm="1">
        <f t="array" ref="E1134">INDEX(aspek!$D$2:$D$337,
   MATCH(1,(aspek!$A$2:$A$337=B1134)*
           (aspek!$B$2:$B$337=C1134)*
           (aspek!$C$2:$C$337=D1134),0))</f>
        <v>Kedalaman pemetaan bukan sekadar persetujuan</v>
      </c>
      <c r="F1134" s="76">
        <v>3</v>
      </c>
      <c r="G1134" s="56" t="str" cm="1">
        <f t="array" ref="G1134">INDEX(deskripsi!$D$2:$H$337,
   MATCH(1,(deskripsi!$A$2:$A$337=B1134)*
           (deskripsi!$B$2:$B$337=C1134)*
           (deskripsi!$C$2:$C$337=D1134),0),
   F1134)</f>
        <v>Memetakan perspektif yang berbeda, tetap kesulitan pada yang bertentangan.</v>
      </c>
    </row>
    <row r="1135" spans="1:7" ht="28">
      <c r="A1135" t="str">
        <f t="shared" si="17"/>
        <v>Leadership|Unit Head/Specialist|3|4</v>
      </c>
      <c r="B1135" t="str">
        <v>Leadership</v>
      </c>
      <c r="C1135" t="str">
        <v>Unit Head/Specialist</v>
      </c>
      <c r="D1135" s="76">
        <v>3</v>
      </c>
      <c r="E1135" t="str" cm="1">
        <f t="array" ref="E1135">INDEX(aspek!$D$2:$D$337,
   MATCH(1,(aspek!$A$2:$A$337=B1135)*
           (aspek!$B$2:$B$337=C1135)*
           (aspek!$C$2:$C$337=D1135),0))</f>
        <v>Kedalaman pemetaan bukan sekadar persetujuan</v>
      </c>
      <c r="F1135" s="76">
        <v>4</v>
      </c>
      <c r="G1135" s="56" t="str" cm="1">
        <f t="array" ref="G1135">INDEX(deskripsi!$D$2:$H$337,
   MATCH(1,(deskripsi!$A$2:$A$337=B1135)*
           (deskripsi!$B$2:$B$337=C1135)*
           (deskripsi!$C$2:$C$337=D1135),0),
   F1135)</f>
        <v>Memetakan perspektif secara mendalam terlepas dari keputusan akhir yang akan diambil.</v>
      </c>
    </row>
    <row r="1136" spans="1:7" ht="28">
      <c r="A1136" t="str">
        <f t="shared" si="17"/>
        <v>Leadership|Unit Head/Specialist|3|5</v>
      </c>
      <c r="B1136" t="str">
        <v>Leadership</v>
      </c>
      <c r="C1136" t="str">
        <v>Unit Head/Specialist</v>
      </c>
      <c r="D1136" s="76">
        <v>3</v>
      </c>
      <c r="E1136" t="str" cm="1">
        <f t="array" ref="E1136">INDEX(aspek!$D$2:$D$337,
   MATCH(1,(aspek!$A$2:$A$337=B1136)*
           (aspek!$B$2:$B$337=C1136)*
           (aspek!$C$2:$C$337=D1136),0))</f>
        <v>Kedalaman pemetaan bukan sekadar persetujuan</v>
      </c>
      <c r="F1136" s="76">
        <v>5</v>
      </c>
      <c r="G1136" s="56" t="str" cm="1">
        <f t="array" ref="G1136">INDEX(deskripsi!$D$2:$H$337,
   MATCH(1,(deskripsi!$A$2:$A$337=B1136)*
           (deskripsi!$B$2:$B$337=C1136)*
           (deskripsi!$C$2:$C$337=D1136),0),
   F1136)</f>
        <v>Pemetaannya dipakai pihak lain untuk memahami situasi yang kompleks.</v>
      </c>
    </row>
    <row r="1137" spans="1:7" ht="28">
      <c r="A1137" t="str">
        <f t="shared" si="17"/>
        <v>Leadership|Unit Head/Specialist|4|1</v>
      </c>
      <c r="B1137" t="str">
        <v>Leadership</v>
      </c>
      <c r="C1137" t="str">
        <v>Unit Head/Specialist</v>
      </c>
      <c r="D1137" s="76">
        <v>4</v>
      </c>
      <c r="E1137" t="str" cm="1">
        <f t="array" ref="E1137">INDEX(aspek!$D$2:$D$337,
   MATCH(1,(aspek!$A$2:$A$337=B1137)*
           (aspek!$B$2:$B$337=C1137)*
           (aspek!$C$2:$C$337=D1137),0))</f>
        <v>Verifikasi pemahaman</v>
      </c>
      <c r="F1137" s="76">
        <v>1</v>
      </c>
      <c r="G1137" s="56" t="str" cm="1">
        <f t="array" ref="G1137">INDEX(deskripsi!$D$2:$H$337,
   MATCH(1,(deskripsi!$A$2:$A$337=B1137)*
           (deskripsi!$B$2:$B$337=C1137)*
           (deskripsi!$C$2:$C$337=D1137),0),
   F1137)</f>
        <v>Anggota tim sering bertanya ulang tentang apa yang diharapkan.</v>
      </c>
    </row>
    <row r="1138" spans="1:7">
      <c r="A1138" t="str">
        <f t="shared" si="17"/>
        <v>Leadership|Unit Head/Specialist|4|2</v>
      </c>
      <c r="B1138" t="str">
        <v>Leadership</v>
      </c>
      <c r="C1138" t="str">
        <v>Unit Head/Specialist</v>
      </c>
      <c r="D1138" s="76">
        <v>4</v>
      </c>
      <c r="E1138" t="str" cm="1">
        <f t="array" ref="E1138">INDEX(aspek!$D$2:$D$337,
   MATCH(1,(aspek!$A$2:$A$337=B1138)*
           (aspek!$B$2:$B$337=C1138)*
           (aspek!$C$2:$C$337=D1138),0))</f>
        <v>Verifikasi pemahaman</v>
      </c>
      <c r="F1138" s="76">
        <v>2</v>
      </c>
      <c r="G1138" s="56" t="str" cm="1">
        <f t="array" ref="G1138">INDEX(deskripsi!$D$2:$H$337,
   MATCH(1,(deskripsi!$A$2:$A$337=B1138)*
           (deskripsi!$B$2:$B$337=C1138)*
           (deskripsi!$C$2:$C$337=D1138),0),
   F1138)</f>
        <v>Bertanya ulang berkurang hanya pada tugas yang sederhana.</v>
      </c>
    </row>
    <row r="1139" spans="1:7">
      <c r="A1139" t="str">
        <f t="shared" si="17"/>
        <v>Leadership|Unit Head/Specialist|4|3</v>
      </c>
      <c r="B1139" t="str">
        <v>Leadership</v>
      </c>
      <c r="C1139" t="str">
        <v>Unit Head/Specialist</v>
      </c>
      <c r="D1139" s="76">
        <v>4</v>
      </c>
      <c r="E1139" t="str" cm="1">
        <f t="array" ref="E1139">INDEX(aspek!$D$2:$D$337,
   MATCH(1,(aspek!$A$2:$A$337=B1139)*
           (aspek!$B$2:$B$337=C1139)*
           (aspek!$C$2:$C$337=D1139),0))</f>
        <v>Verifikasi pemahaman</v>
      </c>
      <c r="F1139" s="76">
        <v>3</v>
      </c>
      <c r="G1139" s="56" t="str" cm="1">
        <f t="array" ref="G1139">INDEX(deskripsi!$D$2:$H$337,
   MATCH(1,(deskripsi!$A$2:$A$337=B1139)*
           (deskripsi!$B$2:$B$337=C1139)*
           (deskripsi!$C$2:$C$337=D1139),0),
   F1139)</f>
        <v>Bertanya ulang berkurang pada sebagian besar tugas.</v>
      </c>
    </row>
    <row r="1140" spans="1:7" ht="28">
      <c r="A1140" t="str">
        <f t="shared" si="17"/>
        <v>Leadership|Unit Head/Specialist|4|4</v>
      </c>
      <c r="B1140" t="str">
        <v>Leadership</v>
      </c>
      <c r="C1140" t="str">
        <v>Unit Head/Specialist</v>
      </c>
      <c r="D1140" s="76">
        <v>4</v>
      </c>
      <c r="E1140" t="str" cm="1">
        <f t="array" ref="E1140">INDEX(aspek!$D$2:$D$337,
   MATCH(1,(aspek!$A$2:$A$337=B1140)*
           (aspek!$B$2:$B$337=C1140)*
           (aspek!$C$2:$C$337=D1140),0))</f>
        <v>Verifikasi pemahaman</v>
      </c>
      <c r="F1140" s="76">
        <v>4</v>
      </c>
      <c r="G1140" s="56" t="str" cm="1">
        <f t="array" ref="G1140">INDEX(deskripsi!$D$2:$H$337,
   MATCH(1,(deskripsi!$A$2:$A$337=B1140)*
           (deskripsi!$B$2:$B$337=C1140)*
           (deskripsi!$C$2:$C$337=D1140),0),
   F1140)</f>
        <v>Anggota tim jarang bertanya ulang karena ekspektasi sudah jelas dan diverifikasi.</v>
      </c>
    </row>
    <row r="1141" spans="1:7" ht="28">
      <c r="A1141" t="str">
        <f t="shared" si="17"/>
        <v>Leadership|Unit Head/Specialist|4|5</v>
      </c>
      <c r="B1141" t="str">
        <v>Leadership</v>
      </c>
      <c r="C1141" t="str">
        <v>Unit Head/Specialist</v>
      </c>
      <c r="D1141" s="76">
        <v>4</v>
      </c>
      <c r="E1141" t="str" cm="1">
        <f t="array" ref="E1141">INDEX(aspek!$D$2:$D$337,
   MATCH(1,(aspek!$A$2:$A$337=B1141)*
           (aspek!$B$2:$B$337=C1141)*
           (aspek!$C$2:$C$337=D1141),0))</f>
        <v>Verifikasi pemahaman</v>
      </c>
      <c r="F1141" s="76">
        <v>5</v>
      </c>
      <c r="G1141" s="56" t="str" cm="1">
        <f t="array" ref="G1141">INDEX(deskripsi!$D$2:$H$337,
   MATCH(1,(deskripsi!$A$2:$A$337=B1141)*
           (deskripsi!$B$2:$B$337=C1141)*
           (deskripsi!$C$2:$C$337=D1141),0),
   F1141)</f>
        <v>Anggota tim mampu menjelaskan ekspektasi kepada rekan lain tanpa bantuan peserta.</v>
      </c>
    </row>
    <row r="1142" spans="1:7">
      <c r="A1142" t="str">
        <f t="shared" si="17"/>
        <v>Leadership|Department Head|1|1</v>
      </c>
      <c r="B1142" t="str">
        <v>Leadership</v>
      </c>
      <c r="C1142" t="str">
        <v>Department Head</v>
      </c>
      <c r="D1142" s="76">
        <v>1</v>
      </c>
      <c r="E1142" t="str" cm="1">
        <f t="array" ref="E1142">INDEX(aspek!$D$2:$D$337,
   MATCH(1,(aspek!$A$2:$A$337=B1142)*
           (aspek!$B$2:$B$337=C1142)*
           (aspek!$C$2:$C$337=D1142),0))</f>
        <v>Akurasi membaca emosi orang lain</v>
      </c>
      <c r="F1142" s="76">
        <v>1</v>
      </c>
      <c r="G1142" s="56" t="str" cm="1">
        <f t="array" ref="G1142">INDEX(deskripsi!$D$2:$H$337,
   MATCH(1,(deskripsi!$A$2:$A$337=B1142)*
           (deskripsi!$B$2:$B$337=C1142)*
           (deskripsi!$C$2:$C$337=D1142),0),
   F1142)</f>
        <v>Tidak menyadari emosi orang lain.</v>
      </c>
    </row>
    <row r="1143" spans="1:7">
      <c r="A1143" t="str">
        <f t="shared" si="17"/>
        <v>Leadership|Department Head|1|2</v>
      </c>
      <c r="B1143" t="str">
        <v>Leadership</v>
      </c>
      <c r="C1143" t="str">
        <v>Department Head</v>
      </c>
      <c r="D1143" s="76">
        <v>1</v>
      </c>
      <c r="E1143" t="str" cm="1">
        <f t="array" ref="E1143">INDEX(aspek!$D$2:$D$337,
   MATCH(1,(aspek!$A$2:$A$337=B1143)*
           (aspek!$B$2:$B$337=C1143)*
           (aspek!$C$2:$C$337=D1143),0))</f>
        <v>Akurasi membaca emosi orang lain</v>
      </c>
      <c r="F1143" s="76">
        <v>2</v>
      </c>
      <c r="G1143" s="56" t="str" cm="1">
        <f t="array" ref="G1143">INDEX(deskripsi!$D$2:$H$337,
   MATCH(1,(deskripsi!$A$2:$A$337=B1143)*
           (deskripsi!$B$2:$B$337=C1143)*
           (deskripsi!$C$2:$C$337=D1143),0),
   F1143)</f>
        <v>Membaca emosi yang sangat jelas saja.</v>
      </c>
    </row>
    <row r="1144" spans="1:7">
      <c r="A1144" t="str">
        <f t="shared" si="17"/>
        <v>Leadership|Department Head|1|3</v>
      </c>
      <c r="B1144" t="str">
        <v>Leadership</v>
      </c>
      <c r="C1144" t="str">
        <v>Department Head</v>
      </c>
      <c r="D1144" s="76">
        <v>1</v>
      </c>
      <c r="E1144" t="str" cm="1">
        <f t="array" ref="E1144">INDEX(aspek!$D$2:$D$337,
   MATCH(1,(aspek!$A$2:$A$337=B1144)*
           (aspek!$B$2:$B$337=C1144)*
           (aspek!$C$2:$C$337=D1144),0))</f>
        <v>Akurasi membaca emosi orang lain</v>
      </c>
      <c r="F1144" s="76">
        <v>3</v>
      </c>
      <c r="G1144" s="56" t="str" cm="1">
        <f t="array" ref="G1144">INDEX(deskripsi!$D$2:$H$337,
   MATCH(1,(deskripsi!$A$2:$A$337=B1144)*
           (deskripsi!$B$2:$B$337=C1144)*
           (deskripsi!$C$2:$C$337=D1144),0),
   F1144)</f>
        <v>Membaca emosi yang jelas dengan akurasi cukup baik.</v>
      </c>
    </row>
    <row r="1145" spans="1:7" ht="28">
      <c r="A1145" t="str">
        <f t="shared" si="17"/>
        <v>Leadership|Department Head|1|4</v>
      </c>
      <c r="B1145" t="str">
        <v>Leadership</v>
      </c>
      <c r="C1145" t="str">
        <v>Department Head</v>
      </c>
      <c r="D1145" s="76">
        <v>1</v>
      </c>
      <c r="E1145" t="str" cm="1">
        <f t="array" ref="E1145">INDEX(aspek!$D$2:$D$337,
   MATCH(1,(aspek!$A$2:$A$337=B1145)*
           (aspek!$B$2:$B$337=C1145)*
           (aspek!$C$2:$C$337=D1145),0))</f>
        <v>Akurasi membaca emosi orang lain</v>
      </c>
      <c r="F1145" s="76">
        <v>4</v>
      </c>
      <c r="G1145" s="56" t="str" cm="1">
        <f t="array" ref="G1145">INDEX(deskripsi!$D$2:$H$337,
   MATCH(1,(deskripsi!$A$2:$A$337=B1145)*
           (deskripsi!$B$2:$B$337=C1145)*
           (deskripsi!$C$2:$C$337=D1145),0),
   F1145)</f>
        <v>Membaca emosi secara akurat termasuk yang tidak diucapkan, merespons tepat.</v>
      </c>
    </row>
    <row r="1146" spans="1:7">
      <c r="A1146" t="str">
        <f t="shared" si="17"/>
        <v>Leadership|Department Head|1|5</v>
      </c>
      <c r="B1146" t="str">
        <v>Leadership</v>
      </c>
      <c r="C1146" t="str">
        <v>Department Head</v>
      </c>
      <c r="D1146" s="76">
        <v>1</v>
      </c>
      <c r="E1146" t="str" cm="1">
        <f t="array" ref="E1146">INDEX(aspek!$D$2:$D$337,
   MATCH(1,(aspek!$A$2:$A$337=B1146)*
           (aspek!$B$2:$B$337=C1146)*
           (aspek!$C$2:$C$337=D1146),0))</f>
        <v>Akurasi membaca emosi orang lain</v>
      </c>
      <c r="F1146" s="76">
        <v>5</v>
      </c>
      <c r="G1146" s="56" t="str" cm="1">
        <f t="array" ref="G1146">INDEX(deskripsi!$D$2:$H$337,
   MATCH(1,(deskripsi!$A$2:$A$337=B1146)*
           (deskripsi!$B$2:$B$337=C1146)*
           (deskripsi!$C$2:$C$337=D1146),0),
   F1146)</f>
        <v>Memahami dinamika emosi kolektif dalam kelompok.</v>
      </c>
    </row>
    <row r="1147" spans="1:7">
      <c r="A1147" t="str">
        <f t="shared" si="17"/>
        <v>Leadership|Department Head|2|1</v>
      </c>
      <c r="B1147" t="str">
        <v>Leadership</v>
      </c>
      <c r="C1147" t="str">
        <v>Department Head</v>
      </c>
      <c r="D1147" s="76">
        <v>2</v>
      </c>
      <c r="E1147" t="str" cm="1">
        <f t="array" ref="E1147">INDEX(aspek!$D$2:$D$337,
   MATCH(1,(aspek!$A$2:$A$337=B1147)*
           (aspek!$B$2:$B$337=C1147)*
           (aspek!$C$2:$C$337=D1147),0))</f>
        <v>Kesadaran atas dampak perilaku sendiri</v>
      </c>
      <c r="F1147" s="76">
        <v>1</v>
      </c>
      <c r="G1147" s="56" t="str" cm="1">
        <f t="array" ref="G1147">INDEX(deskripsi!$D$2:$H$337,
   MATCH(1,(deskripsi!$A$2:$A$337=B1147)*
           (deskripsi!$B$2:$B$337=C1147)*
           (deskripsi!$C$2:$C$337=D1147),0),
   F1147)</f>
        <v>Tidak menyadari perilakunya mempengaruhi orang lain.</v>
      </c>
    </row>
    <row r="1148" spans="1:7">
      <c r="A1148" t="str">
        <f t="shared" si="17"/>
        <v>Leadership|Department Head|2|2</v>
      </c>
      <c r="B1148" t="str">
        <v>Leadership</v>
      </c>
      <c r="C1148" t="str">
        <v>Department Head</v>
      </c>
      <c r="D1148" s="76">
        <v>2</v>
      </c>
      <c r="E1148" t="str" cm="1">
        <f t="array" ref="E1148">INDEX(aspek!$D$2:$D$337,
   MATCH(1,(aspek!$A$2:$A$337=B1148)*
           (aspek!$B$2:$B$337=C1148)*
           (aspek!$C$2:$C$337=D1148),0))</f>
        <v>Kesadaran atas dampak perilaku sendiri</v>
      </c>
      <c r="F1148" s="76">
        <v>2</v>
      </c>
      <c r="G1148" s="56" t="str" cm="1">
        <f t="array" ref="G1148">INDEX(deskripsi!$D$2:$H$337,
   MATCH(1,(deskripsi!$A$2:$A$337=B1148)*
           (deskripsi!$B$2:$B$337=C1148)*
           (deskripsi!$C$2:$C$337=D1148),0),
   F1148)</f>
        <v>Sadar hanya setelah diberi tahu secara eksplisit.</v>
      </c>
    </row>
    <row r="1149" spans="1:7">
      <c r="A1149" t="str">
        <f t="shared" si="17"/>
        <v>Leadership|Department Head|2|3</v>
      </c>
      <c r="B1149" t="str">
        <v>Leadership</v>
      </c>
      <c r="C1149" t="str">
        <v>Department Head</v>
      </c>
      <c r="D1149" s="76">
        <v>2</v>
      </c>
      <c r="E1149" t="str" cm="1">
        <f t="array" ref="E1149">INDEX(aspek!$D$2:$D$337,
   MATCH(1,(aspek!$A$2:$A$337=B1149)*
           (aspek!$B$2:$B$337=C1149)*
           (aspek!$C$2:$C$337=D1149),0))</f>
        <v>Kesadaran atas dampak perilaku sendiri</v>
      </c>
      <c r="F1149" s="76">
        <v>3</v>
      </c>
      <c r="G1149" s="56" t="str" cm="1">
        <f t="array" ref="G1149">INDEX(deskripsi!$D$2:$H$337,
   MATCH(1,(deskripsi!$A$2:$A$337=B1149)*
           (deskripsi!$B$2:$B$337=C1149)*
           (deskripsi!$C$2:$C$337=D1149),0),
   F1149)</f>
        <v>Sadar pada kasus yang dampaknya mencolok.</v>
      </c>
    </row>
    <row r="1150" spans="1:7" ht="28">
      <c r="A1150" t="str">
        <f t="shared" si="17"/>
        <v>Leadership|Department Head|2|4</v>
      </c>
      <c r="B1150" t="str">
        <v>Leadership</v>
      </c>
      <c r="C1150" t="str">
        <v>Department Head</v>
      </c>
      <c r="D1150" s="76">
        <v>2</v>
      </c>
      <c r="E1150" t="str" cm="1">
        <f t="array" ref="E1150">INDEX(aspek!$D$2:$D$337,
   MATCH(1,(aspek!$A$2:$A$337=B1150)*
           (aspek!$B$2:$B$337=C1150)*
           (aspek!$C$2:$C$337=D1150),0))</f>
        <v>Kesadaran atas dampak perilaku sendiri</v>
      </c>
      <c r="F1150" s="76">
        <v>4</v>
      </c>
      <c r="G1150" s="56" t="str" cm="1">
        <f t="array" ref="G1150">INDEX(deskripsi!$D$2:$H$337,
   MATCH(1,(deskripsi!$A$2:$A$337=B1150)*
           (deskripsi!$B$2:$B$337=C1150)*
           (deskripsi!$C$2:$C$337=D1150),0),
   F1150)</f>
        <v>Secara proaktif menyadari dampak perilaku dan cara komunikasinya, menyesuaikan diri agar positif.</v>
      </c>
    </row>
    <row r="1151" spans="1:7" ht="28">
      <c r="A1151" t="str">
        <f t="shared" si="17"/>
        <v>Leadership|Department Head|2|5</v>
      </c>
      <c r="B1151" t="str">
        <v>Leadership</v>
      </c>
      <c r="C1151" t="str">
        <v>Department Head</v>
      </c>
      <c r="D1151" s="76">
        <v>2</v>
      </c>
      <c r="E1151" t="str" cm="1">
        <f t="array" ref="E1151">INDEX(aspek!$D$2:$D$337,
   MATCH(1,(aspek!$A$2:$A$337=B1151)*
           (aspek!$B$2:$B$337=C1151)*
           (aspek!$C$2:$C$337=D1151),0))</f>
        <v>Kesadaran atas dampak perilaku sendiri</v>
      </c>
      <c r="F1151" s="76">
        <v>5</v>
      </c>
      <c r="G1151" s="56" t="str" cm="1">
        <f t="array" ref="G1151">INDEX(deskripsi!$D$2:$H$337,
   MATCH(1,(deskripsi!$A$2:$A$337=B1151)*
           (deskripsi!$B$2:$B$337=C1151)*
           (deskripsi!$C$2:$C$337=D1151),0),
   F1151)</f>
        <v>Jejak yang ditinggalkan pada orang lain konsisten positif tanpa perlu diingatkan.</v>
      </c>
    </row>
    <row r="1152" spans="1:7">
      <c r="A1152" t="str">
        <f t="shared" si="17"/>
        <v>Leadership|Department Head|3|1</v>
      </c>
      <c r="B1152" t="str">
        <v>Leadership</v>
      </c>
      <c r="C1152" t="str">
        <v>Department Head</v>
      </c>
      <c r="D1152" s="76">
        <v>3</v>
      </c>
      <c r="E1152" t="str" cm="1">
        <f t="array" ref="E1152">INDEX(aspek!$D$2:$D$337,
   MATCH(1,(aspek!$A$2:$A$337=B1152)*
           (aspek!$B$2:$B$337=C1152)*
           (aspek!$C$2:$C$337=D1152),0))</f>
        <v>Ketepatan respons terhadap emosi</v>
      </c>
      <c r="F1152" s="76">
        <v>1</v>
      </c>
      <c r="G1152" s="56" t="str" cm="1">
        <f t="array" ref="G1152">INDEX(deskripsi!$D$2:$H$337,
   MATCH(1,(deskripsi!$A$2:$A$337=B1152)*
           (deskripsi!$B$2:$B$337=C1152)*
           (deskripsi!$C$2:$C$337=D1152),0),
   F1152)</f>
        <v>Merespons dengan analisis/logika, mengabaikan emosi.</v>
      </c>
    </row>
    <row r="1153" spans="1:7">
      <c r="A1153" t="str">
        <f t="shared" si="17"/>
        <v>Leadership|Department Head|3|2</v>
      </c>
      <c r="B1153" t="str">
        <v>Leadership</v>
      </c>
      <c r="C1153" t="str">
        <v>Department Head</v>
      </c>
      <c r="D1153" s="76">
        <v>3</v>
      </c>
      <c r="E1153" t="str" cm="1">
        <f t="array" ref="E1153">INDEX(aspek!$D$2:$D$337,
   MATCH(1,(aspek!$A$2:$A$337=B1153)*
           (aspek!$B$2:$B$337=C1153)*
           (aspek!$C$2:$C$337=D1153),0))</f>
        <v>Ketepatan respons terhadap emosi</v>
      </c>
      <c r="F1153" s="76">
        <v>2</v>
      </c>
      <c r="G1153" s="56" t="str" cm="1">
        <f t="array" ref="G1153">INDEX(deskripsi!$D$2:$H$337,
   MATCH(1,(deskripsi!$A$2:$A$337=B1153)*
           (deskripsi!$B$2:$B$337=C1153)*
           (deskripsi!$C$2:$C$337=D1153),0),
   F1153)</f>
        <v>Merespons emosi hanya pada situasi personal yang dekat.</v>
      </c>
    </row>
    <row r="1154" spans="1:7">
      <c r="A1154" t="str">
        <f t="shared" si="17"/>
        <v>Leadership|Department Head|3|3</v>
      </c>
      <c r="B1154" t="str">
        <v>Leadership</v>
      </c>
      <c r="C1154" t="str">
        <v>Department Head</v>
      </c>
      <c r="D1154" s="76">
        <v>3</v>
      </c>
      <c r="E1154" t="str" cm="1">
        <f t="array" ref="E1154">INDEX(aspek!$D$2:$D$337,
   MATCH(1,(aspek!$A$2:$A$337=B1154)*
           (aspek!$B$2:$B$337=C1154)*
           (aspek!$C$2:$C$337=D1154),0))</f>
        <v>Ketepatan respons terhadap emosi</v>
      </c>
      <c r="F1154" s="76">
        <v>3</v>
      </c>
      <c r="G1154" s="56" t="str" cm="1">
        <f t="array" ref="G1154">INDEX(deskripsi!$D$2:$H$337,
   MATCH(1,(deskripsi!$A$2:$A$337=B1154)*
           (deskripsi!$B$2:$B$337=C1154)*
           (deskripsi!$C$2:$C$337=D1154),0),
   F1154)</f>
        <v>Merespons emosi secara memadai pada situasi umum.</v>
      </c>
    </row>
    <row r="1155" spans="1:7" ht="28">
      <c r="A1155" t="str">
        <f t="shared" ref="A1155:A1218" si="18">B1155&amp;"|"&amp;C1155&amp;"|"&amp;D1155&amp;"|"&amp;F1155</f>
        <v>Leadership|Department Head|3|4</v>
      </c>
      <c r="B1155" t="str">
        <v>Leadership</v>
      </c>
      <c r="C1155" t="str">
        <v>Department Head</v>
      </c>
      <c r="D1155" s="76">
        <v>3</v>
      </c>
      <c r="E1155" t="str" cm="1">
        <f t="array" ref="E1155">INDEX(aspek!$D$2:$D$337,
   MATCH(1,(aspek!$A$2:$A$337=B1155)*
           (aspek!$B$2:$B$337=C1155)*
           (aspek!$C$2:$C$337=D1155),0))</f>
        <v>Ketepatan respons terhadap emosi</v>
      </c>
      <c r="F1155" s="76">
        <v>4</v>
      </c>
      <c r="G1155" s="56" t="str" cm="1">
        <f t="array" ref="G1155">INDEX(deskripsi!$D$2:$H$337,
   MATCH(1,(deskripsi!$A$2:$A$337=B1155)*
           (deskripsi!$B$2:$B$337=C1155)*
           (deskripsi!$C$2:$C$337=D1155),0),
   F1155)</f>
        <v>Merespons emosi secara tepat dan konsisten, termasuk pada situasi kelompok yang kompleks.</v>
      </c>
    </row>
    <row r="1156" spans="1:7">
      <c r="A1156" t="str">
        <f t="shared" si="18"/>
        <v>Leadership|Department Head|3|5</v>
      </c>
      <c r="B1156" t="str">
        <v>Leadership</v>
      </c>
      <c r="C1156" t="str">
        <v>Department Head</v>
      </c>
      <c r="D1156" s="76">
        <v>3</v>
      </c>
      <c r="E1156" t="str" cm="1">
        <f t="array" ref="E1156">INDEX(aspek!$D$2:$D$337,
   MATCH(1,(aspek!$A$2:$A$337=B1156)*
           (aspek!$B$2:$B$337=C1156)*
           (aspek!$C$2:$C$337=D1156),0))</f>
        <v>Ketepatan respons terhadap emosi</v>
      </c>
      <c r="F1156" s="76">
        <v>5</v>
      </c>
      <c r="G1156" s="56" t="str" cm="1">
        <f t="array" ref="G1156">INDEX(deskripsi!$D$2:$H$337,
   MATCH(1,(deskripsi!$A$2:$A$337=B1156)*
           (deskripsi!$B$2:$B$337=C1156)*
           (deskripsi!$C$2:$C$337=D1156),0),
   F1156)</f>
        <v>Responsnya menjadi teladan bagi pemimpin lain.</v>
      </c>
    </row>
    <row r="1157" spans="1:7">
      <c r="A1157" t="str">
        <f t="shared" si="18"/>
        <v>Leadership|Department Head|4|1</v>
      </c>
      <c r="B1157" t="str">
        <v>Leadership</v>
      </c>
      <c r="C1157" t="str">
        <v>Department Head</v>
      </c>
      <c r="D1157" s="76">
        <v>4</v>
      </c>
      <c r="E1157" t="str" cm="1">
        <f t="array" ref="E1157">INDEX(aspek!$D$2:$D$337,
   MATCH(1,(aspek!$A$2:$A$337=B1157)*
           (aspek!$B$2:$B$337=C1157)*
           (aspek!$C$2:$C$337=D1157),0))</f>
        <v>Penyesuaian perilaku berbasis kesadaran diri</v>
      </c>
      <c r="F1157" s="76">
        <v>1</v>
      </c>
      <c r="G1157" s="56" t="str" cm="1">
        <f t="array" ref="G1157">INDEX(deskripsi!$D$2:$H$337,
   MATCH(1,(deskripsi!$A$2:$A$337=B1157)*
           (deskripsi!$B$2:$B$337=C1157)*
           (deskripsi!$C$2:$C$337=D1157),0),
   F1157)</f>
        <v>Perilaku tidak berubah meski tahu dampaknya negatif.</v>
      </c>
    </row>
    <row r="1158" spans="1:7">
      <c r="A1158" t="str">
        <f t="shared" si="18"/>
        <v>Leadership|Department Head|4|2</v>
      </c>
      <c r="B1158" t="str">
        <v>Leadership</v>
      </c>
      <c r="C1158" t="str">
        <v>Department Head</v>
      </c>
      <c r="D1158" s="76">
        <v>4</v>
      </c>
      <c r="E1158" t="str" cm="1">
        <f t="array" ref="E1158">INDEX(aspek!$D$2:$D$337,
   MATCH(1,(aspek!$A$2:$A$337=B1158)*
           (aspek!$B$2:$B$337=C1158)*
           (aspek!$C$2:$C$337=D1158),0))</f>
        <v>Penyesuaian perilaku berbasis kesadaran diri</v>
      </c>
      <c r="F1158" s="76">
        <v>2</v>
      </c>
      <c r="G1158" s="56" t="str" cm="1">
        <f t="array" ref="G1158">INDEX(deskripsi!$D$2:$H$337,
   MATCH(1,(deskripsi!$A$2:$A$337=B1158)*
           (deskripsi!$B$2:$B$337=C1158)*
           (deskripsi!$C$2:$C$337=D1158),0),
   F1158)</f>
        <v>Menyesuaikan hanya setelah ditegur.</v>
      </c>
    </row>
    <row r="1159" spans="1:7">
      <c r="A1159" t="str">
        <f t="shared" si="18"/>
        <v>Leadership|Department Head|4|3</v>
      </c>
      <c r="B1159" t="str">
        <v>Leadership</v>
      </c>
      <c r="C1159" t="str">
        <v>Department Head</v>
      </c>
      <c r="D1159" s="76">
        <v>4</v>
      </c>
      <c r="E1159" t="str" cm="1">
        <f t="array" ref="E1159">INDEX(aspek!$D$2:$D$337,
   MATCH(1,(aspek!$A$2:$A$337=B1159)*
           (aspek!$B$2:$B$337=C1159)*
           (aspek!$C$2:$C$337=D1159),0))</f>
        <v>Penyesuaian perilaku berbasis kesadaran diri</v>
      </c>
      <c r="F1159" s="76">
        <v>3</v>
      </c>
      <c r="G1159" s="56" t="str" cm="1">
        <f t="array" ref="G1159">INDEX(deskripsi!$D$2:$H$337,
   MATCH(1,(deskripsi!$A$2:$A$337=B1159)*
           (deskripsi!$B$2:$B$337=C1159)*
           (deskripsi!$C$2:$C$337=D1159),0),
   F1159)</f>
        <v>Menyesuaikan pada kasus yang jelas berdampak buruk.</v>
      </c>
    </row>
    <row r="1160" spans="1:7" ht="28">
      <c r="A1160" t="str">
        <f t="shared" si="18"/>
        <v>Leadership|Department Head|4|4</v>
      </c>
      <c r="B1160" t="str">
        <v>Leadership</v>
      </c>
      <c r="C1160" t="str">
        <v>Department Head</v>
      </c>
      <c r="D1160" s="76">
        <v>4</v>
      </c>
      <c r="E1160" t="str" cm="1">
        <f t="array" ref="E1160">INDEX(aspek!$D$2:$D$337,
   MATCH(1,(aspek!$A$2:$A$337=B1160)*
           (aspek!$B$2:$B$337=C1160)*
           (aspek!$C$2:$C$337=D1160),0))</f>
        <v>Penyesuaian perilaku berbasis kesadaran diri</v>
      </c>
      <c r="F1160" s="76">
        <v>4</v>
      </c>
      <c r="G1160" s="56" t="str" cm="1">
        <f t="array" ref="G1160">INDEX(deskripsi!$D$2:$H$337,
   MATCH(1,(deskripsi!$A$2:$A$337=B1160)*
           (deskripsi!$B$2:$B$337=C1160)*
           (deskripsi!$C$2:$C$337=D1160),0),
   F1160)</f>
        <v>Menyesuaikan gaya komunikasi secara proaktif berdasarkan kesadaran dampak pada individu berbeda.</v>
      </c>
    </row>
    <row r="1161" spans="1:7" ht="28">
      <c r="A1161" t="str">
        <f t="shared" si="18"/>
        <v>Leadership|Department Head|4|5</v>
      </c>
      <c r="B1161" t="str">
        <v>Leadership</v>
      </c>
      <c r="C1161" t="str">
        <v>Department Head</v>
      </c>
      <c r="D1161" s="76">
        <v>4</v>
      </c>
      <c r="E1161" t="str" cm="1">
        <f t="array" ref="E1161">INDEX(aspek!$D$2:$D$337,
   MATCH(1,(aspek!$A$2:$A$337=B1161)*
           (aspek!$B$2:$B$337=C1161)*
           (aspek!$C$2:$C$337=D1161),0))</f>
        <v>Penyesuaian perilaku berbasis kesadaran diri</v>
      </c>
      <c r="F1161" s="76">
        <v>5</v>
      </c>
      <c r="G1161" s="56" t="str" cm="1">
        <f t="array" ref="G1161">INDEX(deskripsi!$D$2:$H$337,
   MATCH(1,(deskripsi!$A$2:$A$337=B1161)*
           (deskripsi!$B$2:$B$337=C1161)*
           (deskripsi!$C$2:$C$337=D1161),0),
   F1161)</f>
        <v>Penyesuaiannya menjadi kebiasaan yang melekat, tidak lagi perlu usaha sadar.</v>
      </c>
    </row>
    <row r="1162" spans="1:7">
      <c r="A1162" t="str">
        <f t="shared" si="18"/>
        <v>Leadership|Division Head|1|1</v>
      </c>
      <c r="B1162" t="str">
        <v>Leadership</v>
      </c>
      <c r="C1162" t="str">
        <v>Division Head</v>
      </c>
      <c r="D1162" s="76">
        <v>1</v>
      </c>
      <c r="E1162" t="str" cm="1">
        <f t="array" ref="E1162">INDEX(aspek!$D$2:$D$337,
   MATCH(1,(aspek!$A$2:$A$337=B1162)*
           (aspek!$B$2:$B$337=C1162)*
           (aspek!$C$2:$C$337=D1162),0))</f>
        <v>Keluwesan gaya berdasarkan kesiapan</v>
      </c>
      <c r="F1162" s="76">
        <v>1</v>
      </c>
      <c r="G1162" s="56" t="str" cm="1">
        <f t="array" ref="G1162">INDEX(deskripsi!$D$2:$H$337,
   MATCH(1,(deskripsi!$A$2:$A$337=B1162)*
           (deskripsi!$B$2:$B$337=C1162)*
           (deskripsi!$C$2:$C$337=D1162),0),
   F1162)</f>
        <v>Memakai satu gaya yang sama untuk semua orang.</v>
      </c>
    </row>
    <row r="1163" spans="1:7">
      <c r="A1163" t="str">
        <f t="shared" si="18"/>
        <v>Leadership|Division Head|1|2</v>
      </c>
      <c r="B1163" t="str">
        <v>Leadership</v>
      </c>
      <c r="C1163" t="str">
        <v>Division Head</v>
      </c>
      <c r="D1163" s="76">
        <v>1</v>
      </c>
      <c r="E1163" t="str" cm="1">
        <f t="array" ref="E1163">INDEX(aspek!$D$2:$D$337,
   MATCH(1,(aspek!$A$2:$A$337=B1163)*
           (aspek!$B$2:$B$337=C1163)*
           (aspek!$C$2:$C$337=D1163),0))</f>
        <v>Keluwesan gaya berdasarkan kesiapan</v>
      </c>
      <c r="F1163" s="76">
        <v>2</v>
      </c>
      <c r="G1163" s="56" t="str" cm="1">
        <f t="array" ref="G1163">INDEX(deskripsi!$D$2:$H$337,
   MATCH(1,(deskripsi!$A$2:$A$337=B1163)*
           (deskripsi!$B$2:$B$337=C1163)*
           (deskripsi!$C$2:$C$337=D1163),0),
   F1163)</f>
        <v>Menyesuaikan gaya hanya setelah muncul masalah.</v>
      </c>
    </row>
    <row r="1164" spans="1:7" ht="28">
      <c r="A1164" t="str">
        <f t="shared" si="18"/>
        <v>Leadership|Division Head|1|3</v>
      </c>
      <c r="B1164" t="str">
        <v>Leadership</v>
      </c>
      <c r="C1164" t="str">
        <v>Division Head</v>
      </c>
      <c r="D1164" s="76">
        <v>1</v>
      </c>
      <c r="E1164" t="str" cm="1">
        <f t="array" ref="E1164">INDEX(aspek!$D$2:$D$337,
   MATCH(1,(aspek!$A$2:$A$337=B1164)*
           (aspek!$B$2:$B$337=C1164)*
           (aspek!$C$2:$C$337=D1164),0))</f>
        <v>Keluwesan gaya berdasarkan kesiapan</v>
      </c>
      <c r="F1164" s="76">
        <v>3</v>
      </c>
      <c r="G1164" s="56" t="str" cm="1">
        <f t="array" ref="G1164">INDEX(deskripsi!$D$2:$H$337,
   MATCH(1,(deskripsi!$A$2:$A$337=B1164)*
           (deskripsi!$B$2:$B$337=C1164)*
           (deskripsi!$C$2:$C$337=D1164),0),
   F1164)</f>
        <v>Membedakan gaya antara yang berpengalaman dan yang masih baru.</v>
      </c>
    </row>
    <row r="1165" spans="1:7" ht="28">
      <c r="A1165" t="str">
        <f t="shared" si="18"/>
        <v>Leadership|Division Head|1|4</v>
      </c>
      <c r="B1165" t="str">
        <v>Leadership</v>
      </c>
      <c r="C1165" t="str">
        <v>Division Head</v>
      </c>
      <c r="D1165" s="76">
        <v>1</v>
      </c>
      <c r="E1165" t="str" cm="1">
        <f t="array" ref="E1165">INDEX(aspek!$D$2:$D$337,
   MATCH(1,(aspek!$A$2:$A$337=B1165)*
           (aspek!$B$2:$B$337=C1165)*
           (aspek!$C$2:$C$337=D1165),0))</f>
        <v>Keluwesan gaya berdasarkan kesiapan</v>
      </c>
      <c r="F1165" s="76">
        <v>4</v>
      </c>
      <c r="G1165" s="56" t="str" cm="1">
        <f t="array" ref="G1165">INDEX(deskripsi!$D$2:$H$337,
   MATCH(1,(deskripsi!$A$2:$A$337=B1165)*
           (deskripsi!$B$2:$B$337=C1165)*
           (deskripsi!$C$2:$C$337=D1165),0),
   F1165)</f>
        <v>Menyesuaikan tingkat arahan dan dukungan sesuai kesiapan tiap orang pada tugas tertentu.</v>
      </c>
    </row>
    <row r="1166" spans="1:7" ht="28">
      <c r="A1166" t="str">
        <f t="shared" si="18"/>
        <v>Leadership|Division Head|1|5</v>
      </c>
      <c r="B1166" t="str">
        <v>Leadership</v>
      </c>
      <c r="C1166" t="str">
        <v>Division Head</v>
      </c>
      <c r="D1166" s="76">
        <v>1</v>
      </c>
      <c r="E1166" t="str" cm="1">
        <f t="array" ref="E1166">INDEX(aspek!$D$2:$D$337,
   MATCH(1,(aspek!$A$2:$A$337=B1166)*
           (aspek!$B$2:$B$337=C1166)*
           (aspek!$C$2:$C$337=D1166),0))</f>
        <v>Keluwesan gaya berdasarkan kesiapan</v>
      </c>
      <c r="F1166" s="76">
        <v>5</v>
      </c>
      <c r="G1166" s="56" t="str" cm="1">
        <f t="array" ref="G1166">INDEX(deskripsi!$D$2:$H$337,
   MATCH(1,(deskripsi!$A$2:$A$337=B1166)*
           (deskripsi!$B$2:$B$337=C1166)*
           (deskripsi!$C$2:$C$337=D1166),0),
   F1166)</f>
        <v>Membaca kesiapan akurat dan mengubah gaya bahkan dalam satu percakapan.</v>
      </c>
    </row>
    <row r="1167" spans="1:7">
      <c r="A1167" t="str">
        <f t="shared" si="18"/>
        <v>Leadership|Division Head|2|1</v>
      </c>
      <c r="B1167" t="str">
        <v>Leadership</v>
      </c>
      <c r="C1167" t="str">
        <v>Division Head</v>
      </c>
      <c r="D1167" s="76">
        <v>2</v>
      </c>
      <c r="E1167" t="str" cm="1">
        <f t="array" ref="E1167">INDEX(aspek!$D$2:$D$337,
   MATCH(1,(aspek!$A$2:$A$337=B1167)*
           (aspek!$B$2:$B$337=C1167)*
           (aspek!$C$2:$C$337=D1167),0))</f>
        <v>Jeda dan kualitas respons di bawah tekanann</v>
      </c>
      <c r="F1167" s="76">
        <v>1</v>
      </c>
      <c r="G1167" s="56" t="str" cm="1">
        <f t="array" ref="G1167">INDEX(deskripsi!$D$2:$H$337,
   MATCH(1,(deskripsi!$A$2:$A$337=B1167)*
           (deskripsi!$B$2:$B$337=C1167)*
           (deskripsi!$C$2:$C$337=D1167),0),
   F1167)</f>
        <v>Bereaksi impulsif tanpa jeda.</v>
      </c>
    </row>
    <row r="1168" spans="1:7">
      <c r="A1168" t="str">
        <f t="shared" si="18"/>
        <v>Leadership|Division Head|2|2</v>
      </c>
      <c r="B1168" t="str">
        <v>Leadership</v>
      </c>
      <c r="C1168" t="str">
        <v>Division Head</v>
      </c>
      <c r="D1168" s="76">
        <v>2</v>
      </c>
      <c r="E1168" t="str" cm="1">
        <f t="array" ref="E1168">INDEX(aspek!$D$2:$D$337,
   MATCH(1,(aspek!$A$2:$A$337=B1168)*
           (aspek!$B$2:$B$337=C1168)*
           (aspek!$C$2:$C$337=D1168),0))</f>
        <v>Jeda dan kualitas respons di bawah tekanann</v>
      </c>
      <c r="F1168" s="76">
        <v>2</v>
      </c>
      <c r="G1168" s="56" t="str" cm="1">
        <f t="array" ref="G1168">INDEX(deskripsi!$D$2:$H$337,
   MATCH(1,(deskripsi!$A$2:$A$337=B1168)*
           (deskripsi!$B$2:$B$337=C1168)*
           (deskripsi!$C$2:$C$337=D1168),0),
   F1168)</f>
        <v>Menyadari reaksi berlebihan setelah terjadi.</v>
      </c>
    </row>
    <row r="1169" spans="1:7">
      <c r="A1169" t="str">
        <f t="shared" si="18"/>
        <v>Leadership|Division Head|2|3</v>
      </c>
      <c r="B1169" t="str">
        <v>Leadership</v>
      </c>
      <c r="C1169" t="str">
        <v>Division Head</v>
      </c>
      <c r="D1169" s="76">
        <v>2</v>
      </c>
      <c r="E1169" t="str" cm="1">
        <f t="array" ref="E1169">INDEX(aspek!$D$2:$D$337,
   MATCH(1,(aspek!$A$2:$A$337=B1169)*
           (aspek!$B$2:$B$337=C1169)*
           (aspek!$C$2:$C$337=D1169),0))</f>
        <v>Jeda dan kualitas respons di bawah tekanann</v>
      </c>
      <c r="F1169" s="76">
        <v>3</v>
      </c>
      <c r="G1169" s="56" t="str" cm="1">
        <f t="array" ref="G1169">INDEX(deskripsi!$D$2:$H$337,
   MATCH(1,(deskripsi!$A$2:$A$337=B1169)*
           (deskripsi!$B$2:$B$337=C1169)*
           (deskripsi!$C$2:$C$337=D1169),0),
   F1169)</f>
        <v>Mengenali emosi dan memilih respons, meski butuh usaha.</v>
      </c>
    </row>
    <row r="1170" spans="1:7" ht="28">
      <c r="A1170" t="str">
        <f t="shared" si="18"/>
        <v>Leadership|Division Head|2|4</v>
      </c>
      <c r="B1170" t="str">
        <v>Leadership</v>
      </c>
      <c r="C1170" t="str">
        <v>Division Head</v>
      </c>
      <c r="D1170" s="76">
        <v>2</v>
      </c>
      <c r="E1170" t="str" cm="1">
        <f t="array" ref="E1170">INDEX(aspek!$D$2:$D$337,
   MATCH(1,(aspek!$A$2:$A$337=B1170)*
           (aspek!$B$2:$B$337=C1170)*
           (aspek!$C$2:$C$337=D1170),0))</f>
        <v>Jeda dan kualitas respons di bawah tekanann</v>
      </c>
      <c r="F1170" s="76">
        <v>4</v>
      </c>
      <c r="G1170" s="56" t="str" cm="1">
        <f t="array" ref="G1170">INDEX(deskripsi!$D$2:$H$337,
   MATCH(1,(deskripsi!$A$2:$A$337=B1170)*
           (deskripsi!$B$2:$B$337=C1170)*
           (deskripsi!$C$2:$C$337=D1170),0),
   F1170)</f>
        <v>Tetap tenang dan profesional secara konsisten, menjaga kualitas keputusan.</v>
      </c>
    </row>
    <row r="1171" spans="1:7" ht="28">
      <c r="A1171" t="str">
        <f t="shared" si="18"/>
        <v>Leadership|Division Head|2|5</v>
      </c>
      <c r="B1171" t="str">
        <v>Leadership</v>
      </c>
      <c r="C1171" t="str">
        <v>Division Head</v>
      </c>
      <c r="D1171" s="76">
        <v>2</v>
      </c>
      <c r="E1171" t="str" cm="1">
        <f t="array" ref="E1171">INDEX(aspek!$D$2:$D$337,
   MATCH(1,(aspek!$A$2:$A$337=B1171)*
           (aspek!$B$2:$B$337=C1171)*
           (aspek!$C$2:$C$337=D1171),0))</f>
        <v>Jeda dan kualitas respons di bawah tekanann</v>
      </c>
      <c r="F1171" s="76">
        <v>5</v>
      </c>
      <c r="G1171" s="56" t="str" cm="1">
        <f t="array" ref="G1171">INDEX(deskripsi!$D$2:$H$337,
   MATCH(1,(deskripsi!$A$2:$A$337=B1171)*
           (deskripsi!$B$2:$B$337=C1171)*
           (deskripsi!$C$2:$C$337=D1171),0),
   F1171)</f>
        <v>Menenangkan orang lain dan menjaga kualitas keputusan sekaligus.</v>
      </c>
    </row>
    <row r="1172" spans="1:7">
      <c r="A1172" t="str">
        <f t="shared" si="18"/>
        <v>Leadership|Division Head|3|1</v>
      </c>
      <c r="B1172" t="str">
        <v>Leadership</v>
      </c>
      <c r="C1172" t="str">
        <v>Division Head</v>
      </c>
      <c r="D1172" s="76">
        <v>3</v>
      </c>
      <c r="E1172" t="str" cm="1">
        <f t="array" ref="E1172">INDEX(aspek!$D$2:$D$337,
   MATCH(1,(aspek!$A$2:$A$337=B1172)*
           (aspek!$B$2:$B$337=C1172)*
           (aspek!$C$2:$C$337=D1172),0))</f>
        <v>Akurasi membaca kesiapan</v>
      </c>
      <c r="F1172" s="76">
        <v>1</v>
      </c>
      <c r="G1172" s="56" t="str" cm="1">
        <f t="array" ref="G1172">INDEX(deskripsi!$D$2:$H$337,
   MATCH(1,(deskripsi!$A$2:$A$337=B1172)*
           (deskripsi!$B$2:$B$337=C1172)*
           (deskripsi!$C$2:$C$337=D1172),0),
   F1172)</f>
        <v>Tidak menilai kesiapan sebelum memberi tugas.</v>
      </c>
    </row>
    <row r="1173" spans="1:7">
      <c r="A1173" t="str">
        <f t="shared" si="18"/>
        <v>Leadership|Division Head|3|2</v>
      </c>
      <c r="B1173" t="str">
        <v>Leadership</v>
      </c>
      <c r="C1173" t="str">
        <v>Division Head</v>
      </c>
      <c r="D1173" s="76">
        <v>3</v>
      </c>
      <c r="E1173" t="str" cm="1">
        <f t="array" ref="E1173">INDEX(aspek!$D$2:$D$337,
   MATCH(1,(aspek!$A$2:$A$337=B1173)*
           (aspek!$B$2:$B$337=C1173)*
           (aspek!$C$2:$C$337=D1173),0))</f>
        <v>Akurasi membaca kesiapan</v>
      </c>
      <c r="F1173" s="76">
        <v>2</v>
      </c>
      <c r="G1173" s="56" t="str" cm="1">
        <f t="array" ref="G1173">INDEX(deskripsi!$D$2:$H$337,
   MATCH(1,(deskripsi!$A$2:$A$337=B1173)*
           (deskripsi!$B$2:$B$337=C1173)*
           (deskripsi!$C$2:$C$337=D1173),0),
   F1173)</f>
        <v>Menilai kesiapan berdasarkan kesan umum.</v>
      </c>
    </row>
    <row r="1174" spans="1:7">
      <c r="A1174" t="str">
        <f t="shared" si="18"/>
        <v>Leadership|Division Head|3|3</v>
      </c>
      <c r="B1174" t="str">
        <v>Leadership</v>
      </c>
      <c r="C1174" t="str">
        <v>Division Head</v>
      </c>
      <c r="D1174" s="76">
        <v>3</v>
      </c>
      <c r="E1174" t="str" cm="1">
        <f t="array" ref="E1174">INDEX(aspek!$D$2:$D$337,
   MATCH(1,(aspek!$A$2:$A$337=B1174)*
           (aspek!$B$2:$B$337=C1174)*
           (aspek!$C$2:$C$337=D1174),0))</f>
        <v>Akurasi membaca kesiapan</v>
      </c>
      <c r="F1174" s="76">
        <v>3</v>
      </c>
      <c r="G1174" s="56" t="str" cm="1">
        <f t="array" ref="G1174">INDEX(deskripsi!$D$2:$H$337,
   MATCH(1,(deskripsi!$A$2:$A$337=B1174)*
           (deskripsi!$B$2:$B$337=C1174)*
           (deskripsi!$C$2:$C$337=D1174),0),
   F1174)</f>
        <v>Menilai kesiapan berdasarkan pengalaman formal.</v>
      </c>
    </row>
    <row r="1175" spans="1:7" ht="28">
      <c r="A1175" t="str">
        <f t="shared" si="18"/>
        <v>Leadership|Division Head|3|4</v>
      </c>
      <c r="B1175" t="str">
        <v>Leadership</v>
      </c>
      <c r="C1175" t="str">
        <v>Division Head</v>
      </c>
      <c r="D1175" s="76">
        <v>3</v>
      </c>
      <c r="E1175" t="str" cm="1">
        <f t="array" ref="E1175">INDEX(aspek!$D$2:$D$337,
   MATCH(1,(aspek!$A$2:$A$337=B1175)*
           (aspek!$B$2:$B$337=C1175)*
           (aspek!$C$2:$C$337=D1175),0))</f>
        <v>Akurasi membaca kesiapan</v>
      </c>
      <c r="F1175" s="76">
        <v>4</v>
      </c>
      <c r="G1175" s="56" t="str" cm="1">
        <f t="array" ref="G1175">INDEX(deskripsi!$D$2:$H$337,
   MATCH(1,(deskripsi!$A$2:$A$337=B1175)*
           (deskripsi!$B$2:$B$337=C1175)*
           (deskripsi!$C$2:$C$337=D1175),0),
   F1175)</f>
        <v>Mendiagnosis kesiapan secara akurat, membedakan kekurangan skill dari kekurangan will.</v>
      </c>
    </row>
    <row r="1176" spans="1:7" ht="28">
      <c r="A1176" t="str">
        <f t="shared" si="18"/>
        <v>Leadership|Division Head|3|5</v>
      </c>
      <c r="B1176" t="str">
        <v>Leadership</v>
      </c>
      <c r="C1176" t="str">
        <v>Division Head</v>
      </c>
      <c r="D1176" s="76">
        <v>3</v>
      </c>
      <c r="E1176" t="str" cm="1">
        <f t="array" ref="E1176">INDEX(aspek!$D$2:$D$337,
   MATCH(1,(aspek!$A$2:$A$337=B1176)*
           (aspek!$B$2:$B$337=C1176)*
           (aspek!$C$2:$C$337=D1176),0))</f>
        <v>Akurasi membaca kesiapan</v>
      </c>
      <c r="F1176" s="76">
        <v>5</v>
      </c>
      <c r="G1176" s="56" t="str" cm="1">
        <f t="array" ref="G1176">INDEX(deskripsi!$D$2:$H$337,
   MATCH(1,(deskripsi!$A$2:$A$337=B1176)*
           (deskripsi!$B$2:$B$337=C1176)*
           (deskripsi!$C$2:$C$337=D1176),0),
   F1176)</f>
        <v>Diagnosisnya dikonfirmasi akurat bahkan oleh orang yang dinilai sendiri.</v>
      </c>
    </row>
    <row r="1177" spans="1:7">
      <c r="A1177" t="str">
        <f t="shared" si="18"/>
        <v>Leadership|Division Head|4|1</v>
      </c>
      <c r="B1177" t="str">
        <v>Leadership</v>
      </c>
      <c r="C1177" t="str">
        <v>Division Head</v>
      </c>
      <c r="D1177" s="76">
        <v>4</v>
      </c>
      <c r="E1177" t="str" cm="1">
        <f t="array" ref="E1177">INDEX(aspek!$D$2:$D$337,
   MATCH(1,(aspek!$A$2:$A$337=B1177)*
           (aspek!$B$2:$B$337=C1177)*
           (aspek!$C$2:$C$337=D1177),0))</f>
        <v>Ketenangan yang dipersepsikan orang lain</v>
      </c>
      <c r="F1177" s="76">
        <v>1</v>
      </c>
      <c r="G1177" s="56" t="str" cm="1">
        <f t="array" ref="G1177">INDEX(deskripsi!$D$2:$H$337,
   MATCH(1,(deskripsi!$A$2:$A$337=B1177)*
           (deskripsi!$B$2:$B$337=C1177)*
           (deskripsi!$C$2:$C$337=D1177),0),
   F1177)</f>
        <v>Terlihat panik atau reaktif oleh tim.</v>
      </c>
    </row>
    <row r="1178" spans="1:7">
      <c r="A1178" t="str">
        <f t="shared" si="18"/>
        <v>Leadership|Division Head|4|2</v>
      </c>
      <c r="B1178" t="str">
        <v>Leadership</v>
      </c>
      <c r="C1178" t="str">
        <v>Division Head</v>
      </c>
      <c r="D1178" s="76">
        <v>4</v>
      </c>
      <c r="E1178" t="str" cm="1">
        <f t="array" ref="E1178">INDEX(aspek!$D$2:$D$337,
   MATCH(1,(aspek!$A$2:$A$337=B1178)*
           (aspek!$B$2:$B$337=C1178)*
           (aspek!$C$2:$C$337=D1178),0))</f>
        <v>Ketenangan yang dipersepsikan orang lain</v>
      </c>
      <c r="F1178" s="76">
        <v>2</v>
      </c>
      <c r="G1178" s="56" t="str" cm="1">
        <f t="array" ref="G1178">INDEX(deskripsi!$D$2:$H$337,
   MATCH(1,(deskripsi!$A$2:$A$337=B1178)*
           (deskripsi!$B$2:$B$337=C1178)*
           (deskripsi!$C$2:$C$337=D1178),0),
   F1178)</f>
        <v>Terlihat tenang di permukaan, ketegangan terasa.</v>
      </c>
    </row>
    <row r="1179" spans="1:7">
      <c r="A1179" t="str">
        <f t="shared" si="18"/>
        <v>Leadership|Division Head|4|3</v>
      </c>
      <c r="B1179" t="str">
        <v>Leadership</v>
      </c>
      <c r="C1179" t="str">
        <v>Division Head</v>
      </c>
      <c r="D1179" s="76">
        <v>4</v>
      </c>
      <c r="E1179" t="str" cm="1">
        <f t="array" ref="E1179">INDEX(aspek!$D$2:$D$337,
   MATCH(1,(aspek!$A$2:$A$337=B1179)*
           (aspek!$B$2:$B$337=C1179)*
           (aspek!$C$2:$C$337=D1179),0))</f>
        <v>Ketenangan yang dipersepsikan orang lain</v>
      </c>
      <c r="F1179" s="76">
        <v>3</v>
      </c>
      <c r="G1179" s="56" t="str" cm="1">
        <f t="array" ref="G1179">INDEX(deskripsi!$D$2:$H$337,
   MATCH(1,(deskripsi!$A$2:$A$337=B1179)*
           (deskripsi!$B$2:$B$337=C1179)*
           (deskripsi!$C$2:$C$337=D1179),0),
   F1179)</f>
        <v>Terlihat tenang pada tekanan sedang.</v>
      </c>
    </row>
    <row r="1180" spans="1:7">
      <c r="A1180" t="str">
        <f t="shared" si="18"/>
        <v>Leadership|Division Head|4|4</v>
      </c>
      <c r="B1180" t="str">
        <v>Leadership</v>
      </c>
      <c r="C1180" t="str">
        <v>Division Head</v>
      </c>
      <c r="D1180" s="76">
        <v>4</v>
      </c>
      <c r="E1180" t="str" cm="1">
        <f t="array" ref="E1180">INDEX(aspek!$D$2:$D$337,
   MATCH(1,(aspek!$A$2:$A$337=B1180)*
           (aspek!$B$2:$B$337=C1180)*
           (aspek!$C$2:$C$337=D1180),0))</f>
        <v>Ketenangan yang dipersepsikan orang lain</v>
      </c>
      <c r="F1180" s="76">
        <v>4</v>
      </c>
      <c r="G1180" s="56" t="str" cm="1">
        <f t="array" ref="G1180">INDEX(deskripsi!$D$2:$H$337,
   MATCH(1,(deskripsi!$A$2:$A$337=B1180)*
           (deskripsi!$B$2:$B$337=C1180)*
           (deskripsi!$C$2:$C$337=D1180),0),
   F1180)</f>
        <v>Konsisten terlihat tenang bahkan pada tekanan tinggi.</v>
      </c>
    </row>
    <row r="1181" spans="1:7">
      <c r="A1181" t="str">
        <f t="shared" si="18"/>
        <v>Leadership|Division Head|4|5</v>
      </c>
      <c r="B1181" t="str">
        <v>Leadership</v>
      </c>
      <c r="C1181" t="str">
        <v>Division Head</v>
      </c>
      <c r="D1181" s="76">
        <v>4</v>
      </c>
      <c r="E1181" t="str" cm="1">
        <f t="array" ref="E1181">INDEX(aspek!$D$2:$D$337,
   MATCH(1,(aspek!$A$2:$A$337=B1181)*
           (aspek!$B$2:$B$337=C1181)*
           (aspek!$C$2:$C$337=D1181),0))</f>
        <v>Ketenangan yang dipersepsikan orang lain</v>
      </c>
      <c r="F1181" s="76">
        <v>5</v>
      </c>
      <c r="G1181" s="56" t="str" cm="1">
        <f t="array" ref="G1181">INDEX(deskripsi!$D$2:$H$337,
   MATCH(1,(deskripsi!$A$2:$A$337=B1181)*
           (deskripsi!$B$2:$B$337=C1181)*
           (deskripsi!$C$2:$C$337=D1181),0),
   F1181)</f>
        <v>Ketenangannya menjadi jangkar bagi tim di sekitarnya.</v>
      </c>
    </row>
    <row r="1182" spans="1:7">
      <c r="A1182" t="str">
        <f t="shared" si="18"/>
        <v>Leadership|Director|1|1</v>
      </c>
      <c r="B1182" t="str">
        <v>Leadership</v>
      </c>
      <c r="C1182" t="str">
        <v>Director</v>
      </c>
      <c r="D1182" s="76">
        <v>1</v>
      </c>
      <c r="E1182" t="str" cm="1">
        <f t="array" ref="E1182">INDEX(aspek!$D$2:$D$337,
   MATCH(1,(aspek!$A$2:$A$337=B1182)*
           (aspek!$B$2:$B$337=C1182)*
           (aspek!$C$2:$C$337=D1182),0))</f>
        <v>Netralitas yang dipersepsikan</v>
      </c>
      <c r="F1182" s="76">
        <v>1</v>
      </c>
      <c r="G1182" s="56" t="str" cm="1">
        <f t="array" ref="G1182">INDEX(deskripsi!$D$2:$H$337,
   MATCH(1,(deskripsi!$A$2:$A$337=B1182)*
           (deskripsi!$B$2:$B$337=C1182)*
           (deskripsi!$C$2:$C$337=D1182),0),
   F1182)</f>
        <v>Dianggap berpihak oleh salah satu atau kedua pihak.</v>
      </c>
    </row>
    <row r="1183" spans="1:7">
      <c r="A1183" t="str">
        <f t="shared" si="18"/>
        <v>Leadership|Director|1|2</v>
      </c>
      <c r="B1183" t="str">
        <v>Leadership</v>
      </c>
      <c r="C1183" t="str">
        <v>Director</v>
      </c>
      <c r="D1183" s="76">
        <v>1</v>
      </c>
      <c r="E1183" t="str" cm="1">
        <f t="array" ref="E1183">INDEX(aspek!$D$2:$D$337,
   MATCH(1,(aspek!$A$2:$A$337=B1183)*
           (aspek!$B$2:$B$337=C1183)*
           (aspek!$C$2:$C$337=D1183),0))</f>
        <v>Netralitas yang dipersepsikan</v>
      </c>
      <c r="F1183" s="76">
        <v>2</v>
      </c>
      <c r="G1183" s="56" t="str" cm="1">
        <f t="array" ref="G1183">INDEX(deskripsi!$D$2:$H$337,
   MATCH(1,(deskripsi!$A$2:$A$337=B1183)*
           (deskripsi!$B$2:$B$337=C1183)*
           (deskripsi!$C$2:$C$337=D1183),0),
   F1183)</f>
        <v>Dipercaya oleh sebagian pihak saja.</v>
      </c>
    </row>
    <row r="1184" spans="1:7">
      <c r="A1184" t="str">
        <f t="shared" si="18"/>
        <v>Leadership|Director|1|3</v>
      </c>
      <c r="B1184" t="str">
        <v>Leadership</v>
      </c>
      <c r="C1184" t="str">
        <v>Director</v>
      </c>
      <c r="D1184" s="76">
        <v>1</v>
      </c>
      <c r="E1184" t="str" cm="1">
        <f t="array" ref="E1184">INDEX(aspek!$D$2:$D$337,
   MATCH(1,(aspek!$A$2:$A$337=B1184)*
           (aspek!$B$2:$B$337=C1184)*
           (aspek!$C$2:$C$337=D1184),0))</f>
        <v>Netralitas yang dipersepsikan</v>
      </c>
      <c r="F1184" s="76">
        <v>3</v>
      </c>
      <c r="G1184" s="56" t="str" cm="1">
        <f t="array" ref="G1184">INDEX(deskripsi!$D$2:$H$337,
   MATCH(1,(deskripsi!$A$2:$A$337=B1184)*
           (deskripsi!$B$2:$B$337=C1184)*
           (deskripsi!$C$2:$C$337=D1184),0),
   F1184)</f>
        <v>Dipercaya kedua pihak pada konflik sederhana.</v>
      </c>
    </row>
    <row r="1185" spans="1:7" ht="28">
      <c r="A1185" t="str">
        <f t="shared" si="18"/>
        <v>Leadership|Director|1|4</v>
      </c>
      <c r="B1185" t="str">
        <v>Leadership</v>
      </c>
      <c r="C1185" t="str">
        <v>Director</v>
      </c>
      <c r="D1185" s="76">
        <v>1</v>
      </c>
      <c r="E1185" t="str" cm="1">
        <f t="array" ref="E1185">INDEX(aspek!$D$2:$D$337,
   MATCH(1,(aspek!$A$2:$A$337=B1185)*
           (aspek!$B$2:$B$337=C1185)*
           (aspek!$C$2:$C$337=D1185),0))</f>
        <v>Netralitas yang dipersepsikan</v>
      </c>
      <c r="F1185" s="76">
        <v>4</v>
      </c>
      <c r="G1185" s="56" t="str" cm="1">
        <f t="array" ref="G1185">INDEX(deskripsi!$D$2:$H$337,
   MATCH(1,(deskripsi!$A$2:$A$337=B1185)*
           (deskripsi!$B$2:$B$337=C1185)*
           (deskripsi!$C$2:$C$337=D1185),0),
   F1185)</f>
        <v>Dipercaya sebagai netral oleh kedua pihak, bahkan pada konflik strategis kompleks.</v>
      </c>
    </row>
    <row r="1186" spans="1:7">
      <c r="A1186" t="str">
        <f t="shared" si="18"/>
        <v>Leadership|Director|1|5</v>
      </c>
      <c r="B1186" t="str">
        <v>Leadership</v>
      </c>
      <c r="C1186" t="str">
        <v>Director</v>
      </c>
      <c r="D1186" s="76">
        <v>1</v>
      </c>
      <c r="E1186" t="str" cm="1">
        <f t="array" ref="E1186">INDEX(aspek!$D$2:$D$337,
   MATCH(1,(aspek!$A$2:$A$337=B1186)*
           (aspek!$B$2:$B$337=C1186)*
           (aspek!$C$2:$C$337=D1186),0))</f>
        <v>Netralitas yang dipersepsikan</v>
      </c>
      <c r="F1186" s="76">
        <v>5</v>
      </c>
      <c r="G1186" s="56" t="str" cm="1">
        <f t="array" ref="G1186">INDEX(deskripsi!$D$2:$H$337,
   MATCH(1,(deskripsi!$A$2:$A$337=B1186)*
           (deskripsi!$B$2:$B$337=C1186)*
           (deskripsi!$C$2:$C$337=D1186),0),
   F1186)</f>
        <v>Menjadi rujukan organisasi ketika dibutuhkan mediator netral.</v>
      </c>
    </row>
    <row r="1187" spans="1:7">
      <c r="A1187" t="str">
        <f t="shared" si="18"/>
        <v>Leadership|Director|2|1</v>
      </c>
      <c r="B1187" t="str">
        <v>Leadership</v>
      </c>
      <c r="C1187" t="str">
        <v>Director</v>
      </c>
      <c r="D1187" s="76">
        <v>2</v>
      </c>
      <c r="E1187" t="str" cm="1">
        <f t="array" ref="E1187">INDEX(aspek!$D$2:$D$337,
   MATCH(1,(aspek!$A$2:$A$337=B1187)*
           (aspek!$B$2:$B$337=C1187)*
           (aspek!$C$2:$C$337=D1187),0))</f>
        <v>Ketinggian dan pelembagaan standar kinerja</v>
      </c>
      <c r="F1187" s="76">
        <v>1</v>
      </c>
      <c r="G1187" s="56" t="str" cm="1">
        <f t="array" ref="G1187">INDEX(deskripsi!$D$2:$H$337,
   MATCH(1,(deskripsi!$A$2:$A$337=B1187)*
           (deskripsi!$B$2:$B$337=C1187)*
           (deskripsi!$C$2:$C$337=D1187),0),
   F1187)</f>
        <v>Menerima standar kinerja yang berlaku apa adanya.</v>
      </c>
    </row>
    <row r="1188" spans="1:7">
      <c r="A1188" t="str">
        <f t="shared" si="18"/>
        <v>Leadership|Director|2|2</v>
      </c>
      <c r="B1188" t="str">
        <v>Leadership</v>
      </c>
      <c r="C1188" t="str">
        <v>Director</v>
      </c>
      <c r="D1188" s="76">
        <v>2</v>
      </c>
      <c r="E1188" t="str" cm="1">
        <f t="array" ref="E1188">INDEX(aspek!$D$2:$D$337,
   MATCH(1,(aspek!$A$2:$A$337=B1188)*
           (aspek!$B$2:$B$337=C1188)*
           (aspek!$C$2:$C$337=D1188),0))</f>
        <v>Ketinggian dan pelembagaan standar kinerja</v>
      </c>
      <c r="F1188" s="76">
        <v>2</v>
      </c>
      <c r="G1188" s="56" t="str" cm="1">
        <f t="array" ref="G1188">INDEX(deskripsi!$D$2:$H$337,
   MATCH(1,(deskripsi!$A$2:$A$337=B1188)*
           (deskripsi!$B$2:$B$337=C1188)*
           (deskripsi!$C$2:$C$337=D1188),0),
   F1188)</f>
        <v>Menaikkan standar hanya ketika diminta.</v>
      </c>
    </row>
    <row r="1189" spans="1:7">
      <c r="A1189" t="str">
        <f t="shared" si="18"/>
        <v>Leadership|Director|2|3</v>
      </c>
      <c r="B1189" t="str">
        <v>Leadership</v>
      </c>
      <c r="C1189" t="str">
        <v>Director</v>
      </c>
      <c r="D1189" s="76">
        <v>2</v>
      </c>
      <c r="E1189" t="str" cm="1">
        <f t="array" ref="E1189">INDEX(aspek!$D$2:$D$337,
   MATCH(1,(aspek!$A$2:$A$337=B1189)*
           (aspek!$B$2:$B$337=C1189)*
           (aspek!$C$2:$C$337=D1189),0))</f>
        <v>Ketinggian dan pelembagaan standar kinerja</v>
      </c>
      <c r="F1189" s="76">
        <v>3</v>
      </c>
      <c r="G1189" s="56" t="str" cm="1">
        <f t="array" ref="G1189">INDEX(deskripsi!$D$2:$H$337,
   MATCH(1,(deskripsi!$A$2:$A$337=B1189)*
           (deskripsi!$B$2:$B$337=C1189)*
           (deskripsi!$C$2:$C$337=D1189),0),
   F1189)</f>
        <v>Menaikkan standar dengan pembanding kinerja sendiri.</v>
      </c>
    </row>
    <row r="1190" spans="1:7" ht="42">
      <c r="A1190" t="str">
        <f t="shared" si="18"/>
        <v>Leadership|Director|2|4</v>
      </c>
      <c r="B1190" t="str">
        <v>Leadership</v>
      </c>
      <c r="C1190" t="str">
        <v>Director</v>
      </c>
      <c r="D1190" s="76">
        <v>2</v>
      </c>
      <c r="E1190" t="str" cm="1">
        <f t="array" ref="E1190">INDEX(aspek!$D$2:$D$337,
   MATCH(1,(aspek!$A$2:$A$337=B1190)*
           (aspek!$B$2:$B$337=C1190)*
           (aspek!$C$2:$C$337=D1190),0))</f>
        <v>Ketinggian dan pelembagaan standar kinerja</v>
      </c>
      <c r="F1190" s="76">
        <v>4</v>
      </c>
      <c r="G1190" s="56" t="str" cm="1">
        <f t="array" ref="G1190">INDEX(deskripsi!$D$2:$H$337,
   MATCH(1,(deskripsi!$A$2:$A$337=B1190)*
           (deskripsi!$B$2:$B$337=C1190)*
           (deskripsi!$C$2:$C$337=D1190),0),
   F1190)</f>
        <v>Menetapkan standar berdasarkan pembanding eksternal, melembagakannya menjadi sistem yang berjalan tanpa dirinya.</v>
      </c>
    </row>
    <row r="1191" spans="1:7">
      <c r="A1191" t="str">
        <f t="shared" si="18"/>
        <v>Leadership|Director|2|5</v>
      </c>
      <c r="B1191" t="str">
        <v>Leadership</v>
      </c>
      <c r="C1191" t="str">
        <v>Director</v>
      </c>
      <c r="D1191" s="76">
        <v>2</v>
      </c>
      <c r="E1191" t="str" cm="1">
        <f t="array" ref="E1191">INDEX(aspek!$D$2:$D$337,
   MATCH(1,(aspek!$A$2:$A$337=B1191)*
           (aspek!$B$2:$B$337=C1191)*
           (aspek!$C$2:$C$337=D1191),0))</f>
        <v>Ketinggian dan pelembagaan standar kinerja</v>
      </c>
      <c r="F1191" s="76">
        <v>5</v>
      </c>
      <c r="G1191" s="56" t="str" cm="1">
        <f t="array" ref="G1191">INDEX(deskripsi!$D$2:$H$337,
   MATCH(1,(deskripsi!$A$2:$A$337=B1191)*
           (deskripsi!$B$2:$B$337=C1191)*
           (deskripsi!$C$2:$C$337=D1191),0),
   F1191)</f>
        <v>Standar yang ditetapkan menjadi acuan organisasi.</v>
      </c>
    </row>
    <row r="1192" spans="1:7">
      <c r="A1192" t="str">
        <f t="shared" si="18"/>
        <v>Leadership|Director|3|1</v>
      </c>
      <c r="B1192" t="str">
        <v>Leadership</v>
      </c>
      <c r="C1192" t="str">
        <v>Director</v>
      </c>
      <c r="D1192" s="76">
        <v>3</v>
      </c>
      <c r="E1192" t="str" cm="1">
        <f t="array" ref="E1192">INDEX(aspek!$D$2:$D$337,
   MATCH(1,(aspek!$A$2:$A$337=B1192)*
           (aspek!$B$2:$B$337=C1192)*
           (aspek!$C$2:$C$337=D1192),0))</f>
        <v>Kemampuan membangun komitmen jangka panjang</v>
      </c>
      <c r="F1192" s="76">
        <v>1</v>
      </c>
      <c r="G1192" s="56" t="str" cm="1">
        <f t="array" ref="G1192">INDEX(deskripsi!$D$2:$H$337,
   MATCH(1,(deskripsi!$A$2:$A$337=B1192)*
           (deskripsi!$B$2:$B$337=C1192)*
           (deskripsi!$C$2:$C$337=D1192),0),
   F1192)</f>
        <v>Kesepakatan hasil mediasi tidak ditindaklanjuti.</v>
      </c>
    </row>
    <row r="1193" spans="1:7">
      <c r="A1193" t="str">
        <f t="shared" si="18"/>
        <v>Leadership|Director|3|2</v>
      </c>
      <c r="B1193" t="str">
        <v>Leadership</v>
      </c>
      <c r="C1193" t="str">
        <v>Director</v>
      </c>
      <c r="D1193" s="76">
        <v>3</v>
      </c>
      <c r="E1193" t="str" cm="1">
        <f t="array" ref="E1193">INDEX(aspek!$D$2:$D$337,
   MATCH(1,(aspek!$A$2:$A$337=B1193)*
           (aspek!$B$2:$B$337=C1193)*
           (aspek!$C$2:$C$337=D1193),0))</f>
        <v>Kemampuan membangun komitmen jangka panjang</v>
      </c>
      <c r="F1193" s="76">
        <v>2</v>
      </c>
      <c r="G1193" s="56" t="str" cm="1">
        <f t="array" ref="G1193">INDEX(deskripsi!$D$2:$H$337,
   MATCH(1,(deskripsi!$A$2:$A$337=B1193)*
           (deskripsi!$B$2:$B$337=C1193)*
           (deskripsi!$C$2:$C$337=D1193),0),
   F1193)</f>
        <v>Kesepakatan dijalankan sebentar, ditinggalkan.</v>
      </c>
    </row>
    <row r="1194" spans="1:7">
      <c r="A1194" t="str">
        <f t="shared" si="18"/>
        <v>Leadership|Director|3|3</v>
      </c>
      <c r="B1194" t="str">
        <v>Leadership</v>
      </c>
      <c r="C1194" t="str">
        <v>Director</v>
      </c>
      <c r="D1194" s="76">
        <v>3</v>
      </c>
      <c r="E1194" t="str" cm="1">
        <f t="array" ref="E1194">INDEX(aspek!$D$2:$D$337,
   MATCH(1,(aspek!$A$2:$A$337=B1194)*
           (aspek!$B$2:$B$337=C1194)*
           (aspek!$C$2:$C$337=D1194),0))</f>
        <v>Kemampuan membangun komitmen jangka panjang</v>
      </c>
      <c r="F1194" s="76">
        <v>3</v>
      </c>
      <c r="G1194" s="56" t="str" cm="1">
        <f t="array" ref="G1194">INDEX(deskripsi!$D$2:$H$337,
   MATCH(1,(deskripsi!$A$2:$A$337=B1194)*
           (deskripsi!$B$2:$B$337=C1194)*
           (deskripsi!$C$2:$C$337=D1194),0),
   F1194)</f>
        <v>Kesepakatan dijalankan dengan pemantauan ketat.</v>
      </c>
    </row>
    <row r="1195" spans="1:7" ht="28">
      <c r="A1195" t="str">
        <f t="shared" si="18"/>
        <v>Leadership|Director|3|4</v>
      </c>
      <c r="B1195" t="str">
        <v>Leadership</v>
      </c>
      <c r="C1195" t="str">
        <v>Director</v>
      </c>
      <c r="D1195" s="76">
        <v>3</v>
      </c>
      <c r="E1195" t="str" cm="1">
        <f t="array" ref="E1195">INDEX(aspek!$D$2:$D$337,
   MATCH(1,(aspek!$A$2:$A$337=B1195)*
           (aspek!$B$2:$B$337=C1195)*
           (aspek!$C$2:$C$337=D1195),0))</f>
        <v>Kemampuan membangun komitmen jangka panjang</v>
      </c>
      <c r="F1195" s="76">
        <v>4</v>
      </c>
      <c r="G1195" s="56" t="str" cm="1">
        <f t="array" ref="G1195">INDEX(deskripsi!$D$2:$H$337,
   MATCH(1,(deskripsi!$A$2:$A$337=B1195)*
           (deskripsi!$B$2:$B$337=C1195)*
           (deskripsi!$C$2:$C$337=D1195),0),
   F1195)</f>
        <v>Kesepakatan tetap dijalankan tanpa perlu dinegosiasikan ulang.</v>
      </c>
    </row>
    <row r="1196" spans="1:7">
      <c r="A1196" t="str">
        <f t="shared" si="18"/>
        <v>Leadership|Director|3|5</v>
      </c>
      <c r="B1196" t="str">
        <v>Leadership</v>
      </c>
      <c r="C1196" t="str">
        <v>Director</v>
      </c>
      <c r="D1196" s="76">
        <v>3</v>
      </c>
      <c r="E1196" t="str" cm="1">
        <f t="array" ref="E1196">INDEX(aspek!$D$2:$D$337,
   MATCH(1,(aspek!$A$2:$A$337=B1196)*
           (aspek!$B$2:$B$337=C1196)*
           (aspek!$C$2:$C$337=D1196),0))</f>
        <v>Kemampuan membangun komitmen jangka panjang</v>
      </c>
      <c r="F1196" s="76">
        <v>5</v>
      </c>
      <c r="G1196" s="56" t="str" cm="1">
        <f t="array" ref="G1196">INDEX(deskripsi!$D$2:$H$337,
   MATCH(1,(deskripsi!$A$2:$A$337=B1196)*
           (deskripsi!$B$2:$B$337=C1196)*
           (deskripsi!$C$2:$C$337=D1196),0),
   F1196)</f>
        <v>Kesepakatan menjadi mekanisme kolaborasi permanen.</v>
      </c>
    </row>
    <row r="1197" spans="1:7">
      <c r="A1197" t="str">
        <f t="shared" si="18"/>
        <v>Leadership|Director|4|1</v>
      </c>
      <c r="B1197" t="str">
        <v>Leadership</v>
      </c>
      <c r="C1197" t="str">
        <v>Director</v>
      </c>
      <c r="D1197" s="76">
        <v>4</v>
      </c>
      <c r="E1197" t="str" cm="1">
        <f t="array" ref="E1197">INDEX(aspek!$D$2:$D$337,
   MATCH(1,(aspek!$A$2:$A$337=B1197)*
           (aspek!$B$2:$B$337=C1197)*
           (aspek!$C$2:$C$337=D1197),0))</f>
        <v>Standar bagi diri sendiri</v>
      </c>
      <c r="F1197" s="76">
        <v>1</v>
      </c>
      <c r="G1197" s="56" t="str" cm="1">
        <f t="array" ref="G1197">INDEX(deskripsi!$D$2:$H$337,
   MATCH(1,(deskripsi!$A$2:$A$337=B1197)*
           (deskripsi!$B$2:$B$337=C1197)*
           (deskripsi!$C$2:$C$337=D1197),0),
   F1197)</f>
        <v>Menuntut standar tinggi tanpa menerapkannya sendiri.</v>
      </c>
    </row>
    <row r="1198" spans="1:7">
      <c r="A1198" t="str">
        <f t="shared" si="18"/>
        <v>Leadership|Director|4|2</v>
      </c>
      <c r="B1198" t="str">
        <v>Leadership</v>
      </c>
      <c r="C1198" t="str">
        <v>Director</v>
      </c>
      <c r="D1198" s="76">
        <v>4</v>
      </c>
      <c r="E1198" t="str" cm="1">
        <f t="array" ref="E1198">INDEX(aspek!$D$2:$D$337,
   MATCH(1,(aspek!$A$2:$A$337=B1198)*
           (aspek!$B$2:$B$337=C1198)*
           (aspek!$C$2:$C$337=D1198),0))</f>
        <v>Standar bagi diri sendiri</v>
      </c>
      <c r="F1198" s="76">
        <v>2</v>
      </c>
      <c r="G1198" s="56" t="str" cm="1">
        <f t="array" ref="G1198">INDEX(deskripsi!$D$2:$H$337,
   MATCH(1,(deskripsi!$A$2:$A$337=B1198)*
           (deskripsi!$B$2:$B$337=C1198)*
           (deskripsi!$C$2:$C$337=D1198),0),
   F1198)</f>
        <v>Menerapkan standar yang sama dengan timnya.</v>
      </c>
    </row>
    <row r="1199" spans="1:7">
      <c r="A1199" t="str">
        <f t="shared" si="18"/>
        <v>Leadership|Director|4|3</v>
      </c>
      <c r="B1199" t="str">
        <v>Leadership</v>
      </c>
      <c r="C1199" t="str">
        <v>Director</v>
      </c>
      <c r="D1199" s="76">
        <v>4</v>
      </c>
      <c r="E1199" t="str" cm="1">
        <f t="array" ref="E1199">INDEX(aspek!$D$2:$D$337,
   MATCH(1,(aspek!$A$2:$A$337=B1199)*
           (aspek!$B$2:$B$337=C1199)*
           (aspek!$C$2:$C$337=D1199),0))</f>
        <v>Standar bagi diri sendiri</v>
      </c>
      <c r="F1199" s="76">
        <v>3</v>
      </c>
      <c r="G1199" s="56" t="str" cm="1">
        <f t="array" ref="G1199">INDEX(deskripsi!$D$2:$H$337,
   MATCH(1,(deskripsi!$A$2:$A$337=B1199)*
           (deskripsi!$B$2:$B$337=C1199)*
           (deskripsi!$C$2:$C$337=D1199),0),
   F1199)</f>
        <v>Menetapkan standar pribadi lebih tinggi, disimpan sendiri.</v>
      </c>
    </row>
    <row r="1200" spans="1:7" ht="28">
      <c r="A1200" t="str">
        <f t="shared" si="18"/>
        <v>Leadership|Director|4|4</v>
      </c>
      <c r="B1200" t="str">
        <v>Leadership</v>
      </c>
      <c r="C1200" t="str">
        <v>Director</v>
      </c>
      <c r="D1200" s="76">
        <v>4</v>
      </c>
      <c r="E1200" t="str" cm="1">
        <f t="array" ref="E1200">INDEX(aspek!$D$2:$D$337,
   MATCH(1,(aspek!$A$2:$A$337=B1200)*
           (aspek!$B$2:$B$337=C1200)*
           (aspek!$C$2:$C$337=D1200),0))</f>
        <v>Standar bagi diri sendiri</v>
      </c>
      <c r="F1200" s="76">
        <v>4</v>
      </c>
      <c r="G1200" s="56" t="str" cm="1">
        <f t="array" ref="G1200">INDEX(deskripsi!$D$2:$H$337,
   MATCH(1,(deskripsi!$A$2:$A$337=B1200)*
           (deskripsi!$B$2:$B$337=C1200)*
           (deskripsi!$C$2:$C$337=D1200),0),
   F1200)</f>
        <v>Menetapkan standar pribadi lebih tinggi, mengumumkannya, melaporkan hasilnya apa adanya.</v>
      </c>
    </row>
    <row r="1201" spans="1:7">
      <c r="A1201" t="str">
        <f t="shared" si="18"/>
        <v>Leadership|Director|4|5</v>
      </c>
      <c r="B1201" t="str">
        <v>Leadership</v>
      </c>
      <c r="C1201" t="str">
        <v>Director</v>
      </c>
      <c r="D1201" s="76">
        <v>4</v>
      </c>
      <c r="E1201" t="str" cm="1">
        <f t="array" ref="E1201">INDEX(aspek!$D$2:$D$337,
   MATCH(1,(aspek!$A$2:$A$337=B1201)*
           (aspek!$B$2:$B$337=C1201)*
           (aspek!$C$2:$C$337=D1201),0))</f>
        <v>Standar bagi diri sendiri</v>
      </c>
      <c r="F1201" s="76">
        <v>5</v>
      </c>
      <c r="G1201" s="56" t="str" cm="1">
        <f t="array" ref="G1201">INDEX(deskripsi!$D$2:$H$337,
   MATCH(1,(deskripsi!$A$2:$A$337=B1201)*
           (deskripsi!$B$2:$B$337=C1201)*
           (deskripsi!$C$2:$C$337=D1201),0),
   F1201)</f>
        <v>Standar pribadinya menjadi rujukan yang ditiru tanpa diminta.</v>
      </c>
    </row>
    <row r="1202" spans="1:7" ht="28">
      <c r="A1202" t="str">
        <f t="shared" si="18"/>
        <v>Developing Others|Officer|1|1</v>
      </c>
      <c r="B1202" t="str">
        <v>Developing Others</v>
      </c>
      <c r="C1202" t="str">
        <v>Officer</v>
      </c>
      <c r="D1202" s="76">
        <v>1</v>
      </c>
      <c r="E1202" t="str" cm="1">
        <f t="array" ref="E1202">INDEX(aspek!$D$2:$D$337,
   MATCH(1,(aspek!$A$2:$A$337=B1202)*
           (aspek!$B$2:$B$337=C1202)*
           (aspek!$C$2:$C$337=D1202),0))</f>
        <v>Kecepatan menguasai</v>
      </c>
      <c r="F1202" s="76">
        <v>1</v>
      </c>
      <c r="G1202" s="56" t="str" cm="1">
        <f t="array" ref="G1202">INDEX(deskripsi!$D$2:$H$337,
   MATCH(1,(deskripsi!$A$2:$A$337=B1202)*
           (deskripsi!$B$2:$B$337=C1202)*
           (deskripsi!$C$2:$C$337=D1202),0),
   F1202)</f>
        <v>Tidak dapat memakai sistem baru tanpa dituntun langkah demi langkah.</v>
      </c>
    </row>
    <row r="1203" spans="1:7">
      <c r="A1203" t="str">
        <f t="shared" si="18"/>
        <v>Developing Others|Officer|1|2</v>
      </c>
      <c r="B1203" t="str">
        <v>Developing Others</v>
      </c>
      <c r="C1203" t="str">
        <v>Officer</v>
      </c>
      <c r="D1203" s="76">
        <v>1</v>
      </c>
      <c r="E1203" t="str" cm="1">
        <f t="array" ref="E1203">INDEX(aspek!$D$2:$D$337,
   MATCH(1,(aspek!$A$2:$A$337=B1203)*
           (aspek!$B$2:$B$337=C1203)*
           (aspek!$C$2:$C$337=D1203),0))</f>
        <v>Kecepatan menguasai</v>
      </c>
      <c r="F1203" s="76">
        <v>2</v>
      </c>
      <c r="G1203" s="56" t="str" cm="1">
        <f t="array" ref="G1203">INDEX(deskripsi!$D$2:$H$337,
   MATCH(1,(deskripsi!$A$2:$A$337=B1203)*
           (deskripsi!$B$2:$B$337=C1203)*
           (deskripsi!$C$2:$C$337=D1203),0),
   F1203)</f>
        <v>Bisa memakai dengan banyak bantuan berulang.</v>
      </c>
    </row>
    <row r="1204" spans="1:7">
      <c r="A1204" t="str">
        <f t="shared" si="18"/>
        <v>Developing Others|Officer|1|3</v>
      </c>
      <c r="B1204" t="str">
        <v>Developing Others</v>
      </c>
      <c r="C1204" t="str">
        <v>Officer</v>
      </c>
      <c r="D1204" s="76">
        <v>1</v>
      </c>
      <c r="E1204" t="str" cm="1">
        <f t="array" ref="E1204">INDEX(aspek!$D$2:$D$337,
   MATCH(1,(aspek!$A$2:$A$337=B1204)*
           (aspek!$B$2:$B$337=C1204)*
           (aspek!$C$2:$C$337=D1204),0))</f>
        <v>Kecepatan menguasai</v>
      </c>
      <c r="F1204" s="76">
        <v>3</v>
      </c>
      <c r="G1204" s="56" t="str" cm="1">
        <f t="array" ref="G1204">INDEX(deskripsi!$D$2:$H$337,
   MATCH(1,(deskripsi!$A$2:$A$337=B1204)*
           (deskripsi!$B$2:$B$337=C1204)*
           (deskripsi!$C$2:$C$337=D1204),0),
   F1204)</f>
        <v>Bisa memakai secara mandiri, tetapi lambat.</v>
      </c>
    </row>
    <row r="1205" spans="1:7" ht="28">
      <c r="A1205" t="str">
        <f t="shared" si="18"/>
        <v>Developing Others|Officer|1|4</v>
      </c>
      <c r="B1205" t="str">
        <v>Developing Others</v>
      </c>
      <c r="C1205" t="str">
        <v>Officer</v>
      </c>
      <c r="D1205" s="76">
        <v>1</v>
      </c>
      <c r="E1205" t="str" cm="1">
        <f t="array" ref="E1205">INDEX(aspek!$D$2:$D$337,
   MATCH(1,(aspek!$A$2:$A$337=B1205)*
           (aspek!$B$2:$B$337=C1205)*
           (aspek!$C$2:$C$337=D1205),0))</f>
        <v>Kecepatan menguasai</v>
      </c>
      <c r="F1205" s="76">
        <v>4</v>
      </c>
      <c r="G1205" s="56" t="str" cm="1">
        <f t="array" ref="G1205">INDEX(deskripsi!$D$2:$H$337,
   MATCH(1,(deskripsi!$A$2:$A$337=B1205)*
           (deskripsi!$B$2:$B$337=C1205)*
           (deskripsi!$C$2:$C$337=D1205),0),
   F1205)</f>
        <v>Cepat menguasai sistem baru secara mandiri hingga dapat menggunakannya efektif.</v>
      </c>
    </row>
    <row r="1206" spans="1:7" ht="28">
      <c r="A1206" t="str">
        <f t="shared" si="18"/>
        <v>Developing Others|Officer|1|5</v>
      </c>
      <c r="B1206" t="str">
        <v>Developing Others</v>
      </c>
      <c r="C1206" t="str">
        <v>Officer</v>
      </c>
      <c r="D1206" s="76">
        <v>1</v>
      </c>
      <c r="E1206" t="str" cm="1">
        <f t="array" ref="E1206">INDEX(aspek!$D$2:$D$337,
   MATCH(1,(aspek!$A$2:$A$337=B1206)*
           (aspek!$B$2:$B$337=C1206)*
           (aspek!$C$2:$C$337=D1206),0))</f>
        <v>Kecepatan menguasai</v>
      </c>
      <c r="F1206" s="76">
        <v>5</v>
      </c>
      <c r="G1206" s="56" t="str" cm="1">
        <f t="array" ref="G1206">INDEX(deskripsi!$D$2:$H$337,
   MATCH(1,(deskripsi!$A$2:$A$337=B1206)*
           (deskripsi!$B$2:$B$337=C1206)*
           (deskripsi!$C$2:$C$337=D1206),0),
   F1206)</f>
        <v>Menguasai sistem baru lebih cepat dari sebagian besar rekan sejawat.</v>
      </c>
    </row>
    <row r="1207" spans="1:7">
      <c r="A1207" t="str">
        <f t="shared" si="18"/>
        <v>Developing Others|Officer|2|1</v>
      </c>
      <c r="B1207" t="str">
        <v>Developing Others</v>
      </c>
      <c r="C1207" t="str">
        <v>Officer</v>
      </c>
      <c r="D1207" s="76">
        <v>2</v>
      </c>
      <c r="E1207" t="str" cm="1">
        <f t="array" ref="E1207">INDEX(aspek!$D$2:$D$337,
   MATCH(1,(aspek!$A$2:$A$337=B1207)*
           (aspek!$B$2:$B$337=C1207)*
           (aspek!$C$2:$C$337=D1207),0))</f>
        <v>Kemandirian dalam mempelajari</v>
      </c>
      <c r="F1207" s="76">
        <v>1</v>
      </c>
      <c r="G1207" s="56" t="str" cm="1">
        <f t="array" ref="G1207">INDEX(deskripsi!$D$2:$H$337,
   MATCH(1,(deskripsi!$A$2:$A$337=B1207)*
           (deskripsi!$B$2:$B$337=C1207)*
           (deskripsi!$C$2:$C$337=D1207),0),
   F1207)</f>
        <v>Selalu bertanya sebelum mencoba sendiri.</v>
      </c>
    </row>
    <row r="1208" spans="1:7">
      <c r="A1208" t="str">
        <f t="shared" si="18"/>
        <v>Developing Others|Officer|2|2</v>
      </c>
      <c r="B1208" t="str">
        <v>Developing Others</v>
      </c>
      <c r="C1208" t="str">
        <v>Officer</v>
      </c>
      <c r="D1208" s="76">
        <v>2</v>
      </c>
      <c r="E1208" t="str" cm="1">
        <f t="array" ref="E1208">INDEX(aspek!$D$2:$D$337,
   MATCH(1,(aspek!$A$2:$A$337=B1208)*
           (aspek!$B$2:$B$337=C1208)*
           (aspek!$C$2:$C$337=D1208),0))</f>
        <v>Kemandirian dalam mempelajari</v>
      </c>
      <c r="F1208" s="76">
        <v>2</v>
      </c>
      <c r="G1208" s="56" t="str" cm="1">
        <f t="array" ref="G1208">INDEX(deskripsi!$D$2:$H$337,
   MATCH(1,(deskripsi!$A$2:$A$337=B1208)*
           (deskripsi!$B$2:$B$337=C1208)*
           (deskripsi!$C$2:$C$337=D1208),0),
   F1208)</f>
        <v>Mencoba sendiri sebentar, cepat menyerah dan bertanya.</v>
      </c>
    </row>
    <row r="1209" spans="1:7">
      <c r="A1209" t="str">
        <f t="shared" si="18"/>
        <v>Developing Others|Officer|2|3</v>
      </c>
      <c r="B1209" t="str">
        <v>Developing Others</v>
      </c>
      <c r="C1209" t="str">
        <v>Officer</v>
      </c>
      <c r="D1209" s="76">
        <v>2</v>
      </c>
      <c r="E1209" t="str" cm="1">
        <f t="array" ref="E1209">INDEX(aspek!$D$2:$D$337,
   MATCH(1,(aspek!$A$2:$A$337=B1209)*
           (aspek!$B$2:$B$337=C1209)*
           (aspek!$C$2:$C$337=D1209),0))</f>
        <v>Kemandirian dalam mempelajari</v>
      </c>
      <c r="F1209" s="76">
        <v>3</v>
      </c>
      <c r="G1209" s="56" t="str" cm="1">
        <f t="array" ref="G1209">INDEX(deskripsi!$D$2:$H$337,
   MATCH(1,(deskripsi!$A$2:$A$337=B1209)*
           (deskripsi!$B$2:$B$337=C1209)*
           (deskripsi!$C$2:$C$337=D1209),0),
   F1209)</f>
        <v>Mencoba mandiri pada fitur yang sederhana.</v>
      </c>
    </row>
    <row r="1210" spans="1:7" ht="28">
      <c r="A1210" t="str">
        <f t="shared" si="18"/>
        <v>Developing Others|Officer|2|4</v>
      </c>
      <c r="B1210" t="str">
        <v>Developing Others</v>
      </c>
      <c r="C1210" t="str">
        <v>Officer</v>
      </c>
      <c r="D1210" s="76">
        <v>2</v>
      </c>
      <c r="E1210" t="str" cm="1">
        <f t="array" ref="E1210">INDEX(aspek!$D$2:$D$337,
   MATCH(1,(aspek!$A$2:$A$337=B1210)*
           (aspek!$B$2:$B$337=C1210)*
           (aspek!$C$2:$C$337=D1210),0))</f>
        <v>Kemandirian dalam mempelajari</v>
      </c>
      <c r="F1210" s="76">
        <v>4</v>
      </c>
      <c r="G1210" s="56" t="str" cm="1">
        <f t="array" ref="G1210">INDEX(deskripsi!$D$2:$H$337,
   MATCH(1,(deskripsi!$A$2:$A$337=B1210)*
           (deskripsi!$B$2:$B$337=C1210)*
           (deskripsi!$C$2:$C$337=D1210),0),
   F1210)</f>
        <v>Mencoba mandiri secara konsisten sebelum bertanya, termasuk pada fitur yang rumit.</v>
      </c>
    </row>
    <row r="1211" spans="1:7">
      <c r="A1211" t="str">
        <f t="shared" si="18"/>
        <v>Developing Others|Officer|2|5</v>
      </c>
      <c r="B1211" t="str">
        <v>Developing Others</v>
      </c>
      <c r="C1211" t="str">
        <v>Officer</v>
      </c>
      <c r="D1211" s="76">
        <v>2</v>
      </c>
      <c r="E1211" t="str" cm="1">
        <f t="array" ref="E1211">INDEX(aspek!$D$2:$D$337,
   MATCH(1,(aspek!$A$2:$A$337=B1211)*
           (aspek!$B$2:$B$337=C1211)*
           (aspek!$C$2:$C$337=D1211),0))</f>
        <v>Kemandirian dalam mempelajari</v>
      </c>
      <c r="F1211" s="76">
        <v>5</v>
      </c>
      <c r="G1211" s="56" t="str" cm="1">
        <f t="array" ref="G1211">INDEX(deskripsi!$D$2:$H$337,
   MATCH(1,(deskripsi!$A$2:$A$337=B1211)*
           (deskripsi!$B$2:$B$337=C1211)*
           (deskripsi!$C$2:$C$337=D1211),0),
   F1211)</f>
        <v>Kemandiriannya menjadi contoh bagi rekan.</v>
      </c>
    </row>
    <row r="1212" spans="1:7">
      <c r="A1212" t="str">
        <f t="shared" si="18"/>
        <v>Developing Others|Officer|3|1</v>
      </c>
      <c r="B1212" t="str">
        <v>Developing Others</v>
      </c>
      <c r="C1212" t="str">
        <v>Officer</v>
      </c>
      <c r="D1212" s="76">
        <v>3</v>
      </c>
      <c r="E1212" t="str" cm="1">
        <f t="array" ref="E1212">INDEX(aspek!$D$2:$D$337,
   MATCH(1,(aspek!$A$2:$A$337=B1212)*
           (aspek!$B$2:$B$337=C1212)*
           (aspek!$C$2:$C$337=D1212),0))</f>
        <v>Menularkan penguasaan</v>
      </c>
      <c r="F1212" s="76">
        <v>1</v>
      </c>
      <c r="G1212" s="56" t="str" cm="1">
        <f t="array" ref="G1212">INDEX(deskripsi!$D$2:$H$337,
   MATCH(1,(deskripsi!$A$2:$A$337=B1212)*
           (deskripsi!$B$2:$B$337=C1212)*
           (deskripsi!$C$2:$C$337=D1212),0),
   F1212)</f>
        <v>Menguasai sistem baru hanya untuk diri sendiri.</v>
      </c>
    </row>
    <row r="1213" spans="1:7">
      <c r="A1213" t="str">
        <f t="shared" si="18"/>
        <v>Developing Others|Officer|3|2</v>
      </c>
      <c r="B1213" t="str">
        <v>Developing Others</v>
      </c>
      <c r="C1213" t="str">
        <v>Officer</v>
      </c>
      <c r="D1213" s="76">
        <v>3</v>
      </c>
      <c r="E1213" t="str" cm="1">
        <f t="array" ref="E1213">INDEX(aspek!$D$2:$D$337,
   MATCH(1,(aspek!$A$2:$A$337=B1213)*
           (aspek!$B$2:$B$337=C1213)*
           (aspek!$C$2:$C$337=D1213),0))</f>
        <v>Menularkan penguasaan</v>
      </c>
      <c r="F1213" s="76">
        <v>2</v>
      </c>
      <c r="G1213" s="56" t="str" cm="1">
        <f t="array" ref="G1213">INDEX(deskripsi!$D$2:$H$337,
   MATCH(1,(deskripsi!$A$2:$A$337=B1213)*
           (deskripsi!$B$2:$B$337=C1213)*
           (deskripsi!$C$2:$C$337=D1213),0),
   F1213)</f>
        <v>Menularkan hanya ketika diminta langsung.</v>
      </c>
    </row>
    <row r="1214" spans="1:7">
      <c r="A1214" t="str">
        <f t="shared" si="18"/>
        <v>Developing Others|Officer|3|3</v>
      </c>
      <c r="B1214" t="str">
        <v>Developing Others</v>
      </c>
      <c r="C1214" t="str">
        <v>Officer</v>
      </c>
      <c r="D1214" s="76">
        <v>3</v>
      </c>
      <c r="E1214" t="str" cm="1">
        <f t="array" ref="E1214">INDEX(aspek!$D$2:$D$337,
   MATCH(1,(aspek!$A$2:$A$337=B1214)*
           (aspek!$B$2:$B$337=C1214)*
           (aspek!$C$2:$C$337=D1214),0))</f>
        <v>Menularkan penguasaan</v>
      </c>
      <c r="F1214" s="76">
        <v>3</v>
      </c>
      <c r="G1214" s="56" t="str" cm="1">
        <f t="array" ref="G1214">INDEX(deskripsi!$D$2:$H$337,
   MATCH(1,(deskripsi!$A$2:$A$337=B1214)*
           (deskripsi!$B$2:$B$337=C1214)*
           (deskripsi!$C$2:$C$337=D1214),0),
   F1214)</f>
        <v>Menularkan pada kesempatan informal yang terbatas.</v>
      </c>
    </row>
    <row r="1215" spans="1:7" ht="28">
      <c r="A1215" t="str">
        <f t="shared" si="18"/>
        <v>Developing Others|Officer|3|4</v>
      </c>
      <c r="B1215" t="str">
        <v>Developing Others</v>
      </c>
      <c r="C1215" t="str">
        <v>Officer</v>
      </c>
      <c r="D1215" s="76">
        <v>3</v>
      </c>
      <c r="E1215" t="str" cm="1">
        <f t="array" ref="E1215">INDEX(aspek!$D$2:$D$337,
   MATCH(1,(aspek!$A$2:$A$337=B1215)*
           (aspek!$B$2:$B$337=C1215)*
           (aspek!$C$2:$C$337=D1215),0))</f>
        <v>Menularkan penguasaan</v>
      </c>
      <c r="F1215" s="76">
        <v>4</v>
      </c>
      <c r="G1215" s="56" t="str" cm="1">
        <f t="array" ref="G1215">INDEX(deskripsi!$D$2:$H$337,
   MATCH(1,(deskripsi!$A$2:$A$337=B1215)*
           (deskripsi!$B$2:$B$337=C1215)*
           (deskripsi!$C$2:$C$337=D1215),0),
   F1215)</f>
        <v>Secara aktif mengajarkan sistem baru yang baru dikuasai kepada rekan, dengan panduan yang jelas.</v>
      </c>
    </row>
    <row r="1216" spans="1:7" ht="28">
      <c r="A1216" t="str">
        <f t="shared" si="18"/>
        <v>Developing Others|Officer|3|5</v>
      </c>
      <c r="B1216" t="str">
        <v>Developing Others</v>
      </c>
      <c r="C1216" t="str">
        <v>Officer</v>
      </c>
      <c r="D1216" s="76">
        <v>3</v>
      </c>
      <c r="E1216" t="str" cm="1">
        <f t="array" ref="E1216">INDEX(aspek!$D$2:$D$337,
   MATCH(1,(aspek!$A$2:$A$337=B1216)*
           (aspek!$B$2:$B$337=C1216)*
           (aspek!$C$2:$C$337=D1216),0))</f>
        <v>Menularkan penguasaan</v>
      </c>
      <c r="F1216" s="76">
        <v>5</v>
      </c>
      <c r="G1216" s="56" t="str" cm="1">
        <f t="array" ref="G1216">INDEX(deskripsi!$D$2:$H$337,
   MATCH(1,(deskripsi!$A$2:$A$337=B1216)*
           (deskripsi!$B$2:$B$337=C1216)*
           (deskripsi!$C$2:$C$337=D1216),0),
   F1216)</f>
        <v>Menjadi rujukan tim untuk sistem baru, dicari sebelum bertanya ke pihak lain.</v>
      </c>
    </row>
    <row r="1217" spans="1:7" ht="28">
      <c r="A1217" t="str">
        <f t="shared" si="18"/>
        <v>Developing Others|Officer|4|1</v>
      </c>
      <c r="B1217" t="str">
        <v>Developing Others</v>
      </c>
      <c r="C1217" t="str">
        <v>Officer</v>
      </c>
      <c r="D1217" s="76">
        <v>4</v>
      </c>
      <c r="E1217" t="str" cm="1">
        <f t="array" ref="E1217">INDEX(aspek!$D$2:$D$337,
   MATCH(1,(aspek!$A$2:$A$337=B1217)*
           (aspek!$B$2:$B$337=C1217)*
           (aspek!$C$2:$C$337=D1217),0))</f>
        <v>Efektivitas penggunaan setelah dikuasai</v>
      </c>
      <c r="F1217" s="76">
        <v>1</v>
      </c>
      <c r="G1217" s="56" t="str" cm="1">
        <f t="array" ref="G1217">INDEX(deskripsi!$D$2:$H$337,
   MATCH(1,(deskripsi!$A$2:$A$337=B1217)*
           (deskripsi!$B$2:$B$337=C1217)*
           (deskripsi!$C$2:$C$337=D1217),0),
   F1217)</f>
        <v>Meski sudah dipakai, masih sering melakukan kesalahan dasar.</v>
      </c>
    </row>
    <row r="1218" spans="1:7">
      <c r="A1218" t="str">
        <f t="shared" si="18"/>
        <v>Developing Others|Officer|4|2</v>
      </c>
      <c r="B1218" t="str">
        <v>Developing Others</v>
      </c>
      <c r="C1218" t="str">
        <v>Officer</v>
      </c>
      <c r="D1218" s="76">
        <v>4</v>
      </c>
      <c r="E1218" t="str" cm="1">
        <f t="array" ref="E1218">INDEX(aspek!$D$2:$D$337,
   MATCH(1,(aspek!$A$2:$A$337=B1218)*
           (aspek!$B$2:$B$337=C1218)*
           (aspek!$C$2:$C$337=D1218),0))</f>
        <v>Efektivitas penggunaan setelah dikuasai</v>
      </c>
      <c r="F1218" s="76">
        <v>2</v>
      </c>
      <c r="G1218" s="56" t="str" cm="1">
        <f t="array" ref="G1218">INDEX(deskripsi!$D$2:$H$337,
   MATCH(1,(deskripsi!$A$2:$A$337=B1218)*
           (deskripsi!$B$2:$B$337=C1218)*
           (deskripsi!$C$2:$C$337=D1218),0),
   F1218)</f>
        <v>Menggunakan sistem dengan benar pada fungsi dasar saja.</v>
      </c>
    </row>
    <row r="1219" spans="1:7" ht="28">
      <c r="A1219" t="str">
        <f t="shared" ref="A1219:A1282" si="19">B1219&amp;"|"&amp;C1219&amp;"|"&amp;D1219&amp;"|"&amp;F1219</f>
        <v>Developing Others|Officer|4|3</v>
      </c>
      <c r="B1219" t="str">
        <v>Developing Others</v>
      </c>
      <c r="C1219" t="str">
        <v>Officer</v>
      </c>
      <c r="D1219" s="76">
        <v>4</v>
      </c>
      <c r="E1219" t="str" cm="1">
        <f t="array" ref="E1219">INDEX(aspek!$D$2:$D$337,
   MATCH(1,(aspek!$A$2:$A$337=B1219)*
           (aspek!$B$2:$B$337=C1219)*
           (aspek!$C$2:$C$337=D1219),0))</f>
        <v>Efektivitas penggunaan setelah dikuasai</v>
      </c>
      <c r="F1219" s="76">
        <v>3</v>
      </c>
      <c r="G1219" s="56" t="str" cm="1">
        <f t="array" ref="G1219">INDEX(deskripsi!$D$2:$H$337,
   MATCH(1,(deskripsi!$A$2:$A$337=B1219)*
           (deskripsi!$B$2:$B$337=C1219)*
           (deskripsi!$C$2:$C$337=D1219),0),
   F1219)</f>
        <v>Menggunakan sistem dengan benar pada sebagian besar fungsi.</v>
      </c>
    </row>
    <row r="1220" spans="1:7" ht="28">
      <c r="A1220" t="str">
        <f t="shared" si="19"/>
        <v>Developing Others|Officer|4|4</v>
      </c>
      <c r="B1220" t="str">
        <v>Developing Others</v>
      </c>
      <c r="C1220" t="str">
        <v>Officer</v>
      </c>
      <c r="D1220" s="76">
        <v>4</v>
      </c>
      <c r="E1220" t="str" cm="1">
        <f t="array" ref="E1220">INDEX(aspek!$D$2:$D$337,
   MATCH(1,(aspek!$A$2:$A$337=B1220)*
           (aspek!$B$2:$B$337=C1220)*
           (aspek!$C$2:$C$337=D1220),0))</f>
        <v>Efektivitas penggunaan setelah dikuasai</v>
      </c>
      <c r="F1220" s="76">
        <v>4</v>
      </c>
      <c r="G1220" s="56" t="str" cm="1">
        <f t="array" ref="G1220">INDEX(deskripsi!$D$2:$H$337,
   MATCH(1,(deskripsi!$A$2:$A$337=B1220)*
           (deskripsi!$B$2:$B$337=C1220)*
           (deskripsi!$C$2:$C$337=D1220),0),
   F1220)</f>
        <v>Menggunakan sistem secara efektif pada seluruh fungsi yang relevan dengan pekerjaannya.</v>
      </c>
    </row>
    <row r="1221" spans="1:7" ht="28">
      <c r="A1221" t="str">
        <f t="shared" si="19"/>
        <v>Developing Others|Officer|4|5</v>
      </c>
      <c r="B1221" t="str">
        <v>Developing Others</v>
      </c>
      <c r="C1221" t="str">
        <v>Officer</v>
      </c>
      <c r="D1221" s="76">
        <v>4</v>
      </c>
      <c r="E1221" t="str" cm="1">
        <f t="array" ref="E1221">INDEX(aspek!$D$2:$D$337,
   MATCH(1,(aspek!$A$2:$A$337=B1221)*
           (aspek!$B$2:$B$337=C1221)*
           (aspek!$C$2:$C$337=D1221),0))</f>
        <v>Efektivitas penggunaan setelah dikuasai</v>
      </c>
      <c r="F1221" s="76">
        <v>5</v>
      </c>
      <c r="G1221" s="56" t="str" cm="1">
        <f t="array" ref="G1221">INDEX(deskripsi!$D$2:$H$337,
   MATCH(1,(deskripsi!$A$2:$A$337=B1221)*
           (deskripsi!$B$2:$B$337=C1221)*
           (deskripsi!$C$2:$C$337=D1221),0),
   F1221)</f>
        <v>Menemukan cara memakai sistem yang lebih efisien daripada yang diajarkan awalnya.</v>
      </c>
    </row>
    <row r="1222" spans="1:7">
      <c r="A1222" t="str">
        <f t="shared" si="19"/>
        <v>Developing Others|Analyst|1|1</v>
      </c>
      <c r="B1222" t="str">
        <v>Developing Others</v>
      </c>
      <c r="C1222" t="str">
        <v>Analyst</v>
      </c>
      <c r="D1222" s="76">
        <v>1</v>
      </c>
      <c r="E1222" t="str" cm="1">
        <f t="array" ref="E1222">INDEX(aspek!$D$2:$D$337,
   MATCH(1,(aspek!$A$2:$A$337=B1222)*
           (aspek!$B$2:$B$337=C1222)*
           (aspek!$C$2:$C$337=D1222),0))</f>
        <v>Kedalaman penggalian</v>
      </c>
      <c r="F1222" s="76">
        <v>1</v>
      </c>
      <c r="G1222" s="56" t="str" cm="1">
        <f t="array" ref="G1222">INDEX(deskripsi!$D$2:$H$337,
   MATCH(1,(deskripsi!$A$2:$A$337=B1222)*
           (deskripsi!$B$2:$B$337=C1222)*
           (deskripsi!$C$2:$C$337=D1222),0),
   F1222)</f>
        <v>Cepat menyimpulkan tentang orang tanpa menggali.</v>
      </c>
    </row>
    <row r="1223" spans="1:7">
      <c r="A1223" t="str">
        <f t="shared" si="19"/>
        <v>Developing Others|Analyst|1|2</v>
      </c>
      <c r="B1223" t="str">
        <v>Developing Others</v>
      </c>
      <c r="C1223" t="str">
        <v>Analyst</v>
      </c>
      <c r="D1223" s="76">
        <v>1</v>
      </c>
      <c r="E1223" t="str" cm="1">
        <f t="array" ref="E1223">INDEX(aspek!$D$2:$D$337,
   MATCH(1,(aspek!$A$2:$A$337=B1223)*
           (aspek!$B$2:$B$337=C1223)*
           (aspek!$C$2:$C$337=D1223),0))</f>
        <v>Kedalaman penggalian</v>
      </c>
      <c r="F1223" s="76">
        <v>2</v>
      </c>
      <c r="G1223" s="56" t="str" cm="1">
        <f t="array" ref="G1223">INDEX(deskripsi!$D$2:$H$337,
   MATCH(1,(deskripsi!$A$2:$A$337=B1223)*
           (deskripsi!$B$2:$B$337=C1223)*
           (deskripsi!$C$2:$C$337=D1223),0),
   F1223)</f>
        <v>Bertanya seperlunya untuk memahami tugas mereka.</v>
      </c>
    </row>
    <row r="1224" spans="1:7">
      <c r="A1224" t="str">
        <f t="shared" si="19"/>
        <v>Developing Others|Analyst|1|3</v>
      </c>
      <c r="B1224" t="str">
        <v>Developing Others</v>
      </c>
      <c r="C1224" t="str">
        <v>Analyst</v>
      </c>
      <c r="D1224" s="76">
        <v>1</v>
      </c>
      <c r="E1224" t="str" cm="1">
        <f t="array" ref="E1224">INDEX(aspek!$D$2:$D$337,
   MATCH(1,(aspek!$A$2:$A$337=B1224)*
           (aspek!$B$2:$B$337=C1224)*
           (aspek!$C$2:$C$337=D1224),0))</f>
        <v>Kedalaman penggalian</v>
      </c>
      <c r="F1224" s="76">
        <v>3</v>
      </c>
      <c r="G1224" s="56" t="str" cm="1">
        <f t="array" ref="G1224">INDEX(deskripsi!$D$2:$H$337,
   MATCH(1,(deskripsi!$A$2:$A$337=B1224)*
           (deskripsi!$B$2:$B$337=C1224)*
           (deskripsi!$C$2:$C$337=D1224),0),
   F1224)</f>
        <v>Ingin tahu tentang konteks kehidupan orang lain secara umum.</v>
      </c>
    </row>
    <row r="1225" spans="1:7" ht="28">
      <c r="A1225" t="str">
        <f t="shared" si="19"/>
        <v>Developing Others|Analyst|1|4</v>
      </c>
      <c r="B1225" t="str">
        <v>Developing Others</v>
      </c>
      <c r="C1225" t="str">
        <v>Analyst</v>
      </c>
      <c r="D1225" s="76">
        <v>1</v>
      </c>
      <c r="E1225" t="str" cm="1">
        <f t="array" ref="E1225">INDEX(aspek!$D$2:$D$337,
   MATCH(1,(aspek!$A$2:$A$337=B1225)*
           (aspek!$B$2:$B$337=C1225)*
           (aspek!$C$2:$C$337=D1225),0))</f>
        <v>Kedalaman penggalian</v>
      </c>
      <c r="F1225" s="76">
        <v>4</v>
      </c>
      <c r="G1225" s="56" t="str" cm="1">
        <f t="array" ref="G1225">INDEX(deskripsi!$D$2:$H$337,
   MATCH(1,(deskripsi!$A$2:$A$337=B1225)*
           (deskripsi!$B$2:$B$337=C1225)*
           (deskripsi!$C$2:$C$337=D1225),0),
   F1225)</f>
        <v>Menggali motivasi dan harapan orang lain secara spesifik dan mendalam.</v>
      </c>
    </row>
    <row r="1226" spans="1:7" ht="28">
      <c r="A1226" t="str">
        <f t="shared" si="19"/>
        <v>Developing Others|Analyst|1|5</v>
      </c>
      <c r="B1226" t="str">
        <v>Developing Others</v>
      </c>
      <c r="C1226" t="str">
        <v>Analyst</v>
      </c>
      <c r="D1226" s="76">
        <v>1</v>
      </c>
      <c r="E1226" t="str" cm="1">
        <f t="array" ref="E1226">INDEX(aspek!$D$2:$D$337,
   MATCH(1,(aspek!$A$2:$A$337=B1226)*
           (aspek!$B$2:$B$337=C1226)*
           (aspek!$C$2:$C$337=D1226),0))</f>
        <v>Kedalaman penggalian</v>
      </c>
      <c r="F1226" s="76">
        <v>5</v>
      </c>
      <c r="G1226" s="56" t="str" cm="1">
        <f t="array" ref="G1226">INDEX(deskripsi!$D$2:$H$337,
   MATCH(1,(deskripsi!$A$2:$A$337=B1226)*
           (deskripsi!$B$2:$B$337=C1226)*
           (deskripsi!$C$2:$C$337=D1226),0),
   F1226)</f>
        <v>Membangun kepercayaan mendalam yang membuat orang bersedia berbagi hal yang jarang diungkapkan.</v>
      </c>
    </row>
    <row r="1227" spans="1:7">
      <c r="A1227" t="str">
        <f t="shared" si="19"/>
        <v>Developing Others|Analyst|2|1</v>
      </c>
      <c r="B1227" t="str">
        <v>Developing Others</v>
      </c>
      <c r="C1227" t="str">
        <v>Analyst</v>
      </c>
      <c r="D1227" s="76">
        <v>2</v>
      </c>
      <c r="E1227" t="str" cm="1">
        <f t="array" ref="E1227">INDEX(aspek!$D$2:$D$337,
   MATCH(1,(aspek!$A$2:$A$337=B1227)*
           (aspek!$B$2:$B$337=C1227)*
           (aspek!$C$2:$C$337=D1227),0))</f>
        <v>Ketulusan</v>
      </c>
      <c r="F1227" s="76">
        <v>1</v>
      </c>
      <c r="G1227" s="56" t="str" cm="1">
        <f t="array" ref="G1227">INDEX(deskripsi!$D$2:$H$337,
   MATCH(1,(deskripsi!$A$2:$A$337=B1227)*
           (deskripsi!$B$2:$B$337=C1227)*
           (deskripsi!$C$2:$C$337=D1227),0),
   F1227)</f>
        <v>Bertanya hanya karena formalitas atau kesopanan.</v>
      </c>
    </row>
    <row r="1228" spans="1:7">
      <c r="A1228" t="str">
        <f t="shared" si="19"/>
        <v>Developing Others|Analyst|2|2</v>
      </c>
      <c r="B1228" t="str">
        <v>Developing Others</v>
      </c>
      <c r="C1228" t="str">
        <v>Analyst</v>
      </c>
      <c r="D1228" s="76">
        <v>2</v>
      </c>
      <c r="E1228" t="str" cm="1">
        <f t="array" ref="E1228">INDEX(aspek!$D$2:$D$337,
   MATCH(1,(aspek!$A$2:$A$337=B1228)*
           (aspek!$B$2:$B$337=C1228)*
           (aspek!$C$2:$C$337=D1228),0))</f>
        <v>Ketulusan</v>
      </c>
      <c r="F1228" s="76">
        <v>2</v>
      </c>
      <c r="G1228" s="56" t="str" cm="1">
        <f t="array" ref="G1228">INDEX(deskripsi!$D$2:$H$337,
   MATCH(1,(deskripsi!$A$2:$A$337=B1228)*
           (deskripsi!$B$2:$B$337=C1228)*
           (deskripsi!$C$2:$C$337=D1228),0),
   F1228)</f>
        <v>Bertanya karena kebutuhan tugas, tanpa minat personal.</v>
      </c>
    </row>
    <row r="1229" spans="1:7">
      <c r="A1229" t="str">
        <f t="shared" si="19"/>
        <v>Developing Others|Analyst|2|3</v>
      </c>
      <c r="B1229" t="str">
        <v>Developing Others</v>
      </c>
      <c r="C1229" t="str">
        <v>Analyst</v>
      </c>
      <c r="D1229" s="76">
        <v>2</v>
      </c>
      <c r="E1229" t="str" cm="1">
        <f t="array" ref="E1229">INDEX(aspek!$D$2:$D$337,
   MATCH(1,(aspek!$A$2:$A$337=B1229)*
           (aspek!$B$2:$B$337=C1229)*
           (aspek!$C$2:$C$337=D1229),0))</f>
        <v>Ketulusan</v>
      </c>
      <c r="F1229" s="76">
        <v>3</v>
      </c>
      <c r="G1229" s="56" t="str" cm="1">
        <f t="array" ref="G1229">INDEX(deskripsi!$D$2:$H$337,
   MATCH(1,(deskripsi!$A$2:$A$337=B1229)*
           (deskripsi!$B$2:$B$337=C1229)*
           (deskripsi!$C$2:$C$337=D1229),0),
   F1229)</f>
        <v>Menunjukkan minat personal pada sebagian orang.</v>
      </c>
    </row>
    <row r="1230" spans="1:7" ht="28">
      <c r="A1230" t="str">
        <f t="shared" si="19"/>
        <v>Developing Others|Analyst|2|4</v>
      </c>
      <c r="B1230" t="str">
        <v>Developing Others</v>
      </c>
      <c r="C1230" t="str">
        <v>Analyst</v>
      </c>
      <c r="D1230" s="76">
        <v>2</v>
      </c>
      <c r="E1230" t="str" cm="1">
        <f t="array" ref="E1230">INDEX(aspek!$D$2:$D$337,
   MATCH(1,(aspek!$A$2:$A$337=B1230)*
           (aspek!$B$2:$B$337=C1230)*
           (aspek!$C$2:$C$337=D1230),0))</f>
        <v>Ketulusan</v>
      </c>
      <c r="F1230" s="76">
        <v>4</v>
      </c>
      <c r="G1230" s="56" t="str" cm="1">
        <f t="array" ref="G1230">INDEX(deskripsi!$D$2:$H$337,
   MATCH(1,(deskripsi!$A$2:$A$337=B1230)*
           (deskripsi!$B$2:$B$337=C1230)*
           (deskripsi!$C$2:$C$337=D1230),0),
   F1230)</f>
        <v>Menunjukkan minat personal yang tulus, dikonfirmasi oleh orang yang digali sebagai bukan formalitas.</v>
      </c>
    </row>
    <row r="1231" spans="1:7">
      <c r="A1231" t="str">
        <f t="shared" si="19"/>
        <v>Developing Others|Analyst|2|5</v>
      </c>
      <c r="B1231" t="str">
        <v>Developing Others</v>
      </c>
      <c r="C1231" t="str">
        <v>Analyst</v>
      </c>
      <c r="D1231" s="76">
        <v>2</v>
      </c>
      <c r="E1231" t="str" cm="1">
        <f t="array" ref="E1231">INDEX(aspek!$D$2:$D$337,
   MATCH(1,(aspek!$A$2:$A$337=B1231)*
           (aspek!$B$2:$B$337=C1231)*
           (aspek!$C$2:$C$337=D1231),0))</f>
        <v>Ketulusan</v>
      </c>
      <c r="F1231" s="76">
        <v>5</v>
      </c>
      <c r="G1231" s="56" t="str" cm="1">
        <f t="array" ref="G1231">INDEX(deskripsi!$D$2:$H$337,
   MATCH(1,(deskripsi!$A$2:$A$337=B1231)*
           (deskripsi!$B$2:$B$337=C1231)*
           (deskripsi!$C$2:$C$337=D1231),0),
   F1231)</f>
        <v>Ketulusannya dikenal luas sebagai ciri khasnya.</v>
      </c>
    </row>
    <row r="1232" spans="1:7">
      <c r="A1232" t="str">
        <f t="shared" si="19"/>
        <v>Developing Others|Analyst|3|1</v>
      </c>
      <c r="B1232" t="str">
        <v>Developing Others</v>
      </c>
      <c r="C1232" t="str">
        <v>Analyst</v>
      </c>
      <c r="D1232" s="76">
        <v>3</v>
      </c>
      <c r="E1232" t="str" cm="1">
        <f t="array" ref="E1232">INDEX(aspek!$D$2:$D$337,
   MATCH(1,(aspek!$A$2:$A$337=B1232)*
           (aspek!$B$2:$B$337=C1232)*
           (aspek!$C$2:$C$337=D1232),0))</f>
        <v>Melampaui kebutuhan tugas</v>
      </c>
      <c r="F1232" s="76">
        <v>1</v>
      </c>
      <c r="G1232" s="56" t="str" cm="1">
        <f t="array" ref="G1232">INDEX(deskripsi!$D$2:$H$337,
   MATCH(1,(deskripsi!$A$2:$A$337=B1232)*
           (deskripsi!$B$2:$B$337=C1232)*
           (deskripsi!$C$2:$C$337=D1232),0),
   F1232)</f>
        <v>Tidak pernah bertanya di luar yang diperlukan tugas.</v>
      </c>
    </row>
    <row r="1233" spans="1:7">
      <c r="A1233" t="str">
        <f t="shared" si="19"/>
        <v>Developing Others|Analyst|3|2</v>
      </c>
      <c r="B1233" t="str">
        <v>Developing Others</v>
      </c>
      <c r="C1233" t="str">
        <v>Analyst</v>
      </c>
      <c r="D1233" s="76">
        <v>3</v>
      </c>
      <c r="E1233" t="str" cm="1">
        <f t="array" ref="E1233">INDEX(aspek!$D$2:$D$337,
   MATCH(1,(aspek!$A$2:$A$337=B1233)*
           (aspek!$B$2:$B$337=C1233)*
           (aspek!$C$2:$C$337=D1233),0))</f>
        <v>Melampaui kebutuhan tugas</v>
      </c>
      <c r="F1233" s="76">
        <v>2</v>
      </c>
      <c r="G1233" s="56" t="str" cm="1">
        <f t="array" ref="G1233">INDEX(deskripsi!$D$2:$H$337,
   MATCH(1,(deskripsi!$A$2:$A$337=B1233)*
           (deskripsi!$B$2:$B$337=C1233)*
           (deskripsi!$C$2:$C$337=D1233),0),
   F1233)</f>
        <v>Sesekali bertanya di luar tugas, tidak konsisten.</v>
      </c>
    </row>
    <row r="1234" spans="1:7">
      <c r="A1234" t="str">
        <f t="shared" si="19"/>
        <v>Developing Others|Analyst|3|3</v>
      </c>
      <c r="B1234" t="str">
        <v>Developing Others</v>
      </c>
      <c r="C1234" t="str">
        <v>Analyst</v>
      </c>
      <c r="D1234" s="76">
        <v>3</v>
      </c>
      <c r="E1234" t="str" cm="1">
        <f t="array" ref="E1234">INDEX(aspek!$D$2:$D$337,
   MATCH(1,(aspek!$A$2:$A$337=B1234)*
           (aspek!$B$2:$B$337=C1234)*
           (aspek!$C$2:$C$337=D1234),0))</f>
        <v>Melampaui kebutuhan tugas</v>
      </c>
      <c r="F1234" s="76">
        <v>3</v>
      </c>
      <c r="G1234" s="56" t="str" cm="1">
        <f t="array" ref="G1234">INDEX(deskripsi!$D$2:$H$337,
   MATCH(1,(deskripsi!$A$2:$A$337=B1234)*
           (deskripsi!$B$2:$B$337=C1234)*
           (deskripsi!$C$2:$C$337=D1234),0),
   F1234)</f>
        <v>Bertanya di luar tugas pada rekan yang dekat.</v>
      </c>
    </row>
    <row r="1235" spans="1:7" ht="28">
      <c r="A1235" t="str">
        <f t="shared" si="19"/>
        <v>Developing Others|Analyst|3|4</v>
      </c>
      <c r="B1235" t="str">
        <v>Developing Others</v>
      </c>
      <c r="C1235" t="str">
        <v>Analyst</v>
      </c>
      <c r="D1235" s="76">
        <v>3</v>
      </c>
      <c r="E1235" t="str" cm="1">
        <f t="array" ref="E1235">INDEX(aspek!$D$2:$D$337,
   MATCH(1,(aspek!$A$2:$A$337=B1235)*
           (aspek!$B$2:$B$337=C1235)*
           (aspek!$C$2:$C$337=D1235),0))</f>
        <v>Melampaui kebutuhan tugas</v>
      </c>
      <c r="F1235" s="76">
        <v>4</v>
      </c>
      <c r="G1235" s="56" t="str" cm="1">
        <f t="array" ref="G1235">INDEX(deskripsi!$D$2:$H$337,
   MATCH(1,(deskripsi!$A$2:$A$337=B1235)*
           (deskripsi!$B$2:$B$337=C1235)*
           (deskripsi!$C$2:$C$337=D1235),0),
   F1235)</f>
        <v>Secara konsisten menggali hal di luar kebutuhan tugas pada berbagai rekan, bukan hanya yang dekat.</v>
      </c>
    </row>
    <row r="1236" spans="1:7" ht="28">
      <c r="A1236" t="str">
        <f t="shared" si="19"/>
        <v>Developing Others|Analyst|3|5</v>
      </c>
      <c r="B1236" t="str">
        <v>Developing Others</v>
      </c>
      <c r="C1236" t="str">
        <v>Analyst</v>
      </c>
      <c r="D1236" s="76">
        <v>3</v>
      </c>
      <c r="E1236" t="str" cm="1">
        <f t="array" ref="E1236">INDEX(aspek!$D$2:$D$337,
   MATCH(1,(aspek!$A$2:$A$337=B1236)*
           (aspek!$B$2:$B$337=C1236)*
           (aspek!$C$2:$C$337=D1236),0))</f>
        <v>Melampaui kebutuhan tugas</v>
      </c>
      <c r="F1236" s="76">
        <v>5</v>
      </c>
      <c r="G1236" s="56" t="str" cm="1">
        <f t="array" ref="G1236">INDEX(deskripsi!$D$2:$H$337,
   MATCH(1,(deskripsi!$A$2:$A$337=B1236)*
           (deskripsi!$B$2:$B$337=C1236)*
           (deskripsi!$C$2:$C$337=D1236),0),
   F1236)</f>
        <v>Menjadi orang yang dipercaya untuk berbagi hal personal oleh banyak pihak.</v>
      </c>
    </row>
    <row r="1237" spans="1:7">
      <c r="A1237" t="str">
        <f t="shared" si="19"/>
        <v>Developing Others|Analyst|4|1</v>
      </c>
      <c r="B1237" t="str">
        <v>Developing Others</v>
      </c>
      <c r="C1237" t="str">
        <v>Analyst</v>
      </c>
      <c r="D1237" s="76">
        <v>4</v>
      </c>
      <c r="E1237" t="str" cm="1">
        <f t="array" ref="E1237">INDEX(aspek!$D$2:$D$337,
   MATCH(1,(aspek!$A$2:$A$337=B1237)*
           (aspek!$B$2:$B$337=C1237)*
           (aspek!$C$2:$C$337=D1237),0))</f>
        <v>Dampak pada tindakan</v>
      </c>
      <c r="F1237" s="76">
        <v>1</v>
      </c>
      <c r="G1237" s="56" t="str" cm="1">
        <f t="array" ref="G1237">INDEX(deskripsi!$D$2:$H$337,
   MATCH(1,(deskripsi!$A$2:$A$337=B1237)*
           (deskripsi!$B$2:$B$337=C1237)*
           (deskripsi!$C$2:$C$337=D1237),0),
   F1237)</f>
        <v>Pemahaman personal tidak pernah dipakai untuk membantu.</v>
      </c>
    </row>
    <row r="1238" spans="1:7">
      <c r="A1238" t="str">
        <f t="shared" si="19"/>
        <v>Developing Others|Analyst|4|2</v>
      </c>
      <c r="B1238" t="str">
        <v>Developing Others</v>
      </c>
      <c r="C1238" t="str">
        <v>Analyst</v>
      </c>
      <c r="D1238" s="76">
        <v>4</v>
      </c>
      <c r="E1238" t="str" cm="1">
        <f t="array" ref="E1238">INDEX(aspek!$D$2:$D$337,
   MATCH(1,(aspek!$A$2:$A$337=B1238)*
           (aspek!$B$2:$B$337=C1238)*
           (aspek!$C$2:$C$337=D1238),0))</f>
        <v>Dampak pada tindakan</v>
      </c>
      <c r="F1238" s="76">
        <v>2</v>
      </c>
      <c r="G1238" s="56" t="str" cm="1">
        <f t="array" ref="G1238">INDEX(deskripsi!$D$2:$H$337,
   MATCH(1,(deskripsi!$A$2:$A$337=B1238)*
           (deskripsi!$B$2:$B$337=C1238)*
           (deskripsi!$C$2:$C$337=D1238),0),
   F1238)</f>
        <v>Dipakai sesekali tanpa tindak lanjut nyata.</v>
      </c>
    </row>
    <row r="1239" spans="1:7">
      <c r="A1239" t="str">
        <f t="shared" si="19"/>
        <v>Developing Others|Analyst|4|3</v>
      </c>
      <c r="B1239" t="str">
        <v>Developing Others</v>
      </c>
      <c r="C1239" t="str">
        <v>Analyst</v>
      </c>
      <c r="D1239" s="76">
        <v>4</v>
      </c>
      <c r="E1239" t="str" cm="1">
        <f t="array" ref="E1239">INDEX(aspek!$D$2:$D$337,
   MATCH(1,(aspek!$A$2:$A$337=B1239)*
           (aspek!$B$2:$B$337=C1239)*
           (aspek!$C$2:$C$337=D1239),0))</f>
        <v>Dampak pada tindakan</v>
      </c>
      <c r="F1239" s="76">
        <v>3</v>
      </c>
      <c r="G1239" s="56" t="str" cm="1">
        <f t="array" ref="G1239">INDEX(deskripsi!$D$2:$H$337,
   MATCH(1,(deskripsi!$A$2:$A$337=B1239)*
           (deskripsi!$B$2:$B$337=C1239)*
           (deskripsi!$C$2:$C$337=D1239),0),
   F1239)</f>
        <v>Dipakai untuk membantu pada kasus yang mudah.</v>
      </c>
    </row>
    <row r="1240" spans="1:7" ht="28">
      <c r="A1240" t="str">
        <f t="shared" si="19"/>
        <v>Developing Others|Analyst|4|4</v>
      </c>
      <c r="B1240" t="str">
        <v>Developing Others</v>
      </c>
      <c r="C1240" t="str">
        <v>Analyst</v>
      </c>
      <c r="D1240" s="76">
        <v>4</v>
      </c>
      <c r="E1240" t="str" cm="1">
        <f t="array" ref="E1240">INDEX(aspek!$D$2:$D$337,
   MATCH(1,(aspek!$A$2:$A$337=B1240)*
           (aspek!$B$2:$B$337=C1240)*
           (aspek!$C$2:$C$337=D1240),0))</f>
        <v>Dampak pada tindakan</v>
      </c>
      <c r="F1240" s="76">
        <v>4</v>
      </c>
      <c r="G1240" s="56" t="str" cm="1">
        <f t="array" ref="G1240">INDEX(deskripsi!$D$2:$H$337,
   MATCH(1,(deskripsi!$A$2:$A$337=B1240)*
           (deskripsi!$B$2:$B$337=C1240)*
           (deskripsi!$C$2:$C$337=D1240),0),
   F1240)</f>
        <v>Dipakai untuk membantu mengatasi kekhawatiran nyata, dikonfirmasi hasilnya.</v>
      </c>
    </row>
    <row r="1241" spans="1:7" ht="28">
      <c r="A1241" t="str">
        <f t="shared" si="19"/>
        <v>Developing Others|Analyst|4|5</v>
      </c>
      <c r="B1241" t="str">
        <v>Developing Others</v>
      </c>
      <c r="C1241" t="str">
        <v>Analyst</v>
      </c>
      <c r="D1241" s="76">
        <v>4</v>
      </c>
      <c r="E1241" t="str" cm="1">
        <f t="array" ref="E1241">INDEX(aspek!$D$2:$D$337,
   MATCH(1,(aspek!$A$2:$A$337=B1241)*
           (aspek!$B$2:$B$337=C1241)*
           (aspek!$C$2:$C$337=D1241),0))</f>
        <v>Dampak pada tindakan</v>
      </c>
      <c r="F1241" s="76">
        <v>5</v>
      </c>
      <c r="G1241" s="56" t="str" cm="1">
        <f t="array" ref="G1241">INDEX(deskripsi!$D$2:$H$337,
   MATCH(1,(deskripsi!$A$2:$A$337=B1241)*
           (deskripsi!$B$2:$B$337=C1241)*
           (deskripsi!$C$2:$C$337=D1241),0),
   F1241)</f>
        <v>Pemahamannya menjadi dasar dukungan berkelanjutan bagi rekan.</v>
      </c>
    </row>
    <row r="1242" spans="1:7" ht="28">
      <c r="A1242" t="str">
        <f t="shared" si="19"/>
        <v>Developing Others|Unit Head/Specialist|1|1</v>
      </c>
      <c r="B1242" t="str">
        <v>Developing Others</v>
      </c>
      <c r="C1242" t="str">
        <v>Unit Head/Specialist</v>
      </c>
      <c r="D1242" s="76">
        <v>1</v>
      </c>
      <c r="E1242" t="str" cm="1">
        <f t="array" ref="E1242">INDEX(aspek!$D$2:$D$337,
   MATCH(1,(aspek!$A$2:$A$337=B1242)*
           (aspek!$B$2:$B$337=C1242)*
           (aspek!$C$2:$C$337=D1242),0))</f>
        <v>Kedalaman pembacaan kemampuan</v>
      </c>
      <c r="F1242" s="76">
        <v>1</v>
      </c>
      <c r="G1242" s="56" t="str" cm="1">
        <f t="array" ref="G1242">INDEX(deskripsi!$D$2:$H$337,
   MATCH(1,(deskripsi!$A$2:$A$337=B1242)*
           (deskripsi!$B$2:$B$337=C1242)*
           (deskripsi!$C$2:$C$337=D1242),0),
   F1242)</f>
        <v>Perhatian terpusat pada tugas sendiri, tidak memperhatikan kemampuan orang lain.</v>
      </c>
    </row>
    <row r="1243" spans="1:7">
      <c r="A1243" t="str">
        <f t="shared" si="19"/>
        <v>Developing Others|Unit Head/Specialist|1|2</v>
      </c>
      <c r="B1243" t="str">
        <v>Developing Others</v>
      </c>
      <c r="C1243" t="str">
        <v>Unit Head/Specialist</v>
      </c>
      <c r="D1243" s="76">
        <v>1</v>
      </c>
      <c r="E1243" t="str" cm="1">
        <f t="array" ref="E1243">INDEX(aspek!$D$2:$D$337,
   MATCH(1,(aspek!$A$2:$A$337=B1243)*
           (aspek!$B$2:$B$337=C1243)*
           (aspek!$C$2:$C$337=D1243),0))</f>
        <v>Kedalaman pembacaan kemampuan</v>
      </c>
      <c r="F1243" s="76">
        <v>2</v>
      </c>
      <c r="G1243" s="56" t="str" cm="1">
        <f t="array" ref="G1243">INDEX(deskripsi!$D$2:$H$337,
   MATCH(1,(deskripsi!$A$2:$A$337=B1243)*
           (deskripsi!$B$2:$B$337=C1243)*
           (deskripsi!$C$2:$C$337=D1243),0),
   F1243)</f>
        <v>Tahu siapa yang kuat dan lemah, tanpa menelusuri sebabnya.</v>
      </c>
    </row>
    <row r="1244" spans="1:7" ht="28">
      <c r="A1244" t="str">
        <f t="shared" si="19"/>
        <v>Developing Others|Unit Head/Specialist|1|3</v>
      </c>
      <c r="B1244" t="str">
        <v>Developing Others</v>
      </c>
      <c r="C1244" t="str">
        <v>Unit Head/Specialist</v>
      </c>
      <c r="D1244" s="76">
        <v>1</v>
      </c>
      <c r="E1244" t="str" cm="1">
        <f t="array" ref="E1244">INDEX(aspek!$D$2:$D$337,
   MATCH(1,(aspek!$A$2:$A$337=B1244)*
           (aspek!$B$2:$B$337=C1244)*
           (aspek!$C$2:$C$337=D1244),0))</f>
        <v>Kedalaman pembacaan kemampuan</v>
      </c>
      <c r="F1244" s="76">
        <v>3</v>
      </c>
      <c r="G1244" s="56" t="str" cm="1">
        <f t="array" ref="G1244">INDEX(deskripsi!$D$2:$H$337,
   MATCH(1,(deskripsi!$A$2:$A$337=B1244)*
           (deskripsi!$B$2:$B$337=C1244)*
           (deskripsi!$C$2:$C$337=D1244),0),
   F1244)</f>
        <v>Mengenali kekuatan dan area pengembangan berdasarkan hasil kerja.</v>
      </c>
    </row>
    <row r="1245" spans="1:7" ht="28">
      <c r="A1245" t="str">
        <f t="shared" si="19"/>
        <v>Developing Others|Unit Head/Specialist|1|4</v>
      </c>
      <c r="B1245" t="str">
        <v>Developing Others</v>
      </c>
      <c r="C1245" t="str">
        <v>Unit Head/Specialist</v>
      </c>
      <c r="D1245" s="76">
        <v>1</v>
      </c>
      <c r="E1245" t="str" cm="1">
        <f t="array" ref="E1245">INDEX(aspek!$D$2:$D$337,
   MATCH(1,(aspek!$A$2:$A$337=B1245)*
           (aspek!$B$2:$B$337=C1245)*
           (aspek!$C$2:$C$337=D1245),0))</f>
        <v>Kedalaman pembacaan kemampuan</v>
      </c>
      <c r="F1245" s="76">
        <v>4</v>
      </c>
      <c r="G1245" s="56" t="str" cm="1">
        <f t="array" ref="G1245">INDEX(deskripsi!$D$2:$H$337,
   MATCH(1,(deskripsi!$A$2:$A$337=B1245)*
           (deskripsi!$B$2:$B$337=C1245)*
           (deskripsi!$C$2:$C$337=D1245),0),
   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76">
        <v>1</v>
      </c>
      <c r="E1246" t="str" cm="1">
        <f t="array" ref="E1246">INDEX(aspek!$D$2:$D$337,
   MATCH(1,(aspek!$A$2:$A$337=B1246)*
           (aspek!$B$2:$B$337=C1246)*
           (aspek!$C$2:$C$337=D1246),0))</f>
        <v>Kedalaman pembacaan kemampuan</v>
      </c>
      <c r="F1246" s="76">
        <v>5</v>
      </c>
      <c r="G1246" s="56" t="str" cm="1">
        <f t="array" ref="G1246">INDEX(deskripsi!$D$2:$H$337,
   MATCH(1,(deskripsi!$A$2:$A$337=B1246)*
           (deskripsi!$B$2:$B$337=C1246)*
           (deskripsi!$C$2:$C$337=D1246),0),
   F1246)</f>
        <v>Memetakan potensi secara akurat dan mengarahkannya pada peran yang tepat.</v>
      </c>
    </row>
    <row r="1247" spans="1:7">
      <c r="A1247" t="str">
        <f t="shared" si="19"/>
        <v>Developing Others|Unit Head/Specialist|2|1</v>
      </c>
      <c r="B1247" t="str">
        <v>Developing Others</v>
      </c>
      <c r="C1247" t="str">
        <v>Unit Head/Specialist</v>
      </c>
      <c r="D1247" s="76">
        <v>2</v>
      </c>
      <c r="E1247" t="str" cm="1">
        <f t="array" ref="E1247">INDEX(aspek!$D$2:$D$337,
   MATCH(1,(aspek!$A$2:$A$337=B1247)*
           (aspek!$B$2:$B$337=C1247)*
           (aspek!$C$2:$C$337=D1247),0))</f>
        <v>Akurasi pembacaan</v>
      </c>
      <c r="F1247" s="76">
        <v>1</v>
      </c>
      <c r="G1247" s="56" t="str" cm="1">
        <f t="array" ref="G1247">INDEX(deskripsi!$D$2:$H$337,
   MATCH(1,(deskripsi!$A$2:$A$337=B1247)*
           (deskripsi!$B$2:$B$337=C1247)*
           (deskripsi!$C$2:$C$337=D1247),0),
   F1247)</f>
        <v>Pembacaan sering keliru, tidak pernah dikonfirmasi.</v>
      </c>
    </row>
    <row r="1248" spans="1:7">
      <c r="A1248" t="str">
        <f t="shared" si="19"/>
        <v>Developing Others|Unit Head/Specialist|2|2</v>
      </c>
      <c r="B1248" t="str">
        <v>Developing Others</v>
      </c>
      <c r="C1248" t="str">
        <v>Unit Head/Specialist</v>
      </c>
      <c r="D1248" s="76">
        <v>2</v>
      </c>
      <c r="E1248" t="str" cm="1">
        <f t="array" ref="E1248">INDEX(aspek!$D$2:$D$337,
   MATCH(1,(aspek!$A$2:$A$337=B1248)*
           (aspek!$B$2:$B$337=C1248)*
           (aspek!$C$2:$C$337=D1248),0))</f>
        <v>Akurasi pembacaan</v>
      </c>
      <c r="F1248" s="76">
        <v>2</v>
      </c>
      <c r="G1248" s="56" t="str" cm="1">
        <f t="array" ref="G1248">INDEX(deskripsi!$D$2:$H$337,
   MATCH(1,(deskripsi!$A$2:$A$337=B1248)*
           (deskripsi!$B$2:$B$337=C1248)*
           (deskripsi!$C$2:$C$337=D1248),0),
   F1248)</f>
        <v>Pembacaan dikonfirmasi hanya sesekali.</v>
      </c>
    </row>
    <row r="1249" spans="1:7" ht="28">
      <c r="A1249" t="str">
        <f t="shared" si="19"/>
        <v>Developing Others|Unit Head/Specialist|2|3</v>
      </c>
      <c r="B1249" t="str">
        <v>Developing Others</v>
      </c>
      <c r="C1249" t="str">
        <v>Unit Head/Specialist</v>
      </c>
      <c r="D1249" s="76">
        <v>2</v>
      </c>
      <c r="E1249" t="str" cm="1">
        <f t="array" ref="E1249">INDEX(aspek!$D$2:$D$337,
   MATCH(1,(aspek!$A$2:$A$337=B1249)*
           (aspek!$B$2:$B$337=C1249)*
           (aspek!$C$2:$C$337=D1249),0))</f>
        <v>Akurasi pembacaan</v>
      </c>
      <c r="F1249" s="76">
        <v>3</v>
      </c>
      <c r="G1249" s="56" t="str" cm="1">
        <f t="array" ref="G1249">INDEX(deskripsi!$D$2:$H$337,
   MATCH(1,(deskripsi!$A$2:$A$337=B1249)*
           (deskripsi!$B$2:$B$337=C1249)*
           (deskripsi!$C$2:$C$337=D1249),0),
   F1249)</f>
        <v>Pembacaan sesuai persepsi diri orang tersebut pada sebagian kasus.</v>
      </c>
    </row>
    <row r="1250" spans="1:7" ht="28">
      <c r="A1250" t="str">
        <f t="shared" si="19"/>
        <v>Developing Others|Unit Head/Specialist|2|4</v>
      </c>
      <c r="B1250" t="str">
        <v>Developing Others</v>
      </c>
      <c r="C1250" t="str">
        <v>Unit Head/Specialist</v>
      </c>
      <c r="D1250" s="76">
        <v>2</v>
      </c>
      <c r="E1250" t="str" cm="1">
        <f t="array" ref="E1250">INDEX(aspek!$D$2:$D$337,
   MATCH(1,(aspek!$A$2:$A$337=B1250)*
           (aspek!$B$2:$B$337=C1250)*
           (aspek!$C$2:$C$337=D1250),0))</f>
        <v>Akurasi pembacaan</v>
      </c>
      <c r="F1250" s="76">
        <v>4</v>
      </c>
      <c r="G1250" s="56" t="str" cm="1">
        <f t="array" ref="G1250">INDEX(deskripsi!$D$2:$H$337,
   MATCH(1,(deskripsi!$A$2:$A$337=B1250)*
           (deskripsi!$B$2:$B$337=C1250)*
           (deskripsi!$C$2:$C$337=D1250),0),
   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76">
        <v>2</v>
      </c>
      <c r="E1251" t="str" cm="1">
        <f t="array" ref="E1251">INDEX(aspek!$D$2:$D$337,
   MATCH(1,(aspek!$A$2:$A$337=B1251)*
           (aspek!$B$2:$B$337=C1251)*
           (aspek!$C$2:$C$337=D1251),0))</f>
        <v>Akurasi pembacaan</v>
      </c>
      <c r="F1251" s="76">
        <v>5</v>
      </c>
      <c r="G1251" s="56" t="str" cm="1">
        <f t="array" ref="G1251">INDEX(deskripsi!$D$2:$H$337,
   MATCH(1,(deskripsi!$A$2:$A$337=B1251)*
           (deskripsi!$B$2:$B$337=C1251)*
           (deskripsi!$C$2:$C$337=D1251),0),
   F1251)</f>
        <v>Pembacaannya menjadi rujukan saat orang lain ragu menilai seseorang.</v>
      </c>
    </row>
    <row r="1252" spans="1:7">
      <c r="A1252" t="str">
        <f t="shared" si="19"/>
        <v>Developing Others|Unit Head/Specialist|3|1</v>
      </c>
      <c r="B1252" t="str">
        <v>Developing Others</v>
      </c>
      <c r="C1252" t="str">
        <v>Unit Head/Specialist</v>
      </c>
      <c r="D1252" s="76">
        <v>3</v>
      </c>
      <c r="E1252" t="str" cm="1">
        <f t="array" ref="E1252">INDEX(aspek!$D$2:$D$337,
   MATCH(1,(aspek!$A$2:$A$337=B1252)*
           (aspek!$B$2:$B$337=C1252)*
           (aspek!$C$2:$C$337=D1252),0))</f>
        <v>Penyesuaian cara kerja berbasis penyebab</v>
      </c>
      <c r="F1252" s="76">
        <v>1</v>
      </c>
      <c r="G1252" s="56" t="str" cm="1">
        <f t="array" ref="G1252">INDEX(deskripsi!$D$2:$H$337,
   MATCH(1,(deskripsi!$A$2:$A$337=B1252)*
           (deskripsi!$B$2:$B$337=C1252)*
           (deskripsi!$C$2:$C$337=D1252),0),
   F1252)</f>
        <v>Memperlakukan semua anggota tim dengan cara yang sama.</v>
      </c>
    </row>
    <row r="1253" spans="1:7" ht="28">
      <c r="A1253" t="str">
        <f t="shared" si="19"/>
        <v>Developing Others|Unit Head/Specialist|3|2</v>
      </c>
      <c r="B1253" t="str">
        <v>Developing Others</v>
      </c>
      <c r="C1253" t="str">
        <v>Unit Head/Specialist</v>
      </c>
      <c r="D1253" s="76">
        <v>3</v>
      </c>
      <c r="E1253" t="str" cm="1">
        <f t="array" ref="E1253">INDEX(aspek!$D$2:$D$337,
   MATCH(1,(aspek!$A$2:$A$337=B1253)*
           (aspek!$B$2:$B$337=C1253)*
           (aspek!$C$2:$C$337=D1253),0))</f>
        <v>Penyesuaian cara kerja berbasis penyebab</v>
      </c>
      <c r="F1253" s="76">
        <v>2</v>
      </c>
      <c r="G1253" s="56" t="str" cm="1">
        <f t="array" ref="G1253">INDEX(deskripsi!$D$2:$H$337,
   MATCH(1,(deskripsi!$A$2:$A$337=B1253)*
           (deskripsi!$B$2:$B$337=C1253)*
           (deskripsi!$C$2:$C$337=D1253),0),
   F1253)</f>
        <v>Menyesuaikan cara kerja berdasarkan kesan umum, bukan penyebab spesifik.</v>
      </c>
    </row>
    <row r="1254" spans="1:7">
      <c r="A1254" t="str">
        <f t="shared" si="19"/>
        <v>Developing Others|Unit Head/Specialist|3|3</v>
      </c>
      <c r="B1254" t="str">
        <v>Developing Others</v>
      </c>
      <c r="C1254" t="str">
        <v>Unit Head/Specialist</v>
      </c>
      <c r="D1254" s="76">
        <v>3</v>
      </c>
      <c r="E1254" t="str" cm="1">
        <f t="array" ref="E1254">INDEX(aspek!$D$2:$D$337,
   MATCH(1,(aspek!$A$2:$A$337=B1254)*
           (aspek!$B$2:$B$337=C1254)*
           (aspek!$C$2:$C$337=D1254),0))</f>
        <v>Penyesuaian cara kerja berbasis penyebab</v>
      </c>
      <c r="F1254" s="76">
        <v>3</v>
      </c>
      <c r="G1254" s="56" t="str" cm="1">
        <f t="array" ref="G1254">INDEX(deskripsi!$D$2:$H$337,
   MATCH(1,(deskripsi!$A$2:$A$337=B1254)*
           (deskripsi!$B$2:$B$337=C1254)*
           (deskripsi!$C$2:$C$337=D1254),0),
   F1254)</f>
        <v>Menyesuaikan cara kerja pada sebagian anggota tim.</v>
      </c>
    </row>
    <row r="1255" spans="1:7" ht="28">
      <c r="A1255" t="str">
        <f t="shared" si="19"/>
        <v>Developing Others|Unit Head/Specialist|3|4</v>
      </c>
      <c r="B1255" t="str">
        <v>Developing Others</v>
      </c>
      <c r="C1255" t="str">
        <v>Unit Head/Specialist</v>
      </c>
      <c r="D1255" s="76">
        <v>3</v>
      </c>
      <c r="E1255" t="str" cm="1">
        <f t="array" ref="E1255">INDEX(aspek!$D$2:$D$337,
   MATCH(1,(aspek!$A$2:$A$337=B1255)*
           (aspek!$B$2:$B$337=C1255)*
           (aspek!$C$2:$C$337=D1255),0))</f>
        <v>Penyesuaian cara kerja berbasis penyebab</v>
      </c>
      <c r="F1255" s="76">
        <v>4</v>
      </c>
      <c r="G1255" s="56" t="str" cm="1">
        <f t="array" ref="G1255">INDEX(deskripsi!$D$2:$H$337,
   MATCH(1,(deskripsi!$A$2:$A$337=B1255)*
           (deskripsi!$B$2:$B$337=C1255)*
           (deskripsi!$C$2:$C$337=D1255),0),
   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76">
        <v>3</v>
      </c>
      <c r="E1256" t="str" cm="1">
        <f t="array" ref="E1256">INDEX(aspek!$D$2:$D$337,
   MATCH(1,(aspek!$A$2:$A$337=B1256)*
           (aspek!$B$2:$B$337=C1256)*
           (aspek!$C$2:$C$337=D1256),0))</f>
        <v>Penyesuaian cara kerja berbasis penyebab</v>
      </c>
      <c r="F1256" s="76">
        <v>5</v>
      </c>
      <c r="G1256" s="56" t="str" cm="1">
        <f t="array" ref="G1256">INDEX(deskripsi!$D$2:$H$337,
   MATCH(1,(deskripsi!$A$2:$A$337=B1256)*
           (deskripsi!$B$2:$B$337=C1256)*
           (deskripsi!$C$2:$C$337=D1256),0),
   F1256)</f>
        <v>Penyesuaiannya menjadi model bagi pemimpin lain dalam mengelola tim beragam.</v>
      </c>
    </row>
    <row r="1257" spans="1:7" ht="28">
      <c r="A1257" t="str">
        <f t="shared" si="19"/>
        <v>Developing Others|Unit Head/Specialist|4|1</v>
      </c>
      <c r="B1257" t="str">
        <v>Developing Others</v>
      </c>
      <c r="C1257" t="str">
        <v>Unit Head/Specialist</v>
      </c>
      <c r="D1257" s="76">
        <v>4</v>
      </c>
      <c r="E1257" t="str" cm="1">
        <f t="array" ref="E1257">INDEX(aspek!$D$2:$D$337,
   MATCH(1,(aspek!$A$2:$A$337=B1257)*
           (aspek!$B$2:$B$337=C1257)*
           (aspek!$C$2:$C$337=D1257),0))</f>
        <v>Penempatan pada peran yang tepat</v>
      </c>
      <c r="F1257" s="76">
        <v>1</v>
      </c>
      <c r="G1257" s="56" t="str" cm="1">
        <f t="array" ref="G1257">INDEX(deskripsi!$D$2:$H$337,
   MATCH(1,(deskripsi!$A$2:$A$337=B1257)*
           (deskripsi!$B$2:$B$337=C1257)*
           (deskripsi!$C$2:$C$337=D1257),0),
   F1257)</f>
        <v>Menempatkan orang berdasarkan ketersediaan, bukan potensi.</v>
      </c>
    </row>
    <row r="1258" spans="1:7" ht="28">
      <c r="A1258" t="str">
        <f t="shared" si="19"/>
        <v>Developing Others|Unit Head/Specialist|4|2</v>
      </c>
      <c r="B1258" t="str">
        <v>Developing Others</v>
      </c>
      <c r="C1258" t="str">
        <v>Unit Head/Specialist</v>
      </c>
      <c r="D1258" s="76">
        <v>4</v>
      </c>
      <c r="E1258" t="str" cm="1">
        <f t="array" ref="E1258">INDEX(aspek!$D$2:$D$337,
   MATCH(1,(aspek!$A$2:$A$337=B1258)*
           (aspek!$B$2:$B$337=C1258)*
           (aspek!$C$2:$C$337=D1258),0))</f>
        <v>Penempatan pada peran yang tepat</v>
      </c>
      <c r="F1258" s="76">
        <v>2</v>
      </c>
      <c r="G1258" s="56" t="str" cm="1">
        <f t="array" ref="G1258">INDEX(deskripsi!$D$2:$H$337,
   MATCH(1,(deskripsi!$A$2:$A$337=B1258)*
           (deskripsi!$B$2:$B$337=C1258)*
           (deskripsi!$C$2:$C$337=D1258),0),
   F1258)</f>
        <v>Mempertimbangkan potensi hanya untuk penempatan yang mudah.</v>
      </c>
    </row>
    <row r="1259" spans="1:7">
      <c r="A1259" t="str">
        <f t="shared" si="19"/>
        <v>Developing Others|Unit Head/Specialist|4|3</v>
      </c>
      <c r="B1259" t="str">
        <v>Developing Others</v>
      </c>
      <c r="C1259" t="str">
        <v>Unit Head/Specialist</v>
      </c>
      <c r="D1259" s="76">
        <v>4</v>
      </c>
      <c r="E1259" t="str" cm="1">
        <f t="array" ref="E1259">INDEX(aspek!$D$2:$D$337,
   MATCH(1,(aspek!$A$2:$A$337=B1259)*
           (aspek!$B$2:$B$337=C1259)*
           (aspek!$C$2:$C$337=D1259),0))</f>
        <v>Penempatan pada peran yang tepat</v>
      </c>
      <c r="F1259" s="76">
        <v>3</v>
      </c>
      <c r="G1259" s="56" t="str" cm="1">
        <f t="array" ref="G1259">INDEX(deskripsi!$D$2:$H$337,
   MATCH(1,(deskripsi!$A$2:$A$337=B1259)*
           (deskripsi!$B$2:$B$337=C1259)*
           (deskripsi!$C$2:$C$337=D1259),0),
   F1259)</f>
        <v>Menempatkan berdasarkan potensi pada sebagian kasus.</v>
      </c>
    </row>
    <row r="1260" spans="1:7" ht="28">
      <c r="A1260" t="str">
        <f t="shared" si="19"/>
        <v>Developing Others|Unit Head/Specialist|4|4</v>
      </c>
      <c r="B1260" t="str">
        <v>Developing Others</v>
      </c>
      <c r="C1260" t="str">
        <v>Unit Head/Specialist</v>
      </c>
      <c r="D1260" s="76">
        <v>4</v>
      </c>
      <c r="E1260" t="str" cm="1">
        <f t="array" ref="E1260">INDEX(aspek!$D$2:$D$337,
   MATCH(1,(aspek!$A$2:$A$337=B1260)*
           (aspek!$B$2:$B$337=C1260)*
           (aspek!$C$2:$C$337=D1260),0))</f>
        <v>Penempatan pada peran yang tepat</v>
      </c>
      <c r="F1260" s="76">
        <v>4</v>
      </c>
      <c r="G1260" s="56" t="str" cm="1">
        <f t="array" ref="G1260">INDEX(deskripsi!$D$2:$H$337,
   MATCH(1,(deskripsi!$A$2:$A$337=B1260)*
           (deskripsi!$B$2:$B$337=C1260)*
           (deskripsi!$C$2:$C$337=D1260),0),
   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76">
        <v>4</v>
      </c>
      <c r="E1261" t="str" cm="1">
        <f t="array" ref="E1261">INDEX(aspek!$D$2:$D$337,
   MATCH(1,(aspek!$A$2:$A$337=B1261)*
           (aspek!$B$2:$B$337=C1261)*
           (aspek!$C$2:$C$337=D1261),0))</f>
        <v>Penempatan pada peran yang tepat</v>
      </c>
      <c r="F1261" s="76">
        <v>5</v>
      </c>
      <c r="G1261" s="56" t="str" cm="1">
        <f t="array" ref="G1261">INDEX(deskripsi!$D$2:$H$337,
   MATCH(1,(deskripsi!$A$2:$A$337=B1261)*
           (deskripsi!$B$2:$B$337=C1261)*
           (deskripsi!$C$2:$C$337=D1261),0),
   F1261)</f>
        <v>Penempatannya secara konsisten menghasilkan talent yang berkembang melampaui ekspektasi.</v>
      </c>
    </row>
    <row r="1262" spans="1:7" ht="28">
      <c r="A1262" t="str">
        <f t="shared" si="19"/>
        <v>Developing Others|Department Head|1|1</v>
      </c>
      <c r="B1262" t="str">
        <v>Developing Others</v>
      </c>
      <c r="C1262" t="str">
        <v>Department Head</v>
      </c>
      <c r="D1262" s="76">
        <v>1</v>
      </c>
      <c r="E1262" t="str" cm="1">
        <f t="array" ref="E1262">INDEX(aspek!$D$2:$D$337,
   MATCH(1,(aspek!$A$2:$A$337=B1262)*
           (aspek!$B$2:$B$337=C1262)*
           (aspek!$C$2:$C$337=D1262),0))</f>
        <v>Keberanian menyampaikan</v>
      </c>
      <c r="F1262" s="76">
        <v>1</v>
      </c>
      <c r="G1262" s="56" t="str" cm="1">
        <f t="array" ref="G1262">INDEX(deskripsi!$D$2:$H$337,
   MATCH(1,(deskripsi!$A$2:$A$337=B1262)*
           (deskripsi!$B$2:$B$337=C1262)*
           (deskripsi!$C$2:$C$337=D1262),0),
   F1262)</f>
        <v>Masalah dibiarkan atau baru disampaikan saat sudah mendesak.</v>
      </c>
    </row>
    <row r="1263" spans="1:7">
      <c r="A1263" t="str">
        <f t="shared" si="19"/>
        <v>Developing Others|Department Head|1|2</v>
      </c>
      <c r="B1263" t="str">
        <v>Developing Others</v>
      </c>
      <c r="C1263" t="str">
        <v>Department Head</v>
      </c>
      <c r="D1263" s="76">
        <v>1</v>
      </c>
      <c r="E1263" t="str" cm="1">
        <f t="array" ref="E1263">INDEX(aspek!$D$2:$D$337,
   MATCH(1,(aspek!$A$2:$A$337=B1263)*
           (aspek!$B$2:$B$337=C1263)*
           (aspek!$C$2:$C$337=D1263),0))</f>
        <v>Keberanian menyampaikan</v>
      </c>
      <c r="F1263" s="76">
        <v>2</v>
      </c>
      <c r="G1263" s="56" t="str" cm="1">
        <f t="array" ref="G1263">INDEX(deskripsi!$D$2:$H$337,
   MATCH(1,(deskripsi!$A$2:$A$337=B1263)*
           (deskripsi!$B$2:$B$337=C1263)*
           (deskripsi!$C$2:$C$337=D1263),0),
   F1263)</f>
        <v>Ditunda, disampaikan hanya ketika terpaksa.</v>
      </c>
    </row>
    <row r="1264" spans="1:7">
      <c r="A1264" t="str">
        <f t="shared" si="19"/>
        <v>Developing Others|Department Head|1|3</v>
      </c>
      <c r="B1264" t="str">
        <v>Developing Others</v>
      </c>
      <c r="C1264" t="str">
        <v>Department Head</v>
      </c>
      <c r="D1264" s="76">
        <v>1</v>
      </c>
      <c r="E1264" t="str" cm="1">
        <f t="array" ref="E1264">INDEX(aspek!$D$2:$D$337,
   MATCH(1,(aspek!$A$2:$A$337=B1264)*
           (aspek!$B$2:$B$337=C1264)*
           (aspek!$C$2:$C$337=D1264),0))</f>
        <v>Keberanian menyampaikan</v>
      </c>
      <c r="F1264" s="76">
        <v>3</v>
      </c>
      <c r="G1264" s="56" t="str" cm="1">
        <f t="array" ref="G1264">INDEX(deskripsi!$D$2:$H$337,
   MATCH(1,(deskripsi!$A$2:$A$337=B1264)*
           (deskripsi!$B$2:$B$337=C1264)*
           (deskripsi!$C$2:$C$337=D1264),0),
   F1264)</f>
        <v>Disampaikan langsung disertai contoh yang jelas.</v>
      </c>
    </row>
    <row r="1265" spans="1:7" ht="28">
      <c r="A1265" t="str">
        <f t="shared" si="19"/>
        <v>Developing Others|Department Head|1|4</v>
      </c>
      <c r="B1265" t="str">
        <v>Developing Others</v>
      </c>
      <c r="C1265" t="str">
        <v>Department Head</v>
      </c>
      <c r="D1265" s="76">
        <v>1</v>
      </c>
      <c r="E1265" t="str" cm="1">
        <f t="array" ref="E1265">INDEX(aspek!$D$2:$D$337,
   MATCH(1,(aspek!$A$2:$A$337=B1265)*
           (aspek!$B$2:$B$337=C1265)*
           (aspek!$C$2:$C$337=D1265),0))</f>
        <v>Keberanian menyampaikan</v>
      </c>
      <c r="F1265" s="76">
        <v>4</v>
      </c>
      <c r="G1265" s="56" t="str" cm="1">
        <f t="array" ref="G1265">INDEX(deskripsi!$D$2:$H$337,
   MATCH(1,(deskripsi!$A$2:$A$337=B1265)*
           (deskripsi!$B$2:$B$337=C1265)*
           (deskripsi!$C$2:$C$337=D1265),0),
   F1265)</f>
        <v>Disampaikan tepat waktu secara konsisten, termasuk pada masalah yang sulit disampaikan.</v>
      </c>
    </row>
    <row r="1266" spans="1:7" ht="28">
      <c r="A1266" t="str">
        <f t="shared" si="19"/>
        <v>Developing Others|Department Head|1|5</v>
      </c>
      <c r="B1266" t="str">
        <v>Developing Others</v>
      </c>
      <c r="C1266" t="str">
        <v>Department Head</v>
      </c>
      <c r="D1266" s="76">
        <v>1</v>
      </c>
      <c r="E1266" t="str" cm="1">
        <f t="array" ref="E1266">INDEX(aspek!$D$2:$D$337,
   MATCH(1,(aspek!$A$2:$A$337=B1266)*
           (aspek!$B$2:$B$337=C1266)*
           (aspek!$C$2:$C$337=D1266),0))</f>
        <v>Keberanian menyampaikan</v>
      </c>
      <c r="F1266" s="76">
        <v>5</v>
      </c>
      <c r="G1266" s="56" t="str" cm="1">
        <f t="array" ref="G1266">INDEX(deskripsi!$D$2:$H$337,
   MATCH(1,(deskripsi!$A$2:$A$337=B1266)*
           (deskripsi!$B$2:$B$337=C1266)*
           (deskripsi!$C$2:$C$337=D1266),0),
   F1266)</f>
        <v>Disampaikan secara teratur sehingga tidak ada masalah yang dibiarkan menumpuk.</v>
      </c>
    </row>
    <row r="1267" spans="1:7" ht="28">
      <c r="A1267" t="str">
        <f t="shared" si="19"/>
        <v>Developing Others|Department Head|2|1</v>
      </c>
      <c r="B1267" t="str">
        <v>Developing Others</v>
      </c>
      <c r="C1267" t="str">
        <v>Department Head</v>
      </c>
      <c r="D1267" s="76">
        <v>2</v>
      </c>
      <c r="E1267" t="str" cm="1">
        <f t="array" ref="E1267">INDEX(aspek!$D$2:$D$337,
   MATCH(1,(aspek!$A$2:$A$337=B1267)*
           (aspek!$B$2:$B$337=C1267)*
           (aspek!$C$2:$C$337=D1267),0))</f>
        <v>Kepekaan cara menyampaikan</v>
      </c>
      <c r="F1267" s="76">
        <v>1</v>
      </c>
      <c r="G1267" s="56" t="str" cm="1">
        <f t="array" ref="G1267">INDEX(deskripsi!$D$2:$H$337,
   MATCH(1,(deskripsi!$A$2:$A$337=B1267)*
           (deskripsi!$B$2:$B$337=C1267)*
           (deskripsi!$C$2:$C$337=D1267),0),
   F1267)</f>
        <v>Disampaikan dengan cara yang merendahkan atau menyerang karakter.</v>
      </c>
    </row>
    <row r="1268" spans="1:7">
      <c r="A1268" t="str">
        <f t="shared" si="19"/>
        <v>Developing Others|Department Head|2|2</v>
      </c>
      <c r="B1268" t="str">
        <v>Developing Others</v>
      </c>
      <c r="C1268" t="str">
        <v>Department Head</v>
      </c>
      <c r="D1268" s="76">
        <v>2</v>
      </c>
      <c r="E1268" t="str" cm="1">
        <f t="array" ref="E1268">INDEX(aspek!$D$2:$D$337,
   MATCH(1,(aspek!$A$2:$A$337=B1268)*
           (aspek!$B$2:$B$337=C1268)*
           (aspek!$C$2:$C$337=D1268),0))</f>
        <v>Kepekaan cara menyampaikan</v>
      </c>
      <c r="F1268" s="76">
        <v>2</v>
      </c>
      <c r="G1268" s="56" t="str" cm="1">
        <f t="array" ref="G1268">INDEX(deskripsi!$D$2:$H$337,
   MATCH(1,(deskripsi!$A$2:$A$337=B1268)*
           (deskripsi!$B$2:$B$337=C1268)*
           (deskripsi!$C$2:$C$337=D1268),0),
   F1268)</f>
        <v>Disampaikan tanpa memperhatikan reaksi penerima.</v>
      </c>
    </row>
    <row r="1269" spans="1:7">
      <c r="A1269" t="str">
        <f t="shared" si="19"/>
        <v>Developing Others|Department Head|2|3</v>
      </c>
      <c r="B1269" t="str">
        <v>Developing Others</v>
      </c>
      <c r="C1269" t="str">
        <v>Department Head</v>
      </c>
      <c r="D1269" s="76">
        <v>2</v>
      </c>
      <c r="E1269" t="str" cm="1">
        <f t="array" ref="E1269">INDEX(aspek!$D$2:$D$337,
   MATCH(1,(aspek!$A$2:$A$337=B1269)*
           (aspek!$B$2:$B$337=C1269)*
           (aspek!$C$2:$C$337=D1269),0))</f>
        <v>Kepekaan cara menyampaikan</v>
      </c>
      <c r="F1269" s="76">
        <v>3</v>
      </c>
      <c r="G1269" s="56" t="str" cm="1">
        <f t="array" ref="G1269">INDEX(deskripsi!$D$2:$H$337,
   MATCH(1,(deskripsi!$A$2:$A$337=B1269)*
           (deskripsi!$B$2:$B$337=C1269)*
           (deskripsi!$C$2:$C$337=D1269),0),
   F1269)</f>
        <v>Disampaikan dengan cukup hati-hati pada sebagian kasus.</v>
      </c>
    </row>
    <row r="1270" spans="1:7" ht="28">
      <c r="A1270" t="str">
        <f t="shared" si="19"/>
        <v>Developing Others|Department Head|2|4</v>
      </c>
      <c r="B1270" t="str">
        <v>Developing Others</v>
      </c>
      <c r="C1270" t="str">
        <v>Department Head</v>
      </c>
      <c r="D1270" s="76">
        <v>2</v>
      </c>
      <c r="E1270" t="str" cm="1">
        <f t="array" ref="E1270">INDEX(aspek!$D$2:$D$337,
   MATCH(1,(aspek!$A$2:$A$337=B1270)*
           (aspek!$B$2:$B$337=C1270)*
           (aspek!$C$2:$C$337=D1270),0))</f>
        <v>Kepekaan cara menyampaikan</v>
      </c>
      <c r="F1270" s="76">
        <v>4</v>
      </c>
      <c r="G1270" s="56" t="str" cm="1">
        <f t="array" ref="G1270">INDEX(deskripsi!$D$2:$H$337,
   MATCH(1,(deskripsi!$A$2:$A$337=B1270)*
           (deskripsi!$B$2:$B$337=C1270)*
           (deskripsi!$C$2:$C$337=D1270),0),
   F1270)</f>
        <v>Disampaikan dengan menjaga harga diri penerima secara konsisten, disertai saran perbaikan.</v>
      </c>
    </row>
    <row r="1271" spans="1:7" ht="28">
      <c r="A1271" t="str">
        <f t="shared" si="19"/>
        <v>Developing Others|Department Head|2|5</v>
      </c>
      <c r="B1271" t="str">
        <v>Developing Others</v>
      </c>
      <c r="C1271" t="str">
        <v>Department Head</v>
      </c>
      <c r="D1271" s="76">
        <v>2</v>
      </c>
      <c r="E1271" t="str" cm="1">
        <f t="array" ref="E1271">INDEX(aspek!$D$2:$D$337,
   MATCH(1,(aspek!$A$2:$A$337=B1271)*
           (aspek!$B$2:$B$337=C1271)*
           (aspek!$C$2:$C$337=D1271),0))</f>
        <v>Kepekaan cara menyampaikan</v>
      </c>
      <c r="F1271" s="76">
        <v>5</v>
      </c>
      <c r="G1271" s="56" t="str" cm="1">
        <f t="array" ref="G1271">INDEX(deskripsi!$D$2:$H$337,
   MATCH(1,(deskripsi!$A$2:$A$337=B1271)*
           (deskripsi!$B$2:$B$337=C1271)*
           (deskripsi!$C$2:$C$337=D1271),0),
   F1271)</f>
        <v>Caranya menjadi contoh bagi pemimpin lain dalam menyampaikan hal sulit.</v>
      </c>
    </row>
    <row r="1272" spans="1:7" ht="28">
      <c r="A1272" t="str">
        <f t="shared" si="19"/>
        <v>Developing Others|Department Head|3|1</v>
      </c>
      <c r="B1272" t="str">
        <v>Developing Others</v>
      </c>
      <c r="C1272" t="str">
        <v>Department Head</v>
      </c>
      <c r="D1272" s="76">
        <v>3</v>
      </c>
      <c r="E1272" t="str" cm="1">
        <f t="array" ref="E1272">INDEX(aspek!$D$2:$D$337,
   MATCH(1,(aspek!$A$2:$A$337=B1272)*
           (aspek!$B$2:$B$337=C1272)*
           (aspek!$C$2:$C$337=D1272),0))</f>
        <v>Hasil: perbaikan alih-alih penolakan</v>
      </c>
      <c r="F1272" s="76">
        <v>1</v>
      </c>
      <c r="G1272" s="56" t="str" cm="1">
        <f t="array" ref="G1272">INDEX(deskripsi!$D$2:$H$337,
   MATCH(1,(deskripsi!$A$2:$A$337=B1272)*
           (deskripsi!$B$2:$B$337=C1272)*
           (deskripsi!$C$2:$C$337=D1272),0),
   F1272)</f>
        <v>Masukan yang disampaikan selalu ditolak atau memicu defensif.</v>
      </c>
    </row>
    <row r="1273" spans="1:7">
      <c r="A1273" t="str">
        <f t="shared" si="19"/>
        <v>Developing Others|Department Head|3|2</v>
      </c>
      <c r="B1273" t="str">
        <v>Developing Others</v>
      </c>
      <c r="C1273" t="str">
        <v>Department Head</v>
      </c>
      <c r="D1273" s="76">
        <v>3</v>
      </c>
      <c r="E1273" t="str" cm="1">
        <f t="array" ref="E1273">INDEX(aspek!$D$2:$D$337,
   MATCH(1,(aspek!$A$2:$A$337=B1273)*
           (aspek!$B$2:$B$337=C1273)*
           (aspek!$C$2:$C$337=D1273),0))</f>
        <v>Hasil: perbaikan alih-alih penolakan</v>
      </c>
      <c r="F1273" s="76">
        <v>2</v>
      </c>
      <c r="G1273" s="56" t="str" cm="1">
        <f t="array" ref="G1273">INDEX(deskripsi!$D$2:$H$337,
   MATCH(1,(deskripsi!$A$2:$A$337=B1273)*
           (deskripsi!$B$2:$B$337=C1273)*
           (deskripsi!$C$2:$C$337=D1273),0),
   F1273)</f>
        <v>Sebagian masukan diterima, sebagian ditolak.</v>
      </c>
    </row>
    <row r="1274" spans="1:7">
      <c r="A1274" t="str">
        <f t="shared" si="19"/>
        <v>Developing Others|Department Head|3|3</v>
      </c>
      <c r="B1274" t="str">
        <v>Developing Others</v>
      </c>
      <c r="C1274" t="str">
        <v>Department Head</v>
      </c>
      <c r="D1274" s="76">
        <v>3</v>
      </c>
      <c r="E1274" t="str" cm="1">
        <f t="array" ref="E1274">INDEX(aspek!$D$2:$D$337,
   MATCH(1,(aspek!$A$2:$A$337=B1274)*
           (aspek!$B$2:$B$337=C1274)*
           (aspek!$C$2:$C$337=D1274),0))</f>
        <v>Hasil: perbaikan alih-alih penolakan</v>
      </c>
      <c r="F1274" s="76">
        <v>3</v>
      </c>
      <c r="G1274" s="56" t="str" cm="1">
        <f t="array" ref="G1274">INDEX(deskripsi!$D$2:$H$337,
   MATCH(1,(deskripsi!$A$2:$A$337=B1274)*
           (deskripsi!$B$2:$B$337=C1274)*
           (deskripsi!$C$2:$C$337=D1274),0),
   F1274)</f>
        <v>Sebagian besar masukan diterima dan ditindaklanjuti.</v>
      </c>
    </row>
    <row r="1275" spans="1:7" ht="28">
      <c r="A1275" t="str">
        <f t="shared" si="19"/>
        <v>Developing Others|Department Head|3|4</v>
      </c>
      <c r="B1275" t="str">
        <v>Developing Others</v>
      </c>
      <c r="C1275" t="str">
        <v>Department Head</v>
      </c>
      <c r="D1275" s="76">
        <v>3</v>
      </c>
      <c r="E1275" t="str" cm="1">
        <f t="array" ref="E1275">INDEX(aspek!$D$2:$D$337,
   MATCH(1,(aspek!$A$2:$A$337=B1275)*
           (aspek!$B$2:$B$337=C1275)*
           (aspek!$C$2:$C$337=D1275),0))</f>
        <v>Hasil: perbaikan alih-alih penolakan</v>
      </c>
      <c r="F1275" s="76">
        <v>4</v>
      </c>
      <c r="G1275" s="56" t="str" cm="1">
        <f t="array" ref="G1275">INDEX(deskripsi!$D$2:$H$337,
   MATCH(1,(deskripsi!$A$2:$A$337=B1275)*
           (deskripsi!$B$2:$B$337=C1275)*
           (deskripsi!$C$2:$C$337=D1275),0),
   F1275)</f>
        <v>Masukan secara konsisten menghasilkan perbaikan nyata pada kinerja penerima.</v>
      </c>
    </row>
    <row r="1276" spans="1:7" ht="28">
      <c r="A1276" t="str">
        <f t="shared" si="19"/>
        <v>Developing Others|Department Head|3|5</v>
      </c>
      <c r="B1276" t="str">
        <v>Developing Others</v>
      </c>
      <c r="C1276" t="str">
        <v>Department Head</v>
      </c>
      <c r="D1276" s="76">
        <v>3</v>
      </c>
      <c r="E1276" t="str" cm="1">
        <f t="array" ref="E1276">INDEX(aspek!$D$2:$D$337,
   MATCH(1,(aspek!$A$2:$A$337=B1276)*
           (aspek!$B$2:$B$337=C1276)*
           (aspek!$C$2:$C$337=D1276),0))</f>
        <v>Hasil: perbaikan alih-alih penolakan</v>
      </c>
      <c r="F1276" s="76">
        <v>5</v>
      </c>
      <c r="G1276" s="56" t="str" cm="1">
        <f t="array" ref="G1276">INDEX(deskripsi!$D$2:$H$337,
   MATCH(1,(deskripsi!$A$2:$A$337=B1276)*
           (deskripsi!$B$2:$B$337=C1276)*
           (deskripsi!$C$2:$C$337=D1276),0),
   F1276)</f>
        <v>Penerima secara aktif meminta masukan lebih lanjut karena mempercayai caranya.</v>
      </c>
    </row>
    <row r="1277" spans="1:7">
      <c r="A1277" t="str">
        <f t="shared" si="19"/>
        <v>Developing Others|Department Head|4|1</v>
      </c>
      <c r="B1277" t="str">
        <v>Developing Others</v>
      </c>
      <c r="C1277" t="str">
        <v>Department Head</v>
      </c>
      <c r="D1277" s="76">
        <v>4</v>
      </c>
      <c r="E1277" t="str" cm="1">
        <f t="array" ref="E1277">INDEX(aspek!$D$2:$D$337,
   MATCH(1,(aspek!$A$2:$A$337=B1277)*
           (aspek!$B$2:$B$337=C1277)*
           (aspek!$C$2:$C$337=D1277),0))</f>
        <v>Menjadi kebiasaan rutin</v>
      </c>
      <c r="F1277" s="76">
        <v>1</v>
      </c>
      <c r="G1277" s="56" t="str" cm="1">
        <f t="array" ref="G1277">INDEX(deskripsi!$D$2:$H$337,
   MATCH(1,(deskripsi!$A$2:$A$337=B1277)*
           (deskripsi!$B$2:$B$337=C1277)*
           (deskripsi!$C$2:$C$337=D1277),0),
   F1277)</f>
        <v>Umpan balik hanya terjadi pada momen krisis.</v>
      </c>
    </row>
    <row r="1278" spans="1:7">
      <c r="A1278" t="str">
        <f t="shared" si="19"/>
        <v>Developing Others|Department Head|4|2</v>
      </c>
      <c r="B1278" t="str">
        <v>Developing Others</v>
      </c>
      <c r="C1278" t="str">
        <v>Department Head</v>
      </c>
      <c r="D1278" s="76">
        <v>4</v>
      </c>
      <c r="E1278" t="str" cm="1">
        <f t="array" ref="E1278">INDEX(aspek!$D$2:$D$337,
   MATCH(1,(aspek!$A$2:$A$337=B1278)*
           (aspek!$B$2:$B$337=C1278)*
           (aspek!$C$2:$C$337=D1278),0))</f>
        <v>Menjadi kebiasaan rutin</v>
      </c>
      <c r="F1278" s="76">
        <v>2</v>
      </c>
      <c r="G1278" s="56" t="str" cm="1">
        <f t="array" ref="G1278">INDEX(deskripsi!$D$2:$H$337,
   MATCH(1,(deskripsi!$A$2:$A$337=B1278)*
           (deskripsi!$B$2:$B$337=C1278)*
           (deskripsi!$C$2:$C$337=D1278),0),
   F1278)</f>
        <v>Umpan balik terjadi sesekali di luar krisis.</v>
      </c>
    </row>
    <row r="1279" spans="1:7">
      <c r="A1279" t="str">
        <f t="shared" si="19"/>
        <v>Developing Others|Department Head|4|3</v>
      </c>
      <c r="B1279" t="str">
        <v>Developing Others</v>
      </c>
      <c r="C1279" t="str">
        <v>Department Head</v>
      </c>
      <c r="D1279" s="76">
        <v>4</v>
      </c>
      <c r="E1279" t="str" cm="1">
        <f t="array" ref="E1279">INDEX(aspek!$D$2:$D$337,
   MATCH(1,(aspek!$A$2:$A$337=B1279)*
           (aspek!$B$2:$B$337=C1279)*
           (aspek!$C$2:$C$337=D1279),0))</f>
        <v>Menjadi kebiasaan rutin</v>
      </c>
      <c r="F1279" s="76">
        <v>3</v>
      </c>
      <c r="G1279" s="56" t="str" cm="1">
        <f t="array" ref="G1279">INDEX(deskripsi!$D$2:$H$337,
   MATCH(1,(deskripsi!$A$2:$A$337=B1279)*
           (deskripsi!$B$2:$B$337=C1279)*
           (deskripsi!$C$2:$C$337=D1279),0),
   F1279)</f>
        <v>Umpan balik terjadi cukup rutin pada sebagian anggota tim.</v>
      </c>
    </row>
    <row r="1280" spans="1:7" ht="28">
      <c r="A1280" t="str">
        <f t="shared" si="19"/>
        <v>Developing Others|Department Head|4|4</v>
      </c>
      <c r="B1280" t="str">
        <v>Developing Others</v>
      </c>
      <c r="C1280" t="str">
        <v>Department Head</v>
      </c>
      <c r="D1280" s="76">
        <v>4</v>
      </c>
      <c r="E1280" t="str" cm="1">
        <f t="array" ref="E1280">INDEX(aspek!$D$2:$D$337,
   MATCH(1,(aspek!$A$2:$A$337=B1280)*
           (aspek!$B$2:$B$337=C1280)*
           (aspek!$C$2:$C$337=D1280),0))</f>
        <v>Menjadi kebiasaan rutin</v>
      </c>
      <c r="F1280" s="76">
        <v>4</v>
      </c>
      <c r="G1280" s="56" t="str" cm="1">
        <f t="array" ref="G1280">INDEX(deskripsi!$D$2:$H$337,
   MATCH(1,(deskripsi!$A$2:$A$337=B1280)*
           (deskripsi!$B$2:$B$337=C1280)*
           (deskripsi!$C$2:$C$337=D1280),0),
   F1280)</f>
        <v>Umpan balik terjadi secara rutin dan terjadwal, dianggap hal biasa oleh tim.</v>
      </c>
    </row>
    <row r="1281" spans="1:7" ht="28">
      <c r="A1281" t="str">
        <f t="shared" si="19"/>
        <v>Developing Others|Department Head|4|5</v>
      </c>
      <c r="B1281" t="str">
        <v>Developing Others</v>
      </c>
      <c r="C1281" t="str">
        <v>Department Head</v>
      </c>
      <c r="D1281" s="76">
        <v>4</v>
      </c>
      <c r="E1281" t="str" cm="1">
        <f t="array" ref="E1281">INDEX(aspek!$D$2:$D$337,
   MATCH(1,(aspek!$A$2:$A$337=B1281)*
           (aspek!$B$2:$B$337=C1281)*
           (aspek!$C$2:$C$337=D1281),0))</f>
        <v>Menjadi kebiasaan rutin</v>
      </c>
      <c r="F1281" s="76">
        <v>5</v>
      </c>
      <c r="G1281" s="56" t="str" cm="1">
        <f t="array" ref="G1281">INDEX(deskripsi!$D$2:$H$337,
   MATCH(1,(deskripsi!$A$2:$A$337=B1281)*
           (deskripsi!$B$2:$B$337=C1281)*
           (deskripsi!$C$2:$C$337=D1281),0),
   F1281)</f>
        <v>Budaya umpan balik rutin ini menular ke anggota tim yang saling memberi umpan balik sendiri.</v>
      </c>
    </row>
    <row r="1282" spans="1:7" ht="28">
      <c r="A1282" t="str">
        <f t="shared" si="19"/>
        <v>Developing Others|Division Head|1|1</v>
      </c>
      <c r="B1282" t="str">
        <v>Developing Others</v>
      </c>
      <c r="C1282" t="str">
        <v>Division Head</v>
      </c>
      <c r="D1282" s="76">
        <v>1</v>
      </c>
      <c r="E1282" t="str" cm="1">
        <f t="array" ref="E1282">INDEX(aspek!$D$2:$D$337,
   MATCH(1,(aspek!$A$2:$A$337=B1282)*
           (aspek!$B$2:$B$337=C1282)*
           (aspek!$C$2:$C$337=D1282),0))</f>
        <v>Dasar pemilihan tugas yang didelegasikan</v>
      </c>
      <c r="F1282" s="76">
        <v>1</v>
      </c>
      <c r="G1282" s="56" t="str" cm="1">
        <f t="array" ref="G1282">INDEX(deskripsi!$D$2:$H$337,
   MATCH(1,(deskripsi!$A$2:$A$337=B1282)*
           (deskripsi!$B$2:$B$337=C1282)*
           (deskripsi!$C$2:$C$337=D1282),0),
   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76">
        <v>1</v>
      </c>
      <c r="E1283" t="str" cm="1">
        <f t="array" ref="E1283">INDEX(aspek!$D$2:$D$337,
   MATCH(1,(aspek!$A$2:$A$337=B1283)*
           (aspek!$B$2:$B$337=C1283)*
           (aspek!$C$2:$C$337=D1283),0))</f>
        <v>Dasar pemilihan tugas yang didelegasikan</v>
      </c>
      <c r="F1283" s="76">
        <v>2</v>
      </c>
      <c r="G1283" s="56" t="str" cm="1">
        <f t="array" ref="G1283">INDEX(deskripsi!$D$2:$H$337,
   MATCH(1,(deskripsi!$A$2:$A$337=B1283)*
           (deskripsi!$B$2:$B$337=C1283)*
           (deskripsi!$C$2:$C$337=D1283),0),
   F1283)</f>
        <v>Diserahkan berdasarkan kemudahan atau ketidakpentingan tugas itu bagi diri sendiri.</v>
      </c>
    </row>
    <row r="1284" spans="1:7">
      <c r="A1284" t="str">
        <f t="shared" si="20"/>
        <v>Developing Others|Division Head|1|3</v>
      </c>
      <c r="B1284" t="str">
        <v>Developing Others</v>
      </c>
      <c r="C1284" t="str">
        <v>Division Head</v>
      </c>
      <c r="D1284" s="76">
        <v>1</v>
      </c>
      <c r="E1284" t="str" cm="1">
        <f t="array" ref="E1284">INDEX(aspek!$D$2:$D$337,
   MATCH(1,(aspek!$A$2:$A$337=B1284)*
           (aspek!$B$2:$B$337=C1284)*
           (aspek!$C$2:$C$337=D1284),0))</f>
        <v>Dasar pemilihan tugas yang didelegasikan</v>
      </c>
      <c r="F1284" s="76">
        <v>3</v>
      </c>
      <c r="G1284" s="56" t="str" cm="1">
        <f t="array" ref="G1284">INDEX(deskripsi!$D$2:$H$337,
   MATCH(1,(deskripsi!$A$2:$A$337=B1284)*
           (deskripsi!$B$2:$B$337=C1284)*
           (deskripsi!$C$2:$C$337=D1284),0),
   F1284)</f>
        <v>Diserahkan disertai penjelasan dan arahan yang memadai.</v>
      </c>
    </row>
    <row r="1285" spans="1:7" ht="28">
      <c r="A1285" t="str">
        <f t="shared" si="20"/>
        <v>Developing Others|Division Head|1|4</v>
      </c>
      <c r="B1285" t="str">
        <v>Developing Others</v>
      </c>
      <c r="C1285" t="str">
        <v>Division Head</v>
      </c>
      <c r="D1285" s="76">
        <v>1</v>
      </c>
      <c r="E1285" t="str" cm="1">
        <f t="array" ref="E1285">INDEX(aspek!$D$2:$D$337,
   MATCH(1,(aspek!$A$2:$A$337=B1285)*
           (aspek!$B$2:$B$337=C1285)*
           (aspek!$C$2:$C$337=D1285),0))</f>
        <v>Dasar pemilihan tugas yang didelegasikan</v>
      </c>
      <c r="F1285" s="76">
        <v>4</v>
      </c>
      <c r="G1285" s="56" t="str" cm="1">
        <f t="array" ref="G1285">INDEX(deskripsi!$D$2:$H$337,
   MATCH(1,(deskripsi!$A$2:$A$337=B1285)*
           (deskripsi!$B$2:$B$337=C1285)*
           (deskripsi!$C$2:$C$337=D1285),0),
   F1285)</f>
        <v>Tugas dipilih secara sengaja karena sekaligus menjadi kesempatan belajar bagi penerima.</v>
      </c>
    </row>
    <row r="1286" spans="1:7" ht="28">
      <c r="A1286" t="str">
        <f t="shared" si="20"/>
        <v>Developing Others|Division Head|1|5</v>
      </c>
      <c r="B1286" t="str">
        <v>Developing Others</v>
      </c>
      <c r="C1286" t="str">
        <v>Division Head</v>
      </c>
      <c r="D1286" s="76">
        <v>1</v>
      </c>
      <c r="E1286" t="str" cm="1">
        <f t="array" ref="E1286">INDEX(aspek!$D$2:$D$337,
   MATCH(1,(aspek!$A$2:$A$337=B1286)*
           (aspek!$B$2:$B$337=C1286)*
           (aspek!$C$2:$C$337=D1286),0))</f>
        <v>Dasar pemilihan tugas yang didelegasikan</v>
      </c>
      <c r="F1286" s="76">
        <v>5</v>
      </c>
      <c r="G1286" s="56" t="str" cm="1">
        <f t="array" ref="G1286">INDEX(deskripsi!$D$2:$H$337,
   MATCH(1,(deskripsi!$A$2:$A$337=B1286)*
           (deskripsi!$B$2:$B$337=C1286)*
           (deskripsi!$C$2:$C$337=D1286),0),
   F1286)</f>
        <v>Pemilihan tugasnya menjadi model delegasi yang dipelajari pemimpin lain.</v>
      </c>
    </row>
    <row r="1287" spans="1:7">
      <c r="A1287" t="str">
        <f t="shared" si="20"/>
        <v>Developing Others|Division Head|2|1</v>
      </c>
      <c r="B1287" t="str">
        <v>Developing Others</v>
      </c>
      <c r="C1287" t="str">
        <v>Division Head</v>
      </c>
      <c r="D1287" s="76">
        <v>2</v>
      </c>
      <c r="E1287" t="str" cm="1">
        <f t="array" ref="E1287">INDEX(aspek!$D$2:$D$337,
   MATCH(1,(aspek!$A$2:$A$337=B1287)*
           (aspek!$B$2:$B$337=C1287)*
           (aspek!$C$2:$C$337=D1287),0))</f>
        <v>Pendampingan yang memadai</v>
      </c>
      <c r="F1287" s="76">
        <v>1</v>
      </c>
      <c r="G1287" s="56" t="str" cm="1">
        <f t="array" ref="G1287">INDEX(deskripsi!$D$2:$H$337,
   MATCH(1,(deskripsi!$A$2:$A$337=B1287)*
           (deskripsi!$B$2:$B$337=C1287)*
           (deskripsi!$C$2:$C$337=D1287),0),
   F1287)</f>
        <v>Tugas diserahkan tanpa penjelasan.</v>
      </c>
    </row>
    <row r="1288" spans="1:7" ht="28">
      <c r="A1288" t="str">
        <f t="shared" si="20"/>
        <v>Developing Others|Division Head|2|2</v>
      </c>
      <c r="B1288" t="str">
        <v>Developing Others</v>
      </c>
      <c r="C1288" t="str">
        <v>Division Head</v>
      </c>
      <c r="D1288" s="76">
        <v>2</v>
      </c>
      <c r="E1288" t="str" cm="1">
        <f t="array" ref="E1288">INDEX(aspek!$D$2:$D$337,
   MATCH(1,(aspek!$A$2:$A$337=B1288)*
           (aspek!$B$2:$B$337=C1288)*
           (aspek!$C$2:$C$337=D1288),0))</f>
        <v>Pendampingan yang memadai</v>
      </c>
      <c r="F1288" s="76">
        <v>2</v>
      </c>
      <c r="G1288" s="56" t="str" cm="1">
        <f t="array" ref="G1288">INDEX(deskripsi!$D$2:$H$337,
   MATCH(1,(deskripsi!$A$2:$A$337=B1288)*
           (deskripsi!$B$2:$B$337=C1288)*
           (deskripsi!$C$2:$C$337=D1288),0),
   F1288)</f>
        <v>Penjelasan diberikan sekali di awal, tidak ada pendampingan lanjutan.</v>
      </c>
    </row>
    <row r="1289" spans="1:7">
      <c r="A1289" t="str">
        <f t="shared" si="20"/>
        <v>Developing Others|Division Head|2|3</v>
      </c>
      <c r="B1289" t="str">
        <v>Developing Others</v>
      </c>
      <c r="C1289" t="str">
        <v>Division Head</v>
      </c>
      <c r="D1289" s="76">
        <v>2</v>
      </c>
      <c r="E1289" t="str" cm="1">
        <f t="array" ref="E1289">INDEX(aspek!$D$2:$D$337,
   MATCH(1,(aspek!$A$2:$A$337=B1289)*
           (aspek!$B$2:$B$337=C1289)*
           (aspek!$C$2:$C$337=D1289),0))</f>
        <v>Pendampingan yang memadai</v>
      </c>
      <c r="F1289" s="76">
        <v>3</v>
      </c>
      <c r="G1289" s="56" t="str" cm="1">
        <f t="array" ref="G1289">INDEX(deskripsi!$D$2:$H$337,
   MATCH(1,(deskripsi!$A$2:$A$337=B1289)*
           (deskripsi!$B$2:$B$337=C1289)*
           (deskripsi!$C$2:$C$337=D1289),0),
   F1289)</f>
        <v>Pendampingan diberikan ketika penerima meminta.</v>
      </c>
    </row>
    <row r="1290" spans="1:7" ht="28">
      <c r="A1290" t="str">
        <f t="shared" si="20"/>
        <v>Developing Others|Division Head|2|4</v>
      </c>
      <c r="B1290" t="str">
        <v>Developing Others</v>
      </c>
      <c r="C1290" t="str">
        <v>Division Head</v>
      </c>
      <c r="D1290" s="76">
        <v>2</v>
      </c>
      <c r="E1290" t="str" cm="1">
        <f t="array" ref="E1290">INDEX(aspek!$D$2:$D$337,
   MATCH(1,(aspek!$A$2:$A$337=B1290)*
           (aspek!$B$2:$B$337=C1290)*
           (aspek!$C$2:$C$337=D1290),0))</f>
        <v>Pendampingan yang memadai</v>
      </c>
      <c r="F1290" s="76">
        <v>4</v>
      </c>
      <c r="G1290" s="56" t="str" cm="1">
        <f t="array" ref="G1290">INDEX(deskripsi!$D$2:$H$337,
   MATCH(1,(deskripsi!$A$2:$A$337=B1290)*
           (deskripsi!$B$2:$B$337=C1290)*
           (deskripsi!$C$2:$C$337=D1290),0),
   F1290)</f>
        <v>Pendampingan disediakan secara proaktif dan memadai, disesuaikan tingkat kesulitan tugas.</v>
      </c>
    </row>
    <row r="1291" spans="1:7" ht="28">
      <c r="A1291" t="str">
        <f t="shared" si="20"/>
        <v>Developing Others|Division Head|2|5</v>
      </c>
      <c r="B1291" t="str">
        <v>Developing Others</v>
      </c>
      <c r="C1291" t="str">
        <v>Division Head</v>
      </c>
      <c r="D1291" s="76">
        <v>2</v>
      </c>
      <c r="E1291" t="str" cm="1">
        <f t="array" ref="E1291">INDEX(aspek!$D$2:$D$337,
   MATCH(1,(aspek!$A$2:$A$337=B1291)*
           (aspek!$B$2:$B$337=C1291)*
           (aspek!$C$2:$C$337=D1291),0))</f>
        <v>Pendampingan yang memadai</v>
      </c>
      <c r="F1291" s="76">
        <v>5</v>
      </c>
      <c r="G1291" s="56" t="str" cm="1">
        <f t="array" ref="G1291">INDEX(deskripsi!$D$2:$H$337,
   MATCH(1,(deskripsi!$A$2:$A$337=B1291)*
           (deskripsi!$B$2:$B$337=C1291)*
           (deskripsi!$C$2:$C$337=D1291),0),
   F1291)</f>
        <v>Pendampingannya membuat penerima berkembang melampaui ekspektasi tugas awal.</v>
      </c>
    </row>
    <row r="1292" spans="1:7">
      <c r="A1292" t="str">
        <f t="shared" si="20"/>
        <v>Developing Others|Division Head|3|1</v>
      </c>
      <c r="B1292" t="str">
        <v>Developing Others</v>
      </c>
      <c r="C1292" t="str">
        <v>Division Head</v>
      </c>
      <c r="D1292" s="76">
        <v>3</v>
      </c>
      <c r="E1292" t="str" cm="1">
        <f t="array" ref="E1292">INDEX(aspek!$D$2:$D$337,
   MATCH(1,(aspek!$A$2:$A$337=B1292)*
           (aspek!$B$2:$B$337=C1292)*
           (aspek!$C$2:$C$337=D1292),0))</f>
        <v>Ruang untuk keliru</v>
      </c>
      <c r="F1292" s="76">
        <v>1</v>
      </c>
      <c r="G1292" s="56" t="str" cm="1">
        <f t="array" ref="G1292">INDEX(deskripsi!$D$2:$H$337,
   MATCH(1,(deskripsi!$A$2:$A$337=B1292)*
           (deskripsi!$B$2:$B$337=C1292)*
           (deskripsi!$C$2:$C$337=D1292),0),
   F1292)</f>
        <v>Kesalahan langsung diambil alih atau dihukum keras.</v>
      </c>
    </row>
    <row r="1293" spans="1:7">
      <c r="A1293" t="str">
        <f t="shared" si="20"/>
        <v>Developing Others|Division Head|3|2</v>
      </c>
      <c r="B1293" t="str">
        <v>Developing Others</v>
      </c>
      <c r="C1293" t="str">
        <v>Division Head</v>
      </c>
      <c r="D1293" s="76">
        <v>3</v>
      </c>
      <c r="E1293" t="str" cm="1">
        <f t="array" ref="E1293">INDEX(aspek!$D$2:$D$337,
   MATCH(1,(aspek!$A$2:$A$337=B1293)*
           (aspek!$B$2:$B$337=C1293)*
           (aspek!$C$2:$C$337=D1293),0))</f>
        <v>Ruang untuk keliru</v>
      </c>
      <c r="F1293" s="76">
        <v>2</v>
      </c>
      <c r="G1293" s="56" t="str" cm="1">
        <f t="array" ref="G1293">INDEX(deskripsi!$D$2:$H$337,
   MATCH(1,(deskripsi!$A$2:$A$337=B1293)*
           (deskripsi!$B$2:$B$337=C1293)*
           (deskripsi!$C$2:$C$337=D1293),0),
   F1293)</f>
        <v>Kesalahan ditoleransi hanya pada tugas yang tidak penting.</v>
      </c>
    </row>
    <row r="1294" spans="1:7" ht="28">
      <c r="A1294" t="str">
        <f t="shared" si="20"/>
        <v>Developing Others|Division Head|3|3</v>
      </c>
      <c r="B1294" t="str">
        <v>Developing Others</v>
      </c>
      <c r="C1294" t="str">
        <v>Division Head</v>
      </c>
      <c r="D1294" s="76">
        <v>3</v>
      </c>
      <c r="E1294" t="str" cm="1">
        <f t="array" ref="E1294">INDEX(aspek!$D$2:$D$337,
   MATCH(1,(aspek!$A$2:$A$337=B1294)*
           (aspek!$B$2:$B$337=C1294)*
           (aspek!$C$2:$C$337=D1294),0))</f>
        <v>Ruang untuk keliru</v>
      </c>
      <c r="F1294" s="76">
        <v>3</v>
      </c>
      <c r="G1294" s="56" t="str" cm="1">
        <f t="array" ref="G1294">INDEX(deskripsi!$D$2:$H$337,
   MATCH(1,(deskripsi!$A$2:$A$337=B1294)*
           (deskripsi!$B$2:$B$337=C1294)*
           (deskripsi!$C$2:$C$337=D1294),0),
   F1294)</f>
        <v>Kesalahan pada tugas penting ditoleransi dengan pengawasan ketat.</v>
      </c>
    </row>
    <row r="1295" spans="1:7" ht="28">
      <c r="A1295" t="str">
        <f t="shared" si="20"/>
        <v>Developing Others|Division Head|3|4</v>
      </c>
      <c r="B1295" t="str">
        <v>Developing Others</v>
      </c>
      <c r="C1295" t="str">
        <v>Division Head</v>
      </c>
      <c r="D1295" s="76">
        <v>3</v>
      </c>
      <c r="E1295" t="str" cm="1">
        <f t="array" ref="E1295">INDEX(aspek!$D$2:$D$337,
   MATCH(1,(aspek!$A$2:$A$337=B1295)*
           (aspek!$B$2:$B$337=C1295)*
           (aspek!$C$2:$C$337=D1295),0))</f>
        <v>Ruang untuk keliru</v>
      </c>
      <c r="F1295" s="76">
        <v>4</v>
      </c>
      <c r="G1295" s="56" t="str" cm="1">
        <f t="array" ref="G1295">INDEX(deskripsi!$D$2:$H$337,
   MATCH(1,(deskripsi!$A$2:$A$337=B1295)*
           (deskripsi!$B$2:$B$337=C1295)*
           (deskripsi!$C$2:$C$337=D1295),0),
   F1295)</f>
        <v>Memberi ruang untuk keliru pada tugas yang meregangkan kemampuan, merespons kesalahan sebagai pembelajaran.</v>
      </c>
    </row>
    <row r="1296" spans="1:7">
      <c r="A1296" t="str">
        <f t="shared" si="20"/>
        <v>Developing Others|Division Head|3|5</v>
      </c>
      <c r="B1296" t="str">
        <v>Developing Others</v>
      </c>
      <c r="C1296" t="str">
        <v>Division Head</v>
      </c>
      <c r="D1296" s="76">
        <v>3</v>
      </c>
      <c r="E1296" t="str" cm="1">
        <f t="array" ref="E1296">INDEX(aspek!$D$2:$D$337,
   MATCH(1,(aspek!$A$2:$A$337=B1296)*
           (aspek!$B$2:$B$337=C1296)*
           (aspek!$C$2:$C$337=D1296),0))</f>
        <v>Ruang untuk keliru</v>
      </c>
      <c r="F1296" s="76">
        <v>5</v>
      </c>
      <c r="G1296" s="56" t="str" cm="1">
        <f t="array" ref="G1296">INDEX(deskripsi!$D$2:$H$337,
   MATCH(1,(deskripsi!$A$2:$A$337=B1296)*
           (deskripsi!$B$2:$B$337=C1296)*
           (deskripsi!$C$2:$C$337=D1296),0),
   F1296)</f>
        <v>Budaya memberi ruang untuk keliru ini menular ke seluruh tim.</v>
      </c>
    </row>
    <row r="1297" spans="1:7">
      <c r="A1297" t="str">
        <f t="shared" si="20"/>
        <v>Developing Others|Division Head|4|1</v>
      </c>
      <c r="B1297" t="str">
        <v>Developing Others</v>
      </c>
      <c r="C1297" t="str">
        <v>Division Head</v>
      </c>
      <c r="D1297" s="76">
        <v>4</v>
      </c>
      <c r="E1297" t="str" cm="1">
        <f t="array" ref="E1297">INDEX(aspek!$D$2:$D$337,
   MATCH(1,(aspek!$A$2:$A$337=B1297)*
           (aspek!$B$2:$B$337=C1297)*
           (aspek!$C$2:$C$337=D1297),0))</f>
        <v>Pertumbuhan kapasitas penerima</v>
      </c>
      <c r="F1297" s="76">
        <v>1</v>
      </c>
      <c r="G1297" s="56" t="str" cm="1">
        <f t="array" ref="G1297">INDEX(deskripsi!$D$2:$H$337,
   MATCH(1,(deskripsi!$A$2:$A$337=B1297)*
           (deskripsi!$B$2:$B$337=C1297)*
           (deskripsi!$C$2:$C$337=D1297),0),
   F1297)</f>
        <v>Penerima delegasi tidak menunjukkan pertumbuhan kapasitas.</v>
      </c>
    </row>
    <row r="1298" spans="1:7">
      <c r="A1298" t="str">
        <f t="shared" si="20"/>
        <v>Developing Others|Division Head|4|2</v>
      </c>
      <c r="B1298" t="str">
        <v>Developing Others</v>
      </c>
      <c r="C1298" t="str">
        <v>Division Head</v>
      </c>
      <c r="D1298" s="76">
        <v>4</v>
      </c>
      <c r="E1298" t="str" cm="1">
        <f t="array" ref="E1298">INDEX(aspek!$D$2:$D$337,
   MATCH(1,(aspek!$A$2:$A$337=B1298)*
           (aspek!$B$2:$B$337=C1298)*
           (aspek!$C$2:$C$337=D1298),0))</f>
        <v>Pertumbuhan kapasitas penerima</v>
      </c>
      <c r="F1298" s="76">
        <v>2</v>
      </c>
      <c r="G1298" s="56" t="str" cm="1">
        <f t="array" ref="G1298">INDEX(deskripsi!$D$2:$H$337,
   MATCH(1,(deskripsi!$A$2:$A$337=B1298)*
           (deskripsi!$B$2:$B$337=C1298)*
           (deskripsi!$C$2:$C$337=D1298),0),
   F1298)</f>
        <v>Pertumbuhan terjadi kebetulan, tidak disengaja.</v>
      </c>
    </row>
    <row r="1299" spans="1:7">
      <c r="A1299" t="str">
        <f t="shared" si="20"/>
        <v>Developing Others|Division Head|4|3</v>
      </c>
      <c r="B1299" t="str">
        <v>Developing Others</v>
      </c>
      <c r="C1299" t="str">
        <v>Division Head</v>
      </c>
      <c r="D1299" s="76">
        <v>4</v>
      </c>
      <c r="E1299" t="str" cm="1">
        <f t="array" ref="E1299">INDEX(aspek!$D$2:$D$337,
   MATCH(1,(aspek!$A$2:$A$337=B1299)*
           (aspek!$B$2:$B$337=C1299)*
           (aspek!$C$2:$C$337=D1299),0))</f>
        <v>Pertumbuhan kapasitas penerima</v>
      </c>
      <c r="F1299" s="76">
        <v>3</v>
      </c>
      <c r="G1299" s="56" t="str" cm="1">
        <f t="array" ref="G1299">INDEX(deskripsi!$D$2:$H$337,
   MATCH(1,(deskripsi!$A$2:$A$337=B1299)*
           (deskripsi!$B$2:$B$337=C1299)*
           (deskripsi!$C$2:$C$337=D1299),0),
   F1299)</f>
        <v>Pertumbuhan terjadi pada sebagian penerima.</v>
      </c>
    </row>
    <row r="1300" spans="1:7" ht="28">
      <c r="A1300" t="str">
        <f t="shared" si="20"/>
        <v>Developing Others|Division Head|4|4</v>
      </c>
      <c r="B1300" t="str">
        <v>Developing Others</v>
      </c>
      <c r="C1300" t="str">
        <v>Division Head</v>
      </c>
      <c r="D1300" s="76">
        <v>4</v>
      </c>
      <c r="E1300" t="str" cm="1">
        <f t="array" ref="E1300">INDEX(aspek!$D$2:$D$337,
   MATCH(1,(aspek!$A$2:$A$337=B1300)*
           (aspek!$B$2:$B$337=C1300)*
           (aspek!$C$2:$C$337=D1300),0))</f>
        <v>Pertumbuhan kapasitas penerima</v>
      </c>
      <c r="F1300" s="76">
        <v>4</v>
      </c>
      <c r="G1300" s="56" t="str" cm="1">
        <f t="array" ref="G1300">INDEX(deskripsi!$D$2:$H$337,
   MATCH(1,(deskripsi!$A$2:$A$337=B1300)*
           (deskripsi!$B$2:$B$337=C1300)*
           (deskripsi!$C$2:$C$337=D1300),0),
   F1300)</f>
        <v>Pertumbuhan kapasitas terjadi secara konsisten dan terukur pada penerima delegasi.</v>
      </c>
    </row>
    <row r="1301" spans="1:7" ht="28">
      <c r="A1301" t="str">
        <f t="shared" si="20"/>
        <v>Developing Others|Division Head|4|5</v>
      </c>
      <c r="B1301" t="str">
        <v>Developing Others</v>
      </c>
      <c r="C1301" t="str">
        <v>Division Head</v>
      </c>
      <c r="D1301" s="76">
        <v>4</v>
      </c>
      <c r="E1301" t="str" cm="1">
        <f t="array" ref="E1301">INDEX(aspek!$D$2:$D$337,
   MATCH(1,(aspek!$A$2:$A$337=B1301)*
           (aspek!$B$2:$B$337=C1301)*
           (aspek!$C$2:$C$337=D1301),0))</f>
        <v>Pertumbuhan kapasitas penerima</v>
      </c>
      <c r="F1301" s="76">
        <v>5</v>
      </c>
      <c r="G1301" s="56" t="str" cm="1">
        <f t="array" ref="G1301">INDEX(deskripsi!$D$2:$H$337,
   MATCH(1,(deskripsi!$A$2:$A$337=B1301)*
           (deskripsi!$B$2:$B$337=C1301)*
           (deskripsi!$C$2:$C$337=D1301),0),
   F1301)</f>
        <v>Penerima delegasi menjadi mampu mendelegasikan dengan cara yang sama kepada orang lain.</v>
      </c>
    </row>
    <row r="1302" spans="1:7">
      <c r="A1302" t="str">
        <f t="shared" si="20"/>
        <v>Developing Others|Director|1|1</v>
      </c>
      <c r="B1302" t="str">
        <v>Developing Others</v>
      </c>
      <c r="C1302" t="str">
        <v>Director</v>
      </c>
      <c r="D1302" s="76">
        <v>1</v>
      </c>
      <c r="E1302" t="str" cm="1">
        <f t="array" ref="E1302">INDEX(aspek!$D$2:$D$337,
   MATCH(1,(aspek!$A$2:$A$337=B1302)*
           (aspek!$B$2:$B$337=C1302)*
           (aspek!$C$2:$C$337=D1302),0))</f>
        <v>Keteraturan percakapan pengembangan</v>
      </c>
      <c r="F1302" s="76">
        <v>1</v>
      </c>
      <c r="G1302" s="56" t="str" cm="1">
        <f t="array" ref="G1302">INDEX(deskripsi!$D$2:$H$337,
   MATCH(1,(deskripsi!$A$2:$A$337=B1302)*
           (deskripsi!$B$2:$B$337=C1302)*
           (deskripsi!$C$2:$C$337=D1302),0),
   F1302)</f>
        <v>Pengembangan dianggap tanggung jawab fungsi SDM.</v>
      </c>
    </row>
    <row r="1303" spans="1:7">
      <c r="A1303" t="str">
        <f t="shared" si="20"/>
        <v>Developing Others|Director|1|2</v>
      </c>
      <c r="B1303" t="str">
        <v>Developing Others</v>
      </c>
      <c r="C1303" t="str">
        <v>Director</v>
      </c>
      <c r="D1303" s="76">
        <v>1</v>
      </c>
      <c r="E1303" t="str" cm="1">
        <f t="array" ref="E1303">INDEX(aspek!$D$2:$D$337,
   MATCH(1,(aspek!$A$2:$A$337=B1303)*
           (aspek!$B$2:$B$337=C1303)*
           (aspek!$C$2:$C$337=D1303),0))</f>
        <v>Keteraturan percakapan pengembangan</v>
      </c>
      <c r="F1303" s="76">
        <v>2</v>
      </c>
      <c r="G1303" s="56" t="str" cm="1">
        <f t="array" ref="G1303">INDEX(deskripsi!$D$2:$H$337,
   MATCH(1,(deskripsi!$A$2:$A$337=B1303)*
           (deskripsi!$B$2:$B$337=C1303)*
           (deskripsi!$C$2:$C$337=D1303),0),
   F1303)</f>
        <v>Didukung hanya ketika program pengembangan tersedia.</v>
      </c>
    </row>
    <row r="1304" spans="1:7" ht="28">
      <c r="A1304" t="str">
        <f t="shared" si="20"/>
        <v>Developing Others|Director|1|3</v>
      </c>
      <c r="B1304" t="str">
        <v>Developing Others</v>
      </c>
      <c r="C1304" t="str">
        <v>Director</v>
      </c>
      <c r="D1304" s="76">
        <v>1</v>
      </c>
      <c r="E1304" t="str" cm="1">
        <f t="array" ref="E1304">INDEX(aspek!$D$2:$D$337,
   MATCH(1,(aspek!$A$2:$A$337=B1304)*
           (aspek!$B$2:$B$337=C1304)*
           (aspek!$C$2:$C$337=D1304),0))</f>
        <v>Keteraturan percakapan pengembangan</v>
      </c>
      <c r="F1304" s="76">
        <v>3</v>
      </c>
      <c r="G1304" s="56" t="str" cm="1">
        <f t="array" ref="G1304">INDEX(deskripsi!$D$2:$H$337,
   MATCH(1,(deskripsi!$A$2:$A$337=B1304)*
           (deskripsi!$B$2:$B$337=C1304)*
           (deskripsi!$C$2:$C$337=D1304),0),
   F1304)</f>
        <v>Mengarahkan orang lain pada kesempatan belajar yang relevan.</v>
      </c>
    </row>
    <row r="1305" spans="1:7" ht="28">
      <c r="A1305" t="str">
        <f t="shared" si="20"/>
        <v>Developing Others|Director|1|4</v>
      </c>
      <c r="B1305" t="str">
        <v>Developing Others</v>
      </c>
      <c r="C1305" t="str">
        <v>Director</v>
      </c>
      <c r="D1305" s="76">
        <v>1</v>
      </c>
      <c r="E1305" t="str" cm="1">
        <f t="array" ref="E1305">INDEX(aspek!$D$2:$D$337,
   MATCH(1,(aspek!$A$2:$A$337=B1305)*
           (aspek!$B$2:$B$337=C1305)*
           (aspek!$C$2:$C$337=D1305),0))</f>
        <v>Keteraturan percakapan pengembangan</v>
      </c>
      <c r="F1305" s="76">
        <v>4</v>
      </c>
      <c r="G1305" s="56" t="str" cm="1">
        <f t="array" ref="G1305">INDEX(deskripsi!$D$2:$H$337,
   MATCH(1,(deskripsi!$A$2:$A$337=B1305)*
           (deskripsi!$B$2:$B$337=C1305)*
           (deskripsi!$C$2:$C$337=D1305),0),
   F1305)</f>
        <v>Mendampingi perkembangan orang lain melalui percakapan pengembangan yang TERATUR dan terjadwal.</v>
      </c>
    </row>
    <row r="1306" spans="1:7">
      <c r="A1306" t="str">
        <f t="shared" si="20"/>
        <v>Developing Others|Director|1|5</v>
      </c>
      <c r="B1306" t="str">
        <v>Developing Others</v>
      </c>
      <c r="C1306" t="str">
        <v>Director</v>
      </c>
      <c r="D1306" s="76">
        <v>1</v>
      </c>
      <c r="E1306" t="str" cm="1">
        <f t="array" ref="E1306">INDEX(aspek!$D$2:$D$337,
   MATCH(1,(aspek!$A$2:$A$337=B1306)*
           (aspek!$B$2:$B$337=C1306)*
           (aspek!$C$2:$C$337=D1306),0))</f>
        <v>Keteraturan percakapan pengembangan</v>
      </c>
      <c r="F1306" s="76">
        <v>5</v>
      </c>
      <c r="G1306" s="56" t="str" cm="1">
        <f t="array" ref="G1306">INDEX(deskripsi!$D$2:$H$337,
   MATCH(1,(deskripsi!$A$2:$A$337=B1306)*
           (deskripsi!$B$2:$B$337=C1306)*
           (deskripsi!$C$2:$C$337=D1306),0),
   F1306)</f>
        <v>Keteraturannya menjadi model yang ditiru pemimpin lain.</v>
      </c>
    </row>
    <row r="1307" spans="1:7" ht="28">
      <c r="A1307" t="str">
        <f t="shared" si="20"/>
        <v>Developing Others|Director|2|1</v>
      </c>
      <c r="B1307" t="str">
        <v>Developing Others</v>
      </c>
      <c r="C1307" t="str">
        <v>Director</v>
      </c>
      <c r="D1307" s="76">
        <v>2</v>
      </c>
      <c r="E1307" t="str" cm="1">
        <f t="array" ref="E1307">INDEX(aspek!$D$2:$D$337,
   MATCH(1,(aspek!$A$2:$A$337=B1307)*
           (aspek!$B$2:$B$337=C1307)*
           (aspek!$C$2:$C$337=D1307),0))</f>
        <v>Kemandirian pembelajaran yang dibangun</v>
      </c>
      <c r="F1307" s="76">
        <v>1</v>
      </c>
      <c r="G1307" s="56" t="str" cm="1">
        <f t="array" ref="G1307">INDEX(deskripsi!$D$2:$H$337,
   MATCH(1,(deskripsi!$A$2:$A$337=B1307)*
           (deskripsi!$B$2:$B$337=C1307)*
           (deskripsi!$C$2:$C$337=D1307),0),
   F1307)</f>
        <v>Pembelajaran orang lain sepenuhnya bergantung pada kehadirannya.</v>
      </c>
    </row>
    <row r="1308" spans="1:7">
      <c r="A1308" t="str">
        <f t="shared" si="20"/>
        <v>Developing Others|Director|2|2</v>
      </c>
      <c r="B1308" t="str">
        <v>Developing Others</v>
      </c>
      <c r="C1308" t="str">
        <v>Director</v>
      </c>
      <c r="D1308" s="76">
        <v>2</v>
      </c>
      <c r="E1308" t="str" cm="1">
        <f t="array" ref="E1308">INDEX(aspek!$D$2:$D$337,
   MATCH(1,(aspek!$A$2:$A$337=B1308)*
           (aspek!$B$2:$B$337=C1308)*
           (aspek!$C$2:$C$337=D1308),0))</f>
        <v>Kemandirian pembelajaran yang dibangun</v>
      </c>
      <c r="F1308" s="76">
        <v>2</v>
      </c>
      <c r="G1308" s="56" t="str" cm="1">
        <f t="array" ref="G1308">INDEX(deskripsi!$D$2:$H$337,
   MATCH(1,(deskripsi!$A$2:$A$337=B1308)*
           (deskripsi!$B$2:$B$337=C1308)*
           (deskripsi!$C$2:$C$337=D1308),0),
   F1308)</f>
        <v>Sebagian pembelajaran bergantung padanya, sebagian tidak.</v>
      </c>
    </row>
    <row r="1309" spans="1:7" ht="28">
      <c r="A1309" t="str">
        <f t="shared" si="20"/>
        <v>Developing Others|Director|2|3</v>
      </c>
      <c r="B1309" t="str">
        <v>Developing Others</v>
      </c>
      <c r="C1309" t="str">
        <v>Director</v>
      </c>
      <c r="D1309" s="76">
        <v>2</v>
      </c>
      <c r="E1309" t="str" cm="1">
        <f t="array" ref="E1309">INDEX(aspek!$D$2:$D$337,
   MATCH(1,(aspek!$A$2:$A$337=B1309)*
           (aspek!$B$2:$B$337=C1309)*
           (aspek!$C$2:$C$337=D1309),0))</f>
        <v>Kemandirian pembelajaran yang dibangun</v>
      </c>
      <c r="F1309" s="76">
        <v>3</v>
      </c>
      <c r="G1309" s="56" t="str" cm="1">
        <f t="array" ref="G1309">INDEX(deskripsi!$D$2:$H$337,
   MATCH(1,(deskripsi!$A$2:$A$337=B1309)*
           (deskripsi!$B$2:$B$337=C1309)*
           (deskripsi!$C$2:$C$337=D1309),0),
   F1309)</f>
        <v>Pembelajaran berjalan mandiri pada kesempatan yang sederhana.</v>
      </c>
    </row>
    <row r="1310" spans="1:7" ht="28">
      <c r="A1310" t="str">
        <f t="shared" si="20"/>
        <v>Developing Others|Director|2|4</v>
      </c>
      <c r="B1310" t="str">
        <v>Developing Others</v>
      </c>
      <c r="C1310" t="str">
        <v>Director</v>
      </c>
      <c r="D1310" s="76">
        <v>2</v>
      </c>
      <c r="E1310" t="str" cm="1">
        <f t="array" ref="E1310">INDEX(aspek!$D$2:$D$337,
   MATCH(1,(aspek!$A$2:$A$337=B1310)*
           (aspek!$B$2:$B$337=C1310)*
           (aspek!$C$2:$C$337=D1310),0))</f>
        <v>Kemandirian pembelajaran yang dibangun</v>
      </c>
      <c r="F1310" s="76">
        <v>4</v>
      </c>
      <c r="G1310" s="56" t="str" cm="1">
        <f t="array" ref="G1310">INDEX(deskripsi!$D$2:$H$337,
   MATCH(1,(deskripsi!$A$2:$A$337=B1310)*
           (deskripsi!$B$2:$B$337=C1310)*
           (deskripsi!$C$2:$C$337=D1310),0),
   F1310)</f>
        <v>Membangun kebiasaan saling mengembangkan yang mulai berjalan tanpa kehadirannya.</v>
      </c>
    </row>
    <row r="1311" spans="1:7" ht="28">
      <c r="A1311" t="str">
        <f t="shared" si="20"/>
        <v>Developing Others|Director|2|5</v>
      </c>
      <c r="B1311" t="str">
        <v>Developing Others</v>
      </c>
      <c r="C1311" t="str">
        <v>Director</v>
      </c>
      <c r="D1311" s="76">
        <v>2</v>
      </c>
      <c r="E1311" t="str" cm="1">
        <f t="array" ref="E1311">INDEX(aspek!$D$2:$D$337,
   MATCH(1,(aspek!$A$2:$A$337=B1311)*
           (aspek!$B$2:$B$337=C1311)*
           (aspek!$C$2:$C$337=D1311),0))</f>
        <v>Kemandirian pembelajaran yang dibangun</v>
      </c>
      <c r="F1311" s="76">
        <v>5</v>
      </c>
      <c r="G1311" s="56" t="str" cm="1">
        <f t="array" ref="G1311">INDEX(deskripsi!$D$2:$H$337,
   MATCH(1,(deskripsi!$A$2:$A$337=B1311)*
           (deskripsi!$B$2:$B$337=C1311)*
           (deskripsi!$C$2:$C$337=D1311),0),
   F1311)</f>
        <v>Pembelajaran terus berjalan sepenuhnya tanpa bergantung pada dirinya, bahkan setelah ia tidak lagi terlibat.</v>
      </c>
    </row>
    <row r="1312" spans="1:7">
      <c r="A1312" t="str">
        <f t="shared" si="20"/>
        <v>Developing Others|Director|3|1</v>
      </c>
      <c r="B1312" t="str">
        <v>Developing Others</v>
      </c>
      <c r="C1312" t="str">
        <v>Director</v>
      </c>
      <c r="D1312" s="76">
        <v>3</v>
      </c>
      <c r="E1312" t="str" cm="1">
        <f t="array" ref="E1312">INDEX(aspek!$D$2:$D$337,
   MATCH(1,(aspek!$A$2:$A$337=B1312)*
           (aspek!$B$2:$B$337=C1312)*
           (aspek!$C$2:$C$337=D1312),0))</f>
        <v>Kedalaman pendampingan individual</v>
      </c>
      <c r="F1312" s="76">
        <v>1</v>
      </c>
      <c r="G1312" s="56" t="str" cm="1">
        <f t="array" ref="G1312">INDEX(deskripsi!$D$2:$H$337,
   MATCH(1,(deskripsi!$A$2:$A$337=B1312)*
           (deskripsi!$B$2:$B$337=C1312)*
           (deskripsi!$C$2:$C$337=D1312),0),
   F1312)</f>
        <v>Interaksi dengan bawahan sebatas urusan tugas.</v>
      </c>
    </row>
    <row r="1313" spans="1:7">
      <c r="A1313" t="str">
        <f t="shared" si="20"/>
        <v>Developing Others|Director|3|2</v>
      </c>
      <c r="B1313" t="str">
        <v>Developing Others</v>
      </c>
      <c r="C1313" t="str">
        <v>Director</v>
      </c>
      <c r="D1313" s="76">
        <v>3</v>
      </c>
      <c r="E1313" t="str" cm="1">
        <f t="array" ref="E1313">INDEX(aspek!$D$2:$D$337,
   MATCH(1,(aspek!$A$2:$A$337=B1313)*
           (aspek!$B$2:$B$337=C1313)*
           (aspek!$C$2:$C$337=D1313),0))</f>
        <v>Kedalaman pendampingan individual</v>
      </c>
      <c r="F1313" s="76">
        <v>2</v>
      </c>
      <c r="G1313" s="56" t="str" cm="1">
        <f t="array" ref="G1313">INDEX(deskripsi!$D$2:$H$337,
   MATCH(1,(deskripsi!$A$2:$A$337=B1313)*
           (deskripsi!$B$2:$B$337=C1313)*
           (deskripsi!$C$2:$C$337=D1313),0),
   F1313)</f>
        <v>Sesekali membahas pengembangan, tidak terstruktur.</v>
      </c>
    </row>
    <row r="1314" spans="1:7" ht="28">
      <c r="A1314" t="str">
        <f t="shared" si="20"/>
        <v>Developing Others|Director|3|3</v>
      </c>
      <c r="B1314" t="str">
        <v>Developing Others</v>
      </c>
      <c r="C1314" t="str">
        <v>Director</v>
      </c>
      <c r="D1314" s="76">
        <v>3</v>
      </c>
      <c r="E1314" t="str" cm="1">
        <f t="array" ref="E1314">INDEX(aspek!$D$2:$D$337,
   MATCH(1,(aspek!$A$2:$A$337=B1314)*
           (aspek!$B$2:$B$337=C1314)*
           (aspek!$C$2:$C$337=D1314),0))</f>
        <v>Kedalaman pendampingan individual</v>
      </c>
      <c r="F1314" s="76">
        <v>3</v>
      </c>
      <c r="G1314" s="56" t="str" cm="1">
        <f t="array" ref="G1314">INDEX(deskripsi!$D$2:$H$337,
   MATCH(1,(deskripsi!$A$2:$A$337=B1314)*
           (deskripsi!$B$2:$B$337=C1314)*
           (deskripsi!$C$2:$C$337=D1314),0),
   F1314)</f>
        <v>Membahas pengembangan pada momen formal (review tahunan).</v>
      </c>
    </row>
    <row r="1315" spans="1:7" ht="28">
      <c r="A1315" t="str">
        <f t="shared" si="20"/>
        <v>Developing Others|Director|3|4</v>
      </c>
      <c r="B1315" t="str">
        <v>Developing Others</v>
      </c>
      <c r="C1315" t="str">
        <v>Director</v>
      </c>
      <c r="D1315" s="76">
        <v>3</v>
      </c>
      <c r="E1315" t="str" cm="1">
        <f t="array" ref="E1315">INDEX(aspek!$D$2:$D$337,
   MATCH(1,(aspek!$A$2:$A$337=B1315)*
           (aspek!$B$2:$B$337=C1315)*
           (aspek!$C$2:$C$337=D1315),0))</f>
        <v>Kedalaman pendampingan individual</v>
      </c>
      <c r="F1315" s="76">
        <v>4</v>
      </c>
      <c r="G1315" s="56" t="str" cm="1">
        <f t="array" ref="G1315">INDEX(deskripsi!$D$2:$H$337,
   MATCH(1,(deskripsi!$A$2:$A$337=B1315)*
           (deskripsi!$B$2:$B$337=C1315)*
           (deskripsi!$C$2:$C$337=D1315),0),
   F1315)</f>
        <v>Membahas pengembangan secara teratur di luar siklus formal, dengan komitmen yang dipantau.</v>
      </c>
    </row>
    <row r="1316" spans="1:7" ht="28">
      <c r="A1316" t="str">
        <f t="shared" si="20"/>
        <v>Developing Others|Director|3|5</v>
      </c>
      <c r="B1316" t="str">
        <v>Developing Others</v>
      </c>
      <c r="C1316" t="str">
        <v>Director</v>
      </c>
      <c r="D1316" s="76">
        <v>3</v>
      </c>
      <c r="E1316" t="str" cm="1">
        <f t="array" ref="E1316">INDEX(aspek!$D$2:$D$337,
   MATCH(1,(aspek!$A$2:$A$337=B1316)*
           (aspek!$B$2:$B$337=C1316)*
           (aspek!$C$2:$C$337=D1316),0))</f>
        <v>Kedalaman pendampingan individual</v>
      </c>
      <c r="F1316" s="76">
        <v>5</v>
      </c>
      <c r="G1316" s="56" t="str" cm="1">
        <f t="array" ref="G1316">INDEX(deskripsi!$D$2:$H$337,
   MATCH(1,(deskripsi!$A$2:$A$337=B1316)*
           (deskripsi!$B$2:$B$337=C1316)*
           (deskripsi!$C$2:$C$337=D1316),0),
   F1316)</f>
        <v>Menjadi tempat individu secara sukarela mencari pendampingan pengembangan.</v>
      </c>
    </row>
    <row r="1317" spans="1:7">
      <c r="A1317" t="str">
        <f t="shared" si="20"/>
        <v>Developing Others|Director|4|1</v>
      </c>
      <c r="B1317" t="str">
        <v>Developing Others</v>
      </c>
      <c r="C1317" t="str">
        <v>Director</v>
      </c>
      <c r="D1317" s="76">
        <v>4</v>
      </c>
      <c r="E1317" t="str" cm="1">
        <f t="array" ref="E1317">INDEX(aspek!$D$2:$D$337,
   MATCH(1,(aspek!$A$2:$A$337=B1317)*
           (aspek!$B$2:$B$337=C1317)*
           (aspek!$C$2:$C$337=D1317),0))</f>
        <v>Pelembagaan sistem pengembangan yang inklusif</v>
      </c>
      <c r="F1317" s="76">
        <v>1</v>
      </c>
      <c r="G1317" s="56" t="str" cm="1">
        <f t="array" ref="G1317">INDEX(deskripsi!$D$2:$H$337,
   MATCH(1,(deskripsi!$A$2:$A$337=B1317)*
           (deskripsi!$B$2:$B$337=C1317)*
           (deskripsi!$C$2:$C$337=D1317),0),
   F1317)</f>
        <v>Sistem pengembangan berjalan tanpa memperhatikan bias.</v>
      </c>
    </row>
    <row r="1318" spans="1:7">
      <c r="A1318" t="str">
        <f t="shared" si="20"/>
        <v>Developing Others|Director|4|2</v>
      </c>
      <c r="B1318" t="str">
        <v>Developing Others</v>
      </c>
      <c r="C1318" t="str">
        <v>Director</v>
      </c>
      <c r="D1318" s="76">
        <v>4</v>
      </c>
      <c r="E1318" t="str" cm="1">
        <f t="array" ref="E1318">INDEX(aspek!$D$2:$D$337,
   MATCH(1,(aspek!$A$2:$A$337=B1318)*
           (aspek!$B$2:$B$337=C1318)*
           (aspek!$C$2:$C$337=D1318),0))</f>
        <v>Pelembagaan sistem pengembangan yang inklusif</v>
      </c>
      <c r="F1318" s="76">
        <v>2</v>
      </c>
      <c r="G1318" s="56" t="str" cm="1">
        <f t="array" ref="G1318">INDEX(deskripsi!$D$2:$H$337,
   MATCH(1,(deskripsi!$A$2:$A$337=B1318)*
           (deskripsi!$B$2:$B$337=C1318)*
           (deskripsi!$C$2:$C$337=D1318),0),
   F1318)</f>
        <v>Menyadari ada bias, tidak mengambil tindakan.</v>
      </c>
    </row>
    <row r="1319" spans="1:7">
      <c r="A1319" t="str">
        <f t="shared" si="20"/>
        <v>Developing Others|Director|4|3</v>
      </c>
      <c r="B1319" t="str">
        <v>Developing Others</v>
      </c>
      <c r="C1319" t="str">
        <v>Director</v>
      </c>
      <c r="D1319" s="76">
        <v>4</v>
      </c>
      <c r="E1319" t="str" cm="1">
        <f t="array" ref="E1319">INDEX(aspek!$D$2:$D$337,
   MATCH(1,(aspek!$A$2:$A$337=B1319)*
           (aspek!$B$2:$B$337=C1319)*
           (aspek!$C$2:$C$337=D1319),0))</f>
        <v>Pelembagaan sistem pengembangan yang inklusif</v>
      </c>
      <c r="F1319" s="76">
        <v>3</v>
      </c>
      <c r="G1319" s="56" t="str" cm="1">
        <f t="array" ref="G1319">INDEX(deskripsi!$D$2:$H$337,
   MATCH(1,(deskripsi!$A$2:$A$337=B1319)*
           (deskripsi!$B$2:$B$337=C1319)*
           (deskripsi!$C$2:$C$337=D1319),0),
   F1319)</f>
        <v>Mengambil tindakan pada bias yang paling jelas.</v>
      </c>
    </row>
    <row r="1320" spans="1:7" ht="28">
      <c r="A1320" t="str">
        <f t="shared" si="20"/>
        <v>Developing Others|Director|4|4</v>
      </c>
      <c r="B1320" t="str">
        <v>Developing Others</v>
      </c>
      <c r="C1320" t="str">
        <v>Director</v>
      </c>
      <c r="D1320" s="76">
        <v>4</v>
      </c>
      <c r="E1320" t="str" cm="1">
        <f t="array" ref="E1320">INDEX(aspek!$D$2:$D$337,
   MATCH(1,(aspek!$A$2:$A$337=B1320)*
           (aspek!$B$2:$B$337=C1320)*
           (aspek!$C$2:$C$337=D1320),0))</f>
        <v>Pelembagaan sistem pengembangan yang inklusif</v>
      </c>
      <c r="F1320" s="76">
        <v>4</v>
      </c>
      <c r="G1320" s="56" t="str" cm="1">
        <f t="array" ref="G1320">INDEX(deskripsi!$D$2:$H$337,
   MATCH(1,(deskripsi!$A$2:$A$337=B1320)*
           (deskripsi!$B$2:$B$337=C1320)*
           (deskripsi!$C$2:$C$337=D1320),0),
   F1320)</f>
        <v>Merancang sistem pengembangan yang secara eksplisit mengurangi bias dan meningkatkan inklusivitas.</v>
      </c>
    </row>
    <row r="1321" spans="1:7" ht="28">
      <c r="A1321" t="str">
        <f t="shared" si="20"/>
        <v>Developing Others|Director|4|5</v>
      </c>
      <c r="B1321" t="str">
        <v>Developing Others</v>
      </c>
      <c r="C1321" t="str">
        <v>Director</v>
      </c>
      <c r="D1321" s="76">
        <v>4</v>
      </c>
      <c r="E1321" t="str" cm="1">
        <f t="array" ref="E1321">INDEX(aspek!$D$2:$D$337,
   MATCH(1,(aspek!$A$2:$A$337=B1321)*
           (aspek!$B$2:$B$337=C1321)*
           (aspek!$C$2:$C$337=D1321),0))</f>
        <v>Pelembagaan sistem pengembangan yang inklusif</v>
      </c>
      <c r="F1321" s="76">
        <v>5</v>
      </c>
      <c r="G1321" s="56" t="str" cm="1">
        <f t="array" ref="G1321">INDEX(deskripsi!$D$2:$H$337,
   MATCH(1,(deskripsi!$A$2:$A$337=B1321)*
           (deskripsi!$B$2:$B$337=C1321)*
           (deskripsi!$C$2:$C$337=D1321),0),
   F1321)</f>
        <v>Sistemnya menjadi rujukan praktik pengembangan talenta yang inklusif di organisasi.</v>
      </c>
    </row>
    <row r="1322" spans="1:7" ht="28">
      <c r="A1322" t="str">
        <f t="shared" si="20"/>
        <v>Team Work|Officer|1|1</v>
      </c>
      <c r="B1322" t="str">
        <v>Team Work</v>
      </c>
      <c r="C1322" t="str">
        <v>Officer</v>
      </c>
      <c r="D1322" s="76">
        <v>1</v>
      </c>
      <c r="E1322" t="str" cm="1">
        <f t="array" ref="E1322">INDEX(aspek!$D$2:$D$337,
   MATCH(1,(aspek!$A$2:$A$337=B1322)*
           (aspek!$B$2:$B$337=C1322)*
           (aspek!$C$2:$C$337=D1322),0))</f>
        <v>Kualitas perhatian</v>
      </c>
      <c r="F1322" s="76">
        <v>1</v>
      </c>
      <c r="G1322" s="56" t="str" cm="1">
        <f t="array" ref="G1322">INDEX(deskripsi!$D$2:$H$337,
   MATCH(1,(deskripsi!$A$2:$A$337=B1322)*
           (deskripsi!$B$2:$B$337=C1322)*
           (deskripsi!$C$2:$C$337=D1322),0),
   F1322)</f>
        <v>Perhatian teralih; memikirkan hal lain saat orang lain berbicara.</v>
      </c>
    </row>
    <row r="1323" spans="1:7" ht="28">
      <c r="A1323" t="str">
        <f t="shared" si="20"/>
        <v>Team Work|Officer|1|2</v>
      </c>
      <c r="B1323" t="str">
        <v>Team Work</v>
      </c>
      <c r="C1323" t="str">
        <v>Officer</v>
      </c>
      <c r="D1323" s="76">
        <v>1</v>
      </c>
      <c r="E1323" t="str" cm="1">
        <f t="array" ref="E1323">INDEX(aspek!$D$2:$D$337,
   MATCH(1,(aspek!$A$2:$A$337=B1323)*
           (aspek!$B$2:$B$337=C1323)*
           (aspek!$C$2:$C$337=D1323),0))</f>
        <v>Kualitas perhatian</v>
      </c>
      <c r="F1323" s="76">
        <v>2</v>
      </c>
      <c r="G1323" s="56" t="str" cm="1">
        <f t="array" ref="G1323">INDEX(deskripsi!$D$2:$H$337,
   MATCH(1,(deskripsi!$A$2:$A$337=B1323)*
           (deskripsi!$B$2:$B$337=C1323)*
           (deskripsi!$C$2:$C$337=D1323),0),
   F1323)</f>
        <v>Mendengar sebagian; menangkap sebagian isi, melewatkan bagian penting.</v>
      </c>
    </row>
    <row r="1324" spans="1:7" ht="28">
      <c r="A1324" t="str">
        <f t="shared" si="20"/>
        <v>Team Work|Officer|1|3</v>
      </c>
      <c r="B1324" t="str">
        <v>Team Work</v>
      </c>
      <c r="C1324" t="str">
        <v>Officer</v>
      </c>
      <c r="D1324" s="76">
        <v>1</v>
      </c>
      <c r="E1324" t="str" cm="1">
        <f t="array" ref="E1324">INDEX(aspek!$D$2:$D$337,
   MATCH(1,(aspek!$A$2:$A$337=B1324)*
           (aspek!$B$2:$B$337=C1324)*
           (aspek!$C$2:$C$337=D1324),0))</f>
        <v>Kualitas perhatian</v>
      </c>
      <c r="F1324" s="76">
        <v>3</v>
      </c>
      <c r="G1324" s="56" t="str" cm="1">
        <f t="array" ref="G1324">INDEX(deskripsi!$D$2:$H$337,
   MATCH(1,(deskripsi!$A$2:$A$337=B1324)*
           (deskripsi!$B$2:$B$337=C1324)*
           (deskripsi!$C$2:$C$337=D1324),0),
   F1324)</f>
        <v>Mendengar penuh isi yang disampaikan pada percakapan yang tidak rumit.</v>
      </c>
    </row>
    <row r="1325" spans="1:7" ht="28">
      <c r="A1325" t="str">
        <f t="shared" si="20"/>
        <v>Team Work|Officer|1|4</v>
      </c>
      <c r="B1325" t="str">
        <v>Team Work</v>
      </c>
      <c r="C1325" t="str">
        <v>Officer</v>
      </c>
      <c r="D1325" s="76">
        <v>1</v>
      </c>
      <c r="E1325" t="str" cm="1">
        <f t="array" ref="E1325">INDEX(aspek!$D$2:$D$337,
   MATCH(1,(aspek!$A$2:$A$337=B1325)*
           (aspek!$B$2:$B$337=C1325)*
           (aspek!$C$2:$C$337=D1325),0))</f>
        <v>Kualitas perhatian</v>
      </c>
      <c r="F1325" s="76">
        <v>4</v>
      </c>
      <c r="G1325" s="56" t="str" cm="1">
        <f t="array" ref="G1325">INDEX(deskripsi!$D$2:$H$337,
   MATCH(1,(deskripsi!$A$2:$A$337=B1325)*
           (deskripsi!$B$2:$B$337=C1325)*
           (deskripsi!$C$2:$C$337=D1325),0),
   F1325)</f>
        <v>Mendengar penuh dan aktif mengklarifikasi pada percakapan yang kompleks atau ambigu.</v>
      </c>
    </row>
    <row r="1326" spans="1:7" ht="28">
      <c r="A1326" t="str">
        <f t="shared" si="20"/>
        <v>Team Work|Officer|1|5</v>
      </c>
      <c r="B1326" t="str">
        <v>Team Work</v>
      </c>
      <c r="C1326" t="str">
        <v>Officer</v>
      </c>
      <c r="D1326" s="76">
        <v>1</v>
      </c>
      <c r="E1326" t="str" cm="1">
        <f t="array" ref="E1326">INDEX(aspek!$D$2:$D$337,
   MATCH(1,(aspek!$A$2:$A$337=B1326)*
           (aspek!$B$2:$B$337=C1326)*
           (aspek!$C$2:$C$337=D1326),0))</f>
        <v>Kualitas perhatian</v>
      </c>
      <c r="F1326" s="76">
        <v>5</v>
      </c>
      <c r="G1326" s="56" t="str" cm="1">
        <f t="array" ref="G1326">INDEX(deskripsi!$D$2:$H$337,
   MATCH(1,(deskripsi!$A$2:$A$337=B1326)*
           (deskripsi!$B$2:$B$337=C1326)*
           (deskripsi!$C$2:$C$337=D1326),0),
   F1326)</f>
        <v>Perhatiannya membuat lawan bicara merasa benar-benar didengar, bahkan pada topik sensitif.</v>
      </c>
    </row>
    <row r="1327" spans="1:7">
      <c r="A1327" t="str">
        <f t="shared" si="20"/>
        <v>Team Work|Officer|2|1</v>
      </c>
      <c r="B1327" t="str">
        <v>Team Work</v>
      </c>
      <c r="C1327" t="str">
        <v>Officer</v>
      </c>
      <c r="D1327" s="76">
        <v>2</v>
      </c>
      <c r="E1327" t="str" cm="1">
        <f t="array" ref="E1327">INDEX(aspek!$D$2:$D$337,
   MATCH(1,(aspek!$A$2:$A$337=B1327)*
           (aspek!$B$2:$B$337=C1327)*
           (aspek!$C$2:$C$337=D1327),0))</f>
        <v>Kemampuan merangkum</v>
      </c>
      <c r="F1327" s="76">
        <v>1</v>
      </c>
      <c r="G1327" s="56" t="str" cm="1">
        <f t="array" ref="G1327">INDEX(deskripsi!$D$2:$H$337,
   MATCH(1,(deskripsi!$A$2:$A$337=B1327)*
           (deskripsi!$B$2:$B$337=C1327)*
           (deskripsi!$C$2:$C$337=D1327),0),
   F1327)</f>
        <v>Tidak dapat merangkum; hanya mengulang sebagian kata.</v>
      </c>
    </row>
    <row r="1328" spans="1:7" ht="28">
      <c r="A1328" t="str">
        <f t="shared" si="20"/>
        <v>Team Work|Officer|2|2</v>
      </c>
      <c r="B1328" t="str">
        <v>Team Work</v>
      </c>
      <c r="C1328" t="str">
        <v>Officer</v>
      </c>
      <c r="D1328" s="76">
        <v>2</v>
      </c>
      <c r="E1328" t="str" cm="1">
        <f t="array" ref="E1328">INDEX(aspek!$D$2:$D$337,
   MATCH(1,(aspek!$A$2:$A$337=B1328)*
           (aspek!$B$2:$B$337=C1328)*
           (aspek!$C$2:$C$337=D1328),0))</f>
        <v>Kemampuan merangkum</v>
      </c>
      <c r="F1328" s="76">
        <v>2</v>
      </c>
      <c r="G1328" s="56" t="str" cm="1">
        <f t="array" ref="G1328">INDEX(deskripsi!$D$2:$H$337,
   MATCH(1,(deskripsi!$A$2:$A$337=B1328)*
           (deskripsi!$B$2:$B$337=C1328)*
           (deskripsi!$C$2:$C$337=D1328),0),
   F1328)</f>
        <v>Merangkum dengan menambahkan opini sendiri, mengubah makna.</v>
      </c>
    </row>
    <row r="1329" spans="1:7">
      <c r="A1329" t="str">
        <f t="shared" si="20"/>
        <v>Team Work|Officer|2|3</v>
      </c>
      <c r="B1329" t="str">
        <v>Team Work</v>
      </c>
      <c r="C1329" t="str">
        <v>Officer</v>
      </c>
      <c r="D1329" s="76">
        <v>2</v>
      </c>
      <c r="E1329" t="str" cm="1">
        <f t="array" ref="E1329">INDEX(aspek!$D$2:$D$337,
   MATCH(1,(aspek!$A$2:$A$337=B1329)*
           (aspek!$B$2:$B$337=C1329)*
           (aspek!$C$2:$C$337=D1329),0))</f>
        <v>Kemampuan merangkum</v>
      </c>
      <c r="F1329" s="76">
        <v>3</v>
      </c>
      <c r="G1329" s="56" t="str" cm="1">
        <f t="array" ref="G1329">INDEX(deskripsi!$D$2:$H$337,
   MATCH(1,(deskripsi!$A$2:$A$337=B1329)*
           (deskripsi!$B$2:$B$337=C1329)*
           (deskripsi!$C$2:$C$337=D1329),0),
   F1329)</f>
        <v>Merangkum secara akurat pada percakapan sederhana.</v>
      </c>
    </row>
    <row r="1330" spans="1:7" ht="28">
      <c r="A1330" t="str">
        <f t="shared" si="20"/>
        <v>Team Work|Officer|2|4</v>
      </c>
      <c r="B1330" t="str">
        <v>Team Work</v>
      </c>
      <c r="C1330" t="str">
        <v>Officer</v>
      </c>
      <c r="D1330" s="76">
        <v>2</v>
      </c>
      <c r="E1330" t="str" cm="1">
        <f t="array" ref="E1330">INDEX(aspek!$D$2:$D$337,
   MATCH(1,(aspek!$A$2:$A$337=B1330)*
           (aspek!$B$2:$B$337=C1330)*
           (aspek!$C$2:$C$337=D1330),0))</f>
        <v>Kemampuan merangkum</v>
      </c>
      <c r="F1330" s="76">
        <v>4</v>
      </c>
      <c r="G1330" s="56" t="str" cm="1">
        <f t="array" ref="G1330">INDEX(deskripsi!$D$2:$H$337,
   MATCH(1,(deskripsi!$A$2:$A$337=B1330)*
           (deskripsi!$B$2:$B$337=C1330)*
           (deskripsi!$C$2:$C$337=D1330),0),
   F1330)</f>
        <v>Merangkum secara akurat dan diverifikasi tepat oleh pembicara, termasuk pada percakapan yang kompleks.</v>
      </c>
    </row>
    <row r="1331" spans="1:7" ht="28">
      <c r="A1331" t="str">
        <f t="shared" si="20"/>
        <v>Team Work|Officer|2|5</v>
      </c>
      <c r="B1331" t="str">
        <v>Team Work</v>
      </c>
      <c r="C1331" t="str">
        <v>Officer</v>
      </c>
      <c r="D1331" s="76">
        <v>2</v>
      </c>
      <c r="E1331" t="str" cm="1">
        <f t="array" ref="E1331">INDEX(aspek!$D$2:$D$337,
   MATCH(1,(aspek!$A$2:$A$337=B1331)*
           (aspek!$B$2:$B$337=C1331)*
           (aspek!$C$2:$C$337=D1331),0))</f>
        <v>Kemampuan merangkum</v>
      </c>
      <c r="F1331" s="76">
        <v>5</v>
      </c>
      <c r="G1331" s="56" t="str" cm="1">
        <f t="array" ref="G1331">INDEX(deskripsi!$D$2:$H$337,
   MATCH(1,(deskripsi!$A$2:$A$337=B1331)*
           (deskripsi!$B$2:$B$337=C1331)*
           (deskripsi!$C$2:$C$337=D1331),0),
   F1331)</f>
        <v>Rangkumannya dipakai untuk menyelesaikan perbedaan pandangan dalam kelompok.</v>
      </c>
    </row>
    <row r="1332" spans="1:7">
      <c r="A1332" t="str">
        <f t="shared" si="20"/>
        <v>Team Work|Officer|3|1</v>
      </c>
      <c r="B1332" t="str">
        <v>Team Work</v>
      </c>
      <c r="C1332" t="str">
        <v>Officer</v>
      </c>
      <c r="D1332" s="76">
        <v>3</v>
      </c>
      <c r="E1332" t="str" cm="1">
        <f t="array" ref="E1332">INDEX(aspek!$D$2:$D$337,
   MATCH(1,(aspek!$A$2:$A$337=B1332)*
           (aspek!$B$2:$B$337=C1332)*
           (aspek!$C$2:$C$337=D1332),0))</f>
        <v>Kepekaan pada nada dan emosi</v>
      </c>
      <c r="F1332" s="76">
        <v>1</v>
      </c>
      <c r="G1332" s="56" t="str" cm="1">
        <f t="array" ref="G1332">INDEX(deskripsi!$D$2:$H$337,
   MATCH(1,(deskripsi!$A$2:$A$337=B1332)*
           (deskripsi!$B$2:$B$337=C1332)*
           (deskripsi!$C$2:$C$337=D1332),0),
   F1332)</f>
        <v>Tidak menyadari emosi di balik kata-kata.</v>
      </c>
    </row>
    <row r="1333" spans="1:7">
      <c r="A1333" t="str">
        <f t="shared" si="20"/>
        <v>Team Work|Officer|3|2</v>
      </c>
      <c r="B1333" t="str">
        <v>Team Work</v>
      </c>
      <c r="C1333" t="str">
        <v>Officer</v>
      </c>
      <c r="D1333" s="76">
        <v>3</v>
      </c>
      <c r="E1333" t="str" cm="1">
        <f t="array" ref="E1333">INDEX(aspek!$D$2:$D$337,
   MATCH(1,(aspek!$A$2:$A$337=B1333)*
           (aspek!$B$2:$B$337=C1333)*
           (aspek!$C$2:$C$337=D1333),0))</f>
        <v>Kepekaan pada nada dan emosi</v>
      </c>
      <c r="F1333" s="76">
        <v>2</v>
      </c>
      <c r="G1333" s="56" t="str" cm="1">
        <f t="array" ref="G1333">INDEX(deskripsi!$D$2:$H$337,
   MATCH(1,(deskripsi!$A$2:$A$337=B1333)*
           (deskripsi!$B$2:$B$337=C1333)*
           (deskripsi!$C$2:$C$337=D1333),0),
   F1333)</f>
        <v>Menyadari ada emosi, tetapi salah menebak jenisnya.</v>
      </c>
    </row>
    <row r="1334" spans="1:7">
      <c r="A1334" t="str">
        <f t="shared" si="20"/>
        <v>Team Work|Officer|3|3</v>
      </c>
      <c r="B1334" t="str">
        <v>Team Work</v>
      </c>
      <c r="C1334" t="str">
        <v>Officer</v>
      </c>
      <c r="D1334" s="76">
        <v>3</v>
      </c>
      <c r="E1334" t="str" cm="1">
        <f t="array" ref="E1334">INDEX(aspek!$D$2:$D$337,
   MATCH(1,(aspek!$A$2:$A$337=B1334)*
           (aspek!$B$2:$B$337=C1334)*
           (aspek!$C$2:$C$337=D1334),0))</f>
        <v>Kepekaan pada nada dan emosi</v>
      </c>
      <c r="F1334" s="76">
        <v>3</v>
      </c>
      <c r="G1334" s="56" t="str" cm="1">
        <f t="array" ref="G1334">INDEX(deskripsi!$D$2:$H$337,
   MATCH(1,(deskripsi!$A$2:$A$337=B1334)*
           (deskripsi!$B$2:$B$337=C1334)*
           (deskripsi!$C$2:$C$337=D1334),0),
   F1334)</f>
        <v>Menangkap emosi yang jelas dan eksplisit.</v>
      </c>
    </row>
    <row r="1335" spans="1:7" ht="28">
      <c r="A1335" t="str">
        <f t="shared" si="20"/>
        <v>Team Work|Officer|3|4</v>
      </c>
      <c r="B1335" t="str">
        <v>Team Work</v>
      </c>
      <c r="C1335" t="str">
        <v>Officer</v>
      </c>
      <c r="D1335" s="76">
        <v>3</v>
      </c>
      <c r="E1335" t="str" cm="1">
        <f t="array" ref="E1335">INDEX(aspek!$D$2:$D$337,
   MATCH(1,(aspek!$A$2:$A$337=B1335)*
           (aspek!$B$2:$B$337=C1335)*
           (aspek!$C$2:$C$337=D1335),0))</f>
        <v>Kepekaan pada nada dan emosi</v>
      </c>
      <c r="F1335" s="76">
        <v>4</v>
      </c>
      <c r="G1335" s="56" t="str" cm="1">
        <f t="array" ref="G1335">INDEX(deskripsi!$D$2:$H$337,
   MATCH(1,(deskripsi!$A$2:$A$337=B1335)*
           (deskripsi!$B$2:$B$337=C1335)*
           (deskripsi!$C$2:$C$337=D1335),0),
   F1335)</f>
        <v>Menangkap emosi yang tidak diucapkan secara eksplisit dan merespons sesuai, dikonfirmasi oleh orangnya.</v>
      </c>
    </row>
    <row r="1336" spans="1:7" ht="28">
      <c r="A1336" t="str">
        <f t="shared" si="20"/>
        <v>Team Work|Officer|3|5</v>
      </c>
      <c r="B1336" t="str">
        <v>Team Work</v>
      </c>
      <c r="C1336" t="str">
        <v>Officer</v>
      </c>
      <c r="D1336" s="76">
        <v>3</v>
      </c>
      <c r="E1336" t="str" cm="1">
        <f t="array" ref="E1336">INDEX(aspek!$D$2:$D$337,
   MATCH(1,(aspek!$A$2:$A$337=B1336)*
           (aspek!$B$2:$B$337=C1336)*
           (aspek!$C$2:$C$337=D1336),0))</f>
        <v>Kepekaan pada nada dan emosi</v>
      </c>
      <c r="F1336" s="76">
        <v>5</v>
      </c>
      <c r="G1336" s="56" t="str" cm="1">
        <f t="array" ref="G1336">INDEX(deskripsi!$D$2:$H$337,
   MATCH(1,(deskripsi!$A$2:$A$337=B1336)*
           (deskripsi!$B$2:$B$337=C1336)*
           (deskripsi!$C$2:$C$337=D1336),0),
   F1336)</f>
        <v>Kepekaannya membuat orang lain nyaman menyampaikan hal yang sulit diucapkan.</v>
      </c>
    </row>
    <row r="1337" spans="1:7" ht="28">
      <c r="A1337" t="str">
        <f t="shared" si="20"/>
        <v>Team Work|Officer|4|1</v>
      </c>
      <c r="B1337" t="str">
        <v>Team Work</v>
      </c>
      <c r="C1337" t="str">
        <v>Officer</v>
      </c>
      <c r="D1337" s="76">
        <v>4</v>
      </c>
      <c r="E1337" t="str" cm="1">
        <f t="array" ref="E1337">INDEX(aspek!$D$2:$D$337,
   MATCH(1,(aspek!$A$2:$A$337=B1337)*
           (aspek!$B$2:$B$337=C1337)*
           (aspek!$C$2:$C$337=D1337),0))</f>
        <v>Mendorong konsensus</v>
      </c>
      <c r="F1337" s="76">
        <v>1</v>
      </c>
      <c r="G1337" s="56" t="str" cm="1">
        <f t="array" ref="G1337">INDEX(deskripsi!$D$2:$H$337,
   MATCH(1,(deskripsi!$A$2:$A$337=B1337)*
           (deskripsi!$B$2:$B$337=C1337)*
           (deskripsi!$C$2:$C$337=D1337),0),
   F1337)</f>
        <v>Mendengarkan tidak pernah dipakai untuk membantu kelompok memutuskan.</v>
      </c>
    </row>
    <row r="1338" spans="1:7" ht="28">
      <c r="A1338" t="str">
        <f t="shared" si="20"/>
        <v>Team Work|Officer|4|2</v>
      </c>
      <c r="B1338" t="str">
        <v>Team Work</v>
      </c>
      <c r="C1338" t="str">
        <v>Officer</v>
      </c>
      <c r="D1338" s="76">
        <v>4</v>
      </c>
      <c r="E1338" t="str" cm="1">
        <f t="array" ref="E1338">INDEX(aspek!$D$2:$D$337,
   MATCH(1,(aspek!$A$2:$A$337=B1338)*
           (aspek!$B$2:$B$337=C1338)*
           (aspek!$C$2:$C$337=D1338),0))</f>
        <v>Mendorong konsensus</v>
      </c>
      <c r="F1338" s="76">
        <v>2</v>
      </c>
      <c r="G1338" s="56" t="str" cm="1">
        <f t="array" ref="G1338">INDEX(deskripsi!$D$2:$H$337,
   MATCH(1,(deskripsi!$A$2:$A$337=B1338)*
           (deskripsi!$B$2:$B$337=C1338)*
           (deskripsi!$C$2:$C$337=D1338),0),
   F1338)</f>
        <v>Mendengarkan hanya untuk dirinya sendiri, tidak dibagikan ke forum.</v>
      </c>
    </row>
    <row r="1339" spans="1:7" ht="28">
      <c r="A1339" t="str">
        <f t="shared" si="20"/>
        <v>Team Work|Officer|4|3</v>
      </c>
      <c r="B1339" t="str">
        <v>Team Work</v>
      </c>
      <c r="C1339" t="str">
        <v>Officer</v>
      </c>
      <c r="D1339" s="76">
        <v>4</v>
      </c>
      <c r="E1339" t="str" cm="1">
        <f t="array" ref="E1339">INDEX(aspek!$D$2:$D$337,
   MATCH(1,(aspek!$A$2:$A$337=B1339)*
           (aspek!$B$2:$B$337=C1339)*
           (aspek!$C$2:$C$337=D1339),0))</f>
        <v>Mendorong konsensus</v>
      </c>
      <c r="F1339" s="76">
        <v>3</v>
      </c>
      <c r="G1339" s="56" t="str" cm="1">
        <f t="array" ref="G1339">INDEX(deskripsi!$D$2:$H$337,
   MATCH(1,(deskripsi!$A$2:$A$337=B1339)*
           (deskripsi!$B$2:$B$337=C1339)*
           (deskripsi!$C$2:$C$337=D1339),0),
   F1339)</f>
        <v>Menyampaikan apa yang didengar kepada forum, tanpa menyintesiskannya.</v>
      </c>
    </row>
    <row r="1340" spans="1:7" ht="28">
      <c r="A1340" t="str">
        <f t="shared" si="20"/>
        <v>Team Work|Officer|4|4</v>
      </c>
      <c r="B1340" t="str">
        <v>Team Work</v>
      </c>
      <c r="C1340" t="str">
        <v>Officer</v>
      </c>
      <c r="D1340" s="76">
        <v>4</v>
      </c>
      <c r="E1340" t="str" cm="1">
        <f t="array" ref="E1340">INDEX(aspek!$D$2:$D$337,
   MATCH(1,(aspek!$A$2:$A$337=B1340)*
           (aspek!$B$2:$B$337=C1340)*
           (aspek!$C$2:$C$337=D1340),0))</f>
        <v>Mendorong konsensus</v>
      </c>
      <c r="F1340" s="76">
        <v>4</v>
      </c>
      <c r="G1340" s="56" t="str" cm="1">
        <f t="array" ref="G1340">INDEX(deskripsi!$D$2:$H$337,
   MATCH(1,(deskripsi!$A$2:$A$337=B1340)*
           (deskripsi!$B$2:$B$337=C1340)*
           (deskripsi!$C$2:$C$337=D1340),0),
   F1340)</f>
        <v>Merangkum pandangan yang berbeda secara adil dan membantu forum menemukan titik temu.</v>
      </c>
    </row>
    <row r="1341" spans="1:7" ht="28">
      <c r="A1341" t="str">
        <f t="shared" si="20"/>
        <v>Team Work|Officer|4|5</v>
      </c>
      <c r="B1341" t="str">
        <v>Team Work</v>
      </c>
      <c r="C1341" t="str">
        <v>Officer</v>
      </c>
      <c r="D1341" s="76">
        <v>4</v>
      </c>
      <c r="E1341" t="str" cm="1">
        <f t="array" ref="E1341">INDEX(aspek!$D$2:$D$337,
   MATCH(1,(aspek!$A$2:$A$337=B1341)*
           (aspek!$B$2:$B$337=C1341)*
           (aspek!$C$2:$C$337=D1341),0))</f>
        <v>Mendorong konsensus</v>
      </c>
      <c r="F1341" s="76">
        <v>5</v>
      </c>
      <c r="G1341" s="56" t="str" cm="1">
        <f t="array" ref="G1341">INDEX(deskripsi!$D$2:$H$337,
   MATCH(1,(deskripsi!$A$2:$A$337=B1341)*
           (deskripsi!$B$2:$B$337=C1341)*
           (deskripsi!$C$2:$C$337=D1341),0),
   F1341)</f>
        <v>Menjadi orang yang dicari untuk merangkum ketika forum menghadapi kebuntuan.</v>
      </c>
    </row>
    <row r="1342" spans="1:7">
      <c r="A1342" t="str">
        <f t="shared" si="20"/>
        <v>Team Work|Analyst|1|1</v>
      </c>
      <c r="B1342" t="str">
        <v>Team Work</v>
      </c>
      <c r="C1342" t="str">
        <v>Analyst</v>
      </c>
      <c r="D1342" s="76">
        <v>1</v>
      </c>
      <c r="E1342" t="str" cm="1">
        <f t="array" ref="E1342">INDEX(aspek!$D$2:$D$337,
   MATCH(1,(aspek!$A$2:$A$337=B1342)*
           (aspek!$B$2:$B$337=C1342)*
           (aspek!$C$2:$C$337=D1342),0))</f>
        <v>Kesediaan berkolaborasi dengan yang berbeda</v>
      </c>
      <c r="F1342" s="76">
        <v>1</v>
      </c>
      <c r="G1342" s="56" t="str" cm="1">
        <f t="array" ref="G1342">INDEX(deskripsi!$D$2:$H$337,
   MATCH(1,(deskripsi!$A$2:$A$337=B1342)*
           (deskripsi!$B$2:$B$337=C1342)*
           (deskripsi!$C$2:$C$337=D1342),0),
   F1342)</f>
        <v>Memilih bekerja hanya dengan orang yang serupa dengannya.</v>
      </c>
    </row>
    <row r="1343" spans="1:7">
      <c r="A1343" t="str">
        <f t="shared" si="20"/>
        <v>Team Work|Analyst|1|2</v>
      </c>
      <c r="B1343" t="str">
        <v>Team Work</v>
      </c>
      <c r="C1343" t="str">
        <v>Analyst</v>
      </c>
      <c r="D1343" s="76">
        <v>1</v>
      </c>
      <c r="E1343" t="str" cm="1">
        <f t="array" ref="E1343">INDEX(aspek!$D$2:$D$337,
   MATCH(1,(aspek!$A$2:$A$337=B1343)*
           (aspek!$B$2:$B$337=C1343)*
           (aspek!$C$2:$C$337=D1343),0))</f>
        <v>Kesediaan berkolaborasi dengan yang berbeda</v>
      </c>
      <c r="F1343" s="76">
        <v>2</v>
      </c>
      <c r="G1343" s="56" t="str" cm="1">
        <f t="array" ref="G1343">INDEX(deskripsi!$D$2:$H$337,
   MATCH(1,(deskripsi!$A$2:$A$337=B1343)*
           (deskripsi!$B$2:$B$337=C1343)*
           (deskripsi!$C$2:$C$337=D1343),0),
   F1343)</f>
        <v>Bekerja dengan yang berbeda hanya ketika diarahkan.</v>
      </c>
    </row>
    <row r="1344" spans="1:7" ht="28">
      <c r="A1344" t="str">
        <f t="shared" si="20"/>
        <v>Team Work|Analyst|1|3</v>
      </c>
      <c r="B1344" t="str">
        <v>Team Work</v>
      </c>
      <c r="C1344" t="str">
        <v>Analyst</v>
      </c>
      <c r="D1344" s="76">
        <v>1</v>
      </c>
      <c r="E1344" t="str" cm="1">
        <f t="array" ref="E1344">INDEX(aspek!$D$2:$D$337,
   MATCH(1,(aspek!$A$2:$A$337=B1344)*
           (aspek!$B$2:$B$337=C1344)*
           (aspek!$C$2:$C$337=D1344),0))</f>
        <v>Kesediaan berkolaborasi dengan yang berbeda</v>
      </c>
      <c r="F1344" s="76">
        <v>3</v>
      </c>
      <c r="G1344" s="56" t="str" cm="1">
        <f t="array" ref="G1344">INDEX(deskripsi!$D$2:$H$337,
   MATCH(1,(deskripsi!$A$2:$A$337=B1344)*
           (deskripsi!$B$2:$B$337=C1344)*
           (deskripsi!$C$2:$C$337=D1344),0),
   F1344)</f>
        <v>Bekerja dengan yang berbeda atas inisiatif sendiri pada situasi yang familiar.</v>
      </c>
    </row>
    <row r="1345" spans="1:7" ht="28">
      <c r="A1345" t="str">
        <f t="shared" si="20"/>
        <v>Team Work|Analyst|1|4</v>
      </c>
      <c r="B1345" t="str">
        <v>Team Work</v>
      </c>
      <c r="C1345" t="str">
        <v>Analyst</v>
      </c>
      <c r="D1345" s="76">
        <v>1</v>
      </c>
      <c r="E1345" t="str" cm="1">
        <f t="array" ref="E1345">INDEX(aspek!$D$2:$D$337,
   MATCH(1,(aspek!$A$2:$A$337=B1345)*
           (aspek!$B$2:$B$337=C1345)*
           (aspek!$C$2:$C$337=D1345),0))</f>
        <v>Kesediaan berkolaborasi dengan yang berbeda</v>
      </c>
      <c r="F1345" s="76">
        <v>4</v>
      </c>
      <c r="G1345" s="56" t="str" cm="1">
        <f t="array" ref="G1345">INDEX(deskripsi!$D$2:$H$337,
   MATCH(1,(deskripsi!$A$2:$A$337=B1345)*
           (deskripsi!$B$2:$B$337=C1345)*
           (deskripsi!$C$2:$C$337=D1345),0),
   F1345)</f>
        <v>Secara aktif mencari kolaborasi dengan pihak berbeda karena menyadari nilai yang bisa dihasilkan.</v>
      </c>
    </row>
    <row r="1346" spans="1:7" ht="28">
      <c r="A1346" t="str">
        <f t="shared" si="20"/>
        <v>Team Work|Analyst|1|5</v>
      </c>
      <c r="B1346" t="str">
        <v>Team Work</v>
      </c>
      <c r="C1346" t="str">
        <v>Analyst</v>
      </c>
      <c r="D1346" s="76">
        <v>1</v>
      </c>
      <c r="E1346" t="str" cm="1">
        <f t="array" ref="E1346">INDEX(aspek!$D$2:$D$337,
   MATCH(1,(aspek!$A$2:$A$337=B1346)*
           (aspek!$B$2:$B$337=C1346)*
           (aspek!$C$2:$C$337=D1346),0))</f>
        <v>Kesediaan berkolaborasi dengan yang berbeda</v>
      </c>
      <c r="F1346" s="76">
        <v>5</v>
      </c>
      <c r="G1346" s="56" t="str" cm="1">
        <f t="array" ref="G1346">INDEX(deskripsi!$D$2:$H$337,
   MATCH(1,(deskripsi!$A$2:$A$337=B1346)*
           (deskripsi!$B$2:$B$337=C1346)*
           (deskripsi!$C$2:$C$337=D1346),0),
   F1346)</f>
        <v>Menjadi orang yang dicari ketika sebuah tim membutuhkan sudut pandang yang berbeda.</v>
      </c>
    </row>
    <row r="1347" spans="1:7">
      <c r="A1347" t="str">
        <f t="shared" ref="A1347:A1410" si="21">B1347&amp;"|"&amp;C1347&amp;"|"&amp;D1347&amp;"|"&amp;F1347</f>
        <v>Team Work|Analyst|2|1</v>
      </c>
      <c r="B1347" t="str">
        <v>Team Work</v>
      </c>
      <c r="C1347" t="str">
        <v>Analyst</v>
      </c>
      <c r="D1347" s="76">
        <v>2</v>
      </c>
      <c r="E1347" t="str" cm="1">
        <f t="array" ref="E1347">INDEX(aspek!$D$2:$D$337,
   MATCH(1,(aspek!$A$2:$A$337=B1347)*
           (aspek!$B$2:$B$337=C1347)*
           (aspek!$C$2:$C$337=D1347),0))</f>
        <v>Penyesuaian gaya komunikasi</v>
      </c>
      <c r="F1347" s="76">
        <v>1</v>
      </c>
      <c r="G1347" s="56" t="str" cm="1">
        <f t="array" ref="G1347">INDEX(deskripsi!$D$2:$H$337,
   MATCH(1,(deskripsi!$A$2:$A$337=B1347)*
           (deskripsi!$B$2:$B$337=C1347)*
           (deskripsi!$C$2:$C$337=D1347),0),
   F1347)</f>
        <v>Berkomunikasi dengan cara yang sama kepada siapa pun.</v>
      </c>
    </row>
    <row r="1348" spans="1:7" ht="28">
      <c r="A1348" t="str">
        <f t="shared" si="21"/>
        <v>Team Work|Analyst|2|2</v>
      </c>
      <c r="B1348" t="str">
        <v>Team Work</v>
      </c>
      <c r="C1348" t="str">
        <v>Analyst</v>
      </c>
      <c r="D1348" s="76">
        <v>2</v>
      </c>
      <c r="E1348" t="str" cm="1">
        <f t="array" ref="E1348">INDEX(aspek!$D$2:$D$337,
   MATCH(1,(aspek!$A$2:$A$337=B1348)*
           (aspek!$B$2:$B$337=C1348)*
           (aspek!$C$2:$C$337=D1348),0))</f>
        <v>Penyesuaian gaya komunikasi</v>
      </c>
      <c r="F1348" s="76">
        <v>2</v>
      </c>
      <c r="G1348" s="56" t="str" cm="1">
        <f t="array" ref="G1348">INDEX(deskripsi!$D$2:$H$337,
   MATCH(1,(deskripsi!$A$2:$A$337=B1348)*
           (deskripsi!$B$2:$B$337=C1348)*
           (deskripsi!$C$2:$C$337=D1348),0),
   F1348)</f>
        <v>Menyesuaikan cara berkomunikasi ketika diminta atau diarahkan.</v>
      </c>
    </row>
    <row r="1349" spans="1:7" ht="28">
      <c r="A1349" t="str">
        <f t="shared" si="21"/>
        <v>Team Work|Analyst|2|3</v>
      </c>
      <c r="B1349" t="str">
        <v>Team Work</v>
      </c>
      <c r="C1349" t="str">
        <v>Analyst</v>
      </c>
      <c r="D1349" s="76">
        <v>2</v>
      </c>
      <c r="E1349" t="str" cm="1">
        <f t="array" ref="E1349">INDEX(aspek!$D$2:$D$337,
   MATCH(1,(aspek!$A$2:$A$337=B1349)*
           (aspek!$B$2:$B$337=C1349)*
           (aspek!$C$2:$C$337=D1349),0))</f>
        <v>Penyesuaian gaya komunikasi</v>
      </c>
      <c r="F1349" s="76">
        <v>3</v>
      </c>
      <c r="G1349" s="56" t="str" cm="1">
        <f t="array" ref="G1349">INDEX(deskripsi!$D$2:$H$337,
   MATCH(1,(deskripsi!$A$2:$A$337=B1349)*
           (deskripsi!$B$2:$B$337=C1349)*
           (deskripsi!$C$2:$C$337=D1349),0),
   F1349)</f>
        <v>Menyesuaikan gaya komunikasi secara mandiri sesuai lawan bicara.</v>
      </c>
    </row>
    <row r="1350" spans="1:7" ht="28">
      <c r="A1350" t="str">
        <f t="shared" si="21"/>
        <v>Team Work|Analyst|2|4</v>
      </c>
      <c r="B1350" t="str">
        <v>Team Work</v>
      </c>
      <c r="C1350" t="str">
        <v>Analyst</v>
      </c>
      <c r="D1350" s="76">
        <v>2</v>
      </c>
      <c r="E1350" t="str" cm="1">
        <f t="array" ref="E1350">INDEX(aspek!$D$2:$D$337,
   MATCH(1,(aspek!$A$2:$A$337=B1350)*
           (aspek!$B$2:$B$337=C1350)*
           (aspek!$C$2:$C$337=D1350),0))</f>
        <v>Penyesuaian gaya komunikasi</v>
      </c>
      <c r="F1350" s="76">
        <v>4</v>
      </c>
      <c r="G1350" s="56" t="str" cm="1">
        <f t="array" ref="G1350">INDEX(deskripsi!$D$2:$H$337,
   MATCH(1,(deskripsi!$A$2:$A$337=B1350)*
           (deskripsi!$B$2:$B$337=C1350)*
           (deskripsi!$C$2:$C$337=D1350),0),
   F1350)</f>
        <v>Menyesuaikan gaya secara konsisten, dan kolaborasi menjadi lebih produktif karenanya, dikonfirmasi lawan kolaborasi.</v>
      </c>
    </row>
    <row r="1351" spans="1:7">
      <c r="A1351" t="str">
        <f t="shared" si="21"/>
        <v>Team Work|Analyst|2|5</v>
      </c>
      <c r="B1351" t="str">
        <v>Team Work</v>
      </c>
      <c r="C1351" t="str">
        <v>Analyst</v>
      </c>
      <c r="D1351" s="76">
        <v>2</v>
      </c>
      <c r="E1351" t="str" cm="1">
        <f t="array" ref="E1351">INDEX(aspek!$D$2:$D$337,
   MATCH(1,(aspek!$A$2:$A$337=B1351)*
           (aspek!$B$2:$B$337=C1351)*
           (aspek!$C$2:$C$337=D1351),0))</f>
        <v>Penyesuaian gaya komunikasi</v>
      </c>
      <c r="F1351" s="76">
        <v>5</v>
      </c>
      <c r="G1351" s="56" t="str" cm="1">
        <f t="array" ref="G1351">INDEX(deskripsi!$D$2:$H$337,
   MATCH(1,(deskripsi!$A$2:$A$337=B1351)*
           (deskripsi!$B$2:$B$337=C1351)*
           (deskripsi!$C$2:$C$337=D1351),0),
   F1351)</f>
        <v>Penyesuaiannya menjadi contoh yang ditiru rekan lain.</v>
      </c>
    </row>
    <row r="1352" spans="1:7">
      <c r="A1352" t="str">
        <f t="shared" si="21"/>
        <v>Team Work|Analyst|3|1</v>
      </c>
      <c r="B1352" t="str">
        <v>Team Work</v>
      </c>
      <c r="C1352" t="str">
        <v>Analyst</v>
      </c>
      <c r="D1352" s="76">
        <v>3</v>
      </c>
      <c r="E1352" t="str" cm="1">
        <f t="array" ref="E1352">INDEX(aspek!$D$2:$D$337,
   MATCH(1,(aspek!$A$2:$A$337=B1352)*
           (aspek!$B$2:$B$337=C1352)*
           (aspek!$C$2:$C$337=D1352),0))</f>
        <v xml:space="preserve">Memanfaatkan perbedaan sebagai sumber nilai </v>
      </c>
      <c r="F1352" s="76">
        <v>1</v>
      </c>
      <c r="G1352" s="56" t="str" cm="1">
        <f t="array" ref="G1352">INDEX(deskripsi!$D$2:$H$337,
   MATCH(1,(deskripsi!$A$2:$A$337=B1352)*
           (deskripsi!$B$2:$B$337=C1352)*
           (deskripsi!$C$2:$C$337=D1352),0),
   F1352)</f>
        <v>Menghindari perbedaan pandangan, memilih yang sepakat.</v>
      </c>
    </row>
    <row r="1353" spans="1:7">
      <c r="A1353" t="str">
        <f t="shared" si="21"/>
        <v>Team Work|Analyst|3|2</v>
      </c>
      <c r="B1353" t="str">
        <v>Team Work</v>
      </c>
      <c r="C1353" t="str">
        <v>Analyst</v>
      </c>
      <c r="D1353" s="76">
        <v>3</v>
      </c>
      <c r="E1353" t="str" cm="1">
        <f t="array" ref="E1353">INDEX(aspek!$D$2:$D$337,
   MATCH(1,(aspek!$A$2:$A$337=B1353)*
           (aspek!$B$2:$B$337=C1353)*
           (aspek!$C$2:$C$337=D1353),0))</f>
        <v xml:space="preserve">Memanfaatkan perbedaan sebagai sumber nilai </v>
      </c>
      <c r="F1353" s="76">
        <v>2</v>
      </c>
      <c r="G1353" s="56" t="str" cm="1">
        <f t="array" ref="G1353">INDEX(deskripsi!$D$2:$H$337,
   MATCH(1,(deskripsi!$A$2:$A$337=B1353)*
           (deskripsi!$B$2:$B$337=C1353)*
           (deskripsi!$C$2:$C$337=D1353),0),
   F1353)</f>
        <v>Menerima perbedaan pandangan, tidak menggunakannya.</v>
      </c>
    </row>
    <row r="1354" spans="1:7" ht="28">
      <c r="A1354" t="str">
        <f t="shared" si="21"/>
        <v>Team Work|Analyst|3|3</v>
      </c>
      <c r="B1354" t="str">
        <v>Team Work</v>
      </c>
      <c r="C1354" t="str">
        <v>Analyst</v>
      </c>
      <c r="D1354" s="76">
        <v>3</v>
      </c>
      <c r="E1354" t="str" cm="1">
        <f t="array" ref="E1354">INDEX(aspek!$D$2:$D$337,
   MATCH(1,(aspek!$A$2:$A$337=B1354)*
           (aspek!$B$2:$B$337=C1354)*
           (aspek!$C$2:$C$337=D1354),0))</f>
        <v xml:space="preserve">Memanfaatkan perbedaan sebagai sumber nilai </v>
      </c>
      <c r="F1354" s="76">
        <v>3</v>
      </c>
      <c r="G1354" s="56" t="str" cm="1">
        <f t="array" ref="G1354">INDEX(deskripsi!$D$2:$H$337,
   MATCH(1,(deskripsi!$A$2:$A$337=B1354)*
           (deskripsi!$B$2:$B$337=C1354)*
           (deskripsi!$C$2:$C$337=D1354),0),
   F1354)</f>
        <v>Mendengarkan perbedaan pandangan, kadang menerapkannya sebagian.</v>
      </c>
    </row>
    <row r="1355" spans="1:7" ht="28">
      <c r="A1355" t="str">
        <f t="shared" si="21"/>
        <v>Team Work|Analyst|3|4</v>
      </c>
      <c r="B1355" t="str">
        <v>Team Work</v>
      </c>
      <c r="C1355" t="str">
        <v>Analyst</v>
      </c>
      <c r="D1355" s="76">
        <v>3</v>
      </c>
      <c r="E1355" t="str" cm="1">
        <f t="array" ref="E1355">INDEX(aspek!$D$2:$D$337,
   MATCH(1,(aspek!$A$2:$A$337=B1355)*
           (aspek!$B$2:$B$337=C1355)*
           (aspek!$C$2:$C$337=D1355),0))</f>
        <v xml:space="preserve">Memanfaatkan perbedaan sebagai sumber nilai </v>
      </c>
      <c r="F1355" s="76">
        <v>4</v>
      </c>
      <c r="G1355" s="56" t="str" cm="1">
        <f t="array" ref="G1355">INDEX(deskripsi!$D$2:$H$337,
   MATCH(1,(deskripsi!$A$2:$A$337=B1355)*
           (deskripsi!$B$2:$B$337=C1355)*
           (deskripsi!$C$2:$C$337=D1355),0),
   F1355)</f>
        <v>Menggabungkan sudut pandang berbeda menghasilkan solusi yang terbukti lebih baik daripada tanpa perbedaan itu.</v>
      </c>
    </row>
    <row r="1356" spans="1:7" ht="28">
      <c r="A1356" t="str">
        <f t="shared" si="21"/>
        <v>Team Work|Analyst|3|5</v>
      </c>
      <c r="B1356" t="str">
        <v>Team Work</v>
      </c>
      <c r="C1356" t="str">
        <v>Analyst</v>
      </c>
      <c r="D1356" s="76">
        <v>3</v>
      </c>
      <c r="E1356" t="str" cm="1">
        <f t="array" ref="E1356">INDEX(aspek!$D$2:$D$337,
   MATCH(1,(aspek!$A$2:$A$337=B1356)*
           (aspek!$B$2:$B$337=C1356)*
           (aspek!$C$2:$C$337=D1356),0))</f>
        <v xml:space="preserve">Memanfaatkan perbedaan sebagai sumber nilai </v>
      </c>
      <c r="F1356" s="76">
        <v>5</v>
      </c>
      <c r="G1356" s="56" t="str" cm="1">
        <f t="array" ref="G1356">INDEX(deskripsi!$D$2:$H$337,
   MATCH(1,(deskripsi!$A$2:$A$337=B1356)*
           (deskripsi!$B$2:$B$337=C1356)*
           (deskripsi!$C$2:$C$337=D1356),0),
   F1356)</f>
        <v>Keberagaman menjadi sumber nilai yang diandalkan tim secara rutin.</v>
      </c>
    </row>
    <row r="1357" spans="1:7" ht="28">
      <c r="A1357" t="str">
        <f t="shared" si="21"/>
        <v>Team Work|Analyst|4|1</v>
      </c>
      <c r="B1357" t="str">
        <v>Team Work</v>
      </c>
      <c r="C1357" t="str">
        <v>Analyst</v>
      </c>
      <c r="D1357" s="76">
        <v>4</v>
      </c>
      <c r="E1357" t="str" cm="1">
        <f t="array" ref="E1357">INDEX(aspek!$D$2:$D$337,
   MATCH(1,(aspek!$A$2:$A$337=B1357)*
           (aspek!$B$2:$B$337=C1357)*
           (aspek!$C$2:$C$337=D1357),0))</f>
        <v>Membangun budaya inklusif</v>
      </c>
      <c r="F1357" s="76">
        <v>1</v>
      </c>
      <c r="G1357" s="56" t="str" cm="1">
        <f t="array" ref="G1357">INDEX(deskripsi!$D$2:$H$337,
   MATCH(1,(deskripsi!$A$2:$A$337=B1357)*
           (deskripsi!$B$2:$B$337=C1357)*
           (deskripsi!$C$2:$C$337=D1357),0),
   F1357)</f>
        <v>Tidak memperhatikan apakah orang lain merasa nyaman berkolaborasi dengannya.</v>
      </c>
    </row>
    <row r="1358" spans="1:7" ht="28">
      <c r="A1358" t="str">
        <f t="shared" si="21"/>
        <v>Team Work|Analyst|4|2</v>
      </c>
      <c r="B1358" t="str">
        <v>Team Work</v>
      </c>
      <c r="C1358" t="str">
        <v>Analyst</v>
      </c>
      <c r="D1358" s="76">
        <v>4</v>
      </c>
      <c r="E1358" t="str" cm="1">
        <f t="array" ref="E1358">INDEX(aspek!$D$2:$D$337,
   MATCH(1,(aspek!$A$2:$A$337=B1358)*
           (aspek!$B$2:$B$337=C1358)*
           (aspek!$C$2:$C$337=D1358),0))</f>
        <v>Membangun budaya inklusif</v>
      </c>
      <c r="F1358" s="76">
        <v>2</v>
      </c>
      <c r="G1358" s="56" t="str" cm="1">
        <f t="array" ref="G1358">INDEX(deskripsi!$D$2:$H$337,
   MATCH(1,(deskripsi!$A$2:$A$337=B1358)*
           (deskripsi!$B$2:$B$337=C1358)*
           (deskripsi!$C$2:$C$337=D1358),0),
   F1358)</f>
        <v>Nyaman untuk dirinya sendiri, tidak memperhatikan kenyamanan pihak yang berbeda.</v>
      </c>
    </row>
    <row r="1359" spans="1:7" ht="28">
      <c r="A1359" t="str">
        <f t="shared" si="21"/>
        <v>Team Work|Analyst|4|3</v>
      </c>
      <c r="B1359" t="str">
        <v>Team Work</v>
      </c>
      <c r="C1359" t="str">
        <v>Analyst</v>
      </c>
      <c r="D1359" s="76">
        <v>4</v>
      </c>
      <c r="E1359" t="str" cm="1">
        <f t="array" ref="E1359">INDEX(aspek!$D$2:$D$337,
   MATCH(1,(aspek!$A$2:$A$337=B1359)*
           (aspek!$B$2:$B$337=C1359)*
           (aspek!$C$2:$C$337=D1359),0))</f>
        <v>Membangun budaya inklusif</v>
      </c>
      <c r="F1359" s="76">
        <v>3</v>
      </c>
      <c r="G1359" s="56" t="str" cm="1">
        <f t="array" ref="G1359">INDEX(deskripsi!$D$2:$H$337,
   MATCH(1,(deskripsi!$A$2:$A$337=B1359)*
           (deskripsi!$B$2:$B$337=C1359)*
           (deskripsi!$C$2:$C$337=D1359),0),
   F1359)</f>
        <v>Membantu sebagian pihak yang kesulitan berkolaborasi karena perbedaan.</v>
      </c>
    </row>
    <row r="1360" spans="1:7" ht="28">
      <c r="A1360" t="str">
        <f t="shared" si="21"/>
        <v>Team Work|Analyst|4|4</v>
      </c>
      <c r="B1360" t="str">
        <v>Team Work</v>
      </c>
      <c r="C1360" t="str">
        <v>Analyst</v>
      </c>
      <c r="D1360" s="76">
        <v>4</v>
      </c>
      <c r="E1360" t="str" cm="1">
        <f t="array" ref="E1360">INDEX(aspek!$D$2:$D$337,
   MATCH(1,(aspek!$A$2:$A$337=B1360)*
           (aspek!$B$2:$B$337=C1360)*
           (aspek!$C$2:$C$337=D1360),0))</f>
        <v>Membangun budaya inklusif</v>
      </c>
      <c r="F1360" s="76">
        <v>4</v>
      </c>
      <c r="G1360" s="56" t="str" cm="1">
        <f t="array" ref="G1360">INDEX(deskripsi!$D$2:$H$337,
   MATCH(1,(deskripsi!$A$2:$A$337=B1360)*
           (deskripsi!$B$2:$B$337=C1360)*
           (deskripsi!$C$2:$C$337=D1360),0),
   F1360)</f>
        <v>Membantu rekan lain menyesuaikan diri dengan pihak yang berbeda gaya kerjanya.</v>
      </c>
    </row>
    <row r="1361" spans="1:7" ht="28">
      <c r="A1361" t="str">
        <f t="shared" si="21"/>
        <v>Team Work|Analyst|4|5</v>
      </c>
      <c r="B1361" t="str">
        <v>Team Work</v>
      </c>
      <c r="C1361" t="str">
        <v>Analyst</v>
      </c>
      <c r="D1361" s="76">
        <v>4</v>
      </c>
      <c r="E1361" t="str" cm="1">
        <f t="array" ref="E1361">INDEX(aspek!$D$2:$D$337,
   MATCH(1,(aspek!$A$2:$A$337=B1361)*
           (aspek!$B$2:$B$337=C1361)*
           (aspek!$C$2:$C$337=D1361),0))</f>
        <v>Membangun budaya inklusif</v>
      </c>
      <c r="F1361" s="76">
        <v>5</v>
      </c>
      <c r="G1361" s="56" t="str" cm="1">
        <f t="array" ref="G1361">INDEX(deskripsi!$D$2:$H$337,
   MATCH(1,(deskripsi!$A$2:$A$337=B1361)*
           (deskripsi!$B$2:$B$337=C1361)*
           (deskripsi!$C$2:$C$337=D1361),0),
   F1361)</f>
        <v>Menjadi contoh budaya kerja yang membuat perbedaan terasa sebagai kekuatan, bukan hambatan.</v>
      </c>
    </row>
    <row r="1362" spans="1:7">
      <c r="A1362" t="str">
        <f t="shared" si="21"/>
        <v>Team Work|Unit Head/Specialist|1|1</v>
      </c>
      <c r="B1362" t="str">
        <v>Team Work</v>
      </c>
      <c r="C1362" t="str">
        <v>Unit Head/Specialist</v>
      </c>
      <c r="D1362" s="76">
        <v>1</v>
      </c>
      <c r="E1362" t="str" cm="1">
        <f t="array" ref="E1362">INDEX(aspek!$D$2:$D$337,
   MATCH(1,(aspek!$A$2:$A$337=B1362)*
           (aspek!$B$2:$B$337=C1362)*
           (aspek!$C$2:$C$337=D1362),0))</f>
        <v>Ruang yang diberikan</v>
      </c>
      <c r="F1362" s="76">
        <v>1</v>
      </c>
      <c r="G1362" s="56" t="str" cm="1">
        <f t="array" ref="G1362">INDEX(deskripsi!$D$2:$H$337,
   MATCH(1,(deskripsi!$A$2:$A$337=B1362)*
           (deskripsi!$B$2:$B$337=C1362)*
           (deskripsi!$C$2:$C$337=D1362),0),
   F1362)</f>
        <v>Mengabaikan atau memotong pendapat yang berbeda.</v>
      </c>
    </row>
    <row r="1363" spans="1:7" ht="28">
      <c r="A1363" t="str">
        <f t="shared" si="21"/>
        <v>Team Work|Unit Head/Specialist|1|2</v>
      </c>
      <c r="B1363" t="str">
        <v>Team Work</v>
      </c>
      <c r="C1363" t="str">
        <v>Unit Head/Specialist</v>
      </c>
      <c r="D1363" s="76">
        <v>1</v>
      </c>
      <c r="E1363" t="str" cm="1">
        <f t="array" ref="E1363">INDEX(aspek!$D$2:$D$337,
   MATCH(1,(aspek!$A$2:$A$337=B1363)*
           (aspek!$B$2:$B$337=C1363)*
           (aspek!$C$2:$C$337=D1363),0))</f>
        <v>Ruang yang diberikan</v>
      </c>
      <c r="F1363" s="76">
        <v>2</v>
      </c>
      <c r="G1363" s="56" t="str" cm="1">
        <f t="array" ref="G1363">INDEX(deskripsi!$D$2:$H$337,
   MATCH(1,(deskripsi!$A$2:$A$337=B1363)*
           (deskripsi!$B$2:$B$337=C1363)*
           (deskripsi!$C$2:$C$337=D1363),0),
   F1363)</f>
        <v>Mendengar pendapat berbeda tanpa memberinya bobot apa pun.</v>
      </c>
    </row>
    <row r="1364" spans="1:7" ht="28">
      <c r="A1364" t="str">
        <f t="shared" si="21"/>
        <v>Team Work|Unit Head/Specialist|1|3</v>
      </c>
      <c r="B1364" t="str">
        <v>Team Work</v>
      </c>
      <c r="C1364" t="str">
        <v>Unit Head/Specialist</v>
      </c>
      <c r="D1364" s="76">
        <v>1</v>
      </c>
      <c r="E1364" t="str" cm="1">
        <f t="array" ref="E1364">INDEX(aspek!$D$2:$D$337,
   MATCH(1,(aspek!$A$2:$A$337=B1364)*
           (aspek!$B$2:$B$337=C1364)*
           (aspek!$C$2:$C$337=D1364),0))</f>
        <v>Ruang yang diberikan</v>
      </c>
      <c r="F1364" s="76">
        <v>3</v>
      </c>
      <c r="G1364" s="56" t="str" cm="1">
        <f t="array" ref="G1364">INDEX(deskripsi!$D$2:$H$337,
   MATCH(1,(deskripsi!$A$2:$A$337=B1364)*
           (deskripsi!$B$2:$B$337=C1364)*
           (deskripsi!$C$2:$C$337=D1364),0),
   F1364)</f>
        <v>Memberi ruang pada pendapat berbeda yang terdengar wajar atau familiar.</v>
      </c>
    </row>
    <row r="1365" spans="1:7" ht="42">
      <c r="A1365" t="str">
        <f t="shared" si="21"/>
        <v>Team Work|Unit Head/Specialist|1|4</v>
      </c>
      <c r="B1365" t="str">
        <v>Team Work</v>
      </c>
      <c r="C1365" t="str">
        <v>Unit Head/Specialist</v>
      </c>
      <c r="D1365" s="76">
        <v>1</v>
      </c>
      <c r="E1365" t="str" cm="1">
        <f t="array" ref="E1365">INDEX(aspek!$D$2:$D$337,
   MATCH(1,(aspek!$A$2:$A$337=B1365)*
           (aspek!$B$2:$B$337=C1365)*
           (aspek!$C$2:$C$337=D1365),0))</f>
        <v>Ruang yang diberikan</v>
      </c>
      <c r="F1365" s="76">
        <v>4</v>
      </c>
      <c r="G1365" s="56" t="str" cm="1">
        <f t="array" ref="G1365">INDEX(deskripsi!$D$2:$H$337,
   MATCH(1,(deskripsi!$A$2:$A$337=B1365)*
           (deskripsi!$B$2:$B$337=C1365)*
           (deskripsi!$C$2:$C$337=D1365),0),
   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76">
        <v>1</v>
      </c>
      <c r="E1366" t="str" cm="1">
        <f t="array" ref="E1366">INDEX(aspek!$D$2:$D$337,
   MATCH(1,(aspek!$A$2:$A$337=B1366)*
           (aspek!$B$2:$B$337=C1366)*
           (aspek!$C$2:$C$337=D1366),0))</f>
        <v>Ruang yang diberikan</v>
      </c>
      <c r="F1366" s="76">
        <v>5</v>
      </c>
      <c r="G1366" s="56" t="str" cm="1">
        <f t="array" ref="G1366">INDEX(deskripsi!$D$2:$H$337,
   MATCH(1,(deskripsi!$A$2:$A$337=B1366)*
           (deskripsi!$B$2:$B$337=C1366)*
           (deskripsi!$C$2:$C$337=D1366),0),
   F1366)</f>
        <v>Menjadi rujukan tempat orang merasa aman menyampaikan pendapat yang tidak populer.</v>
      </c>
    </row>
    <row r="1367" spans="1:7" ht="28">
      <c r="A1367" t="str">
        <f t="shared" si="21"/>
        <v>Team Work|Unit Head/Specialist|2|1</v>
      </c>
      <c r="B1367" t="str">
        <v>Team Work</v>
      </c>
      <c r="C1367" t="str">
        <v>Unit Head/Specialist</v>
      </c>
      <c r="D1367" s="76">
        <v>2</v>
      </c>
      <c r="E1367" t="str" cm="1">
        <f t="array" ref="E1367">INDEX(aspek!$D$2:$D$337,
   MATCH(1,(aspek!$A$2:$A$337=B1367)*
           (aspek!$B$2:$B$337=C1367)*
           (aspek!$C$2:$C$337=D1367),0))</f>
        <v>Memisahkan respek dari hasil keputusan</v>
      </c>
      <c r="F1367" s="76">
        <v>1</v>
      </c>
      <c r="G1367" s="56" t="str" cm="1">
        <f t="array" ref="G1367">INDEX(deskripsi!$D$2:$H$337,
   MATCH(1,(deskripsi!$A$2:$A$337=B1367)*
           (deskripsi!$B$2:$B$337=C1367)*
           (deskripsi!$C$2:$C$337=D1367),0),
   F1367)</f>
        <v>Menghargai pendapat hanya ketika pendapat itu akhirnya dipakai.</v>
      </c>
    </row>
    <row r="1368" spans="1:7">
      <c r="A1368" t="str">
        <f t="shared" si="21"/>
        <v>Team Work|Unit Head/Specialist|2|2</v>
      </c>
      <c r="B1368" t="str">
        <v>Team Work</v>
      </c>
      <c r="C1368" t="str">
        <v>Unit Head/Specialist</v>
      </c>
      <c r="D1368" s="76">
        <v>2</v>
      </c>
      <c r="E1368" t="str" cm="1">
        <f t="array" ref="E1368">INDEX(aspek!$D$2:$D$337,
   MATCH(1,(aspek!$A$2:$A$337=B1368)*
           (aspek!$B$2:$B$337=C1368)*
           (aspek!$C$2:$C$337=D1368),0))</f>
        <v>Memisahkan respek dari hasil keputusan</v>
      </c>
      <c r="F1368" s="76">
        <v>2</v>
      </c>
      <c r="G1368" s="56" t="str" cm="1">
        <f t="array" ref="G1368">INDEX(deskripsi!$D$2:$H$337,
   MATCH(1,(deskripsi!$A$2:$A$337=B1368)*
           (deskripsi!$B$2:$B$337=C1368)*
           (deskripsi!$C$2:$C$337=D1368),0),
   F1368)</f>
        <v>Menyamakan "dihargai" dengan "dipakai dalam keputusan".</v>
      </c>
    </row>
    <row r="1369" spans="1:7" ht="28">
      <c r="A1369" t="str">
        <f t="shared" si="21"/>
        <v>Team Work|Unit Head/Specialist|2|3</v>
      </c>
      <c r="B1369" t="str">
        <v>Team Work</v>
      </c>
      <c r="C1369" t="str">
        <v>Unit Head/Specialist</v>
      </c>
      <c r="D1369" s="76">
        <v>2</v>
      </c>
      <c r="E1369" t="str" cm="1">
        <f t="array" ref="E1369">INDEX(aspek!$D$2:$D$337,
   MATCH(1,(aspek!$A$2:$A$337=B1369)*
           (aspek!$B$2:$B$337=C1369)*
           (aspek!$C$2:$C$337=D1369),0))</f>
        <v>Memisahkan respek dari hasil keputusan</v>
      </c>
      <c r="F1369" s="76">
        <v>3</v>
      </c>
      <c r="G1369" s="56" t="str" cm="1">
        <f t="array" ref="G1369">INDEX(deskripsi!$D$2:$H$337,
   MATCH(1,(deskripsi!$A$2:$A$337=B1369)*
           (deskripsi!$B$2:$B$337=C1369)*
           (deskripsi!$C$2:$C$337=D1369),0),
   F1369)</f>
        <v>Sesekali menunjukkan penghargaan pada pendapat yang tidak dipakai.</v>
      </c>
    </row>
    <row r="1370" spans="1:7" ht="28">
      <c r="A1370" t="str">
        <f t="shared" si="21"/>
        <v>Team Work|Unit Head/Specialist|2|4</v>
      </c>
      <c r="B1370" t="str">
        <v>Team Work</v>
      </c>
      <c r="C1370" t="str">
        <v>Unit Head/Specialist</v>
      </c>
      <c r="D1370" s="76">
        <v>2</v>
      </c>
      <c r="E1370" t="str" cm="1">
        <f t="array" ref="E1370">INDEX(aspek!$D$2:$D$337,
   MATCH(1,(aspek!$A$2:$A$337=B1370)*
           (aspek!$B$2:$B$337=C1370)*
           (aspek!$C$2:$C$337=D1370),0))</f>
        <v>Memisahkan respek dari hasil keputusan</v>
      </c>
      <c r="F1370" s="76">
        <v>4</v>
      </c>
      <c r="G1370" s="56" t="str" cm="1">
        <f t="array" ref="G1370">INDEX(deskripsi!$D$2:$H$337,
   MATCH(1,(deskripsi!$A$2:$A$337=B1370)*
           (deskripsi!$B$2:$B$337=C1370)*
           (deskripsi!$C$2:$C$337=D1370),0),
   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76">
        <v>2</v>
      </c>
      <c r="E1371" t="str" cm="1">
        <f t="array" ref="E1371">INDEX(aspek!$D$2:$D$337,
   MATCH(1,(aspek!$A$2:$A$337=B1371)*
           (aspek!$B$2:$B$337=C1371)*
           (aspek!$C$2:$C$337=D1371),0))</f>
        <v>Memisahkan respek dari hasil keputusan</v>
      </c>
      <c r="F1371" s="76">
        <v>5</v>
      </c>
      <c r="G1371" s="56" t="str" cm="1">
        <f t="array" ref="G1371">INDEX(deskripsi!$D$2:$H$337,
   MATCH(1,(deskripsi!$A$2:$A$337=B1371)*
           (deskripsi!$B$2:$B$337=C1371)*
           (deskripsi!$C$2:$C$337=D1371),0),
   F1371)</f>
        <v>Pendapat yang tidak dipakai tetap dicatat dan dihormati sebagai kontribusi yang berarti.</v>
      </c>
    </row>
    <row r="1372" spans="1:7">
      <c r="A1372" t="str">
        <f t="shared" si="21"/>
        <v>Team Work|Unit Head/Specialist|3|1</v>
      </c>
      <c r="B1372" t="str">
        <v>Team Work</v>
      </c>
      <c r="C1372" t="str">
        <v>Unit Head/Specialist</v>
      </c>
      <c r="D1372" s="76">
        <v>3</v>
      </c>
      <c r="E1372" t="str" cm="1">
        <f t="array" ref="E1372">INDEX(aspek!$D$2:$D$337,
   MATCH(1,(aspek!$A$2:$A$337=B1372)*
           (aspek!$B$2:$B$337=C1372)*
           (aspek!$C$2:$C$337=D1372),0))</f>
        <v>Menggali pendapat secara aktif</v>
      </c>
      <c r="F1372" s="76">
        <v>1</v>
      </c>
      <c r="G1372" s="56" t="str" cm="1">
        <f t="array" ref="G1372">INDEX(deskripsi!$D$2:$H$337,
   MATCH(1,(deskripsi!$A$2:$A$337=B1372)*
           (deskripsi!$B$2:$B$337=C1372)*
           (deskripsi!$C$2:$C$337=D1372),0),
   F1372)</f>
        <v>Tidak pernah menanyakan pendapat yang berbeda.</v>
      </c>
    </row>
    <row r="1373" spans="1:7" ht="28">
      <c r="A1373" t="str">
        <f t="shared" si="21"/>
        <v>Team Work|Unit Head/Specialist|3|2</v>
      </c>
      <c r="B1373" t="str">
        <v>Team Work</v>
      </c>
      <c r="C1373" t="str">
        <v>Unit Head/Specialist</v>
      </c>
      <c r="D1373" s="76">
        <v>3</v>
      </c>
      <c r="E1373" t="str" cm="1">
        <f t="array" ref="E1373">INDEX(aspek!$D$2:$D$337,
   MATCH(1,(aspek!$A$2:$A$337=B1373)*
           (aspek!$B$2:$B$337=C1373)*
           (aspek!$C$2:$C$337=D1373),0))</f>
        <v>Menggali pendapat secara aktif</v>
      </c>
      <c r="F1373" s="76">
        <v>2</v>
      </c>
      <c r="G1373" s="56" t="str" cm="1">
        <f t="array" ref="G1373">INDEX(deskripsi!$D$2:$H$337,
   MATCH(1,(deskripsi!$A$2:$A$337=B1373)*
           (deskripsi!$B$2:$B$337=C1373)*
           (deskripsi!$C$2:$C$337=D1373),0),
   F1373)</f>
        <v>Menerima pendapat berbeda hanya jika disampaikan tanpa diminta.</v>
      </c>
    </row>
    <row r="1374" spans="1:7" ht="28">
      <c r="A1374" t="str">
        <f t="shared" si="21"/>
        <v>Team Work|Unit Head/Specialist|3|3</v>
      </c>
      <c r="B1374" t="str">
        <v>Team Work</v>
      </c>
      <c r="C1374" t="str">
        <v>Unit Head/Specialist</v>
      </c>
      <c r="D1374" s="76">
        <v>3</v>
      </c>
      <c r="E1374" t="str" cm="1">
        <f t="array" ref="E1374">INDEX(aspek!$D$2:$D$337,
   MATCH(1,(aspek!$A$2:$A$337=B1374)*
           (aspek!$B$2:$B$337=C1374)*
           (aspek!$C$2:$C$337=D1374),0))</f>
        <v>Menggali pendapat secara aktif</v>
      </c>
      <c r="F1374" s="76">
        <v>3</v>
      </c>
      <c r="G1374" s="56" t="str" cm="1">
        <f t="array" ref="G1374">INDEX(deskripsi!$D$2:$H$337,
   MATCH(1,(deskripsi!$A$2:$A$337=B1374)*
           (deskripsi!$B$2:$B$337=C1374)*
           (deskripsi!$C$2:$C$337=D1374),0),
   F1374)</f>
        <v>Menanyakan pendapat berbeda pada keputusan yang dianggap penting.</v>
      </c>
    </row>
    <row r="1375" spans="1:7" ht="42">
      <c r="A1375" t="str">
        <f t="shared" si="21"/>
        <v>Team Work|Unit Head/Specialist|3|4</v>
      </c>
      <c r="B1375" t="str">
        <v>Team Work</v>
      </c>
      <c r="C1375" t="str">
        <v>Unit Head/Specialist</v>
      </c>
      <c r="D1375" s="76">
        <v>3</v>
      </c>
      <c r="E1375" t="str" cm="1">
        <f t="array" ref="E1375">INDEX(aspek!$D$2:$D$337,
   MATCH(1,(aspek!$A$2:$A$337=B1375)*
           (aspek!$B$2:$B$337=C1375)*
           (aspek!$C$2:$C$337=D1375),0))</f>
        <v>Menggali pendapat secara aktif</v>
      </c>
      <c r="F1375" s="76">
        <v>4</v>
      </c>
      <c r="G1375" s="56" t="str" cm="1">
        <f t="array" ref="G1375">INDEX(deskripsi!$D$2:$H$337,
   MATCH(1,(deskripsi!$A$2:$A$337=B1375)*
           (deskripsi!$B$2:$B$337=C1375)*
           (deskripsi!$C$2:$C$337=D1375),0),
   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76">
        <v>3</v>
      </c>
      <c r="E1376" t="str" cm="1">
        <f t="array" ref="E1376">INDEX(aspek!$D$2:$D$337,
   MATCH(1,(aspek!$A$2:$A$337=B1376)*
           (aspek!$B$2:$B$337=C1376)*
           (aspek!$C$2:$C$337=D1376),0))</f>
        <v>Menggali pendapat secara aktif</v>
      </c>
      <c r="F1376" s="76">
        <v>5</v>
      </c>
      <c r="G1376" s="56" t="str" cm="1">
        <f t="array" ref="G1376">INDEX(deskripsi!$D$2:$H$337,
   MATCH(1,(deskripsi!$A$2:$A$337=B1376)*
           (deskripsi!$B$2:$B$337=C1376)*
           (deskripsi!$C$2:$C$337=D1376),0),
   F1376)</f>
        <v>Kebiasaan menggali pendapat ini menular dan menjadi budaya tim.</v>
      </c>
    </row>
    <row r="1377" spans="1:7" ht="28">
      <c r="A1377" t="str">
        <f t="shared" si="21"/>
        <v>Team Work|Unit Head/Specialist|4|1</v>
      </c>
      <c r="B1377" t="str">
        <v>Team Work</v>
      </c>
      <c r="C1377" t="str">
        <v>Unit Head/Specialist</v>
      </c>
      <c r="D1377" s="76">
        <v>4</v>
      </c>
      <c r="E1377" t="str" cm="1">
        <f t="array" ref="E1377">INDEX(aspek!$D$2:$D$337,
   MATCH(1,(aspek!$A$2:$A$337=B1377)*
           (aspek!$B$2:$B$337=C1377)*
           (aspek!$C$2:$C$337=D1377),0))</f>
        <v>Ketahanan memberi ruang pada pendapat yang berulang tidak dipakai</v>
      </c>
      <c r="F1377" s="76">
        <v>1</v>
      </c>
      <c r="G1377" s="56" t="str" cm="1">
        <f t="array" ref="G1377">INDEX(deskripsi!$D$2:$H$337,
   MATCH(1,(deskripsi!$A$2:$A$337=B1377)*
           (deskripsi!$B$2:$B$337=C1377)*
           (deskripsi!$C$2:$C$337=D1377),0),
   F1377)</f>
        <v>Berhenti mendengarkan seseorang setelah pendapatnya beberapa kali tidak dipakai.</v>
      </c>
    </row>
    <row r="1378" spans="1:7">
      <c r="A1378" t="str">
        <f t="shared" si="21"/>
        <v>Team Work|Unit Head/Specialist|4|2</v>
      </c>
      <c r="B1378" t="str">
        <v>Team Work</v>
      </c>
      <c r="C1378" t="str">
        <v>Unit Head/Specialist</v>
      </c>
      <c r="D1378" s="76">
        <v>4</v>
      </c>
      <c r="E1378" t="str" cm="1">
        <f t="array" ref="E1378">INDEX(aspek!$D$2:$D$337,
   MATCH(1,(aspek!$A$2:$A$337=B1378)*
           (aspek!$B$2:$B$337=C1378)*
           (aspek!$C$2:$C$337=D1378),0))</f>
        <v>Ketahanan memberi ruang pada pendapat yang berulang tidak dipakai</v>
      </c>
      <c r="F1378" s="76">
        <v>2</v>
      </c>
      <c r="G1378" s="56" t="str" cm="1">
        <f t="array" ref="G1378">INDEX(deskripsi!$D$2:$H$337,
   MATCH(1,(deskripsi!$A$2:$A$337=B1378)*
           (deskripsi!$B$2:$B$337=C1378)*
           (deskripsi!$C$2:$C$337=D1378),0),
   F1378)</f>
        <v>Tetap mendengarkan, tetapi dengan semangat yang menurun.</v>
      </c>
    </row>
    <row r="1379" spans="1:7">
      <c r="A1379" t="str">
        <f t="shared" si="21"/>
        <v>Team Work|Unit Head/Specialist|4|3</v>
      </c>
      <c r="B1379" t="str">
        <v>Team Work</v>
      </c>
      <c r="C1379" t="str">
        <v>Unit Head/Specialist</v>
      </c>
      <c r="D1379" s="76">
        <v>4</v>
      </c>
      <c r="E1379" t="str" cm="1">
        <f t="array" ref="E1379">INDEX(aspek!$D$2:$D$337,
   MATCH(1,(aspek!$A$2:$A$337=B1379)*
           (aspek!$B$2:$B$337=C1379)*
           (aspek!$C$2:$C$337=D1379),0))</f>
        <v>Ketahanan memberi ruang pada pendapat yang berulang tidak dipakai</v>
      </c>
      <c r="F1379" s="76">
        <v>3</v>
      </c>
      <c r="G1379" s="56" t="str" cm="1">
        <f t="array" ref="G1379">INDEX(deskripsi!$D$2:$H$337,
   MATCH(1,(deskripsi!$A$2:$A$337=B1379)*
           (deskripsi!$B$2:$B$337=C1379)*
           (deskripsi!$C$2:$C$337=D1379),0),
   F1379)</f>
        <v>Tetap memberi ruang pada sebagian besar kesempatan.</v>
      </c>
    </row>
    <row r="1380" spans="1:7" ht="42">
      <c r="A1380" t="str">
        <f t="shared" si="21"/>
        <v>Team Work|Unit Head/Specialist|4|4</v>
      </c>
      <c r="B1380" t="str">
        <v>Team Work</v>
      </c>
      <c r="C1380" t="str">
        <v>Unit Head/Specialist</v>
      </c>
      <c r="D1380" s="76">
        <v>4</v>
      </c>
      <c r="E1380" t="str" cm="1">
        <f t="array" ref="E1380">INDEX(aspek!$D$2:$D$337,
   MATCH(1,(aspek!$A$2:$A$337=B1380)*
           (aspek!$B$2:$B$337=C1380)*
           (aspek!$C$2:$C$337=D1380),0))</f>
        <v>Ketahanan memberi ruang pada pendapat yang berulang tidak dipakai</v>
      </c>
      <c r="F1380" s="76">
        <v>4</v>
      </c>
      <c r="G1380" s="56" t="str" cm="1">
        <f t="array" ref="G1380">INDEX(deskripsi!$D$2:$H$337,
   MATCH(1,(deskripsi!$A$2:$A$337=B1380)*
           (deskripsi!$B$2:$B$337=C1380)*
           (deskripsi!$C$2:$C$337=D1380),0),
   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76">
        <v>4</v>
      </c>
      <c r="E1381" t="str" cm="1">
        <f t="array" ref="E1381">INDEX(aspek!$D$2:$D$337,
   MATCH(1,(aspek!$A$2:$A$337=B1381)*
           (aspek!$B$2:$B$337=C1381)*
           (aspek!$C$2:$C$337=D1381),0))</f>
        <v>Ketahanan memberi ruang pada pendapat yang berulang tidak dipakai</v>
      </c>
      <c r="F1381" s="76">
        <v>5</v>
      </c>
      <c r="G1381" s="56" t="str" cm="1">
        <f t="array" ref="G1381">INDEX(deskripsi!$D$2:$H$337,
   MATCH(1,(deskripsi!$A$2:$A$337=B1381)*
           (deskripsi!$B$2:$B$337=C1381)*
           (deskripsi!$C$2:$C$337=D1381),0),
   F1381)</f>
        <v>Orang yang pendapatnya sering tidak dipakai tetap merasa nyaman dan terus berkontribusi.</v>
      </c>
    </row>
    <row r="1382" spans="1:7">
      <c r="A1382" t="str">
        <f t="shared" si="21"/>
        <v>Team Work|Department Head|1|1</v>
      </c>
      <c r="B1382" t="str">
        <v>Team Work</v>
      </c>
      <c r="C1382" t="str">
        <v>Department Head</v>
      </c>
      <c r="D1382" s="76">
        <v>1</v>
      </c>
      <c r="E1382" t="str" cm="1">
        <f t="array" ref="E1382">INDEX(aspek!$D$2:$D$337,
   MATCH(1,(aspek!$A$2:$A$337=B1382)*
           (aspek!$B$2:$B$337=C1382)*
           (aspek!$C$2:$C$337=D1382),0))</f>
        <v>Kesediaan mengambil risiko dalam konteks tim</v>
      </c>
      <c r="F1382" s="76">
        <v>1</v>
      </c>
      <c r="G1382" s="56" t="str" cm="1">
        <f t="array" ref="G1382">INDEX(deskripsi!$D$2:$H$337,
   MATCH(1,(deskripsi!$A$2:$A$337=B1382)*
           (deskripsi!$B$2:$B$337=C1382)*
           (deskripsi!$C$2:$C$337=D1382),0),
   F1382)</f>
        <v>Menghindari risiko; tim bertahan pada cara yang pasti aman.</v>
      </c>
    </row>
    <row r="1383" spans="1:7" ht="28">
      <c r="A1383" t="str">
        <f t="shared" si="21"/>
        <v>Team Work|Department Head|1|2</v>
      </c>
      <c r="B1383" t="str">
        <v>Team Work</v>
      </c>
      <c r="C1383" t="str">
        <v>Department Head</v>
      </c>
      <c r="D1383" s="76">
        <v>1</v>
      </c>
      <c r="E1383" t="str" cm="1">
        <f t="array" ref="E1383">INDEX(aspek!$D$2:$D$337,
   MATCH(1,(aspek!$A$2:$A$337=B1383)*
           (aspek!$B$2:$B$337=C1383)*
           (aspek!$C$2:$C$337=D1383),0))</f>
        <v>Kesediaan mengambil risiko dalam konteks tim</v>
      </c>
      <c r="F1383" s="76">
        <v>2</v>
      </c>
      <c r="G1383" s="56" t="str" cm="1">
        <f t="array" ref="G1383">INDEX(deskripsi!$D$2:$H$337,
   MATCH(1,(deskripsi!$A$2:$A$337=B1383)*
           (deskripsi!$B$2:$B$337=C1383)*
           (deskripsi!$C$2:$C$337=D1383),0),
   F1383)</f>
        <v>Mempertimbangkan mencoba, tetapi ragu dan kembali ke cara lama.</v>
      </c>
    </row>
    <row r="1384" spans="1:7" ht="28">
      <c r="A1384" t="str">
        <f t="shared" si="21"/>
        <v>Team Work|Department Head|1|3</v>
      </c>
      <c r="B1384" t="str">
        <v>Team Work</v>
      </c>
      <c r="C1384" t="str">
        <v>Department Head</v>
      </c>
      <c r="D1384" s="76">
        <v>1</v>
      </c>
      <c r="E1384" t="str" cm="1">
        <f t="array" ref="E1384">INDEX(aspek!$D$2:$D$337,
   MATCH(1,(aspek!$A$2:$A$337=B1384)*
           (aspek!$B$2:$B$337=C1384)*
           (aspek!$C$2:$C$337=D1384),0))</f>
        <v>Kesediaan mengambil risiko dalam konteks tim</v>
      </c>
      <c r="F1384" s="76">
        <v>3</v>
      </c>
      <c r="G1384" s="56" t="str" cm="1">
        <f t="array" ref="G1384">INDEX(deskripsi!$D$2:$H$337,
   MATCH(1,(deskripsi!$A$2:$A$337=B1384)*
           (deskripsi!$B$2:$B$337=C1384)*
           (deskripsi!$C$2:$C$337=D1384),0),
   F1384)</f>
        <v>Mencoba pendekatan tim baru setelah risikonya dihitung dan dinilai kecil.</v>
      </c>
    </row>
    <row r="1385" spans="1:7" ht="28">
      <c r="A1385" t="str">
        <f t="shared" si="21"/>
        <v>Team Work|Department Head|1|4</v>
      </c>
      <c r="B1385" t="str">
        <v>Team Work</v>
      </c>
      <c r="C1385" t="str">
        <v>Department Head</v>
      </c>
      <c r="D1385" s="76">
        <v>1</v>
      </c>
      <c r="E1385" t="str" cm="1">
        <f t="array" ref="E1385">INDEX(aspek!$D$2:$D$337,
   MATCH(1,(aspek!$A$2:$A$337=B1385)*
           (aspek!$B$2:$B$337=C1385)*
           (aspek!$C$2:$C$337=D1385),0))</f>
        <v>Kesediaan mengambil risiko dalam konteks tim</v>
      </c>
      <c r="F1385" s="76">
        <v>4</v>
      </c>
      <c r="G1385" s="56" t="str" cm="1">
        <f t="array" ref="G1385">INDEX(deskripsi!$D$2:$H$337,
   MATCH(1,(deskripsi!$A$2:$A$337=B1385)*
           (deskripsi!$B$2:$B$337=C1385)*
           (deskripsi!$C$2:$C$337=D1385),0),
   F1385)</f>
        <v>Mendorong tim mencoba meski hasil akhirnya belum jelas, dengan risiko yang dihitung dan dikelola.</v>
      </c>
    </row>
    <row r="1386" spans="1:7" ht="28">
      <c r="A1386" t="str">
        <f t="shared" si="21"/>
        <v>Team Work|Department Head|1|5</v>
      </c>
      <c r="B1386" t="str">
        <v>Team Work</v>
      </c>
      <c r="C1386" t="str">
        <v>Department Head</v>
      </c>
      <c r="D1386" s="76">
        <v>1</v>
      </c>
      <c r="E1386" t="str" cm="1">
        <f t="array" ref="E1386">INDEX(aspek!$D$2:$D$337,
   MATCH(1,(aspek!$A$2:$A$337=B1386)*
           (aspek!$B$2:$B$337=C1386)*
           (aspek!$C$2:$C$337=D1386),0))</f>
        <v>Kesediaan mengambil risiko dalam konteks tim</v>
      </c>
      <c r="F1386" s="76">
        <v>5</v>
      </c>
      <c r="G1386" s="56" t="str" cm="1">
        <f t="array" ref="G1386">INDEX(deskripsi!$D$2:$H$337,
   MATCH(1,(deskripsi!$A$2:$A$337=B1386)*
           (deskripsi!$B$2:$B$337=C1386)*
           (deskripsi!$C$2:$C$337=D1386),0),
   F1386)</f>
        <v>Mendorong eksperimen menjadi kebiasaan tim yang berjalan tanpa harus terus didorong.</v>
      </c>
    </row>
    <row r="1387" spans="1:7">
      <c r="A1387" t="str">
        <f t="shared" si="21"/>
        <v>Team Work|Department Head|2|1</v>
      </c>
      <c r="B1387" t="str">
        <v>Team Work</v>
      </c>
      <c r="C1387" t="str">
        <v>Department Head</v>
      </c>
      <c r="D1387" s="76">
        <v>2</v>
      </c>
      <c r="E1387" t="str" cm="1">
        <f t="array" ref="E1387">INDEX(aspek!$D$2:$D$337,
   MATCH(1,(aspek!$A$2:$A$337=B1387)*
           (aspek!$B$2:$B$337=C1387)*
           (aspek!$C$2:$C$337=D1387),0))</f>
        <v>Kualitas perhitungan risiko tim</v>
      </c>
      <c r="F1387" s="76">
        <v>1</v>
      </c>
      <c r="G1387" s="56" t="str" cm="1">
        <f t="array" ref="G1387">INDEX(deskripsi!$D$2:$H$337,
   MATCH(1,(deskripsi!$A$2:$A$337=B1387)*
           (deskripsi!$B$2:$B$337=C1387)*
           (deskripsi!$C$2:$C$337=D1387),0),
   F1387)</f>
        <v>Tidak menghitung risiko sebelum tim mencoba.</v>
      </c>
    </row>
    <row r="1388" spans="1:7" ht="28">
      <c r="A1388" t="str">
        <f t="shared" si="21"/>
        <v>Team Work|Department Head|2|2</v>
      </c>
      <c r="B1388" t="str">
        <v>Team Work</v>
      </c>
      <c r="C1388" t="str">
        <v>Department Head</v>
      </c>
      <c r="D1388" s="76">
        <v>2</v>
      </c>
      <c r="E1388" t="str" cm="1">
        <f t="array" ref="E1388">INDEX(aspek!$D$2:$D$337,
   MATCH(1,(aspek!$A$2:$A$337=B1388)*
           (aspek!$B$2:$B$337=C1388)*
           (aspek!$C$2:$C$337=D1388),0))</f>
        <v>Kualitas perhitungan risiko tim</v>
      </c>
      <c r="F1388" s="76">
        <v>2</v>
      </c>
      <c r="G1388" s="56" t="str" cm="1">
        <f t="array" ref="G1388">INDEX(deskripsi!$D$2:$H$337,
   MATCH(1,(deskripsi!$A$2:$A$337=B1388)*
           (deskripsi!$B$2:$B$337=C1388)*
           (deskripsi!$C$2:$C$337=D1388),0),
   F1388)</f>
        <v>Menghitung risiko tetapi terlalu berhati-hati sehingga tim tidak pernah benar-benar mencoba.</v>
      </c>
    </row>
    <row r="1389" spans="1:7">
      <c r="A1389" t="str">
        <f t="shared" si="21"/>
        <v>Team Work|Department Head|2|3</v>
      </c>
      <c r="B1389" t="str">
        <v>Team Work</v>
      </c>
      <c r="C1389" t="str">
        <v>Department Head</v>
      </c>
      <c r="D1389" s="76">
        <v>2</v>
      </c>
      <c r="E1389" t="str" cm="1">
        <f t="array" ref="E1389">INDEX(aspek!$D$2:$D$337,
   MATCH(1,(aspek!$A$2:$A$337=B1389)*
           (aspek!$B$2:$B$337=C1389)*
           (aspek!$C$2:$C$337=D1389),0))</f>
        <v>Kualitas perhitungan risiko tim</v>
      </c>
      <c r="F1389" s="76">
        <v>3</v>
      </c>
      <c r="G1389" s="56" t="str" cm="1">
        <f t="array" ref="G1389">INDEX(deskripsi!$D$2:$H$337,
   MATCH(1,(deskripsi!$A$2:$A$337=B1389)*
           (deskripsi!$B$2:$B$337=C1389)*
           (deskripsi!$C$2:$C$337=D1389),0),
   F1389)</f>
        <v>Menghitung risiko secara wajar untuk uji coba tim skala kecil.</v>
      </c>
    </row>
    <row r="1390" spans="1:7" ht="28">
      <c r="A1390" t="str">
        <f t="shared" si="21"/>
        <v>Team Work|Department Head|2|4</v>
      </c>
      <c r="B1390" t="str">
        <v>Team Work</v>
      </c>
      <c r="C1390" t="str">
        <v>Department Head</v>
      </c>
      <c r="D1390" s="76">
        <v>2</v>
      </c>
      <c r="E1390" t="str" cm="1">
        <f t="array" ref="E1390">INDEX(aspek!$D$2:$D$337,
   MATCH(1,(aspek!$A$2:$A$337=B1390)*
           (aspek!$B$2:$B$337=C1390)*
           (aspek!$C$2:$C$337=D1390),0))</f>
        <v>Kualitas perhitungan risiko tim</v>
      </c>
      <c r="F1390" s="76">
        <v>4</v>
      </c>
      <c r="G1390" s="56" t="str" cm="1">
        <f t="array" ref="G1390">INDEX(deskripsi!$D$2:$H$337,
   MATCH(1,(deskripsi!$A$2:$A$337=B1390)*
           (deskripsi!$B$2:$B$337=C1390)*
           (deskripsi!$C$2:$C$337=D1390),0),
   F1390)</f>
        <v>Menetapkan batas kerugian yang dapat diterima sebelum tim mencoba, dan kerugian tetap dalam batas itu ketika gagal.</v>
      </c>
    </row>
    <row r="1391" spans="1:7">
      <c r="A1391" t="str">
        <f t="shared" si="21"/>
        <v>Team Work|Department Head|2|5</v>
      </c>
      <c r="B1391" t="str">
        <v>Team Work</v>
      </c>
      <c r="C1391" t="str">
        <v>Department Head</v>
      </c>
      <c r="D1391" s="76">
        <v>2</v>
      </c>
      <c r="E1391" t="str" cm="1">
        <f t="array" ref="E1391">INDEX(aspek!$D$2:$D$337,
   MATCH(1,(aspek!$A$2:$A$337=B1391)*
           (aspek!$B$2:$B$337=C1391)*
           (aspek!$C$2:$C$337=D1391),0))</f>
        <v>Kualitas perhitungan risiko tim</v>
      </c>
      <c r="F1391" s="76">
        <v>5</v>
      </c>
      <c r="G1391" s="56" t="str" cm="1">
        <f t="array" ref="G1391">INDEX(deskripsi!$D$2:$H$337,
   MATCH(1,(deskripsi!$A$2:$A$337=B1391)*
           (deskripsi!$B$2:$B$337=C1391)*
           (deskripsi!$C$2:$C$337=D1391),0),
   F1391)</f>
        <v>Perhitungan risikonya menjadi acuan bagi tim lain.</v>
      </c>
    </row>
    <row r="1392" spans="1:7">
      <c r="A1392" t="str">
        <f t="shared" si="21"/>
        <v>Team Work|Department Head|3|1</v>
      </c>
      <c r="B1392" t="str">
        <v>Team Work</v>
      </c>
      <c r="C1392" t="str">
        <v>Department Head</v>
      </c>
      <c r="D1392" s="76">
        <v>3</v>
      </c>
      <c r="E1392" t="str" cm="1">
        <f t="array" ref="E1392">INDEX(aspek!$D$2:$D$337,
   MATCH(1,(aspek!$A$2:$A$337=B1392)*
           (aspek!$B$2:$B$337=C1392)*
           (aspek!$C$2:$C$337=D1392),0))</f>
        <v>Pengelolaan kegagalan tim tanpa kambing hitam</v>
      </c>
      <c r="F1392" s="76">
        <v>1</v>
      </c>
      <c r="G1392" s="56" t="str" cm="1">
        <f t="array" ref="G1392">INDEX(deskripsi!$D$2:$H$337,
   MATCH(1,(deskripsi!$A$2:$A$337=B1392)*
           (deskripsi!$B$2:$B$337=C1392)*
           (deskripsi!$C$2:$C$337=D1392),0),
   F1392)</f>
        <v>Menyalahkan individu ketika uji coba tim gagal.</v>
      </c>
    </row>
    <row r="1393" spans="1:7">
      <c r="A1393" t="str">
        <f t="shared" si="21"/>
        <v>Team Work|Department Head|3|2</v>
      </c>
      <c r="B1393" t="str">
        <v>Team Work</v>
      </c>
      <c r="C1393" t="str">
        <v>Department Head</v>
      </c>
      <c r="D1393" s="76">
        <v>3</v>
      </c>
      <c r="E1393" t="str" cm="1">
        <f t="array" ref="E1393">INDEX(aspek!$D$2:$D$337,
   MATCH(1,(aspek!$A$2:$A$337=B1393)*
           (aspek!$B$2:$B$337=C1393)*
           (aspek!$C$2:$C$337=D1393),0))</f>
        <v>Pengelolaan kegagalan tim tanpa kambing hitam</v>
      </c>
      <c r="F1393" s="76">
        <v>2</v>
      </c>
      <c r="G1393" s="56" t="str" cm="1">
        <f t="array" ref="G1393">INDEX(deskripsi!$D$2:$H$337,
   MATCH(1,(deskripsi!$A$2:$A$337=B1393)*
           (deskripsi!$B$2:$B$337=C1393)*
           (deskripsi!$C$2:$C$337=D1393),0),
   F1393)</f>
        <v>Melaporkan kegagalan hanya ketika ditanya.</v>
      </c>
    </row>
    <row r="1394" spans="1:7">
      <c r="A1394" t="str">
        <f t="shared" si="21"/>
        <v>Team Work|Department Head|3|3</v>
      </c>
      <c r="B1394" t="str">
        <v>Team Work</v>
      </c>
      <c r="C1394" t="str">
        <v>Department Head</v>
      </c>
      <c r="D1394" s="76">
        <v>3</v>
      </c>
      <c r="E1394" t="str" cm="1">
        <f t="array" ref="E1394">INDEX(aspek!$D$2:$D$337,
   MATCH(1,(aspek!$A$2:$A$337=B1394)*
           (aspek!$B$2:$B$337=C1394)*
           (aspek!$C$2:$C$337=D1394),0))</f>
        <v>Pengelolaan kegagalan tim tanpa kambing hitam</v>
      </c>
      <c r="F1394" s="76">
        <v>3</v>
      </c>
      <c r="G1394" s="56" t="str" cm="1">
        <f t="array" ref="G1394">INDEX(deskripsi!$D$2:$H$337,
   MATCH(1,(deskripsi!$A$2:$A$337=B1394)*
           (deskripsi!$B$2:$B$337=C1394)*
           (deskripsi!$C$2:$C$337=D1394),0),
   F1394)</f>
        <v>Melaporkan kegagalan tim secara terbuka pada kasus kecil.</v>
      </c>
    </row>
    <row r="1395" spans="1:7" ht="28">
      <c r="A1395" t="str">
        <f t="shared" si="21"/>
        <v>Team Work|Department Head|3|4</v>
      </c>
      <c r="B1395" t="str">
        <v>Team Work</v>
      </c>
      <c r="C1395" t="str">
        <v>Department Head</v>
      </c>
      <c r="D1395" s="76">
        <v>3</v>
      </c>
      <c r="E1395" t="str" cm="1">
        <f t="array" ref="E1395">INDEX(aspek!$D$2:$D$337,
   MATCH(1,(aspek!$A$2:$A$337=B1395)*
           (aspek!$B$2:$B$337=C1395)*
           (aspek!$C$2:$C$337=D1395),0))</f>
        <v>Pengelolaan kegagalan tim tanpa kambing hitam</v>
      </c>
      <c r="F1395" s="76">
        <v>4</v>
      </c>
      <c r="G1395" s="56" t="str" cm="1">
        <f t="array" ref="G1395">INDEX(deskripsi!$D$2:$H$337,
   MATCH(1,(deskripsi!$A$2:$A$337=B1395)*
           (deskripsi!$B$2:$B$337=C1395)*
           (deskripsi!$C$2:$C$337=D1395),0),
   F1395)</f>
        <v>Melaporkan kegagalan tim secara terbuka dan cepat, menarik pembelajaran tanpa menyalahkan individu.</v>
      </c>
    </row>
    <row r="1396" spans="1:7" ht="28">
      <c r="A1396" t="str">
        <f t="shared" si="21"/>
        <v>Team Work|Department Head|3|5</v>
      </c>
      <c r="B1396" t="str">
        <v>Team Work</v>
      </c>
      <c r="C1396" t="str">
        <v>Department Head</v>
      </c>
      <c r="D1396" s="76">
        <v>3</v>
      </c>
      <c r="E1396" t="str" cm="1">
        <f t="array" ref="E1396">INDEX(aspek!$D$2:$D$337,
   MATCH(1,(aspek!$A$2:$A$337=B1396)*
           (aspek!$B$2:$B$337=C1396)*
           (aspek!$C$2:$C$337=D1396),0))</f>
        <v>Pengelolaan kegagalan tim tanpa kambing hitam</v>
      </c>
      <c r="F1396" s="76">
        <v>5</v>
      </c>
      <c r="G1396" s="56" t="str" cm="1">
        <f t="array" ref="G1396">INDEX(deskripsi!$D$2:$H$337,
   MATCH(1,(deskripsi!$A$2:$A$337=B1396)*
           (deskripsi!$B$2:$B$337=C1396)*
           (deskripsi!$C$2:$C$337=D1396),0),
   F1396)</f>
        <v>Kegagalan tim menjadi bahan pembelajaran yang dibagikan sukarela ke unit lain.</v>
      </c>
    </row>
    <row r="1397" spans="1:7">
      <c r="A1397" t="str">
        <f t="shared" si="21"/>
        <v>Team Work|Department Head|4|1</v>
      </c>
      <c r="B1397" t="str">
        <v>Team Work</v>
      </c>
      <c r="C1397" t="str">
        <v>Department Head</v>
      </c>
      <c r="D1397" s="76">
        <v>4</v>
      </c>
      <c r="E1397" t="str" cm="1">
        <f t="array" ref="E1397">INDEX(aspek!$D$2:$D$337,
   MATCH(1,(aspek!$A$2:$A$337=B1397)*
           (aspek!$B$2:$B$337=C1397)*
           (aspek!$C$2:$C$337=D1397),0))</f>
        <v>Mendorong gagasan menjadi eksperimen</v>
      </c>
      <c r="F1397" s="76">
        <v>1</v>
      </c>
      <c r="G1397" s="56" t="str" cm="1">
        <f t="array" ref="G1397">INDEX(deskripsi!$D$2:$H$337,
   MATCH(1,(deskripsi!$A$2:$A$337=B1397)*
           (deskripsi!$B$2:$B$337=C1397)*
           (deskripsi!$C$2:$C$337=D1397),0),
   F1397)</f>
        <v>Tidak mendorong anggota tim mengusulkan gagasan.</v>
      </c>
    </row>
    <row r="1398" spans="1:7" ht="28">
      <c r="A1398" t="str">
        <f t="shared" si="21"/>
        <v>Team Work|Department Head|4|2</v>
      </c>
      <c r="B1398" t="str">
        <v>Team Work</v>
      </c>
      <c r="C1398" t="str">
        <v>Department Head</v>
      </c>
      <c r="D1398" s="76">
        <v>4</v>
      </c>
      <c r="E1398" t="str" cm="1">
        <f t="array" ref="E1398">INDEX(aspek!$D$2:$D$337,
   MATCH(1,(aspek!$A$2:$A$337=B1398)*
           (aspek!$B$2:$B$337=C1398)*
           (aspek!$C$2:$C$337=D1398),0))</f>
        <v>Mendorong gagasan menjadi eksperimen</v>
      </c>
      <c r="F1398" s="76">
        <v>2</v>
      </c>
      <c r="G1398" s="56" t="str" cm="1">
        <f t="array" ref="G1398">INDEX(deskripsi!$D$2:$H$337,
   MATCH(1,(deskripsi!$A$2:$A$337=B1398)*
           (deskripsi!$B$2:$B$337=C1398)*
           (deskripsi!$C$2:$C$337=D1398),0),
   F1398)</f>
        <v>Mendorong mengusulkan, tetapi berhenti di situ — gagasan tidak pernah dicoba.</v>
      </c>
    </row>
    <row r="1399" spans="1:7">
      <c r="A1399" t="str">
        <f t="shared" si="21"/>
        <v>Team Work|Department Head|4|3</v>
      </c>
      <c r="B1399" t="str">
        <v>Team Work</v>
      </c>
      <c r="C1399" t="str">
        <v>Department Head</v>
      </c>
      <c r="D1399" s="76">
        <v>4</v>
      </c>
      <c r="E1399" t="str" cm="1">
        <f t="array" ref="E1399">INDEX(aspek!$D$2:$D$337,
   MATCH(1,(aspek!$A$2:$A$337=B1399)*
           (aspek!$B$2:$B$337=C1399)*
           (aspek!$C$2:$C$337=D1399),0))</f>
        <v>Mendorong gagasan menjadi eksperimen</v>
      </c>
      <c r="F1399" s="76">
        <v>3</v>
      </c>
      <c r="G1399" s="56" t="str" cm="1">
        <f t="array" ref="G1399">INDEX(deskripsi!$D$2:$H$337,
   MATCH(1,(deskripsi!$A$2:$A$337=B1399)*
           (deskripsi!$B$2:$B$337=C1399)*
           (deskripsi!$C$2:$C$337=D1399),0),
   F1399)</f>
        <v>Sesekali mendorong gagasan sampai dicoba.</v>
      </c>
    </row>
    <row r="1400" spans="1:7" ht="28">
      <c r="A1400" t="str">
        <f t="shared" si="21"/>
        <v>Team Work|Department Head|4|4</v>
      </c>
      <c r="B1400" t="str">
        <v>Team Work</v>
      </c>
      <c r="C1400" t="str">
        <v>Department Head</v>
      </c>
      <c r="D1400" s="76">
        <v>4</v>
      </c>
      <c r="E1400" t="str" cm="1">
        <f t="array" ref="E1400">INDEX(aspek!$D$2:$D$337,
   MATCH(1,(aspek!$A$2:$A$337=B1400)*
           (aspek!$B$2:$B$337=C1400)*
           (aspek!$C$2:$C$337=D1400),0))</f>
        <v>Mendorong gagasan menjadi eksperimen</v>
      </c>
      <c r="F1400" s="76">
        <v>4</v>
      </c>
      <c r="G1400" s="56" t="str" cm="1">
        <f t="array" ref="G1400">INDEX(deskripsi!$D$2:$H$337,
   MATCH(1,(deskripsi!$A$2:$A$337=B1400)*
           (deskripsi!$B$2:$B$337=C1400)*
           (deskripsi!$C$2:$C$337=D1400),0),
   F1400)</f>
        <v>Secara aktif mendampingi anggota tim mengusulkan DAN mencoba gagasannya sendiri, dengan risiko terukur.</v>
      </c>
    </row>
    <row r="1401" spans="1:7" ht="28">
      <c r="A1401" t="str">
        <f t="shared" si="21"/>
        <v>Team Work|Department Head|4|5</v>
      </c>
      <c r="B1401" t="str">
        <v>Team Work</v>
      </c>
      <c r="C1401" t="str">
        <v>Department Head</v>
      </c>
      <c r="D1401" s="76">
        <v>4</v>
      </c>
      <c r="E1401" t="str" cm="1">
        <f t="array" ref="E1401">INDEX(aspek!$D$2:$D$337,
   MATCH(1,(aspek!$A$2:$A$337=B1401)*
           (aspek!$B$2:$B$337=C1401)*
           (aspek!$C$2:$C$337=D1401),0))</f>
        <v>Mendorong gagasan menjadi eksperimen</v>
      </c>
      <c r="F1401" s="76">
        <v>5</v>
      </c>
      <c r="G1401" s="56" t="str" cm="1">
        <f t="array" ref="G1401">INDEX(deskripsi!$D$2:$H$337,
   MATCH(1,(deskripsi!$A$2:$A$337=B1401)*
           (deskripsi!$B$2:$B$337=C1401)*
           (deskripsi!$C$2:$C$337=D1401),0),
   F1401)</f>
        <v>Tim secara mandiri mengusulkan dan mencoba gagasan tanpa perlu didorong.</v>
      </c>
    </row>
    <row r="1402" spans="1:7">
      <c r="A1402" t="str">
        <f t="shared" si="21"/>
        <v>Team Work|Division Head|1|1</v>
      </c>
      <c r="B1402" t="str">
        <v>Team Work</v>
      </c>
      <c r="C1402" t="str">
        <v>Division Head</v>
      </c>
      <c r="D1402" s="76">
        <v>1</v>
      </c>
      <c r="E1402" t="str" cm="1">
        <f t="array" ref="E1402">INDEX(aspek!$D$2:$D$337,
   MATCH(1,(aspek!$A$2:$A$337=B1402)*
           (aspek!$B$2:$B$337=C1402)*
           (aspek!$C$2:$C$337=D1402),0))</f>
        <v>Keberlanjutan relasi</v>
      </c>
      <c r="F1402" s="76">
        <v>1</v>
      </c>
      <c r="G1402" s="56" t="str" cm="1">
        <f t="array" ref="G1402">INDEX(deskripsi!$D$2:$H$337,
   MATCH(1,(deskripsi!$A$2:$A$337=B1402)*
           (deskripsi!$B$2:$B$337=C1402)*
           (deskripsi!$C$2:$C$337=D1402),0),
   F1402)</f>
        <v>Berhubungan hanya ketika ada kebutuhan mendesak.</v>
      </c>
    </row>
    <row r="1403" spans="1:7">
      <c r="A1403" t="str">
        <f t="shared" si="21"/>
        <v>Team Work|Division Head|1|2</v>
      </c>
      <c r="B1403" t="str">
        <v>Team Work</v>
      </c>
      <c r="C1403" t="str">
        <v>Division Head</v>
      </c>
      <c r="D1403" s="76">
        <v>1</v>
      </c>
      <c r="E1403" t="str" cm="1">
        <f t="array" ref="E1403">INDEX(aspek!$D$2:$D$337,
   MATCH(1,(aspek!$A$2:$A$337=B1403)*
           (aspek!$B$2:$B$337=C1403)*
           (aspek!$C$2:$C$337=D1403),0))</f>
        <v>Keberlanjutan relasi</v>
      </c>
      <c r="F1403" s="76">
        <v>2</v>
      </c>
      <c r="G1403" s="56" t="str" cm="1">
        <f t="array" ref="G1403">INDEX(deskripsi!$D$2:$H$337,
   MATCH(1,(deskripsi!$A$2:$A$337=B1403)*
           (deskripsi!$B$2:$B$337=C1403)*
           (deskripsi!$C$2:$C$337=D1403),0),
   F1403)</f>
        <v>Menjaga hubungan menjelang momen penting saja.</v>
      </c>
    </row>
    <row r="1404" spans="1:7">
      <c r="A1404" t="str">
        <f t="shared" si="21"/>
        <v>Team Work|Division Head|1|3</v>
      </c>
      <c r="B1404" t="str">
        <v>Team Work</v>
      </c>
      <c r="C1404" t="str">
        <v>Division Head</v>
      </c>
      <c r="D1404" s="76">
        <v>1</v>
      </c>
      <c r="E1404" t="str" cm="1">
        <f t="array" ref="E1404">INDEX(aspek!$D$2:$D$337,
   MATCH(1,(aspek!$A$2:$A$337=B1404)*
           (aspek!$B$2:$B$337=C1404)*
           (aspek!$C$2:$C$337=D1404),0))</f>
        <v>Keberlanjutan relasi</v>
      </c>
      <c r="F1404" s="76">
        <v>3</v>
      </c>
      <c r="G1404" s="56" t="str" cm="1">
        <f t="array" ref="G1404">INDEX(deskripsi!$D$2:$H$337,
   MATCH(1,(deskripsi!$A$2:$A$337=B1404)*
           (deskripsi!$B$2:$B$337=C1404)*
           (deskripsi!$C$2:$C$337=D1404),0),
   F1404)</f>
        <v>Menjaga hubungan baik selama satu proyek berlangsung.</v>
      </c>
    </row>
    <row r="1405" spans="1:7" ht="28">
      <c r="A1405" t="str">
        <f t="shared" si="21"/>
        <v>Team Work|Division Head|1|4</v>
      </c>
      <c r="B1405" t="str">
        <v>Team Work</v>
      </c>
      <c r="C1405" t="str">
        <v>Division Head</v>
      </c>
      <c r="D1405" s="76">
        <v>1</v>
      </c>
      <c r="E1405" t="str" cm="1">
        <f t="array" ref="E1405">INDEX(aspek!$D$2:$D$337,
   MATCH(1,(aspek!$A$2:$A$337=B1405)*
           (aspek!$B$2:$B$337=C1405)*
           (aspek!$C$2:$C$337=D1405),0))</f>
        <v>Keberlanjutan relasi</v>
      </c>
      <c r="F1405" s="76">
        <v>4</v>
      </c>
      <c r="G1405" s="56" t="str" cm="1">
        <f t="array" ref="G1405">INDEX(deskripsi!$D$2:$H$337,
   MATCH(1,(deskripsi!$A$2:$A$337=B1405)*
           (deskripsi!$B$2:$B$337=C1405)*
           (deskripsi!$C$2:$C$337=D1405),0),
   F1405)</f>
        <v>Mengelola hubungan sebagai portofolio lintas waktu, menilai keberhasilan dari kelangsungan kerja sama.</v>
      </c>
    </row>
    <row r="1406" spans="1:7" ht="28">
      <c r="A1406" t="str">
        <f t="shared" si="21"/>
        <v>Team Work|Division Head|1|5</v>
      </c>
      <c r="B1406" t="str">
        <v>Team Work</v>
      </c>
      <c r="C1406" t="str">
        <v>Division Head</v>
      </c>
      <c r="D1406" s="76">
        <v>1</v>
      </c>
      <c r="E1406" t="str" cm="1">
        <f t="array" ref="E1406">INDEX(aspek!$D$2:$D$337,
   MATCH(1,(aspek!$A$2:$A$337=B1406)*
           (aspek!$B$2:$B$337=C1406)*
           (aspek!$C$2:$C$337=D1406),0))</f>
        <v>Keberlanjutan relasi</v>
      </c>
      <c r="F1406" s="76">
        <v>5</v>
      </c>
      <c r="G1406" s="56" t="str" cm="1">
        <f t="array" ref="G1406">INDEX(deskripsi!$D$2:$H$337,
   MATCH(1,(deskripsi!$A$2:$A$337=B1406)*
           (deskripsi!$B$2:$B$337=C1406)*
           (deskripsi!$C$2:$C$337=D1406),0),
   F1406)</f>
        <v>Hubungan bertahan melampaui pergantian orang di kedua pihak.</v>
      </c>
    </row>
    <row r="1407" spans="1:7">
      <c r="A1407" t="str">
        <f t="shared" si="21"/>
        <v>Team Work|Division Head|2|1</v>
      </c>
      <c r="B1407" t="str">
        <v>Team Work</v>
      </c>
      <c r="C1407" t="str">
        <v>Division Head</v>
      </c>
      <c r="D1407" s="76">
        <v>2</v>
      </c>
      <c r="E1407" t="str" cm="1">
        <f t="array" ref="E1407">INDEX(aspek!$D$2:$D$337,
   MATCH(1,(aspek!$A$2:$A$337=B1407)*
           (aspek!$B$2:$B$337=C1407)*
           (aspek!$C$2:$C$337=D1407),0))</f>
        <v>Penyesuaian pendekatan per stakeholder</v>
      </c>
      <c r="F1407" s="76">
        <v>1</v>
      </c>
      <c r="G1407" s="56" t="str" cm="1">
        <f t="array" ref="G1407">INDEX(deskripsi!$D$2:$H$337,
   MATCH(1,(deskripsi!$A$2:$A$337=B1407)*
           (deskripsi!$B$2:$B$337=C1407)*
           (deskripsi!$C$2:$C$337=D1407),0),
   F1407)</f>
        <v>Memperlakukan semua stakeholder dengan cara yang sama.</v>
      </c>
    </row>
    <row r="1408" spans="1:7" ht="28">
      <c r="A1408" t="str">
        <f t="shared" si="21"/>
        <v>Team Work|Division Head|2|2</v>
      </c>
      <c r="B1408" t="str">
        <v>Team Work</v>
      </c>
      <c r="C1408" t="str">
        <v>Division Head</v>
      </c>
      <c r="D1408" s="76">
        <v>2</v>
      </c>
      <c r="E1408" t="str" cm="1">
        <f t="array" ref="E1408">INDEX(aspek!$D$2:$D$337,
   MATCH(1,(aspek!$A$2:$A$337=B1408)*
           (aspek!$B$2:$B$337=C1408)*
           (aspek!$C$2:$C$337=D1408),0))</f>
        <v>Penyesuaian pendekatan per stakeholder</v>
      </c>
      <c r="F1408" s="76">
        <v>2</v>
      </c>
      <c r="G1408" s="56" t="str" cm="1">
        <f t="array" ref="G1408">INDEX(deskripsi!$D$2:$H$337,
   MATCH(1,(deskripsi!$A$2:$A$337=B1408)*
           (deskripsi!$B$2:$B$337=C1408)*
           (deskripsi!$C$2:$C$337=D1408),0),
   F1408)</f>
        <v>Membedakan pendekatan berdasarkan besar-kecilnya kepentingan.</v>
      </c>
    </row>
    <row r="1409" spans="1:7" ht="28">
      <c r="A1409" t="str">
        <f t="shared" si="21"/>
        <v>Team Work|Division Head|2|3</v>
      </c>
      <c r="B1409" t="str">
        <v>Team Work</v>
      </c>
      <c r="C1409" t="str">
        <v>Division Head</v>
      </c>
      <c r="D1409" s="76">
        <v>2</v>
      </c>
      <c r="E1409" t="str" cm="1">
        <f t="array" ref="E1409">INDEX(aspek!$D$2:$D$337,
   MATCH(1,(aspek!$A$2:$A$337=B1409)*
           (aspek!$B$2:$B$337=C1409)*
           (aspek!$C$2:$C$337=D1409),0))</f>
        <v>Penyesuaian pendekatan per stakeholder</v>
      </c>
      <c r="F1409" s="76">
        <v>3</v>
      </c>
      <c r="G1409" s="56" t="str" cm="1">
        <f t="array" ref="G1409">INDEX(deskripsi!$D$2:$H$337,
   MATCH(1,(deskripsi!$A$2:$A$337=B1409)*
           (deskripsi!$B$2:$B$337=C1409)*
           (deskripsi!$C$2:$C$337=D1409),0),
   F1409)</f>
        <v>Menyesuaikan gaya komunikasi berdasarkan pengalaman sebelumnya.</v>
      </c>
    </row>
    <row r="1410" spans="1:7" ht="28">
      <c r="A1410" t="str">
        <f t="shared" si="21"/>
        <v>Team Work|Division Head|2|4</v>
      </c>
      <c r="B1410" t="str">
        <v>Team Work</v>
      </c>
      <c r="C1410" t="str">
        <v>Division Head</v>
      </c>
      <c r="D1410" s="76">
        <v>2</v>
      </c>
      <c r="E1410" t="str" cm="1">
        <f t="array" ref="E1410">INDEX(aspek!$D$2:$D$337,
   MATCH(1,(aspek!$A$2:$A$337=B1410)*
           (aspek!$B$2:$B$337=C1410)*
           (aspek!$C$2:$C$337=D1410),0))</f>
        <v>Penyesuaian pendekatan per stakeholder</v>
      </c>
      <c r="F1410" s="76">
        <v>4</v>
      </c>
      <c r="G1410" s="56" t="str" cm="1">
        <f t="array" ref="G1410">INDEX(deskripsi!$D$2:$H$337,
   MATCH(1,(deskripsi!$A$2:$A$337=B1410)*
           (deskripsi!$B$2:$B$337=C1410)*
           (deskripsi!$C$2:$C$337=D1410),0),
   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76">
        <v>2</v>
      </c>
      <c r="E1411" t="str" cm="1">
        <f t="array" ref="E1411">INDEX(aspek!$D$2:$D$337,
   MATCH(1,(aspek!$A$2:$A$337=B1411)*
           (aspek!$B$2:$B$337=C1411)*
           (aspek!$C$2:$C$337=D1411),0))</f>
        <v>Penyesuaian pendekatan per stakeholder</v>
      </c>
      <c r="F1411" s="76">
        <v>5</v>
      </c>
      <c r="G1411" s="56" t="str" cm="1">
        <f t="array" ref="G1411">INDEX(deskripsi!$D$2:$H$337,
   MATCH(1,(deskripsi!$A$2:$A$337=B1411)*
           (deskripsi!$B$2:$B$337=C1411)*
           (deskripsi!$C$2:$C$337=D1411),0),
   F1411)</f>
        <v>Mampu menjelaskan kepada orang lain mengapa satu stakeholder perlu didekati dengan cara tertentu.</v>
      </c>
    </row>
    <row r="1412" spans="1:7">
      <c r="A1412" t="str">
        <f t="shared" si="22"/>
        <v>Team Work|Division Head|3|1</v>
      </c>
      <c r="B1412" t="str">
        <v>Team Work</v>
      </c>
      <c r="C1412" t="str">
        <v>Division Head</v>
      </c>
      <c r="D1412" s="76">
        <v>3</v>
      </c>
      <c r="E1412" t="str" cm="1">
        <f t="array" ref="E1412">INDEX(aspek!$D$2:$D$337,
   MATCH(1,(aspek!$A$2:$A$337=B1412)*
           (aspek!$B$2:$B$337=C1412)*
           (aspek!$C$2:$C$337=D1412),0))</f>
        <v>Pencarian titik temu</v>
      </c>
      <c r="F1412" s="76">
        <v>1</v>
      </c>
      <c r="G1412" s="56" t="str" cm="1">
        <f t="array" ref="G1412">INDEX(deskripsi!$D$2:$H$337,
   MATCH(1,(deskripsi!$A$2:$A$337=B1412)*
           (deskripsi!$B$2:$B$337=C1412)*
           (deskripsi!$C$2:$C$337=D1412),0),
   F1412)</f>
        <v>Memaksakan kepentingannya sendiri dalam setiap interaksi.</v>
      </c>
    </row>
    <row r="1413" spans="1:7">
      <c r="A1413" t="str">
        <f t="shared" si="22"/>
        <v>Team Work|Division Head|3|2</v>
      </c>
      <c r="B1413" t="str">
        <v>Team Work</v>
      </c>
      <c r="C1413" t="str">
        <v>Division Head</v>
      </c>
      <c r="D1413" s="76">
        <v>3</v>
      </c>
      <c r="E1413" t="str" cm="1">
        <f t="array" ref="E1413">INDEX(aspek!$D$2:$D$337,
   MATCH(1,(aspek!$A$2:$A$337=B1413)*
           (aspek!$B$2:$B$337=C1413)*
           (aspek!$C$2:$C$337=D1413),0))</f>
        <v>Pencarian titik temu</v>
      </c>
      <c r="F1413" s="76">
        <v>2</v>
      </c>
      <c r="G1413" s="56" t="str" cm="1">
        <f t="array" ref="G1413">INDEX(deskripsi!$D$2:$H$337,
   MATCH(1,(deskripsi!$A$2:$A$337=B1413)*
           (deskripsi!$B$2:$B$337=C1413)*
           (deskripsi!$C$2:$C$337=D1413),0),
   F1413)</f>
        <v>Mengalah untuk menghindari konflik.</v>
      </c>
    </row>
    <row r="1414" spans="1:7">
      <c r="A1414" t="str">
        <f t="shared" si="22"/>
        <v>Team Work|Division Head|3|3</v>
      </c>
      <c r="B1414" t="str">
        <v>Team Work</v>
      </c>
      <c r="C1414" t="str">
        <v>Division Head</v>
      </c>
      <c r="D1414" s="76">
        <v>3</v>
      </c>
      <c r="E1414" t="str" cm="1">
        <f t="array" ref="E1414">INDEX(aspek!$D$2:$D$337,
   MATCH(1,(aspek!$A$2:$A$337=B1414)*
           (aspek!$B$2:$B$337=C1414)*
           (aspek!$C$2:$C$337=D1414),0))</f>
        <v>Pencarian titik temu</v>
      </c>
      <c r="F1414" s="76">
        <v>3</v>
      </c>
      <c r="G1414" s="56" t="str" cm="1">
        <f t="array" ref="G1414">INDEX(deskripsi!$D$2:$H$337,
   MATCH(1,(deskripsi!$A$2:$A$337=B1414)*
           (deskripsi!$B$2:$B$337=C1414)*
           (deskripsi!$C$2:$C$337=D1414),0),
   F1414)</f>
        <v>Mencari jalan tengah dengan membagi selisih.</v>
      </c>
    </row>
    <row r="1415" spans="1:7" ht="28">
      <c r="A1415" t="str">
        <f t="shared" si="22"/>
        <v>Team Work|Division Head|3|4</v>
      </c>
      <c r="B1415" t="str">
        <v>Team Work</v>
      </c>
      <c r="C1415" t="str">
        <v>Division Head</v>
      </c>
      <c r="D1415" s="76">
        <v>3</v>
      </c>
      <c r="E1415" t="str" cm="1">
        <f t="array" ref="E1415">INDEX(aspek!$D$2:$D$337,
   MATCH(1,(aspek!$A$2:$A$337=B1415)*
           (aspek!$B$2:$B$337=C1415)*
           (aspek!$C$2:$C$337=D1415),0))</f>
        <v>Pencarian titik temu</v>
      </c>
      <c r="F1415" s="76">
        <v>4</v>
      </c>
      <c r="G1415" s="56" t="str" cm="1">
        <f t="array" ref="G1415">INDEX(deskripsi!$D$2:$H$337,
   MATCH(1,(deskripsi!$A$2:$A$337=B1415)*
           (deskripsi!$B$2:$B$337=C1415)*
           (deskripsi!$C$2:$C$337=D1415),0),
   F1415)</f>
        <v>Menganalisis kepentingan pokok kedua pihak dan menyusun opsi yang menambah nilai bagi keduanya.</v>
      </c>
    </row>
    <row r="1416" spans="1:7" ht="28">
      <c r="A1416" t="str">
        <f t="shared" si="22"/>
        <v>Team Work|Division Head|3|5</v>
      </c>
      <c r="B1416" t="str">
        <v>Team Work</v>
      </c>
      <c r="C1416" t="str">
        <v>Division Head</v>
      </c>
      <c r="D1416" s="76">
        <v>3</v>
      </c>
      <c r="E1416" t="str" cm="1">
        <f t="array" ref="E1416">INDEX(aspek!$D$2:$D$337,
   MATCH(1,(aspek!$A$2:$A$337=B1416)*
           (aspek!$B$2:$B$337=C1416)*
           (aspek!$C$2:$C$337=D1416),0))</f>
        <v>Pencarian titik temu</v>
      </c>
      <c r="F1416" s="76">
        <v>5</v>
      </c>
      <c r="G1416" s="56" t="str" cm="1">
        <f t="array" ref="G1416">INDEX(deskripsi!$D$2:$H$337,
   MATCH(1,(deskripsi!$A$2:$A$337=B1416)*
           (deskripsi!$B$2:$B$337=C1416)*
           (deskripsi!$C$2:$C$337=D1416),0),
   F1416)</f>
        <v>Titik temu yang ditemukan menjadi model kerja sama jangka panjang antar unit.</v>
      </c>
    </row>
    <row r="1417" spans="1:7">
      <c r="A1417" t="str">
        <f t="shared" si="22"/>
        <v>Team Work|Division Head|4|1</v>
      </c>
      <c r="B1417" t="str">
        <v>Team Work</v>
      </c>
      <c r="C1417" t="str">
        <v>Division Head</v>
      </c>
      <c r="D1417" s="76">
        <v>4</v>
      </c>
      <c r="E1417" t="str" cm="1">
        <f t="array" ref="E1417">INDEX(aspek!$D$2:$D$337,
   MATCH(1,(aspek!$A$2:$A$337=B1417)*
           (aspek!$B$2:$B$337=C1417)*
           (aspek!$C$2:$C$337=D1417),0))</f>
        <v>Ketahanan relasi terhadap pergantian orang</v>
      </c>
      <c r="F1417" s="76">
        <v>1</v>
      </c>
      <c r="G1417" s="56" t="str" cm="1">
        <f t="array" ref="G1417">INDEX(deskripsi!$D$2:$H$337,
   MATCH(1,(deskripsi!$A$2:$A$337=B1417)*
           (deskripsi!$B$2:$B$337=C1417)*
           (deskripsi!$C$2:$C$337=D1417),0),
   F1417)</f>
        <v>Relasi berhenti ketika salah satu pihak berganti peran.</v>
      </c>
    </row>
    <row r="1418" spans="1:7">
      <c r="A1418" t="str">
        <f t="shared" si="22"/>
        <v>Team Work|Division Head|4|2</v>
      </c>
      <c r="B1418" t="str">
        <v>Team Work</v>
      </c>
      <c r="C1418" t="str">
        <v>Division Head</v>
      </c>
      <c r="D1418" s="76">
        <v>4</v>
      </c>
      <c r="E1418" t="str" cm="1">
        <f t="array" ref="E1418">INDEX(aspek!$D$2:$D$337,
   MATCH(1,(aspek!$A$2:$A$337=B1418)*
           (aspek!$B$2:$B$337=C1418)*
           (aspek!$C$2:$C$337=D1418),0))</f>
        <v>Ketahanan relasi terhadap pergantian orang</v>
      </c>
      <c r="F1418" s="76">
        <v>2</v>
      </c>
      <c r="G1418" s="56" t="str" cm="1">
        <f t="array" ref="G1418">INDEX(deskripsi!$D$2:$H$337,
   MATCH(1,(deskripsi!$A$2:$A$337=B1418)*
           (deskripsi!$B$2:$B$337=C1418)*
           (deskripsi!$C$2:$C$337=D1418),0),
   F1418)</f>
        <v>Relasi perlu dibangun ulang dari nol setelah pergantian.</v>
      </c>
    </row>
    <row r="1419" spans="1:7">
      <c r="A1419" t="str">
        <f t="shared" si="22"/>
        <v>Team Work|Division Head|4|3</v>
      </c>
      <c r="B1419" t="str">
        <v>Team Work</v>
      </c>
      <c r="C1419" t="str">
        <v>Division Head</v>
      </c>
      <c r="D1419" s="76">
        <v>4</v>
      </c>
      <c r="E1419" t="str" cm="1">
        <f t="array" ref="E1419">INDEX(aspek!$D$2:$D$337,
   MATCH(1,(aspek!$A$2:$A$337=B1419)*
           (aspek!$B$2:$B$337=C1419)*
           (aspek!$C$2:$C$337=D1419),0))</f>
        <v>Ketahanan relasi terhadap pergantian orang</v>
      </c>
      <c r="F1419" s="76">
        <v>3</v>
      </c>
      <c r="G1419" s="56" t="str" cm="1">
        <f t="array" ref="G1419">INDEX(deskripsi!$D$2:$H$337,
   MATCH(1,(deskripsi!$A$2:$A$337=B1419)*
           (deskripsi!$B$2:$B$337=C1419)*
           (deskripsi!$C$2:$C$337=D1419),0),
   F1419)</f>
        <v>Sebagian elemen relasi terbawa ke pihak yang baru.</v>
      </c>
    </row>
    <row r="1420" spans="1:7" ht="28">
      <c r="A1420" t="str">
        <f t="shared" si="22"/>
        <v>Team Work|Division Head|4|4</v>
      </c>
      <c r="B1420" t="str">
        <v>Team Work</v>
      </c>
      <c r="C1420" t="str">
        <v>Division Head</v>
      </c>
      <c r="D1420" s="76">
        <v>4</v>
      </c>
      <c r="E1420" t="str" cm="1">
        <f t="array" ref="E1420">INDEX(aspek!$D$2:$D$337,
   MATCH(1,(aspek!$A$2:$A$337=B1420)*
           (aspek!$B$2:$B$337=C1420)*
           (aspek!$C$2:$C$337=D1420),0))</f>
        <v>Ketahanan relasi terhadap pergantian orang</v>
      </c>
      <c r="F1420" s="76">
        <v>4</v>
      </c>
      <c r="G1420" s="56" t="str" cm="1">
        <f t="array" ref="G1420">INDEX(deskripsi!$D$2:$H$337,
   MATCH(1,(deskripsi!$A$2:$A$337=B1420)*
           (deskripsi!$B$2:$B$337=C1420)*
           (deskripsi!$C$2:$C$337=D1420),0),
   F1420)</f>
        <v>Relasi dan kerja sama tetap berjalan produktif meski terjadi pergantian peran di salah satu pihak.</v>
      </c>
    </row>
    <row r="1421" spans="1:7" ht="28">
      <c r="A1421" t="str">
        <f t="shared" si="22"/>
        <v>Team Work|Division Head|4|5</v>
      </c>
      <c r="B1421" t="str">
        <v>Team Work</v>
      </c>
      <c r="C1421" t="str">
        <v>Division Head</v>
      </c>
      <c r="D1421" s="76">
        <v>4</v>
      </c>
      <c r="E1421" t="str" cm="1">
        <f t="array" ref="E1421">INDEX(aspek!$D$2:$D$337,
   MATCH(1,(aspek!$A$2:$A$337=B1421)*
           (aspek!$B$2:$B$337=C1421)*
           (aspek!$C$2:$C$337=D1421),0))</f>
        <v>Ketahanan relasi terhadap pergantian orang</v>
      </c>
      <c r="F1421" s="76">
        <v>5</v>
      </c>
      <c r="G1421" s="56" t="str" cm="1">
        <f t="array" ref="G1421">INDEX(deskripsi!$D$2:$H$337,
   MATCH(1,(deskripsi!$A$2:$A$337=B1421)*
           (deskripsi!$B$2:$B$337=C1421)*
           (deskripsi!$C$2:$C$337=D1421),0),
   F1421)</f>
        <v>Relasi itu melembaga menjadi hubungan antar unit, tidak lagi bergantung pada individu tertentu.</v>
      </c>
    </row>
    <row r="1422" spans="1:7" ht="28">
      <c r="A1422" t="str">
        <f t="shared" si="22"/>
        <v>Team Work|Director|1|1</v>
      </c>
      <c r="B1422" t="str">
        <v>Team Work</v>
      </c>
      <c r="C1422" t="str">
        <v>Director</v>
      </c>
      <c r="D1422" s="76">
        <v>1</v>
      </c>
      <c r="E1422" t="str" cm="1">
        <f t="array" ref="E1422">INDEX(aspek!$D$2:$D$337,
   MATCH(1,(aspek!$A$2:$A$337=B1422)*
           (aspek!$B$2:$B$337=C1422)*
           (aspek!$C$2:$C$337=D1422),0))</f>
        <v>Netralitas yang dipersepsikan</v>
      </c>
      <c r="F1422" s="76">
        <v>1</v>
      </c>
      <c r="G1422" s="56" t="str" cm="1">
        <f t="array" ref="G1422">INDEX(deskripsi!$D$2:$H$337,
   MATCH(1,(deskripsi!$A$2:$A$337=B1422)*
           (deskripsi!$B$2:$B$337=C1422)*
           (deskripsi!$C$2:$C$337=D1422),0),
   F1422)</f>
        <v>Dianggap berpihak oleh salah satu atau kedua pihak yang berkonflik.</v>
      </c>
    </row>
    <row r="1423" spans="1:7">
      <c r="A1423" t="str">
        <f t="shared" si="22"/>
        <v>Team Work|Director|1|2</v>
      </c>
      <c r="B1423" t="str">
        <v>Team Work</v>
      </c>
      <c r="C1423" t="str">
        <v>Director</v>
      </c>
      <c r="D1423" s="76">
        <v>1</v>
      </c>
      <c r="E1423" t="str" cm="1">
        <f t="array" ref="E1423">INDEX(aspek!$D$2:$D$337,
   MATCH(1,(aspek!$A$2:$A$337=B1423)*
           (aspek!$B$2:$B$337=C1423)*
           (aspek!$C$2:$C$337=D1423),0))</f>
        <v>Netralitas yang dipersepsikan</v>
      </c>
      <c r="F1423" s="76">
        <v>2</v>
      </c>
      <c r="G1423" s="56" t="str" cm="1">
        <f t="array" ref="G1423">INDEX(deskripsi!$D$2:$H$337,
   MATCH(1,(deskripsi!$A$2:$A$337=B1423)*
           (deskripsi!$B$2:$B$337=C1423)*
           (deskripsi!$C$2:$C$337=D1423),0),
   F1423)</f>
        <v>Dipercaya oleh sebagian pihak saja.</v>
      </c>
    </row>
    <row r="1424" spans="1:7">
      <c r="A1424" t="str">
        <f t="shared" si="22"/>
        <v>Team Work|Director|1|3</v>
      </c>
      <c r="B1424" t="str">
        <v>Team Work</v>
      </c>
      <c r="C1424" t="str">
        <v>Director</v>
      </c>
      <c r="D1424" s="76">
        <v>1</v>
      </c>
      <c r="E1424" t="str" cm="1">
        <f t="array" ref="E1424">INDEX(aspek!$D$2:$D$337,
   MATCH(1,(aspek!$A$2:$A$337=B1424)*
           (aspek!$B$2:$B$337=C1424)*
           (aspek!$C$2:$C$337=D1424),0))</f>
        <v>Netralitas yang dipersepsikan</v>
      </c>
      <c r="F1424" s="76">
        <v>3</v>
      </c>
      <c r="G1424" s="56" t="str" cm="1">
        <f t="array" ref="G1424">INDEX(deskripsi!$D$2:$H$337,
   MATCH(1,(deskripsi!$A$2:$A$337=B1424)*
           (deskripsi!$B$2:$B$337=C1424)*
           (deskripsi!$C$2:$C$337=D1424),0),
   F1424)</f>
        <v>Dipercaya kedua pihak pada konflik yang sederhana.</v>
      </c>
    </row>
    <row r="1425" spans="1:7" ht="28">
      <c r="A1425" t="str">
        <f t="shared" si="22"/>
        <v>Team Work|Director|1|4</v>
      </c>
      <c r="B1425" t="str">
        <v>Team Work</v>
      </c>
      <c r="C1425" t="str">
        <v>Director</v>
      </c>
      <c r="D1425" s="76">
        <v>1</v>
      </c>
      <c r="E1425" t="str" cm="1">
        <f t="array" ref="E1425">INDEX(aspek!$D$2:$D$337,
   MATCH(1,(aspek!$A$2:$A$337=B1425)*
           (aspek!$B$2:$B$337=C1425)*
           (aspek!$C$2:$C$337=D1425),0))</f>
        <v>Netralitas yang dipersepsikan</v>
      </c>
      <c r="F1425" s="76">
        <v>4</v>
      </c>
      <c r="G1425" s="56" t="str" cm="1">
        <f t="array" ref="G1425">INDEX(deskripsi!$D$2:$H$337,
   MATCH(1,(deskripsi!$A$2:$A$337=B1425)*
           (deskripsi!$B$2:$B$337=C1425)*
           (deskripsi!$C$2:$C$337=D1425),0),
   F1425)</f>
        <v>Dipercaya sebagai netral oleh KEDUA pihak, bahkan pada konflik strategis yang kompleks, diverifikasi langsung.</v>
      </c>
    </row>
    <row r="1426" spans="1:7" ht="28">
      <c r="A1426" t="str">
        <f t="shared" si="22"/>
        <v>Team Work|Director|1|5</v>
      </c>
      <c r="B1426" t="str">
        <v>Team Work</v>
      </c>
      <c r="C1426" t="str">
        <v>Director</v>
      </c>
      <c r="D1426" s="76">
        <v>1</v>
      </c>
      <c r="E1426" t="str" cm="1">
        <f t="array" ref="E1426">INDEX(aspek!$D$2:$D$337,
   MATCH(1,(aspek!$A$2:$A$337=B1426)*
           (aspek!$B$2:$B$337=C1426)*
           (aspek!$C$2:$C$337=D1426),0))</f>
        <v>Netralitas yang dipersepsikan</v>
      </c>
      <c r="F1426" s="76">
        <v>5</v>
      </c>
      <c r="G1426" s="56" t="str" cm="1">
        <f t="array" ref="G1426">INDEX(deskripsi!$D$2:$H$337,
   MATCH(1,(deskripsi!$A$2:$A$337=B1426)*
           (deskripsi!$B$2:$B$337=C1426)*
           (deskripsi!$C$2:$C$337=D1426),0),
   F1426)</f>
        <v>Menjadi rujukan organisasi ketika dibutuhkan mediator yang benar-benar netral.</v>
      </c>
    </row>
    <row r="1427" spans="1:7">
      <c r="A1427" t="str">
        <f t="shared" si="22"/>
        <v>Team Work|Director|2|1</v>
      </c>
      <c r="B1427" t="str">
        <v>Team Work</v>
      </c>
      <c r="C1427" t="str">
        <v>Director</v>
      </c>
      <c r="D1427" s="76">
        <v>2</v>
      </c>
      <c r="E1427" t="str" cm="1">
        <f t="array" ref="E1427">INDEX(aspek!$D$2:$D$337,
   MATCH(1,(aspek!$A$2:$A$337=B1427)*
           (aspek!$B$2:$B$337=C1427)*
           (aspek!$C$2:$C$337=D1427),0))</f>
        <v>Kemampuan memfasilitasi</v>
      </c>
      <c r="F1427" s="76">
        <v>1</v>
      </c>
      <c r="G1427" s="56" t="str" cm="1">
        <f t="array" ref="G1427">INDEX(deskripsi!$D$2:$H$337,
   MATCH(1,(deskripsi!$A$2:$A$337=B1427)*
           (deskripsi!$B$2:$B$337=C1427)*
           (deskripsi!$C$2:$C$337=D1427),0),
   F1427)</f>
        <v>Diskusi yang difasilitasi berakhir tanpa arah.</v>
      </c>
    </row>
    <row r="1428" spans="1:7">
      <c r="A1428" t="str">
        <f t="shared" si="22"/>
        <v>Team Work|Director|2|2</v>
      </c>
      <c r="B1428" t="str">
        <v>Team Work</v>
      </c>
      <c r="C1428" t="str">
        <v>Director</v>
      </c>
      <c r="D1428" s="76">
        <v>2</v>
      </c>
      <c r="E1428" t="str" cm="1">
        <f t="array" ref="E1428">INDEX(aspek!$D$2:$D$337,
   MATCH(1,(aspek!$A$2:$A$337=B1428)*
           (aspek!$B$2:$B$337=C1428)*
           (aspek!$C$2:$C$337=D1428),0))</f>
        <v>Kemampuan memfasilitasi</v>
      </c>
      <c r="F1428" s="76">
        <v>2</v>
      </c>
      <c r="G1428" s="56" t="str" cm="1">
        <f t="array" ref="G1428">INDEX(deskripsi!$D$2:$H$337,
   MATCH(1,(deskripsi!$A$2:$A$337=B1428)*
           (deskripsi!$B$2:$B$337=C1428)*
           (deskripsi!$C$2:$C$337=D1428),0),
   F1428)</f>
        <v>Memfasilitasi dengan bantuan pihak lain.</v>
      </c>
    </row>
    <row r="1429" spans="1:7">
      <c r="A1429" t="str">
        <f t="shared" si="22"/>
        <v>Team Work|Director|2|3</v>
      </c>
      <c r="B1429" t="str">
        <v>Team Work</v>
      </c>
      <c r="C1429" t="str">
        <v>Director</v>
      </c>
      <c r="D1429" s="76">
        <v>2</v>
      </c>
      <c r="E1429" t="str" cm="1">
        <f t="array" ref="E1429">INDEX(aspek!$D$2:$D$337,
   MATCH(1,(aspek!$A$2:$A$337=B1429)*
           (aspek!$B$2:$B$337=C1429)*
           (aspek!$C$2:$C$337=D1429),0))</f>
        <v>Kemampuan memfasilitasi</v>
      </c>
      <c r="F1429" s="76">
        <v>3</v>
      </c>
      <c r="G1429" s="56" t="str" cm="1">
        <f t="array" ref="G1429">INDEX(deskripsi!$D$2:$H$337,
   MATCH(1,(deskripsi!$A$2:$A$337=B1429)*
           (deskripsi!$B$2:$B$337=C1429)*
           (deskripsi!$C$2:$C$337=D1429),0),
   F1429)</f>
        <v>Memfasilitasi konflik sederhana secara mandiri.</v>
      </c>
    </row>
    <row r="1430" spans="1:7" ht="28">
      <c r="A1430" t="str">
        <f t="shared" si="22"/>
        <v>Team Work|Director|2|4</v>
      </c>
      <c r="B1430" t="str">
        <v>Team Work</v>
      </c>
      <c r="C1430" t="str">
        <v>Director</v>
      </c>
      <c r="D1430" s="76">
        <v>2</v>
      </c>
      <c r="E1430" t="str" cm="1">
        <f t="array" ref="E1430">INDEX(aspek!$D$2:$D$337,
   MATCH(1,(aspek!$A$2:$A$337=B1430)*
           (aspek!$B$2:$B$337=C1430)*
           (aspek!$C$2:$C$337=D1430),0))</f>
        <v>Kemampuan memfasilitasi</v>
      </c>
      <c r="F1430" s="76">
        <v>4</v>
      </c>
      <c r="G1430" s="56" t="str" cm="1">
        <f t="array" ref="G1430">INDEX(deskripsi!$D$2:$H$337,
   MATCH(1,(deskripsi!$A$2:$A$337=B1430)*
           (deskripsi!$B$2:$B$337=C1430)*
           (deskripsi!$C$2:$C$337=D1430),0),
   F1430)</f>
        <v>Memfasilitasi konflik kompleks secara mandiri, memastikan semua pihak benar-benar didengar.</v>
      </c>
    </row>
    <row r="1431" spans="1:7">
      <c r="A1431" t="str">
        <f t="shared" si="22"/>
        <v>Team Work|Director|2|5</v>
      </c>
      <c r="B1431" t="str">
        <v>Team Work</v>
      </c>
      <c r="C1431" t="str">
        <v>Director</v>
      </c>
      <c r="D1431" s="76">
        <v>2</v>
      </c>
      <c r="E1431" t="str" cm="1">
        <f t="array" ref="E1431">INDEX(aspek!$D$2:$D$337,
   MATCH(1,(aspek!$A$2:$A$337=B1431)*
           (aspek!$B$2:$B$337=C1431)*
           (aspek!$C$2:$C$337=D1431),0))</f>
        <v>Kemampuan memfasilitasi</v>
      </c>
      <c r="F1431" s="76">
        <v>5</v>
      </c>
      <c r="G1431" s="56" t="str" cm="1">
        <f t="array" ref="G1431">INDEX(deskripsi!$D$2:$H$337,
   MATCH(1,(deskripsi!$A$2:$A$337=B1431)*
           (deskripsi!$B$2:$B$337=C1431)*
           (deskripsi!$C$2:$C$337=D1431),0),
   F1431)</f>
        <v>Teknik fasilitasinya diadopsi mediator lain di organisasi.</v>
      </c>
    </row>
    <row r="1432" spans="1:7">
      <c r="A1432" t="str">
        <f t="shared" si="22"/>
        <v>Team Work|Director|3|1</v>
      </c>
      <c r="B1432" t="str">
        <v>Team Work</v>
      </c>
      <c r="C1432" t="str">
        <v>Director</v>
      </c>
      <c r="D1432" s="76">
        <v>3</v>
      </c>
      <c r="E1432" t="str" cm="1">
        <f t="array" ref="E1432">INDEX(aspek!$D$2:$D$337,
   MATCH(1,(aspek!$A$2:$A$337=B1432)*
           (aspek!$B$2:$B$337=C1432)*
           (aspek!$C$2:$C$337=D1432),0))</f>
        <v>Keberhasilan membangun komitmen jangka panjang</v>
      </c>
      <c r="F1432" s="76">
        <v>1</v>
      </c>
      <c r="G1432" s="56" t="str" cm="1">
        <f t="array" ref="G1432">INDEX(deskripsi!$D$2:$H$337,
   MATCH(1,(deskripsi!$A$2:$A$337=B1432)*
           (deskripsi!$B$2:$B$337=C1432)*
           (deskripsi!$C$2:$C$337=D1432),0),
   F1432)</f>
        <v>Kesepakatan hasil mediasi tidak pernah ditindaklanjuti.</v>
      </c>
    </row>
    <row r="1433" spans="1:7">
      <c r="A1433" t="str">
        <f t="shared" si="22"/>
        <v>Team Work|Director|3|2</v>
      </c>
      <c r="B1433" t="str">
        <v>Team Work</v>
      </c>
      <c r="C1433" t="str">
        <v>Director</v>
      </c>
      <c r="D1433" s="76">
        <v>3</v>
      </c>
      <c r="E1433" t="str" cm="1">
        <f t="array" ref="E1433">INDEX(aspek!$D$2:$D$337,
   MATCH(1,(aspek!$A$2:$A$337=B1433)*
           (aspek!$B$2:$B$337=C1433)*
           (aspek!$C$2:$C$337=D1433),0))</f>
        <v>Keberhasilan membangun komitmen jangka panjang</v>
      </c>
      <c r="F1433" s="76">
        <v>2</v>
      </c>
      <c r="G1433" s="56" t="str" cm="1">
        <f t="array" ref="G1433">INDEX(deskripsi!$D$2:$H$337,
   MATCH(1,(deskripsi!$A$2:$A$337=B1433)*
           (deskripsi!$B$2:$B$337=C1433)*
           (deskripsi!$C$2:$C$337=D1433),0),
   F1433)</f>
        <v>Kesepakatan dijalankan sebentar, lalu ditinggalkan.</v>
      </c>
    </row>
    <row r="1434" spans="1:7">
      <c r="A1434" t="str">
        <f t="shared" si="22"/>
        <v>Team Work|Director|3|3</v>
      </c>
      <c r="B1434" t="str">
        <v>Team Work</v>
      </c>
      <c r="C1434" t="str">
        <v>Director</v>
      </c>
      <c r="D1434" s="76">
        <v>3</v>
      </c>
      <c r="E1434" t="str" cm="1">
        <f t="array" ref="E1434">INDEX(aspek!$D$2:$D$337,
   MATCH(1,(aspek!$A$2:$A$337=B1434)*
           (aspek!$B$2:$B$337=C1434)*
           (aspek!$C$2:$C$337=D1434),0))</f>
        <v>Keberhasilan membangun komitmen jangka panjang</v>
      </c>
      <c r="F1434" s="76">
        <v>3</v>
      </c>
      <c r="G1434" s="56" t="str" cm="1">
        <f t="array" ref="G1434">INDEX(deskripsi!$D$2:$H$337,
   MATCH(1,(deskripsi!$A$2:$A$337=B1434)*
           (deskripsi!$B$2:$B$337=C1434)*
           (deskripsi!$C$2:$C$337=D1434),0),
   F1434)</f>
        <v>Kesepakatan dijalankan dengan pemantauan ketat darinya.</v>
      </c>
    </row>
    <row r="1435" spans="1:7" ht="28">
      <c r="A1435" t="str">
        <f t="shared" si="22"/>
        <v>Team Work|Director|3|4</v>
      </c>
      <c r="B1435" t="str">
        <v>Team Work</v>
      </c>
      <c r="C1435" t="str">
        <v>Director</v>
      </c>
      <c r="D1435" s="76">
        <v>3</v>
      </c>
      <c r="E1435" t="str" cm="1">
        <f t="array" ref="E1435">INDEX(aspek!$D$2:$D$337,
   MATCH(1,(aspek!$A$2:$A$337=B1435)*
           (aspek!$B$2:$B$337=C1435)*
           (aspek!$C$2:$C$337=D1435),0))</f>
        <v>Keberhasilan membangun komitmen jangka panjang</v>
      </c>
      <c r="F1435" s="76">
        <v>4</v>
      </c>
      <c r="G1435" s="56" t="str" cm="1">
        <f t="array" ref="G1435">INDEX(deskripsi!$D$2:$H$337,
   MATCH(1,(deskripsi!$A$2:$A$337=B1435)*
           (deskripsi!$B$2:$B$337=C1435)*
           (deskripsi!$C$2:$C$337=D1435),0),
   F1435)</f>
        <v>Kesepakatan tetap dijalankan minimal 4 bulan tanpa perlu dinegosiasikan ulang.</v>
      </c>
    </row>
    <row r="1436" spans="1:7" ht="28">
      <c r="A1436" t="str">
        <f t="shared" si="22"/>
        <v>Team Work|Director|3|5</v>
      </c>
      <c r="B1436" t="str">
        <v>Team Work</v>
      </c>
      <c r="C1436" t="str">
        <v>Director</v>
      </c>
      <c r="D1436" s="76">
        <v>3</v>
      </c>
      <c r="E1436" t="str" cm="1">
        <f t="array" ref="E1436">INDEX(aspek!$D$2:$D$337,
   MATCH(1,(aspek!$A$2:$A$337=B1436)*
           (aspek!$B$2:$B$337=C1436)*
           (aspek!$C$2:$C$337=D1436),0))</f>
        <v>Keberhasilan membangun komitmen jangka panjang</v>
      </c>
      <c r="F1436" s="76">
        <v>5</v>
      </c>
      <c r="G1436" s="56" t="str" cm="1">
        <f t="array" ref="G1436">INDEX(deskripsi!$D$2:$H$337,
   MATCH(1,(deskripsi!$A$2:$A$337=B1436)*
           (deskripsi!$B$2:$B$337=C1436)*
           (deskripsi!$C$2:$C$337=D1436),0),
   F1436)</f>
        <v>Kesepakatan menjadi mekanisme kolaborasi permanen antar unit.</v>
      </c>
    </row>
    <row r="1437" spans="1:7" ht="28">
      <c r="A1437" t="str">
        <f t="shared" si="22"/>
        <v>Team Work|Director|4|1</v>
      </c>
      <c r="B1437" t="str">
        <v>Team Work</v>
      </c>
      <c r="C1437" t="str">
        <v>Director</v>
      </c>
      <c r="D1437" s="76">
        <v>4</v>
      </c>
      <c r="E1437" t="str" cm="1">
        <f t="array" ref="E1437">INDEX(aspek!$D$2:$D$337,
   MATCH(1,(aspek!$A$2:$A$337=B1437)*
           (aspek!$B$2:$B$337=C1437)*
           (aspek!$C$2:$C$337=D1437),0))</f>
        <v>Membangun kolaborasi baru lintas divisi</v>
      </c>
      <c r="F1437" s="76">
        <v>1</v>
      </c>
      <c r="G1437" s="56" t="str" cm="1">
        <f t="array" ref="G1437">INDEX(deskripsi!$D$2:$H$337,
   MATCH(1,(deskripsi!$A$2:$A$337=B1437)*
           (deskripsi!$B$2:$B$337=C1437)*
           (deskripsi!$C$2:$C$337=D1437),0),
   F1437)</f>
        <v>Tidak menginisiasi kolaborasi antar divisi yang tidak berkaitan langsung.</v>
      </c>
    </row>
    <row r="1438" spans="1:7">
      <c r="A1438" t="str">
        <f t="shared" si="22"/>
        <v>Team Work|Director|4|2</v>
      </c>
      <c r="B1438" t="str">
        <v>Team Work</v>
      </c>
      <c r="C1438" t="str">
        <v>Director</v>
      </c>
      <c r="D1438" s="76">
        <v>4</v>
      </c>
      <c r="E1438" t="str" cm="1">
        <f t="array" ref="E1438">INDEX(aspek!$D$2:$D$337,
   MATCH(1,(aspek!$A$2:$A$337=B1438)*
           (aspek!$B$2:$B$337=C1438)*
           (aspek!$C$2:$C$337=D1438),0))</f>
        <v>Membangun kolaborasi baru lintas divisi</v>
      </c>
      <c r="F1438" s="76">
        <v>2</v>
      </c>
      <c r="G1438" s="56" t="str" cm="1">
        <f t="array" ref="G1438">INDEX(deskripsi!$D$2:$H$337,
   MATCH(1,(deskripsi!$A$2:$A$337=B1438)*
           (deskripsi!$B$2:$B$337=C1438)*
           (deskripsi!$C$2:$C$337=D1438),0),
   F1438)</f>
        <v>Mengusulkan kolaborasi, tidak pernah terlaksana.</v>
      </c>
    </row>
    <row r="1439" spans="1:7" ht="28">
      <c r="A1439" t="str">
        <f t="shared" si="22"/>
        <v>Team Work|Director|4|3</v>
      </c>
      <c r="B1439" t="str">
        <v>Team Work</v>
      </c>
      <c r="C1439" t="str">
        <v>Director</v>
      </c>
      <c r="D1439" s="76">
        <v>4</v>
      </c>
      <c r="E1439" t="str" cm="1">
        <f t="array" ref="E1439">INDEX(aspek!$D$2:$D$337,
   MATCH(1,(aspek!$A$2:$A$337=B1439)*
           (aspek!$B$2:$B$337=C1439)*
           (aspek!$C$2:$C$337=D1439),0))</f>
        <v>Membangun kolaborasi baru lintas divisi</v>
      </c>
      <c r="F1439" s="76">
        <v>3</v>
      </c>
      <c r="G1439" s="56" t="str" cm="1">
        <f t="array" ref="G1439">INDEX(deskripsi!$D$2:$H$337,
   MATCH(1,(deskripsi!$A$2:$A$337=B1439)*
           (deskripsi!$B$2:$B$337=C1439)*
           (deskripsi!$C$2:$C$337=D1439),0),
   F1439)</f>
        <v>Memimpin kolaborasi antar divisi yang sudah punya keterkaitan tugas.</v>
      </c>
    </row>
    <row r="1440" spans="1:7" ht="42">
      <c r="A1440" t="str">
        <f t="shared" si="22"/>
        <v>Team Work|Director|4|4</v>
      </c>
      <c r="B1440" t="str">
        <v>Team Work</v>
      </c>
      <c r="C1440" t="str">
        <v>Director</v>
      </c>
      <c r="D1440" s="76">
        <v>4</v>
      </c>
      <c r="E1440" t="str" cm="1">
        <f t="array" ref="E1440">INDEX(aspek!$D$2:$D$337,
   MATCH(1,(aspek!$A$2:$A$337=B1440)*
           (aspek!$B$2:$B$337=C1440)*
           (aspek!$C$2:$C$337=D1440),0))</f>
        <v>Membangun kolaborasi baru lintas divisi</v>
      </c>
      <c r="F1440" s="76">
        <v>4</v>
      </c>
      <c r="G1440" s="56" t="str" cm="1">
        <f t="array" ref="G1440">INDEX(deskripsi!$D$2:$H$337,
   MATCH(1,(deskripsi!$A$2:$A$337=B1440)*
           (deskripsi!$B$2:$B$337=C1440)*
           (deskripsi!$C$2:$C$337=D1440),0),
   F1440)</f>
        <v>Menginisiasi dan memimpin kolaborasi antar divisi yang TIDAK memiliki keterkaitan tugas langsung, dengan dampak nyata.</v>
      </c>
    </row>
    <row r="1441" spans="1:7" ht="28">
      <c r="A1441" t="str">
        <f t="shared" si="22"/>
        <v>Team Work|Director|4|5</v>
      </c>
      <c r="B1441" t="str">
        <v>Team Work</v>
      </c>
      <c r="C1441" t="str">
        <v>Director</v>
      </c>
      <c r="D1441" s="76">
        <v>4</v>
      </c>
      <c r="E1441" t="str" cm="1">
        <f t="array" ref="E1441">INDEX(aspek!$D$2:$D$337,
   MATCH(1,(aspek!$A$2:$A$337=B1441)*
           (aspek!$B$2:$B$337=C1441)*
           (aspek!$C$2:$C$337=D1441),0))</f>
        <v>Membangun kolaborasi baru lintas divisi</v>
      </c>
      <c r="F1441" s="76">
        <v>5</v>
      </c>
      <c r="G1441" s="56" t="str" cm="1">
        <f t="array" ref="G1441">INDEX(deskripsi!$D$2:$H$337,
   MATCH(1,(deskripsi!$A$2:$A$337=B1441)*
           (deskripsi!$B$2:$B$337=C1441)*
           (deskripsi!$C$2:$C$337=D1441),0),
   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76">
        <v>1</v>
      </c>
      <c r="E1442" t="str" cm="1">
        <f t="array" ref="E1442">INDEX(aspek!$D$2:$D$337,
   MATCH(1,(aspek!$A$2:$A$337=B1442)*
           (aspek!$B$2:$B$337=C1442)*
           (aspek!$C$2:$C$337=D1442),0))</f>
        <v>Reaksi awal terhadap masukan</v>
      </c>
      <c r="F1442" s="76">
        <v>1</v>
      </c>
      <c r="G1442" s="56" t="str" cm="1">
        <f t="array" ref="G1442">INDEX(deskripsi!$D$2:$H$337,
   MATCH(1,(deskripsi!$A$2:$A$337=B1442)*
           (deskripsi!$B$2:$B$337=C1442)*
           (deskripsi!$C$2:$C$337=D1442),0),
   F1442)</f>
        <v>Membela diri, menyanggah, atau mencari alasan begitu masukan disampaikan.</v>
      </c>
    </row>
    <row r="1443" spans="1:7" ht="28">
      <c r="A1443" t="str">
        <f t="shared" si="22"/>
        <v>Communication &amp; Deal with Others|Officer|1|2</v>
      </c>
      <c r="B1443" t="str">
        <v>Communication &amp; Deal with Others</v>
      </c>
      <c r="C1443" t="str">
        <v>Officer</v>
      </c>
      <c r="D1443" s="76">
        <v>1</v>
      </c>
      <c r="E1443" t="str" cm="1">
        <f t="array" ref="E1443">INDEX(aspek!$D$2:$D$337,
   MATCH(1,(aspek!$A$2:$A$337=B1443)*
           (aspek!$B$2:$B$337=C1443)*
           (aspek!$C$2:$C$337=D1443),0))</f>
        <v>Reaksi awal terhadap masukan</v>
      </c>
      <c r="F1443" s="76">
        <v>2</v>
      </c>
      <c r="G1443" s="56" t="str" cm="1">
        <f t="array" ref="G1443">INDEX(deskripsi!$D$2:$H$337,
   MATCH(1,(deskripsi!$A$2:$A$337=B1443)*
           (deskripsi!$B$2:$B$337=C1443)*
           (deskripsi!$C$2:$C$337=D1443),0),
   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76">
        <v>1</v>
      </c>
      <c r="E1444" t="str" cm="1">
        <f t="array" ref="E1444">INDEX(aspek!$D$2:$D$337,
   MATCH(1,(aspek!$A$2:$A$337=B1444)*
           (aspek!$B$2:$B$337=C1444)*
           (aspek!$C$2:$C$337=D1444),0))</f>
        <v>Reaksi awal terhadap masukan</v>
      </c>
      <c r="F1444" s="76">
        <v>3</v>
      </c>
      <c r="G1444" s="56" t="str" cm="1">
        <f t="array" ref="G1444">INDEX(deskripsi!$D$2:$H$337,
   MATCH(1,(deskripsi!$A$2:$A$337=B1444)*
           (deskripsi!$B$2:$B$337=C1444)*
           (deskripsi!$C$2:$C$337=D1444),0),
   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76">
        <v>1</v>
      </c>
      <c r="E1445" t="str" cm="1">
        <f t="array" ref="E1445">INDEX(aspek!$D$2:$D$337,
   MATCH(1,(aspek!$A$2:$A$337=B1445)*
           (aspek!$B$2:$B$337=C1445)*
           (aspek!$C$2:$C$337=D1445),0))</f>
        <v>Reaksi awal terhadap masukan</v>
      </c>
      <c r="F1445" s="76">
        <v>4</v>
      </c>
      <c r="G1445" s="56" t="str" cm="1">
        <f t="array" ref="G1445">INDEX(deskripsi!$D$2:$H$337,
   MATCH(1,(deskripsi!$A$2:$A$337=B1445)*
           (deskripsi!$B$2:$B$337=C1445)*
           (deskripsi!$C$2:$C$337=D1445),0),
   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76">
        <v>1</v>
      </c>
      <c r="E1446" t="str" cm="1">
        <f t="array" ref="E1446">INDEX(aspek!$D$2:$D$337,
   MATCH(1,(aspek!$A$2:$A$337=B1446)*
           (aspek!$B$2:$B$337=C1446)*
           (aspek!$C$2:$C$337=D1446),0))</f>
        <v>Reaksi awal terhadap masukan</v>
      </c>
      <c r="F1446" s="76">
        <v>5</v>
      </c>
      <c r="G1446" s="56" t="str" cm="1">
        <f t="array" ref="G1446">INDEX(deskripsi!$D$2:$H$337,
   MATCH(1,(deskripsi!$A$2:$A$337=B1446)*
           (deskripsi!$B$2:$B$337=C1446)*
           (deskripsi!$C$2:$C$337=D1446),0),
   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76">
        <v>2</v>
      </c>
      <c r="E1447" t="str" cm="1">
        <f t="array" ref="E1447">INDEX(aspek!$D$2:$D$337,
   MATCH(1,(aspek!$A$2:$A$337=B1447)*
           (aspek!$B$2:$B$337=C1447)*
           (aspek!$C$2:$C$337=D1447),0))</f>
        <v>Ketepatan memahami masukan</v>
      </c>
      <c r="F1447" s="76">
        <v>1</v>
      </c>
      <c r="G1447" s="56" t="str" cm="1">
        <f t="array" ref="G1447">INDEX(deskripsi!$D$2:$H$337,
   MATCH(1,(deskripsi!$A$2:$A$337=B1447)*
           (deskripsi!$B$2:$B$337=C1447)*
           (deskripsi!$C$2:$C$337=D1447),0),
   F1447)</f>
        <v>Salah menangkap maksud masukan atau menganggapnya sebagai serangan pribadi.</v>
      </c>
    </row>
    <row r="1448" spans="1:7" ht="28">
      <c r="A1448" t="str">
        <f t="shared" si="22"/>
        <v>Communication &amp; Deal with Others|Officer|2|2</v>
      </c>
      <c r="B1448" t="str">
        <v>Communication &amp; Deal with Others</v>
      </c>
      <c r="C1448" t="str">
        <v>Officer</v>
      </c>
      <c r="D1448" s="76">
        <v>2</v>
      </c>
      <c r="E1448" t="str" cm="1">
        <f t="array" ref="E1448">INDEX(aspek!$D$2:$D$337,
   MATCH(1,(aspek!$A$2:$A$337=B1448)*
           (aspek!$B$2:$B$337=C1448)*
           (aspek!$C$2:$C$337=D1448),0))</f>
        <v>Ketepatan memahami masukan</v>
      </c>
      <c r="F1448" s="76">
        <v>2</v>
      </c>
      <c r="G1448" s="56" t="str" cm="1">
        <f t="array" ref="G1448">INDEX(deskripsi!$D$2:$H$337,
   MATCH(1,(deskripsi!$A$2:$A$337=B1448)*
           (deskripsi!$B$2:$B$337=C1448)*
           (deskripsi!$C$2:$C$337=D1448),0),
   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76">
        <v>2</v>
      </c>
      <c r="E1449" t="str" cm="1">
        <f t="array" ref="E1449">INDEX(aspek!$D$2:$D$337,
   MATCH(1,(aspek!$A$2:$A$337=B1449)*
           (aspek!$B$2:$B$337=C1449)*
           (aspek!$C$2:$C$337=D1449),0))</f>
        <v>Ketepatan memahami masukan</v>
      </c>
      <c r="F1449" s="76">
        <v>3</v>
      </c>
      <c r="G1449" s="56" t="str" cm="1">
        <f t="array" ref="G1449">INDEX(deskripsi!$D$2:$H$337,
   MATCH(1,(deskripsi!$A$2:$A$337=B1449)*
           (deskripsi!$B$2:$B$337=C1449)*
           (deskripsi!$C$2:$C$337=D1449),0),
   F1449)</f>
        <v>Menangkap inti masukan dengan benar bila disampaikan secara jelas dan langsung.</v>
      </c>
    </row>
    <row r="1450" spans="1:7" ht="28">
      <c r="A1450" t="str">
        <f t="shared" si="22"/>
        <v>Communication &amp; Deal with Others|Officer|2|4</v>
      </c>
      <c r="B1450" t="str">
        <v>Communication &amp; Deal with Others</v>
      </c>
      <c r="C1450" t="str">
        <v>Officer</v>
      </c>
      <c r="D1450" s="76">
        <v>2</v>
      </c>
      <c r="E1450" t="str" cm="1">
        <f t="array" ref="E1450">INDEX(aspek!$D$2:$D$337,
   MATCH(1,(aspek!$A$2:$A$337=B1450)*
           (aspek!$B$2:$B$337=C1450)*
           (aspek!$C$2:$C$337=D1450),0))</f>
        <v>Ketepatan memahami masukan</v>
      </c>
      <c r="F1450" s="76">
        <v>4</v>
      </c>
      <c r="G1450" s="56" t="str" cm="1">
        <f t="array" ref="G1450">INDEX(deskripsi!$D$2:$H$337,
   MATCH(1,(deskripsi!$A$2:$A$337=B1450)*
           (deskripsi!$B$2:$B$337=C1450)*
           (deskripsi!$C$2:$C$337=D1450),0),
   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76">
        <v>2</v>
      </c>
      <c r="E1451" t="str" cm="1">
        <f t="array" ref="E1451">INDEX(aspek!$D$2:$D$337,
   MATCH(1,(aspek!$A$2:$A$337=B1451)*
           (aspek!$B$2:$B$337=C1451)*
           (aspek!$C$2:$C$337=D1451),0))</f>
        <v>Ketepatan memahami masukan</v>
      </c>
      <c r="F1451" s="76">
        <v>5</v>
      </c>
      <c r="G1451" s="56" t="str" cm="1">
        <f t="array" ref="G1451">INDEX(deskripsi!$D$2:$H$337,
   MATCH(1,(deskripsi!$A$2:$A$337=B1451)*
           (deskripsi!$B$2:$B$337=C1451)*
           (deskripsi!$C$2:$C$337=D1451),0),
   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76">
        <v>3</v>
      </c>
      <c r="E1452" t="str" cm="1">
        <f t="array" ref="E1452">INDEX(aspek!$D$2:$D$337,
   MATCH(1,(aspek!$A$2:$A$337=B1452)*
           (aspek!$B$2:$B$337=C1452)*
           (aspek!$C$2:$C$337=D1452),0))</f>
        <v>Tindak lanjut setelah menerima</v>
      </c>
      <c r="F1452" s="76">
        <v>1</v>
      </c>
      <c r="G1452" s="56" t="str" cm="1">
        <f t="array" ref="G1452">INDEX(deskripsi!$D$2:$H$337,
   MATCH(1,(deskripsi!$A$2:$A$337=B1452)*
           (deskripsi!$B$2:$B$337=C1452)*
           (deskripsi!$C$2:$C$337=D1452),0),
   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76">
        <v>3</v>
      </c>
      <c r="E1453" t="str" cm="1">
        <f t="array" ref="E1453">INDEX(aspek!$D$2:$D$337,
   MATCH(1,(aspek!$A$2:$A$337=B1453)*
           (aspek!$B$2:$B$337=C1453)*
           (aspek!$C$2:$C$337=D1453),0))</f>
        <v>Tindak lanjut setelah menerima</v>
      </c>
      <c r="F1453" s="76">
        <v>2</v>
      </c>
      <c r="G1453" s="56" t="str" cm="1">
        <f t="array" ref="G1453">INDEX(deskripsi!$D$2:$H$337,
   MATCH(1,(deskripsi!$A$2:$A$337=B1453)*
           (deskripsi!$B$2:$B$337=C1453)*
           (deskripsi!$C$2:$C$337=D1453),0),
   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76">
        <v>3</v>
      </c>
      <c r="E1454" t="str" cm="1">
        <f t="array" ref="E1454">INDEX(aspek!$D$2:$D$337,
   MATCH(1,(aspek!$A$2:$A$337=B1454)*
           (aspek!$B$2:$B$337=C1454)*
           (aspek!$C$2:$C$337=D1454),0))</f>
        <v>Tindak lanjut setelah menerima</v>
      </c>
      <c r="F1454" s="76">
        <v>3</v>
      </c>
      <c r="G1454" s="56" t="str" cm="1">
        <f t="array" ref="G1454">INDEX(deskripsi!$D$2:$H$337,
   MATCH(1,(deskripsi!$A$2:$A$337=B1454)*
           (deskripsi!$B$2:$B$337=C1454)*
           (deskripsi!$C$2:$C$337=D1454),0),
   F1454)</f>
        <v>Melakukan perbaikan atas masukan yang jelas dan mudah dilakukan.</v>
      </c>
    </row>
    <row r="1455" spans="1:7" ht="42">
      <c r="A1455" t="str">
        <f t="shared" si="22"/>
        <v>Communication &amp; Deal with Others|Officer|3|4</v>
      </c>
      <c r="B1455" t="str">
        <v>Communication &amp; Deal with Others</v>
      </c>
      <c r="C1455" t="str">
        <v>Officer</v>
      </c>
      <c r="D1455" s="76">
        <v>3</v>
      </c>
      <c r="E1455" t="str" cm="1">
        <f t="array" ref="E1455">INDEX(aspek!$D$2:$D$337,
   MATCH(1,(aspek!$A$2:$A$337=B1455)*
           (aspek!$B$2:$B$337=C1455)*
           (aspek!$C$2:$C$337=D1455),0))</f>
        <v>Tindak lanjut setelah menerima</v>
      </c>
      <c r="F1455" s="76">
        <v>4</v>
      </c>
      <c r="G1455" s="56" t="str" cm="1">
        <f t="array" ref="G1455">INDEX(deskripsi!$D$2:$H$337,
   MATCH(1,(deskripsi!$A$2:$A$337=B1455)*
           (deskripsi!$B$2:$B$337=C1455)*
           (deskripsi!$C$2:$C$337=D1455),0),
   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76">
        <v>3</v>
      </c>
      <c r="E1456" t="str" cm="1">
        <f t="array" ref="E1456">INDEX(aspek!$D$2:$D$337,
   MATCH(1,(aspek!$A$2:$A$337=B1456)*
           (aspek!$B$2:$B$337=C1456)*
           (aspek!$C$2:$C$337=D1456),0))</f>
        <v>Tindak lanjut setelah menerima</v>
      </c>
      <c r="F1456" s="76">
        <v>5</v>
      </c>
      <c r="G1456" s="56" t="str" cm="1">
        <f t="array" ref="G1456">INDEX(deskripsi!$D$2:$H$337,
   MATCH(1,(deskripsi!$A$2:$A$337=B1456)*
           (deskripsi!$B$2:$B$337=C1456)*
           (deskripsi!$C$2:$C$337=D1456),0),
   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76">
        <v>4</v>
      </c>
      <c r="E1457" t="str" cm="1">
        <f t="array" ref="E1457">INDEX(aspek!$D$2:$D$337,
   MATCH(1,(aspek!$A$2:$A$337=B1457)*
           (aspek!$B$2:$B$337=C1457)*
           (aspek!$C$2:$C$337=D1457),0))</f>
        <v xml:space="preserve">Perlakuan terhadap pemberi masukan </v>
      </c>
      <c r="F1457" s="76">
        <v>1</v>
      </c>
      <c r="G1457" s="56" t="str" cm="1">
        <f t="array" ref="G1457">INDEX(deskripsi!$D$2:$H$337,
   MATCH(1,(deskripsi!$A$2:$A$337=B1457)*
           (deskripsi!$B$2:$B$337=C1457)*
           (deskripsi!$C$2:$C$337=D1457),0),
   F1457)</f>
        <v>Pemberi masukan merasa dihindari atau disalahkan setelah menyampaikan.</v>
      </c>
    </row>
    <row r="1458" spans="1:7" ht="28">
      <c r="A1458" t="str">
        <f t="shared" si="22"/>
        <v>Communication &amp; Deal with Others|Officer|4|2</v>
      </c>
      <c r="B1458" t="str">
        <v>Communication &amp; Deal with Others</v>
      </c>
      <c r="C1458" t="str">
        <v>Officer</v>
      </c>
      <c r="D1458" s="76">
        <v>4</v>
      </c>
      <c r="E1458" t="str" cm="1">
        <f t="array" ref="E1458">INDEX(aspek!$D$2:$D$337,
   MATCH(1,(aspek!$A$2:$A$337=B1458)*
           (aspek!$B$2:$B$337=C1458)*
           (aspek!$C$2:$C$337=D1458),0))</f>
        <v xml:space="preserve">Perlakuan terhadap pemberi masukan </v>
      </c>
      <c r="F1458" s="76">
        <v>2</v>
      </c>
      <c r="G1458" s="56" t="str" cm="1">
        <f t="array" ref="G1458">INDEX(deskripsi!$D$2:$H$337,
   MATCH(1,(deskripsi!$A$2:$A$337=B1458)*
           (deskripsi!$B$2:$B$337=C1458)*
           (deskripsi!$C$2:$C$337=D1458),0),
   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76">
        <v>4</v>
      </c>
      <c r="E1459" t="str" cm="1">
        <f t="array" ref="E1459">INDEX(aspek!$D$2:$D$337,
   MATCH(1,(aspek!$A$2:$A$337=B1459)*
           (aspek!$B$2:$B$337=C1459)*
           (aspek!$C$2:$C$337=D1459),0))</f>
        <v xml:space="preserve">Perlakuan terhadap pemberi masukan </v>
      </c>
      <c r="F1459" s="76">
        <v>3</v>
      </c>
      <c r="G1459" s="56" t="str" cm="1">
        <f t="array" ref="G1459">INDEX(deskripsi!$D$2:$H$337,
   MATCH(1,(deskripsi!$A$2:$A$337=B1459)*
           (deskripsi!$B$2:$B$337=C1459)*
           (deskripsi!$C$2:$C$337=D1459),0),
   F1459)</f>
        <v>Berterima kasih atas masukan yang diterima.</v>
      </c>
    </row>
    <row r="1460" spans="1:7" ht="42">
      <c r="A1460" t="str">
        <f t="shared" si="22"/>
        <v>Communication &amp; Deal with Others|Officer|4|4</v>
      </c>
      <c r="B1460" t="str">
        <v>Communication &amp; Deal with Others</v>
      </c>
      <c r="C1460" t="str">
        <v>Officer</v>
      </c>
      <c r="D1460" s="76">
        <v>4</v>
      </c>
      <c r="E1460" t="str" cm="1">
        <f t="array" ref="E1460">INDEX(aspek!$D$2:$D$337,
   MATCH(1,(aspek!$A$2:$A$337=B1460)*
           (aspek!$B$2:$B$337=C1460)*
           (aspek!$C$2:$C$337=D1460),0))</f>
        <v xml:space="preserve">Perlakuan terhadap pemberi masukan </v>
      </c>
      <c r="F1460" s="76">
        <v>4</v>
      </c>
      <c r="G1460" s="56" t="str" cm="1">
        <f t="array" ref="G1460">INDEX(deskripsi!$D$2:$H$337,
   MATCH(1,(deskripsi!$A$2:$A$337=B1460)*
           (deskripsi!$B$2:$B$337=C1460)*
           (deskripsi!$C$2:$C$337=D1460),0),
   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76">
        <v>4</v>
      </c>
      <c r="E1461" t="str" cm="1">
        <f t="array" ref="E1461">INDEX(aspek!$D$2:$D$337,
   MATCH(1,(aspek!$A$2:$A$337=B1461)*
           (aspek!$B$2:$B$337=C1461)*
           (aspek!$C$2:$C$337=D1461),0))</f>
        <v xml:space="preserve">Perlakuan terhadap pemberi masukan </v>
      </c>
      <c r="F1461" s="76">
        <v>5</v>
      </c>
      <c r="G1461" s="56" t="str" cm="1">
        <f t="array" ref="G1461">INDEX(deskripsi!$D$2:$H$337,
   MATCH(1,(deskripsi!$A$2:$A$337=B1461)*
           (deskripsi!$B$2:$B$337=C1461)*
           (deskripsi!$C$2:$C$337=D1461),0),
   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76">
        <v>1</v>
      </c>
      <c r="E1462" t="str" cm="1">
        <f t="array" ref="E1462">INDEX(aspek!$D$2:$D$337,
   MATCH(1,(aspek!$A$2:$A$337=B1462)*
           (aspek!$B$2:$B$337=C1462)*
           (aspek!$C$2:$C$337=D1462),0))</f>
        <v>Struktur penjelasan</v>
      </c>
      <c r="F1462" s="76">
        <v>1</v>
      </c>
      <c r="G1462" s="56" t="str" cm="1">
        <f t="array" ref="G1462">INDEX(deskripsi!$D$2:$H$337,
   MATCH(1,(deskripsi!$A$2:$A$337=B1462)*
           (deskripsi!$B$2:$B$337=C1462)*
           (deskripsi!$C$2:$C$337=D1462),0),
   F1462)</f>
        <v>Penjelasan tidak terstruktur; pendengar tidak dapat menemukan poin utamanya.</v>
      </c>
    </row>
    <row r="1463" spans="1:7" ht="28">
      <c r="A1463" t="str">
        <f t="shared" si="22"/>
        <v>Communication &amp; Deal with Others|Analyst|1|2</v>
      </c>
      <c r="B1463" t="str">
        <v>Communication &amp; Deal with Others</v>
      </c>
      <c r="C1463" t="str">
        <v>Analyst</v>
      </c>
      <c r="D1463" s="76">
        <v>1</v>
      </c>
      <c r="E1463" t="str" cm="1">
        <f t="array" ref="E1463">INDEX(aspek!$D$2:$D$337,
   MATCH(1,(aspek!$A$2:$A$337=B1463)*
           (aspek!$B$2:$B$337=C1463)*
           (aspek!$C$2:$C$337=D1463),0))</f>
        <v>Struktur penjelasan</v>
      </c>
      <c r="F1463" s="76">
        <v>2</v>
      </c>
      <c r="G1463" s="56" t="str" cm="1">
        <f t="array" ref="G1463">INDEX(deskripsi!$D$2:$H$337,
   MATCH(1,(deskripsi!$A$2:$A$337=B1463)*
           (deskripsi!$B$2:$B$337=C1463)*
           (deskripsi!$C$2:$C$337=D1463),0),
   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76">
        <v>1</v>
      </c>
      <c r="E1464" t="str" cm="1">
        <f t="array" ref="E1464">INDEX(aspek!$D$2:$D$337,
   MATCH(1,(aspek!$A$2:$A$337=B1464)*
           (aspek!$B$2:$B$337=C1464)*
           (aspek!$C$2:$C$337=D1464),0))</f>
        <v>Struktur penjelasan</v>
      </c>
      <c r="F1464" s="76">
        <v>3</v>
      </c>
      <c r="G1464" s="56" t="str" cm="1">
        <f t="array" ref="G1464">INDEX(deskripsi!$D$2:$H$337,
   MATCH(1,(deskripsi!$A$2:$A$337=B1464)*
           (deskripsi!$B$2:$B$337=C1464)*
           (deskripsi!$C$2:$C$337=D1464),0),
   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76">
        <v>1</v>
      </c>
      <c r="E1465" t="str" cm="1">
        <f t="array" ref="E1465">INDEX(aspek!$D$2:$D$337,
   MATCH(1,(aspek!$A$2:$A$337=B1465)*
           (aspek!$B$2:$B$337=C1465)*
           (aspek!$C$2:$C$337=D1465),0))</f>
        <v>Struktur penjelasan</v>
      </c>
      <c r="F1465" s="76">
        <v>4</v>
      </c>
      <c r="G1465" s="56" t="str" cm="1">
        <f t="array" ref="G1465">INDEX(deskripsi!$D$2:$H$337,
   MATCH(1,(deskripsi!$A$2:$A$337=B1465)*
           (deskripsi!$B$2:$B$337=C1465)*
           (deskripsi!$C$2:$C$337=D1465),0),
   F1465)</f>
        <v>Struktur disusun mengikuti keputusan atau tindakan yang dibutuhkan pendengar, bukan mengikuti urutan kerja penyusunnya.</v>
      </c>
    </row>
    <row r="1466" spans="1:7" ht="28">
      <c r="A1466" t="str">
        <f t="shared" si="22"/>
        <v>Communication &amp; Deal with Others|Analyst|1|5</v>
      </c>
      <c r="B1466" t="str">
        <v>Communication &amp; Deal with Others</v>
      </c>
      <c r="C1466" t="str">
        <v>Analyst</v>
      </c>
      <c r="D1466" s="76">
        <v>1</v>
      </c>
      <c r="E1466" t="str" cm="1">
        <f t="array" ref="E1466">INDEX(aspek!$D$2:$D$337,
   MATCH(1,(aspek!$A$2:$A$337=B1466)*
           (aspek!$B$2:$B$337=C1466)*
           (aspek!$C$2:$C$337=D1466),0))</f>
        <v>Struktur penjelasan</v>
      </c>
      <c r="F1466" s="76">
        <v>5</v>
      </c>
      <c r="G1466" s="56" t="str" cm="1">
        <f t="array" ref="G1466">INDEX(deskripsi!$D$2:$H$337,
   MATCH(1,(deskripsi!$A$2:$A$337=B1466)*
           (deskripsi!$B$2:$B$337=C1466)*
           (deskripsi!$C$2:$C$337=D1466),0),
   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76">
        <v>2</v>
      </c>
      <c r="E1467" t="str" cm="1">
        <f t="array" ref="E1467">INDEX(aspek!$D$2:$D$337,
   MATCH(1,(aspek!$A$2:$A$337=B1467)*
           (aspek!$B$2:$B$337=C1467)*
           (aspek!$C$2:$C$337=D1467),0))</f>
        <v>Penyesuaian terhadap audiens</v>
      </c>
      <c r="F1467" s="76">
        <v>1</v>
      </c>
      <c r="G1467" s="56" t="str" cm="1">
        <f t="array" ref="G1467">INDEX(deskripsi!$D$2:$H$337,
   MATCH(1,(deskripsi!$A$2:$A$337=B1467)*
           (deskripsi!$B$2:$B$337=C1467)*
           (deskripsi!$C$2:$C$337=D1467),0),
   F1467)</f>
        <v>Materi yang sama disampaikan dengan cara yang sama kepada siapa pun.</v>
      </c>
    </row>
    <row r="1468" spans="1:7" ht="28">
      <c r="A1468" t="str">
        <f t="shared" si="22"/>
        <v>Communication &amp; Deal with Others|Analyst|2|2</v>
      </c>
      <c r="B1468" t="str">
        <v>Communication &amp; Deal with Others</v>
      </c>
      <c r="C1468" t="str">
        <v>Analyst</v>
      </c>
      <c r="D1468" s="76">
        <v>2</v>
      </c>
      <c r="E1468" t="str" cm="1">
        <f t="array" ref="E1468">INDEX(aspek!$D$2:$D$337,
   MATCH(1,(aspek!$A$2:$A$337=B1468)*
           (aspek!$B$2:$B$337=C1468)*
           (aspek!$C$2:$C$337=D1468),0))</f>
        <v>Penyesuaian terhadap audiens</v>
      </c>
      <c r="F1468" s="76">
        <v>2</v>
      </c>
      <c r="G1468" s="56" t="str" cm="1">
        <f t="array" ref="G1468">INDEX(deskripsi!$D$2:$H$337,
   MATCH(1,(deskripsi!$A$2:$A$337=B1468)*
           (deskripsi!$B$2:$B$337=C1468)*
           (deskripsi!$C$2:$C$337=D1468),0),
   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76">
        <v>2</v>
      </c>
      <c r="E1469" t="str" cm="1">
        <f t="array" ref="E1469">INDEX(aspek!$D$2:$D$337,
   MATCH(1,(aspek!$A$2:$A$337=B1469)*
           (aspek!$B$2:$B$337=C1469)*
           (aspek!$C$2:$C$337=D1469),0))</f>
        <v>Penyesuaian terhadap audiens</v>
      </c>
      <c r="F1469" s="76">
        <v>3</v>
      </c>
      <c r="G1469" s="56" t="str" cm="1">
        <f t="array" ref="G1469">INDEX(deskripsi!$D$2:$H$337,
   MATCH(1,(deskripsi!$A$2:$A$337=B1469)*
           (deskripsi!$B$2:$B$337=C1469)*
           (deskripsi!$C$2:$C$337=D1469),0),
   F1469)</f>
        <v>Menyesuaikan bahasa dan istilah sesuai latar belakang pendengar.</v>
      </c>
    </row>
    <row r="1470" spans="1:7" ht="56">
      <c r="A1470" t="str">
        <f t="shared" si="22"/>
        <v>Communication &amp; Deal with Others|Analyst|2|4</v>
      </c>
      <c r="B1470" t="str">
        <v>Communication &amp; Deal with Others</v>
      </c>
      <c r="C1470" t="str">
        <v>Analyst</v>
      </c>
      <c r="D1470" s="76">
        <v>2</v>
      </c>
      <c r="E1470" t="str" cm="1">
        <f t="array" ref="E1470">INDEX(aspek!$D$2:$D$337,
   MATCH(1,(aspek!$A$2:$A$337=B1470)*
           (aspek!$B$2:$B$337=C1470)*
           (aspek!$C$2:$C$337=D1470),0))</f>
        <v>Penyesuaian terhadap audiens</v>
      </c>
      <c r="F1470" s="76">
        <v>4</v>
      </c>
      <c r="G1470" s="56" t="str" cm="1">
        <f t="array" ref="G1470">INDEX(deskripsi!$D$2:$H$337,
   MATCH(1,(deskripsi!$A$2:$A$337=B1470)*
           (deskripsi!$B$2:$B$337=C1470)*
           (deskripsi!$C$2:$C$337=D1470),0),
   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76">
        <v>2</v>
      </c>
      <c r="E1471" t="str" cm="1">
        <f t="array" ref="E1471">INDEX(aspek!$D$2:$D$337,
   MATCH(1,(aspek!$A$2:$A$337=B1471)*
           (aspek!$B$2:$B$337=C1471)*
           (aspek!$C$2:$C$337=D1471),0))</f>
        <v>Penyesuaian terhadap audiens</v>
      </c>
      <c r="F1471" s="76">
        <v>5</v>
      </c>
      <c r="G1471" s="56" t="str" cm="1">
        <f t="array" ref="G1471">INDEX(deskripsi!$D$2:$H$337,
   MATCH(1,(deskripsi!$A$2:$A$337=B1471)*
           (deskripsi!$B$2:$B$337=C1471)*
           (deskripsi!$C$2:$C$337=D1471),0),
   F1471)</f>
        <v>Mampu menjelaskan materi yang sama secara meyakinkan kepada audiens yang kepentingannya berbeda atau bertentangan.</v>
      </c>
    </row>
    <row r="1472" spans="1:7" ht="28">
      <c r="A1472" t="str">
        <f t="shared" si="22"/>
        <v>Communication &amp; Deal with Others|Analyst|3|1</v>
      </c>
      <c r="B1472" t="str">
        <v>Communication &amp; Deal with Others</v>
      </c>
      <c r="C1472" t="str">
        <v>Analyst</v>
      </c>
      <c r="D1472" s="76">
        <v>3</v>
      </c>
      <c r="E1472" t="str" cm="1">
        <f t="array" ref="E1472">INDEX(aspek!$D$2:$D$337,
   MATCH(1,(aspek!$A$2:$A$337=B1472)*
           (aspek!$B$2:$B$337=C1472)*
           (aspek!$C$2:$C$337=D1472),0))</f>
        <v>Menyederhanakan tanpa kehilangan makna</v>
      </c>
      <c r="F1472" s="76">
        <v>1</v>
      </c>
      <c r="G1472" s="56" t="str" cm="1">
        <f t="array" ref="G1472">INDEX(deskripsi!$D$2:$H$337,
   MATCH(1,(deskripsi!$A$2:$A$337=B1472)*
           (deskripsi!$B$2:$B$337=C1472)*
           (deskripsi!$C$2:$C$337=D1472),0),
   F1472)</f>
        <v>Menyampaikan apa adanya dengan seluruh istilah teknis, atau menyederhanakan sampai maknanya berubah.</v>
      </c>
    </row>
    <row r="1473" spans="1:7" ht="28">
      <c r="A1473" t="str">
        <f t="shared" si="22"/>
        <v>Communication &amp; Deal with Others|Analyst|3|2</v>
      </c>
      <c r="B1473" t="str">
        <v>Communication &amp; Deal with Others</v>
      </c>
      <c r="C1473" t="str">
        <v>Analyst</v>
      </c>
      <c r="D1473" s="76">
        <v>3</v>
      </c>
      <c r="E1473" t="str" cm="1">
        <f t="array" ref="E1473">INDEX(aspek!$D$2:$D$337,
   MATCH(1,(aspek!$A$2:$A$337=B1473)*
           (aspek!$B$2:$B$337=C1473)*
           (aspek!$C$2:$C$337=D1473),0))</f>
        <v>Menyederhanakan tanpa kehilangan makna</v>
      </c>
      <c r="F1473" s="76">
        <v>2</v>
      </c>
      <c r="G1473" s="56" t="str" cm="1">
        <f t="array" ref="G1473">INDEX(deskripsi!$D$2:$H$337,
   MATCH(1,(deskripsi!$A$2:$A$337=B1473)*
           (deskripsi!$B$2:$B$337=C1473)*
           (deskripsi!$C$2:$C$337=D1473),0),
   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76">
        <v>3</v>
      </c>
      <c r="E1474" t="str" cm="1">
        <f t="array" ref="E1474">INDEX(aspek!$D$2:$D$337,
   MATCH(1,(aspek!$A$2:$A$337=B1474)*
           (aspek!$B$2:$B$337=C1474)*
           (aspek!$C$2:$C$337=D1474),0))</f>
        <v>Menyederhanakan tanpa kehilangan makna</v>
      </c>
      <c r="F1474" s="76">
        <v>3</v>
      </c>
      <c r="G1474" s="56" t="str" cm="1">
        <f t="array" ref="G1474">INDEX(deskripsi!$D$2:$H$337,
   MATCH(1,(deskripsi!$A$2:$A$337=B1474)*
           (deskripsi!$B$2:$B$337=C1474)*
           (deskripsi!$C$2:$C$337=D1474),0),
   F1474)</f>
        <v>Menerjemahkan istilah teknis ke bahasa yang dapat dipahami dengan tetap menjaga arti aslinya.</v>
      </c>
    </row>
    <row r="1475" spans="1:7" ht="42">
      <c r="A1475" t="str">
        <f t="shared" ref="A1475:A1538" si="23">B1475&amp;"|"&amp;C1475&amp;"|"&amp;D1475&amp;"|"&amp;F1475</f>
        <v>Communication &amp; Deal with Others|Analyst|3|4</v>
      </c>
      <c r="B1475" t="str">
        <v>Communication &amp; Deal with Others</v>
      </c>
      <c r="C1475" t="str">
        <v>Analyst</v>
      </c>
      <c r="D1475" s="76">
        <v>3</v>
      </c>
      <c r="E1475" t="str" cm="1">
        <f t="array" ref="E1475">INDEX(aspek!$D$2:$D$337,
   MATCH(1,(aspek!$A$2:$A$337=B1475)*
           (aspek!$B$2:$B$337=C1475)*
           (aspek!$C$2:$C$337=D1475),0))</f>
        <v>Menyederhanakan tanpa kehilangan makna</v>
      </c>
      <c r="F1475" s="76">
        <v>4</v>
      </c>
      <c r="G1475" s="56" t="str" cm="1">
        <f t="array" ref="G1475">INDEX(deskripsi!$D$2:$H$337,
   MATCH(1,(deskripsi!$A$2:$A$337=B1475)*
           (deskripsi!$B$2:$B$337=C1475)*
           (deskripsi!$C$2:$C$337=D1475),0),
   F1475)</f>
        <v>Menggunakan analogi, contoh konkret, dan visual untuk menjelaskan hal rumit, sambil tetap menandai batas dan pengecualian yang wajib diketahui pendengar.</v>
      </c>
    </row>
    <row r="1476" spans="1:7" ht="28">
      <c r="A1476" t="str">
        <f t="shared" si="23"/>
        <v>Communication &amp; Deal with Others|Analyst|3|5</v>
      </c>
      <c r="B1476" t="str">
        <v>Communication &amp; Deal with Others</v>
      </c>
      <c r="C1476" t="str">
        <v>Analyst</v>
      </c>
      <c r="D1476" s="76">
        <v>3</v>
      </c>
      <c r="E1476" t="str" cm="1">
        <f t="array" ref="E1476">INDEX(aspek!$D$2:$D$337,
   MATCH(1,(aspek!$A$2:$A$337=B1476)*
           (aspek!$B$2:$B$337=C1476)*
           (aspek!$C$2:$C$337=D1476),0))</f>
        <v>Menyederhanakan tanpa kehilangan makna</v>
      </c>
      <c r="F1476" s="76">
        <v>5</v>
      </c>
      <c r="G1476" s="56" t="str" cm="1">
        <f t="array" ref="G1476">INDEX(deskripsi!$D$2:$H$337,
   MATCH(1,(deskripsi!$A$2:$A$337=B1476)*
           (deskripsi!$B$2:$B$337=C1476)*
           (deskripsi!$C$2:$C$337=D1476),0),
   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76">
        <v>4</v>
      </c>
      <c r="E1477" t="str" cm="1">
        <f t="array" ref="E1477">INDEX(aspek!$D$2:$D$337,
   MATCH(1,(aspek!$A$2:$A$337=B1477)*
           (aspek!$B$2:$B$337=C1477)*
           (aspek!$C$2:$C$337=D1477),0))</f>
        <v>Bukti pemahaman audiens</v>
      </c>
      <c r="F1477" s="76">
        <v>1</v>
      </c>
      <c r="G1477" s="56" t="str" cm="1">
        <f t="array" ref="G1477">INDEX(deskripsi!$D$2:$H$337,
   MATCH(1,(deskripsi!$A$2:$A$337=B1477)*
           (deskripsi!$B$2:$B$337=C1477)*
           (deskripsi!$C$2:$C$337=D1477),0),
   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76">
        <v>4</v>
      </c>
      <c r="E1478" t="str" cm="1">
        <f t="array" ref="E1478">INDEX(aspek!$D$2:$D$337,
   MATCH(1,(aspek!$A$2:$A$337=B1478)*
           (aspek!$B$2:$B$337=C1478)*
           (aspek!$C$2:$C$337=D1478),0))</f>
        <v>Bukti pemahaman audiens</v>
      </c>
      <c r="F1478" s="76">
        <v>2</v>
      </c>
      <c r="G1478" s="56" t="str" cm="1">
        <f t="array" ref="G1478">INDEX(deskripsi!$D$2:$H$337,
   MATCH(1,(deskripsi!$A$2:$A$337=B1478)*
           (deskripsi!$B$2:$B$337=C1478)*
           (deskripsi!$C$2:$C$337=D1478),0),
   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76">
        <v>4</v>
      </c>
      <c r="E1479" t="str" cm="1">
        <f t="array" ref="E1479">INDEX(aspek!$D$2:$D$337,
   MATCH(1,(aspek!$A$2:$A$337=B1479)*
           (aspek!$B$2:$B$337=C1479)*
           (aspek!$C$2:$C$337=D1479),0))</f>
        <v>Bukti pemahaman audiens</v>
      </c>
      <c r="F1479" s="76">
        <v>3</v>
      </c>
      <c r="G1479" s="56" t="str" cm="1">
        <f t="array" ref="G1479">INDEX(deskripsi!$D$2:$H$337,
   MATCH(1,(deskripsi!$A$2:$A$337=B1479)*
           (deskripsi!$B$2:$B$337=C1479)*
           (deskripsi!$C$2:$C$337=D1479),0),
   F1479)</f>
        <v>Pendengar memahami inti penjelasan, meski beberapa detail masih perlu ditanyakan.</v>
      </c>
    </row>
    <row r="1480" spans="1:7" ht="42">
      <c r="A1480" t="str">
        <f t="shared" si="23"/>
        <v>Communication &amp; Deal with Others|Analyst|4|4</v>
      </c>
      <c r="B1480" t="str">
        <v>Communication &amp; Deal with Others</v>
      </c>
      <c r="C1480" t="str">
        <v>Analyst</v>
      </c>
      <c r="D1480" s="76">
        <v>4</v>
      </c>
      <c r="E1480" t="str" cm="1">
        <f t="array" ref="E1480">INDEX(aspek!$D$2:$D$337,
   MATCH(1,(aspek!$A$2:$A$337=B1480)*
           (aspek!$B$2:$B$337=C1480)*
           (aspek!$C$2:$C$337=D1480),0))</f>
        <v>Bukti pemahaman audiens</v>
      </c>
      <c r="F1480" s="76">
        <v>4</v>
      </c>
      <c r="G1480" s="56" t="str" cm="1">
        <f t="array" ref="G1480">INDEX(deskripsi!$D$2:$H$337,
   MATCH(1,(deskripsi!$A$2:$A$337=B1480)*
           (deskripsi!$B$2:$B$337=C1480)*
           (deskripsi!$C$2:$C$337=D1480),0),
   F1480)</f>
        <v>Pendengar mampu menjelaskan ulang isinya dengan bahasa sendiri sesuai maksud aslinya; pertanyaan yang muncul bersifat pendalaman, bukan pengulangan.</v>
      </c>
    </row>
    <row r="1481" spans="1:7" ht="28">
      <c r="A1481" t="str">
        <f t="shared" si="23"/>
        <v>Communication &amp; Deal with Others|Analyst|4|5</v>
      </c>
      <c r="B1481" t="str">
        <v>Communication &amp; Deal with Others</v>
      </c>
      <c r="C1481" t="str">
        <v>Analyst</v>
      </c>
      <c r="D1481" s="76">
        <v>4</v>
      </c>
      <c r="E1481" t="str" cm="1">
        <f t="array" ref="E1481">INDEX(aspek!$D$2:$D$337,
   MATCH(1,(aspek!$A$2:$A$337=B1481)*
           (aspek!$B$2:$B$337=C1481)*
           (aspek!$C$2:$C$337=D1481),0))</f>
        <v>Bukti pemahaman audiens</v>
      </c>
      <c r="F1481" s="76">
        <v>5</v>
      </c>
      <c r="G1481" s="56" t="str" cm="1">
        <f t="array" ref="G1481">INDEX(deskripsi!$D$2:$H$337,
   MATCH(1,(deskripsi!$A$2:$A$337=B1481)*
           (deskripsi!$B$2:$B$337=C1481)*
           (deskripsi!$C$2:$C$337=D1481),0),
   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76">
        <v>1</v>
      </c>
      <c r="E1482" t="str" cm="1">
        <f t="array" ref="E1482">INDEX(aspek!$D$2:$D$337,
   MATCH(1,(aspek!$A$2:$A$337=B1482)*
           (aspek!$B$2:$B$337=C1482)*
           (aspek!$C$2:$C$337=D1482),0))</f>
        <v>Kedalaman pemetaan</v>
      </c>
      <c r="F1482" s="76">
        <v>1</v>
      </c>
      <c r="G1482" s="56" t="str" cm="1">
        <f t="array" ref="G1482">INDEX(deskripsi!$D$2:$H$337,
   MATCH(1,(deskripsi!$A$2:$A$337=B1482)*
           (deskripsi!$B$2:$B$337=C1482)*
           (deskripsi!$C$2:$C$337=D1482),0),
   F1482)</f>
        <v>Hanya mengetahui posisi yang dinyatakan pihak lain; tidak menelusuri apa pun di baliknya.</v>
      </c>
    </row>
    <row r="1483" spans="1:7" ht="28">
      <c r="A1483" t="str">
        <f t="shared" si="23"/>
        <v>Communication &amp; Deal with Others|Unit Head/Specialist|1|2</v>
      </c>
      <c r="B1483" t="str">
        <v>Communication &amp; Deal with Others</v>
      </c>
      <c r="C1483" t="str">
        <v>Unit Head/Specialist</v>
      </c>
      <c r="D1483" s="76">
        <v>1</v>
      </c>
      <c r="E1483" t="str" cm="1">
        <f t="array" ref="E1483">INDEX(aspek!$D$2:$D$337,
   MATCH(1,(aspek!$A$2:$A$337=B1483)*
           (aspek!$B$2:$B$337=C1483)*
           (aspek!$C$2:$C$337=D1483),0))</f>
        <v>Kedalaman pemetaan</v>
      </c>
      <c r="F1483" s="76">
        <v>2</v>
      </c>
      <c r="G1483" s="56" t="str" cm="1">
        <f t="array" ref="G1483">INDEX(deskripsi!$D$2:$H$337,
   MATCH(1,(deskripsi!$A$2:$A$337=B1483)*
           (deskripsi!$B$2:$B$337=C1483)*
           (deskripsi!$C$2:$C$337=D1483),0),
   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76">
        <v>1</v>
      </c>
      <c r="E1484" t="str" cm="1">
        <f t="array" ref="E1484">INDEX(aspek!$D$2:$D$337,
   MATCH(1,(aspek!$A$2:$A$337=B1484)*
           (aspek!$B$2:$B$337=C1484)*
           (aspek!$C$2:$C$337=D1484),0))</f>
        <v>Kedalaman pemetaan</v>
      </c>
      <c r="F1484" s="76">
        <v>3</v>
      </c>
      <c r="G1484" s="56" t="str" cm="1">
        <f t="array" ref="G1484">INDEX(deskripsi!$D$2:$H$337,
   MATCH(1,(deskripsi!$A$2:$A$337=B1484)*
           (deskripsi!$B$2:$B$337=C1484)*
           (deskripsi!$C$2:$C$337=D1484),0),
   F1484)</f>
        <v>Memahami alasan pihak lain bila alasan itu dijelaskan secara logis kepadanya.</v>
      </c>
    </row>
    <row r="1485" spans="1:7" ht="42">
      <c r="A1485" t="str">
        <f t="shared" si="23"/>
        <v>Communication &amp; Deal with Others|Unit Head/Specialist|1|4</v>
      </c>
      <c r="B1485" t="str">
        <v>Communication &amp; Deal with Others</v>
      </c>
      <c r="C1485" t="str">
        <v>Unit Head/Specialist</v>
      </c>
      <c r="D1485" s="76">
        <v>1</v>
      </c>
      <c r="E1485" t="str" cm="1">
        <f t="array" ref="E1485">INDEX(aspek!$D$2:$D$337,
   MATCH(1,(aspek!$A$2:$A$337=B1485)*
           (aspek!$B$2:$B$337=C1485)*
           (aspek!$C$2:$C$337=D1485),0))</f>
        <v>Kedalaman pemetaan</v>
      </c>
      <c r="F1485" s="76">
        <v>4</v>
      </c>
      <c r="G1485" s="56" t="str" cm="1">
        <f t="array" ref="G1485">INDEX(deskripsi!$D$2:$H$337,
   MATCH(1,(deskripsi!$A$2:$A$337=B1485)*
           (deskripsi!$B$2:$B$337=C1485)*
           (deskripsi!$C$2:$C$337=D1485),0),
   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76">
        <v>1</v>
      </c>
      <c r="E1486" t="str" cm="1">
        <f t="array" ref="E1486">INDEX(aspek!$D$2:$D$337,
   MATCH(1,(aspek!$A$2:$A$337=B1486)*
           (aspek!$B$2:$B$337=C1486)*
           (aspek!$C$2:$C$337=D1486),0))</f>
        <v>Kedalaman pemetaan</v>
      </c>
      <c r="F1486" s="76">
        <v>5</v>
      </c>
      <c r="G1486" s="56" t="str" cm="1">
        <f t="array" ref="G1486">INDEX(deskripsi!$D$2:$H$337,
   MATCH(1,(deskripsi!$A$2:$A$337=B1486)*
           (deskripsi!$B$2:$B$337=C1486)*
           (deskripsi!$C$2:$C$337=D1486),0),
   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76">
        <v>2</v>
      </c>
      <c r="E1487" t="str" cm="1">
        <f t="array" ref="E1487">INDEX(aspek!$D$2:$D$337,
   MATCH(1,(aspek!$A$2:$A$337=B1487)*
           (aspek!$B$2:$B$337=C1487)*
           (aspek!$C$2:$C$337=D1487),0))</f>
        <v>Ketahanan pada perspektif orang lain</v>
      </c>
      <c r="F1487" s="76">
        <v>1</v>
      </c>
      <c r="G1487" s="56" t="str" cm="1">
        <f t="array" ref="G1487">INDEX(deskripsi!$D$2:$H$337,
   MATCH(1,(deskripsi!$A$2:$A$337=B1487)*
           (deskripsi!$B$2:$B$337=C1487)*
           (deskripsi!$C$2:$C$337=D1487),0),
   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76">
        <v>2</v>
      </c>
      <c r="E1488" t="str" cm="1">
        <f t="array" ref="E1488">INDEX(aspek!$D$2:$D$337,
   MATCH(1,(aspek!$A$2:$A$337=B1488)*
           (aspek!$B$2:$B$337=C1488)*
           (aspek!$C$2:$C$337=D1488),0))</f>
        <v>Ketahanan pada perspektif orang lain</v>
      </c>
      <c r="F1488" s="76">
        <v>2</v>
      </c>
      <c r="G1488" s="56" t="str" cm="1">
        <f t="array" ref="G1488">INDEX(deskripsi!$D$2:$H$337,
   MATCH(1,(deskripsi!$A$2:$A$337=B1488)*
           (deskripsi!$B$2:$B$337=C1488)*
           (deskripsi!$C$2:$C$337=D1488),0),
   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76">
        <v>2</v>
      </c>
      <c r="E1489" t="str" cm="1">
        <f t="array" ref="E1489">INDEX(aspek!$D$2:$D$337,
   MATCH(1,(aspek!$A$2:$A$337=B1489)*
           (aspek!$B$2:$B$337=C1489)*
           (aspek!$C$2:$C$337=D1489),0))</f>
        <v>Ketahanan pada perspektif orang lain</v>
      </c>
      <c r="F1489" s="76">
        <v>3</v>
      </c>
      <c r="G1489" s="56" t="str" cm="1">
        <f t="array" ref="G1489">INDEX(deskripsi!$D$2:$H$337,
   MATCH(1,(deskripsi!$A$2:$A$337=B1489)*
           (deskripsi!$B$2:$B$337=C1489)*
           (deskripsi!$C$2:$C$337=D1489),0),
   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76">
        <v>2</v>
      </c>
      <c r="E1490" t="str" cm="1">
        <f t="array" ref="E1490">INDEX(aspek!$D$2:$D$337,
   MATCH(1,(aspek!$A$2:$A$337=B1490)*
           (aspek!$B$2:$B$337=C1490)*
           (aspek!$C$2:$C$337=D1490),0))</f>
        <v>Ketahanan pada perspektif orang lain</v>
      </c>
      <c r="F1490" s="76">
        <v>4</v>
      </c>
      <c r="G1490" s="56" t="str" cm="1">
        <f t="array" ref="G1490">INDEX(deskripsi!$D$2:$H$337,
   MATCH(1,(deskripsi!$A$2:$A$337=B1490)*
           (deskripsi!$B$2:$B$337=C1490)*
           (deskripsi!$C$2:$C$337=D1490),0),
   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76">
        <v>2</v>
      </c>
      <c r="E1491" t="str" cm="1">
        <f t="array" ref="E1491">INDEX(aspek!$D$2:$D$337,
   MATCH(1,(aspek!$A$2:$A$337=B1491)*
           (aspek!$B$2:$B$337=C1491)*
           (aspek!$C$2:$C$337=D1491),0))</f>
        <v>Ketahanan pada perspektif orang lain</v>
      </c>
      <c r="F1491" s="76">
        <v>5</v>
      </c>
      <c r="G1491" s="56" t="str" cm="1">
        <f t="array" ref="G1491">INDEX(deskripsi!$D$2:$H$337,
   MATCH(1,(deskripsi!$A$2:$A$337=B1491)*
           (deskripsi!$B$2:$B$337=C1491)*
           (deskripsi!$C$2:$C$337=D1491),0),
   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76">
        <v>3</v>
      </c>
      <c r="E1492" t="str" cm="1">
        <f t="array" ref="E1492">INDEX(aspek!$D$2:$D$337,
   MATCH(1,(aspek!$A$2:$A$337=B1492)*
           (aspek!$B$2:$B$337=C1492)*
           (aspek!$C$2:$C$337=D1492),0))</f>
        <v>Memisahkan memahami dari menyetuju</v>
      </c>
      <c r="F1492" s="76">
        <v>1</v>
      </c>
      <c r="G1492" s="56" t="str" cm="1">
        <f t="array" ref="G1492">INDEX(deskripsi!$D$2:$H$337,
   MATCH(1,(deskripsi!$A$2:$A$337=B1492)*
           (deskripsi!$B$2:$B$337=C1492)*
           (deskripsi!$C$2:$C$337=D1492),0),
   F1492)</f>
        <v>Menganggap menggali sudut pandang lain sebagai tanda mengalah, sehingga menghindarinya.</v>
      </c>
    </row>
    <row r="1493" spans="1:7" ht="28">
      <c r="A1493" t="str">
        <f t="shared" si="23"/>
        <v>Communication &amp; Deal with Others|Unit Head/Specialist|3|2</v>
      </c>
      <c r="B1493" t="str">
        <v>Communication &amp; Deal with Others</v>
      </c>
      <c r="C1493" t="str">
        <v>Unit Head/Specialist</v>
      </c>
      <c r="D1493" s="76">
        <v>3</v>
      </c>
      <c r="E1493" t="str" cm="1">
        <f t="array" ref="E1493">INDEX(aspek!$D$2:$D$337,
   MATCH(1,(aspek!$A$2:$A$337=B1493)*
           (aspek!$B$2:$B$337=C1493)*
           (aspek!$C$2:$C$337=D1493),0))</f>
        <v>Memisahkan memahami dari menyetuju</v>
      </c>
      <c r="F1493" s="76">
        <v>2</v>
      </c>
      <c r="G1493" s="56" t="str" cm="1">
        <f t="array" ref="G1493">INDEX(deskripsi!$D$2:$H$337,
   MATCH(1,(deskripsi!$A$2:$A$337=B1493)*
           (deskripsi!$B$2:$B$337=C1493)*
           (deskripsi!$C$2:$C$337=D1493),0),
   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76">
        <v>3</v>
      </c>
      <c r="E1494" t="str" cm="1">
        <f t="array" ref="E1494">INDEX(aspek!$D$2:$D$337,
   MATCH(1,(aspek!$A$2:$A$337=B1494)*
           (aspek!$B$2:$B$337=C1494)*
           (aspek!$C$2:$C$337=D1494),0))</f>
        <v>Memisahkan memahami dari menyetuju</v>
      </c>
      <c r="F1494" s="76">
        <v>3</v>
      </c>
      <c r="G1494" s="56" t="str" cm="1">
        <f t="array" ref="G1494">INDEX(deskripsi!$D$2:$H$337,
   MATCH(1,(deskripsi!$A$2:$A$337=B1494)*
           (deskripsi!$B$2:$B$337=C1494)*
           (deskripsi!$C$2:$C$337=D1494),0),
   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76">
        <v>3</v>
      </c>
      <c r="E1495" t="str" cm="1">
        <f t="array" ref="E1495">INDEX(aspek!$D$2:$D$337,
   MATCH(1,(aspek!$A$2:$A$337=B1495)*
           (aspek!$B$2:$B$337=C1495)*
           (aspek!$C$2:$C$337=D1495),0))</f>
        <v>Memisahkan memahami dari menyetuju</v>
      </c>
      <c r="F1495" s="76">
        <v>4</v>
      </c>
      <c r="G1495" s="56" t="str" cm="1">
        <f t="array" ref="G1495">INDEX(deskripsi!$D$2:$H$337,
   MATCH(1,(deskripsi!$A$2:$A$337=B1495)*
           (deskripsi!$B$2:$B$337=C1495)*
           (deskripsi!$C$2:$C$337=D1495),0),
   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76">
        <v>3</v>
      </c>
      <c r="E1496" t="str" cm="1">
        <f t="array" ref="E1496">INDEX(aspek!$D$2:$D$337,
   MATCH(1,(aspek!$A$2:$A$337=B1496)*
           (aspek!$B$2:$B$337=C1496)*
           (aspek!$C$2:$C$337=D1496),0))</f>
        <v>Memisahkan memahami dari menyetuju</v>
      </c>
      <c r="F1496" s="76">
        <v>5</v>
      </c>
      <c r="G1496" s="56" t="str" cm="1">
        <f t="array" ref="G1496">INDEX(deskripsi!$D$2:$H$337,
   MATCH(1,(deskripsi!$A$2:$A$337=B1496)*
           (deskripsi!$B$2:$B$337=C1496)*
           (deskripsi!$C$2:$C$337=D1496),0),
   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76">
        <v>4</v>
      </c>
      <c r="E1497" t="str" cm="1">
        <f t="array" ref="E1497">INDEX(aspek!$D$2:$D$337,
   MATCH(1,(aspek!$A$2:$A$337=B1497)*
           (aspek!$B$2:$B$337=C1497)*
           (aspek!$C$2:$C$337=D1497),0))</f>
        <v>Bukti ketepatan dari pihak yang dipetakan</v>
      </c>
      <c r="F1497" s="76">
        <v>1</v>
      </c>
      <c r="G1497" s="56" t="str" cm="1">
        <f t="array" ref="G1497">INDEX(deskripsi!$D$2:$H$337,
   MATCH(1,(deskripsi!$A$2:$A$337=B1497)*
           (deskripsi!$B$2:$B$337=C1497)*
           (deskripsi!$C$2:$C$337=D1497),0),
   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76">
        <v>4</v>
      </c>
      <c r="E1498" t="str" cm="1">
        <f t="array" ref="E1498">INDEX(aspek!$D$2:$D$337,
   MATCH(1,(aspek!$A$2:$A$337=B1498)*
           (aspek!$B$2:$B$337=C1498)*
           (aspek!$C$2:$C$337=D1498),0))</f>
        <v>Bukti ketepatan dari pihak yang dipetakan</v>
      </c>
      <c r="F1498" s="76">
        <v>2</v>
      </c>
      <c r="G1498" s="56" t="str" cm="1">
        <f t="array" ref="G1498">INDEX(deskripsi!$D$2:$H$337,
   MATCH(1,(deskripsi!$A$2:$A$337=B1498)*
           (deskripsi!$B$2:$B$337=C1498)*
           (deskripsi!$C$2:$C$337=D1498),0),
   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76">
        <v>4</v>
      </c>
      <c r="E1499" t="str" cm="1">
        <f t="array" ref="E1499">INDEX(aspek!$D$2:$D$337,
   MATCH(1,(aspek!$A$2:$A$337=B1499)*
           (aspek!$B$2:$B$337=C1499)*
           (aspek!$C$2:$C$337=D1499),0))</f>
        <v>Bukti ketepatan dari pihak yang dipetakan</v>
      </c>
      <c r="F1499" s="76">
        <v>3</v>
      </c>
      <c r="G1499" s="56" t="str" cm="1">
        <f t="array" ref="G1499">INDEX(deskripsi!$D$2:$H$337,
   MATCH(1,(deskripsi!$A$2:$A$337=B1499)*
           (deskripsi!$B$2:$B$337=C1499)*
           (deskripsi!$C$2:$C$337=D1499),0),
   F1499)</f>
        <v>Pihak lain membenarkan rumusan peserta secara garis besar, dengan beberapa koreksi.</v>
      </c>
    </row>
    <row r="1500" spans="1:7" ht="42">
      <c r="A1500" t="str">
        <f t="shared" si="23"/>
        <v>Communication &amp; Deal with Others|Unit Head/Specialist|4|4</v>
      </c>
      <c r="B1500" t="str">
        <v>Communication &amp; Deal with Others</v>
      </c>
      <c r="C1500" t="str">
        <v>Unit Head/Specialist</v>
      </c>
      <c r="D1500" s="76">
        <v>4</v>
      </c>
      <c r="E1500" t="str" cm="1">
        <f t="array" ref="E1500">INDEX(aspek!$D$2:$D$337,
   MATCH(1,(aspek!$A$2:$A$337=B1500)*
           (aspek!$B$2:$B$337=C1500)*
           (aspek!$C$2:$C$337=D1500),0))</f>
        <v>Bukti ketepatan dari pihak yang dipetakan</v>
      </c>
      <c r="F1500" s="76">
        <v>4</v>
      </c>
      <c r="G1500" s="56" t="str" cm="1">
        <f t="array" ref="G1500">INDEX(deskripsi!$D$2:$H$337,
   MATCH(1,(deskripsi!$A$2:$A$337=B1500)*
           (deskripsi!$B$2:$B$337=C1500)*
           (deskripsi!$C$2:$C$337=D1500),0),
   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76">
        <v>4</v>
      </c>
      <c r="E1501" t="str" cm="1">
        <f t="array" ref="E1501">INDEX(aspek!$D$2:$D$337,
   MATCH(1,(aspek!$A$2:$A$337=B1501)*
           (aspek!$B$2:$B$337=C1501)*
           (aspek!$C$2:$C$337=D1501),0))</f>
        <v>Bukti ketepatan dari pihak yang dipetakan</v>
      </c>
      <c r="F1501" s="76">
        <v>5</v>
      </c>
      <c r="G1501" s="56" t="str" cm="1">
        <f t="array" ref="G1501">INDEX(deskripsi!$D$2:$H$337,
   MATCH(1,(deskripsi!$A$2:$A$337=B1501)*
           (deskripsi!$B$2:$B$337=C1501)*
           (deskripsi!$C$2:$C$337=D1501),0),
   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76">
        <v>1</v>
      </c>
      <c r="E1502" t="str" cm="1">
        <f t="array" ref="E1502">INDEX(aspek!$D$2:$D$337,
   MATCH(1,(aspek!$A$2:$A$337=B1502)*
           (aspek!$B$2:$B$337=C1502)*
           (aspek!$C$2:$C$337=D1502),0))</f>
        <v>Keberanian menghadapi</v>
      </c>
      <c r="F1502" s="76">
        <v>1</v>
      </c>
      <c r="G1502" s="56" t="str" cm="1">
        <f t="array" ref="G1502">INDEX(deskripsi!$D$2:$H$337,
   MATCH(1,(deskripsi!$A$2:$A$337=B1502)*
           (deskripsi!$B$2:$B$337=C1502)*
           (deskripsi!$C$2:$C$337=D1502),0),
   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76">
        <v>1</v>
      </c>
      <c r="E1503" t="str" cm="1">
        <f t="array" ref="E1503">INDEX(aspek!$D$2:$D$337,
   MATCH(1,(aspek!$A$2:$A$337=B1503)*
           (aspek!$B$2:$B$337=C1503)*
           (aspek!$C$2:$C$337=D1503),0))</f>
        <v>Keberanian menghadapi</v>
      </c>
      <c r="F1503" s="76">
        <v>2</v>
      </c>
      <c r="G1503" s="56" t="str" cm="1">
        <f t="array" ref="G1503">INDEX(deskripsi!$D$2:$H$337,
   MATCH(1,(deskripsi!$A$2:$A$337=B1503)*
           (deskripsi!$B$2:$B$337=C1503)*
           (deskripsi!$C$2:$C$337=D1503),0),
   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76">
        <v>1</v>
      </c>
      <c r="E1504" t="str" cm="1">
        <f t="array" ref="E1504">INDEX(aspek!$D$2:$D$337,
   MATCH(1,(aspek!$A$2:$A$337=B1504)*
           (aspek!$B$2:$B$337=C1504)*
           (aspek!$C$2:$C$337=D1504),0))</f>
        <v>Keberanian menghadapi</v>
      </c>
      <c r="F1504" s="76">
        <v>3</v>
      </c>
      <c r="G1504" s="56" t="str" cm="1">
        <f t="array" ref="G1504">INDEX(deskripsi!$D$2:$H$337,
   MATCH(1,(deskripsi!$A$2:$A$337=B1504)*
           (deskripsi!$B$2:$B$337=C1504)*
           (deskripsi!$C$2:$C$337=D1504),0),
   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76">
        <v>1</v>
      </c>
      <c r="E1505" t="str" cm="1">
        <f t="array" ref="E1505">INDEX(aspek!$D$2:$D$337,
   MATCH(1,(aspek!$A$2:$A$337=B1505)*
           (aspek!$B$2:$B$337=C1505)*
           (aspek!$C$2:$C$337=D1505),0))</f>
        <v>Keberanian menghadapi</v>
      </c>
      <c r="F1505" s="76">
        <v>4</v>
      </c>
      <c r="G1505" s="56" t="str" cm="1">
        <f t="array" ref="G1505">INDEX(deskripsi!$D$2:$H$337,
   MATCH(1,(deskripsi!$A$2:$A$337=B1505)*
           (deskripsi!$B$2:$B$337=C1505)*
           (deskripsi!$C$2:$C$337=D1505),0),
   F1505)</f>
        <v>Menghadapi perbedaan kepentingan sejak dini, termasuk dengan pihak yang lebih senior dan ketika ada risiko bagi posisinya sendiri.</v>
      </c>
    </row>
    <row r="1506" spans="1:7" ht="28">
      <c r="A1506" t="str">
        <f t="shared" si="23"/>
        <v>Communication &amp; Deal with Others|Department Head|1|5</v>
      </c>
      <c r="B1506" t="str">
        <v>Communication &amp; Deal with Others</v>
      </c>
      <c r="C1506" t="str">
        <v>Department Head</v>
      </c>
      <c r="D1506" s="76">
        <v>1</v>
      </c>
      <c r="E1506" t="str" cm="1">
        <f t="array" ref="E1506">INDEX(aspek!$D$2:$D$337,
   MATCH(1,(aspek!$A$2:$A$337=B1506)*
           (aspek!$B$2:$B$337=C1506)*
           (aspek!$C$2:$C$337=D1506),0))</f>
        <v>Keberanian menghadapi</v>
      </c>
      <c r="F1506" s="76">
        <v>5</v>
      </c>
      <c r="G1506" s="56" t="str" cm="1">
        <f t="array" ref="G1506">INDEX(deskripsi!$D$2:$H$337,
   MATCH(1,(deskripsi!$A$2:$A$337=B1506)*
           (deskripsi!$B$2:$B$337=C1506)*
           (deskripsi!$C$2:$C$337=D1506),0),
   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76">
        <v>2</v>
      </c>
      <c r="E1507" t="str" cm="1">
        <f t="array" ref="E1507">INDEX(aspek!$D$2:$D$337,
   MATCH(1,(aspek!$A$2:$A$337=B1507)*
           (aspek!$B$2:$B$337=C1507)*
           (aspek!$C$2:$C$337=D1507),0))</f>
        <v>Pengendalian diri dalam konflik</v>
      </c>
      <c r="F1507" s="76">
        <v>1</v>
      </c>
      <c r="G1507" s="56" t="str" cm="1">
        <f t="array" ref="G1507">INDEX(deskripsi!$D$2:$H$337,
   MATCH(1,(deskripsi!$A$2:$A$337=B1507)*
           (deskripsi!$B$2:$B$337=C1507)*
           (deskripsi!$C$2:$C$337=D1507),0),
   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76">
        <v>2</v>
      </c>
      <c r="E1508" t="str" cm="1">
        <f t="array" ref="E1508">INDEX(aspek!$D$2:$D$337,
   MATCH(1,(aspek!$A$2:$A$337=B1508)*
           (aspek!$B$2:$B$337=C1508)*
           (aspek!$C$2:$C$337=D1508),0))</f>
        <v>Pengendalian diri dalam konflik</v>
      </c>
      <c r="F1508" s="76">
        <v>2</v>
      </c>
      <c r="G1508" s="56" t="str" cm="1">
        <f t="array" ref="G1508">INDEX(deskripsi!$D$2:$H$337,
   MATCH(1,(deskripsi!$A$2:$A$337=B1508)*
           (deskripsi!$B$2:$B$337=C1508)*
           (deskripsi!$C$2:$C$337=D1508),0),
   F1508)</f>
        <v>Menyadari dirinya terpancing, tetapi baru setelah reaksinya terlanjur keluar.</v>
      </c>
    </row>
    <row r="1509" spans="1:7" ht="28">
      <c r="A1509" t="str">
        <f t="shared" si="23"/>
        <v>Communication &amp; Deal with Others|Department Head|2|3</v>
      </c>
      <c r="B1509" t="str">
        <v>Communication &amp; Deal with Others</v>
      </c>
      <c r="C1509" t="str">
        <v>Department Head</v>
      </c>
      <c r="D1509" s="76">
        <v>2</v>
      </c>
      <c r="E1509" t="str" cm="1">
        <f t="array" ref="E1509">INDEX(aspek!$D$2:$D$337,
   MATCH(1,(aspek!$A$2:$A$337=B1509)*
           (aspek!$B$2:$B$337=C1509)*
           (aspek!$C$2:$C$337=D1509),0))</f>
        <v>Pengendalian diri dalam konflik</v>
      </c>
      <c r="F1509" s="76">
        <v>3</v>
      </c>
      <c r="G1509" s="56" t="str" cm="1">
        <f t="array" ref="G1509">INDEX(deskripsi!$D$2:$H$337,
   MATCH(1,(deskripsi!$A$2:$A$337=B1509)*
           (deskripsi!$B$2:$B$337=C1509)*
           (deskripsi!$C$2:$C$337=D1509),0),
   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76">
        <v>2</v>
      </c>
      <c r="E1510" t="str" cm="1">
        <f t="array" ref="E1510">INDEX(aspek!$D$2:$D$337,
   MATCH(1,(aspek!$A$2:$A$337=B1510)*
           (aspek!$B$2:$B$337=C1510)*
           (aspek!$C$2:$C$337=D1510),0))</f>
        <v>Pengendalian diri dalam konflik</v>
      </c>
      <c r="F1510" s="76">
        <v>4</v>
      </c>
      <c r="G1510" s="56" t="str" cm="1">
        <f t="array" ref="G1510">INDEX(deskripsi!$D$2:$H$337,
   MATCH(1,(deskripsi!$A$2:$A$337=B1510)*
           (deskripsi!$B$2:$B$337=C1510)*
           (deskripsi!$C$2:$C$337=D1510),0),
   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76">
        <v>2</v>
      </c>
      <c r="E1511" t="str" cm="1">
        <f t="array" ref="E1511">INDEX(aspek!$D$2:$D$337,
   MATCH(1,(aspek!$A$2:$A$337=B1511)*
           (aspek!$B$2:$B$337=C1511)*
           (aspek!$C$2:$C$337=D1511),0))</f>
        <v>Pengendalian diri dalam konflik</v>
      </c>
      <c r="F1511" s="76">
        <v>5</v>
      </c>
      <c r="G1511" s="56" t="str" cm="1">
        <f t="array" ref="G1511">INDEX(deskripsi!$D$2:$H$337,
   MATCH(1,(deskripsi!$A$2:$A$337=B1511)*
           (deskripsi!$B$2:$B$337=C1511)*
           (deskripsi!$C$2:$C$337=D1511),0),
   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76">
        <v>3</v>
      </c>
      <c r="E1512" t="str" cm="1">
        <f t="array" ref="E1512">INDEX(aspek!$D$2:$D$337,
   MATCH(1,(aspek!$A$2:$A$337=B1512)*
           (aspek!$B$2:$B$337=C1512)*
           (aspek!$C$2:$C$337=D1512),0))</f>
        <v>Fokus pada isu dan orientasi solusi yang adil</v>
      </c>
      <c r="F1512" s="76">
        <v>1</v>
      </c>
      <c r="G1512" s="56" t="str" cm="1">
        <f t="array" ref="G1512">INDEX(deskripsi!$D$2:$H$337,
   MATCH(1,(deskripsi!$A$2:$A$337=B1512)*
           (deskripsi!$B$2:$B$337=C1512)*
           (deskripsi!$C$2:$C$337=D1512),0),
   F1512)</f>
        <v>Perselisihan bergeser ke soal orang — sikap, niat, atau kesalahan masa lalu.</v>
      </c>
    </row>
    <row r="1513" spans="1:7" ht="28">
      <c r="A1513" t="str">
        <f t="shared" si="23"/>
        <v>Communication &amp; Deal with Others|Department Head|3|2</v>
      </c>
      <c r="B1513" t="str">
        <v>Communication &amp; Deal with Others</v>
      </c>
      <c r="C1513" t="str">
        <v>Department Head</v>
      </c>
      <c r="D1513" s="76">
        <v>3</v>
      </c>
      <c r="E1513" t="str" cm="1">
        <f t="array" ref="E1513">INDEX(aspek!$D$2:$D$337,
   MATCH(1,(aspek!$A$2:$A$337=B1513)*
           (aspek!$B$2:$B$337=C1513)*
           (aspek!$C$2:$C$337=D1513),0))</f>
        <v>Fokus pada isu dan orientasi solusi yang adil</v>
      </c>
      <c r="F1513" s="76">
        <v>2</v>
      </c>
      <c r="G1513" s="56" t="str" cm="1">
        <f t="array" ref="G1513">INDEX(deskripsi!$D$2:$H$337,
   MATCH(1,(deskripsi!$A$2:$A$337=B1513)*
           (deskripsi!$B$2:$B$337=C1513)*
           (deskripsi!$C$2:$C$337=D1513),0),
   F1513)</f>
        <v>Tetap pada isu, tetapi tujuannya memenangkan argumen; solusi yang diajukan hanya menguntungkan pihaknya sendiri.</v>
      </c>
    </row>
    <row r="1514" spans="1:7" ht="28">
      <c r="A1514" t="str">
        <f t="shared" si="23"/>
        <v>Communication &amp; Deal with Others|Department Head|3|3</v>
      </c>
      <c r="B1514" t="str">
        <v>Communication &amp; Deal with Others</v>
      </c>
      <c r="C1514" t="str">
        <v>Department Head</v>
      </c>
      <c r="D1514" s="76">
        <v>3</v>
      </c>
      <c r="E1514" t="str" cm="1">
        <f t="array" ref="E1514">INDEX(aspek!$D$2:$D$337,
   MATCH(1,(aspek!$A$2:$A$337=B1514)*
           (aspek!$B$2:$B$337=C1514)*
           (aspek!$C$2:$C$337=D1514),0))</f>
        <v>Fokus pada isu dan orientasi solusi yang adil</v>
      </c>
      <c r="F1514" s="76">
        <v>3</v>
      </c>
      <c r="G1514" s="56" t="str" cm="1">
        <f t="array" ref="G1514">INDEX(deskripsi!$D$2:$H$337,
   MATCH(1,(deskripsi!$A$2:$A$337=B1514)*
           (deskripsi!$B$2:$B$337=C1514)*
           (deskripsi!$C$2:$C$337=D1514),0),
   F1514)</f>
        <v>Tetap pada isu dan bersedia berkompromi, umumnya dengan membagi selisih tanpa menelusuri kepentingan di baliknya.</v>
      </c>
    </row>
    <row r="1515" spans="1:7" ht="42">
      <c r="A1515" t="str">
        <f t="shared" si="23"/>
        <v>Communication &amp; Deal with Others|Department Head|3|4</v>
      </c>
      <c r="B1515" t="str">
        <v>Communication &amp; Deal with Others</v>
      </c>
      <c r="C1515" t="str">
        <v>Department Head</v>
      </c>
      <c r="D1515" s="76">
        <v>3</v>
      </c>
      <c r="E1515" t="str" cm="1">
        <f t="array" ref="E1515">INDEX(aspek!$D$2:$D$337,
   MATCH(1,(aspek!$A$2:$A$337=B1515)*
           (aspek!$B$2:$B$337=C1515)*
           (aspek!$C$2:$C$337=D1515),0))</f>
        <v>Fokus pada isu dan orientasi solusi yang adil</v>
      </c>
      <c r="F1515" s="76">
        <v>4</v>
      </c>
      <c r="G1515" s="56" t="str" cm="1">
        <f t="array" ref="G1515">INDEX(deskripsi!$D$2:$H$337,
   MATCH(1,(deskripsi!$A$2:$A$337=B1515)*
           (deskripsi!$B$2:$B$337=C1515)*
           (deskripsi!$C$2:$C$337=D1515),0),
   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76">
        <v>3</v>
      </c>
      <c r="E1516" t="str" cm="1">
        <f t="array" ref="E1516">INDEX(aspek!$D$2:$D$337,
   MATCH(1,(aspek!$A$2:$A$337=B1516)*
           (aspek!$B$2:$B$337=C1516)*
           (aspek!$C$2:$C$337=D1516),0))</f>
        <v>Fokus pada isu dan orientasi solusi yang adil</v>
      </c>
      <c r="F1516" s="76">
        <v>5</v>
      </c>
      <c r="G1516" s="56" t="str" cm="1">
        <f t="array" ref="G1516">INDEX(deskripsi!$D$2:$H$337,
   MATCH(1,(deskripsi!$A$2:$A$337=B1516)*
           (deskripsi!$B$2:$B$337=C1516)*
           (deskripsi!$C$2:$C$337=D1516),0),
   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76">
        <v>4</v>
      </c>
      <c r="E1517" t="str" cm="1">
        <f t="array" ref="E1517">INDEX(aspek!$D$2:$D$337,
   MATCH(1,(aspek!$A$2:$A$337=B1517)*
           (aspek!$B$2:$B$337=C1517)*
           (aspek!$C$2:$C$337=D1517),0))</f>
        <v>Keberlanjutan hubungan kerja setelah konflik</v>
      </c>
      <c r="F1517" s="76">
        <v>1</v>
      </c>
      <c r="G1517" s="56" t="str" cm="1">
        <f t="array" ref="G1517">INDEX(deskripsi!$D$2:$H$337,
   MATCH(1,(deskripsi!$A$2:$A$337=B1517)*
           (deskripsi!$B$2:$B$337=C1517)*
           (deskripsi!$C$2:$C$337=D1517),0),
   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76">
        <v>4</v>
      </c>
      <c r="E1518" t="str" cm="1">
        <f t="array" ref="E1518">INDEX(aspek!$D$2:$D$337,
   MATCH(1,(aspek!$A$2:$A$337=B1518)*
           (aspek!$B$2:$B$337=C1518)*
           (aspek!$C$2:$C$337=D1518),0))</f>
        <v>Keberlanjutan hubungan kerja setelah konflik</v>
      </c>
      <c r="F1518" s="76">
        <v>2</v>
      </c>
      <c r="G1518" s="56" t="str" cm="1">
        <f t="array" ref="G1518">INDEX(deskripsi!$D$2:$H$337,
   MATCH(1,(deskripsi!$A$2:$A$337=B1518)*
           (deskripsi!$B$2:$B$337=C1518)*
           (deskripsi!$C$2:$C$337=D1518),0),
   F1518)</f>
        <v>Hubungan kembali normal hanya setelah waktu berlalu, tanpa pembicaraan penutup.</v>
      </c>
    </row>
    <row r="1519" spans="1:7" ht="28">
      <c r="A1519" t="str">
        <f t="shared" si="23"/>
        <v>Communication &amp; Deal with Others|Department Head|4|3</v>
      </c>
      <c r="B1519" t="str">
        <v>Communication &amp; Deal with Others</v>
      </c>
      <c r="C1519" t="str">
        <v>Department Head</v>
      </c>
      <c r="D1519" s="76">
        <v>4</v>
      </c>
      <c r="E1519" t="str" cm="1">
        <f t="array" ref="E1519">INDEX(aspek!$D$2:$D$337,
   MATCH(1,(aspek!$A$2:$A$337=B1519)*
           (aspek!$B$2:$B$337=C1519)*
           (aspek!$C$2:$C$337=D1519),0))</f>
        <v>Keberlanjutan hubungan kerja setelah konflik</v>
      </c>
      <c r="F1519" s="76">
        <v>3</v>
      </c>
      <c r="G1519" s="56" t="str" cm="1">
        <f t="array" ref="G1519">INDEX(deskripsi!$D$2:$H$337,
   MATCH(1,(deskripsi!$A$2:$A$337=B1519)*
           (deskripsi!$B$2:$B$337=C1519)*
           (deskripsi!$C$2:$C$337=D1519),0),
   F1519)</f>
        <v>Hubungan kerja tetap berjalan, meski topik yang pernah diperselisihkan sejak itu dihindari kedua pihak.</v>
      </c>
    </row>
    <row r="1520" spans="1:7" ht="28">
      <c r="A1520" t="str">
        <f t="shared" si="23"/>
        <v>Communication &amp; Deal with Others|Department Head|4|4</v>
      </c>
      <c r="B1520" t="str">
        <v>Communication &amp; Deal with Others</v>
      </c>
      <c r="C1520" t="str">
        <v>Department Head</v>
      </c>
      <c r="D1520" s="76">
        <v>4</v>
      </c>
      <c r="E1520" t="str" cm="1">
        <f t="array" ref="E1520">INDEX(aspek!$D$2:$D$337,
   MATCH(1,(aspek!$A$2:$A$337=B1520)*
           (aspek!$B$2:$B$337=C1520)*
           (aspek!$C$2:$C$337=D1520),0))</f>
        <v>Keberlanjutan hubungan kerja setelah konflik</v>
      </c>
      <c r="F1520" s="76">
        <v>4</v>
      </c>
      <c r="G1520" s="56" t="str" cm="1">
        <f t="array" ref="G1520">INDEX(deskripsi!$D$2:$H$337,
   MATCH(1,(deskripsi!$A$2:$A$337=B1520)*
           (deskripsi!$B$2:$B$337=C1520)*
           (deskripsi!$C$2:$C$337=D1520),0),
   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76">
        <v>4</v>
      </c>
      <c r="E1521" t="str" cm="1">
        <f t="array" ref="E1521">INDEX(aspek!$D$2:$D$337,
   MATCH(1,(aspek!$A$2:$A$337=B1521)*
           (aspek!$B$2:$B$337=C1521)*
           (aspek!$C$2:$C$337=D1521),0))</f>
        <v>Keberlanjutan hubungan kerja setelah konflik</v>
      </c>
      <c r="F1521" s="76">
        <v>5</v>
      </c>
      <c r="G1521" s="56" t="str" cm="1">
        <f t="array" ref="G1521">INDEX(deskripsi!$D$2:$H$337,
   MATCH(1,(deskripsi!$A$2:$A$337=B1521)*
           (deskripsi!$B$2:$B$337=C1521)*
           (deskripsi!$C$2:$C$337=D1521),0),
   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76">
        <v>1</v>
      </c>
      <c r="E1522" t="str" cm="1">
        <f t="array" ref="E1522">INDEX(aspek!$D$2:$D$337,
   MATCH(1,(aspek!$A$2:$A$337=B1522)*
           (aspek!$B$2:$B$337=C1522)*
           (aspek!$C$2:$C$337=D1522),0))</f>
        <v>Cakrawala relasi</v>
      </c>
      <c r="F1522" s="76">
        <v>1</v>
      </c>
      <c r="G1522" s="56" t="str" cm="1">
        <f t="array" ref="G1522">INDEX(deskripsi!$D$2:$H$337,
   MATCH(1,(deskripsi!$A$2:$A$337=B1522)*
           (deskripsi!$B$2:$B$337=C1522)*
           (deskripsi!$C$2:$C$337=D1522),0),
   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76">
        <v>1</v>
      </c>
      <c r="E1523" t="str" cm="1">
        <f t="array" ref="E1523">INDEX(aspek!$D$2:$D$337,
   MATCH(1,(aspek!$A$2:$A$337=B1523)*
           (aspek!$B$2:$B$337=C1523)*
           (aspek!$C$2:$C$337=D1523),0))</f>
        <v>Cakrawala relasi</v>
      </c>
      <c r="F1523" s="76">
        <v>2</v>
      </c>
      <c r="G1523" s="56" t="str" cm="1">
        <f t="array" ref="G1523">INDEX(deskripsi!$D$2:$H$337,
   MATCH(1,(deskripsi!$A$2:$A$337=B1523)*
           (deskripsi!$B$2:$B$337=C1523)*
           (deskripsi!$C$2:$C$337=D1523),0),
   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76">
        <v>1</v>
      </c>
      <c r="E1524" t="str" cm="1">
        <f t="array" ref="E1524">INDEX(aspek!$D$2:$D$337,
   MATCH(1,(aspek!$A$2:$A$337=B1524)*
           (aspek!$B$2:$B$337=C1524)*
           (aspek!$C$2:$C$337=D1524),0))</f>
        <v>Cakrawala relasi</v>
      </c>
      <c r="F1524" s="76">
        <v>3</v>
      </c>
      <c r="G1524" s="56" t="str" cm="1">
        <f t="array" ref="G1524">INDEX(deskripsi!$D$2:$H$337,
   MATCH(1,(deskripsi!$A$2:$A$337=B1524)*
           (deskripsi!$B$2:$B$337=C1524)*
           (deskripsi!$C$2:$C$337=D1524),0),
   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76">
        <v>1</v>
      </c>
      <c r="E1525" t="str" cm="1">
        <f t="array" ref="E1525">INDEX(aspek!$D$2:$D$337,
   MATCH(1,(aspek!$A$2:$A$337=B1525)*
           (aspek!$B$2:$B$337=C1525)*
           (aspek!$C$2:$C$337=D1525),0))</f>
        <v>Cakrawala relasi</v>
      </c>
      <c r="F1525" s="76">
        <v>4</v>
      </c>
      <c r="G1525" s="56" t="str" cm="1">
        <f t="array" ref="G1525">INDEX(deskripsi!$D$2:$H$337,
   MATCH(1,(deskripsi!$A$2:$A$337=B1525)*
           (deskripsi!$B$2:$B$337=C1525)*
           (deskripsi!$C$2:$C$337=D1525),0),
   F1525)</f>
        <v>Mengelola relasi sebagai portofolio lintas waktu — menjaga kontak terjadwal di luar masa krisis, dan menilai keberhasilannya dari kelangsungan kerja sama, bukan dari hasil satu pertemuan.</v>
      </c>
    </row>
    <row r="1526" spans="1:7" ht="42">
      <c r="A1526" t="str">
        <f t="shared" si="23"/>
        <v>Communication &amp; Deal with Others|Division Head|1|5</v>
      </c>
      <c r="B1526" t="str">
        <v>Communication &amp; Deal with Others</v>
      </c>
      <c r="C1526" t="str">
        <v>Division Head</v>
      </c>
      <c r="D1526" s="76">
        <v>1</v>
      </c>
      <c r="E1526" t="str" cm="1">
        <f t="array" ref="E1526">INDEX(aspek!$D$2:$D$337,
   MATCH(1,(aspek!$A$2:$A$337=B1526)*
           (aspek!$B$2:$B$337=C1526)*
           (aspek!$C$2:$C$337=D1526),0))</f>
        <v>Cakrawala relasi</v>
      </c>
      <c r="F1526" s="76">
        <v>5</v>
      </c>
      <c r="G1526" s="56" t="str" cm="1">
        <f t="array" ref="G1526">INDEX(deskripsi!$D$2:$H$337,
   MATCH(1,(deskripsi!$A$2:$A$337=B1526)*
           (deskripsi!$B$2:$B$337=C1526)*
           (deskripsi!$C$2:$C$337=D1526),0),
   F1526)</f>
        <v>Relasi yang ia bangun bertahan melampaui perubahan peran, struktur, maupun kepentingan; pihak lain tetap mencarinya meski tidak ada urusan bersama.</v>
      </c>
    </row>
    <row r="1527" spans="1:7" ht="28">
      <c r="A1527" t="str">
        <f t="shared" si="23"/>
        <v>Communication &amp; Deal with Others|Division Head|2|1</v>
      </c>
      <c r="B1527" t="str">
        <v>Communication &amp; Deal with Others</v>
      </c>
      <c r="C1527" t="str">
        <v>Division Head</v>
      </c>
      <c r="D1527" s="76">
        <v>2</v>
      </c>
      <c r="E1527" t="str" cm="1">
        <f t="array" ref="E1527">INDEX(aspek!$D$2:$D$337,
   MATCH(1,(aspek!$A$2:$A$337=B1527)*
           (aspek!$B$2:$B$337=C1527)*
           (aspek!$C$2:$C$337=D1527),0))</f>
        <v>Penyesuaian pendekatan per stakeholder</v>
      </c>
      <c r="F1527" s="76">
        <v>1</v>
      </c>
      <c r="G1527" s="56" t="str" cm="1">
        <f t="array" ref="G1527">INDEX(deskripsi!$D$2:$H$337,
   MATCH(1,(deskripsi!$A$2:$A$337=B1527)*
           (deskripsi!$B$2:$B$337=C1527)*
           (deskripsi!$C$2:$C$337=D1527),0),
   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76">
        <v>2</v>
      </c>
      <c r="E1528" t="str" cm="1">
        <f t="array" ref="E1528">INDEX(aspek!$D$2:$D$337,
   MATCH(1,(aspek!$A$2:$A$337=B1528)*
           (aspek!$B$2:$B$337=C1528)*
           (aspek!$C$2:$C$337=D1528),0))</f>
        <v>Penyesuaian pendekatan per stakeholder</v>
      </c>
      <c r="F1528" s="76">
        <v>2</v>
      </c>
      <c r="G1528" s="56" t="str" cm="1">
        <f t="array" ref="G1528">INDEX(deskripsi!$D$2:$H$337,
   MATCH(1,(deskripsi!$A$2:$A$337=B1528)*
           (deskripsi!$B$2:$B$337=C1528)*
           (deskripsi!$C$2:$C$337=D1528),0),
   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76">
        <v>2</v>
      </c>
      <c r="E1529" t="str" cm="1">
        <f t="array" ref="E1529">INDEX(aspek!$D$2:$D$337,
   MATCH(1,(aspek!$A$2:$A$337=B1529)*
           (aspek!$B$2:$B$337=C1529)*
           (aspek!$C$2:$C$337=D1529),0))</f>
        <v>Penyesuaian pendekatan per stakeholder</v>
      </c>
      <c r="F1529" s="76">
        <v>3</v>
      </c>
      <c r="G1529" s="56" t="str" cm="1">
        <f t="array" ref="G1529">INDEX(deskripsi!$D$2:$H$337,
   MATCH(1,(deskripsi!$A$2:$A$337=B1529)*
           (deskripsi!$B$2:$B$337=C1529)*
           (deskripsi!$C$2:$C$337=D1529),0),
   F1529)</f>
        <v>Menyesuaikan gaya komunikasi per orang berdasarkan pengalaman berinteraksi sebelumnya.</v>
      </c>
    </row>
    <row r="1530" spans="1:7" ht="56">
      <c r="A1530" t="str">
        <f t="shared" si="23"/>
        <v>Communication &amp; Deal with Others|Division Head|2|4</v>
      </c>
      <c r="B1530" t="str">
        <v>Communication &amp; Deal with Others</v>
      </c>
      <c r="C1530" t="str">
        <v>Division Head</v>
      </c>
      <c r="D1530" s="76">
        <v>2</v>
      </c>
      <c r="E1530" t="str" cm="1">
        <f t="array" ref="E1530">INDEX(aspek!$D$2:$D$337,
   MATCH(1,(aspek!$A$2:$A$337=B1530)*
           (aspek!$B$2:$B$337=C1530)*
           (aspek!$C$2:$C$337=D1530),0))</f>
        <v>Penyesuaian pendekatan per stakeholder</v>
      </c>
      <c r="F1530" s="76">
        <v>4</v>
      </c>
      <c r="G1530" s="56" t="str" cm="1">
        <f t="array" ref="G1530">INDEX(deskripsi!$D$2:$H$337,
   MATCH(1,(deskripsi!$A$2:$A$337=B1530)*
           (deskripsi!$B$2:$B$337=C1530)*
           (deskripsi!$C$2:$C$337=D1530),0),
   F1530)</f>
        <v>Menyesuaikan pendekatan berdasarkan analisis sumber kesulitan masing-masing — kepentingan yang berbeda, tekanan yang dihadapi, atau riwayat hubungan — dan mengubahnya ketika terbukti tidak berhasil.</v>
      </c>
    </row>
    <row r="1531" spans="1:7" ht="42">
      <c r="A1531" t="str">
        <f t="shared" si="23"/>
        <v>Communication &amp; Deal with Others|Division Head|2|5</v>
      </c>
      <c r="B1531" t="str">
        <v>Communication &amp; Deal with Others</v>
      </c>
      <c r="C1531" t="str">
        <v>Division Head</v>
      </c>
      <c r="D1531" s="76">
        <v>2</v>
      </c>
      <c r="E1531" t="str" cm="1">
        <f t="array" ref="E1531">INDEX(aspek!$D$2:$D$337,
   MATCH(1,(aspek!$A$2:$A$337=B1531)*
           (aspek!$B$2:$B$337=C1531)*
           (aspek!$C$2:$C$337=D1531),0))</f>
        <v>Penyesuaian pendekatan per stakeholder</v>
      </c>
      <c r="F1531" s="76">
        <v>5</v>
      </c>
      <c r="G1531" s="56" t="str" cm="1">
        <f t="array" ref="G1531">INDEX(deskripsi!$D$2:$H$337,
   MATCH(1,(deskripsi!$A$2:$A$337=B1531)*
           (deskripsi!$B$2:$B$337=C1531)*
           (deskripsi!$C$2:$C$337=D1531),0),
   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76">
        <v>3</v>
      </c>
      <c r="E1532" t="str" cm="1">
        <f t="array" ref="E1532">INDEX(aspek!$D$2:$D$337,
   MATCH(1,(aspek!$A$2:$A$337=B1532)*
           (aspek!$B$2:$B$337=C1532)*
           (aspek!$C$2:$C$337=D1532),0))</f>
        <v>Pencarian titik temu</v>
      </c>
      <c r="F1532" s="76">
        <v>1</v>
      </c>
      <c r="G1532" s="56" t="str" cm="1">
        <f t="array" ref="G1532">INDEX(deskripsi!$D$2:$H$337,
   MATCH(1,(deskripsi!$A$2:$A$337=B1532)*
           (deskripsi!$B$2:$B$337=C1532)*
           (deskripsi!$C$2:$C$337=D1532),0),
   F1532)</f>
        <v>Memandang kepentingan pihak sulit sebagai hambatan yang harus dikalahkan atau dihindari.</v>
      </c>
    </row>
    <row r="1533" spans="1:7" ht="28">
      <c r="A1533" t="str">
        <f t="shared" si="23"/>
        <v>Communication &amp; Deal with Others|Division Head|3|2</v>
      </c>
      <c r="B1533" t="str">
        <v>Communication &amp; Deal with Others</v>
      </c>
      <c r="C1533" t="str">
        <v>Division Head</v>
      </c>
      <c r="D1533" s="76">
        <v>3</v>
      </c>
      <c r="E1533" t="str" cm="1">
        <f t="array" ref="E1533">INDEX(aspek!$D$2:$D$337,
   MATCH(1,(aspek!$A$2:$A$337=B1533)*
           (aspek!$B$2:$B$337=C1533)*
           (aspek!$C$2:$C$337=D1533),0))</f>
        <v>Pencarian titik temu</v>
      </c>
      <c r="F1533" s="76">
        <v>2</v>
      </c>
      <c r="G1533" s="56" t="str" cm="1">
        <f t="array" ref="G1533">INDEX(deskripsi!$D$2:$H$337,
   MATCH(1,(deskripsi!$A$2:$A$337=B1533)*
           (deskripsi!$B$2:$B$337=C1533)*
           (deskripsi!$C$2:$C$337=D1533),0),
   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76">
        <v>3</v>
      </c>
      <c r="E1534" t="str" cm="1">
        <f t="array" ref="E1534">INDEX(aspek!$D$2:$D$337,
   MATCH(1,(aspek!$A$2:$A$337=B1534)*
           (aspek!$B$2:$B$337=C1534)*
           (aspek!$C$2:$C$337=D1534),0))</f>
        <v>Pencarian titik temu</v>
      </c>
      <c r="F1534" s="76">
        <v>3</v>
      </c>
      <c r="G1534" s="56" t="str" cm="1">
        <f t="array" ref="G1534">INDEX(deskripsi!$D$2:$H$337,
   MATCH(1,(deskripsi!$A$2:$A$337=B1534)*
           (deskripsi!$B$2:$B$337=C1534)*
           (deskripsi!$C$2:$C$337=D1534),0),
   F1534)</f>
        <v>Mencapai kesepakatan yang dapat diterima kedua pihak untuk persoalan yang sedang dihadapi.</v>
      </c>
    </row>
    <row r="1535" spans="1:7" ht="42">
      <c r="A1535" t="str">
        <f t="shared" si="23"/>
        <v>Communication &amp; Deal with Others|Division Head|3|4</v>
      </c>
      <c r="B1535" t="str">
        <v>Communication &amp; Deal with Others</v>
      </c>
      <c r="C1535" t="str">
        <v>Division Head</v>
      </c>
      <c r="D1535" s="76">
        <v>3</v>
      </c>
      <c r="E1535" t="str" cm="1">
        <f t="array" ref="E1535">INDEX(aspek!$D$2:$D$337,
   MATCH(1,(aspek!$A$2:$A$337=B1535)*
           (aspek!$B$2:$B$337=C1535)*
           (aspek!$C$2:$C$337=D1535),0))</f>
        <v>Pencarian titik temu</v>
      </c>
      <c r="F1535" s="76">
        <v>4</v>
      </c>
      <c r="G1535" s="56" t="str" cm="1">
        <f t="array" ref="G1535">INDEX(deskripsi!$D$2:$H$337,
   MATCH(1,(deskripsi!$A$2:$A$337=B1535)*
           (deskripsi!$B$2:$B$337=C1535)*
           (deskripsi!$C$2:$C$337=D1535),0),
   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76">
        <v>3</v>
      </c>
      <c r="E1536" t="str" cm="1">
        <f t="array" ref="E1536">INDEX(aspek!$D$2:$D$337,
   MATCH(1,(aspek!$A$2:$A$337=B1536)*
           (aspek!$B$2:$B$337=C1536)*
           (aspek!$C$2:$C$337=D1536),0))</f>
        <v>Pencarian titik temu</v>
      </c>
      <c r="F1536" s="76">
        <v>5</v>
      </c>
      <c r="G1536" s="56" t="str" cm="1">
        <f t="array" ref="G1536">INDEX(deskripsi!$D$2:$H$337,
   MATCH(1,(deskripsi!$A$2:$A$337=B1536)*
           (deskripsi!$B$2:$B$337=C1536)*
           (deskripsi!$C$2:$C$337=D1536),0),
   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76">
        <v>4</v>
      </c>
      <c r="E1537" t="str" cm="1">
        <f t="array" ref="E1537">INDEX(aspek!$D$2:$D$337,
   MATCH(1,(aspek!$A$2:$A$337=B1537)*
           (aspek!$B$2:$B$337=C1537)*
           (aspek!$C$2:$C$337=D1537),0))</f>
        <v>Ketahanan relasi terhadap perbedaan kepentingan</v>
      </c>
      <c r="F1537" s="76">
        <v>1</v>
      </c>
      <c r="G1537" s="56" t="str" cm="1">
        <f t="array" ref="G1537">INDEX(deskripsi!$D$2:$H$337,
   MATCH(1,(deskripsi!$A$2:$A$337=B1537)*
           (deskripsi!$B$2:$B$337=C1537)*
           (deskripsi!$C$2:$C$337=D1537),0),
   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76">
        <v>4</v>
      </c>
      <c r="E1538" t="str" cm="1">
        <f t="array" ref="E1538">INDEX(aspek!$D$2:$D$337,
   MATCH(1,(aspek!$A$2:$A$337=B1538)*
           (aspek!$B$2:$B$337=C1538)*
           (aspek!$C$2:$C$337=D1538),0))</f>
        <v>Ketahanan relasi terhadap perbedaan kepentingan</v>
      </c>
      <c r="F1538" s="76">
        <v>2</v>
      </c>
      <c r="G1538" s="56" t="str" cm="1">
        <f t="array" ref="G1538">INDEX(deskripsi!$D$2:$H$337,
   MATCH(1,(deskripsi!$A$2:$A$337=B1538)*
           (deskripsi!$B$2:$B$337=C1538)*
           (deskripsi!$C$2:$C$337=D1538),0),
   F1538)</f>
        <v>Kerja sama berjalan selama tidak ada perbedaan; sekali berselisih, hubungan mendingin lama.</v>
      </c>
    </row>
    <row r="1539" spans="1:7" ht="28">
      <c r="A1539" t="str">
        <f t="shared" ref="A1539:A1602" si="24">B1539&amp;"|"&amp;C1539&amp;"|"&amp;D1539&amp;"|"&amp;F1539</f>
        <v>Communication &amp; Deal with Others|Division Head|4|3</v>
      </c>
      <c r="B1539" t="str">
        <v>Communication &amp; Deal with Others</v>
      </c>
      <c r="C1539" t="str">
        <v>Division Head</v>
      </c>
      <c r="D1539" s="76">
        <v>4</v>
      </c>
      <c r="E1539" t="str" cm="1">
        <f t="array" ref="E1539">INDEX(aspek!$D$2:$D$337,
   MATCH(1,(aspek!$A$2:$A$337=B1539)*
           (aspek!$B$2:$B$337=C1539)*
           (aspek!$C$2:$C$337=D1539),0))</f>
        <v>Ketahanan relasi terhadap perbedaan kepentingan</v>
      </c>
      <c r="F1539" s="76">
        <v>3</v>
      </c>
      <c r="G1539" s="56" t="str" cm="1">
        <f t="array" ref="G1539">INDEX(deskripsi!$D$2:$H$337,
   MATCH(1,(deskripsi!$A$2:$A$337=B1539)*
           (deskripsi!$B$2:$B$337=C1539)*
           (deskripsi!$C$2:$C$337=D1539),0),
   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76">
        <v>4</v>
      </c>
      <c r="E1540" t="str" cm="1">
        <f t="array" ref="E1540">INDEX(aspek!$D$2:$D$337,
   MATCH(1,(aspek!$A$2:$A$337=B1540)*
           (aspek!$B$2:$B$337=C1540)*
           (aspek!$C$2:$C$337=D1540),0))</f>
        <v>Ketahanan relasi terhadap perbedaan kepentingan</v>
      </c>
      <c r="F1540" s="76">
        <v>4</v>
      </c>
      <c r="G1540" s="56" t="str" cm="1">
        <f t="array" ref="G1540">INDEX(deskripsi!$D$2:$H$337,
   MATCH(1,(deskripsi!$A$2:$A$337=B1540)*
           (deskripsi!$B$2:$B$337=C1540)*
           (deskripsi!$C$2:$C$337=D1540),0),
   F1540)</f>
        <v>Perbedaan kepentingan dibicarakan terbuka tanpa merusak kerja sama; pihak lain tetap bersedia bekerja sama pada urusan berikutnya.</v>
      </c>
    </row>
    <row r="1541" spans="1:7" ht="42">
      <c r="A1541" t="str">
        <f t="shared" si="24"/>
        <v>Communication &amp; Deal with Others|Division Head|4|5</v>
      </c>
      <c r="B1541" t="str">
        <v>Communication &amp; Deal with Others</v>
      </c>
      <c r="C1541" t="str">
        <v>Division Head</v>
      </c>
      <c r="D1541" s="76">
        <v>4</v>
      </c>
      <c r="E1541" t="str" cm="1">
        <f t="array" ref="E1541">INDEX(aspek!$D$2:$D$337,
   MATCH(1,(aspek!$A$2:$A$337=B1541)*
           (aspek!$B$2:$B$337=C1541)*
           (aspek!$C$2:$C$337=D1541),0))</f>
        <v>Ketahanan relasi terhadap perbedaan kepentingan</v>
      </c>
      <c r="F1541" s="76">
        <v>5</v>
      </c>
      <c r="G1541" s="56" t="str" cm="1">
        <f t="array" ref="G1541">INDEX(deskripsi!$D$2:$H$337,
   MATCH(1,(deskripsi!$A$2:$A$337=B1541)*
           (deskripsi!$B$2:$B$337=C1541)*
           (deskripsi!$C$2:$C$337=D1541),0),
   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76">
        <v>1</v>
      </c>
      <c r="E1542" t="str" cm="1">
        <f t="array" ref="E1542">INDEX(aspek!$D$2:$D$337,
   MATCH(1,(aspek!$A$2:$A$337=B1542)*
           (aspek!$B$2:$B$337=C1542)*
           (aspek!$C$2:$C$337=D1542),0))</f>
        <v>Netralitas yang dipersepsikan</v>
      </c>
      <c r="F1542" s="76">
        <v>1</v>
      </c>
      <c r="G1542" s="56" t="str" cm="1">
        <f t="array" ref="G1542">INDEX(deskripsi!$D$2:$H$337,
   MATCH(1,(deskripsi!$A$2:$A$337=B1542)*
           (deskripsi!$B$2:$B$337=C1542)*
           (deskripsi!$C$2:$C$337=D1542),0),
   F1542)</f>
        <v>Salah satu pihak merasa ia sudah berpihak sejak awal; kehadirannya justru memperkeras posisi.</v>
      </c>
    </row>
    <row r="1543" spans="1:7" ht="28">
      <c r="A1543" t="str">
        <f t="shared" si="24"/>
        <v>Communication &amp; Deal with Others|Director|1|2</v>
      </c>
      <c r="B1543" t="str">
        <v>Communication &amp; Deal with Others</v>
      </c>
      <c r="C1543" t="str">
        <v>Director</v>
      </c>
      <c r="D1543" s="76">
        <v>1</v>
      </c>
      <c r="E1543" t="str" cm="1">
        <f t="array" ref="E1543">INDEX(aspek!$D$2:$D$337,
   MATCH(1,(aspek!$A$2:$A$337=B1543)*
           (aspek!$B$2:$B$337=C1543)*
           (aspek!$C$2:$C$337=D1543),0))</f>
        <v>Netralitas yang dipersepsikan</v>
      </c>
      <c r="F1543" s="76">
        <v>2</v>
      </c>
      <c r="G1543" s="56" t="str" cm="1">
        <f t="array" ref="G1543">INDEX(deskripsi!$D$2:$H$337,
   MATCH(1,(deskripsi!$A$2:$A$337=B1543)*
           (deskripsi!$B$2:$B$337=C1543)*
           (deskripsi!$C$2:$C$337=D1543),0),
   F1543)</f>
        <v>Berusaha bersikap adil, tetapi kedekatan pribadi atau kesamaan cara berpikir terbaca oleh salah satu pihak.</v>
      </c>
    </row>
    <row r="1544" spans="1:7" ht="28">
      <c r="A1544" t="str">
        <f t="shared" si="24"/>
        <v>Communication &amp; Deal with Others|Director|1|3</v>
      </c>
      <c r="B1544" t="str">
        <v>Communication &amp; Deal with Others</v>
      </c>
      <c r="C1544" t="str">
        <v>Director</v>
      </c>
      <c r="D1544" s="76">
        <v>1</v>
      </c>
      <c r="E1544" t="str" cm="1">
        <f t="array" ref="E1544">INDEX(aspek!$D$2:$D$337,
   MATCH(1,(aspek!$A$2:$A$337=B1544)*
           (aspek!$B$2:$B$337=C1544)*
           (aspek!$C$2:$C$337=D1544),0))</f>
        <v>Netralitas yang dipersepsikan</v>
      </c>
      <c r="F1544" s="76">
        <v>3</v>
      </c>
      <c r="G1544" s="56" t="str" cm="1">
        <f t="array" ref="G1544">INDEX(deskripsi!$D$2:$H$337,
   MATCH(1,(deskripsi!$A$2:$A$337=B1544)*
           (deskripsi!$B$2:$B$337=C1544)*
           (deskripsi!$C$2:$C$337=D1544),0),
   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76">
        <v>1</v>
      </c>
      <c r="E1545" t="str" cm="1">
        <f t="array" ref="E1545">INDEX(aspek!$D$2:$D$337,
   MATCH(1,(aspek!$A$2:$A$337=B1545)*
           (aspek!$B$2:$B$337=C1545)*
           (aspek!$C$2:$C$337=D1545),0))</f>
        <v>Netralitas yang dipersepsikan</v>
      </c>
      <c r="F1545" s="76">
        <v>4</v>
      </c>
      <c r="G1545" s="56" t="str" cm="1">
        <f t="array" ref="G1545">INDEX(deskripsi!$D$2:$H$337,
   MATCH(1,(deskripsi!$A$2:$A$337=B1545)*
           (deskripsi!$B$2:$B$337=C1545)*
           (deskripsi!$C$2:$C$337=D1545),0),
   F1545)</f>
        <v>KEDUA pihak, ditanya secara terpisah, menyatakan ia tidak memihak lawannya — termasuk pihak yang hasil akhirnya tidak sesuai keinginannya.</v>
      </c>
    </row>
    <row r="1546" spans="1:7" ht="42">
      <c r="A1546" t="str">
        <f t="shared" si="24"/>
        <v>Communication &amp; Deal with Others|Director|1|5</v>
      </c>
      <c r="B1546" t="str">
        <v>Communication &amp; Deal with Others</v>
      </c>
      <c r="C1546" t="str">
        <v>Director</v>
      </c>
      <c r="D1546" s="76">
        <v>1</v>
      </c>
      <c r="E1546" t="str" cm="1">
        <f t="array" ref="E1546">INDEX(aspek!$D$2:$D$337,
   MATCH(1,(aspek!$A$2:$A$337=B1546)*
           (aspek!$B$2:$B$337=C1546)*
           (aspek!$C$2:$C$337=D1546),0))</f>
        <v>Netralitas yang dipersepsikan</v>
      </c>
      <c r="F1546" s="76">
        <v>5</v>
      </c>
      <c r="G1546" s="56" t="str" cm="1">
        <f t="array" ref="G1546">INDEX(deskripsi!$D$2:$H$337,
   MATCH(1,(deskripsi!$A$2:$A$337=B1546)*
           (deskripsi!$B$2:$B$337=C1546)*
           (deskripsi!$C$2:$C$337=D1546),0),
   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76">
        <v>2</v>
      </c>
      <c r="E1547" t="str" cm="1">
        <f t="array" ref="E1547">INDEX(aspek!$D$2:$D$337,
   MATCH(1,(aspek!$A$2:$A$337=B1547)*
           (aspek!$B$2:$B$337=C1547)*
           (aspek!$C$2:$C$337=D1547),0))</f>
        <v>Disiplin batas peran</v>
      </c>
      <c r="F1547" s="76">
        <v>1</v>
      </c>
      <c r="G1547" s="56" t="str" cm="1">
        <f t="array" ref="G1547">INDEX(deskripsi!$D$2:$H$337,
   MATCH(1,(deskripsi!$A$2:$A$337=B1547)*
           (deskripsi!$B$2:$B$337=C1547)*
           (deskripsi!$C$2:$C$337=D1547),0),
   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76">
        <v>2</v>
      </c>
      <c r="E1548" t="str" cm="1">
        <f t="array" ref="E1548">INDEX(aspek!$D$2:$D$337,
   MATCH(1,(aspek!$A$2:$A$337=B1548)*
           (aspek!$B$2:$B$337=C1548)*
           (aspek!$C$2:$C$337=D1548),0))</f>
        <v>Disiplin batas peran</v>
      </c>
      <c r="F1548" s="76">
        <v>2</v>
      </c>
      <c r="G1548" s="56" t="str" cm="1">
        <f t="array" ref="G1548">INDEX(deskripsi!$D$2:$H$337,
   MATCH(1,(deskripsi!$A$2:$A$337=B1548)*
           (deskripsi!$B$2:$B$337=C1548)*
           (deskripsi!$C$2:$C$337=D1548),0),
   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76">
        <v>2</v>
      </c>
      <c r="E1549" t="str" cm="1">
        <f t="array" ref="E1549">INDEX(aspek!$D$2:$D$337,
   MATCH(1,(aspek!$A$2:$A$337=B1549)*
           (aspek!$B$2:$B$337=C1549)*
           (aspek!$C$2:$C$337=D1549),0))</f>
        <v>Disiplin batas peran</v>
      </c>
      <c r="F1549" s="76">
        <v>3</v>
      </c>
      <c r="G1549" s="56" t="str" cm="1">
        <f t="array" ref="G1549">INDEX(deskripsi!$D$2:$H$337,
   MATCH(1,(deskripsi!$A$2:$A$337=B1549)*
           (deskripsi!$B$2:$B$337=C1549)*
           (deskripsi!$C$2:$C$337=D1549),0),
   F1549)</f>
        <v>Menghindari menengahi hanya ketika kepentingannya sudah jelas terlihat oleh orang lain.</v>
      </c>
    </row>
    <row r="1550" spans="1:7" ht="42">
      <c r="A1550" t="str">
        <f t="shared" si="24"/>
        <v>Communication &amp; Deal with Others|Director|2|4</v>
      </c>
      <c r="B1550" t="str">
        <v>Communication &amp; Deal with Others</v>
      </c>
      <c r="C1550" t="str">
        <v>Director</v>
      </c>
      <c r="D1550" s="76">
        <v>2</v>
      </c>
      <c r="E1550" t="str" cm="1">
        <f t="array" ref="E1550">INDEX(aspek!$D$2:$D$337,
   MATCH(1,(aspek!$A$2:$A$337=B1550)*
           (aspek!$B$2:$B$337=C1550)*
           (aspek!$C$2:$C$337=D1550),0))</f>
        <v>Disiplin batas peran</v>
      </c>
      <c r="F1550" s="76">
        <v>4</v>
      </c>
      <c r="G1550" s="56" t="str" cm="1">
        <f t="array" ref="G1550">INDEX(deskripsi!$D$2:$H$337,
   MATCH(1,(deskripsi!$A$2:$A$337=B1550)*
           (deskripsi!$B$2:$B$337=C1550)*
           (deskripsi!$C$2:$C$337=D1550),0),
   F1550)</f>
        <v>Memeriksa kepentingannya sendiri sebelum menerima peran penengah, lalu menyatakannya terbuka di muka atau mengalihkan peran itu kepada pihak lain.</v>
      </c>
    </row>
    <row r="1551" spans="1:7" ht="28">
      <c r="A1551" t="str">
        <f t="shared" si="24"/>
        <v>Communication &amp; Deal with Others|Director|2|5</v>
      </c>
      <c r="B1551" t="str">
        <v>Communication &amp; Deal with Others</v>
      </c>
      <c r="C1551" t="str">
        <v>Director</v>
      </c>
      <c r="D1551" s="76">
        <v>2</v>
      </c>
      <c r="E1551" t="str" cm="1">
        <f t="array" ref="E1551">INDEX(aspek!$D$2:$D$337,
   MATCH(1,(aspek!$A$2:$A$337=B1551)*
           (aspek!$B$2:$B$337=C1551)*
           (aspek!$C$2:$C$337=D1551),0))</f>
        <v>Disiplin batas peran</v>
      </c>
      <c r="F1551" s="76">
        <v>5</v>
      </c>
      <c r="G1551" s="56" t="str" cm="1">
        <f t="array" ref="G1551">INDEX(deskripsi!$D$2:$H$337,
   MATCH(1,(deskripsi!$A$2:$A$337=B1551)*
           (deskripsi!$B$2:$B$337=C1551)*
           (deskripsi!$C$2:$C$337=D1551),0),
   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76">
        <v>3</v>
      </c>
      <c r="E1552" t="str" cm="1">
        <f t="array" ref="E1552">INDEX(aspek!$D$2:$D$337,
   MATCH(1,(aspek!$A$2:$A$337=B1552)*
           (aspek!$B$2:$B$337=C1552)*
           (aspek!$C$2:$C$337=D1552),0))</f>
        <v>Kemampuan memfasilitasi</v>
      </c>
      <c r="F1552" s="76">
        <v>1</v>
      </c>
      <c r="G1552" s="56" t="str" cm="1">
        <f t="array" ref="G1552">INDEX(deskripsi!$D$2:$H$337,
   MATCH(1,(deskripsi!$A$2:$A$337=B1552)*
           (deskripsi!$B$2:$B$337=C1552)*
           (deskripsi!$C$2:$C$337=D1552),0),
   F1552)</f>
        <v>Membiarkan pihak yang lebih berkuasa atau lebih vokal menguasai pembicaraan.</v>
      </c>
    </row>
    <row r="1553" spans="1:7" ht="28">
      <c r="A1553" t="str">
        <f t="shared" si="24"/>
        <v>Communication &amp; Deal with Others|Director|3|2</v>
      </c>
      <c r="B1553" t="str">
        <v>Communication &amp; Deal with Others</v>
      </c>
      <c r="C1553" t="str">
        <v>Director</v>
      </c>
      <c r="D1553" s="76">
        <v>3</v>
      </c>
      <c r="E1553" t="str" cm="1">
        <f t="array" ref="E1553">INDEX(aspek!$D$2:$D$337,
   MATCH(1,(aspek!$A$2:$A$337=B1553)*
           (aspek!$B$2:$B$337=C1553)*
           (aspek!$C$2:$C$337=D1553),0))</f>
        <v>Kemampuan memfasilitasi</v>
      </c>
      <c r="F1553" s="76">
        <v>2</v>
      </c>
      <c r="G1553" s="56" t="str" cm="1">
        <f t="array" ref="G1553">INDEX(deskripsi!$D$2:$H$337,
   MATCH(1,(deskripsi!$A$2:$A$337=B1553)*
           (deskripsi!$B$2:$B$337=C1553)*
           (deskripsi!$C$2:$C$337=D1553),0),
   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76">
        <v>3</v>
      </c>
      <c r="E1554" t="str" cm="1">
        <f t="array" ref="E1554">INDEX(aspek!$D$2:$D$337,
   MATCH(1,(aspek!$A$2:$A$337=B1554)*
           (aspek!$B$2:$B$337=C1554)*
           (aspek!$C$2:$C$337=D1554),0))</f>
        <v>Kemampuan memfasilitasi</v>
      </c>
      <c r="F1554" s="76">
        <v>3</v>
      </c>
      <c r="G1554" s="56" t="str" cm="1">
        <f t="array" ref="G1554">INDEX(deskripsi!$D$2:$H$337,
   MATCH(1,(deskripsi!$A$2:$A$337=B1554)*
           (deskripsi!$B$2:$B$337=C1554)*
           (deskripsi!$C$2:$C$337=D1554),0),
   F1554)</f>
        <v>Memastikan semua pihak menyampaikan pandangannya dalam forum.</v>
      </c>
    </row>
    <row r="1555" spans="1:7" ht="42">
      <c r="A1555" t="str">
        <f t="shared" si="24"/>
        <v>Communication &amp; Deal with Others|Director|3|4</v>
      </c>
      <c r="B1555" t="str">
        <v>Communication &amp; Deal with Others</v>
      </c>
      <c r="C1555" t="str">
        <v>Director</v>
      </c>
      <c r="D1555" s="76">
        <v>3</v>
      </c>
      <c r="E1555" t="str" cm="1">
        <f t="array" ref="E1555">INDEX(aspek!$D$2:$D$337,
   MATCH(1,(aspek!$A$2:$A$337=B1555)*
           (aspek!$B$2:$B$337=C1555)*
           (aspek!$C$2:$C$337=D1555),0))</f>
        <v>Kemampuan memfasilitasi</v>
      </c>
      <c r="F1555" s="76">
        <v>4</v>
      </c>
      <c r="G1555" s="56" t="str" cm="1">
        <f t="array" ref="G1555">INDEX(deskripsi!$D$2:$H$337,
   MATCH(1,(deskripsi!$A$2:$A$337=B1555)*
           (deskripsi!$B$2:$B$337=C1555)*
           (deskripsi!$C$2:$C$337=D1555),0),
   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76">
        <v>3</v>
      </c>
      <c r="E1556" t="str" cm="1">
        <f t="array" ref="E1556">INDEX(aspek!$D$2:$D$337,
   MATCH(1,(aspek!$A$2:$A$337=B1556)*
           (aspek!$B$2:$B$337=C1556)*
           (aspek!$C$2:$C$337=D1556),0))</f>
        <v>Kemampuan memfasilitasi</v>
      </c>
      <c r="F1556" s="76">
        <v>5</v>
      </c>
      <c r="G1556" s="56" t="str" cm="1">
        <f t="array" ref="G1556">INDEX(deskripsi!$D$2:$H$337,
   MATCH(1,(deskripsi!$A$2:$A$337=B1556)*
           (deskripsi!$B$2:$B$337=C1556)*
           (deskripsi!$C$2:$C$337=D1556),0),
   F1556)</f>
        <v>Rancangan prosesnya dipakai ulang oleh orang lain di organisasi untuk persoalan serupa.</v>
      </c>
    </row>
    <row r="1557" spans="1:7" ht="28">
      <c r="A1557" t="str">
        <f t="shared" si="24"/>
        <v>Communication &amp; Deal with Others|Director|4|1</v>
      </c>
      <c r="B1557" t="str">
        <v>Communication &amp; Deal with Others</v>
      </c>
      <c r="C1557" t="str">
        <v>Director</v>
      </c>
      <c r="D1557" s="76">
        <v>4</v>
      </c>
      <c r="E1557" t="str" cm="1">
        <f t="array" ref="E1557">INDEX(aspek!$D$2:$D$337,
   MATCH(1,(aspek!$A$2:$A$337=B1557)*
           (aspek!$B$2:$B$337=C1557)*
           (aspek!$C$2:$C$337=D1557),0))</f>
        <v>Keberhasilan membangun komitmen</v>
      </c>
      <c r="F1557" s="76">
        <v>1</v>
      </c>
      <c r="G1557" s="56" t="str" cm="1">
        <f t="array" ref="G1557">INDEX(deskripsi!$D$2:$H$337,
   MATCH(1,(deskripsi!$A$2:$A$337=B1557)*
           (deskripsi!$B$2:$B$337=C1557)*
           (deskripsi!$C$2:$C$337=D1557),0),
   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76">
        <v>4</v>
      </c>
      <c r="E1558" t="str" cm="1">
        <f t="array" ref="E1558">INDEX(aspek!$D$2:$D$337,
   MATCH(1,(aspek!$A$2:$A$337=B1558)*
           (aspek!$B$2:$B$337=C1558)*
           (aspek!$C$2:$C$337=D1558),0))</f>
        <v>Keberhasilan membangun komitmen</v>
      </c>
      <c r="F1558" s="76">
        <v>2</v>
      </c>
      <c r="G1558" s="56" t="str" cm="1">
        <f t="array" ref="G1558">INDEX(deskripsi!$D$2:$H$337,
   MATCH(1,(deskripsi!$A$2:$A$337=B1558)*
           (deskripsi!$B$2:$B$337=C1558)*
           (deskripsi!$C$2:$C$337=D1558),0),
   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76">
        <v>4</v>
      </c>
      <c r="E1559" t="str" cm="1">
        <f t="array" ref="E1559">INDEX(aspek!$D$2:$D$337,
   MATCH(1,(aspek!$A$2:$A$337=B1559)*
           (aspek!$B$2:$B$337=C1559)*
           (aspek!$C$2:$C$337=D1559),0))</f>
        <v>Keberhasilan membangun komitmen</v>
      </c>
      <c r="F1559" s="76">
        <v>3</v>
      </c>
      <c r="G1559" s="56" t="str" cm="1">
        <f t="array" ref="G1559">INDEX(deskripsi!$D$2:$H$337,
   MATCH(1,(deskripsi!$A$2:$A$337=B1559)*
           (deskripsi!$B$2:$B$337=C1559)*
           (deskripsi!$C$2:$C$337=D1559),0),
   F1559)</f>
        <v>Kesepakatan tertulis dijalankan selama masih ada yang mengingatkan.</v>
      </c>
    </row>
    <row r="1560" spans="1:7" ht="56">
      <c r="A1560" t="str">
        <f t="shared" si="24"/>
        <v>Communication &amp; Deal with Others|Director|4|4</v>
      </c>
      <c r="B1560" t="str">
        <v>Communication &amp; Deal with Others</v>
      </c>
      <c r="C1560" t="str">
        <v>Director</v>
      </c>
      <c r="D1560" s="76">
        <v>4</v>
      </c>
      <c r="E1560" t="str" cm="1">
        <f t="array" ref="E1560">INDEX(aspek!$D$2:$D$337,
   MATCH(1,(aspek!$A$2:$A$337=B1560)*
           (aspek!$B$2:$B$337=C1560)*
           (aspek!$C$2:$C$337=D1560),0))</f>
        <v>Keberhasilan membangun komitmen</v>
      </c>
      <c r="F1560" s="76">
        <v>4</v>
      </c>
      <c r="G1560" s="56" t="str" cm="1">
        <f t="array" ref="G1560">INDEX(deskripsi!$D$2:$H$337,
   MATCH(1,(deskripsi!$A$2:$A$337=B1560)*
           (deskripsi!$B$2:$B$337=C1560)*
           (deskripsi!$C$2:$C$337=D1560),0),
   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76">
        <v>4</v>
      </c>
      <c r="E1561" t="str" cm="1">
        <f t="array" ref="E1561">INDEX(aspek!$D$2:$D$337,
   MATCH(1,(aspek!$A$2:$A$337=B1561)*
           (aspek!$B$2:$B$337=C1561)*
           (aspek!$C$2:$C$337=D1561),0))</f>
        <v>Keberhasilan membangun komitmen</v>
      </c>
      <c r="F1561" s="76">
        <v>5</v>
      </c>
      <c r="G1561" s="56" t="str" cm="1">
        <f t="array" ref="G1561">INDEX(deskripsi!$D$2:$H$337,
   MATCH(1,(deskripsi!$A$2:$A$337=B1561)*
           (deskripsi!$B$2:$B$337=C1561)*
           (deskripsi!$C$2:$C$337=D1561),0),
   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76">
        <v>1</v>
      </c>
      <c r="E1562" t="str" cm="1">
        <f t="array" ref="E1562">INDEX(aspek!$D$2:$D$337,
   MATCH(1,(aspek!$A$2:$A$337=B1562)*
           (aspek!$B$2:$B$337=C1562)*
           (aspek!$C$2:$C$337=D1562),0))</f>
        <v>Kualitas output</v>
      </c>
      <c r="F1562" s="76">
        <v>1</v>
      </c>
      <c r="G1562" s="56" t="str" cm="1">
        <f t="array" ref="G1562">INDEX(deskripsi!$D$2:$H$337,
   MATCH(1,(deskripsi!$A$2:$A$337=B1562)*
           (deskripsi!$B$2:$B$337=C1562)*
           (deskripsi!$C$2:$C$337=D1562),0),
   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76">
        <v>1</v>
      </c>
      <c r="E1563" t="str" cm="1">
        <f t="array" ref="E1563">INDEX(aspek!$D$2:$D$337,
   MATCH(1,(aspek!$A$2:$A$337=B1563)*
           (aspek!$B$2:$B$337=C1563)*
           (aspek!$C$2:$C$337=D1563),0))</f>
        <v>Kualitas output</v>
      </c>
      <c r="F1563" s="76">
        <v>2</v>
      </c>
      <c r="G1563" s="56" t="str" cm="1">
        <f t="array" ref="G1563">INDEX(deskripsi!$D$2:$H$337,
   MATCH(1,(deskripsi!$A$2:$A$337=B1563)*
           (deskripsi!$B$2:$B$337=C1563)*
           (deskripsi!$C$2:$C$337=D1563),0),
   F1563)</f>
        <v>Memenuhi standar pada tugas yang sudah familiar, tetapi mutunya menurun pada tugas baru atau saat beban meningkat.</v>
      </c>
    </row>
    <row r="1564" spans="1:7" ht="28">
      <c r="A1564" t="str">
        <f t="shared" si="24"/>
        <v>Customer Focus|Officer|1|3</v>
      </c>
      <c r="B1564" t="str">
        <v>Customer Focus</v>
      </c>
      <c r="C1564" t="str">
        <v>Officer</v>
      </c>
      <c r="D1564" s="76">
        <v>1</v>
      </c>
      <c r="E1564" t="str" cm="1">
        <f t="array" ref="E1564">INDEX(aspek!$D$2:$D$337,
   MATCH(1,(aspek!$A$2:$A$337=B1564)*
           (aspek!$B$2:$B$337=C1564)*
           (aspek!$C$2:$C$337=D1564),0))</f>
        <v>Kualitas output</v>
      </c>
      <c r="F1564" s="76">
        <v>3</v>
      </c>
      <c r="G1564" s="56" t="str" cm="1">
        <f t="array" ref="G1564">INDEX(deskripsi!$D$2:$H$337,
   MATCH(1,(deskripsi!$A$2:$A$337=B1564)*
           (deskripsi!$B$2:$B$337=C1564)*
           (deskripsi!$C$2:$C$337=D1564),0),
   F1564)</f>
        <v>Hasil kerja stabil memenuhi standar yang disepakati; revisi masih terjadi tetapi pada hal-hal kecil.</v>
      </c>
    </row>
    <row r="1565" spans="1:7" ht="42">
      <c r="A1565" t="str">
        <f t="shared" si="24"/>
        <v>Customer Focus|Officer|1|4</v>
      </c>
      <c r="B1565" t="str">
        <v>Customer Focus</v>
      </c>
      <c r="C1565" t="str">
        <v>Officer</v>
      </c>
      <c r="D1565" s="76">
        <v>1</v>
      </c>
      <c r="E1565" t="str" cm="1">
        <f t="array" ref="E1565">INDEX(aspek!$D$2:$D$337,
   MATCH(1,(aspek!$A$2:$A$337=B1565)*
           (aspek!$B$2:$B$337=C1565)*
           (aspek!$C$2:$C$337=D1565),0))</f>
        <v>Kualitas output</v>
      </c>
      <c r="F1565" s="76">
        <v>4</v>
      </c>
      <c r="G1565" s="56" t="str" cm="1">
        <f t="array" ref="G1565">INDEX(deskripsi!$D$2:$H$337,
   MATCH(1,(deskripsi!$A$2:$A$337=B1565)*
           (deskripsi!$B$2:$B$337=C1565)*
           (deskripsi!$C$2:$C$337=D1565),0),
   F1565)</f>
        <v>Hasil kerja diterima tanpa revisi pada sebagian besar penyerahan, karena diperiksa sendiri terhadap kriteria penerimaan sebelum diserahkan.</v>
      </c>
    </row>
    <row r="1566" spans="1:7" ht="28">
      <c r="A1566" t="str">
        <f t="shared" si="24"/>
        <v>Customer Focus|Officer|1|5</v>
      </c>
      <c r="B1566" t="str">
        <v>Customer Focus</v>
      </c>
      <c r="C1566" t="str">
        <v>Officer</v>
      </c>
      <c r="D1566" s="76">
        <v>1</v>
      </c>
      <c r="E1566" t="str" cm="1">
        <f t="array" ref="E1566">INDEX(aspek!$D$2:$D$337,
   MATCH(1,(aspek!$A$2:$A$337=B1566)*
           (aspek!$B$2:$B$337=C1566)*
           (aspek!$C$2:$C$337=D1566),0))</f>
        <v>Kualitas output</v>
      </c>
      <c r="F1566" s="76">
        <v>5</v>
      </c>
      <c r="G1566" s="56" t="str" cm="1">
        <f t="array" ref="G1566">INDEX(deskripsi!$D$2:$H$337,
   MATCH(1,(deskripsi!$A$2:$A$337=B1566)*
           (deskripsi!$B$2:$B$337=C1566)*
           (deskripsi!$C$2:$C$337=D1566),0),
   F1566)</f>
        <v>Hasil kerjanya dipakai orang lain sebagai contoh standar; kriteria penerimaan yang ia susun diadopsi rekan.</v>
      </c>
    </row>
    <row r="1567" spans="1:7" ht="28">
      <c r="A1567" t="str">
        <f t="shared" si="24"/>
        <v>Customer Focus|Officer|2|1</v>
      </c>
      <c r="B1567" t="str">
        <v>Customer Focus</v>
      </c>
      <c r="C1567" t="str">
        <v>Officer</v>
      </c>
      <c r="D1567" s="76">
        <v>2</v>
      </c>
      <c r="E1567" t="str" cm="1">
        <f t="array" ref="E1567">INDEX(aspek!$D$2:$D$337,
   MATCH(1,(aspek!$A$2:$A$337=B1567)*
           (aspek!$B$2:$B$337=C1567)*
           (aspek!$C$2:$C$337=D1567),0))</f>
        <v>Ketepatan waktu</v>
      </c>
      <c r="F1567" s="76">
        <v>1</v>
      </c>
      <c r="G1567" s="56" t="str" cm="1">
        <f t="array" ref="G1567">INDEX(deskripsi!$D$2:$H$337,
   MATCH(1,(deskripsi!$A$2:$A$337=B1567)*
           (deskripsi!$B$2:$B$337=C1567)*
           (deskripsi!$C$2:$C$337=D1567),0),
   F1567)</f>
        <v>Sering terlambat, dan keterlambatan baru diketahui penerima setelah tenggat lewat.</v>
      </c>
    </row>
    <row r="1568" spans="1:7" ht="28">
      <c r="A1568" t="str">
        <f t="shared" si="24"/>
        <v>Customer Focus|Officer|2|2</v>
      </c>
      <c r="B1568" t="str">
        <v>Customer Focus</v>
      </c>
      <c r="C1568" t="str">
        <v>Officer</v>
      </c>
      <c r="D1568" s="76">
        <v>2</v>
      </c>
      <c r="E1568" t="str" cm="1">
        <f t="array" ref="E1568">INDEX(aspek!$D$2:$D$337,
   MATCH(1,(aspek!$A$2:$A$337=B1568)*
           (aspek!$B$2:$B$337=C1568)*
           (aspek!$C$2:$C$337=D1568),0))</f>
        <v>Ketepatan waktu</v>
      </c>
      <c r="F1568" s="76">
        <v>2</v>
      </c>
      <c r="G1568" s="56" t="str" cm="1">
        <f t="array" ref="G1568">INDEX(deskripsi!$D$2:$H$337,
   MATCH(1,(deskripsi!$A$2:$A$337=B1568)*
           (deskripsi!$B$2:$B$337=C1568)*
           (deskripsi!$C$2:$C$337=D1568),0),
   F1568)</f>
        <v>Tepat waktu bila hanya mengerjakan satu hal; meleset ketika beberapa tenggat datang bersamaan.</v>
      </c>
    </row>
    <row r="1569" spans="1:7" ht="28">
      <c r="A1569" t="str">
        <f t="shared" si="24"/>
        <v>Customer Focus|Officer|2|3</v>
      </c>
      <c r="B1569" t="str">
        <v>Customer Focus</v>
      </c>
      <c r="C1569" t="str">
        <v>Officer</v>
      </c>
      <c r="D1569" s="76">
        <v>2</v>
      </c>
      <c r="E1569" t="str" cm="1">
        <f t="array" ref="E1569">INDEX(aspek!$D$2:$D$337,
   MATCH(1,(aspek!$A$2:$A$337=B1569)*
           (aspek!$B$2:$B$337=C1569)*
           (aspek!$C$2:$C$337=D1569),0))</f>
        <v>Ketepatan waktu</v>
      </c>
      <c r="F1569" s="76">
        <v>3</v>
      </c>
      <c r="G1569" s="56" t="str" cm="1">
        <f t="array" ref="G1569">INDEX(deskripsi!$D$2:$H$337,
   MATCH(1,(deskripsi!$A$2:$A$337=B1569)*
           (deskripsi!$B$2:$B$337=C1569)*
           (deskripsi!$C$2:$C$337=D1569),0),
   F1569)</f>
        <v>Sebagian besar penyerahan tepat waktu; keterlambatan yang terjadi masih dalam batas yang dapat ditoleransi penerima.</v>
      </c>
    </row>
    <row r="1570" spans="1:7" ht="42">
      <c r="A1570" t="str">
        <f t="shared" si="24"/>
        <v>Customer Focus|Officer|2|4</v>
      </c>
      <c r="B1570" t="str">
        <v>Customer Focus</v>
      </c>
      <c r="C1570" t="str">
        <v>Officer</v>
      </c>
      <c r="D1570" s="76">
        <v>2</v>
      </c>
      <c r="E1570" t="str" cm="1">
        <f t="array" ref="E1570">INDEX(aspek!$D$2:$D$337,
   MATCH(1,(aspek!$A$2:$A$337=B1570)*
           (aspek!$B$2:$B$337=C1570)*
           (aspek!$C$2:$C$337=D1570),0))</f>
        <v>Ketepatan waktu</v>
      </c>
      <c r="F1570" s="76">
        <v>4</v>
      </c>
      <c r="G1570" s="56" t="str" cm="1">
        <f t="array" ref="G1570">INDEX(deskripsi!$D$2:$H$337,
   MATCH(1,(deskripsi!$A$2:$A$337=B1570)*
           (deskripsi!$B$2:$B$337=C1570)*
           (deskripsi!$C$2:$C$337=D1570),0),
   F1570)</f>
        <v>Hampir seluruh penyerahan tepat waktu, termasuk ketika beban bertambah, karena waktu pengerjaan diperkirakan realistis sejak awal.</v>
      </c>
    </row>
    <row r="1571" spans="1:7" ht="28">
      <c r="A1571" t="str">
        <f t="shared" si="24"/>
        <v>Customer Focus|Officer|2|5</v>
      </c>
      <c r="B1571" t="str">
        <v>Customer Focus</v>
      </c>
      <c r="C1571" t="str">
        <v>Officer</v>
      </c>
      <c r="D1571" s="76">
        <v>2</v>
      </c>
      <c r="E1571" t="str" cm="1">
        <f t="array" ref="E1571">INDEX(aspek!$D$2:$D$337,
   MATCH(1,(aspek!$A$2:$A$337=B1571)*
           (aspek!$B$2:$B$337=C1571)*
           (aspek!$C$2:$C$337=D1571),0))</f>
        <v>Ketepatan waktu</v>
      </c>
      <c r="F1571" s="76">
        <v>5</v>
      </c>
      <c r="G1571" s="56" t="str" cm="1">
        <f t="array" ref="G1571">INDEX(deskripsi!$D$2:$H$337,
   MATCH(1,(deskripsi!$A$2:$A$337=B1571)*
           (deskripsi!$B$2:$B$337=C1571)*
           (deskripsi!$C$2:$C$337=D1571),0),
   F1571)</f>
        <v>Menyelesaikan lebih awal secara konsisten, sehingga tersedia ruang untuk pemeriksaan dan perbaikan sebelum tenggat.</v>
      </c>
    </row>
    <row r="1572" spans="1:7" ht="28">
      <c r="A1572" t="str">
        <f t="shared" si="24"/>
        <v>Customer Focus|Officer|3|1</v>
      </c>
      <c r="B1572" t="str">
        <v>Customer Focus</v>
      </c>
      <c r="C1572" t="str">
        <v>Officer</v>
      </c>
      <c r="D1572" s="76">
        <v>3</v>
      </c>
      <c r="E1572" t="str" cm="1">
        <f t="array" ref="E1572">INDEX(aspek!$D$2:$D$337,
   MATCH(1,(aspek!$A$2:$A$337=B1572)*
           (aspek!$B$2:$B$337=C1572)*
           (aspek!$C$2:$C$337=D1572),0))</f>
        <v>Keandalan dan konsistensi</v>
      </c>
      <c r="F1572" s="76">
        <v>1</v>
      </c>
      <c r="G1572" s="56" t="str" cm="1">
        <f t="array" ref="G1572">INDEX(deskripsi!$D$2:$H$337,
   MATCH(1,(deskripsi!$A$2:$A$337=B1572)*
           (deskripsi!$B$2:$B$337=C1572)*
           (deskripsi!$C$2:$C$337=D1572),0),
   F1572)</f>
        <v>Mutu dan ketepatan waktunya tidak dapat diperkirakan; penerima selalu harus memeriksa ulang.</v>
      </c>
    </row>
    <row r="1573" spans="1:7" ht="28">
      <c r="A1573" t="str">
        <f t="shared" si="24"/>
        <v>Customer Focus|Officer|3|2</v>
      </c>
      <c r="B1573" t="str">
        <v>Customer Focus</v>
      </c>
      <c r="C1573" t="str">
        <v>Officer</v>
      </c>
      <c r="D1573" s="76">
        <v>3</v>
      </c>
      <c r="E1573" t="str" cm="1">
        <f t="array" ref="E1573">INDEX(aspek!$D$2:$D$337,
   MATCH(1,(aspek!$A$2:$A$337=B1573)*
           (aspek!$B$2:$B$337=C1573)*
           (aspek!$C$2:$C$337=D1573),0))</f>
        <v>Keandalan dan konsistensi</v>
      </c>
      <c r="F1573" s="76">
        <v>2</v>
      </c>
      <c r="G1573" s="56" t="str" cm="1">
        <f t="array" ref="G1573">INDEX(deskripsi!$D$2:$H$337,
   MATCH(1,(deskripsi!$A$2:$A$337=B1573)*
           (deskripsi!$B$2:$B$337=C1573)*
           (deskripsi!$C$2:$C$337=D1573),0),
   F1573)</f>
        <v>Baik pada sebagian periode dan menurun pada periode lain, tanpa pola yang jelas.</v>
      </c>
    </row>
    <row r="1574" spans="1:7" ht="28">
      <c r="A1574" t="str">
        <f t="shared" si="24"/>
        <v>Customer Focus|Officer|3|3</v>
      </c>
      <c r="B1574" t="str">
        <v>Customer Focus</v>
      </c>
      <c r="C1574" t="str">
        <v>Officer</v>
      </c>
      <c r="D1574" s="76">
        <v>3</v>
      </c>
      <c r="E1574" t="str" cm="1">
        <f t="array" ref="E1574">INDEX(aspek!$D$2:$D$337,
   MATCH(1,(aspek!$A$2:$A$337=B1574)*
           (aspek!$B$2:$B$337=C1574)*
           (aspek!$C$2:$C$337=D1574),0))</f>
        <v>Keandalan dan konsistensi</v>
      </c>
      <c r="F1574" s="76">
        <v>3</v>
      </c>
      <c r="G1574" s="56" t="str" cm="1">
        <f t="array" ref="G1574">INDEX(deskripsi!$D$2:$H$337,
   MATCH(1,(deskripsi!$A$2:$A$337=B1574)*
           (deskripsi!$B$2:$B$337=C1574)*
           (deskripsi!$C$2:$C$337=D1574),0),
   F1574)</f>
        <v>Cukup dapat diandalkan pada pekerjaan rutin, tetapi belum teruji pada pekerjaan yang tidak rutin.</v>
      </c>
    </row>
    <row r="1575" spans="1:7" ht="42">
      <c r="A1575" t="str">
        <f t="shared" si="24"/>
        <v>Customer Focus|Officer|3|4</v>
      </c>
      <c r="B1575" t="str">
        <v>Customer Focus</v>
      </c>
      <c r="C1575" t="str">
        <v>Officer</v>
      </c>
      <c r="D1575" s="76">
        <v>3</v>
      </c>
      <c r="E1575" t="str" cm="1">
        <f t="array" ref="E1575">INDEX(aspek!$D$2:$D$337,
   MATCH(1,(aspek!$A$2:$A$337=B1575)*
           (aspek!$B$2:$B$337=C1575)*
           (aspek!$C$2:$C$337=D1575),0))</f>
        <v>Keandalan dan konsistensi</v>
      </c>
      <c r="F1575" s="76">
        <v>4</v>
      </c>
      <c r="G1575" s="56" t="str" cm="1">
        <f t="array" ref="G1575">INDEX(deskripsi!$D$2:$H$337,
   MATCH(1,(deskripsi!$A$2:$A$337=B1575)*
           (deskripsi!$B$2:$B$337=C1575)*
           (deskripsi!$C$2:$C$337=D1575),0),
   F1575)</f>
        <v>Angka ketepatan waktu dan bebas-revisi bertahan tinggi selama beberapa bulan berturut-turut, termasuk pada bulan tersibuk.</v>
      </c>
    </row>
    <row r="1576" spans="1:7" ht="28">
      <c r="A1576" t="str">
        <f t="shared" si="24"/>
        <v>Customer Focus|Officer|3|5</v>
      </c>
      <c r="B1576" t="str">
        <v>Customer Focus</v>
      </c>
      <c r="C1576" t="str">
        <v>Officer</v>
      </c>
      <c r="D1576" s="76">
        <v>3</v>
      </c>
      <c r="E1576" t="str" cm="1">
        <f t="array" ref="E1576">INDEX(aspek!$D$2:$D$337,
   MATCH(1,(aspek!$A$2:$A$337=B1576)*
           (aspek!$B$2:$B$337=C1576)*
           (aspek!$C$2:$C$337=D1576),0))</f>
        <v>Keandalan dan konsistensi</v>
      </c>
      <c r="F1576" s="76">
        <v>5</v>
      </c>
      <c r="G1576" s="56" t="str" cm="1">
        <f t="array" ref="G1576">INDEX(deskripsi!$D$2:$H$337,
   MATCH(1,(deskripsi!$A$2:$A$337=B1576)*
           (deskripsi!$B$2:$B$337=C1576)*
           (deskripsi!$C$2:$C$337=D1576),0),
   F1576)</f>
        <v>Menjadi orang yang diberi pekerjaan paling kritis, karena keandalannya dianggap tidak bergantung pada situasi.</v>
      </c>
    </row>
    <row r="1577" spans="1:7" ht="28">
      <c r="A1577" t="str">
        <f t="shared" si="24"/>
        <v>Customer Focus|Officer|4|1</v>
      </c>
      <c r="B1577" t="str">
        <v>Customer Focus</v>
      </c>
      <c r="C1577" t="str">
        <v>Officer</v>
      </c>
      <c r="D1577" s="76">
        <v>4</v>
      </c>
      <c r="E1577" t="str" cm="1">
        <f t="array" ref="E1577">INDEX(aspek!$D$2:$D$337,
   MATCH(1,(aspek!$A$2:$A$337=B1577)*
           (aspek!$B$2:$B$337=C1577)*
           (aspek!$C$2:$C$337=D1577),0))</f>
        <v>Pengelolaan kesepakatan dan peringatan dini</v>
      </c>
      <c r="F1577" s="76">
        <v>1</v>
      </c>
      <c r="G1577" s="56" t="str" cm="1">
        <f t="array" ref="G1577">INDEX(deskripsi!$D$2:$H$337,
   MATCH(1,(deskripsi!$A$2:$A$337=B1577)*
           (deskripsi!$B$2:$B$337=C1577)*
           (deskripsi!$C$2:$C$337=D1577),0),
   F1577)</f>
        <v>Mulai mengerjakan tanpa memastikan apa yang diminta dan kapan; perbedaan tafsir baru ketahuan saat penyerahan.</v>
      </c>
    </row>
    <row r="1578" spans="1:7" ht="28">
      <c r="A1578" t="str">
        <f t="shared" si="24"/>
        <v>Customer Focus|Officer|4|2</v>
      </c>
      <c r="B1578" t="str">
        <v>Customer Focus</v>
      </c>
      <c r="C1578" t="str">
        <v>Officer</v>
      </c>
      <c r="D1578" s="76">
        <v>4</v>
      </c>
      <c r="E1578" t="str" cm="1">
        <f t="array" ref="E1578">INDEX(aspek!$D$2:$D$337,
   MATCH(1,(aspek!$A$2:$A$337=B1578)*
           (aspek!$B$2:$B$337=C1578)*
           (aspek!$C$2:$C$337=D1578),0))</f>
        <v>Pengelolaan kesepakatan dan peringatan dini</v>
      </c>
      <c r="F1578" s="76">
        <v>2</v>
      </c>
      <c r="G1578" s="56" t="str" cm="1">
        <f t="array" ref="G1578">INDEX(deskripsi!$D$2:$H$337,
   MATCH(1,(deskripsi!$A$2:$A$337=B1578)*
           (deskripsi!$B$2:$B$337=C1578)*
           (deskripsi!$C$2:$C$337=D1578),0),
   F1578)</f>
        <v>Menanyakan tenggat, tetapi tidak menyepakati seperti apa hasil yang dianggap selesai.</v>
      </c>
    </row>
    <row r="1579" spans="1:7" ht="28">
      <c r="A1579" t="str">
        <f t="shared" si="24"/>
        <v>Customer Focus|Officer|4|3</v>
      </c>
      <c r="B1579" t="str">
        <v>Customer Focus</v>
      </c>
      <c r="C1579" t="str">
        <v>Officer</v>
      </c>
      <c r="D1579" s="76">
        <v>4</v>
      </c>
      <c r="E1579" t="str" cm="1">
        <f t="array" ref="E1579">INDEX(aspek!$D$2:$D$337,
   MATCH(1,(aspek!$A$2:$A$337=B1579)*
           (aspek!$B$2:$B$337=C1579)*
           (aspek!$C$2:$C$337=D1579),0))</f>
        <v>Pengelolaan kesepakatan dan peringatan dini</v>
      </c>
      <c r="F1579" s="76">
        <v>3</v>
      </c>
      <c r="G1579" s="56" t="str" cm="1">
        <f t="array" ref="G1579">INDEX(deskripsi!$D$2:$H$337,
   MATCH(1,(deskripsi!$A$2:$A$337=B1579)*
           (deskripsi!$B$2:$B$337=C1579)*
           (deskripsi!$C$2:$C$337=D1579),0),
   F1579)</f>
        <v>Menyepakati hasil dan tenggat di muka pada permintaan yang penting.</v>
      </c>
    </row>
    <row r="1580" spans="1:7" ht="56">
      <c r="A1580" t="str">
        <f t="shared" si="24"/>
        <v>Customer Focus|Officer|4|4</v>
      </c>
      <c r="B1580" t="str">
        <v>Customer Focus</v>
      </c>
      <c r="C1580" t="str">
        <v>Officer</v>
      </c>
      <c r="D1580" s="76">
        <v>4</v>
      </c>
      <c r="E1580" t="str" cm="1">
        <f t="array" ref="E1580">INDEX(aspek!$D$2:$D$337,
   MATCH(1,(aspek!$A$2:$A$337=B1580)*
           (aspek!$B$2:$B$337=C1580)*
           (aspek!$C$2:$C$337=D1580),0))</f>
        <v>Pengelolaan kesepakatan dan peringatan dini</v>
      </c>
      <c r="F1580" s="76">
        <v>4</v>
      </c>
      <c r="G1580" s="56" t="str" cm="1">
        <f t="array" ref="G1580">INDEX(deskripsi!$D$2:$H$337,
   MATCH(1,(deskripsi!$A$2:$A$337=B1580)*
           (deskripsi!$B$2:$B$337=C1580)*
           (deskripsi!$C$2:$C$337=D1580),0),
   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76">
        <v>4</v>
      </c>
      <c r="E1581" t="str" cm="1">
        <f t="array" ref="E1581">INDEX(aspek!$D$2:$D$337,
   MATCH(1,(aspek!$A$2:$A$337=B1581)*
           (aspek!$B$2:$B$337=C1581)*
           (aspek!$C$2:$C$337=D1581),0))</f>
        <v>Pengelolaan kesepakatan dan peringatan dini</v>
      </c>
      <c r="F1581" s="76">
        <v>5</v>
      </c>
      <c r="G1581" s="56" t="str" cm="1">
        <f t="array" ref="G1581">INDEX(deskripsi!$D$2:$H$337,
   MATCH(1,(deskripsi!$A$2:$A$337=B1581)*
           (deskripsi!$B$2:$B$337=C1581)*
           (deskripsi!$C$2:$C$337=D1581),0),
   F1581)</f>
        <v>Kriteria penerimaan yang ia sepakati menjadi acuan baku antara unitnya dan penerima output.</v>
      </c>
    </row>
    <row r="1582" spans="1:7" ht="42">
      <c r="A1582" t="str">
        <f t="shared" si="24"/>
        <v>Customer Focus|Analyst|1|1</v>
      </c>
      <c r="B1582" t="str">
        <v>Customer Focus</v>
      </c>
      <c r="C1582" t="str">
        <v>Analyst</v>
      </c>
      <c r="D1582" s="76">
        <v>1</v>
      </c>
      <c r="E1582" t="str" cm="1">
        <f t="array" ref="E1582">INDEX(aspek!$D$2:$D$337,
   MATCH(1,(aspek!$A$2:$A$337=B1582)*
           (aspek!$B$2:$B$337=C1582)*
           (aspek!$C$2:$C$337=D1582),0))</f>
        <v>Kedalaman penggalian</v>
      </c>
      <c r="F1582" s="76">
        <v>1</v>
      </c>
      <c r="G1582" s="56" t="str" cm="1">
        <f t="array" ref="G1582">INDEX(deskripsi!$D$2:$H$337,
   MATCH(1,(deskripsi!$A$2:$A$337=B1582)*
           (deskripsi!$B$2:$B$337=C1582)*
           (deskripsi!$C$2:$C$337=D1582),0),
   F1582)</f>
        <v>Cepat menyimpulkan tentang pelanggan berdasarkan pengalaman sebelumnya atau kesan pertama, tanpa memeriksanya.</v>
      </c>
    </row>
    <row r="1583" spans="1:7" ht="28">
      <c r="A1583" t="str">
        <f t="shared" si="24"/>
        <v>Customer Focus|Analyst|1|2</v>
      </c>
      <c r="B1583" t="str">
        <v>Customer Focus</v>
      </c>
      <c r="C1583" t="str">
        <v>Analyst</v>
      </c>
      <c r="D1583" s="76">
        <v>1</v>
      </c>
      <c r="E1583" t="str" cm="1">
        <f t="array" ref="E1583">INDEX(aspek!$D$2:$D$337,
   MATCH(1,(aspek!$A$2:$A$337=B1583)*
           (aspek!$B$2:$B$337=C1583)*
           (aspek!$C$2:$C$337=D1583),0))</f>
        <v>Kedalaman penggalian</v>
      </c>
      <c r="F1583" s="76">
        <v>2</v>
      </c>
      <c r="G1583" s="56" t="str" cm="1">
        <f t="array" ref="G1583">INDEX(deskripsi!$D$2:$H$337,
   MATCH(1,(deskripsi!$A$2:$A$337=B1583)*
           (deskripsi!$B$2:$B$337=C1583)*
           (deskripsi!$C$2:$C$337=D1583),0),
   F1583)</f>
        <v>Bertanya seperlunya agar tugas dapat dikerjakan; berhenti begitu permintaannya cukup jelas.</v>
      </c>
    </row>
    <row r="1584" spans="1:7" ht="28">
      <c r="A1584" t="str">
        <f t="shared" si="24"/>
        <v>Customer Focus|Analyst|1|3</v>
      </c>
      <c r="B1584" t="str">
        <v>Customer Focus</v>
      </c>
      <c r="C1584" t="str">
        <v>Analyst</v>
      </c>
      <c r="D1584" s="76">
        <v>1</v>
      </c>
      <c r="E1584" t="str" cm="1">
        <f t="array" ref="E1584">INDEX(aspek!$D$2:$D$337,
   MATCH(1,(aspek!$A$2:$A$337=B1584)*
           (aspek!$B$2:$B$337=C1584)*
           (aspek!$C$2:$C$337=D1584),0))</f>
        <v>Kedalaman penggalian</v>
      </c>
      <c r="F1584" s="76">
        <v>3</v>
      </c>
      <c r="G1584" s="56" t="str" cm="1">
        <f t="array" ref="G1584">INDEX(deskripsi!$D$2:$H$337,
   MATCH(1,(deskripsi!$A$2:$A$337=B1584)*
           (deskripsi!$B$2:$B$337=C1584)*
           (deskripsi!$C$2:$C$337=D1584),0),
   F1584)</f>
        <v>Menanyakan konteks di balik permintaan — untuk apa dipakai, kapan dibutuhkan, siapa yang akan memakainya.</v>
      </c>
    </row>
    <row r="1585" spans="1:7" ht="42">
      <c r="A1585" t="str">
        <f t="shared" si="24"/>
        <v>Customer Focus|Analyst|1|4</v>
      </c>
      <c r="B1585" t="str">
        <v>Customer Focus</v>
      </c>
      <c r="C1585" t="str">
        <v>Analyst</v>
      </c>
      <c r="D1585" s="76">
        <v>1</v>
      </c>
      <c r="E1585" t="str" cm="1">
        <f t="array" ref="E1585">INDEX(aspek!$D$2:$D$337,
   MATCH(1,(aspek!$A$2:$A$337=B1585)*
           (aspek!$B$2:$B$337=C1585)*
           (aspek!$C$2:$C$337=D1585),0))</f>
        <v>Kedalaman penggalian</v>
      </c>
      <c r="F1585" s="76">
        <v>4</v>
      </c>
      <c r="G1585" s="56" t="str" cm="1">
        <f t="array" ref="G1585">INDEX(deskripsi!$D$2:$H$337,
   MATCH(1,(deskripsi!$A$2:$A$337=B1585)*
           (deskripsi!$B$2:$B$337=C1585)*
           (deskripsi!$C$2:$C$337=D1585),0),
   F1585)</f>
        <v>Menggali sampai memahami alasan, kendala, dan harapan pelanggan, termasuk hal yang tidak berhubungan langsung dengan tugas yang sedang dikerjakan.</v>
      </c>
    </row>
    <row r="1586" spans="1:7" ht="28">
      <c r="A1586" t="str">
        <f t="shared" si="24"/>
        <v>Customer Focus|Analyst|1|5</v>
      </c>
      <c r="B1586" t="str">
        <v>Customer Focus</v>
      </c>
      <c r="C1586" t="str">
        <v>Analyst</v>
      </c>
      <c r="D1586" s="76">
        <v>1</v>
      </c>
      <c r="E1586" t="str" cm="1">
        <f t="array" ref="E1586">INDEX(aspek!$D$2:$D$337,
   MATCH(1,(aspek!$A$2:$A$337=B1586)*
           (aspek!$B$2:$B$337=C1586)*
           (aspek!$C$2:$C$337=D1586),0))</f>
        <v>Kedalaman penggalian</v>
      </c>
      <c r="F1586" s="76">
        <v>5</v>
      </c>
      <c r="G1586" s="56" t="str" cm="1">
        <f t="array" ref="G1586">INDEX(deskripsi!$D$2:$H$337,
   MATCH(1,(deskripsi!$A$2:$A$337=B1586)*
           (deskripsi!$B$2:$B$337=C1586)*
           (deskripsi!$C$2:$C$337=D1586),0),
   F1586)</f>
        <v>Pelanggan menceritakan kekhawatiran dan rencana yang tidak mereka sampaikan kepada orang lain di unitnya.</v>
      </c>
    </row>
    <row r="1587" spans="1:7" ht="28">
      <c r="A1587" t="str">
        <f t="shared" si="24"/>
        <v>Customer Focus|Analyst|2|1</v>
      </c>
      <c r="B1587" t="str">
        <v>Customer Focus</v>
      </c>
      <c r="C1587" t="str">
        <v>Analyst</v>
      </c>
      <c r="D1587" s="76">
        <v>2</v>
      </c>
      <c r="E1587" t="str" cm="1">
        <f t="array" ref="E1587">INDEX(aspek!$D$2:$D$337,
   MATCH(1,(aspek!$A$2:$A$337=B1587)*
           (aspek!$B$2:$B$337=C1587)*
           (aspek!$C$2:$C$337=D1587),0))</f>
        <v>Ketulusan penggalian</v>
      </c>
      <c r="F1587" s="76">
        <v>1</v>
      </c>
      <c r="G1587" s="56" t="str" cm="1">
        <f t="array" ref="G1587">INDEX(deskripsi!$D$2:$H$337,
   MATCH(1,(deskripsi!$A$2:$A$337=B1587)*
           (deskripsi!$B$2:$B$337=C1587)*
           (deskripsi!$C$2:$C$337=D1587),0),
   F1587)</f>
        <v>Tidak bertanya sama sekali, atau bertanya hanya untuk memastikan dirinya tidak disalahkan.</v>
      </c>
    </row>
    <row r="1588" spans="1:7" ht="28">
      <c r="A1588" t="str">
        <f t="shared" si="24"/>
        <v>Customer Focus|Analyst|2|2</v>
      </c>
      <c r="B1588" t="str">
        <v>Customer Focus</v>
      </c>
      <c r="C1588" t="str">
        <v>Analyst</v>
      </c>
      <c r="D1588" s="76">
        <v>2</v>
      </c>
      <c r="E1588" t="str" cm="1">
        <f t="array" ref="E1588">INDEX(aspek!$D$2:$D$337,
   MATCH(1,(aspek!$A$2:$A$337=B1588)*
           (aspek!$B$2:$B$337=C1588)*
           (aspek!$C$2:$C$337=D1588),0))</f>
        <v>Ketulusan penggalian</v>
      </c>
      <c r="F1588" s="76">
        <v>2</v>
      </c>
      <c r="G1588" s="56" t="str" cm="1">
        <f t="array" ref="G1588">INDEX(deskripsi!$D$2:$H$337,
   MATCH(1,(deskripsi!$A$2:$A$337=B1588)*
           (deskripsi!$B$2:$B$337=C1588)*
           (deskripsi!$C$2:$C$337=D1588),0),
   F1588)</f>
        <v>Bertanya dengan daftar pertanyaan yang sama untuk semua orang; jawabannya dicatat tetapi tidak memengaruhi apa pun.</v>
      </c>
    </row>
    <row r="1589" spans="1:7" ht="28">
      <c r="A1589" t="str">
        <f t="shared" si="24"/>
        <v>Customer Focus|Analyst|2|3</v>
      </c>
      <c r="B1589" t="str">
        <v>Customer Focus</v>
      </c>
      <c r="C1589" t="str">
        <v>Analyst</v>
      </c>
      <c r="D1589" s="76">
        <v>2</v>
      </c>
      <c r="E1589" t="str" cm="1">
        <f t="array" ref="E1589">INDEX(aspek!$D$2:$D$337,
   MATCH(1,(aspek!$A$2:$A$337=B1589)*
           (aspek!$B$2:$B$337=C1589)*
           (aspek!$C$2:$C$337=D1589),0))</f>
        <v>Ketulusan penggalian</v>
      </c>
      <c r="F1589" s="76">
        <v>3</v>
      </c>
      <c r="G1589" s="56" t="str" cm="1">
        <f t="array" ref="G1589">INDEX(deskripsi!$D$2:$H$337,
   MATCH(1,(deskripsi!$A$2:$A$337=B1589)*
           (deskripsi!$B$2:$B$337=C1589)*
           (deskripsi!$C$2:$C$337=D1589),0),
   F1589)</f>
        <v>Bertanya dengan sungguh-sungguh, dan jawabannya memengaruhi cara ia mengerjakan tugas.</v>
      </c>
    </row>
    <row r="1590" spans="1:7" ht="42">
      <c r="A1590" t="str">
        <f t="shared" si="24"/>
        <v>Customer Focus|Analyst|2|4</v>
      </c>
      <c r="B1590" t="str">
        <v>Customer Focus</v>
      </c>
      <c r="C1590" t="str">
        <v>Analyst</v>
      </c>
      <c r="D1590" s="76">
        <v>2</v>
      </c>
      <c r="E1590" t="str" cm="1">
        <f t="array" ref="E1590">INDEX(aspek!$D$2:$D$337,
   MATCH(1,(aspek!$A$2:$A$337=B1590)*
           (aspek!$B$2:$B$337=C1590)*
           (aspek!$C$2:$C$337=D1590),0))</f>
        <v>Ketulusan penggalian</v>
      </c>
      <c r="F1590" s="76">
        <v>4</v>
      </c>
      <c r="G1590" s="56" t="str" cm="1">
        <f t="array" ref="G1590">INDEX(deskripsi!$D$2:$H$337,
   MATCH(1,(deskripsi!$A$2:$A$337=B1590)*
           (deskripsi!$B$2:$B$337=C1590)*
           (deskripsi!$C$2:$C$337=D1590),0),
   F1590)</f>
        <v>Pelanggan merasa percakapannya wajar dan bukan formalitas, serta bersedia bercerita lebih jauh daripada yang ditanyakan.</v>
      </c>
    </row>
    <row r="1591" spans="1:7" ht="28">
      <c r="A1591" t="str">
        <f t="shared" si="24"/>
        <v>Customer Focus|Analyst|2|5</v>
      </c>
      <c r="B1591" t="str">
        <v>Customer Focus</v>
      </c>
      <c r="C1591" t="str">
        <v>Analyst</v>
      </c>
      <c r="D1591" s="76">
        <v>2</v>
      </c>
      <c r="E1591" t="str" cm="1">
        <f t="array" ref="E1591">INDEX(aspek!$D$2:$D$337,
   MATCH(1,(aspek!$A$2:$A$337=B1591)*
           (aspek!$B$2:$B$337=C1591)*
           (aspek!$C$2:$C$337=D1591),0))</f>
        <v>Ketulusan penggalian</v>
      </c>
      <c r="F1591" s="76">
        <v>5</v>
      </c>
      <c r="G1591" s="56" t="str" cm="1">
        <f t="array" ref="G1591">INDEX(deskripsi!$D$2:$H$337,
   MATCH(1,(deskripsi!$A$2:$A$337=B1591)*
           (deskripsi!$B$2:$B$337=C1591)*
           (deskripsi!$C$2:$C$337=D1591),0),
   F1591)</f>
        <v>Menjadi orang yang dicari pelanggan untuk bercerita, bahkan ketika tidak ada pekerjaan yang sedang berjalan.</v>
      </c>
    </row>
    <row r="1592" spans="1:7" ht="28">
      <c r="A1592" t="str">
        <f t="shared" si="24"/>
        <v>Customer Focus|Analyst|3|1</v>
      </c>
      <c r="B1592" t="str">
        <v>Customer Focus</v>
      </c>
      <c r="C1592" t="str">
        <v>Analyst</v>
      </c>
      <c r="D1592" s="76">
        <v>3</v>
      </c>
      <c r="E1592" t="str" cm="1">
        <f t="array" ref="E1592">INDEX(aspek!$D$2:$D$337,
   MATCH(1,(aspek!$A$2:$A$337=B1592)*
           (aspek!$B$2:$B$337=C1592)*
           (aspek!$C$2:$C$337=D1592),0))</f>
        <v>Pemerataan perhatian</v>
      </c>
      <c r="F1592" s="76">
        <v>1</v>
      </c>
      <c r="G1592" s="56" t="str" cm="1">
        <f t="array" ref="G1592">INDEX(deskripsi!$D$2:$H$337,
   MATCH(1,(deskripsi!$A$2:$A$337=B1592)*
           (deskripsi!$B$2:$B$337=C1592)*
           (deskripsi!$C$2:$C$337=D1592),0),
   F1592)</f>
        <v>Hanya menggali kebutuhan pelanggan besar atau yang dianggap penting; sisanya dilayani seperlunya.</v>
      </c>
    </row>
    <row r="1593" spans="1:7" ht="28">
      <c r="A1593" t="str">
        <f t="shared" si="24"/>
        <v>Customer Focus|Analyst|3|2</v>
      </c>
      <c r="B1593" t="str">
        <v>Customer Focus</v>
      </c>
      <c r="C1593" t="str">
        <v>Analyst</v>
      </c>
      <c r="D1593" s="76">
        <v>3</v>
      </c>
      <c r="E1593" t="str" cm="1">
        <f t="array" ref="E1593">INDEX(aspek!$D$2:$D$337,
   MATCH(1,(aspek!$A$2:$A$337=B1593)*
           (aspek!$B$2:$B$337=C1593)*
           (aspek!$C$2:$C$337=D1593),0))</f>
        <v>Pemerataan perhatian</v>
      </c>
      <c r="F1593" s="76">
        <v>2</v>
      </c>
      <c r="G1593" s="56" t="str" cm="1">
        <f t="array" ref="G1593">INDEX(deskripsi!$D$2:$H$337,
   MATCH(1,(deskripsi!$A$2:$A$337=B1593)*
           (deskripsi!$B$2:$B$337=C1593)*
           (deskripsi!$C$2:$C$337=D1593),0),
   F1593)</f>
        <v>Menyadari perbedaan perlakuan itu, tetapi belum mengubahnya.</v>
      </c>
    </row>
    <row r="1594" spans="1:7" ht="28">
      <c r="A1594" t="str">
        <f t="shared" si="24"/>
        <v>Customer Focus|Analyst|3|3</v>
      </c>
      <c r="B1594" t="str">
        <v>Customer Focus</v>
      </c>
      <c r="C1594" t="str">
        <v>Analyst</v>
      </c>
      <c r="D1594" s="76">
        <v>3</v>
      </c>
      <c r="E1594" t="str" cm="1">
        <f t="array" ref="E1594">INDEX(aspek!$D$2:$D$337,
   MATCH(1,(aspek!$A$2:$A$337=B1594)*
           (aspek!$B$2:$B$337=C1594)*
           (aspek!$C$2:$C$337=D1594),0))</f>
        <v>Pemerataan perhatian</v>
      </c>
      <c r="F1594" s="76">
        <v>3</v>
      </c>
      <c r="G1594" s="56" t="str" cm="1">
        <f t="array" ref="G1594">INDEX(deskripsi!$D$2:$H$337,
   MATCH(1,(deskripsi!$A$2:$A$337=B1594)*
           (deskripsi!$B$2:$B$337=C1594)*
           (deskripsi!$C$2:$C$337=D1594),0),
   F1594)</f>
        <v>Menggali kebutuhan sebagian besar pelanggan, meski kedalamannya masih berbeda menurut besar-kecilnya.</v>
      </c>
    </row>
    <row r="1595" spans="1:7" ht="42">
      <c r="A1595" t="str">
        <f t="shared" si="24"/>
        <v>Customer Focus|Analyst|3|4</v>
      </c>
      <c r="B1595" t="str">
        <v>Customer Focus</v>
      </c>
      <c r="C1595" t="str">
        <v>Analyst</v>
      </c>
      <c r="D1595" s="76">
        <v>3</v>
      </c>
      <c r="E1595" t="str" cm="1">
        <f t="array" ref="E1595">INDEX(aspek!$D$2:$D$337,
   MATCH(1,(aspek!$A$2:$A$337=B1595)*
           (aspek!$B$2:$B$337=C1595)*
           (aspek!$C$2:$C$337=D1595),0))</f>
        <v>Pemerataan perhatian</v>
      </c>
      <c r="F1595" s="76">
        <v>4</v>
      </c>
      <c r="G1595" s="56" t="str" cm="1">
        <f t="array" ref="G1595">INDEX(deskripsi!$D$2:$H$337,
   MATCH(1,(deskripsi!$A$2:$A$337=B1595)*
           (deskripsi!$B$2:$B$337=C1595)*
           (deskripsi!$C$2:$C$337=D1595),0),
   F1595)</f>
        <v>Memberi kedalaman penggalian yang sebanding kepada seluruh pelanggan — besar maupun kecil, potensial maupun tidak.</v>
      </c>
    </row>
    <row r="1596" spans="1:7" ht="42">
      <c r="A1596" t="str">
        <f t="shared" si="24"/>
        <v>Customer Focus|Analyst|3|5</v>
      </c>
      <c r="B1596" t="str">
        <v>Customer Focus</v>
      </c>
      <c r="C1596" t="str">
        <v>Analyst</v>
      </c>
      <c r="D1596" s="76">
        <v>3</v>
      </c>
      <c r="E1596" t="str" cm="1">
        <f t="array" ref="E1596">INDEX(aspek!$D$2:$D$337,
   MATCH(1,(aspek!$A$2:$A$337=B1596)*
           (aspek!$B$2:$B$337=C1596)*
           (aspek!$C$2:$C$337=D1596),0))</f>
        <v>Pemerataan perhatian</v>
      </c>
      <c r="F1596" s="76">
        <v>5</v>
      </c>
      <c r="G1596" s="56" t="str" cm="1">
        <f t="array" ref="G1596">INDEX(deskripsi!$D$2:$H$337,
   MATCH(1,(deskripsi!$A$2:$A$337=B1596)*
           (deskripsi!$B$2:$B$337=C1596)*
           (deskripsi!$C$2:$C$337=D1596),0),
   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76">
        <v>4</v>
      </c>
      <c r="E1597" t="str" cm="1">
        <f t="array" ref="E1597">INDEX(aspek!$D$2:$D$337,
   MATCH(1,(aspek!$A$2:$A$337=B1597)*
           (aspek!$B$2:$B$337=C1597)*
           (aspek!$C$2:$C$337=D1597),0))</f>
        <v>Kelanjutan komunikasi setelah pekerjaan selesai</v>
      </c>
      <c r="F1597" s="76">
        <v>1</v>
      </c>
      <c r="G1597" s="56" t="str" cm="1">
        <f t="array" ref="G1597">INDEX(deskripsi!$D$2:$H$337,
   MATCH(1,(deskripsi!$A$2:$A$337=B1597)*
           (deskripsi!$B$2:$B$337=C1597)*
           (deskripsi!$C$2:$C$337=D1597),0),
   F1597)</f>
        <v>Komunikasi berhenti begitu hasil kerja diserahkan.</v>
      </c>
    </row>
    <row r="1598" spans="1:7" ht="28">
      <c r="A1598" t="str">
        <f t="shared" si="24"/>
        <v>Customer Focus|Analyst|4|2</v>
      </c>
      <c r="B1598" t="str">
        <v>Customer Focus</v>
      </c>
      <c r="C1598" t="str">
        <v>Analyst</v>
      </c>
      <c r="D1598" s="76">
        <v>4</v>
      </c>
      <c r="E1598" t="str" cm="1">
        <f t="array" ref="E1598">INDEX(aspek!$D$2:$D$337,
   MATCH(1,(aspek!$A$2:$A$337=B1598)*
           (aspek!$B$2:$B$337=C1598)*
           (aspek!$C$2:$C$337=D1598),0))</f>
        <v>Kelanjutan komunikasi setelah pekerjaan selesai</v>
      </c>
      <c r="F1598" s="76">
        <v>2</v>
      </c>
      <c r="G1598" s="56" t="str" cm="1">
        <f t="array" ref="G1598">INDEX(deskripsi!$D$2:$H$337,
   MATCH(1,(deskripsi!$A$2:$A$337=B1598)*
           (deskripsi!$B$2:$B$337=C1598)*
           (deskripsi!$C$2:$C$337=D1598),0),
   F1598)</f>
        <v>Menanyakan kabar hanya bila ada keluhan, atau bila diminta atasan.</v>
      </c>
    </row>
    <row r="1599" spans="1:7" ht="28">
      <c r="A1599" t="str">
        <f t="shared" si="24"/>
        <v>Customer Focus|Analyst|4|3</v>
      </c>
      <c r="B1599" t="str">
        <v>Customer Focus</v>
      </c>
      <c r="C1599" t="str">
        <v>Analyst</v>
      </c>
      <c r="D1599" s="76">
        <v>4</v>
      </c>
      <c r="E1599" t="str" cm="1">
        <f t="array" ref="E1599">INDEX(aspek!$D$2:$D$337,
   MATCH(1,(aspek!$A$2:$A$337=B1599)*
           (aspek!$B$2:$B$337=C1599)*
           (aspek!$C$2:$C$337=D1599),0))</f>
        <v>Kelanjutan komunikasi setelah pekerjaan selesai</v>
      </c>
      <c r="F1599" s="76">
        <v>3</v>
      </c>
      <c r="G1599" s="56" t="str" cm="1">
        <f t="array" ref="G1599">INDEX(deskripsi!$D$2:$H$337,
   MATCH(1,(deskripsi!$A$2:$A$337=B1599)*
           (deskripsi!$B$2:$B$337=C1599)*
           (deskripsi!$C$2:$C$337=D1599),0),
   F1599)</f>
        <v>Menanyakan apakah hasilnya sesuai, tetapi percakapannya berhenti pada jawaban "sudah baik".</v>
      </c>
    </row>
    <row r="1600" spans="1:7" ht="42">
      <c r="A1600" t="str">
        <f t="shared" si="24"/>
        <v>Customer Focus|Analyst|4|4</v>
      </c>
      <c r="B1600" t="str">
        <v>Customer Focus</v>
      </c>
      <c r="C1600" t="str">
        <v>Analyst</v>
      </c>
      <c r="D1600" s="76">
        <v>4</v>
      </c>
      <c r="E1600" t="str" cm="1">
        <f t="array" ref="E1600">INDEX(aspek!$D$2:$D$337,
   MATCH(1,(aspek!$A$2:$A$337=B1600)*
           (aspek!$B$2:$B$337=C1600)*
           (aspek!$C$2:$C$337=D1600),0))</f>
        <v>Kelanjutan komunikasi setelah pekerjaan selesai</v>
      </c>
      <c r="F1600" s="76">
        <v>4</v>
      </c>
      <c r="G1600" s="56" t="str" cm="1">
        <f t="array" ref="G1600">INDEX(deskripsi!$D$2:$H$337,
   MATCH(1,(deskripsi!$A$2:$A$337=B1600)*
           (deskripsi!$B$2:$B$337=C1600)*
           (deskripsi!$C$2:$C$337=D1600),0),
   F1600)</f>
        <v>Menindaklanjuti secara rutin setelah penyerahan, dan memakai jawabannya untuk menyesuaikan pekerjaan berikutnya.</v>
      </c>
    </row>
    <row r="1601" spans="1:7" ht="28">
      <c r="A1601" t="str">
        <f t="shared" si="24"/>
        <v>Customer Focus|Analyst|4|5</v>
      </c>
      <c r="B1601" t="str">
        <v>Customer Focus</v>
      </c>
      <c r="C1601" t="str">
        <v>Analyst</v>
      </c>
      <c r="D1601" s="76">
        <v>4</v>
      </c>
      <c r="E1601" t="str" cm="1">
        <f t="array" ref="E1601">INDEX(aspek!$D$2:$D$337,
   MATCH(1,(aspek!$A$2:$A$337=B1601)*
           (aspek!$B$2:$B$337=C1601)*
           (aspek!$C$2:$C$337=D1601),0))</f>
        <v>Kelanjutan komunikasi setelah pekerjaan selesai</v>
      </c>
      <c r="F1601" s="76">
        <v>5</v>
      </c>
      <c r="G1601" s="56" t="str" cm="1">
        <f t="array" ref="G1601">INDEX(deskripsi!$D$2:$H$337,
   MATCH(1,(deskripsi!$A$2:$A$337=B1601)*
           (deskripsi!$B$2:$B$337=C1601)*
           (deskripsi!$C$2:$C$337=D1601),0),
   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76">
        <v>1</v>
      </c>
      <c r="E1602" t="str" cm="1">
        <f t="array" ref="E1602">INDEX(aspek!$D$2:$D$337,
   MATCH(1,(aspek!$A$2:$A$337=B1602)*
           (aspek!$B$2:$B$337=C1602)*
           (aspek!$C$2:$C$337=D1602),0))</f>
        <v>Kesediaan memutuskan tanpa kepastian penuh</v>
      </c>
      <c r="F1602" s="76">
        <v>1</v>
      </c>
      <c r="G1602" s="56" t="str" cm="1">
        <f t="array" ref="G1602">INDEX(deskripsi!$D$2:$H$337,
   MATCH(1,(deskripsi!$A$2:$A$337=B1602)*
           (deskripsi!$B$2:$B$337=C1602)*
           (deskripsi!$C$2:$C$337=D1602),0),
   F1602)</f>
        <v>Menunda keputusan atau menyerahkannya kepada atasan setiap kali informasinya tidak lengkap.</v>
      </c>
    </row>
    <row r="1603" spans="1:7" ht="28">
      <c r="A1603" t="str">
        <f t="shared" ref="A1603:A1666" si="25">B1603&amp;"|"&amp;C1603&amp;"|"&amp;D1603&amp;"|"&amp;F1603</f>
        <v>Customer Focus|Unit Head/Specialist|1|2</v>
      </c>
      <c r="B1603" t="str">
        <v>Customer Focus</v>
      </c>
      <c r="C1603" t="str">
        <v>Unit Head/Specialist</v>
      </c>
      <c r="D1603" s="76">
        <v>1</v>
      </c>
      <c r="E1603" t="str" cm="1">
        <f t="array" ref="E1603">INDEX(aspek!$D$2:$D$337,
   MATCH(1,(aspek!$A$2:$A$337=B1603)*
           (aspek!$B$2:$B$337=C1603)*
           (aspek!$C$2:$C$337=D1603),0))</f>
        <v>Kesediaan memutuskan tanpa kepastian penuh</v>
      </c>
      <c r="F1603" s="76">
        <v>2</v>
      </c>
      <c r="G1603" s="56" t="str" cm="1">
        <f t="array" ref="G1603">INDEX(deskripsi!$D$2:$H$337,
   MATCH(1,(deskripsi!$A$2:$A$337=B1603)*
           (deskripsi!$B$2:$B$337=C1603)*
           (deskripsi!$C$2:$C$337=D1603),0),
   F1603)</f>
        <v>Bersedia memutuskan hanya setelah menunggu sampai datanya dianggap cukup lengkap, meski tenggatnya terlewat.</v>
      </c>
    </row>
    <row r="1604" spans="1:7" ht="28">
      <c r="A1604" t="str">
        <f t="shared" si="25"/>
        <v>Customer Focus|Unit Head/Specialist|1|3</v>
      </c>
      <c r="B1604" t="str">
        <v>Customer Focus</v>
      </c>
      <c r="C1604" t="str">
        <v>Unit Head/Specialist</v>
      </c>
      <c r="D1604" s="76">
        <v>1</v>
      </c>
      <c r="E1604" t="str" cm="1">
        <f t="array" ref="E1604">INDEX(aspek!$D$2:$D$337,
   MATCH(1,(aspek!$A$2:$A$337=B1604)*
           (aspek!$B$2:$B$337=C1604)*
           (aspek!$C$2:$C$337=D1604),0))</f>
        <v>Kesediaan memutuskan tanpa kepastian penuh</v>
      </c>
      <c r="F1604" s="76">
        <v>3</v>
      </c>
      <c r="G1604" s="56" t="str" cm="1">
        <f t="array" ref="G1604">INDEX(deskripsi!$D$2:$H$337,
   MATCH(1,(deskripsi!$A$2:$A$337=B1604)*
           (deskripsi!$B$2:$B$337=C1604)*
           (deskripsi!$C$2:$C$337=D1604),0),
   F1604)</f>
        <v>Memutuskan tepat waktu pada perkara yang sudah familiar; masih menunda pada perkara yang baru baginya.</v>
      </c>
    </row>
    <row r="1605" spans="1:7" ht="42">
      <c r="A1605" t="str">
        <f t="shared" si="25"/>
        <v>Customer Focus|Unit Head/Specialist|1|4</v>
      </c>
      <c r="B1605" t="str">
        <v>Customer Focus</v>
      </c>
      <c r="C1605" t="str">
        <v>Unit Head/Specialist</v>
      </c>
      <c r="D1605" s="76">
        <v>1</v>
      </c>
      <c r="E1605" t="str" cm="1">
        <f t="array" ref="E1605">INDEX(aspek!$D$2:$D$337,
   MATCH(1,(aspek!$A$2:$A$337=B1605)*
           (aspek!$B$2:$B$337=C1605)*
           (aspek!$C$2:$C$337=D1605),0))</f>
        <v>Kesediaan memutuskan tanpa kepastian penuh</v>
      </c>
      <c r="F1605" s="76">
        <v>4</v>
      </c>
      <c r="G1605" s="56" t="str" cm="1">
        <f t="array" ref="G1605">INDEX(deskripsi!$D$2:$H$337,
   MATCH(1,(deskripsi!$A$2:$A$337=B1605)*
           (deskripsi!$B$2:$B$337=C1605)*
           (deskripsi!$C$2:$C$337=D1605),0),
   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76">
        <v>1</v>
      </c>
      <c r="E1606" t="str" cm="1">
        <f t="array" ref="E1606">INDEX(aspek!$D$2:$D$337,
   MATCH(1,(aspek!$A$2:$A$337=B1606)*
           (aspek!$B$2:$B$337=C1606)*
           (aspek!$C$2:$C$337=D1606),0))</f>
        <v>Kesediaan memutuskan tanpa kepastian penuh</v>
      </c>
      <c r="F1606" s="76">
        <v>5</v>
      </c>
      <c r="G1606" s="56" t="str" cm="1">
        <f t="array" ref="G1606">INDEX(deskripsi!$D$2:$H$337,
   MATCH(1,(deskripsi!$A$2:$A$337=B1606)*
           (deskripsi!$B$2:$B$337=C1606)*
           (deskripsi!$C$2:$C$337=D1606),0),
   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76">
        <v>2</v>
      </c>
      <c r="E1607" t="str" cm="1">
        <f t="array" ref="E1607">INDEX(aspek!$D$2:$D$337,
   MATCH(1,(aspek!$A$2:$A$337=B1607)*
           (aspek!$B$2:$B$337=C1607)*
           (aspek!$C$2:$C$337=D1607),0))</f>
        <v>Kualitas proses pertimbangan</v>
      </c>
      <c r="F1607" s="76">
        <v>1</v>
      </c>
      <c r="G1607" s="56" t="str" cm="1">
        <f t="array" ref="G1607">INDEX(deskripsi!$D$2:$H$337,
   MATCH(1,(deskripsi!$A$2:$A$337=B1607)*
           (deskripsi!$B$2:$B$337=C1607)*
           (deskripsi!$C$2:$C$337=D1607),0),
   F1607)</f>
        <v>Memutuskan berdasarkan kebiasaan atau dugaan; tidak dapat menjelaskan dasar keputusannya.</v>
      </c>
    </row>
    <row r="1608" spans="1:7" ht="28">
      <c r="A1608" t="str">
        <f t="shared" si="25"/>
        <v>Customer Focus|Unit Head/Specialist|2|2</v>
      </c>
      <c r="B1608" t="str">
        <v>Customer Focus</v>
      </c>
      <c r="C1608" t="str">
        <v>Unit Head/Specialist</v>
      </c>
      <c r="D1608" s="76">
        <v>2</v>
      </c>
      <c r="E1608" t="str" cm="1">
        <f t="array" ref="E1608">INDEX(aspek!$D$2:$D$337,
   MATCH(1,(aspek!$A$2:$A$337=B1608)*
           (aspek!$B$2:$B$337=C1608)*
           (aspek!$C$2:$C$337=D1608),0))</f>
        <v>Kualitas proses pertimbangan</v>
      </c>
      <c r="F1608" s="76">
        <v>2</v>
      </c>
      <c r="G1608" s="56" t="str" cm="1">
        <f t="array" ref="G1608">INDEX(deskripsi!$D$2:$H$337,
   MATCH(1,(deskripsi!$A$2:$A$337=B1608)*
           (deskripsi!$B$2:$B$337=C1608)*
           (deskripsi!$C$2:$C$337=D1608),0),
   F1608)</f>
        <v>Memilih opsi yang terpikir lebih dulu tanpa membandingkannya dengan alternatif lain.</v>
      </c>
    </row>
    <row r="1609" spans="1:7" ht="28">
      <c r="A1609" t="str">
        <f t="shared" si="25"/>
        <v>Customer Focus|Unit Head/Specialist|2|3</v>
      </c>
      <c r="B1609" t="str">
        <v>Customer Focus</v>
      </c>
      <c r="C1609" t="str">
        <v>Unit Head/Specialist</v>
      </c>
      <c r="D1609" s="76">
        <v>2</v>
      </c>
      <c r="E1609" t="str" cm="1">
        <f t="array" ref="E1609">INDEX(aspek!$D$2:$D$337,
   MATCH(1,(aspek!$A$2:$A$337=B1609)*
           (aspek!$B$2:$B$337=C1609)*
           (aspek!$C$2:$C$337=D1609),0))</f>
        <v>Kualitas proses pertimbangan</v>
      </c>
      <c r="F1609" s="76">
        <v>3</v>
      </c>
      <c r="G1609" s="56" t="str" cm="1">
        <f t="array" ref="G1609">INDEX(deskripsi!$D$2:$H$337,
   MATCH(1,(deskripsi!$A$2:$A$337=B1609)*
           (deskripsi!$B$2:$B$337=C1609)*
           (deskripsi!$C$2:$C$337=D1609),0),
   F1609)</f>
        <v>Memilih opsi yang paling masuk akal, dengan pertimbangan yang dapat dijelaskan.</v>
      </c>
    </row>
    <row r="1610" spans="1:7" ht="42">
      <c r="A1610" t="str">
        <f t="shared" si="25"/>
        <v>Customer Focus|Unit Head/Specialist|2|4</v>
      </c>
      <c r="B1610" t="str">
        <v>Customer Focus</v>
      </c>
      <c r="C1610" t="str">
        <v>Unit Head/Specialist</v>
      </c>
      <c r="D1610" s="76">
        <v>2</v>
      </c>
      <c r="E1610" t="str" cm="1">
        <f t="array" ref="E1610">INDEX(aspek!$D$2:$D$337,
   MATCH(1,(aspek!$A$2:$A$337=B1610)*
           (aspek!$B$2:$B$337=C1610)*
           (aspek!$C$2:$C$337=D1610),0))</f>
        <v>Kualitas proses pertimbangan</v>
      </c>
      <c r="F1610" s="76">
        <v>4</v>
      </c>
      <c r="G1610" s="56" t="str" cm="1">
        <f t="array" ref="G1610">INDEX(deskripsi!$D$2:$H$337,
   MATCH(1,(deskripsi!$A$2:$A$337=B1610)*
           (deskripsi!$B$2:$B$337=C1610)*
           (deskripsi!$C$2:$C$337=D1610),0),
   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76">
        <v>2</v>
      </c>
      <c r="E1611" t="str" cm="1">
        <f t="array" ref="E1611">INDEX(aspek!$D$2:$D$337,
   MATCH(1,(aspek!$A$2:$A$337=B1611)*
           (aspek!$B$2:$B$337=C1611)*
           (aspek!$C$2:$C$337=D1611),0))</f>
        <v>Kualitas proses pertimbangan</v>
      </c>
      <c r="F1611" s="76">
        <v>5</v>
      </c>
      <c r="G1611" s="56" t="str" cm="1">
        <f t="array" ref="G1611">INDEX(deskripsi!$D$2:$H$337,
   MATCH(1,(deskripsi!$A$2:$A$337=B1611)*
           (deskripsi!$B$2:$B$337=C1611)*
           (deskripsi!$C$2:$C$337=D1611),0),
   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76">
        <v>3</v>
      </c>
      <c r="E1612" t="str" cm="1">
        <f t="array" ref="E1612">INDEX(aspek!$D$2:$D$337,
   MATCH(1,(aspek!$A$2:$A$337=B1612)*
           (aspek!$B$2:$B$337=C1612)*
           (aspek!$C$2:$C$337=D1612),0))</f>
        <v>Tanggung jawab personal atas keputusan</v>
      </c>
      <c r="F1612" s="76">
        <v>1</v>
      </c>
      <c r="G1612" s="56" t="str" cm="1">
        <f t="array" ref="G1612">INDEX(deskripsi!$D$2:$H$337,
   MATCH(1,(deskripsi!$A$2:$A$337=B1612)*
           (deskripsi!$B$2:$B$337=C1612)*
           (deskripsi!$C$2:$C$337=D1612),0),
   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76">
        <v>3</v>
      </c>
      <c r="E1613" t="str" cm="1">
        <f t="array" ref="E1613">INDEX(aspek!$D$2:$D$337,
   MATCH(1,(aspek!$A$2:$A$337=B1613)*
           (aspek!$B$2:$B$337=C1613)*
           (aspek!$C$2:$C$337=D1613),0))</f>
        <v>Tanggung jawab personal atas keputusan</v>
      </c>
      <c r="F1613" s="76">
        <v>2</v>
      </c>
      <c r="G1613" s="56" t="str" cm="1">
        <f t="array" ref="G1613">INDEX(deskripsi!$D$2:$H$337,
   MATCH(1,(deskripsi!$A$2:$A$337=B1613)*
           (deskripsi!$B$2:$B$337=C1613)*
           (deskripsi!$C$2:$C$337=D1613),0),
   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76">
        <v>3</v>
      </c>
      <c r="E1614" t="str" cm="1">
        <f t="array" ref="E1614">INDEX(aspek!$D$2:$D$337,
   MATCH(1,(aspek!$A$2:$A$337=B1614)*
           (aspek!$B$2:$B$337=C1614)*
           (aspek!$C$2:$C$337=D1614),0))</f>
        <v>Tanggung jawab personal atas keputusan</v>
      </c>
      <c r="F1614" s="76">
        <v>3</v>
      </c>
      <c r="G1614" s="56" t="str" cm="1">
        <f t="array" ref="G1614">INDEX(deskripsi!$D$2:$H$337,
   MATCH(1,(deskripsi!$A$2:$A$337=B1614)*
           (deskripsi!$B$2:$B$337=C1614)*
           (deskripsi!$C$2:$C$337=D1614),0),
   F1614)</f>
        <v>Bertanggung jawab atas keputusannya dan mampu menjelaskan dasarnya kepada pelanggan.</v>
      </c>
    </row>
    <row r="1615" spans="1:7" ht="56">
      <c r="A1615" t="str">
        <f t="shared" si="25"/>
        <v>Customer Focus|Unit Head/Specialist|3|4</v>
      </c>
      <c r="B1615" t="str">
        <v>Customer Focus</v>
      </c>
      <c r="C1615" t="str">
        <v>Unit Head/Specialist</v>
      </c>
      <c r="D1615" s="76">
        <v>3</v>
      </c>
      <c r="E1615" t="str" cm="1">
        <f t="array" ref="E1615">INDEX(aspek!$D$2:$D$337,
   MATCH(1,(aspek!$A$2:$A$337=B1615)*
           (aspek!$B$2:$B$337=C1615)*
           (aspek!$C$2:$C$337=D1615),0))</f>
        <v>Tanggung jawab personal atas keputusan</v>
      </c>
      <c r="F1615" s="76">
        <v>4</v>
      </c>
      <c r="G1615" s="56" t="str" cm="1">
        <f t="array" ref="G1615">INDEX(deskripsi!$D$2:$H$337,
   MATCH(1,(deskripsi!$A$2:$A$337=B1615)*
           (deskripsi!$B$2:$B$337=C1615)*
           (deskripsi!$C$2:$C$337=D1615),0),
   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76">
        <v>3</v>
      </c>
      <c r="E1616" t="str" cm="1">
        <f t="array" ref="E1616">INDEX(aspek!$D$2:$D$337,
   MATCH(1,(aspek!$A$2:$A$337=B1616)*
           (aspek!$B$2:$B$337=C1616)*
           (aspek!$C$2:$C$337=D1616),0))</f>
        <v>Tanggung jawab personal atas keputusan</v>
      </c>
      <c r="F1616" s="76">
        <v>5</v>
      </c>
      <c r="G1616" s="56" t="str" cm="1">
        <f t="array" ref="G1616">INDEX(deskripsi!$D$2:$H$337,
   MATCH(1,(deskripsi!$A$2:$A$337=B1616)*
           (deskripsi!$B$2:$B$337=C1616)*
           (deskripsi!$C$2:$C$337=D1616),0),
   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76">
        <v>4</v>
      </c>
      <c r="E1617" t="str" cm="1">
        <f t="array" ref="E1617">INDEX(aspek!$D$2:$D$337,
   MATCH(1,(aspek!$A$2:$A$337=B1617)*
           (aspek!$B$2:$B$337=C1617)*
           (aspek!$C$2:$C$337=D1617),0))</f>
        <v>Keterbukaan kepada pelanggan saat ada masalah</v>
      </c>
      <c r="F1617" s="76">
        <v>1</v>
      </c>
      <c r="G1617" s="56" t="str" cm="1">
        <f t="array" ref="G1617">INDEX(deskripsi!$D$2:$H$337,
   MATCH(1,(deskripsi!$A$2:$A$337=B1617)*
           (deskripsi!$B$2:$B$337=C1617)*
           (deskripsi!$C$2:$C$337=D1617),0),
   F1617)</f>
        <v>Masalah disembunyikan; pelanggan baru mengetahuinya setelah dampaknya terjadi.</v>
      </c>
    </row>
    <row r="1618" spans="1:7" ht="28">
      <c r="A1618" t="str">
        <f t="shared" si="25"/>
        <v>Customer Focus|Unit Head/Specialist|4|2</v>
      </c>
      <c r="B1618" t="str">
        <v>Customer Focus</v>
      </c>
      <c r="C1618" t="str">
        <v>Unit Head/Specialist</v>
      </c>
      <c r="D1618" s="76">
        <v>4</v>
      </c>
      <c r="E1618" t="str" cm="1">
        <f t="array" ref="E1618">INDEX(aspek!$D$2:$D$337,
   MATCH(1,(aspek!$A$2:$A$337=B1618)*
           (aspek!$B$2:$B$337=C1618)*
           (aspek!$C$2:$C$337=D1618),0))</f>
        <v>Keterbukaan kepada pelanggan saat ada masalah</v>
      </c>
      <c r="F1618" s="76">
        <v>2</v>
      </c>
      <c r="G1618" s="56" t="str" cm="1">
        <f t="array" ref="G1618">INDEX(deskripsi!$D$2:$H$337,
   MATCH(1,(deskripsi!$A$2:$A$337=B1618)*
           (deskripsi!$B$2:$B$337=C1618)*
           (deskripsi!$C$2:$C$337=D1618),0),
   F1618)</f>
        <v>Memberi tahu pelanggan hanya setelah ditanya, atau setelah tenggat terlewat.</v>
      </c>
    </row>
    <row r="1619" spans="1:7" ht="28">
      <c r="A1619" t="str">
        <f t="shared" si="25"/>
        <v>Customer Focus|Unit Head/Specialist|4|3</v>
      </c>
      <c r="B1619" t="str">
        <v>Customer Focus</v>
      </c>
      <c r="C1619" t="str">
        <v>Unit Head/Specialist</v>
      </c>
      <c r="D1619" s="76">
        <v>4</v>
      </c>
      <c r="E1619" t="str" cm="1">
        <f t="array" ref="E1619">INDEX(aspek!$D$2:$D$337,
   MATCH(1,(aspek!$A$2:$A$337=B1619)*
           (aspek!$B$2:$B$337=C1619)*
           (aspek!$C$2:$C$337=D1619),0))</f>
        <v>Keterbukaan kepada pelanggan saat ada masalah</v>
      </c>
      <c r="F1619" s="76">
        <v>3</v>
      </c>
      <c r="G1619" s="56" t="str" cm="1">
        <f t="array" ref="G1619">INDEX(deskripsi!$D$2:$H$337,
   MATCH(1,(deskripsi!$A$2:$A$337=B1619)*
           (deskripsi!$B$2:$B$337=C1619)*
           (deskripsi!$C$2:$C$337=D1619),0),
   F1619)</f>
        <v>Memberi tahu pelanggan setelah persoalannya jelas dan solusinya sudah ada di tangan.</v>
      </c>
    </row>
    <row r="1620" spans="1:7" ht="42">
      <c r="A1620" t="str">
        <f t="shared" si="25"/>
        <v>Customer Focus|Unit Head/Specialist|4|4</v>
      </c>
      <c r="B1620" t="str">
        <v>Customer Focus</v>
      </c>
      <c r="C1620" t="str">
        <v>Unit Head/Specialist</v>
      </c>
      <c r="D1620" s="76">
        <v>4</v>
      </c>
      <c r="E1620" t="str" cm="1">
        <f t="array" ref="E1620">INDEX(aspek!$D$2:$D$337,
   MATCH(1,(aspek!$A$2:$A$337=B1620)*
           (aspek!$B$2:$B$337=C1620)*
           (aspek!$C$2:$C$337=D1620),0))</f>
        <v>Keterbukaan kepada pelanggan saat ada masalah</v>
      </c>
      <c r="F1620" s="76">
        <v>4</v>
      </c>
      <c r="G1620" s="56" t="str" cm="1">
        <f t="array" ref="G1620">INDEX(deskripsi!$D$2:$H$337,
   MATCH(1,(deskripsi!$A$2:$A$337=B1620)*
           (deskripsi!$B$2:$B$337=C1620)*
           (deskripsi!$C$2:$C$337=D1620),0),
   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76">
        <v>4</v>
      </c>
      <c r="E1621" t="str" cm="1">
        <f t="array" ref="E1621">INDEX(aspek!$D$2:$D$337,
   MATCH(1,(aspek!$A$2:$A$337=B1621)*
           (aspek!$B$2:$B$337=C1621)*
           (aspek!$C$2:$C$337=D1621),0))</f>
        <v>Keterbukaan kepada pelanggan saat ada masalah</v>
      </c>
      <c r="F1621" s="76">
        <v>5</v>
      </c>
      <c r="G1621" s="56" t="str" cm="1">
        <f t="array" ref="G1621">INDEX(deskripsi!$D$2:$H$337,
   MATCH(1,(deskripsi!$A$2:$A$337=B1621)*
           (deskripsi!$B$2:$B$337=C1621)*
           (deskripsi!$C$2:$C$337=D1621),0),
   F1621)</f>
        <v>Pelanggan mengetahui risikonya sejak awal karena disampaikan di muka, sehingga masalah yang muncul tidak menjadi kejutan.</v>
      </c>
    </row>
    <row r="1622" spans="1:7" ht="28">
      <c r="A1622" t="str">
        <f t="shared" si="25"/>
        <v>Customer Focus|Department Head|1|1</v>
      </c>
      <c r="B1622" t="str">
        <v>Customer Focus</v>
      </c>
      <c r="C1622" t="str">
        <v>Department Head</v>
      </c>
      <c r="D1622" s="76">
        <v>1</v>
      </c>
      <c r="E1622" t="str" cm="1">
        <f t="array" ref="E1622">INDEX(aspek!$D$2:$D$337,
   MATCH(1,(aspek!$A$2:$A$337=B1622)*
           (aspek!$B$2:$B$337=C1622)*
           (aspek!$C$2:$C$337=D1622),0))</f>
        <v>Akurasi membaca emosi</v>
      </c>
      <c r="F1622" s="76">
        <v>1</v>
      </c>
      <c r="G1622" s="56" t="str" cm="1">
        <f t="array" ref="G1622">INDEX(deskripsi!$D$2:$H$337,
   MATCH(1,(deskripsi!$A$2:$A$337=B1622)*
           (deskripsi!$B$2:$B$337=C1622)*
           (deskripsi!$C$2:$C$337=D1622),0),
   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76">
        <v>1</v>
      </c>
      <c r="E1623" t="str" cm="1">
        <f t="array" ref="E1623">INDEX(aspek!$D$2:$D$337,
   MATCH(1,(aspek!$A$2:$A$337=B1623)*
           (aspek!$B$2:$B$337=C1623)*
           (aspek!$C$2:$C$337=D1623),0))</f>
        <v>Akurasi membaca emosi</v>
      </c>
      <c r="F1623" s="76">
        <v>2</v>
      </c>
      <c r="G1623" s="56" t="str" cm="1">
        <f t="array" ref="G1623">INDEX(deskripsi!$D$2:$H$337,
   MATCH(1,(deskripsi!$A$2:$A$337=B1623)*
           (deskripsi!$B$2:$B$337=C1623)*
           (deskripsi!$C$2:$C$337=D1623),0),
   F1623)</f>
        <v>Menyadari ada yang berubah, tetapi salah menebak sebabnya — biasanya mengaitkannya dengan dirinya sendiri atau dengan harga.</v>
      </c>
    </row>
    <row r="1624" spans="1:7" ht="28">
      <c r="A1624" t="str">
        <f t="shared" si="25"/>
        <v>Customer Focus|Department Head|1|3</v>
      </c>
      <c r="B1624" t="str">
        <v>Customer Focus</v>
      </c>
      <c r="C1624" t="str">
        <v>Department Head</v>
      </c>
      <c r="D1624" s="76">
        <v>1</v>
      </c>
      <c r="E1624" t="str" cm="1">
        <f t="array" ref="E1624">INDEX(aspek!$D$2:$D$337,
   MATCH(1,(aspek!$A$2:$A$337=B1624)*
           (aspek!$B$2:$B$337=C1624)*
           (aspek!$C$2:$C$337=D1624),0))</f>
        <v>Akurasi membaca emosi</v>
      </c>
      <c r="F1624" s="76">
        <v>3</v>
      </c>
      <c r="G1624" s="56" t="str" cm="1">
        <f t="array" ref="G1624">INDEX(deskripsi!$D$2:$H$337,
   MATCH(1,(deskripsi!$A$2:$A$337=B1624)*
           (deskripsi!$B$2:$B$337=C1624)*
           (deskripsi!$C$2:$C$337=D1624),0),
   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76">
        <v>1</v>
      </c>
      <c r="E1625" t="str" cm="1">
        <f t="array" ref="E1625">INDEX(aspek!$D$2:$D$337,
   MATCH(1,(aspek!$A$2:$A$337=B1625)*
           (aspek!$B$2:$B$337=C1625)*
           (aspek!$C$2:$C$337=D1625),0))</f>
        <v>Akurasi membaca emosi</v>
      </c>
      <c r="F1625" s="76">
        <v>4</v>
      </c>
      <c r="G1625" s="56" t="str" cm="1">
        <f t="array" ref="G1625">INDEX(deskripsi!$D$2:$H$337,
   MATCH(1,(deskripsi!$A$2:$A$337=B1625)*
           (deskripsi!$B$2:$B$337=C1625)*
           (deskripsi!$C$2:$C$337=D1625),0),
   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76">
        <v>1</v>
      </c>
      <c r="E1626" t="str" cm="1">
        <f t="array" ref="E1626">INDEX(aspek!$D$2:$D$337,
   MATCH(1,(aspek!$A$2:$A$337=B1626)*
           (aspek!$B$2:$B$337=C1626)*
           (aspek!$C$2:$C$337=D1626),0))</f>
        <v>Akurasi membaca emosi</v>
      </c>
      <c r="F1626" s="76">
        <v>5</v>
      </c>
      <c r="G1626" s="56" t="str" cm="1">
        <f t="array" ref="G1626">INDEX(deskripsi!$D$2:$H$337,
   MATCH(1,(deskripsi!$A$2:$A$337=B1626)*
           (deskripsi!$B$2:$B$337=C1626)*
           (deskripsi!$C$2:$C$337=D1626),0),
   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76">
        <v>2</v>
      </c>
      <c r="E1627" t="str" cm="1">
        <f t="array" ref="E1627">INDEX(aspek!$D$2:$D$337,
   MATCH(1,(aspek!$A$2:$A$337=B1627)*
           (aspek!$B$2:$B$337=C1627)*
           (aspek!$C$2:$C$337=D1627),0))</f>
        <v>Ketepatan respons</v>
      </c>
      <c r="F1627" s="76">
        <v>1</v>
      </c>
      <c r="G1627" s="56" t="str" cm="1">
        <f t="array" ref="G1627">INDEX(deskripsi!$D$2:$H$337,
   MATCH(1,(deskripsi!$A$2:$A$337=B1627)*
           (deskripsi!$B$2:$B$337=C1627)*
           (deskripsi!$C$2:$C$337=D1627),0),
   F1627)</f>
        <v>Tidak merespons emosi sama sekali, atau meresponsnya dengan membela diri.</v>
      </c>
    </row>
    <row r="1628" spans="1:7" ht="28">
      <c r="A1628" t="str">
        <f t="shared" si="25"/>
        <v>Customer Focus|Department Head|2|2</v>
      </c>
      <c r="B1628" t="str">
        <v>Customer Focus</v>
      </c>
      <c r="C1628" t="str">
        <v>Department Head</v>
      </c>
      <c r="D1628" s="76">
        <v>2</v>
      </c>
      <c r="E1628" t="str" cm="1">
        <f t="array" ref="E1628">INDEX(aspek!$D$2:$D$337,
   MATCH(1,(aspek!$A$2:$A$337=B1628)*
           (aspek!$B$2:$B$337=C1628)*
           (aspek!$C$2:$C$337=D1628),0))</f>
        <v>Ketepatan respons</v>
      </c>
      <c r="F1628" s="76">
        <v>2</v>
      </c>
      <c r="G1628" s="56" t="str" cm="1">
        <f t="array" ref="G1628">INDEX(deskripsi!$D$2:$H$337,
   MATCH(1,(deskripsi!$A$2:$A$337=B1628)*
           (deskripsi!$B$2:$B$337=C1628)*
           (deskripsi!$C$2:$C$337=D1628),0),
   F1628)</f>
        <v>Merespons dengan menenangkan secara umum, tanpa menyentuh penyebabnya.</v>
      </c>
    </row>
    <row r="1629" spans="1:7" ht="28">
      <c r="A1629" t="str">
        <f t="shared" si="25"/>
        <v>Customer Focus|Department Head|2|3</v>
      </c>
      <c r="B1629" t="str">
        <v>Customer Focus</v>
      </c>
      <c r="C1629" t="str">
        <v>Department Head</v>
      </c>
      <c r="D1629" s="76">
        <v>2</v>
      </c>
      <c r="E1629" t="str" cm="1">
        <f t="array" ref="E1629">INDEX(aspek!$D$2:$D$337,
   MATCH(1,(aspek!$A$2:$A$337=B1629)*
           (aspek!$B$2:$B$337=C1629)*
           (aspek!$C$2:$C$337=D1629),0))</f>
        <v>Ketepatan respons</v>
      </c>
      <c r="F1629" s="76">
        <v>3</v>
      </c>
      <c r="G1629" s="56" t="str" cm="1">
        <f t="array" ref="G1629">INDEX(deskripsi!$D$2:$H$337,
   MATCH(1,(deskripsi!$A$2:$A$337=B1629)*
           (deskripsi!$B$2:$B$337=C1629)*
           (deskripsi!$C$2:$C$337=D1629),0),
   F1629)</f>
        <v>Mengakui perasaan pelanggan dan meresponsnya dengan wajar.</v>
      </c>
    </row>
    <row r="1630" spans="1:7" ht="56">
      <c r="A1630" t="str">
        <f t="shared" si="25"/>
        <v>Customer Focus|Department Head|2|4</v>
      </c>
      <c r="B1630" t="str">
        <v>Customer Focus</v>
      </c>
      <c r="C1630" t="str">
        <v>Department Head</v>
      </c>
      <c r="D1630" s="76">
        <v>2</v>
      </c>
      <c r="E1630" t="str" cm="1">
        <f t="array" ref="E1630">INDEX(aspek!$D$2:$D$337,
   MATCH(1,(aspek!$A$2:$A$337=B1630)*
           (aspek!$B$2:$B$337=C1630)*
           (aspek!$C$2:$C$337=D1630),0))</f>
        <v>Ketepatan respons</v>
      </c>
      <c r="F1630" s="76">
        <v>4</v>
      </c>
      <c r="G1630" s="56" t="str" cm="1">
        <f t="array" ref="G1630">INDEX(deskripsi!$D$2:$H$337,
   MATCH(1,(deskripsi!$A$2:$A$337=B1630)*
           (deskripsi!$B$2:$B$337=C1630)*
           (deskripsi!$C$2:$C$337=D1630),0),
   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76">
        <v>2</v>
      </c>
      <c r="E1631" t="str" cm="1">
        <f t="array" ref="E1631">INDEX(aspek!$D$2:$D$337,
   MATCH(1,(aspek!$A$2:$A$337=B1631)*
           (aspek!$B$2:$B$337=C1631)*
           (aspek!$C$2:$C$337=D1631),0))</f>
        <v>Ketepatan respons</v>
      </c>
      <c r="F1631" s="76">
        <v>5</v>
      </c>
      <c r="G1631" s="56" t="str" cm="1">
        <f t="array" ref="G1631">INDEX(deskripsi!$D$2:$H$337,
   MATCH(1,(deskripsi!$A$2:$A$337=B1631)*
           (deskripsi!$B$2:$B$337=C1631)*
           (deskripsi!$C$2:$C$337=D1631),0),
   F1631)</f>
        <v>Pelanggan merasa didengar bahkan ketika jawabannya tidak seperti yang ia harapkan.</v>
      </c>
    </row>
    <row r="1632" spans="1:7" ht="28">
      <c r="A1632" t="str">
        <f t="shared" si="25"/>
        <v>Customer Focus|Department Head|3|1</v>
      </c>
      <c r="B1632" t="str">
        <v>Customer Focus</v>
      </c>
      <c r="C1632" t="str">
        <v>Department Head</v>
      </c>
      <c r="D1632" s="76">
        <v>3</v>
      </c>
      <c r="E1632" t="str" cm="1">
        <f t="array" ref="E1632">INDEX(aspek!$D$2:$D$337,
   MATCH(1,(aspek!$A$2:$A$337=B1632)*
           (aspek!$B$2:$B$337=C1632)*
           (aspek!$C$2:$C$337=D1632),0))</f>
        <v>Membaca kebutuhan yang tidak terucapkan</v>
      </c>
      <c r="F1632" s="76">
        <v>1</v>
      </c>
      <c r="G1632" s="56" t="str" cm="1">
        <f t="array" ref="G1632">INDEX(deskripsi!$D$2:$H$337,
   MATCH(1,(deskripsi!$A$2:$A$337=B1632)*
           (deskripsi!$B$2:$B$337=C1632)*
           (deskripsi!$C$2:$C$337=D1632),0),
   F1632)</f>
        <v>Hanya menanggapi apa yang diminta; kebutuhan yang tidak disampaikan tidak pernah muncul.</v>
      </c>
    </row>
    <row r="1633" spans="1:7" ht="28">
      <c r="A1633" t="str">
        <f t="shared" si="25"/>
        <v>Customer Focus|Department Head|3|2</v>
      </c>
      <c r="B1633" t="str">
        <v>Customer Focus</v>
      </c>
      <c r="C1633" t="str">
        <v>Department Head</v>
      </c>
      <c r="D1633" s="76">
        <v>3</v>
      </c>
      <c r="E1633" t="str" cm="1">
        <f t="array" ref="E1633">INDEX(aspek!$D$2:$D$337,
   MATCH(1,(aspek!$A$2:$A$337=B1633)*
           (aspek!$B$2:$B$337=C1633)*
           (aspek!$C$2:$C$337=D1633),0))</f>
        <v>Membaca kebutuhan yang tidak terucapkan</v>
      </c>
      <c r="F1633" s="76">
        <v>2</v>
      </c>
      <c r="G1633" s="56" t="str" cm="1">
        <f t="array" ref="G1633">INDEX(deskripsi!$D$2:$H$337,
   MATCH(1,(deskripsi!$A$2:$A$337=B1633)*
           (deskripsi!$B$2:$B$337=C1633)*
           (deskripsi!$C$2:$C$337=D1633),0),
   F1633)</f>
        <v>Kadang menduga ada kebutuhan lain, tetapi tidak memeriksanya dan tidak menindaklanjutinya.</v>
      </c>
    </row>
    <row r="1634" spans="1:7" ht="28">
      <c r="A1634" t="str">
        <f t="shared" si="25"/>
        <v>Customer Focus|Department Head|3|3</v>
      </c>
      <c r="B1634" t="str">
        <v>Customer Focus</v>
      </c>
      <c r="C1634" t="str">
        <v>Department Head</v>
      </c>
      <c r="D1634" s="76">
        <v>3</v>
      </c>
      <c r="E1634" t="str" cm="1">
        <f t="array" ref="E1634">INDEX(aspek!$D$2:$D$337,
   MATCH(1,(aspek!$A$2:$A$337=B1634)*
           (aspek!$B$2:$B$337=C1634)*
           (aspek!$C$2:$C$337=D1634),0))</f>
        <v>Membaca kebutuhan yang tidak terucapkan</v>
      </c>
      <c r="F1634" s="76">
        <v>3</v>
      </c>
      <c r="G1634" s="56" t="str" cm="1">
        <f t="array" ref="G1634">INDEX(deskripsi!$D$2:$H$337,
   MATCH(1,(deskripsi!$A$2:$A$337=B1634)*
           (deskripsi!$B$2:$B$337=C1634)*
           (deskripsi!$C$2:$C$337=D1634),0),
   F1634)</f>
        <v>Menanyakan apakah ada kebutuhan lain, dan menindaklanjuti yang disampaikan pelanggan.</v>
      </c>
    </row>
    <row r="1635" spans="1:7" ht="42">
      <c r="A1635" t="str">
        <f t="shared" si="25"/>
        <v>Customer Focus|Department Head|3|4</v>
      </c>
      <c r="B1635" t="str">
        <v>Customer Focus</v>
      </c>
      <c r="C1635" t="str">
        <v>Department Head</v>
      </c>
      <c r="D1635" s="76">
        <v>3</v>
      </c>
      <c r="E1635" t="str" cm="1">
        <f t="array" ref="E1635">INDEX(aspek!$D$2:$D$337,
   MATCH(1,(aspek!$A$2:$A$337=B1635)*
           (aspek!$B$2:$B$337=C1635)*
           (aspek!$C$2:$C$337=D1635),0))</f>
        <v>Membaca kebutuhan yang tidak terucapkan</v>
      </c>
      <c r="F1635" s="76">
        <v>4</v>
      </c>
      <c r="G1635" s="56" t="str" cm="1">
        <f t="array" ref="G1635">INDEX(deskripsi!$D$2:$H$337,
   MATCH(1,(deskripsi!$A$2:$A$337=B1635)*
           (deskripsi!$B$2:$B$337=C1635)*
           (deskripsi!$C$2:$C$337=D1635),0),
   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76">
        <v>3</v>
      </c>
      <c r="E1636" t="str" cm="1">
        <f t="array" ref="E1636">INDEX(aspek!$D$2:$D$337,
   MATCH(1,(aspek!$A$2:$A$337=B1636)*
           (aspek!$B$2:$B$337=C1636)*
           (aspek!$C$2:$C$337=D1636),0))</f>
        <v>Membaca kebutuhan yang tidak terucapkan</v>
      </c>
      <c r="F1636" s="76">
        <v>5</v>
      </c>
      <c r="G1636" s="56" t="str" cm="1">
        <f t="array" ref="G1636">INDEX(deskripsi!$D$2:$H$337,
   MATCH(1,(deskripsi!$A$2:$A$337=B1636)*
           (deskripsi!$B$2:$B$337=C1636)*
           (deskripsi!$C$2:$C$337=D1636),0),
   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76">
        <v>4</v>
      </c>
      <c r="E1637" t="str" cm="1">
        <f t="array" ref="E1637">INDEX(aspek!$D$2:$D$337,
   MATCH(1,(aspek!$A$2:$A$337=B1637)*
           (aspek!$B$2:$B$337=C1637)*
           (aspek!$C$2:$C$337=D1637),0))</f>
        <v>Dinamika emosi dalam kelompok</v>
      </c>
      <c r="F1637" s="76">
        <v>1</v>
      </c>
      <c r="G1637" s="56" t="str" cm="1">
        <f t="array" ref="G1637">INDEX(deskripsi!$D$2:$H$337,
   MATCH(1,(deskripsi!$A$2:$A$337=B1637)*
           (deskripsi!$B$2:$B$337=C1637)*
           (deskripsi!$C$2:$C$337=D1637),0),
   F1637)</f>
        <v>Membaca kelompok sebagai satu suara; yang paling keras dianggap mewakili semuanya.</v>
      </c>
    </row>
    <row r="1638" spans="1:7" ht="28">
      <c r="A1638" t="str">
        <f t="shared" si="25"/>
        <v>Customer Focus|Department Head|4|2</v>
      </c>
      <c r="B1638" t="str">
        <v>Customer Focus</v>
      </c>
      <c r="C1638" t="str">
        <v>Department Head</v>
      </c>
      <c r="D1638" s="76">
        <v>4</v>
      </c>
      <c r="E1638" t="str" cm="1">
        <f t="array" ref="E1638">INDEX(aspek!$D$2:$D$337,
   MATCH(1,(aspek!$A$2:$A$337=B1638)*
           (aspek!$B$2:$B$337=C1638)*
           (aspek!$C$2:$C$337=D1638),0))</f>
        <v>Dinamika emosi dalam kelompok</v>
      </c>
      <c r="F1638" s="76">
        <v>2</v>
      </c>
      <c r="G1638" s="56" t="str" cm="1">
        <f t="array" ref="G1638">INDEX(deskripsi!$D$2:$H$337,
   MATCH(1,(deskripsi!$A$2:$A$337=B1638)*
           (deskripsi!$B$2:$B$337=C1638)*
           (deskripsi!$C$2:$C$337=D1638),0),
   F1638)</f>
        <v>Menyadari ada perbedaan di dalam kelompok, tetapi tidak menelusurinya.</v>
      </c>
    </row>
    <row r="1639" spans="1:7" ht="28">
      <c r="A1639" t="str">
        <f t="shared" si="25"/>
        <v>Customer Focus|Department Head|4|3</v>
      </c>
      <c r="B1639" t="str">
        <v>Customer Focus</v>
      </c>
      <c r="C1639" t="str">
        <v>Department Head</v>
      </c>
      <c r="D1639" s="76">
        <v>4</v>
      </c>
      <c r="E1639" t="str" cm="1">
        <f t="array" ref="E1639">INDEX(aspek!$D$2:$D$337,
   MATCH(1,(aspek!$A$2:$A$337=B1639)*
           (aspek!$B$2:$B$337=C1639)*
           (aspek!$C$2:$C$337=D1639),0))</f>
        <v>Dinamika emosi dalam kelompok</v>
      </c>
      <c r="F1639" s="76">
        <v>3</v>
      </c>
      <c r="G1639" s="56" t="str" cm="1">
        <f t="array" ref="G1639">INDEX(deskripsi!$D$2:$H$337,
   MATCH(1,(deskripsi!$A$2:$A$337=B1639)*
           (deskripsi!$B$2:$B$337=C1639)*
           (deskripsi!$C$2:$C$337=D1639),0),
   F1639)</f>
        <v>Mengenali siapa yang setuju dan siapa yang tidak dalam sebuah pertemuan.</v>
      </c>
    </row>
    <row r="1640" spans="1:7" ht="42">
      <c r="A1640" t="str">
        <f t="shared" si="25"/>
        <v>Customer Focus|Department Head|4|4</v>
      </c>
      <c r="B1640" t="str">
        <v>Customer Focus</v>
      </c>
      <c r="C1640" t="str">
        <v>Department Head</v>
      </c>
      <c r="D1640" s="76">
        <v>4</v>
      </c>
      <c r="E1640" t="str" cm="1">
        <f t="array" ref="E1640">INDEX(aspek!$D$2:$D$337,
   MATCH(1,(aspek!$A$2:$A$337=B1640)*
           (aspek!$B$2:$B$337=C1640)*
           (aspek!$C$2:$C$337=D1640),0))</f>
        <v>Dinamika emosi dalam kelompok</v>
      </c>
      <c r="F1640" s="76">
        <v>4</v>
      </c>
      <c r="G1640" s="56" t="str" cm="1">
        <f t="array" ref="G1640">INDEX(deskripsi!$D$2:$H$337,
   MATCH(1,(deskripsi!$A$2:$A$337=B1640)*
           (deskripsi!$B$2:$B$337=C1640)*
           (deskripsi!$C$2:$C$337=D1640),0),
   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76">
        <v>4</v>
      </c>
      <c r="E1641" t="str" cm="1">
        <f t="array" ref="E1641">INDEX(aspek!$D$2:$D$337,
   MATCH(1,(aspek!$A$2:$A$337=B1641)*
           (aspek!$B$2:$B$337=C1641)*
           (aspek!$C$2:$C$337=D1641),0))</f>
        <v>Dinamika emosi dalam kelompok</v>
      </c>
      <c r="F1641" s="76">
        <v>5</v>
      </c>
      <c r="G1641" s="56" t="str" cm="1">
        <f t="array" ref="G1641">INDEX(deskripsi!$D$2:$H$337,
   MATCH(1,(deskripsi!$A$2:$A$337=B1641)*
           (deskripsi!$B$2:$B$337=C1641)*
           (deskripsi!$C$2:$C$337=D1641),0),
   F1641)</f>
        <v>Mampu mengubah suasana kelompok yang tegang menjadi percakapan yang terbuka.</v>
      </c>
    </row>
    <row r="1642" spans="1:7" ht="28">
      <c r="A1642" t="str">
        <f t="shared" si="25"/>
        <v>Customer Focus|Division Head|1|1</v>
      </c>
      <c r="B1642" t="str">
        <v>Customer Focus</v>
      </c>
      <c r="C1642" t="str">
        <v>Division Head</v>
      </c>
      <c r="D1642" s="76">
        <v>1</v>
      </c>
      <c r="E1642" t="str" cm="1">
        <f t="array" ref="E1642">INDEX(aspek!$D$2:$D$337,
   MATCH(1,(aspek!$A$2:$A$337=B1642)*
           (aspek!$B$2:$B$337=C1642)*
           (aspek!$C$2:$C$337=D1642),0))</f>
        <v>Cakrawala relasi  (transaksi vs jangka panjang)</v>
      </c>
      <c r="F1642" s="76">
        <v>1</v>
      </c>
      <c r="G1642" s="56" t="str" cm="1">
        <f t="array" ref="G1642">INDEX(deskripsi!$D$2:$H$337,
   MATCH(1,(deskripsi!$A$2:$A$337=B1642)*
           (deskripsi!$B$2:$B$337=C1642)*
           (deskripsi!$C$2:$C$337=D1642),0),
   F1642)</f>
        <v>Berhubungan dengan pelanggan hanya ketika ada order atau ada masalah; di luar itu tidak ada kontak.</v>
      </c>
    </row>
    <row r="1643" spans="1:7" ht="42">
      <c r="A1643" t="str">
        <f t="shared" si="25"/>
        <v>Customer Focus|Division Head|1|2</v>
      </c>
      <c r="B1643" t="str">
        <v>Customer Focus</v>
      </c>
      <c r="C1643" t="str">
        <v>Division Head</v>
      </c>
      <c r="D1643" s="76">
        <v>1</v>
      </c>
      <c r="E1643" t="str" cm="1">
        <f t="array" ref="E1643">INDEX(aspek!$D$2:$D$337,
   MATCH(1,(aspek!$A$2:$A$337=B1643)*
           (aspek!$B$2:$B$337=C1643)*
           (aspek!$C$2:$C$337=D1643),0))</f>
        <v>Cakrawala relasi  (transaksi vs jangka panjang)</v>
      </c>
      <c r="F1643" s="76">
        <v>2</v>
      </c>
      <c r="G1643" s="56" t="str" cm="1">
        <f t="array" ref="G1643">INDEX(deskripsi!$D$2:$H$337,
   MATCH(1,(deskripsi!$A$2:$A$337=B1643)*
           (deskripsi!$B$2:$B$337=C1643)*
           (deskripsi!$C$2:$C$337=D1643),0),
   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76">
        <v>1</v>
      </c>
      <c r="E1644" t="str" cm="1">
        <f t="array" ref="E1644">INDEX(aspek!$D$2:$D$337,
   MATCH(1,(aspek!$A$2:$A$337=B1644)*
           (aspek!$B$2:$B$337=C1644)*
           (aspek!$C$2:$C$337=D1644),0))</f>
        <v>Cakrawala relasi  (transaksi vs jangka panjang)</v>
      </c>
      <c r="F1644" s="76">
        <v>3</v>
      </c>
      <c r="G1644" s="56" t="str" cm="1">
        <f t="array" ref="G1644">INDEX(deskripsi!$D$2:$H$337,
   MATCH(1,(deskripsi!$A$2:$A$337=B1644)*
           (deskripsi!$B$2:$B$337=C1644)*
           (deskripsi!$C$2:$C$337=D1644),0),
   F1644)</f>
        <v>Menjaga hubungan baik dengan pelanggan selama satu kontrak atau satu proyek berlangsung.</v>
      </c>
    </row>
    <row r="1645" spans="1:7" ht="70">
      <c r="A1645" t="str">
        <f t="shared" si="25"/>
        <v>Customer Focus|Division Head|1|4</v>
      </c>
      <c r="B1645" t="str">
        <v>Customer Focus</v>
      </c>
      <c r="C1645" t="str">
        <v>Division Head</v>
      </c>
      <c r="D1645" s="76">
        <v>1</v>
      </c>
      <c r="E1645" t="str" cm="1">
        <f t="array" ref="E1645">INDEX(aspek!$D$2:$D$337,
   MATCH(1,(aspek!$A$2:$A$337=B1645)*
           (aspek!$B$2:$B$337=C1645)*
           (aspek!$C$2:$C$337=D1645),0))</f>
        <v>Cakrawala relasi  (transaksi vs jangka panjang)</v>
      </c>
      <c r="F1645" s="76">
        <v>4</v>
      </c>
      <c r="G1645" s="56" t="str" cm="1">
        <f t="array" ref="G1645">INDEX(deskripsi!$D$2:$H$337,
   MATCH(1,(deskripsi!$A$2:$A$337=B1645)*
           (deskripsi!$B$2:$B$337=C1645)*
           (deskripsi!$C$2:$C$337=D1645),0),
   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76">
        <v>1</v>
      </c>
      <c r="E1646" t="str" cm="1">
        <f t="array" ref="E1646">INDEX(aspek!$D$2:$D$337,
   MATCH(1,(aspek!$A$2:$A$337=B1646)*
           (aspek!$B$2:$B$337=C1646)*
           (aspek!$C$2:$C$337=D1646),0))</f>
        <v>Cakrawala relasi  (transaksi vs jangka panjang)</v>
      </c>
      <c r="F1646" s="76">
        <v>5</v>
      </c>
      <c r="G1646" s="56" t="str" cm="1">
        <f t="array" ref="G1646">INDEX(deskripsi!$D$2:$H$337,
   MATCH(1,(deskripsi!$A$2:$A$337=B1646)*
           (deskripsi!$B$2:$B$337=C1646)*
           (deskripsi!$C$2:$C$337=D1646),0),
   F1646)</f>
        <v>Hubungan bertahan melampaui pergantian orang di kedua pihak; pelanggan tetap mencarinya meski tidak ada urusan bisnis yang sedang berjalan.</v>
      </c>
    </row>
    <row r="1647" spans="1:7" ht="28">
      <c r="A1647" t="str">
        <f t="shared" si="25"/>
        <v>Customer Focus|Division Head|2|1</v>
      </c>
      <c r="B1647" t="str">
        <v>Customer Focus</v>
      </c>
      <c r="C1647" t="str">
        <v>Division Head</v>
      </c>
      <c r="D1647" s="76">
        <v>2</v>
      </c>
      <c r="E1647" t="str" cm="1">
        <f t="array" ref="E1647">INDEX(aspek!$D$2:$D$337,
   MATCH(1,(aspek!$A$2:$A$337=B1647)*
           (aspek!$B$2:$B$337=C1647)*
           (aspek!$C$2:$C$337=D1647),0))</f>
        <v>Penyesuaian pendekatan per pelanggan</v>
      </c>
      <c r="F1647" s="76">
        <v>1</v>
      </c>
      <c r="G1647" s="56" t="str" cm="1">
        <f t="array" ref="G1647">INDEX(deskripsi!$D$2:$H$337,
   MATCH(1,(deskripsi!$A$2:$A$337=B1647)*
           (deskripsi!$B$2:$B$337=C1647)*
           (deskripsi!$C$2:$C$337=D1647),0),
   F1647)</f>
        <v>Memperlakukan semua pelanggan dengan cara yang sama, umumnya dengan cara yang nyaman bagi dirinya sendiri.</v>
      </c>
    </row>
    <row r="1648" spans="1:7" ht="28">
      <c r="A1648" t="str">
        <f t="shared" si="25"/>
        <v>Customer Focus|Division Head|2|2</v>
      </c>
      <c r="B1648" t="str">
        <v>Customer Focus</v>
      </c>
      <c r="C1648" t="str">
        <v>Division Head</v>
      </c>
      <c r="D1648" s="76">
        <v>2</v>
      </c>
      <c r="E1648" t="str" cm="1">
        <f t="array" ref="E1648">INDEX(aspek!$D$2:$D$337,
   MATCH(1,(aspek!$A$2:$A$337=B1648)*
           (aspek!$B$2:$B$337=C1648)*
           (aspek!$C$2:$C$337=D1648),0))</f>
        <v>Penyesuaian pendekatan per pelanggan</v>
      </c>
      <c r="F1648" s="76">
        <v>2</v>
      </c>
      <c r="G1648" s="56" t="str" cm="1">
        <f t="array" ref="G1648">INDEX(deskripsi!$D$2:$H$337,
   MATCH(1,(deskripsi!$A$2:$A$337=B1648)*
           (deskripsi!$B$2:$B$337=C1648)*
           (deskripsi!$C$2:$C$337=D1648),0),
   F1648)</f>
        <v>Membedakan pendekatan berdasarkan besar-kecilnya nilai kontrak, bukan berdasarkan sumber kesulitannya.</v>
      </c>
    </row>
    <row r="1649" spans="1:7" ht="28">
      <c r="A1649" t="str">
        <f t="shared" si="25"/>
        <v>Customer Focus|Division Head|2|3</v>
      </c>
      <c r="B1649" t="str">
        <v>Customer Focus</v>
      </c>
      <c r="C1649" t="str">
        <v>Division Head</v>
      </c>
      <c r="D1649" s="76">
        <v>2</v>
      </c>
      <c r="E1649" t="str" cm="1">
        <f t="array" ref="E1649">INDEX(aspek!$D$2:$D$337,
   MATCH(1,(aspek!$A$2:$A$337=B1649)*
           (aspek!$B$2:$B$337=C1649)*
           (aspek!$C$2:$C$337=D1649),0))</f>
        <v>Penyesuaian pendekatan per pelanggan</v>
      </c>
      <c r="F1649" s="76">
        <v>3</v>
      </c>
      <c r="G1649" s="56" t="str" cm="1">
        <f t="array" ref="G1649">INDEX(deskripsi!$D$2:$H$337,
   MATCH(1,(deskripsi!$A$2:$A$337=B1649)*
           (deskripsi!$B$2:$B$337=C1649)*
           (deskripsi!$C$2:$C$337=D1649),0),
   F1649)</f>
        <v>Menyesuaikan gaya komunikasi per pelanggan berdasarkan pengalaman berinteraksi sebelumnya.</v>
      </c>
    </row>
    <row r="1650" spans="1:7" ht="56">
      <c r="A1650" t="str">
        <f t="shared" si="25"/>
        <v>Customer Focus|Division Head|2|4</v>
      </c>
      <c r="B1650" t="str">
        <v>Customer Focus</v>
      </c>
      <c r="C1650" t="str">
        <v>Division Head</v>
      </c>
      <c r="D1650" s="76">
        <v>2</v>
      </c>
      <c r="E1650" t="str" cm="1">
        <f t="array" ref="E1650">INDEX(aspek!$D$2:$D$337,
   MATCH(1,(aspek!$A$2:$A$337=B1650)*
           (aspek!$B$2:$B$337=C1650)*
           (aspek!$C$2:$C$337=D1650),0))</f>
        <v>Penyesuaian pendekatan per pelanggan</v>
      </c>
      <c r="F1650" s="76">
        <v>4</v>
      </c>
      <c r="G1650" s="56" t="str" cm="1">
        <f t="array" ref="G1650">INDEX(deskripsi!$D$2:$H$337,
   MATCH(1,(deskripsi!$A$2:$A$337=B1650)*
           (deskripsi!$B$2:$B$337=C1650)*
           (deskripsi!$C$2:$C$337=D1650),0),
   F1650)</f>
        <v>Menyesuaikan pendekatan berdasarkan analisis sumber kesulitan masing-masing — kepentingan yang berbeda, tekanan bisnis yang dihadapi, atau riwayat hubungan — dan mengubahnya ketika terbukti tidak berhasil.</v>
      </c>
    </row>
    <row r="1651" spans="1:7" ht="42">
      <c r="A1651" t="str">
        <f t="shared" si="25"/>
        <v>Customer Focus|Division Head|2|5</v>
      </c>
      <c r="B1651" t="str">
        <v>Customer Focus</v>
      </c>
      <c r="C1651" t="str">
        <v>Division Head</v>
      </c>
      <c r="D1651" s="76">
        <v>2</v>
      </c>
      <c r="E1651" t="str" cm="1">
        <f t="array" ref="E1651">INDEX(aspek!$D$2:$D$337,
   MATCH(1,(aspek!$A$2:$A$337=B1651)*
           (aspek!$B$2:$B$337=C1651)*
           (aspek!$C$2:$C$337=D1651),0))</f>
        <v>Penyesuaian pendekatan per pelanggan</v>
      </c>
      <c r="F1651" s="76">
        <v>5</v>
      </c>
      <c r="G1651" s="56" t="str" cm="1">
        <f t="array" ref="G1651">INDEX(deskripsi!$D$2:$H$337,
   MATCH(1,(deskripsi!$A$2:$A$337=B1651)*
           (deskripsi!$B$2:$B$337=C1651)*
           (deskripsi!$C$2:$C$337=D1651),0),
   F1651)</f>
        <v>Mampu menjelaskan kepada orang lain mengapa satu pelanggan perlu didekati dengan cara tertentu, sehingga pendekatannya dapat diteruskan oleh penggantinya.</v>
      </c>
    </row>
    <row r="1652" spans="1:7" ht="28">
      <c r="A1652" t="str">
        <f t="shared" si="25"/>
        <v>Customer Focus|Division Head|3|1</v>
      </c>
      <c r="B1652" t="str">
        <v>Customer Focus</v>
      </c>
      <c r="C1652" t="str">
        <v>Division Head</v>
      </c>
      <c r="D1652" s="76">
        <v>3</v>
      </c>
      <c r="E1652" t="str" cm="1">
        <f t="array" ref="E1652">INDEX(aspek!$D$2:$D$337,
   MATCH(1,(aspek!$A$2:$A$337=B1652)*
           (aspek!$B$2:$B$337=C1652)*
           (aspek!$C$2:$C$337=D1652),0))</f>
        <v>Keberpihakan pada kepentingan pelanggan</v>
      </c>
      <c r="F1652" s="76">
        <v>1</v>
      </c>
      <c r="G1652" s="56" t="str" cm="1">
        <f t="array" ref="G1652">INDEX(deskripsi!$D$2:$H$337,
   MATCH(1,(deskripsi!$A$2:$A$337=B1652)*
           (deskripsi!$B$2:$B$337=C1652)*
           (deskripsi!$C$2:$C$337=D1652),0),
   F1652)</f>
        <v>Menilai setiap interaksi dari keuntungan perusahaan sendiri; kepentingan pelanggan dilihat sebagai biaya.</v>
      </c>
    </row>
    <row r="1653" spans="1:7" ht="28">
      <c r="A1653" t="str">
        <f t="shared" si="25"/>
        <v>Customer Focus|Division Head|3|2</v>
      </c>
      <c r="B1653" t="str">
        <v>Customer Focus</v>
      </c>
      <c r="C1653" t="str">
        <v>Division Head</v>
      </c>
      <c r="D1653" s="76">
        <v>3</v>
      </c>
      <c r="E1653" t="str" cm="1">
        <f t="array" ref="E1653">INDEX(aspek!$D$2:$D$337,
   MATCH(1,(aspek!$A$2:$A$337=B1653)*
           (aspek!$B$2:$B$337=C1653)*
           (aspek!$C$2:$C$337=D1653),0))</f>
        <v>Keberpihakan pada kepentingan pelanggan</v>
      </c>
      <c r="F1653" s="76">
        <v>2</v>
      </c>
      <c r="G1653" s="56" t="str" cm="1">
        <f t="array" ref="G1653">INDEX(deskripsi!$D$2:$H$337,
   MATCH(1,(deskripsi!$A$2:$A$337=B1653)*
           (deskripsi!$B$2:$B$337=C1653)*
           (deskripsi!$C$2:$C$337=D1653),0),
   F1653)</f>
        <v>Bersedia memberi kelonggaran kepada pelanggan bila ada peluang order yang lebih besar di baliknya.</v>
      </c>
    </row>
    <row r="1654" spans="1:7" ht="28">
      <c r="A1654" t="str">
        <f t="shared" si="25"/>
        <v>Customer Focus|Division Head|3|3</v>
      </c>
      <c r="B1654" t="str">
        <v>Customer Focus</v>
      </c>
      <c r="C1654" t="str">
        <v>Division Head</v>
      </c>
      <c r="D1654" s="76">
        <v>3</v>
      </c>
      <c r="E1654" t="str" cm="1">
        <f t="array" ref="E1654">INDEX(aspek!$D$2:$D$337,
   MATCH(1,(aspek!$A$2:$A$337=B1654)*
           (aspek!$B$2:$B$337=C1654)*
           (aspek!$C$2:$C$337=D1654),0))</f>
        <v>Keberpihakan pada kepentingan pelanggan</v>
      </c>
      <c r="F1654" s="76">
        <v>3</v>
      </c>
      <c r="G1654" s="56" t="str" cm="1">
        <f t="array" ref="G1654">INDEX(deskripsi!$D$2:$H$337,
   MATCH(1,(deskripsi!$A$2:$A$337=B1654)*
           (deskripsi!$B$2:$B$337=C1654)*
           (deskripsi!$C$2:$C$337=D1654),0),
   F1654)</f>
        <v>Menjaga agar kesepakatan adil bagi kedua pihak dan tidak merugikan pelanggan.</v>
      </c>
    </row>
    <row r="1655" spans="1:7" ht="56">
      <c r="A1655" t="str">
        <f t="shared" si="25"/>
        <v>Customer Focus|Division Head|3|4</v>
      </c>
      <c r="B1655" t="str">
        <v>Customer Focus</v>
      </c>
      <c r="C1655" t="str">
        <v>Division Head</v>
      </c>
      <c r="D1655" s="76">
        <v>3</v>
      </c>
      <c r="E1655" t="str" cm="1">
        <f t="array" ref="E1655">INDEX(aspek!$D$2:$D$337,
   MATCH(1,(aspek!$A$2:$A$337=B1655)*
           (aspek!$B$2:$B$337=C1655)*
           (aspek!$C$2:$C$337=D1655),0))</f>
        <v>Keberpihakan pada kepentingan pelanggan</v>
      </c>
      <c r="F1655" s="76">
        <v>4</v>
      </c>
      <c r="G1655" s="56" t="str" cm="1">
        <f t="array" ref="G1655">INDEX(deskripsi!$D$2:$H$337,
   MATCH(1,(deskripsi!$A$2:$A$337=B1655)*
           (deskripsi!$B$2:$B$337=C1655)*
           (deskripsi!$C$2:$C$337=D1655),0),
   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76">
        <v>3</v>
      </c>
      <c r="E1656" t="str" cm="1">
        <f t="array" ref="E1656">INDEX(aspek!$D$2:$D$337,
   MATCH(1,(aspek!$A$2:$A$337=B1656)*
           (aspek!$B$2:$B$337=C1656)*
           (aspek!$C$2:$C$337=D1656),0))</f>
        <v>Keberpihakan pada kepentingan pelanggan</v>
      </c>
      <c r="F1656" s="76">
        <v>5</v>
      </c>
      <c r="G1656" s="56" t="str" cm="1">
        <f t="array" ref="G1656">INDEX(deskripsi!$D$2:$H$337,
   MATCH(1,(deskripsi!$A$2:$A$337=B1656)*
           (deskripsi!$B$2:$B$337=C1656)*
           (deskripsi!$C$2:$C$337=D1656),0),
   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76">
        <v>4</v>
      </c>
      <c r="E1657" t="str" cm="1">
        <f t="array" ref="E1657">INDEX(aspek!$D$2:$D$337,
   MATCH(1,(aspek!$A$2:$A$337=B1657)*
           (aspek!$B$2:$B$337=C1657)*
           (aspek!$C$2:$C$337=D1657),0))</f>
        <v>Kedudukan sebagai penasehat terpercaya</v>
      </c>
      <c r="F1657" s="76">
        <v>1</v>
      </c>
      <c r="G1657" s="56" t="str" cm="1">
        <f t="array" ref="G1657">INDEX(deskripsi!$D$2:$H$337,
   MATCH(1,(deskripsi!$A$2:$A$337=B1657)*
           (deskripsi!$B$2:$B$337=C1657)*
           (deskripsi!$C$2:$C$337=D1657),0),
   F1657)</f>
        <v>Dihubungi pelanggan hanya untuk hal-hal administratif atau ketika ada keluhan.</v>
      </c>
    </row>
    <row r="1658" spans="1:7" ht="28">
      <c r="A1658" t="str">
        <f t="shared" si="25"/>
        <v>Customer Focus|Division Head|4|2</v>
      </c>
      <c r="B1658" t="str">
        <v>Customer Focus</v>
      </c>
      <c r="C1658" t="str">
        <v>Division Head</v>
      </c>
      <c r="D1658" s="76">
        <v>4</v>
      </c>
      <c r="E1658" t="str" cm="1">
        <f t="array" ref="E1658">INDEX(aspek!$D$2:$D$337,
   MATCH(1,(aspek!$A$2:$A$337=B1658)*
           (aspek!$B$2:$B$337=C1658)*
           (aspek!$C$2:$C$337=D1658),0))</f>
        <v>Kedudukan sebagai penasehat terpercaya</v>
      </c>
      <c r="F1658" s="76">
        <v>2</v>
      </c>
      <c r="G1658" s="56" t="str" cm="1">
        <f t="array" ref="G1658">INDEX(deskripsi!$D$2:$H$337,
   MATCH(1,(deskripsi!$A$2:$A$337=B1658)*
           (deskripsi!$B$2:$B$337=C1658)*
           (deskripsi!$C$2:$C$337=D1658),0),
   F1658)</f>
        <v>Dihubungi untuk membahas kebutuhan yang sudah pelanggan putuskan sendiri bentuknya.</v>
      </c>
    </row>
    <row r="1659" spans="1:7" ht="28">
      <c r="A1659" t="str">
        <f t="shared" si="25"/>
        <v>Customer Focus|Division Head|4|3</v>
      </c>
      <c r="B1659" t="str">
        <v>Customer Focus</v>
      </c>
      <c r="C1659" t="str">
        <v>Division Head</v>
      </c>
      <c r="D1659" s="76">
        <v>4</v>
      </c>
      <c r="E1659" t="str" cm="1">
        <f t="array" ref="E1659">INDEX(aspek!$D$2:$D$337,
   MATCH(1,(aspek!$A$2:$A$337=B1659)*
           (aspek!$B$2:$B$337=C1659)*
           (aspek!$C$2:$C$337=D1659),0))</f>
        <v>Kedudukan sebagai penasehat terpercaya</v>
      </c>
      <c r="F1659" s="76">
        <v>3</v>
      </c>
      <c r="G1659" s="56" t="str" cm="1">
        <f t="array" ref="G1659">INDEX(deskripsi!$D$2:$H$337,
   MATCH(1,(deskripsi!$A$2:$A$337=B1659)*
           (deskripsi!$B$2:$B$337=C1659)*
           (deskripsi!$C$2:$C$337=D1659),0),
   F1659)</f>
        <v>Diajak berdiskusi sebelum pelanggan menyusun kebutuhannya, sepanjang menyangkut produk atau jasa kita.</v>
      </c>
    </row>
    <row r="1660" spans="1:7" ht="42">
      <c r="A1660" t="str">
        <f t="shared" si="25"/>
        <v>Customer Focus|Division Head|4|4</v>
      </c>
      <c r="B1660" t="str">
        <v>Customer Focus</v>
      </c>
      <c r="C1660" t="str">
        <v>Division Head</v>
      </c>
      <c r="D1660" s="76">
        <v>4</v>
      </c>
      <c r="E1660" t="str" cm="1">
        <f t="array" ref="E1660">INDEX(aspek!$D$2:$D$337,
   MATCH(1,(aspek!$A$2:$A$337=B1660)*
           (aspek!$B$2:$B$337=C1660)*
           (aspek!$C$2:$C$337=D1660),0))</f>
        <v>Kedudukan sebagai penasehat terpercaya</v>
      </c>
      <c r="F1660" s="76">
        <v>4</v>
      </c>
      <c r="G1660" s="56" t="str" cm="1">
        <f t="array" ref="G1660">INDEX(deskripsi!$D$2:$H$337,
   MATCH(1,(deskripsi!$A$2:$A$337=B1660)*
           (deskripsi!$B$2:$B$337=C1660)*
           (deskripsi!$C$2:$C$337=D1660),0),
   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76">
        <v>4</v>
      </c>
      <c r="E1661" t="str" cm="1">
        <f t="array" ref="E1661">INDEX(aspek!$D$2:$D$337,
   MATCH(1,(aspek!$A$2:$A$337=B1661)*
           (aspek!$B$2:$B$337=C1661)*
           (aspek!$C$2:$C$337=D1661),0))</f>
        <v>Kedudukan sebagai penasehat terpercaya</v>
      </c>
      <c r="F1661" s="76">
        <v>5</v>
      </c>
      <c r="G1661" s="56" t="str" cm="1">
        <f t="array" ref="G1661">INDEX(deskripsi!$D$2:$H$337,
   MATCH(1,(deskripsi!$A$2:$A$337=B1661)*
           (deskripsi!$B$2:$B$337=C1661)*
           (deskripsi!$C$2:$C$337=D1661),0),
   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76">
        <v>1</v>
      </c>
      <c r="E1662" t="str" cm="1">
        <f t="array" ref="E1662">INDEX(aspek!$D$2:$D$337,
   MATCH(1,(aspek!$A$2:$A$337=B1662)*
           (aspek!$B$2:$B$337=C1662)*
           (aspek!$C$2:$C$337=D1662),0))</f>
        <v>Ketinggian standar yang ditetapkan</v>
      </c>
      <c r="F1662" s="76">
        <v>1</v>
      </c>
      <c r="G1662" s="56" t="str" cm="1">
        <f t="array" ref="G1662">INDEX(deskripsi!$D$2:$H$337,
   MATCH(1,(deskripsi!$A$2:$A$337=B1662)*
           (deskripsi!$B$2:$B$337=C1662)*
           (deskripsi!$C$2:$C$337=D1662),0),
   F1662)</f>
        <v>Menerima standar yang berlaku apa adanya; tidak pernah mempersoalkan apakah batasnya sudah tepat.</v>
      </c>
    </row>
    <row r="1663" spans="1:7" ht="28">
      <c r="A1663" t="str">
        <f t="shared" si="25"/>
        <v>Customer Focus|Director|1|2</v>
      </c>
      <c r="B1663" t="str">
        <v>Customer Focus</v>
      </c>
      <c r="C1663" t="str">
        <v>Director</v>
      </c>
      <c r="D1663" s="76">
        <v>1</v>
      </c>
      <c r="E1663" t="str" cm="1">
        <f t="array" ref="E1663">INDEX(aspek!$D$2:$D$337,
   MATCH(1,(aspek!$A$2:$A$337=B1663)*
           (aspek!$B$2:$B$337=C1663)*
           (aspek!$C$2:$C$337=D1663),0))</f>
        <v>Ketinggian standar yang ditetapkan</v>
      </c>
      <c r="F1663" s="76">
        <v>2</v>
      </c>
      <c r="G1663" s="56" t="str" cm="1">
        <f t="array" ref="G1663">INDEX(deskripsi!$D$2:$H$337,
   MATCH(1,(deskripsi!$A$2:$A$337=B1663)*
           (deskripsi!$B$2:$B$337=C1663)*
           (deskripsi!$C$2:$C$337=D1663),0),
   F1663)</f>
        <v>Menaikkan standar hanya ketika diminta atasan atau ketika ada keluhan yang tidak bisa diabaikan.</v>
      </c>
    </row>
    <row r="1664" spans="1:7" ht="28">
      <c r="A1664" t="str">
        <f t="shared" si="25"/>
        <v>Customer Focus|Director|1|3</v>
      </c>
      <c r="B1664" t="str">
        <v>Customer Focus</v>
      </c>
      <c r="C1664" t="str">
        <v>Director</v>
      </c>
      <c r="D1664" s="76">
        <v>1</v>
      </c>
      <c r="E1664" t="str" cm="1">
        <f t="array" ref="E1664">INDEX(aspek!$D$2:$D$337,
   MATCH(1,(aspek!$A$2:$A$337=B1664)*
           (aspek!$B$2:$B$337=C1664)*
           (aspek!$C$2:$C$337=D1664),0))</f>
        <v>Ketinggian standar yang ditetapkan</v>
      </c>
      <c r="F1664" s="76">
        <v>3</v>
      </c>
      <c r="G1664" s="56" t="str" cm="1">
        <f t="array" ref="G1664">INDEX(deskripsi!$D$2:$H$337,
   MATCH(1,(deskripsi!$A$2:$A$337=B1664)*
           (deskripsi!$B$2:$B$337=C1664)*
           (deskripsi!$C$2:$C$337=D1664),0),
   F1664)</f>
        <v>Menaikkan standar secara berkala dengan pembanding kinerja organisasi sendiri pada periode sebelumnya.</v>
      </c>
    </row>
    <row r="1665" spans="1:7" ht="42">
      <c r="A1665" t="str">
        <f t="shared" si="25"/>
        <v>Customer Focus|Director|1|4</v>
      </c>
      <c r="B1665" t="str">
        <v>Customer Focus</v>
      </c>
      <c r="C1665" t="str">
        <v>Director</v>
      </c>
      <c r="D1665" s="76">
        <v>1</v>
      </c>
      <c r="E1665" t="str" cm="1">
        <f t="array" ref="E1665">INDEX(aspek!$D$2:$D$337,
   MATCH(1,(aspek!$A$2:$A$337=B1665)*
           (aspek!$B$2:$B$337=C1665)*
           (aspek!$C$2:$C$337=D1665),0))</f>
        <v>Ketinggian standar yang ditetapkan</v>
      </c>
      <c r="F1665" s="76">
        <v>4</v>
      </c>
      <c r="G1665" s="56" t="str" cm="1">
        <f t="array" ref="G1665">INDEX(deskripsi!$D$2:$H$337,
   MATCH(1,(deskripsi!$A$2:$A$337=B1665)*
           (deskripsi!$B$2:$B$337=C1665)*
           (deskripsi!$C$2:$C$337=D1665),0),
   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76">
        <v>1</v>
      </c>
      <c r="E1666" t="str" cm="1">
        <f t="array" ref="E1666">INDEX(aspek!$D$2:$D$337,
   MATCH(1,(aspek!$A$2:$A$337=B1666)*
           (aspek!$B$2:$B$337=C1666)*
           (aspek!$C$2:$C$337=D1666),0))</f>
        <v>Ketinggian standar yang ditetapkan</v>
      </c>
      <c r="F1666" s="76">
        <v>5</v>
      </c>
      <c r="G1666" s="56" t="str" cm="1">
        <f t="array" ref="G1666">INDEX(deskripsi!$D$2:$H$337,
   MATCH(1,(deskripsi!$A$2:$A$337=B1666)*
           (deskripsi!$B$2:$B$337=C1666)*
           (deskripsi!$C$2:$C$337=D1666),0),
   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76">
        <v>2</v>
      </c>
      <c r="E1667" t="str" cm="1">
        <f t="array" ref="E1667">INDEX(aspek!$D$2:$D$337,
   MATCH(1,(aspek!$A$2:$A$337=B1667)*
           (aspek!$B$2:$B$337=C1667)*
           (aspek!$C$2:$C$337=D1667),0))</f>
        <v>Standar bagi diri sendiri</v>
      </c>
      <c r="F1667" s="76">
        <v>1</v>
      </c>
      <c r="G1667" s="56" t="str" cm="1">
        <f t="array" ref="G1667">INDEX(deskripsi!$D$2:$H$337,
   MATCH(1,(deskripsi!$A$2:$A$337=B1667)*
           (deskripsi!$B$2:$B$337=C1667)*
           (deskripsi!$C$2:$C$337=D1667),0),
   F1667)</f>
        <v>Menuntut standar tinggi dari orang lain tanpa menerapkannya pada dirinya sendiri.</v>
      </c>
    </row>
    <row r="1668" spans="1:7" ht="28">
      <c r="A1668" t="str">
        <f t="shared" si="26"/>
        <v>Customer Focus|Director|2|2</v>
      </c>
      <c r="B1668" t="str">
        <v>Customer Focus</v>
      </c>
      <c r="C1668" t="str">
        <v>Director</v>
      </c>
      <c r="D1668" s="76">
        <v>2</v>
      </c>
      <c r="E1668" t="str" cm="1">
        <f t="array" ref="E1668">INDEX(aspek!$D$2:$D$337,
   MATCH(1,(aspek!$A$2:$A$337=B1668)*
           (aspek!$B$2:$B$337=C1668)*
           (aspek!$C$2:$C$337=D1668),0))</f>
        <v>Standar bagi diri sendiri</v>
      </c>
      <c r="F1668" s="76">
        <v>2</v>
      </c>
      <c r="G1668" s="56" t="str" cm="1">
        <f t="array" ref="G1668">INDEX(deskripsi!$D$2:$H$337,
   MATCH(1,(deskripsi!$A$2:$A$337=B1668)*
           (deskripsi!$B$2:$B$337=C1668)*
           (deskripsi!$C$2:$C$337=D1668),0),
   F1668)</f>
        <v>Menerapkan standar yang sama dengan timnya, tidak lebih dan tidak kurang.</v>
      </c>
    </row>
    <row r="1669" spans="1:7" ht="28">
      <c r="A1669" t="str">
        <f t="shared" si="26"/>
        <v>Customer Focus|Director|2|3</v>
      </c>
      <c r="B1669" t="str">
        <v>Customer Focus</v>
      </c>
      <c r="C1669" t="str">
        <v>Director</v>
      </c>
      <c r="D1669" s="76">
        <v>2</v>
      </c>
      <c r="E1669" t="str" cm="1">
        <f t="array" ref="E1669">INDEX(aspek!$D$2:$D$337,
   MATCH(1,(aspek!$A$2:$A$337=B1669)*
           (aspek!$B$2:$B$337=C1669)*
           (aspek!$C$2:$C$337=D1669),0))</f>
        <v>Standar bagi diri sendiri</v>
      </c>
      <c r="F1669" s="76">
        <v>3</v>
      </c>
      <c r="G1669" s="56" t="str" cm="1">
        <f t="array" ref="G1669">INDEX(deskripsi!$D$2:$H$337,
   MATCH(1,(deskripsi!$A$2:$A$337=B1669)*
           (deskripsi!$B$2:$B$337=C1669)*
           (deskripsi!$C$2:$C$337=D1669),0),
   F1669)</f>
        <v>Menetapkan standar pribadi yang lebih tinggi, tetapi menyimpannya untuk diri sendiri.</v>
      </c>
    </row>
    <row r="1670" spans="1:7" ht="56">
      <c r="A1670" t="str">
        <f t="shared" si="26"/>
        <v>Customer Focus|Director|2|4</v>
      </c>
      <c r="B1670" t="str">
        <v>Customer Focus</v>
      </c>
      <c r="C1670" t="str">
        <v>Director</v>
      </c>
      <c r="D1670" s="76">
        <v>2</v>
      </c>
      <c r="E1670" t="str" cm="1">
        <f t="array" ref="E1670">INDEX(aspek!$D$2:$D$337,
   MATCH(1,(aspek!$A$2:$A$337=B1670)*
           (aspek!$B$2:$B$337=C1670)*
           (aspek!$C$2:$C$337=D1670),0))</f>
        <v>Standar bagi diri sendiri</v>
      </c>
      <c r="F1670" s="76">
        <v>4</v>
      </c>
      <c r="G1670" s="56" t="str" cm="1">
        <f t="array" ref="G1670">INDEX(deskripsi!$D$2:$H$337,
   MATCH(1,(deskripsi!$A$2:$A$337=B1670)*
           (deskripsi!$B$2:$B$337=C1670)*
           (deskripsi!$C$2:$C$337=D1670),0),
   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76">
        <v>2</v>
      </c>
      <c r="E1671" t="str" cm="1">
        <f t="array" ref="E1671">INDEX(aspek!$D$2:$D$337,
   MATCH(1,(aspek!$A$2:$A$337=B1671)*
           (aspek!$B$2:$B$337=C1671)*
           (aspek!$C$2:$C$337=D1671),0))</f>
        <v>Standar bagi diri sendiri</v>
      </c>
      <c r="F1671" s="76">
        <v>5</v>
      </c>
      <c r="G1671" s="56" t="str" cm="1">
        <f t="array" ref="G1671">INDEX(deskripsi!$D$2:$H$337,
   MATCH(1,(deskripsi!$A$2:$A$337=B1671)*
           (deskripsi!$B$2:$B$337=C1671)*
           (deskripsi!$C$2:$C$337=D1671),0),
   F1671)</f>
        <v>Standar pribadinya menjadi rujukan yang ditiru orang lain tanpa ia minta.</v>
      </c>
    </row>
    <row r="1672" spans="1:7" ht="28">
      <c r="A1672" t="str">
        <f t="shared" si="26"/>
        <v>Customer Focus|Director|3|1</v>
      </c>
      <c r="B1672" t="str">
        <v>Customer Focus</v>
      </c>
      <c r="C1672" t="str">
        <v>Director</v>
      </c>
      <c r="D1672" s="76">
        <v>3</v>
      </c>
      <c r="E1672" t="str" cm="1">
        <f t="array" ref="E1672">INDEX(aspek!$D$2:$D$337,
   MATCH(1,(aspek!$A$2:$A$337=B1672)*
           (aspek!$B$2:$B$337=C1672)*
           (aspek!$C$2:$C$337=D1672),0))</f>
        <v>Pelembagaan standar</v>
      </c>
      <c r="F1672" s="76">
        <v>1</v>
      </c>
      <c r="G1672" s="56" t="str" cm="1">
        <f t="array" ref="G1672">INDEX(deskripsi!$D$2:$H$337,
   MATCH(1,(deskripsi!$A$2:$A$337=B1672)*
           (deskripsi!$B$2:$B$337=C1672)*
           (deskripsi!$C$2:$C$337=D1672),0),
   F1672)</f>
        <v>Standar bergantung sepenuhnya pada pengawasannya; turun begitu perhatiannya beralih.</v>
      </c>
    </row>
    <row r="1673" spans="1:7" ht="28">
      <c r="A1673" t="str">
        <f t="shared" si="26"/>
        <v>Customer Focus|Director|3|2</v>
      </c>
      <c r="B1673" t="str">
        <v>Customer Focus</v>
      </c>
      <c r="C1673" t="str">
        <v>Director</v>
      </c>
      <c r="D1673" s="76">
        <v>3</v>
      </c>
      <c r="E1673" t="str" cm="1">
        <f t="array" ref="E1673">INDEX(aspek!$D$2:$D$337,
   MATCH(1,(aspek!$A$2:$A$337=B1673)*
           (aspek!$B$2:$B$337=C1673)*
           (aspek!$C$2:$C$337=D1673),0))</f>
        <v>Pelembagaan standar</v>
      </c>
      <c r="F1673" s="76">
        <v>2</v>
      </c>
      <c r="G1673" s="56" t="str" cm="1">
        <f t="array" ref="G1673">INDEX(deskripsi!$D$2:$H$337,
   MATCH(1,(deskripsi!$A$2:$A$337=B1673)*
           (deskripsi!$B$2:$B$337=C1673)*
           (deskripsi!$C$2:$C$337=D1673),0),
   F1673)</f>
        <v>Standar dituliskan dan disosialisasikan, tetapi tidak ada yang memeriksa dan tidak ada konsekuensinya.</v>
      </c>
    </row>
    <row r="1674" spans="1:7" ht="28">
      <c r="A1674" t="str">
        <f t="shared" si="26"/>
        <v>Customer Focus|Director|3|3</v>
      </c>
      <c r="B1674" t="str">
        <v>Customer Focus</v>
      </c>
      <c r="C1674" t="str">
        <v>Director</v>
      </c>
      <c r="D1674" s="76">
        <v>3</v>
      </c>
      <c r="E1674" t="str" cm="1">
        <f t="array" ref="E1674">INDEX(aspek!$D$2:$D$337,
   MATCH(1,(aspek!$A$2:$A$337=B1674)*
           (aspek!$B$2:$B$337=C1674)*
           (aspek!$C$2:$C$337=D1674),0))</f>
        <v>Pelembagaan standar</v>
      </c>
      <c r="F1674" s="76">
        <v>3</v>
      </c>
      <c r="G1674" s="56" t="str" cm="1">
        <f t="array" ref="G1674">INDEX(deskripsi!$D$2:$H$337,
   MATCH(1,(deskripsi!$A$2:$A$337=B1674)*
           (deskripsi!$B$2:$B$337=C1674)*
           (deskripsi!$C$2:$C$337=D1674),0),
   F1674)</f>
        <v>Standar masuk ke dalam prosedur dan diperiksa secara berkala, dengan peserta sebagai pemeriksanya.</v>
      </c>
    </row>
    <row r="1675" spans="1:7" ht="42">
      <c r="A1675" t="str">
        <f t="shared" si="26"/>
        <v>Customer Focus|Director|3|4</v>
      </c>
      <c r="B1675" t="str">
        <v>Customer Focus</v>
      </c>
      <c r="C1675" t="str">
        <v>Director</v>
      </c>
      <c r="D1675" s="76">
        <v>3</v>
      </c>
      <c r="E1675" t="str" cm="1">
        <f t="array" ref="E1675">INDEX(aspek!$D$2:$D$337,
   MATCH(1,(aspek!$A$2:$A$337=B1675)*
           (aspek!$B$2:$B$337=C1675)*
           (aspek!$C$2:$C$337=D1675),0))</f>
        <v>Pelembagaan standar</v>
      </c>
      <c r="F1675" s="76">
        <v>4</v>
      </c>
      <c r="G1675" s="56" t="str" cm="1">
        <f t="array" ref="G1675">INDEX(deskripsi!$D$2:$H$337,
   MATCH(1,(deskripsi!$A$2:$A$337=B1675)*
           (deskripsi!$B$2:$B$337=C1675)*
           (deskripsi!$C$2:$C$337=D1675),0),
   F1675)</f>
        <v>Standar masuk ke ukuran kinerja resmi, memiliki pemilik selain dirinya, irama peninjauan, dan konsekuensi — dan terbukti berjalan pada periode ketika ia tidak terlibat.</v>
      </c>
    </row>
    <row r="1676" spans="1:7" ht="28">
      <c r="A1676" t="str">
        <f t="shared" si="26"/>
        <v>Customer Focus|Director|3|5</v>
      </c>
      <c r="B1676" t="str">
        <v>Customer Focus</v>
      </c>
      <c r="C1676" t="str">
        <v>Director</v>
      </c>
      <c r="D1676" s="76">
        <v>3</v>
      </c>
      <c r="E1676" t="str" cm="1">
        <f t="array" ref="E1676">INDEX(aspek!$D$2:$D$337,
   MATCH(1,(aspek!$A$2:$A$337=B1676)*
           (aspek!$B$2:$B$337=C1676)*
           (aspek!$C$2:$C$337=D1676),0))</f>
        <v>Pelembagaan standar</v>
      </c>
      <c r="F1676" s="76">
        <v>5</v>
      </c>
      <c r="G1676" s="56" t="str" cm="1">
        <f t="array" ref="G1676">INDEX(deskripsi!$D$2:$H$337,
   MATCH(1,(deskripsi!$A$2:$A$337=B1676)*
           (deskripsi!$B$2:$B$337=C1676)*
           (deskripsi!$C$2:$C$337=D1676),0),
   F1676)</f>
        <v>Standar itu menjadi kebiasaan kerja yang dijaga sendiri oleh pelaksananya, dan bertahan setelah ia berpindah peran.</v>
      </c>
    </row>
    <row r="1677" spans="1:7" ht="28">
      <c r="A1677" t="str">
        <f t="shared" si="26"/>
        <v>Customer Focus|Director|4|1</v>
      </c>
      <c r="B1677" t="str">
        <v>Customer Focus</v>
      </c>
      <c r="C1677" t="str">
        <v>Director</v>
      </c>
      <c r="D1677" s="76">
        <v>4</v>
      </c>
      <c r="E1677" t="str" cm="1">
        <f t="array" ref="E1677">INDEX(aspek!$D$2:$D$337,
   MATCH(1,(aspek!$A$2:$A$337=B1677)*
           (aspek!$B$2:$B$337=C1677)*
           (aspek!$C$2:$C$337=D1677),0))</f>
        <v>Ketahanan standar di bawah tekanan</v>
      </c>
      <c r="F1677" s="76">
        <v>1</v>
      </c>
      <c r="G1677" s="56" t="str" cm="1">
        <f t="array" ref="G1677">INDEX(deskripsi!$D$2:$H$337,
   MATCH(1,(deskripsi!$A$2:$A$337=B1677)*
           (deskripsi!$B$2:$B$337=C1677)*
           (deskripsi!$C$2:$C$337=D1677),0),
   F1677)</f>
        <v>Standar dilonggarkan setiap kali ada tenggat mepet, biaya membengkak, atau tekanan dari pelanggan besar.</v>
      </c>
    </row>
    <row r="1678" spans="1:7" ht="28">
      <c r="A1678" t="str">
        <f t="shared" si="26"/>
        <v>Customer Focus|Director|4|2</v>
      </c>
      <c r="B1678" t="str">
        <v>Customer Focus</v>
      </c>
      <c r="C1678" t="str">
        <v>Director</v>
      </c>
      <c r="D1678" s="76">
        <v>4</v>
      </c>
      <c r="E1678" t="str" cm="1">
        <f t="array" ref="E1678">INDEX(aspek!$D$2:$D$337,
   MATCH(1,(aspek!$A$2:$A$337=B1678)*
           (aspek!$B$2:$B$337=C1678)*
           (aspek!$C$2:$C$337=D1678),0))</f>
        <v>Ketahanan standar di bawah tekanan</v>
      </c>
      <c r="F1678" s="76">
        <v>2</v>
      </c>
      <c r="G1678" s="56" t="str" cm="1">
        <f t="array" ref="G1678">INDEX(deskripsi!$D$2:$H$337,
   MATCH(1,(deskripsi!$A$2:$A$337=B1678)*
           (deskripsi!$B$2:$B$337=C1678)*
           (deskripsi!$C$2:$C$337=D1678),0),
   F1678)</f>
        <v>Standar dipertahankan pada perkara kecil, tetapi dikompromikan pada perkara yang berisiko besar.</v>
      </c>
    </row>
    <row r="1679" spans="1:7" ht="28">
      <c r="A1679" t="str">
        <f t="shared" si="26"/>
        <v>Customer Focus|Director|4|3</v>
      </c>
      <c r="B1679" t="str">
        <v>Customer Focus</v>
      </c>
      <c r="C1679" t="str">
        <v>Director</v>
      </c>
      <c r="D1679" s="76">
        <v>4</v>
      </c>
      <c r="E1679" t="str" cm="1">
        <f t="array" ref="E1679">INDEX(aspek!$D$2:$D$337,
   MATCH(1,(aspek!$A$2:$A$337=B1679)*
           (aspek!$B$2:$B$337=C1679)*
           (aspek!$C$2:$C$337=D1679),0))</f>
        <v>Ketahanan standar di bawah tekanan</v>
      </c>
      <c r="F1679" s="76">
        <v>3</v>
      </c>
      <c r="G1679" s="56" t="str" cm="1">
        <f t="array" ref="G1679">INDEX(deskripsi!$D$2:$H$337,
   MATCH(1,(deskripsi!$A$2:$A$337=B1679)*
           (deskripsi!$B$2:$B$337=C1679)*
           (deskripsi!$C$2:$C$337=D1679),0),
   F1679)</f>
        <v>Standar dipertahankan, tetapi dengan biaya yang tidak dikelola — pekerjaan lain terbengkalai.</v>
      </c>
    </row>
    <row r="1680" spans="1:7" ht="56">
      <c r="A1680" t="str">
        <f t="shared" si="26"/>
        <v>Customer Focus|Director|4|4</v>
      </c>
      <c r="B1680" t="str">
        <v>Customer Focus</v>
      </c>
      <c r="C1680" t="str">
        <v>Director</v>
      </c>
      <c r="D1680" s="76">
        <v>4</v>
      </c>
      <c r="E1680" t="str" cm="1">
        <f t="array" ref="E1680">INDEX(aspek!$D$2:$D$337,
   MATCH(1,(aspek!$A$2:$A$337=B1680)*
           (aspek!$B$2:$B$337=C1680)*
           (aspek!$C$2:$C$337=D1680),0))</f>
        <v>Ketahanan standar di bawah tekanan</v>
      </c>
      <c r="F1680" s="76">
        <v>4</v>
      </c>
      <c r="G1680" s="56" t="str" cm="1">
        <f t="array" ref="G1680">INDEX(deskripsi!$D$2:$H$337,
   MATCH(1,(deskripsi!$A$2:$A$337=B1680)*
           (deskripsi!$B$2:$B$337=C1680)*
           (deskripsi!$C$2:$C$337=D1680),0),
   F1680)</f>
        <v>Standar dipertahankan dalam situasi yang menuntut kompromi; bila memang harus diturunkan, penurunannya diputuskan terbuka bersama direksi dengan jangka waktu dan rencana pemulihan, bukan dilonggarkan diam-diam.</v>
      </c>
    </row>
    <row r="1681" spans="1:7" ht="28">
      <c r="A1681" t="str">
        <f t="shared" si="26"/>
        <v>Customer Focus|Director|4|5</v>
      </c>
      <c r="B1681" t="str">
        <v>Customer Focus</v>
      </c>
      <c r="C1681" t="str">
        <v>Director</v>
      </c>
      <c r="D1681" s="76">
        <v>4</v>
      </c>
      <c r="E1681" t="str" cm="1">
        <f t="array" ref="E1681">INDEX(aspek!$D$2:$D$337,
   MATCH(1,(aspek!$A$2:$A$337=B1681)*
           (aspek!$B$2:$B$337=C1681)*
           (aspek!$C$2:$C$337=D1681),0))</f>
        <v>Ketahanan standar di bawah tekanan</v>
      </c>
      <c r="F1681" s="76">
        <v>5</v>
      </c>
      <c r="G1681" s="56" t="str" cm="1">
        <f t="array" ref="G1681">INDEX(deskripsi!$D$2:$H$337,
   MATCH(1,(deskripsi!$A$2:$A$337=B1681)*
           (deskripsi!$B$2:$B$337=C1681)*
           (deskripsi!$C$2:$C$337=D1681),0),
   F1681)</f>
        <v>Tekanan besar justru menjadi kesempatan menunjukkan standar itu dapat dipenuhi, sehingga batasnya naik permanen.</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sheetPr>
    <tabColor rgb="FFFF0000"/>
  </sheetPr>
  <dimension ref="A1:AT27"/>
  <sheetViews>
    <sheetView zoomScale="60" zoomScaleNormal="60" workbookViewId="0">
      <selection activeCell="C22" sqref="C22"/>
    </sheetView>
  </sheetViews>
  <sheetFormatPr defaultColWidth="8.83203125" defaultRowHeight="14"/>
  <cols>
    <col min="1" max="1" width="27.58203125" style="164" bestFit="1" customWidth="1"/>
    <col min="2" max="2" width="25.75" style="164" customWidth="1"/>
    <col min="3" max="3" width="36.25" style="172" customWidth="1"/>
    <col min="4" max="4" width="45.75" style="232" customWidth="1"/>
    <col min="5" max="8" width="45.75" style="172" customWidth="1"/>
    <col min="9" max="13" width="13.4140625" style="166" customWidth="1"/>
    <col min="14" max="14" width="8.83203125" style="166" customWidth="1"/>
    <col min="15" max="15" width="8.83203125" style="173"/>
    <col min="16" max="19" width="8.83203125" style="172"/>
    <col min="20" max="20" width="8.83203125" style="185"/>
    <col min="21" max="16384" width="8.83203125" style="172"/>
  </cols>
  <sheetData>
    <row r="1" spans="1:46" s="164" customFormat="1" ht="19.149999999999999" customHeight="1">
      <c r="A1" s="301" t="s">
        <v>7280</v>
      </c>
      <c r="B1" s="301"/>
      <c r="C1" s="301"/>
      <c r="D1" s="301"/>
      <c r="E1" s="301"/>
      <c r="F1" s="301"/>
      <c r="G1" s="301"/>
      <c r="H1" s="301"/>
      <c r="I1" s="301"/>
      <c r="J1" s="301"/>
      <c r="K1" s="301"/>
      <c r="L1" s="301"/>
      <c r="M1" s="301"/>
      <c r="N1" s="301"/>
      <c r="O1" s="163"/>
      <c r="P1" s="163"/>
      <c r="Q1" s="163"/>
      <c r="R1" s="163"/>
      <c r="S1" s="163"/>
      <c r="T1" s="163"/>
      <c r="U1" s="163"/>
      <c r="V1" s="163"/>
      <c r="W1" s="163"/>
      <c r="X1" s="163"/>
      <c r="Y1" s="163"/>
      <c r="Z1" s="163"/>
      <c r="AA1" s="163"/>
      <c r="AB1" s="163"/>
    </row>
    <row r="2" spans="1:46" s="164" customFormat="1">
      <c r="D2" s="231"/>
      <c r="H2" s="172"/>
    </row>
    <row r="3" spans="1:46" s="1" customFormat="1">
      <c r="A3" s="1" t="str">
        <f>Identitas!B3</f>
        <v>Nama Atasan yang menilai</v>
      </c>
      <c r="C3" s="84">
        <f>Identitas!D3</f>
        <v>0</v>
      </c>
      <c r="D3" s="2"/>
      <c r="G3" s="12"/>
      <c r="H3" s="80"/>
      <c r="I3" s="82"/>
      <c r="J3" s="82"/>
      <c r="K3" s="82"/>
      <c r="L3" s="82"/>
      <c r="M3" s="82"/>
      <c r="N3" s="82"/>
      <c r="O3" s="2"/>
      <c r="P3" s="80"/>
      <c r="Q3" s="80"/>
      <c r="R3" s="80"/>
      <c r="S3" s="80"/>
      <c r="T3" s="80"/>
      <c r="U3" s="80"/>
      <c r="V3" s="80"/>
      <c r="W3" s="2"/>
      <c r="X3" s="80"/>
      <c r="Y3" s="80"/>
      <c r="Z3" s="80"/>
      <c r="AA3" s="80"/>
      <c r="AB3" s="80"/>
      <c r="AC3" s="80"/>
      <c r="AD3" s="80"/>
      <c r="AE3" s="12"/>
      <c r="AF3" s="80"/>
      <c r="AG3" s="80"/>
      <c r="AH3" s="80"/>
      <c r="AI3" s="80"/>
      <c r="AJ3" s="80"/>
      <c r="AK3" s="80"/>
      <c r="AL3" s="80"/>
      <c r="AM3" s="12"/>
      <c r="AN3" s="80"/>
      <c r="AO3" s="80"/>
      <c r="AP3" s="80"/>
      <c r="AQ3" s="80"/>
      <c r="AR3" s="80"/>
      <c r="AS3" s="80"/>
      <c r="AT3" s="80"/>
    </row>
    <row r="4" spans="1:46" s="1" customFormat="1">
      <c r="A4" s="1" t="str">
        <f>Identitas!B4</f>
        <v>Level Saat Ini</v>
      </c>
      <c r="C4" s="84" t="str">
        <f>Identitas!D4</f>
        <v>Officer</v>
      </c>
      <c r="D4" s="2"/>
      <c r="G4" s="12"/>
      <c r="H4" s="80"/>
      <c r="I4" s="82"/>
      <c r="J4" s="82"/>
      <c r="K4" s="82"/>
      <c r="L4" s="82"/>
      <c r="M4" s="82"/>
      <c r="N4" s="82"/>
      <c r="O4" s="2"/>
      <c r="P4" s="80"/>
      <c r="Q4" s="80"/>
      <c r="R4" s="80"/>
      <c r="S4" s="80"/>
      <c r="T4" s="80"/>
      <c r="U4" s="80"/>
      <c r="V4" s="80"/>
      <c r="W4" s="2"/>
      <c r="X4" s="80"/>
      <c r="Y4" s="80"/>
      <c r="Z4" s="80"/>
      <c r="AA4" s="80"/>
      <c r="AB4" s="80"/>
      <c r="AC4" s="80"/>
      <c r="AD4" s="80"/>
      <c r="AE4" s="12"/>
      <c r="AF4" s="80"/>
      <c r="AG4" s="80"/>
      <c r="AH4" s="80"/>
      <c r="AI4" s="80"/>
      <c r="AJ4" s="80"/>
      <c r="AK4" s="80"/>
      <c r="AL4" s="80"/>
      <c r="AM4" s="12"/>
      <c r="AN4" s="80"/>
      <c r="AO4" s="80"/>
      <c r="AP4" s="80"/>
      <c r="AQ4" s="80"/>
      <c r="AR4" s="80"/>
      <c r="AS4" s="80"/>
      <c r="AT4" s="80"/>
    </row>
    <row r="5" spans="1:46" s="1" customFormat="1">
      <c r="A5" s="1" t="str">
        <f>Identitas!B5</f>
        <v>Level Tujuan</v>
      </c>
      <c r="C5" s="84" t="str">
        <f>Identitas!D5</f>
        <v>Analyst</v>
      </c>
      <c r="D5" s="2"/>
      <c r="G5" s="12"/>
      <c r="H5" s="80"/>
      <c r="I5" s="82"/>
      <c r="J5" s="82"/>
      <c r="K5" s="82"/>
      <c r="L5" s="82"/>
      <c r="M5" s="82"/>
      <c r="N5" s="82"/>
      <c r="O5" s="2"/>
      <c r="P5" s="80"/>
      <c r="Q5" s="80"/>
      <c r="R5" s="80"/>
      <c r="S5" s="80"/>
      <c r="T5" s="80"/>
      <c r="U5" s="80"/>
      <c r="V5" s="80"/>
      <c r="W5" s="2"/>
      <c r="X5" s="80"/>
      <c r="Y5" s="80"/>
      <c r="Z5" s="80"/>
      <c r="AA5" s="80"/>
      <c r="AB5" s="80"/>
      <c r="AC5" s="80"/>
      <c r="AD5" s="80"/>
      <c r="AE5" s="12"/>
      <c r="AF5" s="80"/>
      <c r="AG5" s="80"/>
      <c r="AH5" s="80"/>
      <c r="AI5" s="80"/>
      <c r="AJ5" s="80"/>
      <c r="AK5" s="80"/>
      <c r="AL5" s="80"/>
      <c r="AM5" s="12"/>
      <c r="AN5" s="80"/>
      <c r="AO5" s="80"/>
      <c r="AP5" s="80"/>
      <c r="AQ5" s="80"/>
      <c r="AR5" s="80"/>
      <c r="AS5" s="80"/>
      <c r="AT5" s="80"/>
    </row>
    <row r="6" spans="1:46" s="1" customFormat="1">
      <c r="A6" s="1" t="str">
        <f>Identitas!B8</f>
        <v>Departemen</v>
      </c>
      <c r="C6" s="84">
        <f>Identitas!D8</f>
        <v>0</v>
      </c>
      <c r="D6" s="2"/>
      <c r="G6" s="12"/>
      <c r="H6" s="80"/>
      <c r="I6" s="82"/>
      <c r="J6" s="82"/>
      <c r="K6" s="82"/>
      <c r="L6" s="82"/>
      <c r="M6" s="82"/>
      <c r="N6" s="82"/>
      <c r="O6" s="2"/>
      <c r="P6" s="80"/>
      <c r="Q6" s="80"/>
      <c r="R6" s="80"/>
      <c r="S6" s="80"/>
      <c r="T6" s="80"/>
      <c r="U6" s="80"/>
      <c r="V6" s="80"/>
      <c r="W6" s="2"/>
      <c r="X6" s="80"/>
      <c r="Y6" s="80"/>
      <c r="Z6" s="80"/>
      <c r="AA6" s="80"/>
      <c r="AB6" s="80"/>
      <c r="AC6" s="80"/>
      <c r="AD6" s="80"/>
      <c r="AE6" s="12"/>
      <c r="AF6" s="80"/>
      <c r="AG6" s="80"/>
      <c r="AH6" s="80"/>
      <c r="AI6" s="80"/>
      <c r="AJ6" s="80"/>
      <c r="AK6" s="80"/>
      <c r="AL6" s="80"/>
      <c r="AM6" s="12"/>
      <c r="AN6" s="80"/>
      <c r="AO6" s="80"/>
      <c r="AP6" s="80"/>
      <c r="AQ6" s="80"/>
      <c r="AR6" s="80"/>
      <c r="AS6" s="80"/>
      <c r="AT6" s="80"/>
    </row>
    <row r="7" spans="1:46" s="1" customFormat="1">
      <c r="A7" s="1" t="str">
        <f>Identitas!B9</f>
        <v>Divisi</v>
      </c>
      <c r="C7" s="84">
        <f>Identitas!D9</f>
        <v>0</v>
      </c>
      <c r="D7" s="2"/>
      <c r="G7" s="12"/>
      <c r="H7" s="80"/>
      <c r="I7" s="82"/>
      <c r="J7" s="82"/>
      <c r="K7" s="82"/>
      <c r="L7" s="82"/>
      <c r="M7" s="82"/>
      <c r="N7" s="82"/>
      <c r="O7" s="2"/>
      <c r="P7" s="80"/>
      <c r="Q7" s="80"/>
      <c r="R7" s="80"/>
      <c r="S7" s="80"/>
      <c r="T7" s="80"/>
      <c r="U7" s="80"/>
      <c r="V7" s="80"/>
      <c r="W7" s="2"/>
      <c r="X7" s="80"/>
      <c r="Y7" s="80"/>
      <c r="Z7" s="80"/>
      <c r="AA7" s="80"/>
      <c r="AB7" s="80"/>
      <c r="AC7" s="80"/>
      <c r="AD7" s="80"/>
      <c r="AE7" s="12"/>
      <c r="AF7" s="80"/>
      <c r="AG7" s="80"/>
      <c r="AH7" s="80"/>
      <c r="AI7" s="80"/>
      <c r="AJ7" s="80"/>
      <c r="AK7" s="80"/>
      <c r="AL7" s="80"/>
      <c r="AM7" s="12"/>
      <c r="AN7" s="80"/>
      <c r="AO7" s="80"/>
      <c r="AP7" s="80"/>
      <c r="AQ7" s="80"/>
      <c r="AR7" s="80"/>
      <c r="AS7" s="80"/>
      <c r="AT7" s="80"/>
    </row>
    <row r="8" spans="1:46" s="1" customFormat="1">
      <c r="A8" s="1" t="str">
        <f>Identitas!B10</f>
        <v>Direktorat</v>
      </c>
      <c r="C8" s="84">
        <f>Identitas!D10</f>
        <v>0</v>
      </c>
      <c r="D8" s="2"/>
      <c r="G8" s="12"/>
      <c r="H8" s="80"/>
      <c r="I8" s="82"/>
      <c r="J8" s="82"/>
      <c r="K8" s="82"/>
      <c r="L8" s="82"/>
      <c r="M8" s="82"/>
      <c r="N8" s="82"/>
      <c r="O8" s="2"/>
      <c r="P8" s="80"/>
      <c r="Q8" s="80"/>
      <c r="R8" s="80"/>
      <c r="S8" s="80"/>
      <c r="T8" s="80"/>
      <c r="U8" s="80"/>
      <c r="V8" s="80"/>
      <c r="W8" s="2"/>
      <c r="X8" s="80"/>
      <c r="Y8" s="80"/>
      <c r="Z8" s="80"/>
      <c r="AA8" s="80"/>
      <c r="AB8" s="80"/>
      <c r="AC8" s="80"/>
      <c r="AD8" s="80"/>
      <c r="AE8" s="12"/>
      <c r="AF8" s="80"/>
      <c r="AG8" s="80"/>
      <c r="AH8" s="80"/>
      <c r="AI8" s="80"/>
      <c r="AJ8" s="80"/>
      <c r="AK8" s="80"/>
      <c r="AL8" s="80"/>
      <c r="AM8" s="12"/>
      <c r="AN8" s="80"/>
      <c r="AO8" s="80"/>
      <c r="AP8" s="80"/>
      <c r="AQ8" s="80"/>
      <c r="AR8" s="80"/>
      <c r="AS8" s="80"/>
      <c r="AT8" s="80"/>
    </row>
    <row r="9" spans="1:46" s="1" customFormat="1">
      <c r="C9" s="84"/>
      <c r="D9" s="2"/>
      <c r="G9" s="12"/>
      <c r="H9" s="80"/>
      <c r="I9" s="82"/>
      <c r="J9" s="82"/>
      <c r="K9" s="82"/>
      <c r="L9" s="82"/>
      <c r="M9" s="82"/>
      <c r="N9" s="82"/>
      <c r="O9" s="2"/>
      <c r="P9" s="80"/>
      <c r="Q9" s="80"/>
      <c r="R9" s="80"/>
      <c r="S9" s="80"/>
      <c r="T9" s="80"/>
      <c r="U9" s="80"/>
      <c r="V9" s="80"/>
      <c r="W9" s="2"/>
      <c r="X9" s="80"/>
      <c r="Y9" s="80"/>
      <c r="Z9" s="80"/>
      <c r="AA9" s="80"/>
      <c r="AB9" s="80"/>
      <c r="AC9" s="80"/>
      <c r="AD9" s="80"/>
      <c r="AE9" s="12"/>
      <c r="AF9" s="80"/>
      <c r="AG9" s="80"/>
      <c r="AH9" s="80"/>
      <c r="AI9" s="80"/>
      <c r="AJ9" s="80"/>
      <c r="AK9" s="80"/>
      <c r="AL9" s="80"/>
      <c r="AM9" s="12"/>
      <c r="AN9" s="80"/>
      <c r="AO9" s="80"/>
      <c r="AP9" s="80"/>
      <c r="AQ9" s="80"/>
      <c r="AR9" s="80"/>
      <c r="AS9" s="80"/>
      <c r="AT9" s="80"/>
    </row>
    <row r="10" spans="1:46" s="1" customFormat="1">
      <c r="A10" s="1" t="s">
        <v>5383</v>
      </c>
      <c r="C10" s="84"/>
      <c r="D10" s="2"/>
      <c r="G10" s="12"/>
      <c r="H10" s="80"/>
      <c r="I10" s="82"/>
      <c r="J10" s="82"/>
      <c r="K10" s="82"/>
      <c r="L10" s="82"/>
      <c r="M10" s="82"/>
      <c r="N10" s="82"/>
      <c r="O10" s="2"/>
      <c r="P10" s="80"/>
      <c r="Q10" s="80"/>
      <c r="R10" s="80"/>
      <c r="S10" s="80"/>
      <c r="T10" s="80"/>
      <c r="U10" s="80"/>
      <c r="V10" s="80"/>
      <c r="W10" s="2"/>
      <c r="X10" s="80"/>
      <c r="Y10" s="80"/>
      <c r="Z10" s="80"/>
      <c r="AA10" s="80"/>
      <c r="AB10" s="80"/>
      <c r="AC10" s="80"/>
      <c r="AD10" s="80"/>
      <c r="AE10" s="12"/>
      <c r="AF10" s="80"/>
      <c r="AG10" s="80"/>
      <c r="AH10" s="80"/>
      <c r="AI10" s="80"/>
      <c r="AJ10" s="80"/>
      <c r="AK10" s="80"/>
      <c r="AL10" s="80"/>
      <c r="AM10" s="12"/>
      <c r="AN10" s="80"/>
      <c r="AO10" s="80"/>
      <c r="AP10" s="80"/>
      <c r="AQ10" s="80"/>
      <c r="AR10" s="80"/>
      <c r="AS10" s="80"/>
      <c r="AT10" s="80"/>
    </row>
    <row r="11" spans="1:46" s="1" customFormat="1">
      <c r="A11" s="1" t="s">
        <v>5384</v>
      </c>
      <c r="C11" s="84"/>
      <c r="D11" s="2"/>
      <c r="G11" s="12"/>
      <c r="H11" s="80"/>
      <c r="I11" s="82"/>
      <c r="J11" s="82"/>
      <c r="K11" s="82"/>
      <c r="L11" s="82"/>
      <c r="M11" s="82"/>
      <c r="N11" s="82"/>
      <c r="O11" s="2"/>
      <c r="P11" s="80"/>
      <c r="Q11" s="80"/>
      <c r="R11" s="80"/>
      <c r="S11" s="80"/>
      <c r="T11" s="80"/>
      <c r="U11" s="80"/>
      <c r="V11" s="80"/>
      <c r="W11" s="2"/>
      <c r="X11" s="80"/>
      <c r="Y11" s="80"/>
      <c r="Z11" s="80"/>
      <c r="AA11" s="80"/>
      <c r="AB11" s="80"/>
      <c r="AC11" s="80"/>
      <c r="AD11" s="80"/>
      <c r="AE11" s="12"/>
      <c r="AF11" s="80"/>
      <c r="AG11" s="80"/>
      <c r="AH11" s="80"/>
      <c r="AI11" s="80"/>
      <c r="AJ11" s="80"/>
      <c r="AK11" s="80"/>
      <c r="AL11" s="80"/>
      <c r="AM11" s="12"/>
      <c r="AN11" s="80"/>
      <c r="AO11" s="80"/>
      <c r="AP11" s="80"/>
      <c r="AQ11" s="80"/>
      <c r="AR11" s="80"/>
      <c r="AS11" s="80"/>
      <c r="AT11" s="80"/>
    </row>
    <row r="12" spans="1:46" s="164" customFormat="1">
      <c r="A12" s="167"/>
      <c r="B12" s="167"/>
      <c r="C12" s="165"/>
      <c r="D12" s="231"/>
      <c r="H12" s="172"/>
    </row>
    <row r="13" spans="1:46" s="164" customFormat="1">
      <c r="A13" s="167"/>
      <c r="B13" s="167"/>
      <c r="C13" s="165"/>
      <c r="D13" s="231"/>
      <c r="H13" s="172"/>
    </row>
    <row r="15" spans="1:46" s="173" customFormat="1" ht="28">
      <c r="A15" s="233" t="s">
        <v>14</v>
      </c>
      <c r="B15" s="233" t="s">
        <v>478</v>
      </c>
      <c r="C15" s="240" t="s">
        <v>7281</v>
      </c>
      <c r="D15" s="241" t="s">
        <v>7282</v>
      </c>
      <c r="E15" s="241" t="s">
        <v>7283</v>
      </c>
      <c r="F15" s="241" t="s">
        <v>7284</v>
      </c>
      <c r="G15" s="241" t="s">
        <v>7285</v>
      </c>
      <c r="H15" s="241" t="s">
        <v>7286</v>
      </c>
      <c r="I15" s="241" t="s">
        <v>7287</v>
      </c>
      <c r="J15" s="241" t="s">
        <v>7288</v>
      </c>
      <c r="K15" s="241" t="s">
        <v>7289</v>
      </c>
      <c r="L15" s="241" t="s">
        <v>7290</v>
      </c>
      <c r="M15" s="241" t="s">
        <v>7291</v>
      </c>
      <c r="N15" s="241" t="s">
        <v>26</v>
      </c>
      <c r="T15" s="242"/>
    </row>
    <row r="16" spans="1:46" s="173" customFormat="1">
      <c r="A16" s="195">
        <v>1</v>
      </c>
      <c r="B16" s="195" t="e" cm="1">
        <f t="array" aca="1" ref="B16:H27" ca="1">_xlfn.LET(
   _xlpm.komp,_xlfn.ANCHORARRAY(calc!AP2),
   _xlpm.jab,Identitas!$D$5,
   _xlpm.nKomp,ROWS(_xlpm.komp),
   _xlfn.MAKEARRAY(_xlpm.nKomp*4,7,_xlfn.LAMBDA(_xlpm.r,_xlpm.c,
      _xlfn.LET(
         _xlpm.ki,INT((_xlpm.r-1)/4)+1,
         _xlpm.ak,MOD(_xlpm.r-1,4)+1,
         _xlpm.k,INDEX(_xlpm.komp,_xlpm.ki),
         IF(_xlpm.c=1, _xlpm.k,
         IF(_xlpm.c=2,
            IFERROR(INDEX(aspek!$D$2:$D$337,
               MATCH(1,(aspek!$A$2:$A$337=_xlpm.k)*
                       (aspek!$B$2:$B$337=_xlpm.jab)*
                       (aspek!$C$2:$C$337=_xlpm.ak),0)),""),
            IFERROR(INDEX('kamus perilaku'!$G$2:$G$1681,
               MATCH(1,('kamus perilaku'!$B$2:$B$1681=_xlpm.k)*
                       ('kamus perilaku'!$C$2:$C$1681=_xlpm.jab)*
                       ('kamus perilaku'!$D$2:$D$1681=_xlpm.ak)*
                       ('kamus perilaku'!$F$2:$F$1681=_xlpm.c-2),0)),"")
         ))
      )
   ))
)</f>
        <v>#NAME?</v>
      </c>
      <c r="C16" s="243" t="e">
        <f ca="1"/>
        <v>#NAME?</v>
      </c>
      <c r="D16" s="243" t="e">
        <f ca="1"/>
        <v>#NAME?</v>
      </c>
      <c r="E16" s="243" t="e">
        <f ca="1"/>
        <v>#NAME?</v>
      </c>
      <c r="F16" s="243" t="e">
        <f ca="1"/>
        <v>#NAME?</v>
      </c>
      <c r="G16" s="243" t="e">
        <f ca="1"/>
        <v>#NAME?</v>
      </c>
      <c r="H16" s="243" t="e">
        <f ca="1"/>
        <v>#NAME?</v>
      </c>
      <c r="I16" s="195">
        <f ca="1">RANDBETWEEN(1,5)</f>
        <v>2</v>
      </c>
      <c r="J16" s="195">
        <f t="shared" ref="J16:L16" ca="1" si="0">RANDBETWEEN(1,5)</f>
        <v>2</v>
      </c>
      <c r="K16" s="195">
        <f t="shared" ca="1" si="0"/>
        <v>4</v>
      </c>
      <c r="L16" s="195">
        <f t="shared" ca="1" si="0"/>
        <v>3</v>
      </c>
      <c r="M16" s="195">
        <f ca="1">AVERAGE(I16:L16)</f>
        <v>2.75</v>
      </c>
      <c r="N16" s="195">
        <f ca="1">M16-4</f>
        <v>-1.25</v>
      </c>
      <c r="T16" s="242"/>
    </row>
    <row r="17" spans="1:20" s="173" customFormat="1">
      <c r="A17" s="195">
        <v>2</v>
      </c>
      <c r="B17" s="195" t="e">
        <f ca="1"/>
        <v>#NAME?</v>
      </c>
      <c r="C17" s="243" t="e">
        <f ca="1"/>
        <v>#NAME?</v>
      </c>
      <c r="D17" s="243" t="e">
        <f ca="1"/>
        <v>#NAME?</v>
      </c>
      <c r="E17" s="243" t="e">
        <f ca="1"/>
        <v>#NAME?</v>
      </c>
      <c r="F17" s="243" t="e">
        <f ca="1"/>
        <v>#NAME?</v>
      </c>
      <c r="G17" s="243" t="e">
        <f ca="1"/>
        <v>#NAME?</v>
      </c>
      <c r="H17" s="243" t="e">
        <f ca="1"/>
        <v>#NAME?</v>
      </c>
      <c r="I17" s="195">
        <f t="shared" ref="I17:L27" ca="1" si="1">RANDBETWEEN(1,5)</f>
        <v>4</v>
      </c>
      <c r="J17" s="195">
        <f t="shared" ca="1" si="1"/>
        <v>5</v>
      </c>
      <c r="K17" s="195">
        <f t="shared" ca="1" si="1"/>
        <v>3</v>
      </c>
      <c r="L17" s="195">
        <f t="shared" ca="1" si="1"/>
        <v>4</v>
      </c>
      <c r="M17" s="195">
        <f t="shared" ref="M17:M27" ca="1" si="2">AVERAGE(I17:L17)</f>
        <v>4</v>
      </c>
      <c r="N17" s="195">
        <f t="shared" ref="N17:N27" ca="1" si="3">M17-4</f>
        <v>0</v>
      </c>
      <c r="T17" s="242"/>
    </row>
    <row r="18" spans="1:20" s="173" customFormat="1">
      <c r="A18" s="195">
        <v>3</v>
      </c>
      <c r="B18" s="195" t="e">
        <f ca="1"/>
        <v>#NAME?</v>
      </c>
      <c r="C18" s="243" t="e">
        <f ca="1"/>
        <v>#NAME?</v>
      </c>
      <c r="D18" s="243" t="e">
        <f ca="1"/>
        <v>#NAME?</v>
      </c>
      <c r="E18" s="243" t="e">
        <f ca="1"/>
        <v>#NAME?</v>
      </c>
      <c r="F18" s="243" t="e">
        <f ca="1"/>
        <v>#NAME?</v>
      </c>
      <c r="G18" s="243" t="e">
        <f ca="1"/>
        <v>#NAME?</v>
      </c>
      <c r="H18" s="243" t="e">
        <f ca="1"/>
        <v>#NAME?</v>
      </c>
      <c r="I18" s="195">
        <f t="shared" ca="1" si="1"/>
        <v>5</v>
      </c>
      <c r="J18" s="195">
        <f t="shared" ca="1" si="1"/>
        <v>2</v>
      </c>
      <c r="K18" s="195">
        <f t="shared" ca="1" si="1"/>
        <v>4</v>
      </c>
      <c r="L18" s="195">
        <f t="shared" ca="1" si="1"/>
        <v>1</v>
      </c>
      <c r="M18" s="195">
        <f t="shared" ca="1" si="2"/>
        <v>3</v>
      </c>
      <c r="N18" s="195">
        <f t="shared" ca="1" si="3"/>
        <v>-1</v>
      </c>
      <c r="T18" s="242"/>
    </row>
    <row r="19" spans="1:20" s="173" customFormat="1">
      <c r="A19" s="195">
        <v>4</v>
      </c>
      <c r="B19" s="195" t="e">
        <f ca="1"/>
        <v>#NAME?</v>
      </c>
      <c r="C19" s="243" t="e">
        <f ca="1"/>
        <v>#NAME?</v>
      </c>
      <c r="D19" s="243" t="e">
        <f ca="1"/>
        <v>#NAME?</v>
      </c>
      <c r="E19" s="243" t="e">
        <f ca="1"/>
        <v>#NAME?</v>
      </c>
      <c r="F19" s="243" t="e">
        <f ca="1"/>
        <v>#NAME?</v>
      </c>
      <c r="G19" s="243" t="e">
        <f ca="1"/>
        <v>#NAME?</v>
      </c>
      <c r="H19" s="243" t="e">
        <f ca="1"/>
        <v>#NAME?</v>
      </c>
      <c r="I19" s="195">
        <f t="shared" ca="1" si="1"/>
        <v>3</v>
      </c>
      <c r="J19" s="195">
        <f t="shared" ca="1" si="1"/>
        <v>5</v>
      </c>
      <c r="K19" s="195">
        <f t="shared" ca="1" si="1"/>
        <v>4</v>
      </c>
      <c r="L19" s="195">
        <f t="shared" ca="1" si="1"/>
        <v>5</v>
      </c>
      <c r="M19" s="195">
        <f t="shared" ca="1" si="2"/>
        <v>4.25</v>
      </c>
      <c r="N19" s="195">
        <f t="shared" ca="1" si="3"/>
        <v>0.25</v>
      </c>
      <c r="T19" s="242"/>
    </row>
    <row r="20" spans="1:20" s="173" customFormat="1">
      <c r="A20" s="195">
        <v>5</v>
      </c>
      <c r="B20" s="195" t="e">
        <f ca="1"/>
        <v>#NAME?</v>
      </c>
      <c r="C20" s="243" t="e">
        <f ca="1"/>
        <v>#NAME?</v>
      </c>
      <c r="D20" s="243" t="e">
        <f ca="1"/>
        <v>#NAME?</v>
      </c>
      <c r="E20" s="243" t="e">
        <f ca="1"/>
        <v>#NAME?</v>
      </c>
      <c r="F20" s="243" t="e">
        <f ca="1"/>
        <v>#NAME?</v>
      </c>
      <c r="G20" s="243" t="e">
        <f ca="1"/>
        <v>#NAME?</v>
      </c>
      <c r="H20" s="243" t="e">
        <f ca="1"/>
        <v>#NAME?</v>
      </c>
      <c r="I20" s="195">
        <f t="shared" ca="1" si="1"/>
        <v>1</v>
      </c>
      <c r="J20" s="195">
        <f t="shared" ca="1" si="1"/>
        <v>4</v>
      </c>
      <c r="K20" s="195">
        <f t="shared" ca="1" si="1"/>
        <v>5</v>
      </c>
      <c r="L20" s="195">
        <f t="shared" ca="1" si="1"/>
        <v>2</v>
      </c>
      <c r="M20" s="195">
        <f t="shared" ca="1" si="2"/>
        <v>3</v>
      </c>
      <c r="N20" s="195">
        <f t="shared" ca="1" si="3"/>
        <v>-1</v>
      </c>
      <c r="T20" s="242"/>
    </row>
    <row r="21" spans="1:20" s="173" customFormat="1">
      <c r="A21" s="195">
        <v>6</v>
      </c>
      <c r="B21" s="195" t="e">
        <f ca="1"/>
        <v>#NAME?</v>
      </c>
      <c r="C21" s="243" t="e">
        <f ca="1"/>
        <v>#NAME?</v>
      </c>
      <c r="D21" s="243" t="e">
        <f ca="1"/>
        <v>#NAME?</v>
      </c>
      <c r="E21" s="243" t="e">
        <f ca="1"/>
        <v>#NAME?</v>
      </c>
      <c r="F21" s="243" t="e">
        <f ca="1"/>
        <v>#NAME?</v>
      </c>
      <c r="G21" s="243" t="e">
        <f ca="1"/>
        <v>#NAME?</v>
      </c>
      <c r="H21" s="243" t="e">
        <f ca="1"/>
        <v>#NAME?</v>
      </c>
      <c r="I21" s="195">
        <f t="shared" ca="1" si="1"/>
        <v>1</v>
      </c>
      <c r="J21" s="195">
        <f t="shared" ca="1" si="1"/>
        <v>2</v>
      </c>
      <c r="K21" s="195">
        <f t="shared" ca="1" si="1"/>
        <v>3</v>
      </c>
      <c r="L21" s="195">
        <f t="shared" ca="1" si="1"/>
        <v>3</v>
      </c>
      <c r="M21" s="195">
        <f t="shared" ca="1" si="2"/>
        <v>2.25</v>
      </c>
      <c r="N21" s="195">
        <f t="shared" ca="1" si="3"/>
        <v>-1.75</v>
      </c>
      <c r="T21" s="242"/>
    </row>
    <row r="22" spans="1:20" s="173" customFormat="1">
      <c r="A22" s="195">
        <v>7</v>
      </c>
      <c r="B22" s="195" t="e">
        <f ca="1"/>
        <v>#NAME?</v>
      </c>
      <c r="C22" s="243" t="e">
        <f ca="1"/>
        <v>#NAME?</v>
      </c>
      <c r="D22" s="243" t="e">
        <f ca="1"/>
        <v>#NAME?</v>
      </c>
      <c r="E22" s="243" t="e">
        <f ca="1"/>
        <v>#NAME?</v>
      </c>
      <c r="F22" s="243" t="e">
        <f ca="1"/>
        <v>#NAME?</v>
      </c>
      <c r="G22" s="243" t="e">
        <f ca="1"/>
        <v>#NAME?</v>
      </c>
      <c r="H22" s="243" t="e">
        <f ca="1"/>
        <v>#NAME?</v>
      </c>
      <c r="I22" s="195">
        <f t="shared" ca="1" si="1"/>
        <v>1</v>
      </c>
      <c r="J22" s="195">
        <f t="shared" ca="1" si="1"/>
        <v>1</v>
      </c>
      <c r="K22" s="195">
        <f t="shared" ca="1" si="1"/>
        <v>4</v>
      </c>
      <c r="L22" s="195">
        <f t="shared" ca="1" si="1"/>
        <v>5</v>
      </c>
      <c r="M22" s="195">
        <f t="shared" ca="1" si="2"/>
        <v>2.75</v>
      </c>
      <c r="N22" s="195">
        <f t="shared" ca="1" si="3"/>
        <v>-1.25</v>
      </c>
      <c r="T22" s="242"/>
    </row>
    <row r="23" spans="1:20" s="173" customFormat="1">
      <c r="A23" s="195">
        <v>8</v>
      </c>
      <c r="B23" s="195" t="e">
        <f ca="1"/>
        <v>#NAME?</v>
      </c>
      <c r="C23" s="243" t="e">
        <f ca="1"/>
        <v>#NAME?</v>
      </c>
      <c r="D23" s="243" t="e">
        <f ca="1"/>
        <v>#NAME?</v>
      </c>
      <c r="E23" s="243" t="e">
        <f ca="1"/>
        <v>#NAME?</v>
      </c>
      <c r="F23" s="243" t="e">
        <f ca="1"/>
        <v>#NAME?</v>
      </c>
      <c r="G23" s="243" t="e">
        <f ca="1"/>
        <v>#NAME?</v>
      </c>
      <c r="H23" s="243" t="e">
        <f ca="1"/>
        <v>#NAME?</v>
      </c>
      <c r="I23" s="195">
        <f t="shared" ca="1" si="1"/>
        <v>1</v>
      </c>
      <c r="J23" s="195">
        <f t="shared" ca="1" si="1"/>
        <v>1</v>
      </c>
      <c r="K23" s="195">
        <f t="shared" ca="1" si="1"/>
        <v>4</v>
      </c>
      <c r="L23" s="195">
        <f t="shared" ca="1" si="1"/>
        <v>2</v>
      </c>
      <c r="M23" s="195">
        <f t="shared" ca="1" si="2"/>
        <v>2</v>
      </c>
      <c r="N23" s="195">
        <f t="shared" ca="1" si="3"/>
        <v>-2</v>
      </c>
      <c r="T23" s="242"/>
    </row>
    <row r="24" spans="1:20" s="173" customFormat="1">
      <c r="A24" s="195">
        <v>9</v>
      </c>
      <c r="B24" s="195" t="e">
        <f ca="1"/>
        <v>#NAME?</v>
      </c>
      <c r="C24" s="243" t="e">
        <f ca="1"/>
        <v>#NAME?</v>
      </c>
      <c r="D24" s="243" t="e">
        <f ca="1"/>
        <v>#NAME?</v>
      </c>
      <c r="E24" s="243" t="e">
        <f ca="1"/>
        <v>#NAME?</v>
      </c>
      <c r="F24" s="243" t="e">
        <f ca="1"/>
        <v>#NAME?</v>
      </c>
      <c r="G24" s="243" t="e">
        <f ca="1"/>
        <v>#NAME?</v>
      </c>
      <c r="H24" s="243" t="e">
        <f ca="1"/>
        <v>#NAME?</v>
      </c>
      <c r="I24" s="195">
        <f t="shared" ca="1" si="1"/>
        <v>5</v>
      </c>
      <c r="J24" s="195">
        <f t="shared" ca="1" si="1"/>
        <v>5</v>
      </c>
      <c r="K24" s="195">
        <f t="shared" ca="1" si="1"/>
        <v>3</v>
      </c>
      <c r="L24" s="195">
        <f t="shared" ca="1" si="1"/>
        <v>3</v>
      </c>
      <c r="M24" s="195">
        <f t="shared" ca="1" si="2"/>
        <v>4</v>
      </c>
      <c r="N24" s="195">
        <f t="shared" ca="1" si="3"/>
        <v>0</v>
      </c>
      <c r="T24" s="242"/>
    </row>
    <row r="25" spans="1:20" s="173" customFormat="1">
      <c r="A25" s="195">
        <v>10</v>
      </c>
      <c r="B25" s="195" t="e">
        <f ca="1"/>
        <v>#NAME?</v>
      </c>
      <c r="C25" s="243" t="e">
        <f ca="1"/>
        <v>#NAME?</v>
      </c>
      <c r="D25" s="243" t="e">
        <f ca="1"/>
        <v>#NAME?</v>
      </c>
      <c r="E25" s="243" t="e">
        <f ca="1"/>
        <v>#NAME?</v>
      </c>
      <c r="F25" s="243" t="e">
        <f ca="1"/>
        <v>#NAME?</v>
      </c>
      <c r="G25" s="243" t="e">
        <f ca="1"/>
        <v>#NAME?</v>
      </c>
      <c r="H25" s="243" t="e">
        <f ca="1"/>
        <v>#NAME?</v>
      </c>
      <c r="I25" s="195">
        <f t="shared" ca="1" si="1"/>
        <v>3</v>
      </c>
      <c r="J25" s="195">
        <f t="shared" ca="1" si="1"/>
        <v>2</v>
      </c>
      <c r="K25" s="195">
        <f t="shared" ca="1" si="1"/>
        <v>5</v>
      </c>
      <c r="L25" s="195">
        <f t="shared" ca="1" si="1"/>
        <v>5</v>
      </c>
      <c r="M25" s="195">
        <f t="shared" ca="1" si="2"/>
        <v>3.75</v>
      </c>
      <c r="N25" s="195">
        <f t="shared" ca="1" si="3"/>
        <v>-0.25</v>
      </c>
      <c r="T25" s="242"/>
    </row>
    <row r="26" spans="1:20" s="173" customFormat="1">
      <c r="A26" s="195">
        <v>11</v>
      </c>
      <c r="B26" s="195" t="e">
        <f ca="1"/>
        <v>#NAME?</v>
      </c>
      <c r="C26" s="243" t="e">
        <f ca="1"/>
        <v>#NAME?</v>
      </c>
      <c r="D26" s="243" t="e">
        <f ca="1"/>
        <v>#NAME?</v>
      </c>
      <c r="E26" s="243" t="e">
        <f ca="1"/>
        <v>#NAME?</v>
      </c>
      <c r="F26" s="243" t="e">
        <f ca="1"/>
        <v>#NAME?</v>
      </c>
      <c r="G26" s="243" t="e">
        <f ca="1"/>
        <v>#NAME?</v>
      </c>
      <c r="H26" s="243" t="e">
        <f ca="1"/>
        <v>#NAME?</v>
      </c>
      <c r="I26" s="195">
        <f t="shared" ca="1" si="1"/>
        <v>2</v>
      </c>
      <c r="J26" s="195">
        <f t="shared" ca="1" si="1"/>
        <v>4</v>
      </c>
      <c r="K26" s="195">
        <f t="shared" ca="1" si="1"/>
        <v>4</v>
      </c>
      <c r="L26" s="195">
        <f t="shared" ca="1" si="1"/>
        <v>3</v>
      </c>
      <c r="M26" s="195">
        <f t="shared" ca="1" si="2"/>
        <v>3.25</v>
      </c>
      <c r="N26" s="195">
        <f t="shared" ca="1" si="3"/>
        <v>-0.75</v>
      </c>
      <c r="T26" s="242"/>
    </row>
    <row r="27" spans="1:20" s="173" customFormat="1">
      <c r="A27" s="195">
        <v>12</v>
      </c>
      <c r="B27" s="195" t="e">
        <f ca="1"/>
        <v>#NAME?</v>
      </c>
      <c r="C27" s="243" t="e">
        <f ca="1"/>
        <v>#NAME?</v>
      </c>
      <c r="D27" s="243" t="e">
        <f ca="1"/>
        <v>#NAME?</v>
      </c>
      <c r="E27" s="243" t="e">
        <f ca="1"/>
        <v>#NAME?</v>
      </c>
      <c r="F27" s="243" t="e">
        <f ca="1"/>
        <v>#NAME?</v>
      </c>
      <c r="G27" s="243" t="e">
        <f ca="1"/>
        <v>#NAME?</v>
      </c>
      <c r="H27" s="243" t="e">
        <f ca="1"/>
        <v>#NAME?</v>
      </c>
      <c r="I27" s="195">
        <f t="shared" ca="1" si="1"/>
        <v>4</v>
      </c>
      <c r="J27" s="195">
        <f t="shared" ca="1" si="1"/>
        <v>3</v>
      </c>
      <c r="K27" s="195">
        <f t="shared" ca="1" si="1"/>
        <v>5</v>
      </c>
      <c r="L27" s="195">
        <f t="shared" ca="1" si="1"/>
        <v>2</v>
      </c>
      <c r="M27" s="195">
        <f t="shared" ca="1" si="2"/>
        <v>3.5</v>
      </c>
      <c r="N27" s="195">
        <f t="shared" ca="1" si="3"/>
        <v>-0.5</v>
      </c>
      <c r="T27" s="242"/>
    </row>
  </sheetData>
  <mergeCells count="1">
    <mergeCell ref="A1:N1"/>
  </mergeCells>
  <phoneticPr fontId="5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sheetPr>
    <tabColor rgb="FFFFC000"/>
  </sheetPr>
  <dimension ref="A1:AV21"/>
  <sheetViews>
    <sheetView showGridLines="0" zoomScale="70" zoomScaleNormal="70" workbookViewId="0">
      <selection activeCell="E30" sqref="E30"/>
    </sheetView>
  </sheetViews>
  <sheetFormatPr defaultColWidth="8.83203125" defaultRowHeight="14"/>
  <cols>
    <col min="1" max="1" width="23.1640625" style="164" customWidth="1"/>
    <col min="2" max="2" width="33.25" style="164" customWidth="1"/>
    <col min="3" max="3" width="34.1640625" style="164" customWidth="1"/>
    <col min="4" max="7" width="45.25" style="164" customWidth="1"/>
    <col min="8" max="8" width="45.25" style="166" customWidth="1"/>
    <col min="9" max="13" width="15.58203125" style="166" customWidth="1"/>
    <col min="14" max="14" width="18.25" style="164" bestFit="1" customWidth="1"/>
    <col min="15" max="15" width="15" style="164" customWidth="1"/>
    <col min="16" max="16" width="36.83203125" style="164" customWidth="1"/>
    <col min="17" max="16384" width="8.83203125" style="164"/>
  </cols>
  <sheetData>
    <row r="1" spans="1:48" ht="19.149999999999999" customHeight="1">
      <c r="A1" s="301" t="s">
        <v>7280</v>
      </c>
      <c r="B1" s="301"/>
      <c r="C1" s="301"/>
      <c r="D1" s="301"/>
      <c r="E1" s="301"/>
      <c r="F1" s="301"/>
      <c r="G1" s="301"/>
      <c r="H1" s="301"/>
      <c r="I1" s="301"/>
      <c r="J1" s="301"/>
      <c r="K1" s="301"/>
      <c r="L1" s="301"/>
      <c r="M1" s="301"/>
      <c r="N1" s="301"/>
      <c r="O1" s="301"/>
      <c r="P1" s="301"/>
      <c r="Q1" s="163"/>
      <c r="R1" s="163"/>
      <c r="S1" s="163"/>
      <c r="T1" s="163"/>
      <c r="U1" s="163"/>
      <c r="V1" s="163"/>
      <c r="W1" s="163"/>
      <c r="X1" s="163"/>
      <c r="Y1" s="163"/>
      <c r="Z1" s="163"/>
      <c r="AA1" s="163"/>
      <c r="AB1" s="163"/>
      <c r="AC1" s="163"/>
      <c r="AD1" s="163"/>
    </row>
    <row r="3" spans="1:48" s="1" customFormat="1">
      <c r="A3" s="1" t="str">
        <f>Identitas!B3</f>
        <v>Nama Atasan yang menilai</v>
      </c>
      <c r="B3" s="84">
        <f>Identitas!D3</f>
        <v>0</v>
      </c>
      <c r="F3" s="12"/>
      <c r="H3" s="80"/>
      <c r="N3" s="82"/>
      <c r="O3" s="82"/>
      <c r="P3" s="82"/>
      <c r="Q3" s="2"/>
      <c r="R3" s="80"/>
      <c r="S3" s="80"/>
      <c r="T3" s="80"/>
      <c r="U3" s="80"/>
      <c r="V3" s="80"/>
      <c r="W3" s="80"/>
      <c r="X3" s="80"/>
      <c r="Y3" s="2"/>
      <c r="Z3" s="80"/>
      <c r="AA3" s="80"/>
      <c r="AB3" s="80"/>
      <c r="AC3" s="80"/>
      <c r="AD3" s="80"/>
      <c r="AE3" s="80"/>
      <c r="AF3" s="80"/>
      <c r="AG3" s="12"/>
      <c r="AH3" s="80"/>
      <c r="AI3" s="80"/>
      <c r="AJ3" s="80"/>
      <c r="AK3" s="80"/>
      <c r="AL3" s="80"/>
      <c r="AM3" s="80"/>
      <c r="AN3" s="80"/>
      <c r="AO3" s="12"/>
      <c r="AP3" s="80"/>
      <c r="AQ3" s="80"/>
      <c r="AR3" s="80"/>
      <c r="AS3" s="80"/>
      <c r="AT3" s="80"/>
      <c r="AU3" s="80"/>
      <c r="AV3" s="80"/>
    </row>
    <row r="4" spans="1:48" s="1" customFormat="1">
      <c r="A4" s="1" t="str">
        <f>Identitas!B4</f>
        <v>Level Saat Ini</v>
      </c>
      <c r="B4" s="84" t="str">
        <f>Identitas!D4</f>
        <v>Officer</v>
      </c>
      <c r="F4" s="12"/>
      <c r="H4" s="80"/>
      <c r="N4" s="82"/>
      <c r="O4" s="82"/>
      <c r="P4" s="82"/>
      <c r="Q4" s="2"/>
      <c r="R4" s="80"/>
      <c r="S4" s="80"/>
      <c r="T4" s="80"/>
      <c r="U4" s="80"/>
      <c r="V4" s="80"/>
      <c r="W4" s="80"/>
      <c r="X4" s="80"/>
      <c r="Y4" s="2"/>
      <c r="Z4" s="80"/>
      <c r="AA4" s="80"/>
      <c r="AB4" s="80"/>
      <c r="AC4" s="80"/>
      <c r="AD4" s="80"/>
      <c r="AE4" s="80"/>
      <c r="AF4" s="80"/>
      <c r="AG4" s="12"/>
      <c r="AH4" s="80"/>
      <c r="AI4" s="80"/>
      <c r="AJ4" s="80"/>
      <c r="AK4" s="80"/>
      <c r="AL4" s="80"/>
      <c r="AM4" s="80"/>
      <c r="AN4" s="80"/>
      <c r="AO4" s="12"/>
      <c r="AP4" s="80"/>
      <c r="AQ4" s="80"/>
      <c r="AR4" s="80"/>
      <c r="AS4" s="80"/>
      <c r="AT4" s="80"/>
      <c r="AU4" s="80"/>
      <c r="AV4" s="80"/>
    </row>
    <row r="5" spans="1:48" s="1" customFormat="1">
      <c r="A5" s="1" t="str">
        <f>Identitas!B5</f>
        <v>Level Tujuan</v>
      </c>
      <c r="B5" s="84" t="str">
        <f>Identitas!D5</f>
        <v>Analyst</v>
      </c>
      <c r="F5" s="12"/>
      <c r="H5" s="80"/>
      <c r="N5" s="82"/>
      <c r="O5" s="82"/>
      <c r="P5" s="82"/>
      <c r="Q5" s="2"/>
      <c r="R5" s="80"/>
      <c r="S5" s="80"/>
      <c r="T5" s="80"/>
      <c r="U5" s="80"/>
      <c r="V5" s="80"/>
      <c r="W5" s="80"/>
      <c r="X5" s="80"/>
      <c r="Y5" s="2"/>
      <c r="Z5" s="80"/>
      <c r="AA5" s="80"/>
      <c r="AB5" s="80"/>
      <c r="AC5" s="80"/>
      <c r="AD5" s="80"/>
      <c r="AE5" s="80"/>
      <c r="AF5" s="80"/>
      <c r="AG5" s="12"/>
      <c r="AH5" s="80"/>
      <c r="AI5" s="80"/>
      <c r="AJ5" s="80"/>
      <c r="AK5" s="80"/>
      <c r="AL5" s="80"/>
      <c r="AM5" s="80"/>
      <c r="AN5" s="80"/>
      <c r="AO5" s="12"/>
      <c r="AP5" s="80"/>
      <c r="AQ5" s="80"/>
      <c r="AR5" s="80"/>
      <c r="AS5" s="80"/>
      <c r="AT5" s="80"/>
      <c r="AU5" s="80"/>
      <c r="AV5" s="80"/>
    </row>
    <row r="6" spans="1:48" s="1" customFormat="1">
      <c r="A6" s="1" t="str">
        <f>Identitas!B8</f>
        <v>Departemen</v>
      </c>
      <c r="B6" s="84">
        <f>Identitas!D8</f>
        <v>0</v>
      </c>
      <c r="F6" s="12"/>
      <c r="H6" s="80"/>
      <c r="N6" s="82"/>
      <c r="O6" s="82"/>
      <c r="P6" s="82"/>
      <c r="Q6" s="2"/>
      <c r="R6" s="80"/>
      <c r="S6" s="80"/>
      <c r="T6" s="80"/>
      <c r="U6" s="80"/>
      <c r="V6" s="80"/>
      <c r="W6" s="80"/>
      <c r="X6" s="80"/>
      <c r="Y6" s="2"/>
      <c r="Z6" s="80"/>
      <c r="AA6" s="80"/>
      <c r="AB6" s="80"/>
      <c r="AC6" s="80"/>
      <c r="AD6" s="80"/>
      <c r="AE6" s="80"/>
      <c r="AF6" s="80"/>
      <c r="AG6" s="12"/>
      <c r="AH6" s="80"/>
      <c r="AI6" s="80"/>
      <c r="AJ6" s="80"/>
      <c r="AK6" s="80"/>
      <c r="AL6" s="80"/>
      <c r="AM6" s="80"/>
      <c r="AN6" s="80"/>
      <c r="AO6" s="12"/>
      <c r="AP6" s="80"/>
      <c r="AQ6" s="80"/>
      <c r="AR6" s="80"/>
      <c r="AS6" s="80"/>
      <c r="AT6" s="80"/>
      <c r="AU6" s="80"/>
      <c r="AV6" s="80"/>
    </row>
    <row r="7" spans="1:48" s="1" customFormat="1">
      <c r="A7" s="1" t="str">
        <f>Identitas!B9</f>
        <v>Divisi</v>
      </c>
      <c r="B7" s="84">
        <f>Identitas!D9</f>
        <v>0</v>
      </c>
      <c r="F7" s="12"/>
      <c r="H7" s="80"/>
      <c r="N7" s="82"/>
      <c r="O7" s="82"/>
      <c r="P7" s="82"/>
      <c r="Q7" s="2"/>
      <c r="R7" s="80"/>
      <c r="S7" s="80"/>
      <c r="T7" s="80"/>
      <c r="U7" s="80"/>
      <c r="V7" s="80"/>
      <c r="W7" s="80"/>
      <c r="X7" s="80"/>
      <c r="Y7" s="2"/>
      <c r="Z7" s="80"/>
      <c r="AA7" s="80"/>
      <c r="AB7" s="80"/>
      <c r="AC7" s="80"/>
      <c r="AD7" s="80"/>
      <c r="AE7" s="80"/>
      <c r="AF7" s="80"/>
      <c r="AG7" s="12"/>
      <c r="AH7" s="80"/>
      <c r="AI7" s="80"/>
      <c r="AJ7" s="80"/>
      <c r="AK7" s="80"/>
      <c r="AL7" s="80"/>
      <c r="AM7" s="80"/>
      <c r="AN7" s="80"/>
      <c r="AO7" s="12"/>
      <c r="AP7" s="80"/>
      <c r="AQ7" s="80"/>
      <c r="AR7" s="80"/>
      <c r="AS7" s="80"/>
      <c r="AT7" s="80"/>
      <c r="AU7" s="80"/>
      <c r="AV7" s="80"/>
    </row>
    <row r="8" spans="1:48" s="1" customFormat="1">
      <c r="A8" s="1" t="str">
        <f>Identitas!B10</f>
        <v>Direktorat</v>
      </c>
      <c r="B8" s="84">
        <f>Identitas!D10</f>
        <v>0</v>
      </c>
      <c r="F8" s="12"/>
      <c r="H8" s="80"/>
      <c r="N8" s="82"/>
      <c r="O8" s="82"/>
      <c r="P8" s="82"/>
      <c r="Q8" s="2"/>
      <c r="R8" s="80"/>
      <c r="S8" s="80"/>
      <c r="T8" s="80"/>
      <c r="U8" s="80"/>
      <c r="V8" s="80"/>
      <c r="W8" s="80"/>
      <c r="X8" s="80"/>
      <c r="Y8" s="2"/>
      <c r="Z8" s="80"/>
      <c r="AA8" s="80"/>
      <c r="AB8" s="80"/>
      <c r="AC8" s="80"/>
      <c r="AD8" s="80"/>
      <c r="AE8" s="80"/>
      <c r="AF8" s="80"/>
      <c r="AG8" s="12"/>
      <c r="AH8" s="80"/>
      <c r="AI8" s="80"/>
      <c r="AJ8" s="80"/>
      <c r="AK8" s="80"/>
      <c r="AL8" s="80"/>
      <c r="AM8" s="80"/>
      <c r="AN8" s="80"/>
      <c r="AO8" s="12"/>
      <c r="AP8" s="80"/>
      <c r="AQ8" s="80"/>
      <c r="AR8" s="80"/>
      <c r="AS8" s="80"/>
      <c r="AT8" s="80"/>
      <c r="AU8" s="80"/>
      <c r="AV8" s="80"/>
    </row>
    <row r="9" spans="1:48" s="1" customFormat="1">
      <c r="A9" s="1">
        <f>Identitas!B11</f>
        <v>0</v>
      </c>
      <c r="B9" s="84">
        <f>Identitas!D11</f>
        <v>0</v>
      </c>
      <c r="F9" s="12"/>
      <c r="H9" s="80"/>
      <c r="N9" s="82"/>
      <c r="O9" s="82"/>
      <c r="P9" s="82"/>
      <c r="Q9" s="2"/>
      <c r="R9" s="80"/>
      <c r="S9" s="80"/>
      <c r="T9" s="80"/>
      <c r="U9" s="80"/>
      <c r="V9" s="80"/>
      <c r="W9" s="80"/>
      <c r="X9" s="80"/>
      <c r="Y9" s="2"/>
      <c r="Z9" s="80"/>
      <c r="AA9" s="80"/>
      <c r="AB9" s="80"/>
      <c r="AC9" s="80"/>
      <c r="AD9" s="80"/>
      <c r="AE9" s="80"/>
      <c r="AF9" s="80"/>
      <c r="AG9" s="12"/>
      <c r="AH9" s="80"/>
      <c r="AI9" s="80"/>
      <c r="AJ9" s="80"/>
      <c r="AK9" s="80"/>
      <c r="AL9" s="80"/>
      <c r="AM9" s="80"/>
      <c r="AN9" s="80"/>
      <c r="AO9" s="12"/>
      <c r="AP9" s="80"/>
      <c r="AQ9" s="80"/>
      <c r="AR9" s="80"/>
      <c r="AS9" s="80"/>
      <c r="AT9" s="80"/>
      <c r="AU9" s="80"/>
      <c r="AV9" s="80"/>
    </row>
    <row r="10" spans="1:48" s="1" customFormat="1">
      <c r="A10" s="1" t="s">
        <v>5383</v>
      </c>
      <c r="B10" s="84"/>
      <c r="F10" s="12"/>
      <c r="H10" s="80"/>
      <c r="N10" s="82"/>
      <c r="O10" s="82"/>
      <c r="P10" s="82"/>
      <c r="Q10" s="2"/>
      <c r="R10" s="80"/>
      <c r="S10" s="80"/>
      <c r="T10" s="80"/>
      <c r="U10" s="80"/>
      <c r="V10" s="80"/>
      <c r="W10" s="80"/>
      <c r="X10" s="80"/>
      <c r="Y10" s="2"/>
      <c r="Z10" s="80"/>
      <c r="AA10" s="80"/>
      <c r="AB10" s="80"/>
      <c r="AC10" s="80"/>
      <c r="AD10" s="80"/>
      <c r="AE10" s="80"/>
      <c r="AF10" s="80"/>
      <c r="AG10" s="12"/>
      <c r="AH10" s="80"/>
      <c r="AI10" s="80"/>
      <c r="AJ10" s="80"/>
      <c r="AK10" s="80"/>
      <c r="AL10" s="80"/>
      <c r="AM10" s="80"/>
      <c r="AN10" s="80"/>
      <c r="AO10" s="12"/>
      <c r="AP10" s="80"/>
      <c r="AQ10" s="80"/>
      <c r="AR10" s="80"/>
      <c r="AS10" s="80"/>
      <c r="AT10" s="80"/>
      <c r="AU10" s="80"/>
      <c r="AV10" s="80"/>
    </row>
    <row r="11" spans="1:48" s="1" customFormat="1">
      <c r="A11" s="1" t="s">
        <v>5384</v>
      </c>
      <c r="B11" s="84"/>
      <c r="F11" s="12"/>
      <c r="H11" s="80"/>
      <c r="N11" s="82"/>
      <c r="O11" s="82"/>
      <c r="P11" s="82"/>
      <c r="Q11" s="2"/>
      <c r="R11" s="80"/>
      <c r="S11" s="80"/>
      <c r="T11" s="80"/>
      <c r="U11" s="80"/>
      <c r="V11" s="80"/>
      <c r="W11" s="80"/>
      <c r="X11" s="80"/>
      <c r="Y11" s="2"/>
      <c r="Z11" s="80"/>
      <c r="AA11" s="80"/>
      <c r="AB11" s="80"/>
      <c r="AC11" s="80"/>
      <c r="AD11" s="80"/>
      <c r="AE11" s="80"/>
      <c r="AF11" s="80"/>
      <c r="AG11" s="12"/>
      <c r="AH11" s="80"/>
      <c r="AI11" s="80"/>
      <c r="AJ11" s="80"/>
      <c r="AK11" s="80"/>
      <c r="AL11" s="80"/>
      <c r="AM11" s="80"/>
      <c r="AN11" s="80"/>
      <c r="AO11" s="12"/>
      <c r="AP11" s="80"/>
      <c r="AQ11" s="80"/>
      <c r="AR11" s="80"/>
      <c r="AS11" s="80"/>
      <c r="AT11" s="80"/>
      <c r="AU11" s="80"/>
      <c r="AV11" s="80"/>
    </row>
    <row r="12" spans="1:48">
      <c r="A12" s="167"/>
      <c r="B12" s="165"/>
    </row>
    <row r="13" spans="1:48">
      <c r="A13" s="167"/>
      <c r="B13" s="165"/>
    </row>
    <row r="14" spans="1:48" s="172" customFormat="1" ht="28">
      <c r="A14" s="168" t="s">
        <v>14</v>
      </c>
      <c r="B14" s="168" t="s">
        <v>7292</v>
      </c>
      <c r="C14" s="168" t="s">
        <v>7293</v>
      </c>
      <c r="D14" s="169" t="s">
        <v>7294</v>
      </c>
      <c r="E14" s="169" t="s">
        <v>7295</v>
      </c>
      <c r="F14" s="169" t="s">
        <v>7296</v>
      </c>
      <c r="G14" s="169" t="s">
        <v>7297</v>
      </c>
      <c r="H14" s="169" t="s">
        <v>7298</v>
      </c>
      <c r="I14" s="170" t="s">
        <v>7287</v>
      </c>
      <c r="J14" s="170" t="s">
        <v>7288</v>
      </c>
      <c r="K14" s="170" t="s">
        <v>7289</v>
      </c>
      <c r="L14" s="170" t="s">
        <v>7290</v>
      </c>
      <c r="M14" s="170" t="s">
        <v>7299</v>
      </c>
      <c r="N14" s="170" t="s">
        <v>7300</v>
      </c>
      <c r="O14" s="170" t="s">
        <v>7301</v>
      </c>
      <c r="P14" s="171" t="s">
        <v>5396</v>
      </c>
    </row>
    <row r="15" spans="1:48" s="173" customFormat="1" ht="42">
      <c r="A15" s="166">
        <v>1</v>
      </c>
      <c r="B15" s="173" t="s">
        <v>7302</v>
      </c>
      <c r="C15" s="173" t="s">
        <v>7303</v>
      </c>
      <c r="D15" s="173" t="s">
        <v>7304</v>
      </c>
      <c r="E15" s="173" t="s">
        <v>7305</v>
      </c>
      <c r="F15" s="173" t="s">
        <v>7306</v>
      </c>
      <c r="G15" s="173" t="s">
        <v>7307</v>
      </c>
      <c r="H15" s="173" t="s">
        <v>7308</v>
      </c>
      <c r="I15" s="174">
        <f t="shared" ref="I15:I20" ca="1" si="0">RANDBETWEEN(1,5)</f>
        <v>4</v>
      </c>
      <c r="J15" s="174">
        <f t="shared" ref="J15:J20" ca="1" si="1">RANDBETWEEN(1,5)</f>
        <v>1</v>
      </c>
      <c r="K15" s="174">
        <f t="shared" ref="K15:K20" ca="1" si="2">RANDBETWEEN(1,5)</f>
        <v>3</v>
      </c>
      <c r="L15" s="174">
        <f t="shared" ref="L15:L20" ca="1" si="3">RANDBETWEEN(1,5)</f>
        <v>1</v>
      </c>
      <c r="M15" s="174">
        <f ca="1">AVERAGE(FormPenilaianTable3[[#This Row],[Skor 
Panelis 1]:[Skor 
Panelis 4]])</f>
        <v>2.25</v>
      </c>
      <c r="N15" s="175">
        <v>0.25</v>
      </c>
      <c r="O15" s="176">
        <f ca="1">IFERROR(M15*N15,0)</f>
        <v>0.5625</v>
      </c>
      <c r="P15" s="177"/>
    </row>
    <row r="16" spans="1:48" s="173" customFormat="1" ht="56">
      <c r="A16" s="166">
        <v>2</v>
      </c>
      <c r="B16" s="173" t="s">
        <v>7309</v>
      </c>
      <c r="C16" s="173" t="s">
        <v>7310</v>
      </c>
      <c r="D16" s="173" t="s">
        <v>7311</v>
      </c>
      <c r="E16" s="173" t="s">
        <v>7312</v>
      </c>
      <c r="F16" s="173" t="s">
        <v>7313</v>
      </c>
      <c r="G16" s="173" t="s">
        <v>7314</v>
      </c>
      <c r="H16" s="173" t="s">
        <v>7315</v>
      </c>
      <c r="I16" s="174">
        <f t="shared" ca="1" si="0"/>
        <v>1</v>
      </c>
      <c r="J16" s="174">
        <f t="shared" ca="1" si="1"/>
        <v>4</v>
      </c>
      <c r="K16" s="174">
        <f t="shared" ca="1" si="2"/>
        <v>5</v>
      </c>
      <c r="L16" s="174">
        <f t="shared" ca="1" si="3"/>
        <v>4</v>
      </c>
      <c r="M16" s="178">
        <f ca="1">AVERAGE(FormPenilaianTable3[[#This Row],[Skor 
Panelis 1]:[Skor 
Panelis 4]])</f>
        <v>3.5</v>
      </c>
      <c r="N16" s="179">
        <v>0.2</v>
      </c>
      <c r="O16" s="176">
        <f ca="1">IFERROR(M16*N16,0)</f>
        <v>0.70000000000000007</v>
      </c>
      <c r="P16" s="181"/>
    </row>
    <row r="17" spans="1:16" s="173" customFormat="1" ht="56">
      <c r="A17" s="166">
        <v>3</v>
      </c>
      <c r="B17" s="173" t="s">
        <v>7316</v>
      </c>
      <c r="C17" s="173" t="s">
        <v>7317</v>
      </c>
      <c r="D17" s="173" t="s">
        <v>7318</v>
      </c>
      <c r="E17" s="173" t="s">
        <v>7319</v>
      </c>
      <c r="F17" s="173" t="s">
        <v>7320</v>
      </c>
      <c r="G17" s="173" t="s">
        <v>7321</v>
      </c>
      <c r="H17" s="173" t="s">
        <v>7322</v>
      </c>
      <c r="I17" s="174">
        <f t="shared" ca="1" si="0"/>
        <v>1</v>
      </c>
      <c r="J17" s="174">
        <f t="shared" ca="1" si="1"/>
        <v>5</v>
      </c>
      <c r="K17" s="174">
        <f t="shared" ca="1" si="2"/>
        <v>1</v>
      </c>
      <c r="L17" s="174">
        <f t="shared" ca="1" si="3"/>
        <v>1</v>
      </c>
      <c r="M17" s="174">
        <f ca="1">AVERAGE(FormPenilaianTable3[[#This Row],[Skor 
Panelis 1]:[Skor 
Panelis 4]])</f>
        <v>2</v>
      </c>
      <c r="N17" s="175">
        <v>0.2</v>
      </c>
      <c r="O17" s="176">
        <f t="shared" ref="O17:O19" ca="1" si="4">IFERROR(M17*N17,0)</f>
        <v>0.4</v>
      </c>
      <c r="P17" s="177"/>
    </row>
    <row r="18" spans="1:16" s="173" customFormat="1" ht="56">
      <c r="A18" s="166">
        <v>4</v>
      </c>
      <c r="B18" s="173" t="s">
        <v>7323</v>
      </c>
      <c r="C18" s="173" t="s">
        <v>7324</v>
      </c>
      <c r="D18" s="173" t="s">
        <v>7325</v>
      </c>
      <c r="E18" s="173" t="s">
        <v>7326</v>
      </c>
      <c r="F18" s="173" t="s">
        <v>7327</v>
      </c>
      <c r="G18" s="173" t="s">
        <v>7328</v>
      </c>
      <c r="H18" s="173" t="s">
        <v>7329</v>
      </c>
      <c r="I18" s="174">
        <f t="shared" ca="1" si="0"/>
        <v>4</v>
      </c>
      <c r="J18" s="174">
        <f t="shared" ca="1" si="1"/>
        <v>1</v>
      </c>
      <c r="K18" s="174">
        <f t="shared" ca="1" si="2"/>
        <v>2</v>
      </c>
      <c r="L18" s="174">
        <f t="shared" ca="1" si="3"/>
        <v>1</v>
      </c>
      <c r="M18" s="178">
        <f ca="1">AVERAGE(FormPenilaianTable3[[#This Row],[Skor 
Panelis 1]:[Skor 
Panelis 4]])</f>
        <v>2</v>
      </c>
      <c r="N18" s="179">
        <v>0.2</v>
      </c>
      <c r="O18" s="176">
        <f t="shared" ca="1" si="4"/>
        <v>0.4</v>
      </c>
      <c r="P18" s="181"/>
    </row>
    <row r="19" spans="1:16" s="173" customFormat="1" ht="56">
      <c r="A19" s="166">
        <v>5</v>
      </c>
      <c r="B19" s="173" t="s">
        <v>7330</v>
      </c>
      <c r="C19" s="173" t="s">
        <v>7331</v>
      </c>
      <c r="D19" s="173" t="s">
        <v>7332</v>
      </c>
      <c r="E19" s="173" t="s">
        <v>7333</v>
      </c>
      <c r="F19" s="173" t="s">
        <v>7334</v>
      </c>
      <c r="G19" s="173" t="s">
        <v>7335</v>
      </c>
      <c r="H19" s="173" t="s">
        <v>7336</v>
      </c>
      <c r="I19" s="174">
        <f t="shared" ca="1" si="0"/>
        <v>3</v>
      </c>
      <c r="J19" s="174">
        <f t="shared" ca="1" si="1"/>
        <v>1</v>
      </c>
      <c r="K19" s="174">
        <f t="shared" ca="1" si="2"/>
        <v>5</v>
      </c>
      <c r="L19" s="174">
        <f t="shared" ca="1" si="3"/>
        <v>4</v>
      </c>
      <c r="M19" s="174">
        <f ca="1">AVERAGE(FormPenilaianTable3[[#This Row],[Skor 
Panelis 1]:[Skor 
Panelis 4]])</f>
        <v>3.25</v>
      </c>
      <c r="N19" s="175">
        <v>0.15</v>
      </c>
      <c r="O19" s="176">
        <f t="shared" ca="1" si="4"/>
        <v>0.48749999999999999</v>
      </c>
      <c r="P19" s="177"/>
    </row>
    <row r="20" spans="1:16">
      <c r="A20" s="166"/>
      <c r="B20" s="173"/>
      <c r="C20" s="173"/>
      <c r="D20" s="182"/>
      <c r="E20" s="166"/>
      <c r="F20" s="166"/>
      <c r="G20" s="182"/>
      <c r="I20" s="178">
        <f t="shared" ca="1" si="0"/>
        <v>5</v>
      </c>
      <c r="J20" s="178">
        <f t="shared" ca="1" si="1"/>
        <v>5</v>
      </c>
      <c r="K20" s="178">
        <f t="shared" ca="1" si="2"/>
        <v>1</v>
      </c>
      <c r="L20" s="178">
        <f t="shared" ca="1" si="3"/>
        <v>4</v>
      </c>
      <c r="M20" s="178">
        <f ca="1">AVERAGE(FormPenilaianTable3[[#This Row],[Skor 
Panelis 1]:[Skor 
Panelis 4]])</f>
        <v>3.75</v>
      </c>
      <c r="N20" s="183"/>
      <c r="O20" s="180">
        <f ca="1">SUM(O15:O19)</f>
        <v>2.5499999999999998</v>
      </c>
      <c r="P20" s="181"/>
    </row>
    <row r="21" spans="1:16" s="173" customFormat="1">
      <c r="A21" s="169"/>
    </row>
  </sheetData>
  <mergeCells count="1">
    <mergeCell ref="A1:P1"/>
  </mergeCells>
  <phoneticPr fontId="59" type="noConversion"/>
  <conditionalFormatting sqref="I15:M19">
    <cfRule type="colorScale" priority="1">
      <colorScale>
        <cfvo type="min"/>
        <cfvo type="percentile" val="50"/>
        <cfvo type="max"/>
        <color rgb="FFF4CCCC"/>
        <color rgb="FFFFF2CC"/>
        <color rgb="FFC6E0B4"/>
      </colorScale>
    </cfRule>
  </conditionalFormatting>
  <dataValidations count="1">
    <dataValidation type="list" sqref="I15:M19" xr:uid="{E728B3B7-E6E9-46D2-9139-FD14F0965E66}">
      <formula1>"1,2,3,4,5"</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C994-632E-4A2E-B9A2-C08DCD1EF0F0}">
  <sheetPr>
    <tabColor rgb="FFFFC000"/>
  </sheetPr>
  <dimension ref="A1:AN87"/>
  <sheetViews>
    <sheetView showGridLines="0" zoomScale="85" zoomScaleNormal="85" workbookViewId="0">
      <selection activeCell="N26" sqref="N26"/>
    </sheetView>
  </sheetViews>
  <sheetFormatPr defaultRowHeight="14"/>
  <cols>
    <col min="1" max="1" width="28.58203125" bestFit="1" customWidth="1"/>
    <col min="2" max="2" width="12.75" bestFit="1" customWidth="1"/>
    <col min="3" max="3" width="13" customWidth="1"/>
    <col min="4" max="4" width="12.58203125" bestFit="1" customWidth="1"/>
    <col min="5" max="5" width="15.58203125" bestFit="1" customWidth="1"/>
    <col min="6" max="6" width="33.75" style="56" bestFit="1" customWidth="1"/>
  </cols>
  <sheetData>
    <row r="1" spans="1:40" s="182" customFormat="1" ht="15" customHeight="1">
      <c r="A1" s="303" t="s">
        <v>7337</v>
      </c>
      <c r="B1" s="303"/>
      <c r="C1" s="303"/>
      <c r="D1" s="303"/>
      <c r="E1" s="303"/>
      <c r="F1" s="303"/>
      <c r="G1" s="173"/>
      <c r="H1" s="173"/>
      <c r="I1" s="173"/>
      <c r="J1" s="173"/>
      <c r="K1" s="173"/>
      <c r="L1" s="173"/>
      <c r="M1" s="173"/>
      <c r="N1" s="173"/>
      <c r="O1" s="173"/>
      <c r="P1" s="173"/>
      <c r="Q1" s="173"/>
      <c r="R1" s="173"/>
      <c r="S1" s="173"/>
      <c r="T1" s="173"/>
    </row>
    <row r="2" spans="1:40" s="182" customFormat="1">
      <c r="F2" s="173"/>
    </row>
    <row r="3" spans="1:40" s="1" customFormat="1">
      <c r="A3" s="1" t="str">
        <f>Identitas!B3</f>
        <v>Nama Atasan yang menilai</v>
      </c>
      <c r="B3" s="84">
        <f>Identitas!D3</f>
        <v>0</v>
      </c>
      <c r="F3" s="80"/>
      <c r="G3" s="82"/>
      <c r="H3" s="82"/>
      <c r="I3" s="2"/>
      <c r="J3" s="80"/>
      <c r="K3" s="80"/>
      <c r="L3" s="80"/>
      <c r="M3" s="80"/>
      <c r="N3" s="80"/>
      <c r="O3" s="80"/>
      <c r="P3" s="80"/>
      <c r="Q3" s="2"/>
      <c r="R3" s="80"/>
      <c r="S3" s="80"/>
      <c r="T3" s="80"/>
      <c r="U3" s="80"/>
      <c r="V3" s="80"/>
      <c r="W3" s="80"/>
      <c r="X3" s="80"/>
      <c r="Y3" s="12"/>
      <c r="Z3" s="80"/>
      <c r="AA3" s="80"/>
      <c r="AB3" s="80"/>
      <c r="AC3" s="80"/>
      <c r="AD3" s="80"/>
      <c r="AE3" s="80"/>
      <c r="AF3" s="80"/>
      <c r="AG3" s="12"/>
      <c r="AH3" s="80"/>
      <c r="AI3" s="80"/>
      <c r="AJ3" s="80"/>
      <c r="AK3" s="80"/>
      <c r="AL3" s="80"/>
      <c r="AM3" s="80"/>
      <c r="AN3" s="80"/>
    </row>
    <row r="4" spans="1:40" s="1" customFormat="1">
      <c r="A4" s="1" t="str">
        <f>Identitas!B4</f>
        <v>Level Saat Ini</v>
      </c>
      <c r="B4" s="84" t="str">
        <f>Identitas!D4</f>
        <v>Officer</v>
      </c>
      <c r="F4" s="80"/>
      <c r="G4" s="82"/>
      <c r="H4" s="82"/>
      <c r="I4" s="2"/>
      <c r="J4" s="80"/>
      <c r="K4" s="80"/>
      <c r="L4" s="80"/>
      <c r="M4" s="80"/>
      <c r="N4" s="80"/>
      <c r="O4" s="80"/>
      <c r="P4" s="80"/>
      <c r="Q4" s="2"/>
      <c r="R4" s="80"/>
      <c r="S4" s="80"/>
      <c r="T4" s="80"/>
      <c r="U4" s="80"/>
      <c r="V4" s="80"/>
      <c r="W4" s="80"/>
      <c r="X4" s="80"/>
      <c r="Y4" s="12"/>
      <c r="Z4" s="80"/>
      <c r="AA4" s="80"/>
      <c r="AB4" s="80"/>
      <c r="AC4" s="80"/>
      <c r="AD4" s="80"/>
      <c r="AE4" s="80"/>
      <c r="AF4" s="80"/>
      <c r="AG4" s="12"/>
      <c r="AH4" s="80"/>
      <c r="AI4" s="80"/>
      <c r="AJ4" s="80"/>
      <c r="AK4" s="80"/>
      <c r="AL4" s="80"/>
      <c r="AM4" s="80"/>
      <c r="AN4" s="80"/>
    </row>
    <row r="5" spans="1:40" s="1" customFormat="1">
      <c r="A5" s="1" t="str">
        <f>Identitas!B5</f>
        <v>Level Tujuan</v>
      </c>
      <c r="B5" s="84" t="str">
        <f>Identitas!D5</f>
        <v>Analyst</v>
      </c>
      <c r="F5" s="80"/>
      <c r="G5" s="82"/>
      <c r="H5" s="82"/>
      <c r="I5" s="2"/>
      <c r="J5" s="80"/>
      <c r="K5" s="80"/>
      <c r="L5" s="80"/>
      <c r="M5" s="80"/>
      <c r="N5" s="80"/>
      <c r="O5" s="80"/>
      <c r="P5" s="80"/>
      <c r="Q5" s="2"/>
      <c r="R5" s="80"/>
      <c r="S5" s="80"/>
      <c r="T5" s="80"/>
      <c r="U5" s="80"/>
      <c r="V5" s="80"/>
      <c r="W5" s="80"/>
      <c r="X5" s="80"/>
      <c r="Y5" s="12"/>
      <c r="Z5" s="80"/>
      <c r="AA5" s="80"/>
      <c r="AB5" s="80"/>
      <c r="AC5" s="80"/>
      <c r="AD5" s="80"/>
      <c r="AE5" s="80"/>
      <c r="AF5" s="80"/>
      <c r="AG5" s="12"/>
      <c r="AH5" s="80"/>
      <c r="AI5" s="80"/>
      <c r="AJ5" s="80"/>
      <c r="AK5" s="80"/>
      <c r="AL5" s="80"/>
      <c r="AM5" s="80"/>
      <c r="AN5" s="80"/>
    </row>
    <row r="6" spans="1:40" s="1" customFormat="1">
      <c r="A6" s="1" t="str">
        <f>Identitas!B8</f>
        <v>Departemen</v>
      </c>
      <c r="B6" s="84">
        <f>Identitas!D8</f>
        <v>0</v>
      </c>
      <c r="F6" s="80"/>
      <c r="G6" s="82"/>
      <c r="H6" s="82"/>
      <c r="I6" s="2"/>
      <c r="J6" s="80"/>
      <c r="K6" s="80"/>
      <c r="L6" s="80"/>
      <c r="M6" s="80"/>
      <c r="N6" s="80"/>
      <c r="O6" s="80"/>
      <c r="P6" s="80"/>
      <c r="Q6" s="2"/>
      <c r="R6" s="80"/>
      <c r="S6" s="80"/>
      <c r="T6" s="80"/>
      <c r="U6" s="80"/>
      <c r="V6" s="80"/>
      <c r="W6" s="80"/>
      <c r="X6" s="80"/>
      <c r="Y6" s="12"/>
      <c r="Z6" s="80"/>
      <c r="AA6" s="80"/>
      <c r="AB6" s="80"/>
      <c r="AC6" s="80"/>
      <c r="AD6" s="80"/>
      <c r="AE6" s="80"/>
      <c r="AF6" s="80"/>
      <c r="AG6" s="12"/>
      <c r="AH6" s="80"/>
      <c r="AI6" s="80"/>
      <c r="AJ6" s="80"/>
      <c r="AK6" s="80"/>
      <c r="AL6" s="80"/>
      <c r="AM6" s="80"/>
      <c r="AN6" s="80"/>
    </row>
    <row r="7" spans="1:40" s="1" customFormat="1">
      <c r="A7" s="1" t="str">
        <f>Identitas!B9</f>
        <v>Divisi</v>
      </c>
      <c r="B7" s="84">
        <f>Identitas!D9</f>
        <v>0</v>
      </c>
      <c r="F7" s="80"/>
      <c r="G7" s="82"/>
      <c r="H7" s="82"/>
      <c r="I7" s="2"/>
      <c r="J7" s="80"/>
      <c r="K7" s="80"/>
      <c r="L7" s="80"/>
      <c r="M7" s="80"/>
      <c r="N7" s="80"/>
      <c r="O7" s="80"/>
      <c r="P7" s="80"/>
      <c r="Q7" s="2"/>
      <c r="R7" s="80"/>
      <c r="S7" s="80"/>
      <c r="T7" s="80"/>
      <c r="U7" s="80"/>
      <c r="V7" s="80"/>
      <c r="W7" s="80"/>
      <c r="X7" s="80"/>
      <c r="Y7" s="12"/>
      <c r="Z7" s="80"/>
      <c r="AA7" s="80"/>
      <c r="AB7" s="80"/>
      <c r="AC7" s="80"/>
      <c r="AD7" s="80"/>
      <c r="AE7" s="80"/>
      <c r="AF7" s="80"/>
      <c r="AG7" s="12"/>
      <c r="AH7" s="80"/>
      <c r="AI7" s="80"/>
      <c r="AJ7" s="80"/>
      <c r="AK7" s="80"/>
      <c r="AL7" s="80"/>
      <c r="AM7" s="80"/>
      <c r="AN7" s="80"/>
    </row>
    <row r="8" spans="1:40" s="1" customFormat="1">
      <c r="A8" s="1" t="str">
        <f>Identitas!B10</f>
        <v>Direktorat</v>
      </c>
      <c r="B8" s="84">
        <f>Identitas!D10</f>
        <v>0</v>
      </c>
      <c r="F8" s="80"/>
      <c r="G8" s="82"/>
      <c r="H8" s="82"/>
      <c r="I8" s="2"/>
      <c r="J8" s="80"/>
      <c r="K8" s="80"/>
      <c r="L8" s="80"/>
      <c r="M8" s="80"/>
      <c r="N8" s="80"/>
      <c r="O8" s="80"/>
      <c r="P8" s="80"/>
      <c r="Q8" s="2"/>
      <c r="R8" s="80"/>
      <c r="S8" s="80"/>
      <c r="T8" s="80"/>
      <c r="U8" s="80"/>
      <c r="V8" s="80"/>
      <c r="W8" s="80"/>
      <c r="X8" s="80"/>
      <c r="Y8" s="12"/>
      <c r="Z8" s="80"/>
      <c r="AA8" s="80"/>
      <c r="AB8" s="80"/>
      <c r="AC8" s="80"/>
      <c r="AD8" s="80"/>
      <c r="AE8" s="80"/>
      <c r="AF8" s="80"/>
      <c r="AG8" s="12"/>
      <c r="AH8" s="80"/>
      <c r="AI8" s="80"/>
      <c r="AJ8" s="80"/>
      <c r="AK8" s="80"/>
      <c r="AL8" s="80"/>
      <c r="AM8" s="80"/>
      <c r="AN8" s="80"/>
    </row>
    <row r="9" spans="1:40" s="1" customFormat="1">
      <c r="B9" s="84"/>
      <c r="F9" s="80"/>
      <c r="G9" s="82"/>
      <c r="H9" s="82"/>
      <c r="I9" s="2"/>
      <c r="J9" s="80"/>
      <c r="K9" s="80"/>
      <c r="L9" s="80"/>
      <c r="M9" s="80"/>
      <c r="N9" s="80"/>
      <c r="O9" s="80"/>
      <c r="P9" s="80"/>
      <c r="Q9" s="2"/>
      <c r="R9" s="80"/>
      <c r="S9" s="80"/>
      <c r="T9" s="80"/>
      <c r="U9" s="80"/>
      <c r="V9" s="80"/>
      <c r="W9" s="80"/>
      <c r="X9" s="80"/>
      <c r="Y9" s="12"/>
      <c r="Z9" s="80"/>
      <c r="AA9" s="80"/>
      <c r="AB9" s="80"/>
      <c r="AC9" s="80"/>
      <c r="AD9" s="80"/>
      <c r="AE9" s="80"/>
      <c r="AF9" s="80"/>
      <c r="AG9" s="12"/>
      <c r="AH9" s="80"/>
      <c r="AI9" s="80"/>
      <c r="AJ9" s="80"/>
      <c r="AK9" s="80"/>
      <c r="AL9" s="80"/>
      <c r="AM9" s="80"/>
      <c r="AN9" s="80"/>
    </row>
    <row r="10" spans="1:40" s="1" customFormat="1">
      <c r="A10" s="1" t="s">
        <v>5383</v>
      </c>
      <c r="B10" s="84"/>
      <c r="F10" s="80"/>
      <c r="G10" s="82"/>
      <c r="H10" s="82"/>
      <c r="I10" s="2"/>
      <c r="J10" s="80"/>
      <c r="K10" s="80"/>
      <c r="L10" s="80"/>
      <c r="M10" s="80"/>
      <c r="N10" s="80"/>
      <c r="O10" s="80"/>
      <c r="P10" s="80"/>
      <c r="Q10" s="2"/>
      <c r="R10" s="80"/>
      <c r="S10" s="80"/>
      <c r="T10" s="80"/>
      <c r="U10" s="80"/>
      <c r="V10" s="80"/>
      <c r="W10" s="80"/>
      <c r="X10" s="80"/>
      <c r="Y10" s="12"/>
      <c r="Z10" s="80"/>
      <c r="AA10" s="80"/>
      <c r="AB10" s="80"/>
      <c r="AC10" s="80"/>
      <c r="AD10" s="80"/>
      <c r="AE10" s="80"/>
      <c r="AF10" s="80"/>
      <c r="AG10" s="12"/>
      <c r="AH10" s="80"/>
      <c r="AI10" s="80"/>
      <c r="AJ10" s="80"/>
      <c r="AK10" s="80"/>
      <c r="AL10" s="80"/>
      <c r="AM10" s="80"/>
      <c r="AN10" s="80"/>
    </row>
    <row r="11" spans="1:40" s="1" customFormat="1">
      <c r="A11" s="1" t="s">
        <v>5384</v>
      </c>
      <c r="B11" s="84"/>
      <c r="F11" s="80"/>
      <c r="G11" s="82"/>
      <c r="H11" s="82"/>
      <c r="I11" s="2"/>
      <c r="J11" s="80"/>
      <c r="K11" s="80"/>
      <c r="L11" s="80"/>
      <c r="M11" s="80"/>
      <c r="N11" s="80"/>
      <c r="O11" s="80"/>
      <c r="P11" s="80"/>
      <c r="Q11" s="2"/>
      <c r="R11" s="80"/>
      <c r="S11" s="80"/>
      <c r="T11" s="80"/>
      <c r="U11" s="80"/>
      <c r="V11" s="80"/>
      <c r="W11" s="80"/>
      <c r="X11" s="80"/>
      <c r="Y11" s="12"/>
      <c r="Z11" s="80"/>
      <c r="AA11" s="80"/>
      <c r="AB11" s="80"/>
      <c r="AC11" s="80"/>
      <c r="AD11" s="80"/>
      <c r="AE11" s="80"/>
      <c r="AF11" s="80"/>
      <c r="AG11" s="12"/>
      <c r="AH11" s="80"/>
      <c r="AI11" s="80"/>
      <c r="AJ11" s="80"/>
      <c r="AK11" s="80"/>
      <c r="AL11" s="80"/>
      <c r="AM11" s="80"/>
      <c r="AN11" s="80"/>
    </row>
    <row r="14" spans="1:40">
      <c r="A14" s="250" t="s">
        <v>7338</v>
      </c>
      <c r="B14" s="250"/>
      <c r="C14" s="250"/>
      <c r="D14" s="250"/>
      <c r="E14" s="250"/>
      <c r="F14" s="262"/>
    </row>
    <row r="16" spans="1:40" ht="56">
      <c r="A16" s="255" t="s">
        <v>478</v>
      </c>
      <c r="B16" s="57" t="s">
        <v>7339</v>
      </c>
      <c r="C16" s="57" t="s">
        <v>7340</v>
      </c>
      <c r="D16" s="57" t="s">
        <v>7341</v>
      </c>
      <c r="E16" s="57" t="s">
        <v>7342</v>
      </c>
      <c r="F16" s="57" t="s">
        <v>7299</v>
      </c>
    </row>
    <row r="17" spans="1:6">
      <c r="A17" t="e" cm="1">
        <f t="array" aca="1" ref="A17:A19" ca="1">_xlfn.ANCHORARRAY(calc!AP2)</f>
        <v>#NAME?</v>
      </c>
      <c r="B17" s="251">
        <f ca="1">IFERROR(AVERAGEIFS('Monitoring pengembangan'!$P$15:$P$38,
   'Monitoring pengembangan'!$B$15:$B$38,$A17,
   'Monitoring pengembangan'!$C$15:$C$38,"Personal Development"),0)</f>
        <v>0</v>
      </c>
      <c r="C17" s="251">
        <f ca="1">IFERROR(AVERAGEIFS('Monitoring pengembangan'!$P$15:$P$38,
   'Monitoring pengembangan'!$B$15:$B$38,$A17,
   'Monitoring pengembangan'!$C$15:$C$38,"Education-Based Development"),0)</f>
        <v>0</v>
      </c>
      <c r="D17" s="251">
        <f ca="1">IFERROR(AVERAGEIFS('Monitoring pengembangan'!$P$15:$P$38,
   'Monitoring pengembangan'!$B$15:$B$38,$A17,
   'Monitoring pengembangan'!$C$15:$C$38,"Relation-Based Development"),0)</f>
        <v>0</v>
      </c>
      <c r="E17" s="251">
        <f ca="1">IFERROR(AVERAGEIFS('Monitoring pengembangan'!$P$15:$P$38,
   'Monitoring pengembangan'!$B$15:$B$38,$A17,
   'Monitoring pengembangan'!$C$15:$C$38,"Experience-Based Development"),0)</f>
        <v>0</v>
      </c>
      <c r="F17" s="263">
        <f ca="1">B17*0.05+C17*0.15+D17*0.2+E17*0.6</f>
        <v>0</v>
      </c>
    </row>
    <row r="18" spans="1:6">
      <c r="A18" t="e">
        <f ca="1"/>
        <v>#NAME?</v>
      </c>
      <c r="B18" s="251">
        <f ca="1">IFERROR(AVERAGEIFS('Monitoring pengembangan'!$P$15:$P$38,
   'Monitoring pengembangan'!$B$15:$B$38,$A18,
   'Monitoring pengembangan'!$C$15:$C$38,"Personal Development"),0)</f>
        <v>0</v>
      </c>
      <c r="C18" s="251">
        <f ca="1">IFERROR(AVERAGEIFS('Monitoring pengembangan'!$P$15:$P$38,
   'Monitoring pengembangan'!$B$15:$B$38,$A18,
   'Monitoring pengembangan'!$C$15:$C$38,"Education-Based Development"),0)</f>
        <v>0</v>
      </c>
      <c r="D18" s="251">
        <f ca="1">IFERROR(AVERAGEIFS('Monitoring pengembangan'!$P$15:$P$38,
   'Monitoring pengembangan'!$B$15:$B$38,$A18,
   'Monitoring pengembangan'!$C$15:$C$38,"Relation-Based Development"),0)</f>
        <v>0</v>
      </c>
      <c r="E18" s="251">
        <f ca="1">IFERROR(AVERAGEIFS('Monitoring pengembangan'!$P$15:$P$38,
   'Monitoring pengembangan'!$B$15:$B$38,$A18,
   'Monitoring pengembangan'!$C$15:$C$38,"Experience-Based Development"),0)</f>
        <v>0</v>
      </c>
      <c r="F18" s="263">
        <f t="shared" ref="F18:F19" ca="1" si="0">B18*0.05+C18*0.15+D18*0.2+E18*0.6</f>
        <v>0</v>
      </c>
    </row>
    <row r="19" spans="1:6">
      <c r="A19" t="e">
        <f ca="1"/>
        <v>#NAME?</v>
      </c>
      <c r="B19" s="251">
        <f ca="1">IFERROR(AVERAGEIFS('Monitoring pengembangan'!$P$15:$P$38,
   'Monitoring pengembangan'!$B$15:$B$38,$A19,
   'Monitoring pengembangan'!$C$15:$C$38,"Personal Development"),0)</f>
        <v>0</v>
      </c>
      <c r="C19" s="251">
        <f ca="1">IFERROR(AVERAGEIFS('Monitoring pengembangan'!$P$15:$P$38,
   'Monitoring pengembangan'!$B$15:$B$38,$A19,
   'Monitoring pengembangan'!$C$15:$C$38,"Education-Based Development"),0)</f>
        <v>0</v>
      </c>
      <c r="D19" s="251">
        <f ca="1">IFERROR(AVERAGEIFS('Monitoring pengembangan'!$P$15:$P$38,
   'Monitoring pengembangan'!$B$15:$B$38,$A19,
   'Monitoring pengembangan'!$C$15:$C$38,"Relation-Based Development"),0)</f>
        <v>0</v>
      </c>
      <c r="E19" s="251">
        <f ca="1">IFERROR(AVERAGEIFS('Monitoring pengembangan'!$P$15:$P$38,
   'Monitoring pengembangan'!$B$15:$B$38,$A19,
   'Monitoring pengembangan'!$C$15:$C$38,"Experience-Based Development"),0)</f>
        <v>0</v>
      </c>
      <c r="F19" s="263">
        <f t="shared" ca="1" si="0"/>
        <v>0</v>
      </c>
    </row>
    <row r="41" spans="1:6">
      <c r="A41" s="250" t="s">
        <v>7343</v>
      </c>
      <c r="B41" s="250"/>
      <c r="C41" s="250"/>
      <c r="D41" s="250"/>
      <c r="E41" s="250"/>
      <c r="F41" s="262"/>
    </row>
    <row r="43" spans="1:6" s="255" customFormat="1">
      <c r="A43" s="255" t="s">
        <v>478</v>
      </c>
      <c r="B43" s="264" t="s">
        <v>7344</v>
      </c>
      <c r="C43" s="264" t="s">
        <v>7345</v>
      </c>
      <c r="D43" s="264" t="s">
        <v>7346</v>
      </c>
      <c r="E43" s="264" t="s">
        <v>7347</v>
      </c>
      <c r="F43" s="255" t="s">
        <v>7348</v>
      </c>
    </row>
    <row r="44" spans="1:6">
      <c r="A44" s="223" t="e">
        <f ca="1">A17</f>
        <v>#NAME?</v>
      </c>
      <c r="B44" s="265">
        <f ca="1">F17</f>
        <v>0</v>
      </c>
      <c r="C44" s="265">
        <f ca="1">IFERROR(AVERAGEIF('Hasil Perilaku'!$B$16:$B$27,$A44,'Hasil Perilaku'!$L$16:$L$27),0)</f>
        <v>3.1666666666666665</v>
      </c>
      <c r="D44" s="265" t="str">
        <f>"50:50"</f>
        <v>50:50</v>
      </c>
      <c r="E44" s="265">
        <f ca="1">B44*0.5+C44*0.5</f>
        <v>1.5833333333333333</v>
      </c>
      <c r="F44" s="223" t="str" cm="1">
        <f t="array" aca="1" ref="F44" ca="1">_xlfn.IFS(E44="","",E44&gt;=4,"✅ Memenuhi standar",E44&gt;=3.5,"🔶 Kurang "&amp;TEXT(4-E44,"0.00")&amp;" poin",E44&gt;=3,"⚠️ Kurang "&amp;TEXT(4-E44,"0.00")&amp;" poin - perlu penguatan",TRUE,"🔴 Kurang "&amp;TEXT(4-E44,"0.00")&amp;" poin - signifikan")</f>
        <v>🔴 Kurang 002 poin - signifikan</v>
      </c>
    </row>
    <row r="45" spans="1:6">
      <c r="A45" s="223" t="e">
        <f ca="1">A18</f>
        <v>#NAME?</v>
      </c>
      <c r="B45" s="265">
        <f ca="1">F18</f>
        <v>0</v>
      </c>
      <c r="C45" s="265">
        <f ca="1">IFERROR(AVERAGEIF('Hasil Perilaku'!$B$16:$B$27,$A45,'Hasil Perilaku'!$L$16:$L$27),0)</f>
        <v>3.1666666666666665</v>
      </c>
      <c r="D45" s="265" t="str">
        <f t="shared" ref="D45:D46" si="1">"50:50"</f>
        <v>50:50</v>
      </c>
      <c r="E45" s="265">
        <f ca="1">B45*0.5+C45*0.5</f>
        <v>1.5833333333333333</v>
      </c>
      <c r="F45" s="223" t="str" cm="1">
        <f t="array" aca="1" ref="F45" ca="1">_xlfn.IFS(E45="","",E45&gt;=4,"✅ Memenuhi standar",E45&gt;=3.5,"🔶 Kurang "&amp;TEXT(4-E45,"0.00")&amp;" poin",E45&gt;=3,"⚠️ Kurang "&amp;TEXT(4-E45,"0.00")&amp;" poin - perlu penguatan",TRUE,"🔴 Kurang "&amp;TEXT(4-E45,"0.00")&amp;" poin - signifikan")</f>
        <v>🔴 Kurang 002 poin - signifikan</v>
      </c>
    </row>
    <row r="46" spans="1:6">
      <c r="A46" s="223" t="e">
        <f ca="1">A19</f>
        <v>#NAME?</v>
      </c>
      <c r="B46" s="265">
        <f ca="1">F19</f>
        <v>0</v>
      </c>
      <c r="C46" s="265">
        <f ca="1">IFERROR(AVERAGEIF('Hasil Perilaku'!$B$16:$B$27,$A46,'Hasil Perilaku'!$L$16:$L$27),0)</f>
        <v>3.1666666666666665</v>
      </c>
      <c r="D46" s="265" t="str">
        <f t="shared" si="1"/>
        <v>50:50</v>
      </c>
      <c r="E46" s="265">
        <f ca="1">B46*0.5+C46*0.5</f>
        <v>1.5833333333333333</v>
      </c>
      <c r="F46" s="223" t="str" cm="1">
        <f t="array" aca="1" ref="F46" ca="1">_xlfn.IFS(E46="","",E46&gt;=4,"✅ Memenuhi standar",E46&gt;=3.5,"🔶 Kurang "&amp;TEXT(4-E46,"0.00")&amp;" poin",E46&gt;=3,"⚠️ Kurang "&amp;TEXT(4-E46,"0.00")&amp;" poin - perlu penguatan",TRUE,"🔴 Kurang "&amp;TEXT(4-E46,"0.00")&amp;" poin - signifikan")</f>
        <v>🔴 Kurang 002 poin - signifikan</v>
      </c>
    </row>
    <row r="47" spans="1:6" s="253" customFormat="1">
      <c r="A47" s="255" t="s">
        <v>7349</v>
      </c>
      <c r="B47" s="255"/>
      <c r="C47" s="255"/>
      <c r="D47" s="255"/>
      <c r="E47" s="266">
        <f ca="1">IFERROR(AVERAGE(E44:E46),0)</f>
        <v>1.5833333333333333</v>
      </c>
      <c r="F47" s="256"/>
    </row>
    <row r="48" spans="1:6">
      <c r="A48" s="223"/>
      <c r="B48" s="223"/>
      <c r="C48" s="223"/>
      <c r="D48" s="223"/>
      <c r="E48" s="223"/>
      <c r="F48" s="58"/>
    </row>
    <row r="50" spans="1:6">
      <c r="A50" s="250" t="s">
        <v>7350</v>
      </c>
      <c r="B50" s="250"/>
      <c r="C50" s="250"/>
      <c r="D50" s="250"/>
      <c r="E50" s="250"/>
      <c r="F50" s="262"/>
    </row>
    <row r="52" spans="1:6">
      <c r="A52" t="s">
        <v>7351</v>
      </c>
      <c r="B52">
        <f ca="1">COUNTA(_xlfn.ANCHORARRAY(A17))</f>
        <v>1</v>
      </c>
    </row>
    <row r="53" spans="1:6">
      <c r="A53" t="s">
        <v>7352</v>
      </c>
      <c r="B53">
        <f ca="1">COUNTIF(E44:E46,"&gt;=4")</f>
        <v>0</v>
      </c>
    </row>
    <row r="54" spans="1:6">
      <c r="A54" t="s">
        <v>7353</v>
      </c>
      <c r="B54">
        <f ca="1">B52-B53</f>
        <v>1</v>
      </c>
    </row>
    <row r="56" spans="1:6" s="253" customFormat="1">
      <c r="A56" s="253" t="s">
        <v>5395</v>
      </c>
      <c r="B56" s="253" t="str" cm="1">
        <f t="array" aca="1" ref="B56" ca="1">_xlfn.IFS(
   B53=B52,"✅ Lulus Semua ("&amp;B53&amp;"/"&amp;B52&amp;")",
   B53&gt;=1,"🔶 Lulus "&amp;B53&amp;"/"&amp;B52&amp;" - Perbaiki "&amp;B54&amp;" kompetensi",
   TRUE,"🔴 Belum ada yang lulus"
)</f>
        <v>🔴 Belum ada yang lulus</v>
      </c>
      <c r="F56" s="254"/>
    </row>
    <row r="58" spans="1:6">
      <c r="A58" t="s">
        <v>7354</v>
      </c>
      <c r="B58" t="str" cm="1">
        <f t="array" aca="1" ref="B58" ca="1">IFERROR(_xlfn.TEXTJOIN(", ",TRUE,_xlfn._xlws.FILTER(A44:A46,E44:E46&gt;=4)),"Belum ada")</f>
        <v>Belum ada</v>
      </c>
    </row>
    <row r="59" spans="1:6">
      <c r="A59" t="s">
        <v>7355</v>
      </c>
      <c r="B59" t="str" cm="1">
        <f t="array" aca="1" ref="B59" ca="1">IFERROR(_xlfn.TEXTJOIN(", ",TRUE,_xlfn._xlws.FILTER(A44:A46,E44:E46&lt;4)),"Semua sudah lulus ✅")</f>
        <v>Semua sudah lulus ✅</v>
      </c>
    </row>
    <row r="62" spans="1:6">
      <c r="A62" s="250" t="s">
        <v>7356</v>
      </c>
      <c r="B62" s="250"/>
      <c r="C62" s="250"/>
      <c r="D62" s="250"/>
      <c r="E62" s="250"/>
      <c r="F62" s="262"/>
    </row>
    <row r="64" spans="1:6">
      <c r="A64" t="s">
        <v>7357</v>
      </c>
      <c r="B64" t="s">
        <v>7358</v>
      </c>
      <c r="C64" t="s">
        <v>7359</v>
      </c>
      <c r="D64" t="s">
        <v>7360</v>
      </c>
    </row>
    <row r="65" spans="1:6">
      <c r="A65" t="s">
        <v>478</v>
      </c>
      <c r="B65" s="257">
        <v>0.8</v>
      </c>
      <c r="C65" s="258">
        <f ca="1">E47</f>
        <v>1.5833333333333333</v>
      </c>
      <c r="D65" s="260">
        <f ca="1">B65*C65</f>
        <v>1.2666666666666666</v>
      </c>
    </row>
    <row r="66" spans="1:6">
      <c r="A66" t="s">
        <v>7361</v>
      </c>
      <c r="B66" s="259">
        <v>0.2</v>
      </c>
      <c r="C66" s="258">
        <f ca="1">'Form Penilaian Presentasi'!O20</f>
        <v>2.5499999999999998</v>
      </c>
      <c r="D66" s="260">
        <f ca="1">B66*C66</f>
        <v>0.51</v>
      </c>
    </row>
    <row r="68" spans="1:6" s="253" customFormat="1">
      <c r="A68" s="253" t="s">
        <v>7362</v>
      </c>
      <c r="D68" s="261">
        <f ca="1">SUM(D65:D66)</f>
        <v>1.7766666666666666</v>
      </c>
      <c r="F68" s="254"/>
    </row>
    <row r="71" spans="1:6">
      <c r="A71" s="250" t="s">
        <v>7363</v>
      </c>
      <c r="B71" s="250"/>
      <c r="C71" s="250"/>
      <c r="D71" s="250"/>
      <c r="E71" s="250"/>
      <c r="F71" s="262"/>
    </row>
    <row r="72" spans="1:6" ht="35.5" customHeight="1">
      <c r="A72" s="304" t="str" cm="1">
        <f t="array" aca="1" ref="A72" ca="1">_xlfn.IFS(
   D68&gt;=4,"✅ LULUS - Lanjut ke program level "&amp;Identitas!$D$5&amp;" atau promosi",
   D68&gt;=3.5,"🔶 LULUS BERSYARAT - Perlu penguatan pada "&amp;INDEX($A$44:$A$46,MATCH(MIN($E$44:$E$46),$E$44:$E$46,0)),
   D68&gt;=3,"⚠️ PERLU PENGUATAN - Fokus: "&amp;INDEX($A$44:$A$46,MATCH(MIN($E$44:$E$46),$E$44:$E$46,0)),
   TRUE,"🔴 PERLU PENGEMBANGAN ULANG"
)</f>
        <v>🔴 PERLU PENGEMBANGAN ULANG</v>
      </c>
      <c r="B72" s="304"/>
      <c r="C72" s="304"/>
      <c r="D72" s="304"/>
      <c r="E72" s="304"/>
      <c r="F72" s="304"/>
    </row>
    <row r="73" spans="1:6">
      <c r="A73" s="76"/>
      <c r="B73" s="76"/>
      <c r="C73" s="76"/>
      <c r="D73" s="76"/>
      <c r="E73" s="76"/>
      <c r="F73" s="76"/>
    </row>
    <row r="74" spans="1:6">
      <c r="A74" s="76" t="s">
        <v>7364</v>
      </c>
      <c r="B74" s="252" t="e">
        <f ca="1">INDEX($A$44:$A$46,MATCH(MIN($E$44:$E$46),$E$44:$E$46,0))</f>
        <v>#NAME?</v>
      </c>
      <c r="C74" s="76"/>
      <c r="D74" s="76"/>
      <c r="E74" s="76"/>
      <c r="F74" s="76"/>
    </row>
    <row r="75" spans="1:6">
      <c r="A75" s="76" t="s">
        <v>7365</v>
      </c>
      <c r="B75" s="267">
        <f ca="1">MIN($E$44:$E$46)</f>
        <v>1.5833333333333333</v>
      </c>
      <c r="C75" s="76"/>
      <c r="D75" s="76"/>
      <c r="E75" s="76"/>
      <c r="F75" s="76"/>
    </row>
    <row r="76" spans="1:6">
      <c r="A76" s="76" t="s">
        <v>7366</v>
      </c>
      <c r="B76" s="267">
        <f ca="1">4-MIN($E$44:$E$46)</f>
        <v>2.416666666666667</v>
      </c>
      <c r="C76" s="76"/>
      <c r="D76" s="76"/>
      <c r="E76" s="76"/>
      <c r="F76" s="76"/>
    </row>
    <row r="77" spans="1:6">
      <c r="A77" s="76" t="s">
        <v>7367</v>
      </c>
      <c r="B77" s="252" t="str" cm="1">
        <f t="array" aca="1" ref="B77" ca="1">_xlfn.IFS(
   B76&lt;=0,"✅ Sudah memenuhi",
   B76&lt;=0.25,"1-2 bulan",
   B76&lt;=0.5,"3 bulan",
   B76&lt;=1,"3-6 bulan",
   TRUE,"6-12 bulan"
)</f>
        <v>6-12 bulan</v>
      </c>
      <c r="C77" s="76"/>
      <c r="D77" s="76"/>
      <c r="E77" s="76"/>
      <c r="F77" s="76"/>
    </row>
    <row r="78" spans="1:6" hidden="1">
      <c r="A78" s="76" t="s">
        <v>7368</v>
      </c>
      <c r="B78" s="252" t="str" cm="1">
        <f t="array" aca="1" ref="B78" ca="1">_xlfn.IFS(
   B76&lt;=0,"Tidak perlu",
   B76&lt;=0.5,"Coaching + Experience-Based",
   B76&lt;=1,"Pelatihan formal + mentoring",
   TRUE,"Program intensif (4 metode)"
)</f>
        <v>Program intensif (4 metode)</v>
      </c>
      <c r="C78" s="76"/>
      <c r="D78" s="76"/>
      <c r="E78" s="76"/>
      <c r="F78" s="76"/>
    </row>
    <row r="80" spans="1:6">
      <c r="A80" s="302" t="s">
        <v>7369</v>
      </c>
      <c r="B80" s="302"/>
      <c r="C80" s="302"/>
      <c r="D80" s="302"/>
      <c r="E80" s="302"/>
      <c r="F80" s="302"/>
    </row>
    <row r="81" spans="1:6">
      <c r="A81" s="305" t="e">
        <f ca="1">INDEX($A$44:$A$46,MATCH(MAX($E$44:$E$46),$E$44:$E$46,0))</f>
        <v>#NAME?</v>
      </c>
      <c r="B81" s="305"/>
      <c r="C81" s="305"/>
      <c r="D81" s="305"/>
      <c r="E81" s="305"/>
      <c r="F81" s="305"/>
    </row>
    <row r="83" spans="1:6">
      <c r="A83" s="302" t="s">
        <v>7370</v>
      </c>
      <c r="B83" s="302"/>
      <c r="C83" s="302"/>
      <c r="D83" s="302"/>
      <c r="E83" s="302"/>
      <c r="F83" s="302"/>
    </row>
    <row r="84" spans="1:6">
      <c r="A84" s="305" t="str" cm="1">
        <f t="array" aca="1" ref="A84" ca="1">INDEX({"Personal Development","Education-Based Development","Relation-Based Development","Experience-Based Development"},
   MATCH(MAX(AVERAGE(B17:B19),AVERAGE(C17:C19),AVERAGE(D17:D19),AVERAGE(E17:E19)),
      CHOOSE({1,2,3,4},AVERAGE(B17:B19),AVERAGE(C17:C19),AVERAGE(D17:D19),AVERAGE(E17:E19)),0))</f>
        <v>Personal Development</v>
      </c>
      <c r="B84" s="305"/>
      <c r="C84" s="305"/>
      <c r="D84" s="305"/>
      <c r="E84" s="305"/>
      <c r="F84" s="305"/>
    </row>
    <row r="86" spans="1:6">
      <c r="A86" s="302" t="s">
        <v>7371</v>
      </c>
      <c r="B86" s="302"/>
      <c r="C86" s="302"/>
      <c r="D86" s="302"/>
      <c r="E86" s="302"/>
      <c r="F86" s="302"/>
    </row>
    <row r="87" spans="1:6">
      <c r="A87" s="305" t="str" cm="1">
        <f t="array" aca="1" ref="A87" ca="1">INDEX({"Personal Development","Education-Based Development","Relation-Based Development","Experience-Based Development"},
   MATCH(MIN(AVERAGE(B17:B19),AVERAGE(C17:C19),AVERAGE(D17:D19),AVERAGE(E17:E19)),
      CHOOSE({1,2,3,4},AVERAGE(B17:B19),AVERAGE(C17:C19),AVERAGE(D17:D19),AVERAGE(E17:E19)),0))</f>
        <v>Personal Development</v>
      </c>
      <c r="B87" s="305"/>
      <c r="C87" s="305"/>
      <c r="D87" s="305"/>
      <c r="E87" s="305"/>
      <c r="F87" s="305"/>
    </row>
  </sheetData>
  <mergeCells count="8">
    <mergeCell ref="A80:F80"/>
    <mergeCell ref="A1:F1"/>
    <mergeCell ref="A72:F72"/>
    <mergeCell ref="A87:F87"/>
    <mergeCell ref="A86:F86"/>
    <mergeCell ref="A84:F84"/>
    <mergeCell ref="A83:F83"/>
    <mergeCell ref="A81:F81"/>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sheetPr>
    <tabColor theme="3"/>
  </sheetPr>
  <dimension ref="A2:I239"/>
  <sheetViews>
    <sheetView topLeftCell="D1" zoomScale="55" zoomScaleNormal="55" workbookViewId="0">
      <selection activeCell="C3" sqref="C3:G16"/>
    </sheetView>
  </sheetViews>
  <sheetFormatPr defaultRowHeight="14"/>
  <cols>
    <col min="2" max="2" width="39" bestFit="1" customWidth="1"/>
    <col min="3" max="8" width="32.75" customWidth="1"/>
  </cols>
  <sheetData>
    <row r="2" spans="2:8" ht="18.5">
      <c r="B2" s="111" t="s">
        <v>478</v>
      </c>
      <c r="C2" s="112" t="s">
        <v>4</v>
      </c>
      <c r="D2" s="112" t="s">
        <v>6</v>
      </c>
      <c r="E2" s="112" t="s">
        <v>13</v>
      </c>
      <c r="F2" s="112" t="s">
        <v>719</v>
      </c>
      <c r="G2" s="112" t="s">
        <v>778</v>
      </c>
      <c r="H2" s="112" t="s">
        <v>838</v>
      </c>
    </row>
    <row r="3" spans="2:8" ht="40.15" customHeight="1">
      <c r="B3" s="110" t="s">
        <v>495</v>
      </c>
      <c r="C3" s="112">
        <v>2</v>
      </c>
      <c r="D3" s="112">
        <v>3</v>
      </c>
      <c r="E3" s="112">
        <v>3</v>
      </c>
      <c r="F3" s="112">
        <v>4</v>
      </c>
      <c r="G3" s="112">
        <v>5</v>
      </c>
      <c r="H3" s="112" t="s">
        <v>7372</v>
      </c>
    </row>
    <row r="4" spans="2:8" ht="40.15" customHeight="1">
      <c r="B4" s="110" t="s">
        <v>496</v>
      </c>
      <c r="C4" s="112">
        <v>1</v>
      </c>
      <c r="D4" s="112">
        <v>2</v>
      </c>
      <c r="E4" s="112">
        <v>3</v>
      </c>
      <c r="F4" s="112">
        <v>4</v>
      </c>
      <c r="G4" s="112">
        <v>5</v>
      </c>
      <c r="H4" s="112" t="s">
        <v>7372</v>
      </c>
    </row>
    <row r="5" spans="2:8" ht="40.15" customHeight="1">
      <c r="B5" s="110" t="s">
        <v>497</v>
      </c>
      <c r="C5" s="112">
        <v>1</v>
      </c>
      <c r="D5" s="112">
        <v>2</v>
      </c>
      <c r="E5" s="112">
        <v>3</v>
      </c>
      <c r="F5" s="112">
        <v>5</v>
      </c>
      <c r="G5" s="112">
        <v>5</v>
      </c>
      <c r="H5" s="112" t="s">
        <v>7372</v>
      </c>
    </row>
    <row r="6" spans="2:8" ht="40.15" customHeight="1">
      <c r="B6" s="110" t="s">
        <v>498</v>
      </c>
      <c r="C6" s="112">
        <v>1</v>
      </c>
      <c r="D6" s="112">
        <v>2</v>
      </c>
      <c r="E6" s="112">
        <v>4</v>
      </c>
      <c r="F6" s="112">
        <v>4</v>
      </c>
      <c r="G6" s="112">
        <v>5</v>
      </c>
      <c r="H6" s="112" t="s">
        <v>7372</v>
      </c>
    </row>
    <row r="7" spans="2:8" ht="40.15" customHeight="1">
      <c r="B7" s="110" t="s">
        <v>499</v>
      </c>
      <c r="C7" s="112">
        <v>2</v>
      </c>
      <c r="D7" s="112">
        <v>3</v>
      </c>
      <c r="E7" s="112">
        <v>3</v>
      </c>
      <c r="F7" s="112">
        <v>4</v>
      </c>
      <c r="G7" s="112">
        <v>5</v>
      </c>
      <c r="H7" s="112" t="s">
        <v>7372</v>
      </c>
    </row>
    <row r="8" spans="2:8" ht="40.15" customHeight="1">
      <c r="B8" s="110" t="s">
        <v>500</v>
      </c>
      <c r="C8" s="112">
        <v>1</v>
      </c>
      <c r="D8" s="112">
        <v>2</v>
      </c>
      <c r="E8" s="112">
        <v>3</v>
      </c>
      <c r="F8" s="112">
        <v>4</v>
      </c>
      <c r="G8" s="112">
        <v>5</v>
      </c>
      <c r="H8" s="112" t="s">
        <v>7372</v>
      </c>
    </row>
    <row r="9" spans="2:8" ht="40.15" customHeight="1">
      <c r="B9" s="110" t="s">
        <v>501</v>
      </c>
      <c r="C9" s="112">
        <v>1</v>
      </c>
      <c r="D9" s="112">
        <v>2</v>
      </c>
      <c r="E9" s="112">
        <v>3</v>
      </c>
      <c r="F9" s="112">
        <v>4</v>
      </c>
      <c r="G9" s="112">
        <v>5</v>
      </c>
      <c r="H9" s="112" t="s">
        <v>7372</v>
      </c>
    </row>
    <row r="10" spans="2:8" ht="40.15" customHeight="1">
      <c r="B10" s="110" t="s">
        <v>502</v>
      </c>
      <c r="C10" s="112">
        <v>1</v>
      </c>
      <c r="D10" s="112">
        <v>2</v>
      </c>
      <c r="E10" s="112">
        <v>3</v>
      </c>
      <c r="F10" s="112">
        <v>4</v>
      </c>
      <c r="G10" s="112">
        <v>5</v>
      </c>
      <c r="H10" s="112" t="s">
        <v>7372</v>
      </c>
    </row>
    <row r="11" spans="2:8" ht="40.15" customHeight="1">
      <c r="B11" s="110" t="s">
        <v>503</v>
      </c>
      <c r="C11" s="112">
        <v>1</v>
      </c>
      <c r="D11" s="112">
        <v>2</v>
      </c>
      <c r="E11" s="112">
        <v>3</v>
      </c>
      <c r="F11" s="112">
        <v>4</v>
      </c>
      <c r="G11" s="112">
        <v>5</v>
      </c>
      <c r="H11" s="112" t="s">
        <v>7372</v>
      </c>
    </row>
    <row r="12" spans="2:8" ht="40.15" customHeight="1">
      <c r="B12" s="110" t="s">
        <v>504</v>
      </c>
      <c r="C12" s="112">
        <v>2</v>
      </c>
      <c r="D12" s="112">
        <v>3</v>
      </c>
      <c r="E12" s="112">
        <v>4</v>
      </c>
      <c r="F12" s="112">
        <v>5</v>
      </c>
      <c r="G12" s="112">
        <v>5</v>
      </c>
      <c r="H12" s="112" t="s">
        <v>7372</v>
      </c>
    </row>
    <row r="13" spans="2:8" ht="40.15" customHeight="1">
      <c r="B13" s="110" t="s">
        <v>505</v>
      </c>
      <c r="C13" s="112">
        <v>1</v>
      </c>
      <c r="D13" s="112">
        <v>2</v>
      </c>
      <c r="E13" s="112">
        <v>3</v>
      </c>
      <c r="F13" s="112">
        <v>4</v>
      </c>
      <c r="G13" s="112">
        <v>5</v>
      </c>
      <c r="H13" s="112" t="s">
        <v>7372</v>
      </c>
    </row>
    <row r="14" spans="2:8" ht="40.15" customHeight="1">
      <c r="B14" s="110" t="s">
        <v>506</v>
      </c>
      <c r="C14" s="112">
        <v>2</v>
      </c>
      <c r="D14" s="112">
        <v>3</v>
      </c>
      <c r="E14" s="112">
        <v>3</v>
      </c>
      <c r="F14" s="112">
        <v>4</v>
      </c>
      <c r="G14" s="112">
        <v>5</v>
      </c>
      <c r="H14" s="112" t="s">
        <v>7372</v>
      </c>
    </row>
    <row r="15" spans="2:8" ht="40.15" customHeight="1">
      <c r="B15" s="110" t="s">
        <v>507</v>
      </c>
      <c r="C15" s="112">
        <v>1</v>
      </c>
      <c r="D15" s="112">
        <v>2</v>
      </c>
      <c r="E15" s="112">
        <v>3</v>
      </c>
      <c r="F15" s="112">
        <v>4</v>
      </c>
      <c r="G15" s="112">
        <v>5</v>
      </c>
      <c r="H15" s="112" t="s">
        <v>7372</v>
      </c>
    </row>
    <row r="16" spans="2:8" ht="40.15" customHeight="1">
      <c r="B16" s="110" t="s">
        <v>508</v>
      </c>
      <c r="C16" s="112">
        <v>1</v>
      </c>
      <c r="D16" s="112">
        <v>2</v>
      </c>
      <c r="E16" s="112">
        <v>3</v>
      </c>
      <c r="F16" s="112">
        <v>4</v>
      </c>
      <c r="G16" s="112">
        <v>5</v>
      </c>
      <c r="H16" s="112" t="s">
        <v>7372</v>
      </c>
    </row>
    <row r="20" spans="2:9">
      <c r="B20" s="244" t="s">
        <v>478</v>
      </c>
      <c r="C20" s="244" t="s">
        <v>4</v>
      </c>
      <c r="D20" s="244" t="s">
        <v>6</v>
      </c>
      <c r="E20" s="244" t="s">
        <v>7373</v>
      </c>
      <c r="F20" s="244" t="s">
        <v>719</v>
      </c>
      <c r="G20" s="244" t="s">
        <v>778</v>
      </c>
      <c r="H20" s="244" t="s">
        <v>838</v>
      </c>
    </row>
    <row r="21" spans="2:9" ht="72.5">
      <c r="B21" s="244" t="s">
        <v>495</v>
      </c>
      <c r="C21" s="43" t="s">
        <v>7374</v>
      </c>
      <c r="D21" s="43" t="s">
        <v>7375</v>
      </c>
      <c r="E21" s="43" t="s">
        <v>7376</v>
      </c>
      <c r="F21" s="43" t="s">
        <v>7377</v>
      </c>
      <c r="G21" s="43" t="s">
        <v>7378</v>
      </c>
      <c r="H21" s="43" t="s">
        <v>7379</v>
      </c>
    </row>
    <row r="22" spans="2:9" ht="57.65" customHeight="1">
      <c r="B22" s="314" t="s">
        <v>496</v>
      </c>
      <c r="C22" s="245" t="s">
        <v>7380</v>
      </c>
      <c r="D22" s="245" t="s">
        <v>7381</v>
      </c>
      <c r="E22" s="245" t="s">
        <v>7382</v>
      </c>
      <c r="F22" s="315" t="s">
        <v>7383</v>
      </c>
      <c r="G22" s="315" t="s">
        <v>7384</v>
      </c>
      <c r="H22" s="315" t="s">
        <v>7385</v>
      </c>
    </row>
    <row r="23" spans="2:9" ht="72.5">
      <c r="B23" s="314"/>
      <c r="C23" s="245" t="s">
        <v>7386</v>
      </c>
      <c r="D23" s="245" t="s">
        <v>7387</v>
      </c>
      <c r="E23" s="245" t="s">
        <v>7388</v>
      </c>
      <c r="F23" s="315"/>
      <c r="G23" s="315"/>
      <c r="H23" s="315"/>
    </row>
    <row r="24" spans="2:9" ht="72" customHeight="1">
      <c r="B24" s="314" t="s">
        <v>497</v>
      </c>
      <c r="C24" s="316" t="s">
        <v>7389</v>
      </c>
      <c r="D24" s="44" t="s">
        <v>7390</v>
      </c>
      <c r="E24" s="316" t="s">
        <v>7391</v>
      </c>
      <c r="F24" s="316" t="s">
        <v>7392</v>
      </c>
      <c r="G24" s="316" t="s">
        <v>7378</v>
      </c>
      <c r="H24" s="316" t="s">
        <v>7379</v>
      </c>
      <c r="I24" s="74"/>
    </row>
    <row r="25" spans="2:9" ht="57.65" customHeight="1">
      <c r="B25" s="314"/>
      <c r="C25" s="316"/>
      <c r="D25" s="43" t="s">
        <v>7393</v>
      </c>
      <c r="E25" s="316"/>
      <c r="F25" s="316"/>
      <c r="G25" s="316"/>
      <c r="H25" s="316"/>
      <c r="I25" s="74"/>
    </row>
    <row r="26" spans="2:9" ht="72.5">
      <c r="B26" s="244" t="s">
        <v>498</v>
      </c>
      <c r="C26" s="44" t="s">
        <v>7394</v>
      </c>
      <c r="D26" s="44" t="s">
        <v>7390</v>
      </c>
      <c r="E26" s="43" t="s">
        <v>7391</v>
      </c>
      <c r="F26" s="246" t="s">
        <v>7395</v>
      </c>
      <c r="G26" s="44" t="s">
        <v>7396</v>
      </c>
      <c r="H26" s="45" t="s">
        <v>7397</v>
      </c>
      <c r="I26" s="75"/>
    </row>
    <row r="27" spans="2:9" ht="72.5">
      <c r="B27" s="244" t="s">
        <v>499</v>
      </c>
      <c r="C27" s="43" t="s">
        <v>7389</v>
      </c>
      <c r="D27" s="43" t="s">
        <v>7398</v>
      </c>
      <c r="E27" s="43" t="s">
        <v>7376</v>
      </c>
      <c r="F27" s="43" t="s">
        <v>7399</v>
      </c>
      <c r="G27" s="43" t="s">
        <v>7378</v>
      </c>
      <c r="H27" s="43" t="s">
        <v>7379</v>
      </c>
      <c r="I27" s="75"/>
    </row>
    <row r="28" spans="2:9" ht="72.5">
      <c r="B28" s="244" t="s">
        <v>500</v>
      </c>
      <c r="C28" s="44" t="s">
        <v>7400</v>
      </c>
      <c r="D28" s="44" t="s">
        <v>7390</v>
      </c>
      <c r="E28" s="44" t="s">
        <v>7401</v>
      </c>
      <c r="F28" s="44" t="s">
        <v>7402</v>
      </c>
      <c r="G28" s="44" t="s">
        <v>7396</v>
      </c>
      <c r="H28" s="45" t="s">
        <v>7397</v>
      </c>
      <c r="I28" s="74"/>
    </row>
    <row r="29" spans="2:9" ht="58">
      <c r="B29" s="314" t="s">
        <v>501</v>
      </c>
      <c r="C29" s="246" t="s">
        <v>7403</v>
      </c>
      <c r="D29" s="246" t="s">
        <v>7404</v>
      </c>
      <c r="E29" s="317" t="s">
        <v>7405</v>
      </c>
      <c r="F29" s="246" t="s">
        <v>7406</v>
      </c>
      <c r="G29" s="317" t="s">
        <v>7407</v>
      </c>
      <c r="H29" s="318" t="s">
        <v>7408</v>
      </c>
      <c r="I29" s="74"/>
    </row>
    <row r="30" spans="2:9" ht="58">
      <c r="B30" s="314"/>
      <c r="C30" s="246" t="s">
        <v>7409</v>
      </c>
      <c r="D30" s="246" t="s">
        <v>7410</v>
      </c>
      <c r="E30" s="317"/>
      <c r="F30" s="46" t="s">
        <v>7411</v>
      </c>
      <c r="G30" s="317"/>
      <c r="H30" s="318"/>
      <c r="I30" s="74"/>
    </row>
    <row r="31" spans="2:9" ht="72.5">
      <c r="B31" s="244" t="s">
        <v>502</v>
      </c>
      <c r="C31" s="44" t="s">
        <v>7400</v>
      </c>
      <c r="D31" s="44" t="s">
        <v>7412</v>
      </c>
      <c r="E31" s="246" t="s">
        <v>7413</v>
      </c>
      <c r="F31" s="43" t="s">
        <v>7392</v>
      </c>
      <c r="G31" s="44" t="s">
        <v>7396</v>
      </c>
      <c r="H31" s="45" t="s">
        <v>7397</v>
      </c>
      <c r="I31" s="74"/>
    </row>
    <row r="32" spans="2:9" ht="58">
      <c r="B32" s="244" t="s">
        <v>503</v>
      </c>
      <c r="C32" s="44" t="s">
        <v>7400</v>
      </c>
      <c r="D32" s="44" t="s">
        <v>7412</v>
      </c>
      <c r="E32" s="44" t="s">
        <v>7414</v>
      </c>
      <c r="F32" s="44" t="s">
        <v>7415</v>
      </c>
      <c r="G32" s="44" t="s">
        <v>7396</v>
      </c>
      <c r="H32" s="45" t="s">
        <v>7397</v>
      </c>
      <c r="I32" s="74"/>
    </row>
    <row r="33" spans="1:9" ht="72.5">
      <c r="B33" s="314" t="s">
        <v>504</v>
      </c>
      <c r="C33" s="316" t="s">
        <v>7374</v>
      </c>
      <c r="D33" s="316" t="s">
        <v>7393</v>
      </c>
      <c r="E33" s="46" t="s">
        <v>7416</v>
      </c>
      <c r="F33" s="46" t="s">
        <v>7411</v>
      </c>
      <c r="G33" s="46" t="s">
        <v>7417</v>
      </c>
      <c r="H33" s="46" t="s">
        <v>7418</v>
      </c>
      <c r="I33" s="74"/>
    </row>
    <row r="34" spans="1:9" ht="57.65" customHeight="1">
      <c r="B34" s="314"/>
      <c r="C34" s="316"/>
      <c r="D34" s="316"/>
      <c r="E34" s="319" t="s">
        <v>7419</v>
      </c>
      <c r="F34" s="315" t="s">
        <v>7420</v>
      </c>
      <c r="G34" s="46" t="s">
        <v>7421</v>
      </c>
      <c r="H34" s="316" t="s">
        <v>7379</v>
      </c>
    </row>
    <row r="35" spans="1:9" ht="43.5">
      <c r="B35" s="314"/>
      <c r="C35" s="316"/>
      <c r="D35" s="316"/>
      <c r="E35" s="319"/>
      <c r="F35" s="315"/>
      <c r="G35" s="245" t="s">
        <v>7384</v>
      </c>
      <c r="H35" s="316"/>
    </row>
    <row r="36" spans="1:9" ht="100.9" customHeight="1">
      <c r="B36" s="244" t="s">
        <v>505</v>
      </c>
      <c r="C36" s="246" t="s">
        <v>7403</v>
      </c>
      <c r="D36" s="46" t="s">
        <v>7422</v>
      </c>
      <c r="E36" s="46" t="s">
        <v>7423</v>
      </c>
      <c r="F36" s="46" t="s">
        <v>7424</v>
      </c>
      <c r="G36" s="46" t="s">
        <v>7425</v>
      </c>
      <c r="H36" s="46" t="s">
        <v>7426</v>
      </c>
    </row>
    <row r="37" spans="1:9" ht="72.5">
      <c r="B37" s="244" t="s">
        <v>506</v>
      </c>
      <c r="C37" s="46" t="s">
        <v>7427</v>
      </c>
      <c r="D37" s="46" t="s">
        <v>7428</v>
      </c>
      <c r="E37" s="46" t="s">
        <v>7429</v>
      </c>
      <c r="F37" s="246" t="s">
        <v>7395</v>
      </c>
      <c r="G37" s="46" t="s">
        <v>7417</v>
      </c>
      <c r="H37" s="46" t="s">
        <v>7418</v>
      </c>
    </row>
    <row r="38" spans="1:9" ht="72.5">
      <c r="B38" s="244" t="s">
        <v>7430</v>
      </c>
      <c r="C38" s="46" t="s">
        <v>7431</v>
      </c>
      <c r="D38" s="44" t="s">
        <v>7412</v>
      </c>
      <c r="E38" s="46" t="s">
        <v>7416</v>
      </c>
      <c r="F38" s="46" t="s">
        <v>7432</v>
      </c>
      <c r="G38" s="46" t="s">
        <v>7417</v>
      </c>
      <c r="H38" s="46" t="s">
        <v>7418</v>
      </c>
    </row>
    <row r="39" spans="1:9" ht="72.5">
      <c r="B39" s="244" t="s">
        <v>508</v>
      </c>
      <c r="C39" s="43" t="s">
        <v>7389</v>
      </c>
      <c r="D39" s="46" t="s">
        <v>7422</v>
      </c>
      <c r="E39" s="43" t="s">
        <v>7391</v>
      </c>
      <c r="F39" s="46" t="s">
        <v>7411</v>
      </c>
      <c r="G39" s="46" t="s">
        <v>7417</v>
      </c>
      <c r="H39" s="43" t="s">
        <v>7379</v>
      </c>
    </row>
    <row r="46" spans="1:9" ht="29">
      <c r="A46" s="47" t="s">
        <v>7433</v>
      </c>
      <c r="B46" s="48" t="s">
        <v>5369</v>
      </c>
      <c r="C46" s="49" t="s">
        <v>7434</v>
      </c>
      <c r="D46" s="50" t="s">
        <v>7435</v>
      </c>
      <c r="E46" s="51" t="s">
        <v>7436</v>
      </c>
      <c r="F46" s="52" t="s">
        <v>7437</v>
      </c>
      <c r="G46" s="247" t="s">
        <v>7438</v>
      </c>
    </row>
    <row r="47" spans="1:9" ht="58">
      <c r="A47" s="53">
        <v>1</v>
      </c>
      <c r="B47" s="306" t="s">
        <v>4</v>
      </c>
      <c r="C47" s="248" t="s">
        <v>7400</v>
      </c>
      <c r="D47" s="55" t="s">
        <v>7427</v>
      </c>
      <c r="E47" s="54" t="s">
        <v>7403</v>
      </c>
      <c r="F47" s="42" t="s">
        <v>7389</v>
      </c>
      <c r="G47" s="249" t="s">
        <v>7380</v>
      </c>
    </row>
    <row r="48" spans="1:9" ht="58">
      <c r="A48" s="53">
        <f>A47+1</f>
        <v>2</v>
      </c>
      <c r="B48" s="306"/>
      <c r="C48" s="248" t="s">
        <v>7394</v>
      </c>
      <c r="D48" s="55" t="s">
        <v>7431</v>
      </c>
      <c r="E48" s="54" t="s">
        <v>7409</v>
      </c>
      <c r="F48" s="42" t="s">
        <v>7374</v>
      </c>
      <c r="G48" s="249" t="s">
        <v>7386</v>
      </c>
    </row>
    <row r="49" spans="1:7" ht="72.5">
      <c r="A49" s="53">
        <f t="shared" ref="A49:A63" si="0">A48+1</f>
        <v>3</v>
      </c>
      <c r="B49" s="306" t="s">
        <v>6</v>
      </c>
      <c r="C49" s="248" t="s">
        <v>7390</v>
      </c>
      <c r="D49" s="55" t="s">
        <v>7422</v>
      </c>
      <c r="E49" s="54" t="s">
        <v>7404</v>
      </c>
      <c r="F49" s="42" t="s">
        <v>7398</v>
      </c>
      <c r="G49" s="249" t="s">
        <v>7381</v>
      </c>
    </row>
    <row r="50" spans="1:7" ht="72.5">
      <c r="A50" s="53">
        <f t="shared" si="0"/>
        <v>4</v>
      </c>
      <c r="B50" s="306"/>
      <c r="C50" s="311" t="s">
        <v>7412</v>
      </c>
      <c r="D50" s="313" t="s">
        <v>7428</v>
      </c>
      <c r="E50" s="312" t="s">
        <v>7410</v>
      </c>
      <c r="F50" s="42" t="s">
        <v>7375</v>
      </c>
      <c r="G50" s="310" t="s">
        <v>7387</v>
      </c>
    </row>
    <row r="51" spans="1:7" ht="58">
      <c r="A51" s="53">
        <f t="shared" si="0"/>
        <v>5</v>
      </c>
      <c r="B51" s="306"/>
      <c r="C51" s="311"/>
      <c r="D51" s="313"/>
      <c r="E51" s="312"/>
      <c r="F51" s="42" t="s">
        <v>7393</v>
      </c>
      <c r="G51" s="310"/>
    </row>
    <row r="52" spans="1:7" ht="58">
      <c r="A52" s="53">
        <f t="shared" si="0"/>
        <v>6</v>
      </c>
      <c r="B52" s="306" t="s">
        <v>7439</v>
      </c>
      <c r="C52" s="248" t="s">
        <v>7414</v>
      </c>
      <c r="D52" s="55" t="s">
        <v>7429</v>
      </c>
      <c r="E52" s="54" t="s">
        <v>7405</v>
      </c>
      <c r="F52" s="42" t="s">
        <v>7376</v>
      </c>
      <c r="G52" s="249" t="s">
        <v>7382</v>
      </c>
    </row>
    <row r="53" spans="1:7" ht="72.5">
      <c r="A53" s="53">
        <f t="shared" si="0"/>
        <v>7</v>
      </c>
      <c r="B53" s="306"/>
      <c r="C53" s="311" t="s">
        <v>7401</v>
      </c>
      <c r="D53" s="55" t="s">
        <v>7416</v>
      </c>
      <c r="E53" s="312" t="s">
        <v>7413</v>
      </c>
      <c r="F53" s="309" t="s">
        <v>7391</v>
      </c>
      <c r="G53" s="310" t="s">
        <v>7388</v>
      </c>
    </row>
    <row r="54" spans="1:7" ht="43.5">
      <c r="A54" s="53">
        <f t="shared" si="0"/>
        <v>8</v>
      </c>
      <c r="B54" s="306"/>
      <c r="C54" s="311"/>
      <c r="D54" s="55" t="s">
        <v>7423</v>
      </c>
      <c r="E54" s="312"/>
      <c r="F54" s="309"/>
      <c r="G54" s="310"/>
    </row>
    <row r="55" spans="1:7" ht="58">
      <c r="A55" s="53">
        <f t="shared" si="0"/>
        <v>9</v>
      </c>
      <c r="B55" s="306"/>
      <c r="C55" s="311"/>
      <c r="D55" s="55" t="s">
        <v>7419</v>
      </c>
      <c r="E55" s="312"/>
      <c r="F55" s="309"/>
      <c r="G55" s="310"/>
    </row>
    <row r="56" spans="1:7" ht="58">
      <c r="A56" s="53">
        <f t="shared" si="0"/>
        <v>10</v>
      </c>
      <c r="B56" s="306" t="s">
        <v>719</v>
      </c>
      <c r="C56" s="248" t="s">
        <v>7415</v>
      </c>
      <c r="D56" s="55" t="s">
        <v>7411</v>
      </c>
      <c r="E56" s="54" t="s">
        <v>7406</v>
      </c>
      <c r="F56" s="42" t="s">
        <v>7377</v>
      </c>
      <c r="G56" s="249" t="s">
        <v>7383</v>
      </c>
    </row>
    <row r="57" spans="1:7" ht="72.5">
      <c r="A57" s="53">
        <f t="shared" si="0"/>
        <v>11</v>
      </c>
      <c r="B57" s="306"/>
      <c r="C57" s="311" t="s">
        <v>7402</v>
      </c>
      <c r="D57" s="55" t="s">
        <v>7432</v>
      </c>
      <c r="E57" s="312" t="s">
        <v>7395</v>
      </c>
      <c r="F57" s="42" t="s">
        <v>7392</v>
      </c>
      <c r="G57" s="310" t="s">
        <v>7420</v>
      </c>
    </row>
    <row r="58" spans="1:7" ht="72.5">
      <c r="A58" s="53">
        <f t="shared" si="0"/>
        <v>12</v>
      </c>
      <c r="B58" s="306"/>
      <c r="C58" s="311"/>
      <c r="D58" s="55" t="s">
        <v>7424</v>
      </c>
      <c r="E58" s="312"/>
      <c r="F58" s="42" t="s">
        <v>7399</v>
      </c>
      <c r="G58" s="310"/>
    </row>
    <row r="59" spans="1:7" ht="72.5">
      <c r="A59" s="53">
        <f t="shared" si="0"/>
        <v>13</v>
      </c>
      <c r="B59" s="306" t="s">
        <v>778</v>
      </c>
      <c r="C59" s="311" t="s">
        <v>7396</v>
      </c>
      <c r="D59" s="55" t="s">
        <v>7417</v>
      </c>
      <c r="E59" s="312" t="s">
        <v>7407</v>
      </c>
      <c r="F59" s="309" t="s">
        <v>7378</v>
      </c>
      <c r="G59" s="310" t="s">
        <v>7384</v>
      </c>
    </row>
    <row r="60" spans="1:7" ht="58">
      <c r="A60" s="53">
        <f t="shared" si="0"/>
        <v>14</v>
      </c>
      <c r="B60" s="306"/>
      <c r="C60" s="311"/>
      <c r="D60" s="55" t="s">
        <v>7425</v>
      </c>
      <c r="E60" s="312"/>
      <c r="F60" s="309"/>
      <c r="G60" s="310"/>
    </row>
    <row r="61" spans="1:7" ht="58">
      <c r="A61" s="53">
        <f t="shared" si="0"/>
        <v>15</v>
      </c>
      <c r="B61" s="306"/>
      <c r="C61" s="311"/>
      <c r="D61" s="55" t="s">
        <v>7421</v>
      </c>
      <c r="E61" s="312"/>
      <c r="F61" s="309"/>
      <c r="G61" s="310"/>
    </row>
    <row r="62" spans="1:7" ht="58">
      <c r="A62" s="53">
        <f t="shared" si="0"/>
        <v>16</v>
      </c>
      <c r="B62" s="306" t="s">
        <v>838</v>
      </c>
      <c r="C62" s="307" t="s">
        <v>7397</v>
      </c>
      <c r="D62" s="55" t="s">
        <v>7418</v>
      </c>
      <c r="E62" s="308" t="s">
        <v>7408</v>
      </c>
      <c r="F62" s="309" t="s">
        <v>7379</v>
      </c>
      <c r="G62" s="310" t="s">
        <v>7385</v>
      </c>
    </row>
    <row r="63" spans="1:7" ht="58">
      <c r="A63" s="53">
        <f t="shared" si="0"/>
        <v>17</v>
      </c>
      <c r="B63" s="306"/>
      <c r="C63" s="307"/>
      <c r="D63" s="55" t="s">
        <v>7426</v>
      </c>
      <c r="E63" s="308"/>
      <c r="F63" s="309"/>
      <c r="G63" s="310"/>
    </row>
    <row r="69" spans="2:3">
      <c r="B69" t="s">
        <v>7440</v>
      </c>
    </row>
    <row r="70" spans="2:3">
      <c r="B70" t="s">
        <v>7441</v>
      </c>
    </row>
    <row r="71" spans="2:3">
      <c r="B71" t="s">
        <v>7442</v>
      </c>
    </row>
    <row r="72" spans="2:3" ht="57.65" customHeight="1"/>
    <row r="74" spans="2:3">
      <c r="B74" t="s">
        <v>7443</v>
      </c>
    </row>
    <row r="75" spans="2:3" ht="57.65" customHeight="1">
      <c r="B75" t="s">
        <v>7444</v>
      </c>
    </row>
    <row r="76" spans="2:3">
      <c r="B76" s="57" t="s">
        <v>26</v>
      </c>
      <c r="C76" s="57" t="s">
        <v>7445</v>
      </c>
    </row>
    <row r="77" spans="2:3">
      <c r="B77" s="58" t="s">
        <v>7446</v>
      </c>
      <c r="C77" s="58" t="s">
        <v>7447</v>
      </c>
    </row>
    <row r="78" spans="2:3">
      <c r="B78" s="58" t="s">
        <v>7448</v>
      </c>
      <c r="C78" s="58" t="s">
        <v>7449</v>
      </c>
    </row>
    <row r="79" spans="2:3">
      <c r="B79" s="58" t="s">
        <v>7450</v>
      </c>
      <c r="C79" s="58" t="s">
        <v>7451</v>
      </c>
    </row>
    <row r="80" spans="2:3">
      <c r="B80" s="58" t="s">
        <v>7452</v>
      </c>
      <c r="C80" s="58" t="s">
        <v>7453</v>
      </c>
    </row>
    <row r="81" spans="2:6">
      <c r="B81" s="58" t="s">
        <v>7454</v>
      </c>
      <c r="C81" s="58" t="s">
        <v>7455</v>
      </c>
    </row>
    <row r="85" spans="2:6">
      <c r="B85" s="58" t="s">
        <v>7456</v>
      </c>
    </row>
    <row r="86" spans="2:6">
      <c r="B86" s="76" t="s">
        <v>7457</v>
      </c>
      <c r="C86" s="76" t="s">
        <v>7458</v>
      </c>
      <c r="D86" s="76" t="s">
        <v>7459</v>
      </c>
      <c r="E86" s="76" t="s">
        <v>7460</v>
      </c>
      <c r="F86" s="76" t="s">
        <v>7461</v>
      </c>
    </row>
    <row r="87" spans="2:6">
      <c r="B87" s="77">
        <v>0.15</v>
      </c>
      <c r="C87" s="77">
        <v>0.1</v>
      </c>
      <c r="D87" s="77">
        <v>0.1</v>
      </c>
      <c r="E87" s="78">
        <v>7.4999999999999997E-2</v>
      </c>
      <c r="F87" s="77">
        <v>0.05</v>
      </c>
    </row>
    <row r="88" spans="2:6">
      <c r="B88" s="77">
        <v>0.2</v>
      </c>
      <c r="C88" s="77">
        <v>0.1</v>
      </c>
      <c r="D88" s="77">
        <v>0.1</v>
      </c>
      <c r="E88" s="78">
        <v>7.4999999999999997E-2</v>
      </c>
      <c r="F88" s="77">
        <v>0.05</v>
      </c>
    </row>
    <row r="89" spans="2:6">
      <c r="B89" s="77">
        <v>0.1</v>
      </c>
      <c r="C89" s="77">
        <v>0.15</v>
      </c>
      <c r="D89" s="77">
        <v>0.1</v>
      </c>
      <c r="E89" s="77">
        <v>0.1</v>
      </c>
      <c r="F89" s="78">
        <v>7.4999999999999997E-2</v>
      </c>
    </row>
    <row r="90" spans="2:6">
      <c r="B90" s="77">
        <v>0.1</v>
      </c>
      <c r="C90" s="77">
        <v>0.2</v>
      </c>
      <c r="D90" s="77">
        <v>0.1</v>
      </c>
      <c r="E90" s="77">
        <v>0.1</v>
      </c>
      <c r="F90" s="78">
        <v>7.4999999999999997E-2</v>
      </c>
    </row>
    <row r="91" spans="2:6">
      <c r="B91" s="77">
        <v>0.1</v>
      </c>
      <c r="C91" s="77">
        <v>0.1</v>
      </c>
      <c r="D91" s="77">
        <v>0.15</v>
      </c>
      <c r="E91" s="77">
        <v>0.1</v>
      </c>
      <c r="F91" s="77">
        <v>0.1</v>
      </c>
    </row>
    <row r="92" spans="2:6">
      <c r="B92" s="77">
        <v>0.1</v>
      </c>
      <c r="C92" s="77">
        <v>0.1</v>
      </c>
      <c r="D92" s="77">
        <v>0.2</v>
      </c>
      <c r="E92" s="77">
        <v>0.1</v>
      </c>
      <c r="F92" s="77">
        <v>0.1</v>
      </c>
    </row>
    <row r="93" spans="2:6">
      <c r="B93" s="78">
        <v>7.4999999999999997E-2</v>
      </c>
      <c r="C93" s="78">
        <v>7.4999999999999997E-2</v>
      </c>
      <c r="D93" s="78">
        <v>7.4999999999999997E-2</v>
      </c>
      <c r="E93" s="77">
        <v>0.15</v>
      </c>
      <c r="F93" s="77">
        <v>0.1</v>
      </c>
    </row>
    <row r="94" spans="2:6">
      <c r="B94" s="78">
        <v>7.4999999999999997E-2</v>
      </c>
      <c r="C94" s="78">
        <v>7.4999999999999997E-2</v>
      </c>
      <c r="D94" s="78">
        <v>7.4999999999999997E-2</v>
      </c>
      <c r="E94" s="77">
        <v>0.2</v>
      </c>
      <c r="F94" s="77">
        <v>0.1</v>
      </c>
    </row>
    <row r="95" spans="2:6">
      <c r="B95" s="77">
        <v>0.05</v>
      </c>
      <c r="C95" s="77">
        <v>0.05</v>
      </c>
      <c r="D95" s="77">
        <v>0.05</v>
      </c>
      <c r="E95" s="77">
        <v>0.05</v>
      </c>
      <c r="F95" s="77">
        <v>0.15</v>
      </c>
    </row>
    <row r="96" spans="2:6">
      <c r="B96" s="77">
        <v>0.05</v>
      </c>
      <c r="C96" s="77">
        <v>0.05</v>
      </c>
      <c r="D96" s="77">
        <v>0.05</v>
      </c>
      <c r="E96" s="77">
        <v>0.05</v>
      </c>
      <c r="F96" s="77">
        <v>0.2</v>
      </c>
    </row>
    <row r="99" spans="2:8">
      <c r="B99" t="s">
        <v>7462</v>
      </c>
    </row>
    <row r="101" spans="2:8">
      <c r="B101" t="s">
        <v>4</v>
      </c>
    </row>
    <row r="102" spans="2:8">
      <c r="B102" t="s">
        <v>6</v>
      </c>
    </row>
    <row r="103" spans="2:8">
      <c r="B103" t="s">
        <v>13</v>
      </c>
    </row>
    <row r="104" spans="2:8">
      <c r="B104" t="s">
        <v>719</v>
      </c>
    </row>
    <row r="105" spans="2:8">
      <c r="B105" t="s">
        <v>778</v>
      </c>
    </row>
    <row r="111" spans="2:8" hidden="1">
      <c r="B111" t="s">
        <v>7463</v>
      </c>
    </row>
    <row r="112" spans="2:8" ht="28" hidden="1">
      <c r="B112" s="120" t="s">
        <v>7434</v>
      </c>
      <c r="C112" s="121" t="s">
        <v>7457</v>
      </c>
      <c r="D112" s="121" t="s">
        <v>7458</v>
      </c>
      <c r="E112" s="121" t="s">
        <v>7459</v>
      </c>
      <c r="F112" s="121" t="s">
        <v>7460</v>
      </c>
      <c r="G112" s="121" t="s">
        <v>7461</v>
      </c>
      <c r="H112" s="121" t="s">
        <v>838</v>
      </c>
    </row>
    <row r="113" spans="2:8" ht="42" hidden="1">
      <c r="B113" s="116" t="s">
        <v>7464</v>
      </c>
      <c r="C113" s="117">
        <v>4</v>
      </c>
      <c r="D113" s="117">
        <v>4</v>
      </c>
      <c r="E113" s="117">
        <v>4</v>
      </c>
      <c r="F113" s="117">
        <v>4</v>
      </c>
      <c r="G113" s="117">
        <v>4</v>
      </c>
      <c r="H113" s="117">
        <v>4</v>
      </c>
    </row>
    <row r="114" spans="2:8" ht="42" hidden="1">
      <c r="B114" s="116" t="s">
        <v>7465</v>
      </c>
      <c r="C114" s="117">
        <v>4</v>
      </c>
      <c r="D114" s="117">
        <v>4</v>
      </c>
      <c r="E114" s="117">
        <v>4</v>
      </c>
      <c r="F114" s="117">
        <v>4</v>
      </c>
      <c r="G114" s="117">
        <v>4</v>
      </c>
      <c r="H114" s="117">
        <v>4</v>
      </c>
    </row>
    <row r="115" spans="2:8" ht="42" hidden="1">
      <c r="B115" s="116" t="s">
        <v>7466</v>
      </c>
      <c r="C115" s="117">
        <v>3</v>
      </c>
      <c r="D115" s="117">
        <v>4</v>
      </c>
      <c r="E115" s="117">
        <v>4</v>
      </c>
      <c r="F115" s="117">
        <v>4</v>
      </c>
      <c r="G115" s="117">
        <v>4</v>
      </c>
      <c r="H115" s="117">
        <v>4</v>
      </c>
    </row>
    <row r="116" spans="2:8" ht="42" hidden="1">
      <c r="B116" s="116" t="s">
        <v>7467</v>
      </c>
      <c r="C116" s="117">
        <v>3</v>
      </c>
      <c r="D116" s="117">
        <v>4</v>
      </c>
      <c r="E116" s="117">
        <v>4</v>
      </c>
      <c r="F116" s="117">
        <v>4</v>
      </c>
      <c r="G116" s="117">
        <v>4</v>
      </c>
      <c r="H116" s="117">
        <v>4</v>
      </c>
    </row>
    <row r="117" spans="2:8" ht="42" hidden="1">
      <c r="B117" s="116" t="s">
        <v>7468</v>
      </c>
      <c r="C117" s="117">
        <v>3</v>
      </c>
      <c r="D117" s="117">
        <v>3</v>
      </c>
      <c r="E117" s="117">
        <v>4</v>
      </c>
      <c r="F117" s="117">
        <v>4</v>
      </c>
      <c r="G117" s="117">
        <v>4</v>
      </c>
      <c r="H117" s="117">
        <v>4</v>
      </c>
    </row>
    <row r="118" spans="2:8" ht="56" hidden="1">
      <c r="B118" s="116" t="s">
        <v>7469</v>
      </c>
      <c r="C118" s="117">
        <v>3</v>
      </c>
      <c r="D118" s="117">
        <v>3</v>
      </c>
      <c r="E118" s="117">
        <v>4</v>
      </c>
      <c r="F118" s="117">
        <v>4</v>
      </c>
      <c r="G118" s="117">
        <v>4</v>
      </c>
      <c r="H118" s="117">
        <v>4</v>
      </c>
    </row>
    <row r="119" spans="2:8" ht="42" hidden="1">
      <c r="B119" s="116" t="s">
        <v>7470</v>
      </c>
      <c r="C119" s="117">
        <v>3</v>
      </c>
      <c r="D119" s="117">
        <v>3</v>
      </c>
      <c r="E119" s="117">
        <v>3</v>
      </c>
      <c r="F119" s="117">
        <v>4</v>
      </c>
      <c r="G119" s="117">
        <v>4</v>
      </c>
      <c r="H119" s="117">
        <v>4</v>
      </c>
    </row>
    <row r="120" spans="2:8" ht="42" hidden="1">
      <c r="B120" s="116" t="s">
        <v>7471</v>
      </c>
      <c r="C120" s="117">
        <v>3</v>
      </c>
      <c r="D120" s="117">
        <v>3</v>
      </c>
      <c r="E120" s="117">
        <v>3</v>
      </c>
      <c r="F120" s="117">
        <v>4</v>
      </c>
      <c r="G120" s="117">
        <v>4</v>
      </c>
      <c r="H120" s="117">
        <v>4</v>
      </c>
    </row>
    <row r="121" spans="2:8" ht="42" hidden="1">
      <c r="B121" s="116" t="s">
        <v>7472</v>
      </c>
      <c r="C121" s="117">
        <v>3</v>
      </c>
      <c r="D121" s="117">
        <v>3</v>
      </c>
      <c r="E121" s="117">
        <v>3</v>
      </c>
      <c r="F121" s="117">
        <v>3</v>
      </c>
      <c r="G121" s="117">
        <v>4</v>
      </c>
      <c r="H121" s="117">
        <v>4</v>
      </c>
    </row>
    <row r="122" spans="2:8" ht="42" hidden="1">
      <c r="B122" s="116" t="s">
        <v>7473</v>
      </c>
      <c r="C122" s="117">
        <v>3</v>
      </c>
      <c r="D122" s="117">
        <v>3</v>
      </c>
      <c r="E122" s="117">
        <v>3</v>
      </c>
      <c r="F122" s="117">
        <v>3</v>
      </c>
      <c r="G122" s="117">
        <v>3</v>
      </c>
      <c r="H122" s="117">
        <v>4</v>
      </c>
    </row>
    <row r="123" spans="2:8" hidden="1"/>
    <row r="124" spans="2:8" hidden="1"/>
    <row r="125" spans="2:8" ht="28" hidden="1">
      <c r="B125" s="122" t="s">
        <v>7435</v>
      </c>
      <c r="C125" s="123" t="s">
        <v>7457</v>
      </c>
      <c r="D125" s="123" t="s">
        <v>7458</v>
      </c>
      <c r="E125" s="123" t="s">
        <v>7459</v>
      </c>
      <c r="F125" s="123" t="s">
        <v>7460</v>
      </c>
      <c r="G125" s="123" t="s">
        <v>7461</v>
      </c>
      <c r="H125" s="123" t="s">
        <v>838</v>
      </c>
    </row>
    <row r="126" spans="2:8" ht="42" hidden="1">
      <c r="B126" s="116" t="s">
        <v>7474</v>
      </c>
      <c r="C126" s="117">
        <v>4</v>
      </c>
      <c r="D126" s="117">
        <v>4</v>
      </c>
      <c r="E126" s="117">
        <v>4</v>
      </c>
      <c r="F126" s="117">
        <v>4</v>
      </c>
      <c r="G126" s="117">
        <v>4</v>
      </c>
      <c r="H126" s="117">
        <v>4</v>
      </c>
    </row>
    <row r="127" spans="2:8" ht="42" hidden="1">
      <c r="B127" s="116" t="s">
        <v>7475</v>
      </c>
      <c r="C127" s="117">
        <v>4</v>
      </c>
      <c r="D127" s="117">
        <v>4</v>
      </c>
      <c r="E127" s="117">
        <v>4</v>
      </c>
      <c r="F127" s="117">
        <v>4</v>
      </c>
      <c r="G127" s="117">
        <v>4</v>
      </c>
      <c r="H127" s="117">
        <v>4</v>
      </c>
    </row>
    <row r="128" spans="2:8" ht="42" hidden="1">
      <c r="B128" s="116" t="s">
        <v>7476</v>
      </c>
      <c r="C128" s="117">
        <v>3</v>
      </c>
      <c r="D128" s="117">
        <v>4</v>
      </c>
      <c r="E128" s="117">
        <v>4</v>
      </c>
      <c r="F128" s="117">
        <v>4</v>
      </c>
      <c r="G128" s="117">
        <v>4</v>
      </c>
      <c r="H128" s="117">
        <v>4</v>
      </c>
    </row>
    <row r="129" spans="2:8" ht="42" hidden="1">
      <c r="B129" s="116" t="s">
        <v>7477</v>
      </c>
      <c r="C129" s="117">
        <v>3</v>
      </c>
      <c r="D129" s="117">
        <v>4</v>
      </c>
      <c r="E129" s="117">
        <v>4</v>
      </c>
      <c r="F129" s="117">
        <v>4</v>
      </c>
      <c r="G129" s="117">
        <v>4</v>
      </c>
      <c r="H129" s="117">
        <v>4</v>
      </c>
    </row>
    <row r="130" spans="2:8" ht="56" hidden="1">
      <c r="B130" s="116" t="s">
        <v>7478</v>
      </c>
      <c r="C130" s="117">
        <v>3</v>
      </c>
      <c r="D130" s="117">
        <v>3</v>
      </c>
      <c r="E130" s="117">
        <v>4</v>
      </c>
      <c r="F130" s="117">
        <v>4</v>
      </c>
      <c r="G130" s="117">
        <v>4</v>
      </c>
      <c r="H130" s="117">
        <v>4</v>
      </c>
    </row>
    <row r="131" spans="2:8" ht="56" hidden="1">
      <c r="B131" s="116" t="s">
        <v>7479</v>
      </c>
      <c r="C131" s="117">
        <v>3</v>
      </c>
      <c r="D131" s="117">
        <v>3</v>
      </c>
      <c r="E131" s="117">
        <v>4</v>
      </c>
      <c r="F131" s="117">
        <v>4</v>
      </c>
      <c r="G131" s="117">
        <v>4</v>
      </c>
      <c r="H131" s="117">
        <v>4</v>
      </c>
    </row>
    <row r="132" spans="2:8" ht="42" hidden="1">
      <c r="B132" s="116" t="s">
        <v>7480</v>
      </c>
      <c r="C132" s="117">
        <v>3</v>
      </c>
      <c r="D132" s="117">
        <v>3</v>
      </c>
      <c r="E132" s="117">
        <v>3</v>
      </c>
      <c r="F132" s="117">
        <v>4</v>
      </c>
      <c r="G132" s="117">
        <v>4</v>
      </c>
      <c r="H132" s="117">
        <v>4</v>
      </c>
    </row>
    <row r="133" spans="2:8" ht="42" hidden="1">
      <c r="B133" s="116" t="s">
        <v>7481</v>
      </c>
      <c r="C133" s="117">
        <v>3</v>
      </c>
      <c r="D133" s="117">
        <v>3</v>
      </c>
      <c r="E133" s="117">
        <v>3</v>
      </c>
      <c r="F133" s="117">
        <v>4</v>
      </c>
      <c r="G133" s="117">
        <v>4</v>
      </c>
      <c r="H133" s="117">
        <v>4</v>
      </c>
    </row>
    <row r="134" spans="2:8" ht="56" hidden="1">
      <c r="B134" s="116" t="s">
        <v>7482</v>
      </c>
      <c r="C134" s="117">
        <v>3</v>
      </c>
      <c r="D134" s="117">
        <v>3</v>
      </c>
      <c r="E134" s="117">
        <v>3</v>
      </c>
      <c r="F134" s="117">
        <v>3</v>
      </c>
      <c r="G134" s="117">
        <v>4</v>
      </c>
      <c r="H134" s="117">
        <v>4</v>
      </c>
    </row>
    <row r="135" spans="2:8" ht="42" hidden="1">
      <c r="B135" s="116" t="s">
        <v>7483</v>
      </c>
      <c r="C135" s="117">
        <v>3</v>
      </c>
      <c r="D135" s="117">
        <v>3</v>
      </c>
      <c r="E135" s="117">
        <v>3</v>
      </c>
      <c r="F135" s="117">
        <v>3</v>
      </c>
      <c r="G135" s="117">
        <v>3</v>
      </c>
      <c r="H135" s="117">
        <v>4</v>
      </c>
    </row>
    <row r="136" spans="2:8" hidden="1"/>
    <row r="137" spans="2:8" hidden="1"/>
    <row r="138" spans="2:8" ht="28" hidden="1">
      <c r="B138" s="124" t="s">
        <v>7436</v>
      </c>
      <c r="C138" s="125" t="s">
        <v>7457</v>
      </c>
      <c r="D138" s="125" t="s">
        <v>7458</v>
      </c>
      <c r="E138" s="125" t="s">
        <v>7459</v>
      </c>
      <c r="F138" s="125" t="s">
        <v>7460</v>
      </c>
      <c r="G138" s="125" t="s">
        <v>7461</v>
      </c>
      <c r="H138" s="125" t="s">
        <v>838</v>
      </c>
    </row>
    <row r="139" spans="2:8" ht="42" hidden="1">
      <c r="B139" s="116" t="s">
        <v>7484</v>
      </c>
      <c r="C139" s="117">
        <v>4</v>
      </c>
      <c r="D139" s="117">
        <v>4</v>
      </c>
      <c r="E139" s="117">
        <v>4</v>
      </c>
      <c r="F139" s="117">
        <v>4</v>
      </c>
      <c r="G139" s="117">
        <v>4</v>
      </c>
      <c r="H139" s="117">
        <v>4</v>
      </c>
    </row>
    <row r="140" spans="2:8" ht="42" hidden="1">
      <c r="B140" s="116" t="s">
        <v>7485</v>
      </c>
      <c r="C140" s="117">
        <v>4</v>
      </c>
      <c r="D140" s="117">
        <v>4</v>
      </c>
      <c r="E140" s="117">
        <v>4</v>
      </c>
      <c r="F140" s="117">
        <v>4</v>
      </c>
      <c r="G140" s="117">
        <v>4</v>
      </c>
      <c r="H140" s="117">
        <v>4</v>
      </c>
    </row>
    <row r="141" spans="2:8" ht="42" hidden="1">
      <c r="B141" s="116" t="s">
        <v>7486</v>
      </c>
      <c r="C141" s="117">
        <v>3</v>
      </c>
      <c r="D141" s="117">
        <v>4</v>
      </c>
      <c r="E141" s="117">
        <v>4</v>
      </c>
      <c r="F141" s="117">
        <v>4</v>
      </c>
      <c r="G141" s="117">
        <v>4</v>
      </c>
      <c r="H141" s="117">
        <v>4</v>
      </c>
    </row>
    <row r="142" spans="2:8" ht="42" hidden="1">
      <c r="B142" s="116" t="s">
        <v>7487</v>
      </c>
      <c r="C142" s="117">
        <v>3</v>
      </c>
      <c r="D142" s="117">
        <v>4</v>
      </c>
      <c r="E142" s="117">
        <v>4</v>
      </c>
      <c r="F142" s="117">
        <v>4</v>
      </c>
      <c r="G142" s="117">
        <v>4</v>
      </c>
      <c r="H142" s="117">
        <v>4</v>
      </c>
    </row>
    <row r="143" spans="2:8" ht="42" hidden="1">
      <c r="B143" s="116" t="s">
        <v>7488</v>
      </c>
      <c r="C143" s="117">
        <v>3</v>
      </c>
      <c r="D143" s="117">
        <v>3</v>
      </c>
      <c r="E143" s="117">
        <v>4</v>
      </c>
      <c r="F143" s="117">
        <v>4</v>
      </c>
      <c r="G143" s="117">
        <v>4</v>
      </c>
      <c r="H143" s="117">
        <v>4</v>
      </c>
    </row>
    <row r="144" spans="2:8" ht="42" hidden="1">
      <c r="B144" s="116" t="s">
        <v>7489</v>
      </c>
      <c r="C144" s="117">
        <v>3</v>
      </c>
      <c r="D144" s="117">
        <v>3</v>
      </c>
      <c r="E144" s="117">
        <v>4</v>
      </c>
      <c r="F144" s="117">
        <v>4</v>
      </c>
      <c r="G144" s="117">
        <v>4</v>
      </c>
      <c r="H144" s="117">
        <v>4</v>
      </c>
    </row>
    <row r="145" spans="2:8" ht="42" hidden="1">
      <c r="B145" s="116" t="s">
        <v>7490</v>
      </c>
      <c r="C145" s="117">
        <v>3</v>
      </c>
      <c r="D145" s="117">
        <v>3</v>
      </c>
      <c r="E145" s="117">
        <v>3</v>
      </c>
      <c r="F145" s="117">
        <v>4</v>
      </c>
      <c r="G145" s="117">
        <v>4</v>
      </c>
      <c r="H145" s="117">
        <v>4</v>
      </c>
    </row>
    <row r="146" spans="2:8" ht="42" hidden="1">
      <c r="B146" s="116" t="s">
        <v>7491</v>
      </c>
      <c r="C146" s="117">
        <v>3</v>
      </c>
      <c r="D146" s="117">
        <v>3</v>
      </c>
      <c r="E146" s="117">
        <v>3</v>
      </c>
      <c r="F146" s="117">
        <v>4</v>
      </c>
      <c r="G146" s="117">
        <v>4</v>
      </c>
      <c r="H146" s="117">
        <v>4</v>
      </c>
    </row>
    <row r="147" spans="2:8" ht="42" hidden="1">
      <c r="B147" s="116" t="s">
        <v>7492</v>
      </c>
      <c r="C147" s="117">
        <v>3</v>
      </c>
      <c r="D147" s="117">
        <v>3</v>
      </c>
      <c r="E147" s="117">
        <v>3</v>
      </c>
      <c r="F147" s="117">
        <v>3</v>
      </c>
      <c r="G147" s="117">
        <v>4</v>
      </c>
      <c r="H147" s="117">
        <v>4</v>
      </c>
    </row>
    <row r="148" spans="2:8" ht="42" hidden="1">
      <c r="B148" s="116" t="s">
        <v>7493</v>
      </c>
      <c r="C148" s="117">
        <v>3</v>
      </c>
      <c r="D148" s="117">
        <v>3</v>
      </c>
      <c r="E148" s="117">
        <v>3</v>
      </c>
      <c r="F148" s="117">
        <v>3</v>
      </c>
      <c r="G148" s="117">
        <v>3</v>
      </c>
      <c r="H148" s="117">
        <v>4</v>
      </c>
    </row>
    <row r="149" spans="2:8" hidden="1"/>
    <row r="150" spans="2:8" hidden="1"/>
    <row r="151" spans="2:8" hidden="1"/>
    <row r="152" spans="2:8" ht="28" hidden="1">
      <c r="B152" s="126" t="s">
        <v>7437</v>
      </c>
      <c r="C152" s="127" t="s">
        <v>7457</v>
      </c>
      <c r="D152" s="127" t="s">
        <v>7458</v>
      </c>
      <c r="E152" s="127" t="s">
        <v>7459</v>
      </c>
      <c r="F152" s="127" t="s">
        <v>7460</v>
      </c>
      <c r="G152" s="127" t="s">
        <v>7461</v>
      </c>
      <c r="H152" s="127" t="s">
        <v>838</v>
      </c>
    </row>
    <row r="153" spans="2:8" ht="42" hidden="1">
      <c r="B153" s="116" t="s">
        <v>7494</v>
      </c>
      <c r="C153" s="117">
        <v>4</v>
      </c>
      <c r="D153" s="117">
        <v>4</v>
      </c>
      <c r="E153" s="117">
        <v>4</v>
      </c>
      <c r="F153" s="117">
        <v>4</v>
      </c>
      <c r="G153" s="117">
        <v>4</v>
      </c>
      <c r="H153" s="117">
        <v>4</v>
      </c>
    </row>
    <row r="154" spans="2:8" ht="42" hidden="1">
      <c r="B154" s="116" t="s">
        <v>7495</v>
      </c>
      <c r="C154" s="117">
        <v>4</v>
      </c>
      <c r="D154" s="117">
        <v>4</v>
      </c>
      <c r="E154" s="117">
        <v>4</v>
      </c>
      <c r="F154" s="117">
        <v>4</v>
      </c>
      <c r="G154" s="117">
        <v>4</v>
      </c>
      <c r="H154" s="117">
        <v>4</v>
      </c>
    </row>
    <row r="155" spans="2:8" ht="42" hidden="1">
      <c r="B155" s="116" t="s">
        <v>7496</v>
      </c>
      <c r="C155" s="117">
        <v>3</v>
      </c>
      <c r="D155" s="117">
        <v>4</v>
      </c>
      <c r="E155" s="117">
        <v>4</v>
      </c>
      <c r="F155" s="117">
        <v>4</v>
      </c>
      <c r="G155" s="117">
        <v>4</v>
      </c>
      <c r="H155" s="117">
        <v>4</v>
      </c>
    </row>
    <row r="156" spans="2:8" ht="42" hidden="1">
      <c r="B156" s="116" t="s">
        <v>7497</v>
      </c>
      <c r="C156" s="117">
        <v>3</v>
      </c>
      <c r="D156" s="117">
        <v>4</v>
      </c>
      <c r="E156" s="117">
        <v>4</v>
      </c>
      <c r="F156" s="117">
        <v>4</v>
      </c>
      <c r="G156" s="117">
        <v>4</v>
      </c>
      <c r="H156" s="117">
        <v>4</v>
      </c>
    </row>
    <row r="157" spans="2:8" ht="56" hidden="1">
      <c r="B157" s="116" t="s">
        <v>7498</v>
      </c>
      <c r="C157" s="117">
        <v>3</v>
      </c>
      <c r="D157" s="117">
        <v>3</v>
      </c>
      <c r="E157" s="117">
        <v>4</v>
      </c>
      <c r="F157" s="117">
        <v>4</v>
      </c>
      <c r="G157" s="117">
        <v>4</v>
      </c>
      <c r="H157" s="117">
        <v>4</v>
      </c>
    </row>
    <row r="158" spans="2:8" ht="56" hidden="1">
      <c r="B158" s="116" t="s">
        <v>7499</v>
      </c>
      <c r="C158" s="117">
        <v>3</v>
      </c>
      <c r="D158" s="117">
        <v>3</v>
      </c>
      <c r="E158" s="117">
        <v>4</v>
      </c>
      <c r="F158" s="117">
        <v>4</v>
      </c>
      <c r="G158" s="117">
        <v>4</v>
      </c>
      <c r="H158" s="117">
        <v>4</v>
      </c>
    </row>
    <row r="159" spans="2:8" ht="42" hidden="1">
      <c r="B159" s="116" t="s">
        <v>7500</v>
      </c>
      <c r="C159" s="117">
        <v>3</v>
      </c>
      <c r="D159" s="117">
        <v>3</v>
      </c>
      <c r="E159" s="117">
        <v>3</v>
      </c>
      <c r="F159" s="117">
        <v>4</v>
      </c>
      <c r="G159" s="117">
        <v>4</v>
      </c>
      <c r="H159" s="117">
        <v>4</v>
      </c>
    </row>
    <row r="160" spans="2:8" ht="42" hidden="1">
      <c r="B160" s="116" t="s">
        <v>7501</v>
      </c>
      <c r="C160" s="117">
        <v>3</v>
      </c>
      <c r="D160" s="117">
        <v>3</v>
      </c>
      <c r="E160" s="117">
        <v>3</v>
      </c>
      <c r="F160" s="117">
        <v>4</v>
      </c>
      <c r="G160" s="117">
        <v>4</v>
      </c>
      <c r="H160" s="117">
        <v>4</v>
      </c>
    </row>
    <row r="161" spans="2:8" ht="42" hidden="1">
      <c r="B161" s="116" t="s">
        <v>7502</v>
      </c>
      <c r="C161" s="117">
        <v>3</v>
      </c>
      <c r="D161" s="117">
        <v>3</v>
      </c>
      <c r="E161" s="117">
        <v>3</v>
      </c>
      <c r="F161" s="117">
        <v>3</v>
      </c>
      <c r="G161" s="117">
        <v>4</v>
      </c>
      <c r="H161" s="117">
        <v>4</v>
      </c>
    </row>
    <row r="162" spans="2:8" ht="42" hidden="1">
      <c r="B162" s="116" t="s">
        <v>7503</v>
      </c>
      <c r="C162" s="117">
        <v>3</v>
      </c>
      <c r="D162" s="117">
        <v>3</v>
      </c>
      <c r="E162" s="117">
        <v>3</v>
      </c>
      <c r="F162" s="117">
        <v>3</v>
      </c>
      <c r="G162" s="117">
        <v>3</v>
      </c>
      <c r="H162" s="117">
        <v>4</v>
      </c>
    </row>
    <row r="163" spans="2:8" hidden="1"/>
    <row r="164" spans="2:8" hidden="1"/>
    <row r="165" spans="2:8" hidden="1"/>
    <row r="166" spans="2:8" ht="28" hidden="1">
      <c r="B166" s="118" t="s">
        <v>7438</v>
      </c>
      <c r="C166" s="119" t="s">
        <v>7457</v>
      </c>
      <c r="D166" s="119" t="s">
        <v>7458</v>
      </c>
      <c r="E166" s="119" t="s">
        <v>7459</v>
      </c>
      <c r="F166" s="119" t="s">
        <v>7460</v>
      </c>
      <c r="G166" s="119" t="s">
        <v>7461</v>
      </c>
      <c r="H166" s="119" t="s">
        <v>838</v>
      </c>
    </row>
    <row r="167" spans="2:8" ht="42" hidden="1">
      <c r="B167" s="116" t="s">
        <v>7504</v>
      </c>
      <c r="C167" s="117">
        <v>4</v>
      </c>
      <c r="D167" s="117">
        <v>5</v>
      </c>
      <c r="E167" s="117">
        <v>5</v>
      </c>
      <c r="F167" s="117">
        <v>5</v>
      </c>
      <c r="G167" s="117">
        <v>5</v>
      </c>
      <c r="H167" s="117">
        <v>5</v>
      </c>
    </row>
    <row r="168" spans="2:8" ht="42" hidden="1">
      <c r="B168" s="116" t="s">
        <v>7505</v>
      </c>
      <c r="C168" s="117">
        <v>4</v>
      </c>
      <c r="D168" s="117">
        <v>5</v>
      </c>
      <c r="E168" s="117">
        <v>5</v>
      </c>
      <c r="F168" s="117">
        <v>5</v>
      </c>
      <c r="G168" s="117">
        <v>5</v>
      </c>
      <c r="H168" s="117">
        <v>5</v>
      </c>
    </row>
    <row r="169" spans="2:8" ht="42" hidden="1">
      <c r="B169" s="116" t="s">
        <v>7506</v>
      </c>
      <c r="C169" s="117">
        <v>3</v>
      </c>
      <c r="D169" s="117">
        <v>4</v>
      </c>
      <c r="E169" s="117">
        <v>5</v>
      </c>
      <c r="F169" s="117">
        <v>5</v>
      </c>
      <c r="G169" s="117">
        <v>5</v>
      </c>
      <c r="H169" s="117">
        <v>5</v>
      </c>
    </row>
    <row r="170" spans="2:8" ht="42" hidden="1">
      <c r="B170" s="116" t="s">
        <v>7507</v>
      </c>
      <c r="C170" s="117">
        <v>3</v>
      </c>
      <c r="D170" s="117">
        <v>4</v>
      </c>
      <c r="E170" s="117">
        <v>5</v>
      </c>
      <c r="F170" s="117">
        <v>5</v>
      </c>
      <c r="G170" s="117">
        <v>5</v>
      </c>
      <c r="H170" s="117">
        <v>5</v>
      </c>
    </row>
    <row r="171" spans="2:8" ht="42" hidden="1">
      <c r="B171" s="116" t="s">
        <v>7508</v>
      </c>
      <c r="C171" s="117">
        <v>3</v>
      </c>
      <c r="D171" s="117">
        <v>3</v>
      </c>
      <c r="E171" s="117">
        <v>4</v>
      </c>
      <c r="F171" s="117">
        <v>5</v>
      </c>
      <c r="G171" s="117">
        <v>5</v>
      </c>
      <c r="H171" s="117">
        <v>5</v>
      </c>
    </row>
    <row r="172" spans="2:8" ht="42" hidden="1">
      <c r="B172" s="116" t="s">
        <v>7509</v>
      </c>
      <c r="C172" s="117">
        <v>3</v>
      </c>
      <c r="D172" s="117">
        <v>3</v>
      </c>
      <c r="E172" s="117">
        <v>4</v>
      </c>
      <c r="F172" s="117">
        <v>5</v>
      </c>
      <c r="G172" s="117">
        <v>5</v>
      </c>
      <c r="H172" s="117">
        <v>5</v>
      </c>
    </row>
    <row r="173" spans="2:8" ht="42" hidden="1">
      <c r="B173" s="116" t="s">
        <v>7510</v>
      </c>
      <c r="C173" s="117">
        <v>3</v>
      </c>
      <c r="D173" s="117">
        <v>3</v>
      </c>
      <c r="E173" s="117">
        <v>3</v>
      </c>
      <c r="F173" s="117">
        <v>4</v>
      </c>
      <c r="G173" s="117">
        <v>5</v>
      </c>
      <c r="H173" s="117">
        <v>5</v>
      </c>
    </row>
    <row r="174" spans="2:8" ht="56" hidden="1">
      <c r="B174" s="116" t="s">
        <v>7511</v>
      </c>
      <c r="C174" s="117">
        <v>3</v>
      </c>
      <c r="D174" s="117">
        <v>3</v>
      </c>
      <c r="E174" s="117">
        <v>3</v>
      </c>
      <c r="F174" s="117">
        <v>4</v>
      </c>
      <c r="G174" s="117">
        <v>5</v>
      </c>
      <c r="H174" s="117">
        <v>5</v>
      </c>
    </row>
    <row r="175" spans="2:8" ht="42" hidden="1">
      <c r="B175" s="116" t="s">
        <v>7512</v>
      </c>
      <c r="C175" s="117">
        <v>3</v>
      </c>
      <c r="D175" s="117">
        <v>3</v>
      </c>
      <c r="E175" s="117">
        <v>3</v>
      </c>
      <c r="F175" s="117">
        <v>3</v>
      </c>
      <c r="G175" s="117">
        <v>4</v>
      </c>
      <c r="H175" s="117">
        <v>5</v>
      </c>
    </row>
    <row r="176" spans="2:8" ht="42" hidden="1">
      <c r="B176" s="116" t="s">
        <v>7513</v>
      </c>
      <c r="C176" s="117">
        <v>3</v>
      </c>
      <c r="D176" s="117">
        <v>3</v>
      </c>
      <c r="E176" s="117">
        <v>3</v>
      </c>
      <c r="F176" s="117">
        <v>3</v>
      </c>
      <c r="G176" s="117">
        <v>3</v>
      </c>
      <c r="H176" s="117">
        <v>4</v>
      </c>
    </row>
    <row r="179" spans="2:7">
      <c r="C179" t="s">
        <v>7514</v>
      </c>
    </row>
    <row r="180" spans="2:7">
      <c r="B180" s="128"/>
      <c r="C180" s="145">
        <v>0</v>
      </c>
      <c r="D180" s="145">
        <v>1</v>
      </c>
      <c r="E180" s="145">
        <v>2</v>
      </c>
      <c r="F180" s="145">
        <v>3</v>
      </c>
      <c r="G180" s="145">
        <v>4</v>
      </c>
    </row>
    <row r="181" spans="2:7">
      <c r="B181" s="146">
        <v>0</v>
      </c>
      <c r="C181" s="146" t="s">
        <v>7515</v>
      </c>
      <c r="D181" s="146" t="s">
        <v>7516</v>
      </c>
      <c r="E181" s="146" t="s">
        <v>7517</v>
      </c>
      <c r="F181" s="146" t="s">
        <v>7517</v>
      </c>
      <c r="G181" s="146" t="s">
        <v>7517</v>
      </c>
    </row>
    <row r="182" spans="2:7">
      <c r="B182" s="146">
        <v>1</v>
      </c>
      <c r="C182" s="146" t="s">
        <v>7516</v>
      </c>
      <c r="D182" s="146" t="s">
        <v>7516</v>
      </c>
      <c r="E182" s="146" t="s">
        <v>7517</v>
      </c>
      <c r="F182" s="146" t="s">
        <v>7517</v>
      </c>
      <c r="G182" s="146" t="s">
        <v>7517</v>
      </c>
    </row>
    <row r="183" spans="2:7">
      <c r="B183" s="146">
        <v>2</v>
      </c>
      <c r="C183" s="146" t="s">
        <v>7517</v>
      </c>
      <c r="D183" s="146" t="s">
        <v>7517</v>
      </c>
      <c r="E183" s="146" t="s">
        <v>7517</v>
      </c>
      <c r="F183" s="146" t="s">
        <v>7517</v>
      </c>
      <c r="G183" s="146" t="s">
        <v>7517</v>
      </c>
    </row>
    <row r="184" spans="2:7">
      <c r="B184" s="146">
        <v>3</v>
      </c>
      <c r="C184" s="146" t="s">
        <v>7517</v>
      </c>
      <c r="D184" s="146" t="s">
        <v>7517</v>
      </c>
      <c r="E184" s="146" t="s">
        <v>7517</v>
      </c>
      <c r="F184" s="146" t="s">
        <v>7517</v>
      </c>
      <c r="G184" s="146" t="s">
        <v>7517</v>
      </c>
    </row>
    <row r="185" spans="2:7">
      <c r="B185" s="146">
        <v>4</v>
      </c>
      <c r="C185" s="146" t="s">
        <v>7517</v>
      </c>
      <c r="D185" s="146" t="s">
        <v>7517</v>
      </c>
      <c r="E185" s="146" t="s">
        <v>7517</v>
      </c>
      <c r="F185" s="146" t="s">
        <v>7517</v>
      </c>
      <c r="G185" s="146" t="s">
        <v>7517</v>
      </c>
    </row>
    <row r="186" spans="2:7">
      <c r="B186" s="146" t="s">
        <v>7518</v>
      </c>
      <c r="C186" s="146"/>
      <c r="D186" s="146"/>
      <c r="E186" s="146"/>
      <c r="F186" s="146"/>
      <c r="G186" s="146"/>
    </row>
    <row r="187" spans="2:7" ht="16">
      <c r="B187" s="129" t="s">
        <v>7519</v>
      </c>
    </row>
    <row r="188" spans="2:7" ht="16">
      <c r="B188" s="129" t="s">
        <v>7520</v>
      </c>
    </row>
    <row r="189" spans="2:7" ht="16">
      <c r="B189" s="129" t="s">
        <v>7521</v>
      </c>
    </row>
    <row r="190" spans="2:7" ht="16">
      <c r="B190" s="129" t="s">
        <v>7522</v>
      </c>
    </row>
    <row r="191" spans="2:7" ht="16">
      <c r="B191" s="129" t="s">
        <v>7523</v>
      </c>
    </row>
    <row r="195" spans="2:8">
      <c r="B195" s="130" t="s">
        <v>7524</v>
      </c>
      <c r="C195" s="130" t="s">
        <v>7525</v>
      </c>
      <c r="D195" s="130" t="s">
        <v>7526</v>
      </c>
    </row>
    <row r="196" spans="2:8">
      <c r="B196" s="147" t="s">
        <v>7451</v>
      </c>
      <c r="C196" s="147" t="s">
        <v>7527</v>
      </c>
      <c r="D196" s="147">
        <v>0</v>
      </c>
    </row>
    <row r="197" spans="2:8">
      <c r="B197" s="147" t="s">
        <v>7449</v>
      </c>
      <c r="C197" s="147" t="s">
        <v>7528</v>
      </c>
      <c r="D197" s="147">
        <v>1</v>
      </c>
    </row>
    <row r="198" spans="2:8">
      <c r="B198" s="147" t="s">
        <v>7447</v>
      </c>
      <c r="C198" s="147" t="s">
        <v>7529</v>
      </c>
      <c r="D198" s="147" t="s">
        <v>7530</v>
      </c>
    </row>
    <row r="199" spans="2:8">
      <c r="B199" s="147" t="s">
        <v>7453</v>
      </c>
      <c r="C199" s="147" t="s">
        <v>7531</v>
      </c>
      <c r="D199" s="147" t="s">
        <v>7532</v>
      </c>
    </row>
    <row r="200" spans="2:8">
      <c r="B200" s="147" t="s">
        <v>7455</v>
      </c>
      <c r="C200" s="147" t="s">
        <v>7533</v>
      </c>
      <c r="D200" s="147">
        <v>4</v>
      </c>
    </row>
    <row r="205" spans="2:8" hidden="1"/>
    <row r="206" spans="2:8" ht="15" hidden="1" customHeight="1">
      <c r="B206" s="320" t="s">
        <v>7534</v>
      </c>
      <c r="C206" s="12" t="s">
        <v>7535</v>
      </c>
      <c r="D206" s="135"/>
      <c r="E206" s="135"/>
      <c r="F206" s="135"/>
      <c r="G206" s="135"/>
      <c r="H206" s="135"/>
    </row>
    <row r="207" spans="2:8" ht="70" hidden="1">
      <c r="B207" s="322"/>
      <c r="C207" s="12" t="s">
        <v>7536</v>
      </c>
      <c r="D207" s="134" t="s">
        <v>7537</v>
      </c>
      <c r="E207" s="134" t="s">
        <v>7537</v>
      </c>
      <c r="F207" s="134" t="s">
        <v>7537</v>
      </c>
      <c r="G207" s="134" t="s">
        <v>7537</v>
      </c>
      <c r="H207" s="135"/>
    </row>
    <row r="208" spans="2:8" ht="70" hidden="1">
      <c r="B208" s="322"/>
      <c r="C208" s="12" t="s">
        <v>7538</v>
      </c>
      <c r="D208" s="134" t="s">
        <v>7539</v>
      </c>
      <c r="E208" s="134" t="s">
        <v>7539</v>
      </c>
      <c r="F208" s="134" t="s">
        <v>7539</v>
      </c>
      <c r="G208" s="134" t="s">
        <v>7537</v>
      </c>
      <c r="H208" s="135"/>
    </row>
    <row r="209" spans="2:8" ht="70" hidden="1">
      <c r="B209" s="322"/>
      <c r="C209" s="12" t="s">
        <v>7540</v>
      </c>
      <c r="D209" s="134" t="s">
        <v>7541</v>
      </c>
      <c r="E209" s="134" t="s">
        <v>7541</v>
      </c>
      <c r="F209" s="134" t="s">
        <v>7539</v>
      </c>
      <c r="G209" s="134" t="s">
        <v>7537</v>
      </c>
      <c r="H209" s="135"/>
    </row>
    <row r="210" spans="2:8" ht="70" hidden="1">
      <c r="B210" s="322"/>
      <c r="C210" s="12" t="s">
        <v>7542</v>
      </c>
      <c r="D210" s="134" t="s">
        <v>7543</v>
      </c>
      <c r="E210" s="134" t="s">
        <v>7541</v>
      </c>
      <c r="F210" s="134" t="s">
        <v>7539</v>
      </c>
      <c r="G210" s="134" t="s">
        <v>7537</v>
      </c>
      <c r="H210" s="135"/>
    </row>
    <row r="211" spans="2:8" hidden="1">
      <c r="B211" s="1"/>
      <c r="C211" s="12"/>
      <c r="D211" s="1" t="s">
        <v>7542</v>
      </c>
      <c r="E211" s="1" t="s">
        <v>7540</v>
      </c>
      <c r="F211" s="1" t="s">
        <v>7538</v>
      </c>
      <c r="G211" s="1" t="s">
        <v>7536</v>
      </c>
      <c r="H211" s="1" t="s">
        <v>7535</v>
      </c>
    </row>
    <row r="212" spans="2:8" hidden="1">
      <c r="B212" s="1"/>
      <c r="C212" s="12"/>
      <c r="D212" s="321" t="s">
        <v>7514</v>
      </c>
      <c r="E212" s="321"/>
      <c r="F212" s="321"/>
      <c r="G212" s="321"/>
      <c r="H212" s="321"/>
    </row>
    <row r="215" spans="2:8" ht="70">
      <c r="B215" s="320" t="s">
        <v>7534</v>
      </c>
      <c r="C215" s="12" t="s">
        <v>7535</v>
      </c>
      <c r="D215" s="83" t="s">
        <v>7537</v>
      </c>
      <c r="E215" s="83" t="s">
        <v>7537</v>
      </c>
      <c r="F215" s="83" t="s">
        <v>7537</v>
      </c>
      <c r="G215" s="83" t="s">
        <v>7537</v>
      </c>
      <c r="H215" s="83" t="s">
        <v>7537</v>
      </c>
    </row>
    <row r="216" spans="2:8" ht="70">
      <c r="B216" s="322"/>
      <c r="C216" s="12" t="s">
        <v>7536</v>
      </c>
      <c r="D216" s="83" t="s">
        <v>7537</v>
      </c>
      <c r="E216" s="83" t="s">
        <v>7537</v>
      </c>
      <c r="F216" s="83" t="s">
        <v>7537</v>
      </c>
      <c r="G216" s="83" t="s">
        <v>7537</v>
      </c>
      <c r="H216" s="83" t="s">
        <v>7537</v>
      </c>
    </row>
    <row r="217" spans="2:8" ht="88.15" customHeight="1">
      <c r="B217" s="322"/>
      <c r="C217" s="12" t="s">
        <v>7538</v>
      </c>
      <c r="D217" s="83" t="s">
        <v>7537</v>
      </c>
      <c r="E217" s="83" t="s">
        <v>7537</v>
      </c>
      <c r="F217" s="83" t="s">
        <v>7537</v>
      </c>
      <c r="G217" s="83" t="s">
        <v>7537</v>
      </c>
      <c r="H217" s="83" t="s">
        <v>7537</v>
      </c>
    </row>
    <row r="218" spans="2:8" ht="70">
      <c r="B218" s="322"/>
      <c r="C218" s="12" t="s">
        <v>7540</v>
      </c>
      <c r="D218" s="83" t="s">
        <v>7539</v>
      </c>
      <c r="E218" s="83" t="s">
        <v>7539</v>
      </c>
      <c r="F218" s="83" t="s">
        <v>7537</v>
      </c>
      <c r="G218" s="83" t="s">
        <v>7537</v>
      </c>
      <c r="H218" s="83" t="s">
        <v>7537</v>
      </c>
    </row>
    <row r="219" spans="2:8" ht="70">
      <c r="B219" s="322"/>
      <c r="C219" s="12" t="s">
        <v>7542</v>
      </c>
      <c r="D219" s="83" t="s">
        <v>7541</v>
      </c>
      <c r="E219" s="83" t="s">
        <v>7539</v>
      </c>
      <c r="F219" s="83" t="s">
        <v>7537</v>
      </c>
      <c r="G219" s="83" t="s">
        <v>7537</v>
      </c>
      <c r="H219" s="83" t="s">
        <v>7537</v>
      </c>
    </row>
    <row r="220" spans="2:8">
      <c r="B220" s="1"/>
      <c r="C220" s="12"/>
      <c r="D220" s="1" t="s">
        <v>7542</v>
      </c>
      <c r="E220" s="1" t="s">
        <v>7540</v>
      </c>
      <c r="F220" s="1" t="s">
        <v>7538</v>
      </c>
      <c r="G220" s="1" t="s">
        <v>7536</v>
      </c>
      <c r="H220" s="1" t="s">
        <v>7535</v>
      </c>
    </row>
    <row r="221" spans="2:8">
      <c r="B221" s="1"/>
      <c r="C221" s="12"/>
      <c r="D221" s="321" t="s">
        <v>7514</v>
      </c>
      <c r="E221" s="321"/>
      <c r="F221" s="321"/>
      <c r="G221" s="321"/>
      <c r="H221" s="321"/>
    </row>
    <row r="224" spans="2:8">
      <c r="B224" s="320" t="s">
        <v>7534</v>
      </c>
      <c r="C224" s="12" t="s">
        <v>7542</v>
      </c>
      <c r="D224" s="83" t="s">
        <v>7515</v>
      </c>
      <c r="E224" s="158" t="s">
        <v>7516</v>
      </c>
      <c r="F224" s="159" t="s">
        <v>7517</v>
      </c>
      <c r="G224" s="160" t="s">
        <v>7517</v>
      </c>
      <c r="H224" s="162" t="s">
        <v>7517</v>
      </c>
    </row>
    <row r="225" spans="2:8">
      <c r="B225" s="320"/>
      <c r="C225" s="12" t="s">
        <v>7540</v>
      </c>
      <c r="D225" s="158" t="s">
        <v>7516</v>
      </c>
      <c r="E225" s="158" t="s">
        <v>7516</v>
      </c>
      <c r="F225" s="159" t="s">
        <v>7517</v>
      </c>
      <c r="G225" s="160" t="s">
        <v>7517</v>
      </c>
      <c r="H225" s="162" t="s">
        <v>7517</v>
      </c>
    </row>
    <row r="226" spans="2:8">
      <c r="B226" s="320"/>
      <c r="C226" s="12" t="s">
        <v>7538</v>
      </c>
      <c r="D226" s="159" t="s">
        <v>7517</v>
      </c>
      <c r="E226" s="159" t="s">
        <v>7517</v>
      </c>
      <c r="F226" s="159" t="s">
        <v>7517</v>
      </c>
      <c r="G226" s="160" t="s">
        <v>7517</v>
      </c>
      <c r="H226" s="162" t="s">
        <v>7517</v>
      </c>
    </row>
    <row r="227" spans="2:8">
      <c r="B227" s="320"/>
      <c r="C227" s="12" t="s">
        <v>7536</v>
      </c>
      <c r="D227" s="160" t="s">
        <v>7517</v>
      </c>
      <c r="E227" s="160" t="s">
        <v>7517</v>
      </c>
      <c r="F227" s="160" t="s">
        <v>7517</v>
      </c>
      <c r="G227" s="160" t="s">
        <v>7517</v>
      </c>
      <c r="H227" s="162" t="s">
        <v>7517</v>
      </c>
    </row>
    <row r="228" spans="2:8" ht="15" customHeight="1">
      <c r="B228" s="320"/>
      <c r="C228" s="12" t="s">
        <v>7535</v>
      </c>
      <c r="D228" s="162" t="s">
        <v>7517</v>
      </c>
      <c r="E228" s="162" t="s">
        <v>7517</v>
      </c>
      <c r="F228" s="162" t="s">
        <v>7517</v>
      </c>
      <c r="G228" s="162" t="s">
        <v>7517</v>
      </c>
      <c r="H228" s="162" t="s">
        <v>7517</v>
      </c>
    </row>
    <row r="229" spans="2:8">
      <c r="B229" s="1"/>
      <c r="C229" s="12"/>
      <c r="D229" s="1" t="s">
        <v>7542</v>
      </c>
      <c r="E229" s="1" t="s">
        <v>7540</v>
      </c>
      <c r="F229" s="1" t="s">
        <v>7538</v>
      </c>
      <c r="G229" s="1" t="s">
        <v>7536</v>
      </c>
      <c r="H229" s="1" t="s">
        <v>7535</v>
      </c>
    </row>
    <row r="230" spans="2:8">
      <c r="B230" s="1"/>
      <c r="C230" s="12"/>
      <c r="D230" s="321" t="s">
        <v>7514</v>
      </c>
      <c r="E230" s="321"/>
      <c r="F230" s="321"/>
      <c r="G230" s="321"/>
      <c r="H230" s="321"/>
    </row>
    <row r="233" spans="2:8">
      <c r="B233" s="320" t="s">
        <v>7534</v>
      </c>
      <c r="C233" s="12" t="s">
        <v>7542</v>
      </c>
      <c r="D233" s="87">
        <v>1</v>
      </c>
      <c r="E233" s="158" t="s">
        <v>7515</v>
      </c>
      <c r="F233" s="159" t="s">
        <v>7516</v>
      </c>
      <c r="G233" s="160" t="s">
        <v>7517</v>
      </c>
      <c r="H233" s="161" t="s">
        <v>7517</v>
      </c>
    </row>
    <row r="234" spans="2:8">
      <c r="B234" s="320"/>
      <c r="C234" s="12" t="s">
        <v>7540</v>
      </c>
      <c r="D234" s="158" t="s">
        <v>7515</v>
      </c>
      <c r="E234" s="158" t="s">
        <v>7515</v>
      </c>
      <c r="F234" s="159" t="s">
        <v>7516</v>
      </c>
      <c r="G234" s="160" t="s">
        <v>7517</v>
      </c>
      <c r="H234" s="161" t="s">
        <v>7517</v>
      </c>
    </row>
    <row r="235" spans="2:8">
      <c r="B235" s="320"/>
      <c r="C235" s="12" t="s">
        <v>7538</v>
      </c>
      <c r="D235" s="159" t="s">
        <v>7516</v>
      </c>
      <c r="E235" s="159" t="s">
        <v>7516</v>
      </c>
      <c r="F235" s="159" t="s">
        <v>7516</v>
      </c>
      <c r="G235" s="160" t="s">
        <v>7517</v>
      </c>
      <c r="H235" s="161" t="s">
        <v>7517</v>
      </c>
    </row>
    <row r="236" spans="2:8">
      <c r="B236" s="320"/>
      <c r="C236" s="12" t="s">
        <v>7536</v>
      </c>
      <c r="D236" s="160" t="s">
        <v>7517</v>
      </c>
      <c r="E236" s="160" t="s">
        <v>7517</v>
      </c>
      <c r="F236" s="160" t="s">
        <v>7517</v>
      </c>
      <c r="G236" s="160" t="s">
        <v>7517</v>
      </c>
      <c r="H236" s="161" t="s">
        <v>7517</v>
      </c>
    </row>
    <row r="237" spans="2:8">
      <c r="B237" s="320"/>
      <c r="C237" s="12" t="s">
        <v>7535</v>
      </c>
      <c r="D237" s="161" t="s">
        <v>7517</v>
      </c>
      <c r="E237" s="161" t="s">
        <v>7517</v>
      </c>
      <c r="F237" s="161" t="s">
        <v>7517</v>
      </c>
      <c r="G237" s="161" t="s">
        <v>7517</v>
      </c>
      <c r="H237" s="161" t="s">
        <v>7517</v>
      </c>
    </row>
    <row r="238" spans="2:8">
      <c r="B238" s="1"/>
      <c r="C238" s="12"/>
      <c r="D238" s="1" t="s">
        <v>7542</v>
      </c>
      <c r="E238" s="1" t="s">
        <v>7540</v>
      </c>
      <c r="F238" s="1" t="s">
        <v>7538</v>
      </c>
      <c r="G238" s="1" t="s">
        <v>7536</v>
      </c>
      <c r="H238" s="1" t="s">
        <v>7535</v>
      </c>
    </row>
    <row r="239" spans="2:8">
      <c r="B239" s="1"/>
      <c r="C239" s="12"/>
      <c r="D239" s="321" t="s">
        <v>7514</v>
      </c>
      <c r="E239" s="321"/>
      <c r="F239" s="321"/>
      <c r="G239" s="321"/>
      <c r="H239" s="321"/>
    </row>
  </sheetData>
  <mergeCells count="53">
    <mergeCell ref="B224:B228"/>
    <mergeCell ref="D230:H230"/>
    <mergeCell ref="B233:B237"/>
    <mergeCell ref="D239:H239"/>
    <mergeCell ref="B206:B210"/>
    <mergeCell ref="D212:H212"/>
    <mergeCell ref="B215:B219"/>
    <mergeCell ref="D221:H221"/>
    <mergeCell ref="B29:B30"/>
    <mergeCell ref="E29:E30"/>
    <mergeCell ref="G29:G30"/>
    <mergeCell ref="H29:H30"/>
    <mergeCell ref="B47:B48"/>
    <mergeCell ref="B33:B35"/>
    <mergeCell ref="C33:C35"/>
    <mergeCell ref="D33:D35"/>
    <mergeCell ref="E34:E35"/>
    <mergeCell ref="F34:F35"/>
    <mergeCell ref="H34:H35"/>
    <mergeCell ref="B22:B23"/>
    <mergeCell ref="F22:F23"/>
    <mergeCell ref="G22:G23"/>
    <mergeCell ref="H22:H23"/>
    <mergeCell ref="B24:B25"/>
    <mergeCell ref="C24:C25"/>
    <mergeCell ref="E24:E25"/>
    <mergeCell ref="F24:F25"/>
    <mergeCell ref="G24:G25"/>
    <mergeCell ref="H24:H25"/>
    <mergeCell ref="C50:C51"/>
    <mergeCell ref="D50:D51"/>
    <mergeCell ref="E50:E51"/>
    <mergeCell ref="G50:G51"/>
    <mergeCell ref="B52:B55"/>
    <mergeCell ref="C53:C55"/>
    <mergeCell ref="E53:E55"/>
    <mergeCell ref="F53:F55"/>
    <mergeCell ref="G53:G55"/>
    <mergeCell ref="B49:B51"/>
    <mergeCell ref="B56:B58"/>
    <mergeCell ref="C57:C58"/>
    <mergeCell ref="E57:E58"/>
    <mergeCell ref="G57:G58"/>
    <mergeCell ref="B59:B61"/>
    <mergeCell ref="C59:C61"/>
    <mergeCell ref="E59:E61"/>
    <mergeCell ref="F59:F61"/>
    <mergeCell ref="G59:G61"/>
    <mergeCell ref="B62:B63"/>
    <mergeCell ref="C62:C63"/>
    <mergeCell ref="E62:E63"/>
    <mergeCell ref="F62:F63"/>
    <mergeCell ref="G62:G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Identitas</vt:lpstr>
      <vt:lpstr>mental agility</vt:lpstr>
      <vt:lpstr>people agility</vt:lpstr>
      <vt:lpstr>change agility</vt:lpstr>
      <vt:lpstr>result agility</vt:lpstr>
      <vt:lpstr>self awareness</vt:lpstr>
      <vt:lpstr>Profile Summary</vt:lpstr>
      <vt:lpstr>Kompetensi</vt:lpstr>
      <vt:lpstr>intepretasi KxLA</vt:lpstr>
      <vt:lpstr>sheet template</vt:lpstr>
      <vt:lpstr>calc</vt:lpstr>
      <vt:lpstr>aktivitas pengembangan.</vt:lpstr>
      <vt:lpstr>Monitoring pengembangan</vt:lpstr>
      <vt:lpstr>list</vt:lpstr>
      <vt:lpstr>aspek</vt:lpstr>
      <vt:lpstr>deskripsi</vt:lpstr>
      <vt:lpstr>kamus perilaku</vt:lpstr>
      <vt:lpstr>Hasil Perilaku</vt:lpstr>
      <vt:lpstr>Form Penilaian Presentasi</vt:lpstr>
      <vt:lpstr>Dashboard</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2026-10-06T08:04:33Z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